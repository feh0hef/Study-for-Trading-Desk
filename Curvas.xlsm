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ehhe\OneDrive\Área de Trabalho\study\Planilhas\Rhinos\"/>
    </mc:Choice>
  </mc:AlternateContent>
  <xr:revisionPtr revIDLastSave="0" documentId="13_ncr:1_{8FE76ECD-8F7B-46A2-B51B-49D0CE277150}" xr6:coauthVersionLast="47" xr6:coauthVersionMax="47" xr10:uidLastSave="{00000000-0000-0000-0000-000000000000}"/>
  <bookViews>
    <workbookView xWindow="-108" yWindow="-108" windowWidth="23256" windowHeight="12456" activeTab="8" xr2:uid="{E110191E-D81A-4E83-9394-A441CC63B6BB}"/>
  </bookViews>
  <sheets>
    <sheet name="Main" sheetId="1" r:id="rId1"/>
    <sheet name="DI1 FUT" sheetId="4" r:id="rId2"/>
    <sheet name="DDI Fut" sheetId="5" state="hidden" r:id="rId3"/>
    <sheet name="DOL FUT" sheetId="3" state="hidden" r:id="rId4"/>
    <sheet name="PTAX" sheetId="7" r:id="rId5"/>
    <sheet name="Interpolações" sheetId="8" r:id="rId6"/>
    <sheet name="FRA's" sheetId="11" r:id="rId7"/>
    <sheet name="Tipos de curva" sheetId="9" r:id="rId8"/>
    <sheet name="Exercicio" sheetId="10" r:id="rId9"/>
    <sheet name="Aux" sheetId="2" r:id="rId10"/>
  </sheets>
  <functionGroups builtInGroupCount="19"/>
  <externalReferences>
    <externalReference r:id="rId11"/>
  </externalReferences>
  <definedNames>
    <definedName name="_xlnm._FilterDatabase" localSheetId="7" hidden="1">'Tipos de curva'!$L$1:$L$61</definedName>
    <definedName name="AJUSTEDDI">'DDI Fut'!$I:$I</definedName>
    <definedName name="AJUSTEDI1">'DI1 FUT'!$I:$I</definedName>
    <definedName name="AJUSTEDOL">'DOL FUT'!$G:$G</definedName>
    <definedName name="Contrato_ref">Main!$B$5</definedName>
    <definedName name="D_1">Main!$B$3</definedName>
    <definedName name="D0">Main!$B$2</definedName>
    <definedName name="Depara_CodigoVCTO" localSheetId="6">[1]Aux!$E$1:$E$13</definedName>
    <definedName name="Depara_CodigoVCTO">Aux!$E$1:$E$13</definedName>
    <definedName name="Depara_datavcto">Aux!$I:$I</definedName>
    <definedName name="Depara_Mesvcto" localSheetId="6">[1]Aux!$F$1:$F$13</definedName>
    <definedName name="Depara_Mesvcto">Aux!$F$1:$F$13</definedName>
    <definedName name="Depara_vcto">Aux!$H$2:$H$39</definedName>
    <definedName name="ExternalData_1" localSheetId="2" hidden="1">'DDI Fut'!$A$1:$A$39</definedName>
    <definedName name="ExternalData_1" localSheetId="1" hidden="1">'DI1 FUT'!$A$1:$A$39</definedName>
    <definedName name="ExternalData_1" localSheetId="4" hidden="1">PTAX!$A$1:$D$19</definedName>
    <definedName name="ExternalData_2" localSheetId="2" hidden="1">'DDI Fut'!$B$1:$L$39</definedName>
    <definedName name="ExternalData_2" localSheetId="1" hidden="1">'DI1 FUT'!$B$1:$L$39</definedName>
    <definedName name="Feriados" localSheetId="6">[1]Aux!$A$2:$A$989</definedName>
    <definedName name="Feriados">Aux!$A$2:$A$989</definedName>
    <definedName name="serie_dc">Aux!$K$2:$K$39</definedName>
    <definedName name="serie_du">Aux!$J$2:$J$39</definedName>
    <definedName name="Table_7" localSheetId="3" hidden="1">'DOL FUT'!$A$1:$A$26</definedName>
    <definedName name="Table_8" localSheetId="3" hidden="1">'DOL FUT'!$B$1:$J$26</definedName>
    <definedName name="Taxas_DDI">Aux!$M$2:$M$39</definedName>
    <definedName name="Taxas_DI">Aux!$L$2:$L$39</definedName>
    <definedName name="VCTODDI">'DDI Fut'!$A:$A</definedName>
    <definedName name="VCTODI1">'DI1 FUT'!$A:$A</definedName>
    <definedName name="VCTODOL">'DOL FUT'!$A:$A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 8-22284ec2-d459-499f-9f75-a5ef52ff8550" name="Table 8" connection="Query - Table 8"/>
          <x15:modelTable id="Table 7-4e679d27-693d-429d-bc3b-c6bf20e877b1" name="Table 7" connection="Query - Table 7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9" i="11" l="1"/>
  <c r="E20" i="11"/>
  <c r="C23" i="11"/>
  <c r="C24" i="11" l="1"/>
  <c r="I4" i="8" l="1"/>
  <c r="I5" i="8"/>
  <c r="I6" i="8"/>
  <c r="I7" i="8"/>
  <c r="I8" i="8"/>
  <c r="I9" i="8"/>
  <c r="I10" i="8"/>
  <c r="I11" i="8"/>
  <c r="I3" i="8"/>
  <c r="H1" i="2" a="1"/>
  <c r="H1" i="2" s="1"/>
  <c r="B2" i="1"/>
  <c r="I3" i="2" l="1"/>
  <c r="K3" i="2" s="1"/>
  <c r="M3" i="2" s="1" a="1"/>
  <c r="M3" i="2" s="1"/>
  <c r="I15" i="2"/>
  <c r="K15" i="2" s="1"/>
  <c r="M15" i="2" s="1" a="1"/>
  <c r="M15" i="2" s="1"/>
  <c r="I27" i="2"/>
  <c r="K27" i="2" s="1"/>
  <c r="M27" i="2" s="1" a="1"/>
  <c r="M27" i="2" s="1"/>
  <c r="I39" i="2"/>
  <c r="K39" i="2" s="1"/>
  <c r="M39" i="2" s="1" a="1"/>
  <c r="M39" i="2" s="1"/>
  <c r="I4" i="2"/>
  <c r="J4" i="2" s="1"/>
  <c r="I16" i="2"/>
  <c r="J16" i="2" s="1"/>
  <c r="I28" i="2"/>
  <c r="K28" i="2" s="1"/>
  <c r="M28" i="2" s="1" a="1"/>
  <c r="M28" i="2" s="1"/>
  <c r="I5" i="2"/>
  <c r="J5" i="2" s="1"/>
  <c r="I17" i="2"/>
  <c r="K17" i="2" s="1"/>
  <c r="M17" i="2" s="1" a="1"/>
  <c r="M17" i="2" s="1"/>
  <c r="I29" i="2"/>
  <c r="J29" i="2" s="1"/>
  <c r="I6" i="2"/>
  <c r="J6" i="2" s="1"/>
  <c r="I18" i="2"/>
  <c r="J18" i="2" s="1"/>
  <c r="I30" i="2"/>
  <c r="J30" i="2" s="1"/>
  <c r="I7" i="2"/>
  <c r="J7" i="2" s="1"/>
  <c r="I19" i="2"/>
  <c r="J19" i="2" s="1"/>
  <c r="I31" i="2"/>
  <c r="J31" i="2" s="1"/>
  <c r="I8" i="2"/>
  <c r="J8" i="2" s="1"/>
  <c r="I20" i="2"/>
  <c r="J20" i="2" s="1"/>
  <c r="I32" i="2"/>
  <c r="J32" i="2" s="1"/>
  <c r="I9" i="2"/>
  <c r="K9" i="2" s="1"/>
  <c r="M9" i="2" s="1" a="1"/>
  <c r="M9" i="2" s="1"/>
  <c r="I21" i="2"/>
  <c r="K21" i="2" s="1"/>
  <c r="M21" i="2" s="1" a="1"/>
  <c r="M21" i="2" s="1"/>
  <c r="I33" i="2"/>
  <c r="K33" i="2" s="1"/>
  <c r="M33" i="2" s="1" a="1"/>
  <c r="M33" i="2" s="1"/>
  <c r="I10" i="2"/>
  <c r="J10" i="2" s="1"/>
  <c r="I22" i="2"/>
  <c r="J22" i="2" s="1"/>
  <c r="I34" i="2"/>
  <c r="J34" i="2" s="1"/>
  <c r="I11" i="2"/>
  <c r="K11" i="2" s="1"/>
  <c r="M11" i="2" s="1" a="1"/>
  <c r="M11" i="2" s="1"/>
  <c r="I23" i="2"/>
  <c r="J23" i="2" s="1"/>
  <c r="I35" i="2"/>
  <c r="K35" i="2" s="1"/>
  <c r="M35" i="2" s="1" a="1"/>
  <c r="M35" i="2" s="1"/>
  <c r="I13" i="2"/>
  <c r="J13" i="2" s="1"/>
  <c r="I25" i="2"/>
  <c r="J25" i="2" s="1"/>
  <c r="I37" i="2"/>
  <c r="K37" i="2" s="1"/>
  <c r="M37" i="2" s="1" a="1"/>
  <c r="M37" i="2" s="1"/>
  <c r="I12" i="2"/>
  <c r="J12" i="2" s="1"/>
  <c r="I24" i="2"/>
  <c r="J24" i="2" s="1"/>
  <c r="I36" i="2"/>
  <c r="K36" i="2" s="1"/>
  <c r="M36" i="2" s="1" a="1"/>
  <c r="M36" i="2" s="1"/>
  <c r="I2" i="2"/>
  <c r="J2" i="2" s="1"/>
  <c r="I14" i="2"/>
  <c r="J14" i="2" s="1"/>
  <c r="I26" i="2"/>
  <c r="J26" i="2" s="1"/>
  <c r="I38" i="2"/>
  <c r="J38" i="2" s="1"/>
  <c r="B3" i="1"/>
  <c r="B4" i="1" s="1" a="1"/>
  <c r="B4" i="1" s="1"/>
  <c r="J17" i="2" l="1"/>
  <c r="L17" i="2" s="1"/>
  <c r="J33" i="2"/>
  <c r="L33" i="2" s="1"/>
  <c r="J36" i="2"/>
  <c r="L36" i="2" s="1"/>
  <c r="J21" i="2"/>
  <c r="L21" i="2" s="1"/>
  <c r="J39" i="2"/>
  <c r="L39" i="2" s="1"/>
  <c r="J15" i="2"/>
  <c r="L15" i="2" s="1"/>
  <c r="J9" i="2"/>
  <c r="L9" i="2" s="1"/>
  <c r="J35" i="2"/>
  <c r="L35" i="2" s="1"/>
  <c r="J27" i="2"/>
  <c r="L27" i="2" s="1"/>
  <c r="J11" i="2"/>
  <c r="L11" i="2" s="1"/>
  <c r="J28" i="2"/>
  <c r="L28" i="2" s="1"/>
  <c r="K4" i="2"/>
  <c r="M4" i="2" s="1" a="1"/>
  <c r="M4" i="2" s="1"/>
  <c r="L12" i="2"/>
  <c r="J37" i="2"/>
  <c r="L37" i="2" s="1"/>
  <c r="J3" i="2"/>
  <c r="L3" i="2" s="1"/>
  <c r="L25" i="2"/>
  <c r="L2" i="2"/>
  <c r="L26" i="2"/>
  <c r="L6" i="2"/>
  <c r="L8" i="2"/>
  <c r="L20" i="2"/>
  <c r="L7" i="2"/>
  <c r="L14" i="2"/>
  <c r="L10" i="2"/>
  <c r="L24" i="2"/>
  <c r="L32" i="2"/>
  <c r="L38" i="2"/>
  <c r="L18" i="2"/>
  <c r="L5" i="2"/>
  <c r="L13" i="2"/>
  <c r="L4" i="2"/>
  <c r="L16" i="2"/>
  <c r="L29" i="2"/>
  <c r="L31" i="2"/>
  <c r="L23" i="2"/>
  <c r="L19" i="2"/>
  <c r="L34" i="2"/>
  <c r="L30" i="2"/>
  <c r="L22" i="2"/>
  <c r="K20" i="2"/>
  <c r="M20" i="2" s="1" a="1"/>
  <c r="M20" i="2" s="1"/>
  <c r="K38" i="2"/>
  <c r="M38" i="2" s="1" a="1"/>
  <c r="M38" i="2" s="1"/>
  <c r="K30" i="2"/>
  <c r="M30" i="2" s="1" a="1"/>
  <c r="M30" i="2" s="1"/>
  <c r="K14" i="2"/>
  <c r="M14" i="2" s="1" a="1"/>
  <c r="M14" i="2" s="1"/>
  <c r="K26" i="2"/>
  <c r="M26" i="2" s="1" a="1"/>
  <c r="M26" i="2" s="1"/>
  <c r="K34" i="2"/>
  <c r="M34" i="2" s="1" a="1"/>
  <c r="M34" i="2" s="1"/>
  <c r="K10" i="2"/>
  <c r="M10" i="2" s="1" a="1"/>
  <c r="M10" i="2" s="1"/>
  <c r="K22" i="2"/>
  <c r="M22" i="2" s="1" a="1"/>
  <c r="M22" i="2" s="1"/>
  <c r="K29" i="2"/>
  <c r="M29" i="2" s="1" a="1"/>
  <c r="M29" i="2" s="1"/>
  <c r="K6" i="2"/>
  <c r="M6" i="2" s="1" a="1"/>
  <c r="M6" i="2" s="1"/>
  <c r="K7" i="2"/>
  <c r="M7" i="2" s="1" a="1"/>
  <c r="M7" i="2" s="1"/>
  <c r="K18" i="2"/>
  <c r="M18" i="2" s="1" a="1"/>
  <c r="M18" i="2" s="1"/>
  <c r="K19" i="2"/>
  <c r="M19" i="2" s="1" a="1"/>
  <c r="M19" i="2" s="1"/>
  <c r="K8" i="2"/>
  <c r="M8" i="2" s="1" a="1"/>
  <c r="M8" i="2" s="1"/>
  <c r="K24" i="2"/>
  <c r="M24" i="2" s="1" a="1"/>
  <c r="M24" i="2" s="1"/>
  <c r="K31" i="2"/>
  <c r="M31" i="2" s="1" a="1"/>
  <c r="M31" i="2" s="1"/>
  <c r="K32" i="2"/>
  <c r="M32" i="2" s="1" a="1"/>
  <c r="M32" i="2" s="1"/>
  <c r="K12" i="2"/>
  <c r="M12" i="2" s="1" a="1"/>
  <c r="M12" i="2" s="1"/>
  <c r="K5" i="2"/>
  <c r="M5" i="2" s="1" a="1"/>
  <c r="M5" i="2" s="1"/>
  <c r="K13" i="2"/>
  <c r="M13" i="2" s="1" a="1"/>
  <c r="M13" i="2" s="1"/>
  <c r="K16" i="2"/>
  <c r="M16" i="2" s="1" a="1"/>
  <c r="M16" i="2" s="1"/>
  <c r="K25" i="2"/>
  <c r="M25" i="2" s="1" a="1"/>
  <c r="M25" i="2" s="1"/>
  <c r="K23" i="2"/>
  <c r="M23" i="2" s="1" a="1"/>
  <c r="M23" i="2" s="1"/>
  <c r="K2" i="2"/>
  <c r="M2" i="2" s="1" a="1"/>
  <c r="M2" i="2" s="1"/>
  <c r="B9" i="1" s="1"/>
  <c r="B2794" i="8" a="1"/>
  <c r="B3499" i="8" a="1"/>
  <c r="B786" i="8" a="1"/>
  <c r="B1014" i="8" a="1"/>
  <c r="B872" i="8" a="1"/>
  <c r="B3251" i="8" a="1"/>
  <c r="B1751" i="8" a="1"/>
  <c r="B97" i="8" a="1"/>
  <c r="B3206" i="8" a="1"/>
  <c r="B3551" i="8" a="1"/>
  <c r="B2391" i="8" a="1"/>
  <c r="B1451" i="8" a="1"/>
  <c r="B1183" i="8" a="1"/>
  <c r="B3445" i="8" a="1"/>
  <c r="B136" i="8" a="1"/>
  <c r="B52" i="8" a="1"/>
  <c r="B212" i="8" a="1"/>
  <c r="B954" i="8" a="1"/>
  <c r="B1613" i="8" a="1"/>
  <c r="B2781" i="8" a="1"/>
  <c r="B3117" i="8" a="1"/>
  <c r="B286" i="8" a="1"/>
  <c r="B1269" i="8" a="1"/>
  <c r="B2043" i="8" a="1"/>
  <c r="B2180" i="8" a="1"/>
  <c r="B419" i="8" a="1"/>
  <c r="B1637" i="8" a="1"/>
  <c r="B2332" i="8" a="1"/>
  <c r="B188" i="8" a="1"/>
  <c r="B776" i="8" a="1"/>
  <c r="B1749" i="8" a="1"/>
  <c r="B2525" i="8" a="1"/>
  <c r="B2386" i="8" a="1"/>
  <c r="B551" i="8" a="1"/>
  <c r="B1709" i="8" a="1"/>
  <c r="B170" i="8" a="1"/>
  <c r="B2122" i="8" a="1"/>
  <c r="B321" i="8" a="1"/>
  <c r="B1705" i="8" a="1"/>
  <c r="B217" i="8" a="1"/>
  <c r="B3262" i="8" a="1"/>
  <c r="B975" i="8" a="1"/>
  <c r="B1777" i="8" a="1"/>
  <c r="B2594" i="8" a="1"/>
  <c r="B619" i="8" a="1"/>
  <c r="B2563" i="8" a="1"/>
  <c r="B2296" i="8" a="1"/>
  <c r="B3199" i="8" a="1"/>
  <c r="B310" i="8" a="1"/>
  <c r="B2143" i="8" a="1"/>
  <c r="B367" i="8" a="1"/>
  <c r="B3016" i="8" a="1"/>
  <c r="B3338" i="8" a="1"/>
  <c r="B1702" i="8" a="1"/>
  <c r="B1633" i="8" a="1"/>
  <c r="B733" i="8" a="1"/>
  <c r="B271" i="8" a="1"/>
  <c r="B2477" i="8" a="1"/>
  <c r="B373" i="8" a="1"/>
  <c r="B1141" i="8" a="1"/>
  <c r="B3577" i="8" a="1"/>
  <c r="B205" i="8" a="1"/>
  <c r="B3219" i="8" a="1"/>
  <c r="B192" i="8" a="1"/>
  <c r="B1276" i="8" a="1"/>
  <c r="B1697" i="8" a="1"/>
  <c r="B2987" i="8" a="1"/>
  <c r="B2660" i="8" a="1"/>
  <c r="B904" i="8" a="1"/>
  <c r="B2102" i="8" a="1"/>
  <c r="B2097" i="8" a="1"/>
  <c r="B1319" i="8" a="1"/>
  <c r="B2478" i="8" a="1"/>
  <c r="B1550" i="8" a="1"/>
  <c r="B2155" i="8" a="1"/>
  <c r="B2317" i="8" a="1"/>
  <c r="B1270" i="8" a="1"/>
  <c r="B856" i="8" a="1"/>
  <c r="B1420" i="8" a="1"/>
  <c r="B432" i="8" a="1"/>
  <c r="B215" i="8" a="1"/>
  <c r="B657" i="8" a="1"/>
  <c r="B2710" i="8" a="1"/>
  <c r="B3145" i="8" a="1"/>
  <c r="B376" i="8" a="1"/>
  <c r="B889" i="8" a="1"/>
  <c r="B1528" i="8" a="1"/>
  <c r="B1927" i="8" a="1"/>
  <c r="B3065" i="8" a="1"/>
  <c r="B1648" i="8" a="1"/>
  <c r="B1094" i="8" a="1"/>
  <c r="B1604" i="8" a="1"/>
  <c r="B3292" i="8" a="1"/>
  <c r="B2554" i="8" a="1"/>
  <c r="B2118" i="8" a="1"/>
  <c r="B3567" i="8" a="1"/>
  <c r="B3214" i="8" a="1"/>
  <c r="B1106" i="8" a="1"/>
  <c r="B1257" i="8" a="1"/>
  <c r="B1817" i="8" a="1"/>
  <c r="B3501" i="8" a="1"/>
  <c r="B1651" i="8" a="1"/>
  <c r="B152" i="8" a="1"/>
  <c r="B2307" i="8" a="1"/>
  <c r="B2739" i="8" a="1"/>
  <c r="B734" i="8" a="1"/>
  <c r="B841" i="8" a="1"/>
  <c r="B2093" i="8" a="1"/>
  <c r="B1427" i="8" a="1"/>
  <c r="B417" i="8" a="1"/>
  <c r="B2482" i="8" a="1"/>
  <c r="B2365" i="8" a="1"/>
  <c r="B2998" i="8" a="1"/>
  <c r="B582" i="8" a="1"/>
  <c r="B3609" i="8" a="1"/>
  <c r="B42" i="8" a="1"/>
  <c r="B3057" i="8" a="1"/>
  <c r="B185" i="8" a="1"/>
  <c r="B3232" i="8" a="1"/>
  <c r="B2341" i="8" a="1"/>
  <c r="B1174" i="8" a="1"/>
  <c r="B2284" i="8" a="1"/>
  <c r="B1542" i="8" a="1"/>
  <c r="B2550" i="8" a="1"/>
  <c r="B456" i="8" a="1"/>
  <c r="B1074" i="8" a="1"/>
  <c r="B3561" i="8" a="1"/>
  <c r="B3346" i="8" a="1"/>
  <c r="B2085" i="8" a="1"/>
  <c r="B3535" i="8" a="1"/>
  <c r="B2649" i="8" a="1"/>
  <c r="B1778" i="8" a="1"/>
  <c r="B2018" i="8" a="1"/>
  <c r="B3155" i="8" a="1"/>
  <c r="B289" i="8" a="1"/>
  <c r="B361" i="8" a="1"/>
  <c r="B1054" i="8" a="1"/>
  <c r="B1415" i="8" a="1"/>
  <c r="B94" i="8" a="1"/>
  <c r="B2635" i="8" a="1"/>
  <c r="B2919" i="8" a="1"/>
  <c r="B2796" i="8" a="1"/>
  <c r="B2807" i="8" a="1"/>
  <c r="B539" i="8" a="1"/>
  <c r="B1781" i="8" a="1"/>
  <c r="B3333" i="8" a="1"/>
  <c r="B1978" i="8" a="1"/>
  <c r="B1208" i="8" a="1"/>
  <c r="B675" i="8" a="1"/>
  <c r="B2092" i="8" a="1"/>
  <c r="B245" i="8" a="1"/>
  <c r="B1744" i="8" a="1"/>
  <c r="B2456" i="8" a="1"/>
  <c r="B1606" i="8" a="1"/>
  <c r="B3023" i="8" a="1"/>
  <c r="B598" i="8" a="1"/>
  <c r="B2680" i="8" a="1"/>
  <c r="B644" i="8" a="1"/>
  <c r="B1414" i="8" a="1"/>
  <c r="B387" i="8" a="1"/>
  <c r="B902" i="8" a="1"/>
  <c r="B971" i="8" a="1"/>
  <c r="B3063" i="8" a="1"/>
  <c r="B611" i="8" a="1"/>
  <c r="B2901" i="8" a="1"/>
  <c r="B1690" i="8" a="1"/>
  <c r="B565" i="8" a="1"/>
  <c r="B1579" i="8" a="1"/>
  <c r="B392" i="8" a="1"/>
  <c r="B1984" i="8" a="1"/>
  <c r="B2719" i="8" a="1"/>
  <c r="B1306" i="8" a="1"/>
  <c r="B3167" i="8" a="1"/>
  <c r="B282" i="8" a="1"/>
  <c r="B769" i="8" a="1"/>
  <c r="B2650" i="8" a="1"/>
  <c r="B2315" i="8" a="1"/>
  <c r="B819" i="8" a="1"/>
  <c r="B2551" i="8" a="1"/>
  <c r="B1610" i="8" a="1"/>
  <c r="B3420" i="8" a="1"/>
  <c r="B2476" i="8" a="1"/>
  <c r="B3053" i="8" a="1"/>
  <c r="B2220" i="8" a="1"/>
  <c r="B1299" i="8" a="1"/>
  <c r="B195" i="8" a="1"/>
  <c r="B1877" i="8" a="1"/>
  <c r="B3411" i="8" a="1"/>
  <c r="B46" i="8" a="1"/>
  <c r="B3318" i="8" a="1"/>
  <c r="B3610" i="8" a="1"/>
  <c r="B2611" i="8" a="1"/>
  <c r="B2331" i="8" a="1"/>
  <c r="B1191" i="8" a="1"/>
  <c r="B238" i="8" a="1"/>
  <c r="B2722" i="8" a="1"/>
  <c r="B1865" i="8" a="1"/>
  <c r="B2488" i="8" a="1"/>
  <c r="B3309" i="8" a="1"/>
  <c r="B2721" i="8" a="1"/>
  <c r="B1498" i="8" a="1"/>
  <c r="B2801" i="8" a="1"/>
  <c r="B2787" i="8" a="1"/>
  <c r="B2656" i="8" a="1"/>
  <c r="B2671" i="8" a="1"/>
  <c r="B1923" i="8" a="1"/>
  <c r="B2737" i="8" a="1"/>
  <c r="B3154" i="8" a="1"/>
  <c r="B2316" i="8" a="1"/>
  <c r="B378" i="8" a="1"/>
  <c r="B2255" i="8" a="1"/>
  <c r="B3539" i="8" a="1"/>
  <c r="B2056" i="8" a="1"/>
  <c r="B1581" i="8" a="1"/>
  <c r="B1880" i="8" a="1"/>
  <c r="B2640" i="8" a="1"/>
  <c r="B2974" i="8" a="1"/>
  <c r="B906" i="8" a="1"/>
  <c r="B3643" i="8" a="1"/>
  <c r="B25" i="8" a="1"/>
  <c r="B2177" i="8" a="1"/>
  <c r="B2179" i="8" a="1"/>
  <c r="B490" i="8" a="1"/>
  <c r="B2838" i="8" a="1"/>
  <c r="B946" i="8" a="1"/>
  <c r="B3123" i="8" a="1"/>
  <c r="B2757" i="8" a="1"/>
  <c r="B3252" i="8" a="1"/>
  <c r="B1911" i="8" a="1"/>
  <c r="B1647" i="8" a="1"/>
  <c r="B2166" i="8" a="1"/>
  <c r="B1304" i="8" a="1"/>
  <c r="B2516" i="8" a="1"/>
  <c r="B2648" i="8" a="1"/>
  <c r="B2540" i="8" a="1"/>
  <c r="B870" i="8" a="1"/>
  <c r="B2034" i="8" a="1"/>
  <c r="B2384" i="8" a="1"/>
  <c r="B2873" i="8" a="1"/>
  <c r="B1664" i="8" a="1"/>
  <c r="B2013" i="8" a="1"/>
  <c r="B1914" i="8" a="1"/>
  <c r="B1127" i="8" a="1"/>
  <c r="B174" i="8" a="1"/>
  <c r="B110" i="8" a="1"/>
  <c r="B1685" i="8" a="1"/>
  <c r="B3290" i="8" a="1"/>
  <c r="B966" i="8" a="1"/>
  <c r="B2609" i="8" a="1"/>
  <c r="B1746" i="8" a="1"/>
  <c r="B320" i="8" a="1"/>
  <c r="B556" i="8" a="1"/>
  <c r="B665" i="8" a="1"/>
  <c r="B1370" i="8" a="1"/>
  <c r="B1510" i="8" a="1"/>
  <c r="B1721" i="8" a="1"/>
  <c r="B1155" i="8" a="1"/>
  <c r="B1184" i="8" a="1"/>
  <c r="B3558" i="8" a="1"/>
  <c r="B3430" i="8" a="1"/>
  <c r="B251" i="8" a="1"/>
  <c r="B3384" i="8" a="1"/>
  <c r="B458" i="8" a="1"/>
  <c r="B334" i="8" a="1"/>
  <c r="B323" i="8" a="1"/>
  <c r="B1010" i="8" a="1"/>
  <c r="B1373" i="8" a="1"/>
  <c r="B3334" i="8" a="1"/>
  <c r="B978" i="8" a="1"/>
  <c r="B2782" i="8" a="1"/>
  <c r="B2411" i="8" a="1"/>
  <c r="B1642" i="8" a="1"/>
  <c r="B2436" i="8" a="1"/>
  <c r="B3285" i="8" a="1"/>
  <c r="B2922" i="8" a="1"/>
  <c r="B3589" i="8" a="1"/>
  <c r="B2505" i="8" a="1"/>
  <c r="B728" i="8" a="1"/>
  <c r="B1261" i="8" a="1"/>
  <c r="B2375" i="8" a="1"/>
  <c r="B3137" i="8" a="1"/>
  <c r="B3466" i="8" a="1"/>
  <c r="B1823" i="8" a="1"/>
  <c r="B3051" i="8" a="1"/>
  <c r="B2728" i="8" a="1"/>
  <c r="B1037" i="8" a="1"/>
  <c r="B2055" i="8" a="1"/>
  <c r="B3305" i="8" a="1"/>
  <c r="B1678" i="8" a="1"/>
  <c r="B1506" i="8" a="1"/>
  <c r="B1167" i="8" a="1"/>
  <c r="B2419" i="8" a="1"/>
  <c r="B1177" i="8" a="1"/>
  <c r="B74" i="8" a="1"/>
  <c r="B1064" i="8" a="1"/>
  <c r="B1598" i="8" a="1"/>
  <c r="B2421" i="8" a="1"/>
  <c r="B2967" i="8" a="1"/>
  <c r="B3448" i="8" a="1"/>
  <c r="B3494" i="8" a="1"/>
  <c r="B960" i="8" a="1"/>
  <c r="B2136" i="8" a="1"/>
  <c r="B2803" i="8" a="1"/>
  <c r="B190" i="8" a="1"/>
  <c r="B3436" i="8" a="1"/>
  <c r="B1533" i="8" a="1"/>
  <c r="B2338" i="8" a="1"/>
  <c r="B540" i="8" a="1"/>
  <c r="B3505" i="8" a="1"/>
  <c r="B2923" i="8" a="1"/>
  <c r="B1226" i="8" a="1"/>
  <c r="B3387" i="8" a="1"/>
  <c r="B290" i="8" a="1"/>
  <c r="B1969" i="8" a="1"/>
  <c r="B3341" i="8" a="1"/>
  <c r="B357" i="8" a="1"/>
  <c r="B2272" i="8" a="1"/>
  <c r="B2119" i="8" a="1"/>
  <c r="B1265" i="8" a="1"/>
  <c r="B2234" i="8" a="1"/>
  <c r="B833" i="8" a="1"/>
  <c r="B3256" i="8" a="1"/>
  <c r="B3393" i="8" a="1"/>
  <c r="B744" i="8" a="1"/>
  <c r="B87" i="8" a="1"/>
  <c r="B3617" i="8" a="1"/>
  <c r="B1894" i="8" a="1"/>
  <c r="B2906" i="8" a="1"/>
  <c r="B11" i="8" a="1"/>
  <c r="B3597" i="8" a="1"/>
  <c r="B72" i="8" a="1"/>
  <c r="B1079" i="8" a="1"/>
  <c r="B202" i="8" a="1"/>
  <c r="B3035" i="8" a="1"/>
  <c r="B1501" i="8" a="1"/>
  <c r="B881" i="8" a="1"/>
  <c r="B1931" i="8" a="1"/>
  <c r="B1439" i="8" a="1"/>
  <c r="B1588" i="8" a="1"/>
  <c r="B73" i="8" a="1"/>
  <c r="B1593" i="8" a="1"/>
  <c r="B1435" i="8" a="1"/>
  <c r="B2686" i="8" a="1"/>
  <c r="B31" i="8" a="1"/>
  <c r="B1098" i="8" a="1"/>
  <c r="B47" i="8" a="1"/>
  <c r="B527" i="8" a="1"/>
  <c r="B3479" i="8" a="1"/>
  <c r="B2418" i="8" a="1"/>
  <c r="B1795" i="8" a="1"/>
  <c r="B1220" i="8" a="1"/>
  <c r="B9" i="8" a="1"/>
  <c r="B3342" i="8" a="1"/>
  <c r="B2424" i="8" a="1"/>
  <c r="B1887" i="8" a="1"/>
  <c r="B511" i="8" a="1"/>
  <c r="B1665" i="8" a="1"/>
  <c r="B2730" i="8" a="1"/>
  <c r="B2462" i="8" a="1"/>
  <c r="B1763" i="8" a="1"/>
  <c r="B3374" i="8" a="1"/>
  <c r="B2827" i="8" a="1"/>
  <c r="B1061" i="8" a="1"/>
  <c r="B642" i="8" a="1"/>
  <c r="B2392" i="8" a="1"/>
  <c r="B2329" i="8" a="1"/>
  <c r="B3115" i="8" a="1"/>
  <c r="B2829" i="8" a="1"/>
  <c r="B381" i="8" a="1"/>
  <c r="B2983" i="8" a="1"/>
  <c r="B2276" i="8" a="1"/>
  <c r="B3036" i="8" a="1"/>
  <c r="B2863" i="8" a="1"/>
  <c r="B989" i="8" a="1"/>
  <c r="B1616" i="8" a="1"/>
  <c r="B1421" i="8" a="1"/>
  <c r="B2067" i="8" a="1"/>
  <c r="B1267" i="8" a="1"/>
  <c r="B2252" i="8" a="1"/>
  <c r="B1792" i="8" a="1"/>
  <c r="B377" i="8" a="1"/>
  <c r="B799" i="8" a="1"/>
  <c r="B384" i="8" a="1"/>
  <c r="B3534" i="8" a="1"/>
  <c r="B3447" i="8" a="1"/>
  <c r="B19" i="8" a="1"/>
  <c r="B1409" i="8" a="1"/>
  <c r="B1328" i="8" a="1"/>
  <c r="B1981" i="8" a="1"/>
  <c r="B510" i="8" a="1"/>
  <c r="B2229" i="8" a="1"/>
  <c r="B1263" i="8" a="1"/>
  <c r="B2819" i="8" a="1"/>
  <c r="B2445" i="8" a="1"/>
  <c r="B1893" i="8" a="1"/>
  <c r="B143" i="8" a="1"/>
  <c r="B2169" i="8" a="1"/>
  <c r="B2798" i="8" a="1"/>
  <c r="B2951" i="8" a="1"/>
  <c r="B2924" i="8" a="1"/>
  <c r="B2927" i="8" a="1"/>
  <c r="B389" i="8" a="1"/>
  <c r="B1983" i="8" a="1"/>
  <c r="B24" i="8" a="1"/>
  <c r="B216" i="8" a="1"/>
  <c r="B3002" i="8" a="1"/>
  <c r="B504" i="8" a="1"/>
  <c r="B2699" i="8" a="1"/>
  <c r="B829" i="8" a="1"/>
  <c r="B679" i="8" a="1"/>
  <c r="B43" i="8" a="1"/>
  <c r="B2257" i="8" a="1"/>
  <c r="B1808" i="8" a="1"/>
  <c r="B3633" i="8" a="1"/>
  <c r="B32" i="8" a="1"/>
  <c r="B1179" i="8" a="1"/>
  <c r="B2762" i="8" a="1"/>
  <c r="B132" i="8" a="1"/>
  <c r="B3348" i="8" a="1"/>
  <c r="B927" i="8" a="1"/>
  <c r="B2584" i="8" a="1"/>
  <c r="B134" i="8" a="1"/>
  <c r="B2875" i="8" a="1"/>
  <c r="B1044" i="8" a="1"/>
  <c r="B1374" i="8" a="1"/>
  <c r="B3484" i="8" a="1"/>
  <c r="B2135" i="8" a="1"/>
  <c r="B1424" i="8" a="1"/>
  <c r="B347" i="8" a="1"/>
  <c r="B986" i="8" a="1"/>
  <c r="B2651" i="8" a="1"/>
  <c r="B2797" i="8" a="1"/>
  <c r="B2814" i="8" a="1"/>
  <c r="B1148" i="8" a="1"/>
  <c r="B632" i="8" a="1"/>
  <c r="B2627" i="8" a="1"/>
  <c r="B2052" i="8" a="1"/>
  <c r="B1248" i="8" a="1"/>
  <c r="B1813" i="8" a="1"/>
  <c r="B1320" i="8" a="1"/>
  <c r="B1007" i="8" a="1"/>
  <c r="B519" i="8" a="1"/>
  <c r="B115" i="8" a="1"/>
  <c r="B2221" i="8" a="1"/>
  <c r="B3347" i="8" a="1"/>
  <c r="B3419" i="8" a="1"/>
  <c r="B3258" i="8" a="1"/>
  <c r="B1631" i="8" a="1"/>
  <c r="B163" i="8" a="1"/>
  <c r="B2031" i="8" a="1"/>
  <c r="B3478" i="8" a="1"/>
  <c r="B3201" i="8" a="1"/>
  <c r="B1715" i="8" a="1"/>
  <c r="B1176" i="8" a="1"/>
  <c r="B3351" i="8" a="1"/>
  <c r="B1494" i="8" a="1"/>
  <c r="B2281" i="8" a="1"/>
  <c r="B1333" i="8" a="1"/>
  <c r="B655" i="8" a="1"/>
  <c r="B1578" i="8" a="1"/>
  <c r="B359" i="8" a="1"/>
  <c r="B793" i="8" a="1"/>
  <c r="B3623" i="8" a="1"/>
  <c r="B1489" i="8" a="1"/>
  <c r="B3527" i="8" a="1"/>
  <c r="B85" i="8" a="1"/>
  <c r="B2846" i="8" a="1"/>
  <c r="B1552" i="8" a="1"/>
  <c r="B1096" i="8" a="1"/>
  <c r="B3473" i="8" a="1"/>
  <c r="B1052" i="8" a="1"/>
  <c r="B2694" i="8" a="1"/>
  <c r="B2792" i="8" a="1"/>
  <c r="B425" i="8" a="1"/>
  <c r="B3325" i="8" a="1"/>
  <c r="B2867" i="8" a="1"/>
  <c r="B1740" i="8" a="1"/>
  <c r="B6" i="8" a="1"/>
  <c r="B1517" i="8" a="1"/>
  <c r="B3330" i="8" a="1"/>
  <c r="B2984" i="8" a="1"/>
  <c r="B531" i="8" a="1"/>
  <c r="B1080" i="8" a="1"/>
  <c r="B2950" i="8" a="1"/>
  <c r="B909" i="8" a="1"/>
  <c r="B1701" i="8" a="1"/>
  <c r="B1886" i="8" a="1"/>
  <c r="B724" i="8" a="1"/>
  <c r="B2334" i="8" a="1"/>
  <c r="B55" i="8" a="1"/>
  <c r="B2183" i="8" a="1"/>
  <c r="B518" i="8" a="1"/>
  <c r="B762" i="8" a="1"/>
  <c r="B3603" i="8" a="1"/>
  <c r="B1135" i="8" a="1"/>
  <c r="B439" i="8" a="1"/>
  <c r="B837" i="8" a="1"/>
  <c r="B1338" i="8" a="1"/>
  <c r="B1463" i="8" a="1"/>
  <c r="B3592" i="8" a="1"/>
  <c r="B1101" i="8" a="1"/>
  <c r="B1587" i="8" a="1"/>
  <c r="B1723" i="8" a="1"/>
  <c r="B2393" i="8" a="1"/>
  <c r="B1436" i="8" a="1"/>
  <c r="B2992" i="8" a="1"/>
  <c r="B2121" i="8" a="1"/>
  <c r="B2931" i="8" a="1"/>
  <c r="B1283" i="8" a="1"/>
  <c r="B1400" i="8" a="1"/>
  <c r="B3056" i="8" a="1"/>
  <c r="B29" i="8" a="1"/>
  <c r="B3146" i="8" a="1"/>
  <c r="B2363" i="8" a="1"/>
  <c r="B2425" i="8" a="1"/>
  <c r="B3323" i="8" a="1"/>
  <c r="B2841" i="8" a="1"/>
  <c r="B2116" i="8" a="1"/>
  <c r="B1309" i="8" a="1"/>
  <c r="B102" i="8" a="1"/>
  <c r="B637" i="8" a="1"/>
  <c r="B1025" i="8" a="1"/>
  <c r="B1929" i="8" a="1"/>
  <c r="B1107" i="8" a="1"/>
  <c r="B2628" i="8" a="1"/>
  <c r="B3562" i="8" a="1"/>
  <c r="B1708" i="8" a="1"/>
  <c r="B3432" i="8" a="1"/>
  <c r="B1115" i="8" a="1"/>
  <c r="B1071" i="8" a="1"/>
  <c r="B2647" i="8" a="1"/>
  <c r="B558" i="8" a="1"/>
  <c r="B2112" i="8" a="1"/>
  <c r="B683" i="8" a="1"/>
  <c r="B814" i="8" a="1"/>
  <c r="B3288" i="8" a="1"/>
  <c r="B2700" i="8" a="1"/>
  <c r="B3198" i="8" a="1"/>
  <c r="B2947" i="8" a="1"/>
  <c r="B2096" i="8" a="1"/>
  <c r="B1509" i="8" a="1"/>
  <c r="B1774" i="8" a="1"/>
  <c r="B3565" i="8" a="1"/>
  <c r="B3234" i="8" a="1"/>
  <c r="B1620" i="8" a="1"/>
  <c r="B3586" i="8" a="1"/>
  <c r="B961" i="8" a="1"/>
  <c r="B2530" i="8" a="1"/>
  <c r="B1899" i="8" a="1"/>
  <c r="B2058" i="8" a="1"/>
  <c r="B1622" i="8" a="1"/>
  <c r="B3460" i="8" a="1"/>
  <c r="B362" i="8" a="1"/>
  <c r="B139" i="8" a="1"/>
  <c r="B2020" i="8" a="1"/>
  <c r="B2496" i="8" a="1"/>
  <c r="B219" i="8" a="1"/>
  <c r="B257" i="8" a="1"/>
  <c r="B2697" i="8" a="1"/>
  <c r="B2812" i="8" a="1"/>
  <c r="B615" i="8" a="1"/>
  <c r="B1159" i="8" a="1"/>
  <c r="B3639" i="8" a="1"/>
  <c r="B2620" i="8" a="1"/>
  <c r="B2604" i="8" a="1"/>
  <c r="B2184" i="8" a="1"/>
  <c r="B2625" i="8" a="1"/>
  <c r="B2668" i="8" a="1"/>
  <c r="B1698" i="8" a="1"/>
  <c r="B1495" i="8" a="1"/>
  <c r="B345" i="8" a="1"/>
  <c r="B666" i="8" a="1"/>
  <c r="B3433" i="8" a="1"/>
  <c r="B2536" i="8" a="1"/>
  <c r="B1388" i="8" a="1"/>
  <c r="B1943" i="8" a="1"/>
  <c r="B2836" i="8" a="1"/>
  <c r="B48" i="8" a="1"/>
  <c r="B2259" i="8" a="1"/>
  <c r="B2174" i="8" a="1"/>
  <c r="B2565" i="8" a="1"/>
  <c r="B1674" i="8" a="1"/>
  <c r="B3335" i="8" a="1"/>
  <c r="B1662" i="8" a="1"/>
  <c r="B252" i="8" a="1"/>
  <c r="B1626" i="8" a="1"/>
  <c r="B344" i="8" a="1"/>
  <c r="B704" i="8" a="1"/>
  <c r="B267" i="8" a="1"/>
  <c r="B703" i="8" a="1"/>
  <c r="B1205" i="8" a="1"/>
  <c r="B1540" i="8" a="1"/>
  <c r="B2642" i="8" a="1"/>
  <c r="B3041" i="8" a="1"/>
  <c r="B783" i="8" a="1"/>
  <c r="B861" i="8" a="1"/>
  <c r="B3010" i="8" a="1"/>
  <c r="B3442" i="8" a="1"/>
  <c r="B37" i="8" a="1"/>
  <c r="B1522" i="8" a="1"/>
  <c r="B2624" i="8" a="1"/>
  <c r="B3119" i="8" a="1"/>
  <c r="B521" i="8" a="1"/>
  <c r="B3306" i="8" a="1"/>
  <c r="B1673" i="8" a="1"/>
  <c r="B385" i="8" a="1"/>
  <c r="B738" i="8" a="1"/>
  <c r="B1247" i="8" a="1"/>
  <c r="B1835" i="8" a="1"/>
  <c r="B680" i="8" a="1"/>
  <c r="B2912" i="8" a="1"/>
  <c r="B244" i="8" a="1"/>
  <c r="B3441" i="8" a="1"/>
  <c r="B2844" i="8" a="1"/>
  <c r="B804" i="8" a="1"/>
  <c r="B197" i="8" a="1"/>
  <c r="B1209" i="8" a="1"/>
  <c r="B3536" i="8" a="1"/>
  <c r="B3229" i="8" a="1"/>
  <c r="B2985" i="8" a="1"/>
  <c r="B1794" i="8" a="1"/>
  <c r="B1546" i="8" a="1"/>
  <c r="B925" i="8" a="1"/>
  <c r="B1395" i="8" a="1"/>
  <c r="B1361" i="8" a="1"/>
  <c r="B893" i="8" a="1"/>
  <c r="B2233" i="8" a="1"/>
  <c r="B2731" i="8" a="1"/>
  <c r="B363" i="8" a="1"/>
  <c r="B2060" i="8" a="1"/>
  <c r="B2861" i="8" a="1"/>
  <c r="B2051" i="8" a="1"/>
  <c r="B96" i="8" a="1"/>
  <c r="B3475" i="8" a="1"/>
  <c r="B1836" i="8" a="1"/>
  <c r="B131" i="8" a="1"/>
  <c r="B720" i="8" a="1"/>
  <c r="B2015" i="8" a="1"/>
  <c r="B173" i="8" a="1"/>
  <c r="B712" i="8" a="1"/>
  <c r="B2622" i="8" a="1"/>
  <c r="B522" i="8" a="1"/>
  <c r="B1726" i="8" a="1"/>
  <c r="B515" i="8" a="1"/>
  <c r="B1786" i="8" a="1"/>
  <c r="B153" i="8" a="1"/>
  <c r="B1476" i="8" a="1"/>
  <c r="B1244" i="8" a="1"/>
  <c r="B1955" i="8" a="1"/>
  <c r="B810" i="8" a="1"/>
  <c r="B668" i="8" a="1"/>
  <c r="B2203" i="8" a="1"/>
  <c r="B1621" i="8" a="1"/>
  <c r="B1186" i="8" a="1"/>
  <c r="B2937" i="8" a="1"/>
  <c r="B1273" i="8" a="1"/>
  <c r="B1940" i="8" a="1"/>
  <c r="B2791" i="8" a="1"/>
  <c r="B890" i="8" a="1"/>
  <c r="B3278" i="8" a="1"/>
  <c r="B3265" i="8" a="1"/>
  <c r="B1490" i="8" a="1"/>
  <c r="B2506" i="8" a="1"/>
  <c r="B181" i="8" a="1"/>
  <c r="B514" i="8" a="1"/>
  <c r="B924" i="8" a="1"/>
  <c r="B3153" i="8" a="1"/>
  <c r="B3510" i="8" a="1"/>
  <c r="B12" i="8" a="1"/>
  <c r="B3435" i="8" a="1"/>
  <c r="B64" i="8" a="1"/>
  <c r="B3047" i="8" a="1"/>
  <c r="B1433" i="8" a="1"/>
  <c r="B2995" i="8" a="1"/>
  <c r="B3382" i="8" a="1"/>
  <c r="B54" i="8" a="1"/>
  <c r="B1431" i="8" a="1"/>
  <c r="B1024" i="8" a="1"/>
  <c r="B1011" i="8" a="1"/>
  <c r="B2484" i="8" a="1"/>
  <c r="B3000" i="8" a="1"/>
  <c r="B2077" i="8" a="1"/>
  <c r="B1461" i="8" a="1"/>
  <c r="B1224" i="8" a="1"/>
  <c r="B3522" i="8" a="1"/>
  <c r="B1566" i="8" a="1"/>
  <c r="B3030" i="8" a="1"/>
  <c r="B3453" i="8" a="1"/>
  <c r="B3362" i="8" a="1"/>
  <c r="B3564" i="8" a="1"/>
  <c r="B3223" i="8" a="1"/>
  <c r="B3230" i="8" a="1"/>
  <c r="B65" i="8" a="1"/>
  <c r="B1459" i="8" a="1"/>
  <c r="B2038" i="8" a="1"/>
  <c r="B631" i="8" a="1"/>
  <c r="B1802" i="8" a="1"/>
  <c r="B3043" i="8" a="1"/>
  <c r="B39" i="8" a="1"/>
  <c r="B2785" i="8" a="1"/>
  <c r="B3031" i="8" a="1"/>
  <c r="B3465" i="8" a="1"/>
  <c r="B3025" i="8" a="1"/>
  <c r="B305" i="8" a="1"/>
  <c r="B482" i="8" a="1"/>
  <c r="B346" i="8" a="1"/>
  <c r="B1406" i="8" a="1"/>
  <c r="B2509" i="8" a="1"/>
  <c r="B1092" i="8" a="1"/>
  <c r="B2858" i="8" a="1"/>
  <c r="B3014" i="8" a="1"/>
  <c r="B1298" i="8" a="1"/>
  <c r="B1062" i="8" a="1"/>
  <c r="B3054" i="8" a="1"/>
  <c r="B1733" i="8" a="1"/>
  <c r="B1033" i="8" a="1"/>
  <c r="B2966" i="8" a="1"/>
  <c r="B2501" i="8" a="1"/>
  <c r="B26" i="8" a="1"/>
  <c r="B3415" i="8" a="1"/>
  <c r="B2470" i="8" a="1"/>
  <c r="B1156" i="8" a="1"/>
  <c r="B2021" i="8" a="1"/>
  <c r="B2473" i="8" a="1"/>
  <c r="B2267" i="8" a="1"/>
  <c r="B3574" i="8" a="1"/>
  <c r="B732" i="8" a="1"/>
  <c r="B605" i="8" a="1"/>
  <c r="B2049" i="8" a="1"/>
  <c r="B2888" i="8" a="1"/>
  <c r="B3127" i="8" a="1"/>
  <c r="B2011" i="8" a="1"/>
  <c r="B3582" i="8" a="1"/>
  <c r="B50" i="8" a="1"/>
  <c r="B2251" i="8" a="1"/>
  <c r="B2380" i="8" a="1"/>
  <c r="B747" i="8" a="1"/>
  <c r="B2693" i="8" a="1"/>
  <c r="B2696" i="8" a="1"/>
  <c r="B3078" i="8" a="1"/>
  <c r="B2475" i="8" a="1"/>
  <c r="B1962" i="8" a="1"/>
  <c r="B807" i="8" a="1"/>
  <c r="B2263" i="8" a="1"/>
  <c r="B541" i="8" a="1"/>
  <c r="B2108" i="8" a="1"/>
  <c r="B3512" i="8" a="1"/>
  <c r="B1375" i="8" a="1"/>
  <c r="B942" i="8" a="1"/>
  <c r="B3545" i="8" a="1"/>
  <c r="B1187" i="8" a="1"/>
  <c r="B2467" i="8" a="1"/>
  <c r="B3003" i="8" a="1"/>
  <c r="B386" i="8" a="1"/>
  <c r="B2463" i="8" a="1"/>
  <c r="B3533" i="8" a="1"/>
  <c r="B164" i="8" a="1"/>
  <c r="B2372" i="8" a="1"/>
  <c r="B758" i="8" a="1"/>
  <c r="B1048" i="8" a="1"/>
  <c r="B1654" i="8" a="1"/>
  <c r="B2175" i="8" a="1"/>
  <c r="B177" i="8" a="1"/>
  <c r="B307" i="8" a="1"/>
  <c r="B3061" i="8" a="1"/>
  <c r="B466" i="8" a="1"/>
  <c r="B729" i="8" a="1"/>
  <c r="B1965" i="8" a="1"/>
  <c r="B3358" i="8" a="1"/>
  <c r="B2519" i="8" a="1"/>
  <c r="B548" i="8" a="1"/>
  <c r="B1104" i="8" a="1"/>
  <c r="B2953" i="8" a="1"/>
  <c r="B194" i="8" a="1"/>
  <c r="B1682" i="8" a="1"/>
  <c r="B2870" i="8" a="1"/>
  <c r="B1192" i="8" a="1"/>
  <c r="B364" i="8" a="1"/>
  <c r="B3624" i="8" a="1"/>
  <c r="B1331" i="8" a="1"/>
  <c r="B2400" i="8" a="1"/>
  <c r="B3486" i="8" a="1"/>
  <c r="B2773" i="8" a="1"/>
  <c r="B1954" i="8" a="1"/>
  <c r="B355" i="8" a="1"/>
  <c r="B3307" i="8" a="1"/>
  <c r="B2471" i="8" a="1"/>
  <c r="B3225" i="8" a="1"/>
  <c r="B3049" i="8" a="1"/>
  <c r="B3143" i="8" a="1"/>
  <c r="B1900" i="8" a="1"/>
  <c r="B863" i="8" a="1"/>
  <c r="B2458" i="8" a="1"/>
  <c r="B2491" i="8" a="1"/>
  <c r="B2003" i="8" a="1"/>
  <c r="B1789" i="8" a="1"/>
  <c r="B436" i="8" a="1"/>
  <c r="B2586" i="8" a="1"/>
  <c r="B2839" i="8" a="1"/>
  <c r="B58" i="8" a="1"/>
  <c r="B2139" i="8" a="1"/>
  <c r="B1238" i="8" a="1"/>
  <c r="B2336" i="8" a="1"/>
  <c r="B3606" i="8" a="1"/>
  <c r="B2244" i="8" a="1"/>
  <c r="B1454" i="8" a="1"/>
  <c r="B3114" i="8" a="1"/>
  <c r="B2492" i="8" a="1"/>
  <c r="B3508" i="8" a="1"/>
  <c r="B3540" i="8" a="1"/>
  <c r="B281" i="8" a="1"/>
  <c r="B1222" i="8" a="1"/>
  <c r="B3563" i="8" a="1"/>
  <c r="B2734" i="8" a="1"/>
  <c r="B2704" i="8" a="1"/>
  <c r="B3032" i="8" a="1"/>
  <c r="B2082" i="8" a="1"/>
  <c r="B341" i="8" a="1"/>
  <c r="B1564" i="8" a="1"/>
  <c r="B2070" i="8" a="1"/>
  <c r="B3250" i="8" a="1"/>
  <c r="B2993" i="8" a="1"/>
  <c r="B2558" i="8" a="1"/>
  <c r="B1450" i="8" a="1"/>
  <c r="B2326" i="8" a="1"/>
  <c r="B1765" i="8" a="1"/>
  <c r="B1432" i="8" a="1"/>
  <c r="B2113" i="8" a="1"/>
  <c r="B576" i="8" a="1"/>
  <c r="B297" i="8" a="1"/>
  <c r="B1049" i="8" a="1"/>
  <c r="B2531" i="8" a="1"/>
  <c r="B465" i="8" a="1"/>
  <c r="B792" i="8" a="1"/>
  <c r="B1555" i="8" a="1"/>
  <c r="B2433" i="8" a="1"/>
  <c r="B1195" i="8" a="1"/>
  <c r="B2232" i="8" a="1"/>
  <c r="B3136" i="8" a="1"/>
  <c r="B142" i="8" a="1"/>
  <c r="B1020" i="8" a="1"/>
  <c r="B193" i="8" a="1"/>
  <c r="B517" i="8" a="1"/>
  <c r="B3548" i="8" a="1"/>
  <c r="B1562" i="8" a="1"/>
  <c r="B484" i="8" a="1"/>
  <c r="B1491" i="8" a="1"/>
  <c r="B3227" i="8" a="1"/>
  <c r="B1848" i="8" a="1"/>
  <c r="B1523" i="8" a="1"/>
  <c r="B1710" i="8" a="1"/>
  <c r="B2346" i="8" a="1"/>
  <c r="B2133" i="8" a="1"/>
  <c r="B2822" i="8" a="1"/>
  <c r="B695" i="8" a="1"/>
  <c r="B1601" i="8" a="1"/>
  <c r="B314" i="8" a="1"/>
  <c r="B2494" i="8" a="1"/>
  <c r="B1153" i="8" a="1"/>
  <c r="B3109" i="8" a="1"/>
  <c r="B2010" i="8" a="1"/>
  <c r="B304" i="8" a="1"/>
  <c r="B2915" i="8" a="1"/>
  <c r="B898" i="8" a="1"/>
  <c r="B3474" i="8" a="1"/>
  <c r="B1714" i="8" a="1"/>
  <c r="B1798" i="8" a="1"/>
  <c r="B303" i="8" a="1"/>
  <c r="B922" i="8" a="1"/>
  <c r="B1936" i="8" a="1"/>
  <c r="B3099" i="8" a="1"/>
  <c r="B3389" i="8" a="1"/>
  <c r="B2940" i="8" a="1"/>
  <c r="B3008" i="8" a="1"/>
  <c r="B2726" i="8" a="1"/>
  <c r="B22" i="8" a="1"/>
  <c r="B3108" i="8" a="1"/>
  <c r="B3326" i="8" a="1"/>
  <c r="B1761" i="8" a="1"/>
  <c r="B3191" i="8" a="1"/>
  <c r="B2035" i="8" a="1"/>
  <c r="B1737" i="8" a="1"/>
  <c r="B1711" i="8" a="1"/>
  <c r="B1852" i="8" a="1"/>
  <c r="B497" i="8" a="1"/>
  <c r="B3524" i="8" a="1"/>
  <c r="B940" i="8" a="1"/>
  <c r="B1920" i="8" a="1"/>
  <c r="B2534" i="8" a="1"/>
  <c r="B1399" i="8" a="1"/>
  <c r="B3163" i="8" a="1"/>
  <c r="B3482" i="8" a="1"/>
  <c r="B141" i="8" a="1"/>
  <c r="B3438" i="8" a="1"/>
  <c r="B1251" i="8" a="1"/>
  <c r="B2934" i="8" a="1"/>
  <c r="B2512" i="8" a="1"/>
  <c r="B3336" i="8" a="1"/>
  <c r="B570" i="8" a="1"/>
  <c r="B3205" i="8" a="1"/>
  <c r="B302" i="8" a="1"/>
  <c r="B1225" i="8" a="1"/>
  <c r="B3488" i="8" a="1"/>
  <c r="B2590" i="8" a="1"/>
  <c r="B2347" i="8" a="1"/>
  <c r="B1553" i="8" a="1"/>
  <c r="B2600" i="8" a="1"/>
  <c r="B2618" i="8" a="1"/>
  <c r="B2039" i="8" a="1"/>
  <c r="B2498" i="8" a="1"/>
  <c r="B1324" i="8" a="1"/>
  <c r="B1627" i="8" a="1"/>
  <c r="B2818" i="8" a="1"/>
  <c r="B3241" i="8" a="1"/>
  <c r="B1728" i="8" a="1"/>
  <c r="B1884" i="8" a="1"/>
  <c r="B1534" i="8" a="1"/>
  <c r="B240" i="8" a="1"/>
  <c r="B1700" i="8" a="1"/>
  <c r="B3216" i="8" a="1"/>
  <c r="B629" i="8" a="1"/>
  <c r="B1069" i="8" a="1"/>
  <c r="B2288" i="8" a="1"/>
  <c r="B1085" i="8" a="1"/>
  <c r="B2806" i="8" a="1"/>
  <c r="B1872" i="8" a="1"/>
  <c r="B3255" i="8" a="1"/>
  <c r="B2716" i="8" a="1"/>
  <c r="B2664" i="8" a="1"/>
  <c r="B1519" i="8" a="1"/>
  <c r="B2826" i="8" a="1"/>
  <c r="B686" i="8" a="1"/>
  <c r="B775" i="8" a="1"/>
  <c r="B2568" i="8" a="1"/>
  <c r="B2083" i="8" a="1"/>
  <c r="B943" i="8" a="1"/>
  <c r="B2929" i="8" a="1"/>
  <c r="B116" i="8" a="1"/>
  <c r="B1221" i="8" a="1"/>
  <c r="B3483" i="8" a="1"/>
  <c r="B82" i="8" a="1"/>
  <c r="B503" i="8" a="1"/>
  <c r="B2210" i="8" a="1"/>
  <c r="B3247" i="8" a="1"/>
  <c r="B3222" i="8" a="1"/>
  <c r="B1589" i="8" a="1"/>
  <c r="B3366" i="8" a="1"/>
  <c r="B931" i="8" a="1"/>
  <c r="B1582" i="8" a="1"/>
  <c r="B508" i="8" a="1"/>
  <c r="B2935" i="8" a="1"/>
  <c r="B2044" i="8" a="1"/>
  <c r="B3042" i="8" a="1"/>
  <c r="B935" i="8" a="1"/>
  <c r="B3133" i="8" a="1"/>
  <c r="B2215" i="8" a="1"/>
  <c r="B1287" i="8" a="1"/>
  <c r="B2171" i="8" a="1"/>
  <c r="B1129" i="8" a="1"/>
  <c r="B105" i="8" a="1"/>
  <c r="B2636" i="8" a="1"/>
  <c r="B2871" i="8" a="1"/>
  <c r="B2302" i="8" a="1"/>
  <c r="B760" i="8" a="1"/>
  <c r="B1917" i="8" a="1"/>
  <c r="B752" i="8" a="1"/>
  <c r="B2567" i="8" a="1"/>
  <c r="B2661" i="8" a="1"/>
  <c r="B1364" i="8" a="1"/>
  <c r="B109" i="8" a="1"/>
  <c r="B516" i="8" a="1"/>
  <c r="B333" i="8" a="1"/>
  <c r="B716" i="8" a="1"/>
  <c r="B2522" i="8" a="1"/>
  <c r="B990" i="8" a="1"/>
  <c r="B108" i="8" a="1"/>
  <c r="B547" i="8" a="1"/>
  <c r="B2086" i="8" a="1"/>
  <c r="B1772" i="8" a="1"/>
  <c r="B951" i="8" a="1"/>
  <c r="B3391" i="8" a="1"/>
  <c r="B955" i="8" a="1"/>
  <c r="B1671" i="8" a="1"/>
  <c r="B1384" i="8" a="1"/>
  <c r="B2310" i="8" a="1"/>
  <c r="B1277" i="8" a="1"/>
  <c r="B1456" i="8" a="1"/>
  <c r="B2499" i="8" a="1"/>
  <c r="B2538" i="8" a="1"/>
  <c r="B639" i="8" a="1"/>
  <c r="B1738" i="8" a="1"/>
  <c r="B3026" i="8" a="1"/>
  <c r="B1773" i="8" a="1"/>
  <c r="B2019" i="8" a="1"/>
  <c r="B1412" i="8" a="1"/>
  <c r="B2732" i="8" a="1"/>
  <c r="B235" i="8" a="1"/>
  <c r="B882" i="8" a="1"/>
  <c r="B283" i="8" a="1"/>
  <c r="B536" i="8" a="1"/>
  <c r="B2261" i="8" a="1"/>
  <c r="B474" i="8" a="1"/>
  <c r="B706" i="8" a="1"/>
  <c r="B1595" i="8" a="1"/>
  <c r="B342" i="8" a="1"/>
  <c r="B759" i="8" a="1"/>
  <c r="B2450" i="8" a="1"/>
  <c r="B2653" i="8" a="1"/>
  <c r="B1022" i="8" a="1"/>
  <c r="B834" i="8" a="1"/>
  <c r="B189" i="8" a="1"/>
  <c r="B266" i="8" a="1"/>
  <c r="B739" i="8" a="1"/>
  <c r="B1770" i="8" a="1"/>
  <c r="B3576" i="8" a="1"/>
  <c r="B691" i="8" a="1"/>
  <c r="B2502" i="8" a="1"/>
  <c r="B433" i="8" a="1"/>
  <c r="B1840" i="8" a="1"/>
  <c r="B204" i="8" a="1"/>
  <c r="B1875" i="8" a="1"/>
  <c r="B3226" i="8" a="1"/>
  <c r="B1196" i="8" a="1"/>
  <c r="B485" i="8" a="1"/>
  <c r="B1089" i="8" a="1"/>
  <c r="B2200" i="8" a="1"/>
  <c r="B3240" i="8" a="1"/>
  <c r="B1029" i="8" a="1"/>
  <c r="B1068" i="8" a="1"/>
  <c r="B1382" i="8" a="1"/>
  <c r="B2311" i="8" a="1"/>
  <c r="B1416" i="8" a="1"/>
  <c r="B1531" i="8" a="1"/>
  <c r="B1939" i="8" a="1"/>
  <c r="B2772" i="8" a="1"/>
  <c r="B1090" i="8" a="1"/>
  <c r="B3301" i="8" a="1"/>
  <c r="B1202" i="8" a="1"/>
  <c r="B974" i="8" a="1"/>
  <c r="B563" i="8" a="1"/>
  <c r="B848" i="8" a="1"/>
  <c r="B2163" i="8" a="1"/>
  <c r="B2398" i="8" a="1"/>
  <c r="B2297" i="8" a="1"/>
  <c r="B2711" i="8" a="1"/>
  <c r="B1109" i="8" a="1"/>
  <c r="B1775" i="8" a="1"/>
  <c r="B2667" i="8" a="1"/>
  <c r="B2610" i="8" a="1"/>
  <c r="B1125" i="8" a="1"/>
  <c r="B3458" i="8" a="1"/>
  <c r="B672" i="8" a="1"/>
  <c r="B3614" i="8" a="1"/>
  <c r="B3528" i="8" a="1"/>
  <c r="B2187" i="8" a="1"/>
  <c r="B1219" i="8" a="1"/>
  <c r="B1326" i="8" a="1"/>
  <c r="B324" i="8" a="1"/>
  <c r="B3520" i="8" a="1"/>
  <c r="B555" i="8" a="1"/>
  <c r="B206" i="8" a="1"/>
  <c r="B2466" i="8" a="1"/>
  <c r="B1521" i="8" a="1"/>
  <c r="B1008" i="8" a="1"/>
  <c r="B2197" i="8" a="1"/>
  <c r="B1717" i="8" a="1"/>
  <c r="B1218" i="8" a="1"/>
  <c r="B1898" i="8" a="1"/>
  <c r="B899" i="8" a="1"/>
  <c r="B3560" i="8" a="1"/>
  <c r="B499" i="8" a="1"/>
  <c r="B2188" i="8" a="1"/>
  <c r="B1693" i="8" a="1"/>
  <c r="B3331" i="8" a="1"/>
  <c r="B2765" i="8" a="1"/>
  <c r="B3322" i="8" a="1"/>
  <c r="B1070" i="8" a="1"/>
  <c r="B2524" i="8" a="1"/>
  <c r="B210" i="8" a="1"/>
  <c r="B1139" i="8" a="1"/>
  <c r="B1563" i="8" a="1"/>
  <c r="B2088" i="8" a="1"/>
  <c r="B2665" i="8" a="1"/>
  <c r="B1154" i="8" a="1"/>
  <c r="B3268" i="8" a="1"/>
  <c r="B822" i="8" a="1"/>
  <c r="B1827" i="8" a="1"/>
  <c r="B2250" i="8" a="1"/>
  <c r="B2367" i="8" a="1"/>
  <c r="B2879" i="8" a="1"/>
  <c r="B1160" i="8" a="1"/>
  <c r="B1134" i="8" a="1"/>
  <c r="B2222" i="8" a="1"/>
  <c r="B2050" i="8" a="1"/>
  <c r="B2299" i="8" a="1"/>
  <c r="B3431" i="8" a="1"/>
  <c r="B569" i="8" a="1"/>
  <c r="B1838" i="8" a="1"/>
  <c r="B494" i="8" a="1"/>
  <c r="B2101" i="8" a="1"/>
  <c r="B2994" i="8" a="1"/>
  <c r="B3651" i="8" a="1"/>
  <c r="B427" i="8" a="1"/>
  <c r="B330" i="8" a="1"/>
  <c r="B2330" i="8" a="1"/>
  <c r="B3416" i="8" a="1"/>
  <c r="B1403" i="8" a="1"/>
  <c r="B220" i="8" a="1"/>
  <c r="B2542" i="8" a="1"/>
  <c r="B2149" i="8" a="1"/>
  <c r="B2800" i="8" a="1"/>
  <c r="B442" i="8" a="1"/>
  <c r="B766" i="8" a="1"/>
  <c r="B561" i="8" a="1"/>
  <c r="B2245" i="8" a="1"/>
  <c r="B3555" i="8" a="1"/>
  <c r="B168" i="8" a="1"/>
  <c r="B2226" i="8" a="1"/>
  <c r="B1023" i="8" a="1"/>
  <c r="B2918" i="8" a="1"/>
  <c r="B1630" i="8" a="1"/>
  <c r="B1612" i="8" a="1"/>
  <c r="B2833" i="8" a="1"/>
  <c r="B2767" i="8" a="1"/>
  <c r="B2460" i="8" a="1"/>
  <c r="B965" i="8" a="1"/>
  <c r="B264" i="8" a="1"/>
  <c r="B2583" i="8" a="1"/>
  <c r="B3320" i="8" a="1"/>
  <c r="B2213" i="8" a="1"/>
  <c r="B390" i="8" a="1"/>
  <c r="B905" i="8" a="1"/>
  <c r="B1999" i="8" a="1"/>
  <c r="B947" i="8" a="1"/>
  <c r="B1667" i="8" a="1"/>
  <c r="B459" i="8" a="1"/>
  <c r="B3392" i="8" a="1"/>
  <c r="B3045" i="8" a="1"/>
  <c r="B2913" i="8" a="1"/>
  <c r="B2613" i="8" a="1"/>
  <c r="B162" i="8" a="1"/>
  <c r="B1855" i="8" a="1"/>
  <c r="B475" i="8" a="1"/>
  <c r="B2708" i="8" a="1"/>
  <c r="B2720" i="8" a="1"/>
  <c r="B1083" i="8" a="1"/>
  <c r="B3642" i="8" a="1"/>
  <c r="B959" i="8" a="1"/>
  <c r="B3140" i="8" a="1"/>
  <c r="B1413" i="8" a="1"/>
  <c r="B2185" i="8" a="1"/>
  <c r="B1190" i="8" a="1"/>
  <c r="B1274" i="8" a="1"/>
  <c r="B2091" i="8" a="1"/>
  <c r="B854" i="8" a="1"/>
  <c r="B1963" i="8" a="1"/>
  <c r="B2898" i="8" a="1"/>
  <c r="B2754" i="8" a="1"/>
  <c r="B606" i="8" a="1"/>
  <c r="B568" i="8" a="1"/>
  <c r="B535" i="8" a="1"/>
  <c r="B2957" i="8" a="1"/>
  <c r="B203" i="8" a="1"/>
  <c r="B1805" i="8" a="1"/>
  <c r="B2459" i="8" a="1"/>
  <c r="B1908" i="8" a="1"/>
  <c r="B2971" i="8" a="1"/>
  <c r="B3400" i="8" a="1"/>
  <c r="B3497" i="8" a="1"/>
  <c r="B1672" i="8" a="1"/>
  <c r="B617" i="8" a="1"/>
  <c r="B2713" i="8" a="1"/>
  <c r="B3595" i="8" a="1"/>
  <c r="B3220" i="8" a="1"/>
  <c r="B2394" i="8" a="1"/>
  <c r="B2857" i="8" a="1"/>
  <c r="B462" i="8" a="1"/>
  <c r="B2896" i="8" a="1"/>
  <c r="B1111" i="8" a="1"/>
  <c r="B326" i="8" a="1"/>
  <c r="B1856" i="8" a="1"/>
  <c r="B1095" i="8" a="1"/>
  <c r="B3523" i="8" a="1"/>
  <c r="B934" i="8" a="1"/>
  <c r="B2999" i="8" a="1"/>
  <c r="B1358" i="8" a="1"/>
  <c r="B798" i="8" a="1"/>
  <c r="B2670" i="8" a="1"/>
  <c r="B3283" i="8" a="1"/>
  <c r="B1468" i="8" a="1"/>
  <c r="B985" i="8" a="1"/>
  <c r="B2897" i="8" a="1"/>
  <c r="B3571" i="8" a="1"/>
  <c r="B2368" i="8" a="1"/>
  <c r="B3274" i="8" a="1"/>
  <c r="B1165" i="8" a="1"/>
  <c r="B3116" i="8" a="1"/>
  <c r="B2076" i="8" a="1"/>
  <c r="B2446" i="8" a="1"/>
  <c r="B1769" i="8" a="1"/>
  <c r="B2902" i="8" a="1"/>
  <c r="B1150" i="8" a="1"/>
  <c r="B1570" i="8" a="1"/>
  <c r="B2236" i="8" a="1"/>
  <c r="B2452" i="8" a="1"/>
  <c r="B995" i="8" a="1"/>
  <c r="B2064" i="8" a="1"/>
  <c r="B2444" i="8" a="1"/>
  <c r="B1970" i="8" a="1"/>
  <c r="B3612" i="8" a="1"/>
  <c r="B3110" i="8" a="1"/>
  <c r="B2349" i="8" a="1"/>
  <c r="B2928" i="8" a="1"/>
  <c r="B968" i="8" a="1"/>
  <c r="B2605" i="8" a="1"/>
  <c r="B401" i="8" a="1"/>
  <c r="B1928" i="8" a="1"/>
  <c r="B200" i="8" a="1"/>
  <c r="B1819" i="8" a="1"/>
  <c r="B312" i="8" a="1"/>
  <c r="B1867" i="8" a="1"/>
  <c r="B1479" i="8" a="1"/>
  <c r="B1051" i="8" a="1"/>
  <c r="B2196" i="8" a="1"/>
  <c r="B1335" i="8" a="1"/>
  <c r="B2852" i="8" a="1"/>
  <c r="B3625" i="8" a="1"/>
  <c r="B953" i="8" a="1"/>
  <c r="B3131" i="8" a="1"/>
  <c r="B2065" i="8" a="1"/>
  <c r="B3470" i="8" a="1"/>
  <c r="B1536" i="8" a="1"/>
  <c r="B673" i="8" a="1"/>
  <c r="B512" i="8" a="1"/>
  <c r="B3276" i="8" a="1"/>
  <c r="B3068" i="8" a="1"/>
  <c r="B2895" i="8" a="1"/>
  <c r="B3111" i="8" a="1"/>
  <c r="B1660" i="8" a="1"/>
  <c r="B1486" i="8" a="1"/>
  <c r="B3640" i="8" a="1"/>
  <c r="B1734" i="8" a="1"/>
  <c r="B2962" i="8" a="1"/>
  <c r="B1716" i="8" a="1"/>
  <c r="B1719" i="8" a="1"/>
  <c r="B3622" i="8" a="1"/>
  <c r="B1481" i="8" a="1"/>
  <c r="B2152" i="8" a="1"/>
  <c r="B1484" i="8" a="1"/>
  <c r="B1649" i="8" a="1"/>
  <c r="B3467" i="8" a="1"/>
  <c r="B1372" i="8" a="1"/>
  <c r="B3385" i="8" a="1"/>
  <c r="B2805" i="8" a="1"/>
  <c r="B2759" i="8" a="1"/>
  <c r="B2430" i="8" a="1"/>
  <c r="B3299" i="8" a="1"/>
  <c r="B3635" i="8" a="1"/>
  <c r="B1727" i="8" a="1"/>
  <c r="B2682" i="8" a="1"/>
  <c r="B3329" i="8" a="1"/>
  <c r="B3636" i="8" a="1"/>
  <c r="B308" i="8" a="1"/>
  <c r="B1137" i="8" a="1"/>
  <c r="B1514" i="8" a="1"/>
  <c r="B2569" i="8" a="1"/>
  <c r="B1303" i="8" a="1"/>
  <c r="B1231" i="8" a="1"/>
  <c r="B2344" i="8" a="1"/>
  <c r="B2410" i="8" a="1"/>
  <c r="B926" i="8" a="1"/>
  <c r="B895" i="8" a="1"/>
  <c r="B1241" i="8" a="1"/>
  <c r="B664" i="8" a="1"/>
  <c r="B1112" i="8" a="1"/>
  <c r="B448" i="8" a="1"/>
  <c r="B817" i="8" a="1"/>
  <c r="B2769" i="8" a="1"/>
  <c r="B3629" i="8" a="1"/>
  <c r="B2802" i="8" a="1"/>
  <c r="B2941" i="8" a="1"/>
  <c r="B913" i="8" a="1"/>
  <c r="B1418" i="8" a="1"/>
  <c r="B1396" i="8" a="1"/>
  <c r="B1381" i="8" a="1"/>
  <c r="B2128" i="8" a="1"/>
  <c r="B2285" i="8" a="1"/>
  <c r="B1168" i="8" a="1"/>
  <c r="B322" i="8" a="1"/>
  <c r="B41" i="8" a="1"/>
  <c r="B2821" i="8" a="1"/>
  <c r="B2535" i="8" a="1"/>
  <c r="B106" i="8" a="1"/>
  <c r="B2260" i="8" a="1"/>
  <c r="B369" i="8" a="1"/>
  <c r="B2495" i="8" a="1"/>
  <c r="B1937" i="8" a="1"/>
  <c r="B808" i="8" a="1"/>
  <c r="B2427" i="8" a="1"/>
  <c r="B620" i="8" a="1"/>
  <c r="B75" i="8" a="1"/>
  <c r="B2848" i="8" a="1"/>
  <c r="B2572" i="8" a="1"/>
  <c r="B380" i="8" a="1"/>
  <c r="B358" i="8" a="1"/>
  <c r="B1387" i="8" a="1"/>
  <c r="B1465" i="8" a="1"/>
  <c r="B2373" i="8" a="1"/>
  <c r="B1193" i="8" a="1"/>
  <c r="B117" i="8" a="1"/>
  <c r="B1458" i="8" a="1"/>
  <c r="B2040" i="8" a="1"/>
  <c r="B1055" i="8" a="1"/>
  <c r="B948" i="8" a="1"/>
  <c r="B3158" i="8" a="1"/>
  <c r="B584" i="8" a="1"/>
  <c r="B38" i="8" a="1"/>
  <c r="B201" i="8" a="1"/>
  <c r="B1170" i="8" a="1"/>
  <c r="B2227" i="8" a="1"/>
  <c r="B3126" i="8" a="1"/>
  <c r="B1093" i="8" a="1"/>
  <c r="B3291" i="8" a="1"/>
  <c r="B495" i="8" a="1"/>
  <c r="B1987" i="8" a="1"/>
  <c r="B36" i="8" a="1"/>
  <c r="B2126" i="8" a="1"/>
  <c r="B878" i="8" a="1"/>
  <c r="B1206" i="8" a="1"/>
  <c r="B3413" i="8" a="1"/>
  <c r="B1638" i="8" a="1"/>
  <c r="B2008" i="8" a="1"/>
  <c r="B2585" i="8" a="1"/>
  <c r="B3375" i="8" a="1"/>
  <c r="B573" i="8" a="1"/>
  <c r="B873" i="8" a="1"/>
  <c r="B1507" i="8" a="1"/>
  <c r="B2715" i="8" a="1"/>
  <c r="B2438" i="8" a="1"/>
  <c r="B2845" i="8" a="1"/>
  <c r="B821" i="8" a="1"/>
  <c r="B2747" i="8" a="1"/>
  <c r="B374" i="8" a="1"/>
  <c r="B3444" i="8" a="1"/>
  <c r="B1203" i="8" a="1"/>
  <c r="B3423" i="8" a="1"/>
  <c r="B2903" i="8" a="1"/>
  <c r="B1895" i="8" a="1"/>
  <c r="B1913" i="8" a="1"/>
  <c r="B1850" i="8" a="1"/>
  <c r="B2359" i="8" a="1"/>
  <c r="B2979" i="8" a="1"/>
  <c r="B2748" i="8" a="1"/>
  <c r="B1142" i="8" a="1"/>
  <c r="B2379" i="8" a="1"/>
  <c r="B33" i="8" a="1"/>
  <c r="B2305" i="8" a="1"/>
  <c r="B167" i="8" a="1"/>
  <c r="B2809" i="8" a="1"/>
  <c r="B2028" i="8" a="1"/>
  <c r="B3236" i="8" a="1"/>
  <c r="B2659" i="8" a="1"/>
  <c r="B1881" i="8" a="1"/>
  <c r="B3381" i="8" a="1"/>
  <c r="B2880" i="8" a="1"/>
  <c r="B1921" i="8" a="1"/>
  <c r="B2712" i="8" a="1"/>
  <c r="B2176" i="8" a="1"/>
  <c r="B3631" i="8" a="1"/>
  <c r="B1132" i="8" a="1"/>
  <c r="B566" i="8" a="1"/>
  <c r="B2702" i="8" a="1"/>
  <c r="B2374" i="8" a="1"/>
  <c r="B225" i="8" a="1"/>
  <c r="B1645" i="8" a="1"/>
  <c r="B730" i="8" a="1"/>
  <c r="B3641" i="8" a="1"/>
  <c r="B805" i="8" a="1"/>
  <c r="B1404" i="8" a="1"/>
  <c r="B2225" i="8" a="1"/>
  <c r="B2641" i="8" a="1"/>
  <c r="B3634" i="8" a="1"/>
  <c r="B2165" i="8" a="1"/>
  <c r="B1879" i="8" a="1"/>
  <c r="B2449" i="8" a="1"/>
  <c r="B3134" i="8" a="1"/>
  <c r="B981" i="8" a="1"/>
  <c r="B2325" i="8" a="1"/>
  <c r="B2042" i="8" a="1"/>
  <c r="B315" i="8" a="1"/>
  <c r="B2574" i="8" a="1"/>
  <c r="B3060" i="8" a="1"/>
  <c r="B2920" i="8" a="1"/>
  <c r="B1512" i="8" a="1"/>
  <c r="B2403" i="8" a="1"/>
  <c r="B2253" i="8" a="1"/>
  <c r="B62" i="8" a="1"/>
  <c r="B2420" i="8" a="1"/>
  <c r="B2129" i="8" a="1"/>
  <c r="B661" i="8" a="1"/>
  <c r="B1906" i="8" a="1"/>
  <c r="B3027" i="8" a="1"/>
  <c r="B2361" i="8" a="1"/>
  <c r="B2318" i="8" a="1"/>
  <c r="B3238" i="8" a="1"/>
  <c r="B1860" i="8" a="1"/>
  <c r="B3587" i="8" a="1"/>
  <c r="B3195" i="8" a="1"/>
  <c r="B3443" i="8" a="1"/>
  <c r="B737" i="8" a="1"/>
  <c r="B543" i="8" a="1"/>
  <c r="B794" i="8" a="1"/>
  <c r="B3310" i="8" a="1"/>
  <c r="B3319" i="8" a="1"/>
  <c r="B3394" i="8" a="1"/>
  <c r="B1172" i="8" a="1"/>
  <c r="B56" i="8" a="1"/>
  <c r="B1583" i="8" a="1"/>
  <c r="B528" i="8" a="1"/>
  <c r="B409" i="8" a="1"/>
  <c r="B129" i="8" a="1"/>
  <c r="B3079" i="8" a="1"/>
  <c r="B2760" i="8" a="1"/>
  <c r="B1289" i="8" a="1"/>
  <c r="B2666" i="8" a="1"/>
  <c r="B166" i="8" a="1"/>
  <c r="B2619" i="8" a="1"/>
  <c r="B2289" i="8" a="1"/>
  <c r="B229" i="8" a="1"/>
  <c r="B1254" i="8" a="1"/>
  <c r="B2286" i="8" a="1"/>
  <c r="B651" i="8" a="1"/>
  <c r="B160" i="8" a="1"/>
  <c r="B16" i="8" a="1"/>
  <c r="B3600" i="8" a="1"/>
  <c r="B2273" i="8" a="1"/>
  <c r="B1126" i="8" a="1"/>
  <c r="B2120" i="8" a="1"/>
  <c r="B1204" i="8" a="1"/>
  <c r="B2691" i="8" a="1"/>
  <c r="B852" i="8" a="1"/>
  <c r="B453" i="8" a="1"/>
  <c r="B3192" i="8" a="1"/>
  <c r="B928" i="8" a="1"/>
  <c r="B1173" i="8" a="1"/>
  <c r="B3464" i="8" a="1"/>
  <c r="B4" i="8" a="1"/>
  <c r="B1615" i="8" a="1"/>
  <c r="B1288" i="8" a="1"/>
  <c r="B2172" i="8" a="1"/>
  <c r="B176" i="8" a="1"/>
  <c r="B3093" i="8" a="1"/>
  <c r="B1417" i="8" a="1"/>
  <c r="B1547" i="8" a="1"/>
  <c r="B478" i="8" a="1"/>
  <c r="B1904" i="8" a="1"/>
  <c r="B1991" i="8" a="1"/>
  <c r="B1628" i="8" a="1"/>
  <c r="B1013" i="8" a="1"/>
  <c r="B1752" i="8" a="1"/>
  <c r="B112" i="8" a="1"/>
  <c r="B1018" i="8" a="1"/>
  <c r="B1311" i="8" a="1"/>
  <c r="B988" i="8" a="1"/>
  <c r="B1260" i="8" a="1"/>
  <c r="B2357" i="8" a="1"/>
  <c r="B525" i="8" a="1"/>
  <c r="B1590" i="8" a="1"/>
  <c r="B3439" i="8" a="1"/>
  <c r="B1057" i="8" a="1"/>
  <c r="B3103" i="8" a="1"/>
  <c r="B844" i="8" a="1"/>
  <c r="B3493" i="8" a="1"/>
  <c r="B1724" i="8" a="1"/>
  <c r="B1042" i="8" a="1"/>
  <c r="B2855" i="8" a="1"/>
  <c r="B917" i="8" a="1"/>
  <c r="B1862" i="8" a="1"/>
  <c r="B2631" i="8" a="1"/>
  <c r="B365" i="8" a="1"/>
  <c r="B3249" i="8" a="1"/>
  <c r="B1515" i="8" a="1"/>
  <c r="B2533" i="8" a="1"/>
  <c r="B996" i="8" a="1"/>
  <c r="B434" i="8" a="1"/>
  <c r="B1140" i="8" a="1"/>
  <c r="B3152" i="8" a="1"/>
  <c r="B2201" i="8" a="1"/>
  <c r="B2883" i="8" a="1"/>
  <c r="B3263" i="8" a="1"/>
  <c r="B2943" i="8" a="1"/>
  <c r="B406" i="8" a="1"/>
  <c r="B2173" i="8" a="1"/>
  <c r="B1034" i="8" a="1"/>
  <c r="B1986" i="8" a="1"/>
  <c r="B2616" i="8" a="1"/>
  <c r="B1405" i="8" a="1"/>
  <c r="B1692" i="8" a="1"/>
  <c r="B2369" i="8" a="1"/>
  <c r="B1389" i="8" a="1"/>
  <c r="B2945" i="8" a="1"/>
  <c r="B678" i="8" a="1"/>
  <c r="B422" i="8" a="1"/>
  <c r="B1731" i="8" a="1"/>
  <c r="B272" i="8" a="1"/>
  <c r="B91" i="8" a="1"/>
  <c r="B3455" i="8" a="1"/>
  <c r="B886" i="8" a="1"/>
  <c r="B59" i="8" a="1"/>
  <c r="B2382" i="8" a="1"/>
  <c r="B907" i="8" a="1"/>
  <c r="B2266" i="8" a="1"/>
  <c r="B165" i="8" a="1"/>
  <c r="B3543" i="8" a="1"/>
  <c r="B1460" i="8" a="1"/>
  <c r="B3313" i="8" a="1"/>
  <c r="B1992" i="8" a="1"/>
  <c r="B2164" i="8" a="1"/>
  <c r="B1360" i="8" a="1"/>
  <c r="B2504" i="8" a="1"/>
  <c r="B1066" i="8" a="1"/>
  <c r="B1444" i="8" a="1"/>
  <c r="B496" i="8" a="1"/>
  <c r="B2106" i="8" a="1"/>
  <c r="B1810" i="8" a="1"/>
  <c r="B2909" i="8" a="1"/>
  <c r="B1243" i="8" a="1"/>
  <c r="B2240" i="8" a="1"/>
  <c r="B2645" i="8" a="1"/>
  <c r="B3" i="8" a="1"/>
  <c r="B1572" i="8" a="1"/>
  <c r="B1272" i="8" a="1"/>
  <c r="B2644" i="8" a="1"/>
  <c r="B1964" i="8" a="1"/>
  <c r="B1713" i="8" a="1"/>
  <c r="B2576" i="8" a="1"/>
  <c r="B2256" i="8" a="1"/>
  <c r="B1350" i="8" a="1"/>
  <c r="B2914" i="8" a="1"/>
  <c r="B2899" i="8" a="1"/>
  <c r="B1455" i="8" a="1"/>
  <c r="B1295" i="8" a="1"/>
  <c r="B701" i="8" a="1"/>
  <c r="B3147" i="8" a="1"/>
  <c r="B1181" i="8" a="1"/>
  <c r="B1428" i="8" a="1"/>
  <c r="B3361" i="8" a="1"/>
  <c r="B2630" i="8" a="1"/>
  <c r="B3077" i="8" a="1"/>
  <c r="B2663" i="8" a="1"/>
  <c r="B1841" i="8" a="1"/>
  <c r="B797" i="8" a="1"/>
  <c r="B1275" i="8" a="1"/>
  <c r="B1237" i="8" a="1"/>
  <c r="B3058" i="8" a="1"/>
  <c r="B3525" i="8" a="1"/>
  <c r="B1383" i="8" a="1"/>
  <c r="B813" i="8" a="1"/>
  <c r="B1131" i="8" a="1"/>
  <c r="B1390" i="8" a="1"/>
  <c r="B2337" i="8" a="1"/>
  <c r="B2339" i="8" a="1"/>
  <c r="B1609" i="8" a="1"/>
  <c r="B830" i="8" a="1"/>
  <c r="B2356" i="8" a="1"/>
  <c r="B2592" i="8" a="1"/>
  <c r="B1233" i="8" a="1"/>
  <c r="B123" i="8" a="1"/>
  <c r="B227" i="8" a="1"/>
  <c r="B1343" i="8" a="1"/>
  <c r="B1207" i="8" a="1"/>
  <c r="B3174" i="8" a="1"/>
  <c r="B172" i="8" a="1"/>
  <c r="B768" i="8" a="1"/>
  <c r="B3369" i="8" a="1"/>
  <c r="B1483" i="8" a="1"/>
  <c r="B622" i="8" a="1"/>
  <c r="B1053" i="8" a="1"/>
  <c r="B3409" i="8" a="1"/>
  <c r="B3355" i="8" a="1"/>
  <c r="B2669" i="8" a="1"/>
  <c r="B301" i="8" a="1"/>
  <c r="B2095" i="8" a="1"/>
  <c r="B469" i="8" a="1"/>
  <c r="B3062" i="8" a="1"/>
  <c r="B3547" i="8" a="1"/>
  <c r="B2238" i="8" a="1"/>
  <c r="B1689" i="8" a="1"/>
  <c r="B809" i="8" a="1"/>
  <c r="B1058" i="8" a="1"/>
  <c r="B677" i="8" a="1"/>
  <c r="B2168" i="8" a="1"/>
  <c r="B1502" i="8" a="1"/>
  <c r="B2235" i="8" a="1"/>
  <c r="B1194" i="8" a="1"/>
  <c r="B2295" i="8" a="1"/>
  <c r="B8" i="8" a="1"/>
  <c r="B1475" i="8" a="1"/>
  <c r="B2396" i="8" a="1"/>
  <c r="B1558" i="8" a="1"/>
  <c r="B908" i="8" a="1"/>
  <c r="B2355" i="8" a="1"/>
  <c r="B1729" i="8" a="1"/>
  <c r="B2280" i="8" a="1"/>
  <c r="B1759" i="8" a="1"/>
  <c r="B3207" i="8" a="1"/>
  <c r="B1235" i="8" a="1"/>
  <c r="B2306" i="8" a="1"/>
  <c r="B2481" i="8" a="1"/>
  <c r="B3040" i="8" a="1"/>
  <c r="B3073" i="8" a="1"/>
  <c r="B2637" i="8" a="1"/>
  <c r="B261" i="8" a="1"/>
  <c r="B3472" i="8" a="1"/>
  <c r="B1951" i="8" a="1"/>
  <c r="B3048" i="8" a="1"/>
  <c r="B765" i="8" a="1"/>
  <c r="B2755" i="8" a="1"/>
  <c r="B1600" i="8" a="1"/>
  <c r="B1180" i="8" a="1"/>
  <c r="B2581" i="8" a="1"/>
  <c r="B2503" i="8" a="1"/>
  <c r="B936" i="8" a="1"/>
  <c r="B1120" i="8" a="1"/>
  <c r="B1787" i="8" a="1"/>
  <c r="B253" i="8" a="1"/>
  <c r="B1307" i="8" a="1"/>
  <c r="B2598" i="8" a="1"/>
  <c r="B146" i="8" a="1"/>
  <c r="B2314" i="8" a="1"/>
  <c r="B2416" i="8" a="1"/>
  <c r="B371" i="8" a="1"/>
  <c r="B1643" i="8" a="1"/>
  <c r="B3197" i="8" a="1"/>
  <c r="B1114" i="8" a="1"/>
  <c r="B3179" i="8" a="1"/>
  <c r="B1496" i="8" a="1"/>
  <c r="B3162" i="8" a="1"/>
  <c r="B294" i="8" a="1"/>
  <c r="B607" i="8" a="1"/>
  <c r="B1996" i="8" a="1"/>
  <c r="B157" i="8" a="1"/>
  <c r="B2002" i="8" a="1"/>
  <c r="B2237" i="8" a="1"/>
  <c r="B239" i="8" a="1"/>
  <c r="B2718" i="8" a="1"/>
  <c r="B958" i="8" a="1"/>
  <c r="B1684" i="8" a="1"/>
  <c r="B1393" i="8" a="1"/>
  <c r="B633" i="8" a="1"/>
  <c r="B3343" i="8" a="1"/>
  <c r="B920" i="8" a="1"/>
  <c r="B1385" i="8" a="1"/>
  <c r="B1379" i="8" a="1"/>
  <c r="B3509" i="8" a="1"/>
  <c r="B2191" i="8" a="1"/>
  <c r="B248" i="8" a="1"/>
  <c r="B2751" i="8" a="1"/>
  <c r="B1892" i="8" a="1"/>
  <c r="B1472" i="8" a="1"/>
  <c r="B1158" i="8" a="1"/>
  <c r="B429" i="8" a="1"/>
  <c r="B1485" i="8" a="1"/>
  <c r="B3503" i="8" a="1"/>
  <c r="B276" i="8" a="1"/>
  <c r="B3046" i="8" a="1"/>
  <c r="B2508" i="8" a="1"/>
  <c r="B501" i="8" a="1"/>
  <c r="B1329" i="8" a="1"/>
  <c r="B2004" i="8" a="1"/>
  <c r="B952" i="8" a="1"/>
  <c r="B1952" i="8" a="1"/>
  <c r="B1520" i="8" a="1"/>
  <c r="B2378" i="8" a="1"/>
  <c r="B3327" i="8" a="1"/>
  <c r="B351" i="8" a="1"/>
  <c r="B1422" i="8" a="1"/>
  <c r="B2304" i="8" a="1"/>
  <c r="B572" i="8" a="1"/>
  <c r="B1302" i="8" a="1"/>
  <c r="B2763" i="8" a="1"/>
  <c r="B2956" i="8" a="1"/>
  <c r="B412" i="8" a="1"/>
  <c r="B2217" i="8" a="1"/>
  <c r="B754" i="8" a="1"/>
  <c r="B1818" i="8" a="1"/>
  <c r="B2216" i="8" a="1"/>
  <c r="B2980" i="8" a="1"/>
  <c r="B1696" i="8" a="1"/>
  <c r="B567" i="8" a="1"/>
  <c r="B2079" i="8" a="1"/>
  <c r="B2687" i="8" a="1"/>
  <c r="B2727" i="8" a="1"/>
  <c r="B3141" i="8" a="1"/>
  <c r="B593" i="8" a="1"/>
  <c r="B3427" i="8" a="1"/>
  <c r="B3364" i="8" a="1"/>
  <c r="B249" i="8" a="1"/>
  <c r="B1580" i="8" a="1"/>
  <c r="B3462" i="8" a="1"/>
  <c r="B2981" i="8" a="1"/>
  <c r="B589" i="8" a="1"/>
  <c r="B956" i="8" a="1"/>
  <c r="B2562" i="8" a="1"/>
  <c r="B2964" i="8" a="1"/>
  <c r="B3591" i="8" a="1"/>
  <c r="B254" i="8" a="1"/>
  <c r="B1198" i="8" a="1"/>
  <c r="B1679" i="8" a="1"/>
  <c r="B2723" i="8" a="1"/>
  <c r="B1741" i="8" a="1"/>
  <c r="B1605" i="8" a="1"/>
  <c r="B2740" i="8" a="1"/>
  <c r="B575" i="8" a="1"/>
  <c r="B2643" i="8" a="1"/>
  <c r="B2652" i="8" a="1"/>
  <c r="B1816" i="8" a="1"/>
  <c r="B311" i="8" a="1"/>
  <c r="B1839" i="8" a="1"/>
  <c r="B1871" i="8" a="1"/>
  <c r="B1568" i="8" a="1"/>
  <c r="B119" i="8" a="1"/>
  <c r="B3071" i="8" a="1"/>
  <c r="B1297" i="8" a="1"/>
  <c r="B1009" i="8" a="1"/>
  <c r="B398" i="8" a="1"/>
  <c r="B862" i="8" a="1"/>
  <c r="B2900" i="8" a="1"/>
  <c r="B2868" i="8" a="1"/>
  <c r="B3024" i="8" a="1"/>
  <c r="B2511" i="8" a="1"/>
  <c r="B306" i="8" a="1"/>
  <c r="B2022" i="8" a="1"/>
  <c r="B2532" i="8" a="1"/>
  <c r="B1308" i="8" a="1"/>
  <c r="B1473" i="8" a="1"/>
  <c r="B3107" i="8" a="1"/>
  <c r="B3221" i="8" a="1"/>
  <c r="B853" i="8" a="1"/>
  <c r="B3165" i="8" a="1"/>
  <c r="B2681" i="8" a="1"/>
  <c r="B3097" i="8" a="1"/>
  <c r="B944" i="8" a="1"/>
  <c r="B1377" i="8" a="1"/>
  <c r="B751" i="8" a="1"/>
  <c r="B3628" i="8" a="1"/>
  <c r="B492" i="8" a="1"/>
  <c r="B1012" i="8" a="1"/>
  <c r="B1853" i="8" a="1"/>
  <c r="B884" i="8" a="1"/>
  <c r="B3607" i="8" a="1"/>
  <c r="B1704" i="8" a="1"/>
  <c r="B3492" i="8" a="1"/>
  <c r="B3300" i="8" a="1"/>
  <c r="B3403" i="8" a="1"/>
  <c r="B2364" i="8" a="1"/>
  <c r="B663" i="8" a="1"/>
  <c r="B1675" i="8" a="1"/>
  <c r="B3521" i="8" a="1"/>
  <c r="B2885" i="8" a="1"/>
  <c r="B2270" i="8" a="1"/>
  <c r="B1122" i="8" a="1"/>
  <c r="B3594" i="8" a="1"/>
  <c r="B614" i="8" a="1"/>
  <c r="B670" i="8" a="1"/>
  <c r="B801" i="8" a="1"/>
  <c r="B2811" i="8" a="1"/>
  <c r="B520" i="8" a="1"/>
  <c r="B2117" i="8" a="1"/>
  <c r="B2343" i="8" a="1"/>
  <c r="B3377" i="8" a="1"/>
  <c r="B3044" i="8" a="1"/>
  <c r="B1031" i="8" a="1"/>
  <c r="B839" i="8" a="1"/>
  <c r="B2377" i="8" a="1"/>
  <c r="B1806" i="8" a="1"/>
  <c r="B763" i="8" a="1"/>
  <c r="B3086" i="8" a="1"/>
  <c r="B1337" i="8" a="1"/>
  <c r="B3275" i="8" a="1"/>
  <c r="B3569" i="8" a="1"/>
  <c r="B3324" i="8" a="1"/>
  <c r="B28" i="8" a="1"/>
  <c r="B2582" i="8" a="1"/>
  <c r="B1330" i="8" a="1"/>
  <c r="B2976" i="8" a="1"/>
  <c r="B743" i="8" a="1"/>
  <c r="B2854" i="8" a="1"/>
  <c r="B526" i="8" a="1"/>
  <c r="B1666" i="8" a="1"/>
  <c r="B625" i="8" a="1"/>
  <c r="B2735" i="8" a="1"/>
  <c r="B208" i="8" a="1"/>
  <c r="B1368" i="8" a="1"/>
  <c r="B3254" i="8" a="1"/>
  <c r="B3316" i="8" a="1"/>
  <c r="B1182" i="8" a="1"/>
  <c r="B275" i="8" a="1"/>
  <c r="B2345" i="8" a="1"/>
  <c r="B489" i="8" a="1"/>
  <c r="B507" i="8" a="1"/>
  <c r="B876" i="8" a="1"/>
  <c r="B846" i="8" a="1"/>
  <c r="B838" i="8" a="1"/>
  <c r="B2904" i="8" a="1"/>
  <c r="B2887" i="8" a="1"/>
  <c r="B2593" i="8" a="1"/>
  <c r="B1300" i="8" a="1"/>
  <c r="B2580" i="8" a="1"/>
  <c r="B1958" i="8" a="1"/>
  <c r="B3142" i="8" a="1"/>
  <c r="B241" i="8" a="1"/>
  <c r="B3075" i="8" a="1"/>
  <c r="B812" i="8" a="1"/>
  <c r="B594" i="8" a="1"/>
  <c r="B2078" i="8" a="1"/>
  <c r="B692" i="8" a="1"/>
  <c r="B533" i="8" a="1"/>
  <c r="B3113" i="8" a="1"/>
  <c r="B2406" i="8" a="1"/>
  <c r="B3297" i="8" a="1"/>
  <c r="B3266" i="8" a="1"/>
  <c r="B236" i="8" a="1"/>
  <c r="B1128" i="8" a="1"/>
  <c r="B2062" i="8" a="1"/>
  <c r="B544" i="8" a="1"/>
  <c r="B328" i="8" a="1"/>
  <c r="B3357" i="8" a="1"/>
  <c r="B169" i="8" a="1"/>
  <c r="B1149" i="8" a="1"/>
  <c r="B2048" i="8" a="1"/>
  <c r="B2231" i="8" a="1"/>
  <c r="B1504" i="8" a="1"/>
  <c r="B1480" i="8" a="1"/>
  <c r="B1440" i="8" a="1"/>
  <c r="B3281" i="8" a="1"/>
  <c r="B932" i="8" a="1"/>
  <c r="B2303" i="8" a="1"/>
  <c r="B1169" i="8" a="1"/>
  <c r="B2784" i="8" a="1"/>
  <c r="B2916" i="8" a="1"/>
  <c r="B1757" i="8" a="1"/>
  <c r="B1108" i="8" a="1"/>
  <c r="B735" i="8" a="1"/>
  <c r="B634" i="8" a="1"/>
  <c r="B421" i="8" a="1"/>
  <c r="B2655" i="8" a="1"/>
  <c r="B2936" i="8" a="1"/>
  <c r="B3519" i="8" a="1"/>
  <c r="B3371" i="8" a="1"/>
  <c r="B2358" i="8" a="1"/>
  <c r="B3257" i="8" a="1"/>
  <c r="B1829" i="8" a="1"/>
  <c r="B3517" i="8" a="1"/>
  <c r="B27" i="8" a="1"/>
  <c r="B124" i="8" a="1"/>
  <c r="B689" i="8" a="1"/>
  <c r="B1658" i="8" a="1"/>
  <c r="B1469" i="8" a="1"/>
  <c r="B559" i="8" a="1"/>
  <c r="B530" i="8" a="1"/>
  <c r="B1185" i="8" a="1"/>
  <c r="B2479" i="8" a="1"/>
  <c r="B3315" i="8" a="1"/>
  <c r="B2388" i="8" a="1"/>
  <c r="B1619" i="8" a="1"/>
  <c r="B859" i="8" a="1"/>
  <c r="B897" i="8" a="1"/>
  <c r="B849" i="8" a="1"/>
  <c r="B1750" i="8" a="1"/>
  <c r="B3193" i="8" a="1"/>
  <c r="B2575" i="8" a="1"/>
  <c r="B933" i="8" a="1"/>
  <c r="B1956" i="8" a="1"/>
  <c r="B1215" i="8" a="1"/>
  <c r="B2269" i="8" a="1"/>
  <c r="B2738" i="8" a="1"/>
  <c r="B3449" i="8" a="1"/>
  <c r="B1282" i="8" a="1"/>
  <c r="B3345" i="8" a="1"/>
  <c r="B2298" i="8" a="1"/>
  <c r="B2892" i="8" a="1"/>
  <c r="B445" i="8" a="1"/>
  <c r="B3302" i="8" a="1"/>
  <c r="B2778" i="8" a="1"/>
  <c r="B2125" i="8" a="1"/>
  <c r="B3459" i="8" a="1"/>
  <c r="B242" i="8" a="1"/>
  <c r="B2606" i="8" a="1"/>
  <c r="B602" i="8" a="1"/>
  <c r="B2167" i="8" a="1"/>
  <c r="B1470" i="8" a="1"/>
  <c r="B3588" i="8" a="1"/>
  <c r="B1003" i="8" a="1"/>
  <c r="B2074" i="8" a="1"/>
  <c r="B471" i="8" a="1"/>
  <c r="B700" i="8" a="1"/>
  <c r="B1026" i="8" a="1"/>
  <c r="B2617" i="8" a="1"/>
  <c r="B2823" i="8" a="1"/>
  <c r="B674" i="8" a="1"/>
  <c r="B1466" i="8" a="1"/>
  <c r="B967" i="8" a="1"/>
  <c r="B2775" i="8" a="1"/>
  <c r="B864" i="8" a="1"/>
  <c r="B3468" i="8" a="1"/>
  <c r="B875" i="8" a="1"/>
  <c r="B3450" i="8" a="1"/>
  <c r="B2597" i="8" a="1"/>
  <c r="B3471" i="8" a="1"/>
  <c r="B549" i="8" a="1"/>
  <c r="B3203" i="8" a="1"/>
  <c r="B218" i="8" a="1"/>
  <c r="B2249" i="8" a="1"/>
  <c r="B2866" i="8" a="1"/>
  <c r="B2053" i="8" a="1"/>
  <c r="B1316" i="8" a="1"/>
  <c r="B3303" i="8" a="1"/>
  <c r="B939" i="8" a="1"/>
  <c r="B2190" i="8" a="1"/>
  <c r="B2786" i="8" a="1"/>
  <c r="B2371" i="8" a="1"/>
  <c r="B3218" i="8" a="1"/>
  <c r="B2395" i="8" a="1"/>
  <c r="B1832" i="8" a="1"/>
  <c r="B1039" i="8" a="1"/>
  <c r="B2908" i="8" a="1"/>
  <c r="B992" i="8" a="1"/>
  <c r="B2016" i="8" a="1"/>
  <c r="B3135" i="8" a="1"/>
  <c r="B2282" i="8" a="1"/>
  <c r="B1425" i="8" a="1"/>
  <c r="B1262" i="8" a="1"/>
  <c r="B3029" i="8" a="1"/>
  <c r="B1688" i="8" a="1"/>
  <c r="B3344" i="8" a="1"/>
  <c r="B3605" i="8" a="1"/>
  <c r="B3440" i="8" a="1"/>
  <c r="B1017" i="8" a="1"/>
  <c r="B3150" i="8" a="1"/>
  <c r="B2608" i="8" a="1"/>
  <c r="B2911" i="8" a="1"/>
  <c r="B1210" i="8" a="1"/>
  <c r="B3601" i="8" a="1"/>
  <c r="B2322" i="8" a="1"/>
  <c r="B1896" i="8" a="1"/>
  <c r="B1199" i="8" a="1"/>
  <c r="B3088" i="8" a="1"/>
  <c r="B587" i="8" a="1"/>
  <c r="B938" i="8" a="1"/>
  <c r="B1336" i="8" a="1"/>
  <c r="B2837" i="8" a="1"/>
  <c r="B3161" i="8" a="1"/>
  <c r="B66" i="8" a="1"/>
  <c r="B1189" i="8" a="1"/>
  <c r="B3298" i="8" a="1"/>
  <c r="B3244" i="8" a="1"/>
  <c r="B1755" i="8" a="1"/>
  <c r="B1133" i="8" a="1"/>
  <c r="B1493" i="8" a="1"/>
  <c r="B3261" i="8" a="1"/>
  <c r="B148" i="8" a="1"/>
  <c r="B3095" i="8" a="1"/>
  <c r="B1527" i="8" a="1"/>
  <c r="B2182" i="8" a="1"/>
  <c r="B1499" i="8" a="1"/>
  <c r="B2353" i="8" a="1"/>
  <c r="B2066" i="8" a="1"/>
  <c r="B640" i="8" a="1"/>
  <c r="B826" i="8" a="1"/>
  <c r="B918" i="8" a="1"/>
  <c r="B2546" i="8" a="1"/>
  <c r="B2853" i="8" a="1"/>
  <c r="B3213" i="8" a="1"/>
  <c r="B850" i="8" a="1"/>
  <c r="B824" i="8" a="1"/>
  <c r="B2142" i="8" a="1"/>
  <c r="B552" i="8" a="1"/>
  <c r="B273" i="8" a="1"/>
  <c r="B2453" i="8" a="1"/>
  <c r="B843" i="8" a="1"/>
  <c r="B621" i="8" a="1"/>
  <c r="B2239" i="8" a="1"/>
  <c r="B2012" i="8" a="1"/>
  <c r="B1656" i="8" a="1"/>
  <c r="B2194" i="8" a="1"/>
  <c r="B30" i="8" a="1"/>
  <c r="B1768" i="8" a="1"/>
  <c r="B780" i="8" a="1"/>
  <c r="B3417" i="8" a="1"/>
  <c r="B1043" i="8" a="1"/>
  <c r="B3608" i="8" a="1"/>
  <c r="B1725" i="8" a="1"/>
  <c r="B1997" i="8" a="1"/>
  <c r="B874" i="8" a="1"/>
  <c r="B3380" i="8" a="1"/>
  <c r="B1445" i="8" a="1"/>
  <c r="B1577" i="8" a="1"/>
  <c r="B2556" i="8" a="1"/>
  <c r="B1624" i="8" a="1"/>
  <c r="B83" i="8" a="1"/>
  <c r="B1369" i="8" a="1"/>
  <c r="B3168" i="8" a="1"/>
  <c r="B293" i="8" a="1"/>
  <c r="B2766" i="8" a="1"/>
  <c r="B840" i="8" a="1"/>
  <c r="B647" i="8" a="1"/>
  <c r="B1365" i="8" a="1"/>
  <c r="B1918" i="8" a="1"/>
  <c r="B2321" i="8" a="1"/>
  <c r="B3395" i="8" a="1"/>
  <c r="B3189" i="8" a="1"/>
  <c r="B57" i="8" a="1"/>
  <c r="B1807" i="8" a="1"/>
  <c r="B648" i="8" a="1"/>
  <c r="B1147" i="8" a="1"/>
  <c r="B1005" i="8" a="1"/>
  <c r="B183" i="8" a="1"/>
  <c r="B571" i="8" a="1"/>
  <c r="B795" i="8" a="1"/>
  <c r="B2037" i="8" a="1"/>
  <c r="B2468" i="8" a="1"/>
  <c r="B1038" i="8" a="1"/>
  <c r="B222" i="8" a="1"/>
  <c r="B1966" i="8" a="1"/>
  <c r="B3188" i="8" a="1"/>
  <c r="B580" i="8" a="1"/>
  <c r="B660" i="8" a="1"/>
  <c r="B2025" i="8" a="1"/>
  <c r="B2389" i="8" a="1"/>
  <c r="B2577" i="8" a="1"/>
  <c r="B1863" i="8" a="1"/>
  <c r="B705" i="8" a="1"/>
  <c r="B972" i="8" a="1"/>
  <c r="B370" i="8" a="1"/>
  <c r="B2123" i="8" a="1"/>
  <c r="B1535" i="8" a="1"/>
  <c r="B586" i="8" a="1"/>
  <c r="B2451" i="8" a="1"/>
  <c r="B710" i="8" a="1"/>
  <c r="B3157" i="8" a="1"/>
  <c r="B3259" i="8" a="1"/>
  <c r="B892" i="8" a="1"/>
  <c r="B420" i="8" a="1"/>
  <c r="B3120" i="8" a="1"/>
  <c r="B3084" i="8" a="1"/>
  <c r="B247" i="8" a="1"/>
  <c r="B851" i="8" a="1"/>
  <c r="B171" i="8" a="1"/>
  <c r="B3124" i="8" a="1"/>
  <c r="B1972" i="8" a="1"/>
  <c r="B2634" i="8" a="1"/>
  <c r="B2292" i="8" a="1"/>
  <c r="B767" i="8" a="1"/>
  <c r="B3185" i="8" a="1"/>
  <c r="B1830" i="8" a="1"/>
  <c r="B1086" i="8" a="1"/>
  <c r="B1447" i="8" a="1"/>
  <c r="B1559" i="8" a="1"/>
  <c r="B1780" i="8" a="1"/>
  <c r="B319" i="8" a="1"/>
  <c r="B2514" i="8" a="1"/>
  <c r="B3159" i="8" a="1"/>
  <c r="B3398" i="8" a="1"/>
  <c r="B331" i="8" a="1"/>
  <c r="B2877" i="8" a="1"/>
  <c r="B2756" i="8" a="1"/>
  <c r="B1565" i="8" a="1"/>
  <c r="B1548" i="8" a="1"/>
  <c r="B3289" i="8" a="1"/>
  <c r="B2300" i="8" a="1"/>
  <c r="B2448" i="8" a="1"/>
  <c r="B270" i="8" a="1"/>
  <c r="B3575" i="8" a="1"/>
  <c r="B67" i="8" a="1"/>
  <c r="B1281" i="8" a="1"/>
  <c r="B3542" i="8" a="1"/>
  <c r="B3410" i="8" a="1"/>
  <c r="B1278" i="8" a="1"/>
  <c r="B2254" i="8" a="1"/>
  <c r="B2910" i="8" a="1"/>
  <c r="B3546" i="8" a="1"/>
  <c r="B1492" i="8" a="1"/>
  <c r="B832" i="8" a="1"/>
  <c r="B3529" i="8" a="1"/>
  <c r="B3090" i="8" a="1"/>
  <c r="B151" i="8" a="1"/>
  <c r="B2990" i="8" a="1"/>
  <c r="B335" i="8" a="1"/>
  <c r="B479" i="8" a="1"/>
  <c r="B3246" i="8" a="1"/>
  <c r="B2588" i="8" a="1"/>
  <c r="B3208" i="8" a="1"/>
  <c r="B1291" i="8" a="1"/>
  <c r="B2959" i="8" a="1"/>
  <c r="B3566" i="8" a="1"/>
  <c r="B1846" i="8" a="1"/>
  <c r="B2103" i="8" a="1"/>
  <c r="B424" i="8" a="1"/>
  <c r="B405" i="8" a="1"/>
  <c r="B230" i="8" a="1"/>
  <c r="B3650" i="8" a="1"/>
  <c r="B402" i="8" a="1"/>
  <c r="B896" i="8" a="1"/>
  <c r="B1652" i="8" a="1"/>
  <c r="B725" i="8" a="1"/>
  <c r="B233" i="8" a="1"/>
  <c r="B1271" i="8" a="1"/>
  <c r="B3340" i="8" a="1"/>
  <c r="B2497" i="8" a="1"/>
  <c r="B1891" i="8" a="1"/>
  <c r="B757" i="8" a="1"/>
  <c r="B2977" i="8" a="1"/>
  <c r="B1110" i="8" a="1"/>
  <c r="B2615" i="8" a="1"/>
  <c r="B2589" i="8" a="1"/>
  <c r="B366" i="8" a="1"/>
  <c r="B231" i="8" a="1"/>
  <c r="B2193" i="8" a="1"/>
  <c r="B1636" i="8" a="1"/>
  <c r="B1742" i="8" a="1"/>
  <c r="B2780" i="8" a="1"/>
  <c r="B2869" i="8" a="1"/>
  <c r="B69" i="8" a="1"/>
  <c r="B2774" i="8" a="1"/>
  <c r="B2552" i="8" a="1"/>
  <c r="B1367" i="8" a="1"/>
  <c r="B1864" i="8" a="1"/>
  <c r="B156" i="8" a="1"/>
  <c r="B292" i="8" a="1"/>
  <c r="B1467" i="8" a="1"/>
  <c r="B1941" i="8" a="1"/>
  <c r="B2596" i="8" a="1"/>
  <c r="B1811" i="8" a="1"/>
  <c r="B2770" i="8" a="1"/>
  <c r="B2564" i="8" a="1"/>
  <c r="B180" i="8" a="1"/>
  <c r="B1462" i="8" a="1"/>
  <c r="B3243" i="8" a="1"/>
  <c r="B2743" i="8" a="1"/>
  <c r="B3552" i="8" a="1"/>
  <c r="B1574" i="8" a="1"/>
  <c r="B694" i="8" a="1"/>
  <c r="B35" i="8" a="1"/>
  <c r="B962" i="8" a="1"/>
  <c r="B3402" i="8" a="1"/>
  <c r="B15" i="8" a="1"/>
  <c r="B2309" i="8" a="1"/>
  <c r="B317" i="8" a="1"/>
  <c r="B2279" i="8" a="1"/>
  <c r="B919" i="8" a="1"/>
  <c r="B10" i="8" a="1"/>
  <c r="B2675" i="8" a="1"/>
  <c r="B1903" i="8" a="1"/>
  <c r="B1452" i="8" a="1"/>
  <c r="B1197" i="8" a="1"/>
  <c r="B2689" i="8" a="1"/>
  <c r="B3237" i="8" a="1"/>
  <c r="B742" i="8" a="1"/>
  <c r="B1411" i="8" a="1"/>
  <c r="B1332" i="8" a="1"/>
  <c r="B3304" i="8" a="1"/>
  <c r="B2319" i="8" a="1"/>
  <c r="B2817" i="8" a="1"/>
  <c r="B1386" i="8" a="1"/>
  <c r="B1398" i="8" a="1"/>
  <c r="B1292" i="8" a="1"/>
  <c r="B2228" i="8" a="1"/>
  <c r="B1743" i="8" a="1"/>
  <c r="B750" i="8" a="1"/>
  <c r="B3280" i="8" a="1"/>
  <c r="B1975" i="8" a="1"/>
  <c r="B756" i="8" a="1"/>
  <c r="B2154" i="8" a="1"/>
  <c r="B1345" i="8" a="1"/>
  <c r="B1691" i="8" a="1"/>
  <c r="B2362" i="8" a="1"/>
  <c r="B2045" i="8" a="1"/>
  <c r="B1357" i="8" a="1"/>
  <c r="B2084" i="8" a="1"/>
  <c r="B81" i="8" a="1"/>
  <c r="B360" i="8" a="1"/>
  <c r="B1905" i="8" a="1"/>
  <c r="B1681" i="8" a="1"/>
  <c r="B997" i="8" a="1"/>
  <c r="B3550" i="8" a="1"/>
  <c r="B2523" i="8" a="1"/>
  <c r="B393" i="8" a="1"/>
  <c r="B2587" i="8" a="1"/>
  <c r="B2673" i="8" a="1"/>
  <c r="B23" i="8" a="1"/>
  <c r="B713" i="8" a="1"/>
  <c r="B2293" i="8" a="1"/>
  <c r="B1072" i="8" a="1"/>
  <c r="B1782" i="8" a="1"/>
  <c r="B1822" i="8" a="1"/>
  <c r="B562" i="8" a="1"/>
  <c r="B2230" i="8" a="1"/>
  <c r="B1334" i="8" a="1"/>
  <c r="B2457" i="8" a="1"/>
  <c r="B2061" i="8" a="1"/>
  <c r="B785" i="8" a="1"/>
  <c r="B3596" i="8" a="1"/>
  <c r="B3083" i="8" a="1"/>
  <c r="B3648" i="8" a="1"/>
  <c r="B941" i="8" a="1"/>
  <c r="B2383" i="8" a="1"/>
  <c r="B1735" i="8" a="1"/>
  <c r="B1947" i="8" a="1"/>
  <c r="B255" i="8" a="1"/>
  <c r="B2360" i="8" a="1"/>
  <c r="B450" i="8" a="1"/>
  <c r="B1323" i="8" a="1"/>
  <c r="B278" i="8" a="1"/>
  <c r="B1603" i="8" a="1"/>
  <c r="B2291" i="8" a="1"/>
  <c r="B1437" i="8" a="1"/>
  <c r="B1290" i="8" a="1"/>
  <c r="B476" i="8" a="1"/>
  <c r="B2223" i="8" a="1"/>
  <c r="B3490" i="8" a="1"/>
  <c r="B509" i="8" a="1"/>
  <c r="B3337" i="8" a="1"/>
  <c r="B1815" i="8" a="1"/>
  <c r="B3239" i="8" a="1"/>
  <c r="B2591" i="8" a="1"/>
  <c r="B842" i="8" a="1"/>
  <c r="B1544" i="8" a="1"/>
  <c r="B653" i="8" a="1"/>
  <c r="B929" i="8" a="1"/>
  <c r="B1015" i="8" a="1"/>
  <c r="B2487" i="8" a="1"/>
  <c r="B667" i="8" a="1"/>
  <c r="B2623" i="8" a="1"/>
  <c r="B1629" i="8" a="1"/>
  <c r="B1980" i="8" a="1"/>
  <c r="B1391" i="8" a="1"/>
  <c r="B2352" i="8" a="1"/>
  <c r="B118" i="8" a="1"/>
  <c r="B3181" i="8" a="1"/>
  <c r="B3059" i="8" a="1"/>
  <c r="B3376" i="8" a="1"/>
  <c r="B3556" i="8" a="1"/>
  <c r="B2958" i="8" a="1"/>
  <c r="B3570" i="8" a="1"/>
  <c r="B1683" i="8" a="1"/>
  <c r="B137" i="8" a="1"/>
  <c r="B88" i="8" a="1"/>
  <c r="B1608" i="8" a="1"/>
  <c r="B746" i="8" a="1"/>
  <c r="B2342" i="8" a="1"/>
  <c r="B1948" i="8" a="1"/>
  <c r="B3498" i="8" a="1"/>
  <c r="B2557" i="8" a="1"/>
  <c r="B196" i="8" a="1"/>
  <c r="B887" i="8" a="1"/>
  <c r="B107" i="8" a="1"/>
  <c r="B1105" i="8" a="1"/>
  <c r="B2975" i="8" a="1"/>
  <c r="B410" i="8" a="1"/>
  <c r="B1982" i="8" a="1"/>
  <c r="B1378" i="8" a="1"/>
  <c r="B2046" i="8" a="1"/>
  <c r="B2278" i="8" a="1"/>
  <c r="B2146" i="8" a="1"/>
  <c r="B2942" i="8" a="1"/>
  <c r="B1100" i="8" a="1"/>
  <c r="B3414" i="8" a="1"/>
  <c r="B2926" i="8" a="1"/>
  <c r="B2856" i="8" a="1"/>
  <c r="B1573" i="8" a="1"/>
  <c r="B2544" i="8" a="1"/>
  <c r="B214" i="8" a="1"/>
  <c r="B1124" i="8" a="1"/>
  <c r="B491" i="8" a="1"/>
  <c r="B3096" i="8" a="1"/>
  <c r="B3359" i="8" a="1"/>
  <c r="B1121" i="8" a="1"/>
  <c r="B608" i="8" a="1"/>
  <c r="B1446" i="8" a="1"/>
  <c r="B987" i="8" a="1"/>
  <c r="B2144" i="8" a="1"/>
  <c r="B3360" i="8" a="1"/>
  <c r="B2472" i="8" a="1"/>
  <c r="B2441" i="8" a="1"/>
  <c r="B3064" i="8" a="1"/>
  <c r="B2703" i="8" a="1"/>
  <c r="B1102" i="8" a="1"/>
  <c r="B2455" i="8" a="1"/>
  <c r="B414" i="8" a="1"/>
  <c r="B1847" i="8" a="1"/>
  <c r="B1821" i="8" a="1"/>
  <c r="B1594" i="8" a="1"/>
  <c r="B877" i="8" a="1"/>
  <c r="B2921" i="8" a="1"/>
  <c r="B3516" i="8" a="1"/>
  <c r="B1035" i="8" a="1"/>
  <c r="B773" i="8" a="1"/>
  <c r="B554" i="8" a="1"/>
  <c r="B2294" i="8" a="1"/>
  <c r="B1640" i="8" a="1"/>
  <c r="B2148" i="8" a="1"/>
  <c r="B3270" i="8" a="1"/>
  <c r="B731" i="8" a="1"/>
  <c r="B3105" i="8" a="1"/>
  <c r="B1888" i="8" a="1"/>
  <c r="B3363" i="8" a="1"/>
  <c r="B2150" i="8" a="1"/>
  <c r="B650" i="8" a="1"/>
  <c r="B2742" i="8" a="1"/>
  <c r="B1953" i="8" a="1"/>
  <c r="B3372" i="8" a="1"/>
  <c r="B2783" i="8" a="1"/>
  <c r="B1646" i="8" a="1"/>
  <c r="B1644" i="8" a="1"/>
  <c r="B2521" i="8" a="1"/>
  <c r="B1474" i="8" a="1"/>
  <c r="B1246" i="8" a="1"/>
  <c r="B1575" i="8" a="1"/>
  <c r="B2442" i="8" a="1"/>
  <c r="B2889" i="8" a="1"/>
  <c r="B1760" i="8" a="1"/>
  <c r="B2271" i="8" a="1"/>
  <c r="B3580" i="8" a="1"/>
  <c r="B2988" i="8" a="1"/>
  <c r="B1933" i="8" a="1"/>
  <c r="B1151" i="8" a="1"/>
  <c r="B1967" i="8" a="1"/>
  <c r="B3572" i="8" a="1"/>
  <c r="B2559" i="8" a="1"/>
  <c r="B2764" i="8" a="1"/>
  <c r="B2387" i="8" a="1"/>
  <c r="B70" i="8" a="1"/>
  <c r="B481" i="8" a="1"/>
  <c r="B1487" i="8" a="1"/>
  <c r="B612" i="8" a="1"/>
  <c r="B449" i="8" a="1"/>
  <c r="B1188" i="8" a="1"/>
  <c r="B2840" i="8" a="1"/>
  <c r="B2414" i="8" a="1"/>
  <c r="B3151" i="8" a="1"/>
  <c r="B2777" i="8" a="1"/>
  <c r="B652" i="8" a="1"/>
  <c r="B2790" i="8" a="1"/>
  <c r="B2761" i="8" a="1"/>
  <c r="B3518" i="8" a="1"/>
  <c r="B3277" i="8" a="1"/>
  <c r="B3611" i="8" a="1"/>
  <c r="B2683" i="8" a="1"/>
  <c r="B2692" i="8" a="1"/>
  <c r="B2412" i="8" a="1"/>
  <c r="B1868" i="8" a="1"/>
  <c r="B2005" i="8" a="1"/>
  <c r="B394" i="8" a="1"/>
  <c r="B3102" i="8" a="1"/>
  <c r="B2454" i="8" a="1"/>
  <c r="B2539" i="8" a="1"/>
  <c r="B2486" i="8" a="1"/>
  <c r="B3182" i="8" a="1"/>
  <c r="B1175" i="8" a="1"/>
  <c r="B1567" i="8" a="1"/>
  <c r="B3396" i="8" a="1"/>
  <c r="B426" i="8" a="1"/>
  <c r="B1783" i="8" a="1"/>
  <c r="B1056" i="8" a="1"/>
  <c r="B1255" i="8" a="1"/>
  <c r="B698" i="8" a="1"/>
  <c r="B3418" i="8" a="1"/>
  <c r="B3506" i="8" a="1"/>
  <c r="B3287" i="8" a="1"/>
  <c r="B707" i="8" a="1"/>
  <c r="B3602" i="8" a="1"/>
  <c r="B1938" i="8" a="1"/>
  <c r="B71" i="8" a="1"/>
  <c r="B945" i="8" a="1"/>
  <c r="B1252" i="8" a="1"/>
  <c r="B2029" i="8" a="1"/>
  <c r="B1934" i="8" a="1"/>
  <c r="B1831" i="8" a="1"/>
  <c r="B437" i="8" a="1"/>
  <c r="B726" i="8" a="1"/>
  <c r="B53" i="8" a="1"/>
  <c r="B1722" i="8" a="1"/>
  <c r="B1657" i="8" a="1"/>
  <c r="B2850" i="8" a="1"/>
  <c r="B1788" i="8" a="1"/>
  <c r="B1019" i="8" a="1"/>
  <c r="B714" i="8" a="1"/>
  <c r="B1078" i="8" a="1"/>
  <c r="B2474" i="8" a="1"/>
  <c r="B258" i="8" a="1"/>
  <c r="B2480" i="8" a="1"/>
  <c r="B1229" i="8" a="1"/>
  <c r="B1866" i="8" a="1"/>
  <c r="B1686" i="8" a="1"/>
  <c r="B3148" i="8" a="1"/>
  <c r="B1091" i="8" a="1"/>
  <c r="B524" i="8" a="1"/>
  <c r="B127" i="8" a="1"/>
  <c r="B2189" i="8" a="1"/>
  <c r="B741" i="8" a="1"/>
  <c r="B2381" i="8" a="1"/>
  <c r="B2069" i="8" a="1"/>
  <c r="B2089" i="8" a="1"/>
  <c r="B63" i="8" a="1"/>
  <c r="B998" i="8" a="1"/>
  <c r="B343" i="8" a="1"/>
  <c r="B2674" i="8" a="1"/>
  <c r="B1513" i="8" a="1"/>
  <c r="B2776" i="8" a="1"/>
  <c r="B2431" i="8" a="1"/>
  <c r="B588" i="8" a="1"/>
  <c r="B415" i="8" a="1"/>
  <c r="B1356" i="8" a="1"/>
  <c r="B2105" i="8" a="1"/>
  <c r="B3397" i="8" a="1"/>
  <c r="B428" i="8" a="1"/>
  <c r="B3171" i="8" a="1"/>
  <c r="B858" i="8" a="1"/>
  <c r="B682" i="8" a="1"/>
  <c r="B2081" i="8" a="1"/>
  <c r="B1843" i="8" a="1"/>
  <c r="B3178" i="8" a="1"/>
  <c r="B337" i="8" a="1"/>
  <c r="B3328" i="8" a="1"/>
  <c r="B318" i="8" a="1"/>
  <c r="B329" i="8" a="1"/>
  <c r="B1623" i="8" a="1"/>
  <c r="B2147" i="8" a="1"/>
  <c r="B3480" i="8" a="1"/>
  <c r="B291" i="8" a="1"/>
  <c r="B3173" i="8" a="1"/>
  <c r="B1392" i="8" a="1"/>
  <c r="B3279" i="8" a="1"/>
  <c r="B2965" i="8" a="1"/>
  <c r="B2328" i="8" a="1"/>
  <c r="B771" i="8" a="1"/>
  <c r="B1441" i="8" a="1"/>
  <c r="B2153" i="8" a="1"/>
  <c r="B1099" i="8" a="1"/>
  <c r="B865" i="8" a="1"/>
  <c r="B2972" i="8" a="1"/>
  <c r="B1340" i="8" a="1"/>
  <c r="B2054" i="8" a="1"/>
  <c r="B545" i="8" a="1"/>
  <c r="B2073" i="8" a="1"/>
  <c r="B2290" i="8" a="1"/>
  <c r="B1988" i="8" a="1"/>
  <c r="B1471" i="8" a="1"/>
  <c r="B472" i="8" a="1"/>
  <c r="B603" i="8" a="1"/>
  <c r="B480" i="8" a="1"/>
  <c r="B1284" i="8" a="1"/>
  <c r="B3632" i="8" a="1"/>
  <c r="B699" i="8" a="1"/>
  <c r="B791" i="8" a="1"/>
  <c r="B1809" i="8" a="1"/>
  <c r="B984" i="8" a="1"/>
  <c r="B2493" i="8" a="1"/>
  <c r="B1945" i="8" a="1"/>
  <c r="B2134" i="8" a="1"/>
  <c r="B3532" i="8" a="1"/>
  <c r="B3616" i="8" a="1"/>
  <c r="B578" i="8" a="1"/>
  <c r="B1314" i="8" a="1"/>
  <c r="B3033" i="8" a="1"/>
  <c r="B1618" i="8" a="1"/>
  <c r="B867" i="8" a="1"/>
  <c r="B983" i="8" a="1"/>
  <c r="B649" i="8" a="1"/>
  <c r="B3339" i="8" a="1"/>
  <c r="B916" i="8" a="1"/>
  <c r="B138" i="8" a="1"/>
  <c r="B2986" i="8" a="1"/>
  <c r="B3630" i="8" a="1"/>
  <c r="B488" i="8" a="1"/>
  <c r="B2426" i="8" a="1"/>
  <c r="B1814" i="8" a="1"/>
  <c r="B340" i="8" a="1"/>
  <c r="B1754" i="8" a="1"/>
  <c r="B1857" i="8" a="1"/>
  <c r="B610" i="8" a="1"/>
  <c r="B1687" i="8" a="1"/>
  <c r="B3461" i="8" a="1"/>
  <c r="B1695" i="8" a="1"/>
  <c r="B1797" i="8" a="1"/>
  <c r="B3373" i="8" a="1"/>
  <c r="B2717" i="8" a="1"/>
  <c r="B2695" i="8" a="1"/>
  <c r="B2435" i="8" a="1"/>
  <c r="B820" i="8" a="1"/>
  <c r="B2808" i="8" a="1"/>
  <c r="B2886" i="8" a="1"/>
  <c r="B2047" i="8" a="1"/>
  <c r="B349" i="8" a="1"/>
  <c r="B3557" i="8" a="1"/>
  <c r="B1607" i="8" a="1"/>
  <c r="B3593" i="8" a="1"/>
  <c r="B150" i="8" a="1"/>
  <c r="B600" i="8" a="1"/>
  <c r="B3070" i="8" a="1"/>
  <c r="B616" i="8" a="1"/>
  <c r="B2529" i="8" a="1"/>
  <c r="B1143" i="8" a="1"/>
  <c r="B1286" i="8" a="1"/>
  <c r="B1584" i="8" a="1"/>
  <c r="B3006" i="8" a="1"/>
  <c r="B2795" i="8" a="1"/>
  <c r="B3081" i="8" a="1"/>
  <c r="B1407" i="8" a="1"/>
  <c r="B2949" i="8" a="1"/>
  <c r="B818" i="8" a="1"/>
  <c r="B911" i="8" a="1"/>
  <c r="B1833" i="8" a="1"/>
  <c r="B1103" i="8" a="1"/>
  <c r="B1706" i="8" a="1"/>
  <c r="B3271" i="8" a="1"/>
  <c r="B1730" i="8" a="1"/>
  <c r="B1359" i="8" a="1"/>
  <c r="B135" i="8" a="1"/>
  <c r="B2970" i="8" a="1"/>
  <c r="B1874" i="8" a="1"/>
  <c r="B2758" i="8" a="1"/>
  <c r="B1087" i="8" a="1"/>
  <c r="B3383" i="8" a="1"/>
  <c r="B2376" i="8" a="1"/>
  <c r="B3132" i="8" a="1"/>
  <c r="B2954" i="8" a="1"/>
  <c r="B749" i="8" a="1"/>
  <c r="B1617" i="8" a="1"/>
  <c r="B1585" i="8" a="1"/>
  <c r="B1597" i="8" a="1"/>
  <c r="B1449" i="8" a="1"/>
  <c r="B2973" i="8" a="1"/>
  <c r="B779" i="8" a="1"/>
  <c r="B184" i="8" a="1"/>
  <c r="B1362" i="8" a="1"/>
  <c r="B1851" i="8" a="1"/>
  <c r="B835" i="8" a="1"/>
  <c r="B3531" i="8" a="1"/>
  <c r="B2158" i="8" a="1"/>
  <c r="B1525" i="8" a="1"/>
  <c r="B1408" i="8" a="1"/>
  <c r="B2698" i="8" a="1"/>
  <c r="B1325" i="8" a="1"/>
  <c r="B1762" i="8" a="1"/>
  <c r="B2676" i="8" a="1"/>
  <c r="B891" i="8" a="1"/>
  <c r="B2859" i="8" a="1"/>
  <c r="B781" i="8" a="1"/>
  <c r="B2001" i="8" a="1"/>
  <c r="B3644" i="8" a="1"/>
  <c r="B2633" i="8" a="1"/>
  <c r="B2429" i="8" a="1"/>
  <c r="B513" i="8" a="1"/>
  <c r="B976" i="8" a="1"/>
  <c r="B1113" i="8" a="1"/>
  <c r="B2099" i="8" a="1"/>
  <c r="B3212" i="8" a="1"/>
  <c r="B3526" i="8" a="1"/>
  <c r="B309" i="8" a="1"/>
  <c r="B1771" i="8" a="1"/>
  <c r="B2646" i="8" a="1"/>
  <c r="B964" i="8" a="1"/>
  <c r="B1000" i="8" a="1"/>
  <c r="B2894" i="8" a="1"/>
  <c r="B3579" i="8" a="1"/>
  <c r="B3017" i="8" a="1"/>
  <c r="B2614" i="8" a="1"/>
  <c r="B1890" i="8" a="1"/>
  <c r="B2566" i="8" a="1"/>
  <c r="B2813" i="8" a="1"/>
  <c r="B1250" i="8" a="1"/>
  <c r="B3513" i="8" a="1"/>
  <c r="B1718" i="8" a="1"/>
  <c r="B1799" i="8" a="1"/>
  <c r="B1560" i="8" a="1"/>
  <c r="B1366" i="8" a="1"/>
  <c r="B3514" i="8" a="1"/>
  <c r="B2469" i="8" a="1"/>
  <c r="B770" i="8" a="1"/>
  <c r="B599" i="8" a="1"/>
  <c r="B2110" i="8" a="1"/>
  <c r="B2402" i="8" a="1"/>
  <c r="B2071" i="8" a="1"/>
  <c r="B2490" i="8" a="1"/>
  <c r="B2258" i="8" a="1"/>
  <c r="B1753" i="8" a="1"/>
  <c r="B3245" i="8" a="1"/>
  <c r="B104" i="8" a="1"/>
  <c r="B2684" i="8" a="1"/>
  <c r="B2159" i="8" a="1"/>
  <c r="B161" i="8" a="1"/>
  <c r="B1146" i="8" a="1"/>
  <c r="B1429" i="8" a="1"/>
  <c r="B3568" i="8" a="1"/>
  <c r="B591" i="8" a="1"/>
  <c r="B3451" i="8" a="1"/>
  <c r="B2595" i="8" a="1"/>
  <c r="B1766" i="8" a="1"/>
  <c r="B1081" i="8" a="1"/>
  <c r="B375" i="8" a="1"/>
  <c r="B2639" i="8" a="1"/>
  <c r="B825" i="8" a="1"/>
  <c r="B3166" i="8" a="1"/>
  <c r="B395" i="8" a="1"/>
  <c r="B101" i="8" a="1"/>
  <c r="B2851" i="8" a="1"/>
  <c r="B144" i="8" a="1"/>
  <c r="B2262" i="8" a="1"/>
  <c r="B815" i="8" a="1"/>
  <c r="B1524" i="8" a="1"/>
  <c r="B3020" i="8" a="1"/>
  <c r="B1800" i="8" a="1"/>
  <c r="B198" i="8" a="1"/>
  <c r="B1500" i="8" a="1"/>
  <c r="B7" i="8" a="1"/>
  <c r="B130" i="8" a="1"/>
  <c r="B630" i="8" a="1"/>
  <c r="B782" i="8" a="1"/>
  <c r="B772" i="8" a="1"/>
  <c r="B2831" i="8" a="1"/>
  <c r="B2026" i="8" a="1"/>
  <c r="B86" i="8" a="1"/>
  <c r="B1211" i="8" a="1"/>
  <c r="B3541" i="8" a="1"/>
  <c r="B1423" i="8" a="1"/>
  <c r="B2032" i="8" a="1"/>
  <c r="B2930" i="8" a="1"/>
  <c r="B396" i="8" a="1"/>
  <c r="B3627" i="8" a="1"/>
  <c r="B423" i="8" a="1"/>
  <c r="B140" i="8" a="1"/>
  <c r="B1949" i="8" a="1"/>
  <c r="B1036" i="8" a="1"/>
  <c r="B3365" i="8" a="1"/>
  <c r="B537" i="8" a="1"/>
  <c r="B284" i="8" a="1"/>
  <c r="B1950" i="8" a="1"/>
  <c r="B2115" i="8" a="1"/>
  <c r="B2207" i="8" a="1"/>
  <c r="B2132" i="8" a="1"/>
  <c r="B3204" i="8" a="1"/>
  <c r="B2063" i="8" a="1"/>
  <c r="B1902" i="8" a="1"/>
  <c r="B1663" i="8" a="1"/>
  <c r="B1979" i="8" a="1"/>
  <c r="B145" i="8" a="1"/>
  <c r="B2007" i="8" a="1"/>
  <c r="B1985" i="8" a="1"/>
  <c r="B2789" i="8" a="1"/>
  <c r="B2366" i="8" a="1"/>
  <c r="B262" i="8" a="1"/>
  <c r="B557" i="8" a="1"/>
  <c r="B828" i="8" a="1"/>
  <c r="B2925" i="8" a="1"/>
  <c r="B1060" i="8" a="1"/>
  <c r="B2520" i="8" a="1"/>
  <c r="B2390" i="8" a="1"/>
  <c r="B3367" i="8" a="1"/>
  <c r="B2124" i="8" a="1"/>
  <c r="B1402" i="8" a="1"/>
  <c r="B2753" i="8" a="1"/>
  <c r="B1516" i="8" a="1"/>
  <c r="B1256" i="8" a="1"/>
  <c r="B3489" i="8" a="1"/>
  <c r="B1668" i="8" a="1"/>
  <c r="B3407" i="8" a="1"/>
  <c r="B120" i="8" a="1"/>
  <c r="B1482" i="8" a="1"/>
  <c r="B3332" i="8" a="1"/>
  <c r="B2333" i="8" a="1"/>
  <c r="B1442" i="8" a="1"/>
  <c r="B213" i="8" a="1"/>
  <c r="B3164" i="8" a="1"/>
  <c r="B1732" i="8" a="1"/>
  <c r="B3224" i="8" a="1"/>
  <c r="B2874" i="8" a="1"/>
  <c r="B3581" i="8" a="1"/>
  <c r="B1803" i="8" a="1"/>
  <c r="B1067" i="8" a="1"/>
  <c r="B1234" i="8" a="1"/>
  <c r="B2725" i="8" a="1"/>
  <c r="B3615" i="8" a="1"/>
  <c r="B1861" i="8" a="1"/>
  <c r="B3638" i="8" a="1"/>
  <c r="B477" i="8" a="1"/>
  <c r="B2952" i="8" a="1"/>
  <c r="B1296" i="8" a="1"/>
  <c r="B2024" i="8" a="1"/>
  <c r="B3267" i="8" a="1"/>
  <c r="B2214" i="8" a="1"/>
  <c r="B3626" i="8" a="1"/>
  <c r="B3018" i="8" a="1"/>
  <c r="B3317" i="8" a="1"/>
  <c r="B963" i="8" a="1"/>
  <c r="B3231" i="8" a="1"/>
  <c r="B1677" i="8" a="1"/>
  <c r="B3160" i="8" a="1"/>
  <c r="B2204" i="8" a="1"/>
  <c r="B411" i="8" a="1"/>
  <c r="B2571" i="8" a="1"/>
  <c r="B3390" i="8" a="1"/>
  <c r="B1849" i="8" a="1"/>
  <c r="B3434" i="8" a="1"/>
  <c r="B618" i="8" a="1"/>
  <c r="B2724" i="8" a="1"/>
  <c r="B784" i="8" a="1"/>
  <c r="B1611" i="8" a="1"/>
  <c r="B2860" i="8" a="1"/>
  <c r="B3094" i="8" a="1"/>
  <c r="B221" i="8" a="1"/>
  <c r="B871" i="8" a="1"/>
  <c r="B3286" i="8" a="1"/>
  <c r="B403" i="8" a="1"/>
  <c r="B550" i="8" a="1"/>
  <c r="B470" i="8" a="1"/>
  <c r="B2327" i="8" a="1"/>
  <c r="B1944" i="8" a="1"/>
  <c r="B368" i="8" a="1"/>
  <c r="B13" i="8" a="1"/>
  <c r="B2413" i="8" a="1"/>
  <c r="B2603" i="8" a="1"/>
  <c r="B211" i="8" a="1"/>
  <c r="B90" i="8" a="1"/>
  <c r="B191" i="8" a="1"/>
  <c r="B2417" i="8" a="1"/>
  <c r="B1001" i="8" a="1"/>
  <c r="B34" i="8" a="1"/>
  <c r="B3388" i="8" a="1"/>
  <c r="B2027" i="8" a="1"/>
  <c r="B1478" i="8" a="1"/>
  <c r="B1828" i="8" a="1"/>
  <c r="B1925" i="8" a="1"/>
  <c r="B3399" i="8" a="1"/>
  <c r="B1259" i="8" a="1"/>
  <c r="B523" i="8" a="1"/>
  <c r="B2107" i="8" a="1"/>
  <c r="B581" i="8" a="1"/>
  <c r="B336" i="8" a="1"/>
  <c r="B175" i="8" a="1"/>
  <c r="B3104" i="8" a="1"/>
  <c r="B2170" i="8" a="1"/>
  <c r="B114" i="8" a="1"/>
  <c r="B3272" i="8" a="1"/>
  <c r="B1178" i="8" a="1"/>
  <c r="B133" i="8" a="1"/>
  <c r="B3405" i="8" a="1"/>
  <c r="B3176" i="8" a="1"/>
  <c r="B1236" i="8" a="1"/>
  <c r="B3282" i="8" a="1"/>
  <c r="B2181" i="8" a="1"/>
  <c r="B2528" i="8" a="1"/>
  <c r="B178" i="8" a="1"/>
  <c r="B3175" i="8" a="1"/>
  <c r="B721" i="8" a="1"/>
  <c r="B14" i="8" a="1"/>
  <c r="B1870" i="8" a="1"/>
  <c r="B473" i="8" a="1"/>
  <c r="B538" i="8" a="1"/>
  <c r="B2354" i="8" a="1"/>
  <c r="B2548" i="8" a="1"/>
  <c r="B1342" i="8" a="1"/>
  <c r="B3170" i="8" a="1"/>
  <c r="B1971" i="8" a="1"/>
  <c r="B626" i="8" a="1"/>
  <c r="B1785" i="8" a="1"/>
  <c r="B847" i="8" a="1"/>
  <c r="B2075" i="8" a="1"/>
  <c r="B2849" i="8" a="1"/>
  <c r="B3370" i="8" a="1"/>
  <c r="B1200" i="8" a="1"/>
  <c r="B991" i="8" a="1"/>
  <c r="B1426" i="8" a="1"/>
  <c r="B2036" i="8" a="1"/>
  <c r="B1505" i="8" a="1"/>
  <c r="B2205" i="8" a="1"/>
  <c r="B3573" i="8" a="1"/>
  <c r="B1530" i="8" a="1"/>
  <c r="B1464" i="8" a="1"/>
  <c r="B435" i="8" a="1"/>
  <c r="B2810" i="8" a="1"/>
  <c r="B1268" i="8" a="1"/>
  <c r="B748" i="8" a="1"/>
  <c r="B237" i="8" a="1"/>
  <c r="B3530" i="8" a="1"/>
  <c r="B1077" i="8" a="1"/>
  <c r="B3209" i="8" a="1"/>
  <c r="B1239" i="8" a="1"/>
  <c r="B2211" i="8" a="1"/>
  <c r="B1901" i="8" a="1"/>
  <c r="B2736" i="8" a="1"/>
  <c r="B2415" i="8" a="1"/>
  <c r="B1004" i="8" a="1"/>
  <c r="B1294" i="8" a="1"/>
  <c r="B243" i="8" a="1"/>
  <c r="B1834" i="8" a="1"/>
  <c r="B687" i="8" a="1"/>
  <c r="B3038" i="8" a="1"/>
  <c r="B1076" i="8" a="1"/>
  <c r="B2876" i="8" a="1"/>
  <c r="B2960" i="8" a="1"/>
  <c r="B379" i="8" a="1"/>
  <c r="B937" i="8" a="1"/>
  <c r="B147" i="8" a="1"/>
  <c r="B1957" i="8" a="1"/>
  <c r="B2127" i="8" a="1"/>
  <c r="B2996" i="8" a="1"/>
  <c r="B2428" i="8" a="1"/>
  <c r="B182" i="8" a="1"/>
  <c r="B3349" i="8" a="1"/>
  <c r="B1959" i="8" a="1"/>
  <c r="B3502" i="8" a="1"/>
  <c r="B209" i="8" a="1"/>
  <c r="B3452" i="8" a="1"/>
  <c r="B1736" i="8" a="1"/>
  <c r="B1073" i="8" a="1"/>
  <c r="B277" i="8" a="1"/>
  <c r="B1926" i="8" a="1"/>
  <c r="B595" i="8" a="1"/>
  <c r="B2939" i="8" a="1"/>
  <c r="B3476" i="8" a="1"/>
  <c r="B1756" i="8" a="1"/>
  <c r="B2632" i="8" a="1"/>
  <c r="B3621" i="8" a="1"/>
  <c r="B1541" i="8" a="1"/>
  <c r="B1539" i="8" a="1"/>
  <c r="B2705" i="8" a="1"/>
  <c r="B1497" i="8" a="1"/>
  <c r="B2141" i="8" a="1"/>
  <c r="B2612" i="8" a="1"/>
  <c r="B1045" i="8" a="1"/>
  <c r="B1556" i="8" a="1"/>
  <c r="B2301" i="8" a="1"/>
  <c r="B880" i="8" a="1"/>
  <c r="B1214" i="8" a="1"/>
  <c r="B914" i="8" a="1"/>
  <c r="B1998" i="8" a="1"/>
  <c r="B1397" i="8" a="1"/>
  <c r="B2527" i="8" a="1"/>
  <c r="B2907" i="8" a="1"/>
  <c r="B950" i="8" a="1"/>
  <c r="B2111" i="8" a="1"/>
  <c r="B3217" i="8" a="1"/>
  <c r="B3496" i="8" a="1"/>
  <c r="B827" i="8" a="1"/>
  <c r="B1680" i="8" a="1"/>
  <c r="B3428" i="8" a="1"/>
  <c r="B2422" i="8" a="1"/>
  <c r="B2439" i="8" a="1"/>
  <c r="B2570" i="8" a="1"/>
  <c r="B1293" i="8" a="1"/>
  <c r="B2677" i="8" a="1"/>
  <c r="B1016" i="8" a="1"/>
  <c r="B3583" i="8" a="1"/>
  <c r="B3620" i="8" a="1"/>
  <c r="B1380" i="8" a="1"/>
  <c r="B3311" i="8" a="1"/>
  <c r="B3350" i="8" a="1"/>
  <c r="B78" i="8" a="1"/>
  <c r="B1310" i="8" a="1"/>
  <c r="B1511" i="8" a="1"/>
  <c r="B3312" i="8" a="1"/>
  <c r="B3378" i="8" a="1"/>
  <c r="B232" i="8" a="1"/>
  <c r="B1791" i="8" a="1"/>
  <c r="B3537" i="8" a="1"/>
  <c r="B1968" i="8" a="1"/>
  <c r="B2968" i="8" a="1"/>
  <c r="B3649" i="8" a="1"/>
  <c r="B671" i="8" a="1"/>
  <c r="B574" i="8" a="1"/>
  <c r="B912" i="8" a="1"/>
  <c r="B2202" i="8" a="1"/>
  <c r="B3194" i="8" a="1"/>
  <c r="B2507" i="8" a="1"/>
  <c r="B930" i="8" a="1"/>
  <c r="B2864" i="8" a="1"/>
  <c r="B3019" i="8" a="1"/>
  <c r="B2560" i="8" a="1"/>
  <c r="B2243" i="8" a="1"/>
  <c r="B613" i="8" a="1"/>
  <c r="B1301" i="8" a="1"/>
  <c r="B407" i="8" a="1"/>
  <c r="B1703" i="8" a="1"/>
  <c r="B2434" i="8" a="1"/>
  <c r="B2707" i="8" a="1"/>
  <c r="B601" i="8" a="1"/>
  <c r="B3260" i="8" a="1"/>
  <c r="B2948" i="8" a="1"/>
  <c r="B1508" i="8" a="1"/>
  <c r="B2946" i="8" a="1"/>
  <c r="B1258" i="8" a="1"/>
  <c r="B98" i="8" a="1"/>
  <c r="B2843" i="8" a="1"/>
  <c r="B1960" i="8" a="1"/>
  <c r="B2030" i="8" a="1"/>
  <c r="B3590" i="8" a="1"/>
  <c r="B2989" i="8" a="1"/>
  <c r="B3037" i="8" a="1"/>
  <c r="B3296" i="8" a="1"/>
  <c r="B3012" i="8" a="1"/>
  <c r="B1341" i="8" a="1"/>
  <c r="B1916" i="8" a="1"/>
  <c r="B609" i="8" a="1"/>
  <c r="B2771" i="8" a="1"/>
  <c r="B1518" i="8" a="1"/>
  <c r="B1676" i="8" a="1"/>
  <c r="B1707" i="8" a="1"/>
  <c r="B2607" i="8" a="1"/>
  <c r="B3637" i="8" a="1"/>
  <c r="B3180" i="8" a="1"/>
  <c r="B103" i="8" a="1"/>
  <c r="B2072" i="8" a="1"/>
  <c r="B155" i="8" a="1"/>
  <c r="B2206" i="8" a="1"/>
  <c r="B3507" i="8" a="1"/>
  <c r="B2275" i="8" a="1"/>
  <c r="B186" i="8" a="1"/>
  <c r="B2834" i="8" a="1"/>
  <c r="B3184" i="8" a="1"/>
  <c r="B2313" i="8" a="1"/>
  <c r="B3007" i="8" a="1"/>
  <c r="B2264" i="8" a="1"/>
  <c r="B1279" i="8" a="1"/>
  <c r="B460" i="8" a="1"/>
  <c r="B2746" i="8" a="1"/>
  <c r="B1801" i="8" a="1"/>
  <c r="B416" i="8" a="1"/>
  <c r="B60" i="8" a="1"/>
  <c r="B440" i="8" a="1"/>
  <c r="B93" i="8" a="1"/>
  <c r="B3009" i="8" a="1"/>
  <c r="B1907" i="8" a="1"/>
  <c r="B1571" i="8" a="1"/>
  <c r="B3553" i="8" a="1"/>
  <c r="B969" i="8" a="1"/>
  <c r="B693" i="8" a="1"/>
  <c r="B3619" i="8" a="1"/>
  <c r="B2041" i="8" a="1"/>
  <c r="B2246" i="8" a="1"/>
  <c r="B3013" i="8" a="1"/>
  <c r="B61" i="8" a="1"/>
  <c r="B702" i="8" a="1"/>
  <c r="B2526" i="8" a="1"/>
  <c r="B1152" i="8" a="1"/>
  <c r="B3426" i="8" a="1"/>
  <c r="B3156" i="8" a="1"/>
  <c r="B1974" i="8" a="1"/>
  <c r="B2541" i="8" a="1"/>
  <c r="B681" i="8" a="1"/>
  <c r="B1216" i="8" a="1"/>
  <c r="B977" i="8" a="1"/>
  <c r="B900" i="8" a="1"/>
  <c r="B1873" i="8" a="1"/>
  <c r="B2195" i="8" a="1"/>
  <c r="B2247" i="8" a="1"/>
  <c r="B796" i="8" a="1"/>
  <c r="B1145" i="8" a="1"/>
  <c r="B2741" i="8" a="1"/>
  <c r="B280" i="8" a="1"/>
  <c r="B1825" i="8" a="1"/>
  <c r="B234" i="8" a="1"/>
  <c r="B2370" i="8" a="1"/>
  <c r="B1804" i="8" a="1"/>
  <c r="B3495" i="8" a="1"/>
  <c r="B226" i="8" a="1"/>
  <c r="B2283" i="8" a="1"/>
  <c r="B1599" i="8" a="1"/>
  <c r="B2779" i="8" a="1"/>
  <c r="B2510" i="8" a="1"/>
  <c r="B3424" i="8" a="1"/>
  <c r="B1213" i="8" a="1"/>
  <c r="B592" i="8" a="1"/>
  <c r="B40" i="8" a="1"/>
  <c r="B1784" i="8" a="1"/>
  <c r="B658" i="8" a="1"/>
  <c r="B1313" i="8" a="1"/>
  <c r="B228" i="8" a="1"/>
  <c r="B2014" i="8" a="1"/>
  <c r="B3196" i="8" a="1"/>
  <c r="B3183" i="8" a="1"/>
  <c r="B684" i="8" a="1"/>
  <c r="B2944" i="8" a="1"/>
  <c r="B332" i="8" a="1"/>
  <c r="B2881" i="8" a="1"/>
  <c r="B149" i="8" a="1"/>
  <c r="B2709" i="8" a="1"/>
  <c r="B654" i="8" a="1"/>
  <c r="B643" i="8" a="1"/>
  <c r="B2865" i="8" a="1"/>
  <c r="B3456" i="8" a="1"/>
  <c r="B2385" i="8" a="1"/>
  <c r="B2518" i="8" a="1"/>
  <c r="B2224" i="8" a="1"/>
  <c r="B690" i="8" a="1"/>
  <c r="B505" i="8" a="1"/>
  <c r="B1354" i="8" a="1"/>
  <c r="B778" i="8" a="1"/>
  <c r="B500" i="8" a="1"/>
  <c r="B455" i="8" a="1"/>
  <c r="B1790" i="8" a="1"/>
  <c r="B888" i="8" a="1"/>
  <c r="B1041" i="8" a="1"/>
  <c r="B1166" i="8" a="1"/>
  <c r="B1869" i="8" a="1"/>
  <c r="B2991" i="8" a="1"/>
  <c r="B3210" i="8" a="1"/>
  <c r="B1040" i="8" a="1"/>
  <c r="B597" i="8" a="1"/>
  <c r="B84" i="8" a="1"/>
  <c r="B2545" i="8" a="1"/>
  <c r="B77" i="8" a="1"/>
  <c r="B506" i="8" a="1"/>
  <c r="B1670" i="8" a="1"/>
  <c r="B532" i="8" a="1"/>
  <c r="B2513" i="8" a="1"/>
  <c r="B1551" i="8" a="1"/>
  <c r="B1201" i="8" a="1"/>
  <c r="B2573" i="8" a="1"/>
  <c r="B982" i="8" a="1"/>
  <c r="B1349" i="8" a="1"/>
  <c r="B1661" i="8" a="1"/>
  <c r="B718" i="8" a="1"/>
  <c r="B2157" i="8" a="1"/>
  <c r="B265" i="8" a="1"/>
  <c r="B1776" i="8" a="1"/>
  <c r="B1162" i="8" a="1"/>
  <c r="B79" i="8" a="1"/>
  <c r="B2969" i="8" a="1"/>
  <c r="B635" i="8" a="1"/>
  <c r="B1453" i="8" a="1"/>
  <c r="B3549" i="8" a="1"/>
  <c r="B1419" i="8" a="1"/>
  <c r="B51" i="8" a="1"/>
  <c r="B903" i="8" a="1"/>
  <c r="B1212" i="8" a="1"/>
  <c r="B2517" i="8" a="1"/>
  <c r="B316" i="8" a="1"/>
  <c r="B1779" i="8" a="1"/>
  <c r="B443" i="8" a="1"/>
  <c r="B646" i="8" a="1"/>
  <c r="B3379" i="8" a="1"/>
  <c r="B3211" i="8" a="1"/>
  <c r="B1935" i="8" a="1"/>
  <c r="B125" i="8" a="1"/>
  <c r="B2397" i="8" a="1"/>
  <c r="B2265" i="8" a="1"/>
  <c r="B1047" i="8" a="1"/>
  <c r="B802" i="8" a="1"/>
  <c r="B2820" i="8" a="1"/>
  <c r="B2437" i="8" a="1"/>
  <c r="B452" i="8" a="1"/>
  <c r="B676" i="8" a="1"/>
  <c r="B2799" i="8" a="1"/>
  <c r="B3011" i="8" a="1"/>
  <c r="B696" i="8" a="1"/>
  <c r="B17" i="8" a="1"/>
  <c r="B883" i="8" a="1"/>
  <c r="B2248" i="8" a="1"/>
  <c r="B800" i="8" a="1"/>
  <c r="B1909" i="8" a="1"/>
  <c r="B3052" i="8" a="1"/>
  <c r="B1322" i="8" a="1"/>
  <c r="B121" i="8" a="1"/>
  <c r="B3228" i="8" a="1"/>
  <c r="B546" i="8" a="1"/>
  <c r="B2131" i="8" a="1"/>
  <c r="B388" i="8" a="1"/>
  <c r="B1747" i="8" a="1"/>
  <c r="B461" i="8" a="1"/>
  <c r="B811" i="8" a="1"/>
  <c r="B1351" i="8" a="1"/>
  <c r="B2500" i="8" a="1"/>
  <c r="B2324" i="8" a="1"/>
  <c r="B21" i="8" a="1"/>
  <c r="B1602" i="8" a="1"/>
  <c r="B382" i="8" a="1"/>
  <c r="B2815" i="8" a="1"/>
  <c r="B2917" i="8" a="1"/>
  <c r="B2579" i="8" a="1"/>
  <c r="B3087" i="8" a="1"/>
  <c r="B1059" i="8" a="1"/>
  <c r="B279" i="8" a="1"/>
  <c r="B3100" i="8" a="1"/>
  <c r="B2553" i="8" a="1"/>
  <c r="B1006" i="8" a="1"/>
  <c r="B350" i="8" a="1"/>
  <c r="B3101" i="8" a="1"/>
  <c r="B397" i="8" a="1"/>
  <c r="B1915" i="8" a="1"/>
  <c r="B3406" i="8" a="1"/>
  <c r="B1641" i="8" a="1"/>
  <c r="B636" i="8" a="1"/>
  <c r="B857" i="8" a="1"/>
  <c r="B2461" i="8" a="1"/>
  <c r="B1163" i="8" a="1"/>
  <c r="B1082" i="8" a="1"/>
  <c r="B645" i="8" a="1"/>
  <c r="B1557" i="8" a="1"/>
  <c r="B641" i="8" a="1"/>
  <c r="B1164" i="8" a="1"/>
  <c r="B2932" i="8" a="1"/>
  <c r="B2208" i="8" a="1"/>
  <c r="B845" i="8" a="1"/>
  <c r="B3242" i="8" a="1"/>
  <c r="B2561" i="8" a="1"/>
  <c r="B2788" i="8" a="1"/>
  <c r="B1305" i="8" a="1"/>
  <c r="B656" i="8" a="1"/>
  <c r="B3487" i="8" a="1"/>
  <c r="B298" i="8" a="1"/>
  <c r="B1228" i="8" a="1"/>
  <c r="B2156" i="8" a="1"/>
  <c r="B441" i="8" a="1"/>
  <c r="B3253" i="8" a="1"/>
  <c r="B1532" i="8" a="1"/>
  <c r="B2706" i="8" a="1"/>
  <c r="B288" i="8" a="1"/>
  <c r="B659" i="8" a="1"/>
  <c r="B662" i="8" a="1"/>
  <c r="B3169" i="8" a="1"/>
  <c r="B3005" i="8" a="1"/>
  <c r="B1842" i="8" a="1"/>
  <c r="B3599" i="8" a="1"/>
  <c r="B2750" i="8" a="1"/>
  <c r="B1767" i="8" a="1"/>
  <c r="B1545" i="8" a="1"/>
  <c r="B2547" i="8" a="1"/>
  <c r="B823" i="8" a="1"/>
  <c r="B259" i="8" a="1"/>
  <c r="B2401" i="8" a="1"/>
  <c r="B3112" i="8" a="1"/>
  <c r="B18" i="8" a="1"/>
  <c r="B287" i="8" a="1"/>
  <c r="B3028" i="8" a="1"/>
  <c r="B3321" i="8" a="1"/>
  <c r="B753" i="8" a="1"/>
  <c r="B542" i="8" a="1"/>
  <c r="B3646" i="8" a="1"/>
  <c r="B2752" i="8" a="1"/>
  <c r="B1312" i="8" a="1"/>
  <c r="B1021" i="8" a="1"/>
  <c r="B1876" i="8" a="1"/>
  <c r="B1739" i="8" a="1"/>
  <c r="B468" i="8" a="1"/>
  <c r="B353" i="8" a="1"/>
  <c r="B2599" i="8" a="1"/>
  <c r="B487" i="8" a="1"/>
  <c r="B1897" i="8" a="1"/>
  <c r="B1924" i="8" a="1"/>
  <c r="B2178" i="8" a="1"/>
  <c r="B1171" i="8" a="1"/>
  <c r="B199" i="8" a="1"/>
  <c r="B80" i="8" a="1"/>
  <c r="B95" i="8" a="1"/>
  <c r="B2832" i="8" a="1"/>
  <c r="B2485" i="8" a="1"/>
  <c r="B1223" i="8" a="1"/>
  <c r="B1883" i="8" a="1"/>
  <c r="B719" i="8" a="1"/>
  <c r="B3354" i="8" a="1"/>
  <c r="B3481" i="8" a="1"/>
  <c r="B464" i="8" a="1"/>
  <c r="B688" i="8" a="1"/>
  <c r="B1930" i="8" a="1"/>
  <c r="B3293" i="8" a="1"/>
  <c r="B3598" i="8" a="1"/>
  <c r="B2340" i="8" a="1"/>
  <c r="B1315" i="8" a="1"/>
  <c r="B1339" i="8" a="1"/>
  <c r="B1285" i="8" a="1"/>
  <c r="B325" i="8" a="1"/>
  <c r="B2408" i="8" a="1"/>
  <c r="B223" i="8" a="1"/>
  <c r="B354" i="8" a="1"/>
  <c r="B2733" i="8" a="1"/>
  <c r="B577" i="8" a="1"/>
  <c r="B3485" i="8" a="1"/>
  <c r="B3401" i="8" a="1"/>
  <c r="B1922" i="8" a="1"/>
  <c r="B789" i="8" a="1"/>
  <c r="B3072" i="8" a="1"/>
  <c r="B2830" i="8" a="1"/>
  <c r="B3437" i="8" a="1"/>
  <c r="B1889" i="8" a="1"/>
  <c r="B3202" i="8" a="1"/>
  <c r="B1543" i="8" a="1"/>
  <c r="B2335" i="8" a="1"/>
  <c r="B372" i="8" a="1"/>
  <c r="B2161" i="8" a="1"/>
  <c r="B3269" i="8" a="1"/>
  <c r="B1230" i="8" a="1"/>
  <c r="B3187" i="8" a="1"/>
  <c r="B745" i="8" a="1"/>
  <c r="B980" i="8" a="1"/>
  <c r="B3233" i="8" a="1"/>
  <c r="B2678" i="8" a="1"/>
  <c r="B1882" i="8" a="1"/>
  <c r="B3248" i="8" a="1"/>
  <c r="B1650" i="8" a="1"/>
  <c r="B973" i="8" a="1"/>
  <c r="B921" i="8" a="1"/>
  <c r="B2824" i="8" a="1"/>
  <c r="B885" i="8" a="1"/>
  <c r="B2087" i="8" a="1"/>
  <c r="B1537" i="8" a="1"/>
  <c r="B1371" i="8" a="1"/>
  <c r="B352" i="8" a="1"/>
  <c r="B2080" i="8" a="1"/>
  <c r="B1084" i="8" a="1"/>
  <c r="B3295" i="8" a="1"/>
  <c r="B1526" i="8" a="1"/>
  <c r="B560" i="8" a="1"/>
  <c r="B1712" i="8" a="1"/>
  <c r="B2140" i="8" a="1"/>
  <c r="B1549" i="8" a="1"/>
  <c r="B274" i="8" a="1"/>
  <c r="B348" i="8" a="1"/>
  <c r="B463" i="8" a="1"/>
  <c r="B3235" i="8" a="1"/>
  <c r="B1694" i="8" a="1"/>
  <c r="B1614" i="8" a="1"/>
  <c r="B894" i="8" a="1"/>
  <c r="B3604" i="8" a="1"/>
  <c r="B3118" i="8" a="1"/>
  <c r="B590" i="8" a="1"/>
  <c r="B1266" i="8" a="1"/>
  <c r="B2138" i="8" a="1"/>
  <c r="B2145" i="8" a="1"/>
  <c r="B2658" i="8" a="1"/>
  <c r="B3177" i="8" a="1"/>
  <c r="B1075" i="8" a="1"/>
  <c r="B1443" i="8" a="1"/>
  <c r="B76" i="8" a="1"/>
  <c r="B1488" i="8" a="1"/>
  <c r="B444" i="8" a="1"/>
  <c r="B3215" i="8" a="1"/>
  <c r="B1538" i="8" a="1"/>
  <c r="B1793" i="8" a="1"/>
  <c r="B2749" i="8" a="1"/>
  <c r="B467" i="8" a="1"/>
  <c r="B1217" i="8" a="1"/>
  <c r="B2090" i="8" a="1"/>
  <c r="B49" i="8" a="1"/>
  <c r="B1318" i="8" a="1"/>
  <c r="B3021" i="8" a="1"/>
  <c r="B1028" i="8" a="1"/>
  <c r="B3039" i="8" a="1"/>
  <c r="B3352" i="8" a="1"/>
  <c r="B430" i="8" a="1"/>
  <c r="B1410" i="8" a="1"/>
  <c r="B3034" i="8" a="1"/>
  <c r="B2601" i="8" a="1"/>
  <c r="B3422" i="8" a="1"/>
  <c r="B1477" i="8" a="1"/>
  <c r="B1653" i="8" a="1"/>
  <c r="B2654" i="8" a="1"/>
  <c r="B3106" i="8" a="1"/>
  <c r="B3098" i="8" a="1"/>
  <c r="B68" i="8" a="1"/>
  <c r="B2828" i="8" a="1"/>
  <c r="B1161" i="8" a="1"/>
  <c r="B2938" i="8" a="1"/>
  <c r="B2440" i="8" a="1"/>
  <c r="B2212" i="8" a="1"/>
  <c r="B2465" i="8" a="1"/>
  <c r="B2186" i="8" a="1"/>
  <c r="B2793" i="8" a="1"/>
  <c r="B774" i="8" a="1"/>
  <c r="B1993" i="8" a="1"/>
  <c r="B3584" i="8" a="1"/>
  <c r="B3429" i="8" a="1"/>
  <c r="B3511" i="8" a="1"/>
  <c r="B3585" i="8" a="1"/>
  <c r="B816" i="8" a="1"/>
  <c r="B1503" i="8" a="1"/>
  <c r="B2094" i="8" a="1"/>
  <c r="B3085" i="8" a="1"/>
  <c r="B122" i="8" a="1"/>
  <c r="B564" i="8" a="1"/>
  <c r="B3504" i="8" a="1"/>
  <c r="B3149" i="8" a="1"/>
  <c r="B2602" i="8" a="1"/>
  <c r="B2884" i="8" a="1"/>
  <c r="B2685" i="8" a="1"/>
  <c r="B1242" i="8" a="1"/>
  <c r="B3645" i="8" a="1"/>
  <c r="B1065" i="8" a="1"/>
  <c r="B3089" i="8" a="1"/>
  <c r="B1376" i="8" a="1"/>
  <c r="B2862" i="8" a="1"/>
  <c r="B1699" i="8" a="1"/>
  <c r="B1977" i="8" a="1"/>
  <c r="B624" i="8" a="1"/>
  <c r="B2407" i="8" a="1"/>
  <c r="B1352" i="8" a="1"/>
  <c r="B2835" i="8" a="1"/>
  <c r="B3457" i="8" a="1"/>
  <c r="B2714" i="8" a="1"/>
  <c r="B1995" i="8" a="1"/>
  <c r="B92" i="8" a="1"/>
  <c r="B1720" i="8" a="1"/>
  <c r="B446" i="8" a="1"/>
  <c r="B3125" i="8" a="1"/>
  <c r="B3421" i="8" a="1"/>
  <c r="B860" i="8" a="1"/>
  <c r="B451" i="8" a="1"/>
  <c r="B669" i="8" a="1"/>
  <c r="B1748" i="8" a="1"/>
  <c r="B736" i="8" a="1"/>
  <c r="B627" i="8" a="1"/>
  <c r="B1030" i="8" a="1"/>
  <c r="B628" i="8" a="1"/>
  <c r="B2657" i="8" a="1"/>
  <c r="B2882" i="8" a="1"/>
  <c r="B915" i="8" a="1"/>
  <c r="B159" i="8" a="1"/>
  <c r="B2978" i="8" a="1"/>
  <c r="B256" i="8" a="1"/>
  <c r="B1097" i="8" a="1"/>
  <c r="B3469" i="8" a="1"/>
  <c r="B2100" i="8" a="1"/>
  <c r="B2688" i="8" a="1"/>
  <c r="B1919" i="8" a="1"/>
  <c r="B3454" i="8" a="1"/>
  <c r="B993" i="8" a="1"/>
  <c r="B3128" i="8" a="1"/>
  <c r="B1027" i="8" a="1"/>
  <c r="B868" i="8" a="1"/>
  <c r="B708" i="8" a="1"/>
  <c r="B1438" i="8" a="1"/>
  <c r="B99" i="8" a="1"/>
  <c r="B534" i="8" a="1"/>
  <c r="B3076" i="8" a="1"/>
  <c r="B1912" i="8" a="1"/>
  <c r="B1002" i="8" a="1"/>
  <c r="B408" i="8" a="1"/>
  <c r="B1457" i="8" a="1"/>
  <c r="B2982" i="8" a="1"/>
  <c r="B3356" i="8" a="1"/>
  <c r="B3408" i="8" a="1"/>
  <c r="B715" i="8" a="1"/>
  <c r="B1264" i="8" a="1"/>
  <c r="B431" i="8" a="1"/>
  <c r="B1561" i="8" a="1"/>
  <c r="B2160" i="8" a="1"/>
  <c r="B1845" i="8" a="1"/>
  <c r="B457" i="8" a="1"/>
  <c r="B764" i="8" a="1"/>
  <c r="B3477" i="8" a="1"/>
  <c r="B2006" i="8" a="1"/>
  <c r="B1245" i="8" a="1"/>
  <c r="B1050" i="8" a="1"/>
  <c r="B1119" i="8" a="1"/>
  <c r="B268" i="8" a="1"/>
  <c r="B1123" i="8" a="1"/>
  <c r="B3284" i="8" a="1"/>
  <c r="B2" i="8" a="1"/>
  <c r="B44" i="8" a="1"/>
  <c r="B2350" i="8" a="1"/>
  <c r="B2242" i="8" a="1"/>
  <c r="B2464" i="8" a="1"/>
  <c r="B3092" i="8" a="1"/>
  <c r="B2348" i="8" a="1"/>
  <c r="B2432" i="8" a="1"/>
  <c r="B2515" i="8" a="1"/>
  <c r="B269" i="8" a="1"/>
  <c r="B1249" i="8" a="1"/>
  <c r="B2130" i="8" a="1"/>
  <c r="B1063" i="8" a="1"/>
  <c r="B579" i="8" a="1"/>
  <c r="B1844" i="8" a="1"/>
  <c r="B3294" i="8" a="1"/>
  <c r="B2543" i="8" a="1"/>
  <c r="B869" i="8" a="1"/>
  <c r="B2399" i="8" a="1"/>
  <c r="B1591" i="8" a="1"/>
  <c r="B2218" i="8" a="1"/>
  <c r="B285" i="8" a="1"/>
  <c r="B585" i="8" a="1"/>
  <c r="B2274" i="8" a="1"/>
  <c r="B3121" i="8" a="1"/>
  <c r="B3515" i="8" a="1"/>
  <c r="B910" i="8" a="1"/>
  <c r="B3308" i="8" a="1"/>
  <c r="B299" i="8" a="1"/>
  <c r="B836" i="8" a="1"/>
  <c r="B3050" i="8" a="1"/>
  <c r="B711" i="8" a="1"/>
  <c r="B2098" i="8" a="1"/>
  <c r="B2555" i="8" a="1"/>
  <c r="B1858" i="8" a="1"/>
  <c r="B2033" i="8" a="1"/>
  <c r="B3139" i="8" a="1"/>
  <c r="B3022" i="8" a="1"/>
  <c r="B2997" i="8" a="1"/>
  <c r="B1227" i="8" a="1"/>
  <c r="B2443" i="8" a="1"/>
  <c r="B413" i="8" a="1"/>
  <c r="B722" i="8" a="1"/>
  <c r="B761" i="8" a="1"/>
  <c r="B391" i="8" a="1"/>
  <c r="B3412" i="8" a="1"/>
  <c r="B2199" i="8" a="1"/>
  <c r="B1824" i="8" a="1"/>
  <c r="B1854" i="8" a="1"/>
  <c r="B493" i="8" a="1"/>
  <c r="B949" i="8" a="1"/>
  <c r="B2009" i="8" a="1"/>
  <c r="B1635" i="8" a="1"/>
  <c r="B1837" i="8" a="1"/>
  <c r="B1347" i="8" a="1"/>
  <c r="B100" i="8" a="1"/>
  <c r="B1990" i="8" a="1"/>
  <c r="B2104" i="8" a="1"/>
  <c r="B418" i="8" a="1"/>
  <c r="B1253" i="8" a="1"/>
  <c r="B1625" i="8" a="1"/>
  <c r="B740" i="8" a="1"/>
  <c r="B529" i="8" a="1"/>
  <c r="B2109" i="8" a="1"/>
  <c r="B1632" i="8" a="1"/>
  <c r="B3144" i="8" a="1"/>
  <c r="B2690" i="8" a="1"/>
  <c r="B1976" i="8" a="1"/>
  <c r="B999" i="8" a="1"/>
  <c r="B2423" i="8" a="1"/>
  <c r="B179" i="8" a="1"/>
  <c r="B2114" i="8" a="1"/>
  <c r="B1394" i="8" a="1"/>
  <c r="B2059" i="8" a="1"/>
  <c r="B2629" i="8" a="1"/>
  <c r="B685" i="8" a="1"/>
  <c r="B994" i="8" a="1"/>
  <c r="B2804" i="8" a="1"/>
  <c r="B3538" i="8" a="1"/>
  <c r="B3264" i="8" a="1"/>
  <c r="B2905" i="8" a="1"/>
  <c r="B260" i="8" a="1"/>
  <c r="B3544" i="8" a="1"/>
  <c r="B788" i="8" a="1"/>
  <c r="B2621" i="8" a="1"/>
  <c r="B2955" i="8" a="1"/>
  <c r="B2768" i="8" a="1"/>
  <c r="B3069" i="8" a="1"/>
  <c r="B1554" i="8" a="1"/>
  <c r="B2405" i="8" a="1"/>
  <c r="B383" i="8" a="1"/>
  <c r="B697" i="8" a="1"/>
  <c r="B207" i="8" a="1"/>
  <c r="B1327" i="8" a="1"/>
  <c r="B296" i="8" a="1"/>
  <c r="B3138" i="8" a="1"/>
  <c r="B2878" i="8" a="1"/>
  <c r="B2638" i="8" a="1"/>
  <c r="B723" i="8" a="1"/>
  <c r="B866" i="8" a="1"/>
  <c r="B2578" i="8" a="1"/>
  <c r="B399" i="8" a="1"/>
  <c r="B313" i="8" a="1"/>
  <c r="B2816" i="8" a="1"/>
  <c r="B638" i="8" a="1"/>
  <c r="B2933" i="8" a="1"/>
  <c r="B2023" i="8" a="1"/>
  <c r="B3273" i="8" a="1"/>
  <c r="B1569" i="8" a="1"/>
  <c r="B1280" i="8" a="1"/>
  <c r="B2068" i="8" a="1"/>
  <c r="B1639" i="8" a="1"/>
  <c r="B1994" i="8" a="1"/>
  <c r="B3446" i="8" a="1"/>
  <c r="B3122" i="8" a="1"/>
  <c r="B45" i="8" a="1"/>
  <c r="B1117" i="8" a="1"/>
  <c r="B553" i="8" a="1"/>
  <c r="B3067" i="8" a="1"/>
  <c r="B2549" i="8" a="1"/>
  <c r="B3463" i="8" a="1"/>
  <c r="B2198" i="8" a="1"/>
  <c r="B1576" i="8" a="1"/>
  <c r="B2151" i="8" a="1"/>
  <c r="B502" i="8" a="1"/>
  <c r="B339" i="8" a="1"/>
  <c r="B2662" i="8" a="1"/>
  <c r="B3578" i="8" a="1"/>
  <c r="B2241" i="8" a="1"/>
  <c r="B923" i="8" a="1"/>
  <c r="B3055" i="8" a="1"/>
  <c r="B1820" i="8" a="1"/>
  <c r="B3647" i="8" a="1"/>
  <c r="B1885" i="8" a="1"/>
  <c r="B1758" i="8" a="1"/>
  <c r="B1232" i="8" a="1"/>
  <c r="B2219" i="8" a="1"/>
  <c r="B803" i="8" a="1"/>
  <c r="B1961" i="8" a="1"/>
  <c r="B2893" i="8" a="1"/>
  <c r="B3425" i="8" a="1"/>
  <c r="B111" i="8" a="1"/>
  <c r="B1659" i="8" a="1"/>
  <c r="B2626" i="8" a="1"/>
  <c r="B1136" i="8" a="1"/>
  <c r="B2891" i="8" a="1"/>
  <c r="B2744" i="8" a="1"/>
  <c r="B1796" i="8" a="1"/>
  <c r="B20" i="8" a="1"/>
  <c r="B1157" i="8" a="1"/>
  <c r="B128" i="8" a="1"/>
  <c r="B3015" i="8" a="1"/>
  <c r="B1363" i="8" a="1"/>
  <c r="B2162" i="8" a="1"/>
  <c r="B1430" i="8" a="1"/>
  <c r="B1826" i="8" a="1"/>
  <c r="B777" i="8" a="1"/>
  <c r="B2320" i="8" a="1"/>
  <c r="B154" i="8" a="1"/>
  <c r="B2192" i="8" a="1"/>
  <c r="B2277" i="8" a="1"/>
  <c r="B2351" i="8" a="1"/>
  <c r="B1812" i="8" a="1"/>
  <c r="B2308" i="8" a="1"/>
  <c r="B1434" i="8" a="1"/>
  <c r="B1401" i="8" a="1"/>
  <c r="B879" i="8" a="1"/>
  <c r="B2890" i="8" a="1"/>
  <c r="B2017" i="8" a="1"/>
  <c r="B3172" i="8" a="1"/>
  <c r="B1859" i="8" a="1"/>
  <c r="B1353" i="8" a="1"/>
  <c r="B1088" i="8" a="1"/>
  <c r="B126" i="8" a="1"/>
  <c r="B300" i="8" a="1"/>
  <c r="B3314" i="8" a="1"/>
  <c r="B1634" i="8" a="1"/>
  <c r="B438" i="8" a="1"/>
  <c r="B2312" i="8" a="1"/>
  <c r="B295" i="8" a="1"/>
  <c r="B2842" i="8" a="1"/>
  <c r="B3186" i="8" a="1"/>
  <c r="B2409" i="8" a="1"/>
  <c r="B3190" i="8" a="1"/>
  <c r="B187" i="8" a="1"/>
  <c r="B2404" i="8" a="1"/>
  <c r="B1321" i="8" a="1"/>
  <c r="B1655" i="8" a="1"/>
  <c r="B755" i="8" a="1"/>
  <c r="B855" i="8" a="1"/>
  <c r="B2672" i="8" a="1"/>
  <c r="B1448" i="8" a="1"/>
  <c r="B1596" i="8" a="1"/>
  <c r="B158" i="8" a="1"/>
  <c r="B2489" i="8" a="1"/>
  <c r="B709" i="8" a="1"/>
  <c r="B2961" i="8" a="1"/>
  <c r="B2447" i="8" a="1"/>
  <c r="B1586" i="8" a="1"/>
  <c r="B583" i="8" a="1"/>
  <c r="B1355" i="8" a="1"/>
  <c r="B1346" i="8" a="1"/>
  <c r="B498" i="8" a="1"/>
  <c r="B3091" i="8" a="1"/>
  <c r="B2963" i="8" a="1"/>
  <c r="B790" i="8" a="1"/>
  <c r="B3386" i="8" a="1"/>
  <c r="B3200" i="8" a="1"/>
  <c r="B1032" i="8" a="1"/>
  <c r="B831" i="8" a="1"/>
  <c r="B1130" i="8" a="1"/>
  <c r="B2209" i="8" a="1"/>
  <c r="B727" i="8" a="1"/>
  <c r="B901" i="8" a="1"/>
  <c r="B623" i="8" a="1"/>
  <c r="B3129" i="8" a="1"/>
  <c r="B957" i="8" a="1"/>
  <c r="B604" i="8" a="1"/>
  <c r="B3130" i="8" a="1"/>
  <c r="B1138" i="8" a="1"/>
  <c r="B1118" i="8" a="1"/>
  <c r="B3618" i="8" a="1"/>
  <c r="B1344" i="8" a="1"/>
  <c r="B447" i="8" a="1"/>
  <c r="B1973" i="8" a="1"/>
  <c r="B3353" i="8" a="1"/>
  <c r="B2000" i="8" a="1"/>
  <c r="B717" i="8" a="1"/>
  <c r="B250" i="8" a="1"/>
  <c r="B1932" i="8" a="1"/>
  <c r="B356" i="8" a="1"/>
  <c r="B2679" i="8" a="1"/>
  <c r="B1942" i="8" a="1"/>
  <c r="B3500" i="8" a="1"/>
  <c r="B2137" i="8" a="1"/>
  <c r="B2483" i="8" a="1"/>
  <c r="B486" i="8" a="1"/>
  <c r="B454" i="8" a="1"/>
  <c r="B970" i="8" a="1"/>
  <c r="B327" i="8" a="1"/>
  <c r="B3001" i="8" a="1"/>
  <c r="B1144" i="8" a="1"/>
  <c r="B1669" i="8" a="1"/>
  <c r="B3066" i="8" a="1"/>
  <c r="B1764" i="8" a="1"/>
  <c r="B89" i="8" a="1"/>
  <c r="B3368" i="8" a="1"/>
  <c r="B2745" i="8" a="1"/>
  <c r="B3080" i="8" a="1"/>
  <c r="B1240" i="8" a="1"/>
  <c r="B806" i="8" a="1"/>
  <c r="B5" i="8" a="1"/>
  <c r="B1116" i="8" a="1"/>
  <c r="B1317" i="8" a="1"/>
  <c r="B1989" i="8" a="1"/>
  <c r="B404" i="8" a="1"/>
  <c r="B1046" i="8" a="1"/>
  <c r="B2268" i="8" a="1"/>
  <c r="B3404" i="8" a="1"/>
  <c r="B2825" i="8" a="1"/>
  <c r="B3082" i="8" a="1"/>
  <c r="B1529" i="8" a="1"/>
  <c r="B3613" i="8" a="1"/>
  <c r="B3559" i="8" a="1"/>
  <c r="B2872" i="8" a="1"/>
  <c r="B3554" i="8" a="1"/>
  <c r="B3004" i="8" a="1"/>
  <c r="B596" i="8" a="1"/>
  <c r="B1592" i="8" a="1"/>
  <c r="B338" i="8" a="1"/>
  <c r="B1910" i="8" a="1"/>
  <c r="B2729" i="8" a="1"/>
  <c r="B2701" i="8" a="1"/>
  <c r="B1745" i="8" a="1"/>
  <c r="B1946" i="8" a="1"/>
  <c r="B483" i="8" a="1"/>
  <c r="B1878" i="8" a="1"/>
  <c r="B3491" i="8" a="1"/>
  <c r="B1348" i="8" a="1"/>
  <c r="B263" i="8" a="1"/>
  <c r="B2057" i="8" a="1"/>
  <c r="B400" i="8" a="1"/>
  <c r="B113" i="8" a="1"/>
  <c r="B979" i="8" a="1"/>
  <c r="B2323" i="8" a="1"/>
  <c r="B3074" i="8" a="1"/>
  <c r="B224" i="8" a="1"/>
  <c r="B2847" i="8" a="1"/>
  <c r="B2537" i="8" a="1"/>
  <c r="B2287" i="8" a="1"/>
  <c r="B246" i="8" a="1"/>
  <c r="B787" i="8" a="1"/>
  <c r="B8" i="1" l="1"/>
  <c r="B1442" i="8"/>
  <c r="B147" i="8"/>
  <c r="B1653" i="8"/>
  <c r="B2274" i="8"/>
  <c r="B741" i="8"/>
  <c r="B1225" i="8"/>
  <c r="B2969" i="8"/>
  <c r="B255" i="8"/>
  <c r="B2911" i="8"/>
  <c r="B2665" i="8"/>
  <c r="B2191" i="8"/>
  <c r="B1428" i="8"/>
  <c r="B1352" i="8"/>
  <c r="B1386" i="8"/>
  <c r="B1521" i="8"/>
  <c r="B3409" i="8"/>
  <c r="B2480" i="8"/>
  <c r="B1358" i="8"/>
  <c r="B3030" i="8"/>
  <c r="B1472" i="8"/>
  <c r="B792" i="8"/>
  <c r="B2348" i="8"/>
  <c r="B627" i="8"/>
  <c r="B693" i="8"/>
  <c r="B1458" i="8"/>
  <c r="B1376" i="8"/>
  <c r="B2245" i="8"/>
  <c r="B317" i="8"/>
  <c r="B152" i="8"/>
  <c r="B1217" i="8"/>
  <c r="B308" i="8"/>
  <c r="B1369" i="8"/>
  <c r="B1165" i="8"/>
  <c r="B3386" i="8"/>
  <c r="B448" i="8"/>
  <c r="B89" i="8"/>
  <c r="B400" i="8"/>
  <c r="B248" i="8"/>
  <c r="B913" i="8"/>
  <c r="B1731" i="8"/>
  <c r="B104" i="8"/>
  <c r="B954" i="8"/>
  <c r="B729" i="8"/>
  <c r="B1568" i="8"/>
  <c r="B947" i="8"/>
  <c r="B1776" i="8"/>
  <c r="B2850" i="8"/>
  <c r="B2884" i="8"/>
  <c r="B653" i="8"/>
  <c r="B861" i="8"/>
  <c r="B914" i="8"/>
  <c r="D914" i="8" s="1"/>
  <c r="B863" i="8"/>
  <c r="B823" i="8"/>
  <c r="B1034" i="8"/>
  <c r="B2215" i="8"/>
  <c r="B2804" i="8"/>
  <c r="B1668" i="8"/>
  <c r="B3399" i="8"/>
  <c r="B911" i="8"/>
  <c r="B543" i="8"/>
  <c r="B888" i="8"/>
  <c r="B2281" i="8"/>
  <c r="B198" i="8"/>
  <c r="B2172" i="8"/>
  <c r="B1456" i="8"/>
  <c r="B2588" i="8"/>
  <c r="B3597" i="8"/>
  <c r="B2312" i="8"/>
  <c r="B831" i="8"/>
  <c r="B1142" i="8"/>
  <c r="B3266" i="8"/>
  <c r="B1245" i="8"/>
  <c r="B2410" i="8"/>
  <c r="B1923" i="8"/>
  <c r="B2758" i="8"/>
  <c r="B892" i="8"/>
  <c r="B2853" i="8"/>
  <c r="B1592" i="8"/>
  <c r="B998" i="8"/>
  <c r="B2419" i="8"/>
  <c r="B634" i="8"/>
  <c r="B322" i="8"/>
  <c r="B1291" i="8"/>
  <c r="B780" i="8"/>
  <c r="B2808" i="8"/>
  <c r="B906" i="8"/>
  <c r="B1197" i="8"/>
  <c r="B2023" i="8"/>
  <c r="B965" i="8"/>
  <c r="B2036" i="8"/>
  <c r="B2202" i="8"/>
  <c r="B33" i="8"/>
  <c r="B1273" i="8"/>
  <c r="B2873" i="8"/>
  <c r="B592" i="8"/>
  <c r="B804" i="8"/>
  <c r="B429" i="8"/>
  <c r="B391" i="8"/>
  <c r="B3347" i="8"/>
  <c r="B28" i="8"/>
  <c r="B3294" i="8"/>
  <c r="B3075" i="8"/>
  <c r="B486" i="8"/>
  <c r="B184" i="8"/>
  <c r="B656" i="8"/>
  <c r="B508" i="8"/>
  <c r="B1813" i="8"/>
  <c r="B2041" i="8"/>
  <c r="B2935" i="8"/>
  <c r="B2228" i="8"/>
  <c r="B1490" i="8"/>
  <c r="B526" i="8"/>
  <c r="B973" i="8"/>
  <c r="B177" i="8"/>
  <c r="B1802" i="8"/>
  <c r="B1121" i="8"/>
  <c r="B2516" i="8"/>
  <c r="B674" i="8"/>
  <c r="B418" i="8"/>
  <c r="B987" i="8"/>
  <c r="B1168" i="8"/>
  <c r="B2363" i="8"/>
  <c r="B364" i="8"/>
  <c r="B928" i="8"/>
  <c r="B3331" i="8"/>
  <c r="B1909" i="8"/>
  <c r="B2701" i="8"/>
  <c r="B568" i="8"/>
  <c r="B346" i="8"/>
  <c r="B2730" i="8"/>
  <c r="B554" i="8"/>
  <c r="B2005" i="8"/>
  <c r="B1508" i="8"/>
  <c r="B701" i="8"/>
  <c r="B15" i="8"/>
  <c r="B1728" i="8"/>
  <c r="B1908" i="8"/>
  <c r="B404" i="8"/>
  <c r="B833" i="8"/>
  <c r="B654" i="8"/>
  <c r="B867" i="8"/>
  <c r="B2912" i="8"/>
  <c r="B793" i="8"/>
  <c r="B388" i="8"/>
  <c r="B3119" i="8"/>
  <c r="B2154" i="8"/>
  <c r="B3387" i="8"/>
  <c r="B712" i="8"/>
  <c r="B2589" i="8"/>
  <c r="B923" i="8"/>
  <c r="B1736" i="8"/>
  <c r="B1722" i="8"/>
  <c r="B479" i="8"/>
  <c r="B738" i="8"/>
  <c r="B387" i="8"/>
  <c r="B2160" i="8"/>
  <c r="B213" i="8"/>
  <c r="B1329" i="8"/>
  <c r="B227" i="8"/>
  <c r="B1812" i="8"/>
  <c r="B464" i="8"/>
  <c r="B2355" i="8"/>
  <c r="B1916" i="8"/>
  <c r="B1920" i="8"/>
  <c r="B707" i="8"/>
  <c r="B960" i="8"/>
  <c r="B749" i="8"/>
  <c r="B3319" i="8"/>
  <c r="B2042" i="8"/>
  <c r="B430" i="8"/>
  <c r="B3156" i="8"/>
  <c r="B1771" i="8"/>
  <c r="B1811" i="8"/>
  <c r="B945" i="8"/>
  <c r="B3065" i="8"/>
  <c r="B1675" i="8"/>
  <c r="B1721" i="8"/>
  <c r="B933" i="8"/>
  <c r="B907" i="8"/>
  <c r="B431" i="8"/>
  <c r="B3161" i="8"/>
  <c r="B405" i="8"/>
  <c r="B325" i="8"/>
  <c r="B979" i="8"/>
  <c r="B143" i="8"/>
  <c r="B585" i="8"/>
  <c r="B2378" i="8"/>
  <c r="B1427" i="8"/>
  <c r="B61" i="8"/>
  <c r="B953" i="8"/>
  <c r="B608" i="8"/>
  <c r="B2898" i="8"/>
  <c r="B1694" i="8"/>
  <c r="B1950" i="8"/>
  <c r="B924" i="8"/>
  <c r="B19" i="8"/>
  <c r="B165" i="8"/>
  <c r="B1700" i="8"/>
  <c r="B2206" i="8"/>
  <c r="B507" i="8"/>
  <c r="B2439" i="8"/>
  <c r="B1435" i="8"/>
  <c r="B815" i="8"/>
  <c r="B333" i="8"/>
  <c r="B1182" i="8"/>
  <c r="B1629" i="8"/>
  <c r="B2120" i="8"/>
  <c r="B206" i="8"/>
  <c r="B1375" i="8"/>
  <c r="B826" i="8"/>
  <c r="B269" i="8"/>
  <c r="B1970" i="8"/>
  <c r="B2674" i="8"/>
  <c r="B1788" i="8"/>
  <c r="B1755" i="8"/>
  <c r="B113" i="8"/>
  <c r="B1664" i="8"/>
  <c r="B2980" i="8"/>
  <c r="B225" i="8"/>
  <c r="B2681" i="8"/>
  <c r="B1789" i="8"/>
  <c r="B1261" i="8"/>
  <c r="B4" i="8"/>
  <c r="B1338" i="8"/>
  <c r="B623" i="8"/>
  <c r="B3173" i="8"/>
  <c r="B603" i="8"/>
  <c r="B1231" i="8"/>
  <c r="B615" i="8"/>
  <c r="B3040" i="8"/>
  <c r="B814" i="8"/>
  <c r="B2503" i="8"/>
  <c r="B287" i="8"/>
  <c r="B2132" i="8"/>
  <c r="B2034" i="8"/>
  <c r="B2218" i="8"/>
  <c r="B2326" i="8"/>
  <c r="B1314" i="8"/>
  <c r="B620" i="8"/>
  <c r="B1308" i="8"/>
  <c r="B2835" i="8"/>
  <c r="B1089" i="8"/>
  <c r="B1170" i="8"/>
  <c r="B237" i="8"/>
  <c r="B2545" i="8"/>
  <c r="B1184" i="8"/>
  <c r="B2960" i="8"/>
  <c r="B893" i="8"/>
  <c r="B2688" i="8"/>
  <c r="B2263" i="8"/>
  <c r="B3481" i="8"/>
  <c r="B350" i="8"/>
  <c r="B1921" i="8"/>
  <c r="B106" i="8"/>
  <c r="B2832" i="8"/>
  <c r="B2144" i="8"/>
  <c r="B65" i="8"/>
  <c r="B164" i="8"/>
  <c r="B1832" i="8"/>
  <c r="B74" i="8"/>
  <c r="B1191" i="8"/>
  <c r="B1862" i="8"/>
  <c r="B2125" i="8"/>
  <c r="B2994" i="8"/>
  <c r="B1166" i="8"/>
  <c r="B2736" i="8"/>
  <c r="B1767" i="8"/>
  <c r="B2067" i="8"/>
  <c r="B2860" i="8"/>
  <c r="B2073" i="8"/>
  <c r="B986" i="8"/>
  <c r="B3083" i="8"/>
  <c r="B611" i="8"/>
  <c r="B1109" i="8"/>
  <c r="B1586" i="8"/>
  <c r="B1036" i="8"/>
  <c r="B249" i="8"/>
  <c r="B1466" i="8"/>
  <c r="B209" i="8"/>
  <c r="B702" i="8"/>
  <c r="B112" i="8"/>
  <c r="B1152" i="8"/>
  <c r="B2197" i="8"/>
  <c r="B813" i="8"/>
  <c r="B379" i="8"/>
  <c r="B298" i="8"/>
  <c r="B905" i="8"/>
  <c r="B754" i="8"/>
  <c r="B367" i="8"/>
  <c r="B1083" i="8"/>
  <c r="B904" i="8"/>
  <c r="B453" i="8"/>
  <c r="B119" i="8"/>
  <c r="B1064" i="8"/>
  <c r="B123" i="8"/>
  <c r="B607" i="8"/>
  <c r="B950" i="8"/>
  <c r="B39" i="8"/>
  <c r="B334" i="8"/>
  <c r="B1692" i="8"/>
  <c r="B2615" i="8"/>
  <c r="B3054" i="8"/>
  <c r="B208" i="8"/>
  <c r="B2000" i="8"/>
  <c r="B922" i="8"/>
  <c r="B802" i="8"/>
  <c r="B1212" i="8"/>
  <c r="B16" i="8"/>
  <c r="B816" i="8"/>
  <c r="B2521" i="8"/>
  <c r="B1281" i="8"/>
  <c r="B3092" i="8"/>
  <c r="B927" i="8"/>
  <c r="B1524" i="8"/>
  <c r="B578" i="8"/>
  <c r="B1346" i="8"/>
  <c r="B525" i="8"/>
  <c r="B2714" i="8"/>
  <c r="B1149" i="8"/>
  <c r="B243" i="8"/>
  <c r="B383" i="8"/>
  <c r="B800" i="8"/>
  <c r="B740" i="8"/>
  <c r="B3233" i="8"/>
  <c r="B1085" i="8"/>
  <c r="B494" i="8"/>
  <c r="B509" i="8"/>
  <c r="B461" i="8"/>
  <c r="B3243" i="8"/>
  <c r="B1169" i="8"/>
  <c r="B1032" i="8"/>
  <c r="B721" i="8"/>
  <c r="B1897" i="8"/>
  <c r="B1134" i="8"/>
  <c r="B207" i="8"/>
  <c r="B2248" i="8"/>
  <c r="B2277" i="8"/>
  <c r="B1398" i="8"/>
  <c r="B951" i="8"/>
  <c r="B1183" i="8"/>
  <c r="B3267" i="8"/>
  <c r="B221" i="8"/>
  <c r="B1238" i="8"/>
  <c r="B2708" i="8"/>
  <c r="B878" i="8"/>
  <c r="B984" i="8"/>
  <c r="B2554" i="8"/>
  <c r="B530" i="8"/>
  <c r="B2507" i="8"/>
  <c r="B270" i="8"/>
  <c r="B1244" i="8"/>
  <c r="B95" i="8"/>
  <c r="B245" i="8"/>
  <c r="B1820" i="8"/>
  <c r="B1206" i="8"/>
  <c r="B809" i="8"/>
  <c r="B192" i="8"/>
  <c r="B3038" i="8"/>
  <c r="B3457" i="8"/>
  <c r="B53" i="8"/>
  <c r="B852" i="8"/>
  <c r="B2865" i="8"/>
  <c r="B1833" i="8"/>
  <c r="B768" i="8"/>
  <c r="B2910" i="8"/>
  <c r="B235" i="8"/>
  <c r="B1882" i="8"/>
  <c r="B688" i="8"/>
  <c r="B59" i="8"/>
  <c r="B1670" i="8"/>
  <c r="B436" i="8"/>
  <c r="B1544" i="8"/>
  <c r="B1737" i="8"/>
  <c r="B755" i="8"/>
  <c r="B2866" i="8"/>
  <c r="B229" i="8"/>
  <c r="B1846" i="8"/>
  <c r="B2542" i="8"/>
  <c r="B668" i="8"/>
  <c r="B1705" i="8"/>
  <c r="B836" i="8"/>
  <c r="B632" i="8"/>
  <c r="B602" i="8"/>
  <c r="B2072" i="8"/>
  <c r="B2579" i="8"/>
  <c r="B454" i="8"/>
  <c r="B1035" i="8"/>
  <c r="B1598" i="8"/>
  <c r="B2001" i="8"/>
  <c r="B2717" i="8"/>
  <c r="B1148" i="8"/>
  <c r="B1531" i="8"/>
  <c r="B370" i="8"/>
  <c r="B2092" i="8"/>
  <c r="B639" i="8"/>
  <c r="B3395" i="8"/>
  <c r="B2890" i="8"/>
  <c r="B3015" i="8"/>
  <c r="B127" i="8"/>
  <c r="B773" i="8"/>
  <c r="B2167" i="8"/>
  <c r="B3330" i="8"/>
  <c r="B2338" i="8"/>
  <c r="B3515" i="8"/>
  <c r="B1610" i="8"/>
  <c r="B331" i="8"/>
  <c r="B1878" i="8"/>
  <c r="B3097" i="8"/>
  <c r="B1018" i="8"/>
  <c r="B9" i="8"/>
  <c r="B1000" i="8"/>
  <c r="B2190" i="8"/>
  <c r="B3099" i="8"/>
  <c r="B2361" i="8"/>
  <c r="B1003" i="8"/>
  <c r="B1994" i="8"/>
  <c r="B451" i="8"/>
  <c r="B2158" i="8"/>
  <c r="B1300" i="8"/>
  <c r="B1146" i="8"/>
  <c r="B1418" i="8"/>
  <c r="B43" i="8"/>
  <c r="B2010" i="8"/>
  <c r="B338" i="8"/>
  <c r="B1602" i="8"/>
  <c r="B2391" i="8"/>
  <c r="B406" i="8"/>
  <c r="B3179" i="8"/>
  <c r="B1707" i="8"/>
  <c r="B1883" i="8"/>
  <c r="B2396" i="8"/>
  <c r="B541" i="8"/>
  <c r="B870" i="8"/>
  <c r="B2339" i="8"/>
  <c r="B829" i="8"/>
  <c r="B349" i="8"/>
  <c r="B2377" i="8"/>
  <c r="B1450" i="8"/>
  <c r="B506" i="8"/>
  <c r="B1447" i="8"/>
  <c r="B1714" i="8"/>
  <c r="B2329" i="8"/>
  <c r="B173" i="8"/>
  <c r="B3525" i="8"/>
  <c r="B2954" i="8"/>
  <c r="B1260" i="8"/>
  <c r="B324" i="8"/>
  <c r="B676" i="8"/>
  <c r="B1621" i="8"/>
  <c r="B991" i="8"/>
  <c r="B226" i="8"/>
  <c r="B2327" i="8"/>
  <c r="B1333" i="8"/>
  <c r="B3645" i="8"/>
  <c r="B356" i="8"/>
  <c r="B1825" i="8"/>
  <c r="B5" i="8"/>
  <c r="B2257" i="8"/>
  <c r="B1128" i="8"/>
  <c r="B977" i="8"/>
  <c r="B214" i="8"/>
  <c r="B2258" i="8"/>
  <c r="B1178" i="8"/>
  <c r="B3603" i="8"/>
  <c r="B621" i="8"/>
  <c r="B1460" i="8"/>
  <c r="B1236" i="8"/>
  <c r="B657" i="8"/>
  <c r="B99" i="8"/>
  <c r="B1111" i="8"/>
  <c r="B2718" i="8"/>
  <c r="B2538" i="8"/>
  <c r="B1256" i="8"/>
  <c r="B819" i="8"/>
  <c r="B728" i="8"/>
  <c r="B1112" i="8"/>
  <c r="B2156" i="8"/>
  <c r="B1452" i="8"/>
  <c r="B2453" i="8"/>
  <c r="B347" i="8"/>
  <c r="B1609" i="8"/>
  <c r="B2807" i="8"/>
  <c r="B1885" i="8"/>
  <c r="B1010" i="8"/>
  <c r="B1095" i="8"/>
  <c r="B2320" i="8"/>
  <c r="B643" i="8"/>
  <c r="B2793" i="8"/>
  <c r="B1986" i="8"/>
  <c r="B1772" i="8"/>
  <c r="B2747" i="8"/>
  <c r="B666" i="8"/>
  <c r="B223" i="8"/>
  <c r="B1638" i="8"/>
  <c r="B2842" i="8"/>
  <c r="B698" i="8"/>
  <c r="B778" i="8"/>
  <c r="B2703" i="8"/>
  <c r="B1572" i="8"/>
  <c r="B3025" i="8"/>
  <c r="B1449" i="8"/>
  <c r="B682" i="8"/>
  <c r="B1467" i="8"/>
  <c r="B313" i="8"/>
  <c r="B1821" i="8"/>
  <c r="B3537" i="8"/>
  <c r="B827" i="8"/>
  <c r="B1098" i="8"/>
  <c r="B1622" i="8"/>
  <c r="B1454" i="8"/>
  <c r="B1405" i="8"/>
  <c r="B830" i="8"/>
  <c r="B1959" i="8"/>
  <c r="B3579" i="8"/>
  <c r="B522" i="8"/>
  <c r="B871" i="8"/>
  <c r="B3022" i="8"/>
  <c r="B2043" i="8"/>
  <c r="B457" i="8"/>
  <c r="B613" i="8"/>
  <c r="B1216" i="8"/>
  <c r="B441" i="8"/>
  <c r="B265" i="8"/>
  <c r="B2117" i="8"/>
  <c r="B3438" i="8"/>
  <c r="B91" i="8"/>
  <c r="B3162" i="8"/>
  <c r="B1432" i="8"/>
  <c r="B3208" i="8"/>
  <c r="B2362" i="8"/>
  <c r="B2224" i="8"/>
  <c r="B81" i="8"/>
  <c r="B2722" i="8"/>
  <c r="B220" i="8"/>
  <c r="B2078" i="8"/>
  <c r="B719" i="8"/>
  <c r="B2113" i="8"/>
  <c r="B1874" i="8"/>
  <c r="B2977" i="8"/>
  <c r="B292" i="8"/>
  <c r="B2390" i="8"/>
  <c r="B2118" i="8"/>
  <c r="B1201" i="8"/>
  <c r="B1759" i="8"/>
  <c r="B2264" i="8"/>
  <c r="B69" i="8"/>
  <c r="B1139" i="8"/>
  <c r="B686" i="8"/>
  <c r="B2251" i="8"/>
  <c r="B1332" i="8"/>
  <c r="B1561" i="8"/>
  <c r="B2214" i="8"/>
  <c r="B318" i="8"/>
  <c r="B478" i="8"/>
  <c r="B722" i="8"/>
  <c r="B1754" i="8"/>
  <c r="B847" i="8"/>
  <c r="B671" i="8"/>
  <c r="B2159" i="8"/>
  <c r="B1303" i="8"/>
  <c r="B1549" i="8"/>
  <c r="B2063" i="8"/>
  <c r="B471" i="8"/>
  <c r="B212" i="8"/>
  <c r="B1044" i="8"/>
  <c r="B2968" i="8"/>
  <c r="B1356" i="8"/>
  <c r="B1100" i="8"/>
  <c r="B860" i="8"/>
  <c r="B1810" i="8"/>
  <c r="B614" i="8"/>
  <c r="B503" i="8"/>
  <c r="B154" i="8"/>
  <c r="B563" i="8"/>
  <c r="B1237" i="8"/>
  <c r="B1826" i="8"/>
  <c r="B176" i="8"/>
  <c r="B2672" i="8"/>
  <c r="B1189" i="8"/>
  <c r="B1982" i="8"/>
  <c r="B963" i="8"/>
  <c r="B524" i="8"/>
  <c r="B1101" i="8"/>
  <c r="B1430" i="8"/>
  <c r="B3598" i="8"/>
  <c r="B1930" i="8"/>
  <c r="B587" i="8"/>
  <c r="B1202" i="8"/>
  <c r="B1918" i="8"/>
  <c r="B564" i="8"/>
  <c r="B79" i="8"/>
  <c r="B1350" i="8"/>
  <c r="B94" i="8"/>
  <c r="B1842" i="8"/>
  <c r="B642" i="8"/>
  <c r="B2029" i="8"/>
  <c r="B1002" i="8"/>
  <c r="B2756" i="8"/>
  <c r="B932" i="8"/>
  <c r="B395" i="8"/>
  <c r="B636" i="8"/>
  <c r="B187" i="8"/>
  <c r="B1590" i="8"/>
  <c r="B3355" i="8"/>
  <c r="B670" i="8"/>
  <c r="B540" i="8"/>
  <c r="B3245" i="8"/>
  <c r="B1503" i="8"/>
  <c r="B1086" i="8"/>
  <c r="B1179" i="8"/>
  <c r="B1234" i="8"/>
  <c r="B2317" i="8"/>
  <c r="B420" i="8"/>
  <c r="B655" i="8"/>
  <c r="B3107" i="8"/>
  <c r="B201" i="8"/>
  <c r="B373" i="8"/>
  <c r="B1519" i="8"/>
  <c r="B2683" i="8"/>
  <c r="B739" i="8"/>
  <c r="B3581" i="8"/>
  <c r="B1917" i="8"/>
  <c r="B3272" i="8"/>
  <c r="B7" i="8"/>
  <c r="B2107" i="8"/>
  <c r="B2506" i="8"/>
  <c r="B3402" i="8"/>
  <c r="B972" i="8"/>
  <c r="B46" i="8"/>
  <c r="B484" i="8"/>
  <c r="B510" i="8"/>
  <c r="B1342" i="8"/>
  <c r="B2559" i="8"/>
  <c r="B976" i="8"/>
  <c r="B2502" i="8"/>
  <c r="B782" i="8"/>
  <c r="B352" i="8"/>
  <c r="B696" i="8"/>
  <c r="B1286" i="8"/>
  <c r="B1562" i="8"/>
  <c r="B966" i="8"/>
  <c r="D966" i="8" s="1"/>
  <c r="B2576" i="8"/>
  <c r="B332" i="8"/>
  <c r="B690" i="8"/>
  <c r="B1187" i="8"/>
  <c r="B124" i="8"/>
  <c r="B1173" i="8"/>
  <c r="B866" i="8"/>
  <c r="B1290" i="8"/>
  <c r="B1946" i="8"/>
  <c r="B934" i="8"/>
  <c r="B725" i="8"/>
  <c r="B3003" i="8"/>
  <c r="B1706" i="8"/>
  <c r="B2152" i="8"/>
  <c r="B1595" i="8"/>
  <c r="B413" i="8"/>
  <c r="B1200" i="8"/>
  <c r="B1129" i="8"/>
  <c r="B887" i="8"/>
  <c r="B2268" i="8"/>
  <c r="B549" i="8"/>
  <c r="B278" i="8"/>
  <c r="B678" i="8"/>
  <c r="B1066" i="8"/>
  <c r="B2486" i="8"/>
  <c r="B1473" i="8"/>
  <c r="B3017" i="8"/>
  <c r="B2163" i="8"/>
  <c r="B730" i="8"/>
  <c r="B1266" i="8"/>
  <c r="B2189" i="8"/>
  <c r="B3005" i="8"/>
  <c r="B1425" i="8"/>
  <c r="B314" i="8"/>
  <c r="B473" i="8"/>
  <c r="B1464" i="8"/>
  <c r="B190" i="8"/>
  <c r="B1844" i="8"/>
  <c r="B886" i="8"/>
  <c r="B183" i="8"/>
  <c r="B1145" i="8"/>
  <c r="B579" i="8"/>
  <c r="B2680" i="8"/>
  <c r="B2548" i="8"/>
  <c r="B567" i="8"/>
  <c r="B1801" i="8"/>
  <c r="B1652" i="8"/>
  <c r="B1247" i="8"/>
  <c r="B675" i="8"/>
  <c r="B141" i="8"/>
  <c r="B1127" i="8"/>
  <c r="B569" i="8"/>
  <c r="B2544" i="8"/>
  <c r="B2394" i="8"/>
  <c r="B1875" i="8"/>
  <c r="B664" i="8"/>
  <c r="B828" i="8"/>
  <c r="B2053" i="8"/>
  <c r="B2079" i="8"/>
  <c r="B735" i="8"/>
  <c r="B487" i="8"/>
  <c r="B3170" i="8"/>
  <c r="B1284" i="8"/>
  <c r="B200" i="8"/>
  <c r="B2635" i="8"/>
  <c r="B22" i="8"/>
  <c r="B537" i="8"/>
  <c r="B845" i="8"/>
  <c r="B539" i="8"/>
  <c r="B382" i="8"/>
  <c r="B1024" i="8"/>
  <c r="B1573" i="8"/>
  <c r="B376" i="8"/>
  <c r="B2133" i="8"/>
  <c r="B1730" i="8"/>
  <c r="B3132" i="8"/>
  <c r="B1686" i="8"/>
  <c r="B1582" i="8"/>
  <c r="B493" i="8"/>
  <c r="B896" i="8"/>
  <c r="B1534" i="8"/>
  <c r="B474" i="8"/>
  <c r="B1047" i="8"/>
  <c r="B2909" i="8"/>
  <c r="B2891" i="8"/>
  <c r="B803" i="8"/>
  <c r="B552" i="8"/>
  <c r="B1453" i="8"/>
  <c r="B2651" i="8"/>
  <c r="B2485" i="8"/>
  <c r="B658" i="8"/>
  <c r="B149" i="8"/>
  <c r="B546" i="8"/>
  <c r="B49" i="8"/>
  <c r="B1317" i="8"/>
  <c r="B2450" i="8"/>
  <c r="B374" i="8"/>
  <c r="B438" i="8"/>
  <c r="B1794" i="8"/>
  <c r="B2483" i="8"/>
  <c r="B770" i="8"/>
  <c r="B962" i="8"/>
  <c r="B2872" i="8"/>
  <c r="B644" i="8"/>
  <c r="B1163" i="8"/>
  <c r="B1543" i="8"/>
  <c r="B3522" i="8"/>
  <c r="B3301" i="8"/>
  <c r="B109" i="8"/>
  <c r="B1773" i="8"/>
  <c r="B3618" i="8"/>
  <c r="B660" i="8"/>
  <c r="B2624" i="8"/>
  <c r="B1389" i="8"/>
  <c r="B3164" i="8"/>
  <c r="B1718" i="8"/>
  <c r="B1902" i="8"/>
  <c r="B2322" i="8"/>
  <c r="B2732" i="8"/>
  <c r="B841" i="8"/>
  <c r="B2575" i="8"/>
  <c r="B760" i="8"/>
  <c r="B2942" i="8"/>
  <c r="B3570" i="8"/>
  <c r="B649" i="8"/>
  <c r="B993" i="8"/>
  <c r="B231" i="8"/>
  <c r="B736" i="8"/>
  <c r="B2925" i="8"/>
  <c r="B492" i="8"/>
  <c r="B619" i="8"/>
  <c r="B1176" i="8"/>
  <c r="B2769" i="8"/>
  <c r="B443" i="8"/>
  <c r="B2671" i="8"/>
  <c r="B1404" i="8"/>
  <c r="B711" i="8"/>
  <c r="B375" i="8"/>
  <c r="B1215" i="8"/>
  <c r="B938" i="8"/>
  <c r="B818" i="8"/>
  <c r="B2921" i="8"/>
  <c r="B102" i="8"/>
  <c r="B1693" i="8"/>
  <c r="B789" i="8"/>
  <c r="B560" i="8"/>
  <c r="B1790" i="8"/>
  <c r="B2553" i="8"/>
  <c r="B2614" i="8"/>
  <c r="B480" i="8"/>
  <c r="B577" i="8"/>
  <c r="B1796" i="8"/>
  <c r="B397" i="8"/>
  <c r="B3276" i="8"/>
  <c r="B939" i="8"/>
  <c r="B2105" i="8"/>
  <c r="B599" i="8"/>
  <c r="B1640" i="8"/>
  <c r="B1929" i="8"/>
  <c r="B796" i="8"/>
  <c r="B26" i="8"/>
  <c r="B247" i="8"/>
  <c r="B3004" i="8"/>
  <c r="B1513" i="8"/>
  <c r="B3053" i="8"/>
  <c r="B683" i="8"/>
  <c r="B1808" i="8"/>
  <c r="B628" i="8"/>
  <c r="B3082" i="8"/>
  <c r="B2324" i="8"/>
  <c r="B635" i="8"/>
  <c r="B1417" i="8"/>
  <c r="B1075" i="8"/>
  <c r="B254" i="8"/>
  <c r="B1055" i="8"/>
  <c r="B3101" i="8"/>
  <c r="B1712" i="8"/>
  <c r="B616" i="8"/>
  <c r="B2990" i="8"/>
  <c r="B2291" i="8"/>
  <c r="B20" i="8"/>
  <c r="B723" i="8"/>
  <c r="B2341" i="8"/>
  <c r="B512" i="8"/>
  <c r="B1620" i="8"/>
  <c r="B419" i="8"/>
  <c r="B1585" i="8"/>
  <c r="B205" i="8"/>
  <c r="B3305" i="8"/>
  <c r="B610" i="8"/>
  <c r="B2679" i="8"/>
  <c r="B1545" i="8"/>
  <c r="B2101" i="8"/>
  <c r="B2830" i="8"/>
  <c r="B2999" i="8"/>
  <c r="B2182" i="8"/>
  <c r="B1175" i="8"/>
  <c r="B808" i="8"/>
  <c r="B992" i="8"/>
  <c r="B3507" i="8"/>
  <c r="B1190" i="8"/>
  <c r="B753" i="8"/>
  <c r="B2249" i="8"/>
  <c r="B1470" i="8"/>
  <c r="B1084" i="8"/>
  <c r="B385" i="8"/>
  <c r="B1965" i="8"/>
  <c r="B3447" i="8"/>
  <c r="B378" i="8"/>
  <c r="B805" i="8"/>
  <c r="B2138" i="8"/>
  <c r="B1597" i="8"/>
  <c r="B1193" i="8"/>
  <c r="B2817" i="8"/>
  <c r="B1021" i="8"/>
  <c r="B1903" i="8"/>
  <c r="B1928" i="8"/>
  <c r="B291" i="8"/>
  <c r="B2314" i="8"/>
  <c r="B450" i="8"/>
  <c r="B988" i="8"/>
  <c r="B2797" i="8"/>
  <c r="B422" i="8"/>
  <c r="B140" i="8"/>
  <c r="B342" i="8"/>
  <c r="B3496" i="8"/>
  <c r="B3191" i="8"/>
  <c r="B714" i="8"/>
  <c r="B1334" i="8"/>
  <c r="B2691" i="8"/>
  <c r="B341" i="8"/>
  <c r="B2998" i="8"/>
  <c r="B2022" i="8"/>
  <c r="B491" i="8"/>
  <c r="B765" i="8"/>
  <c r="B25" i="8"/>
  <c r="B1605" i="8"/>
  <c r="B1649" i="8"/>
  <c r="B228" i="8"/>
  <c r="B2137" i="8"/>
  <c r="B3420" i="8"/>
  <c r="B3345" i="8"/>
  <c r="B2546" i="8"/>
  <c r="B2196" i="8"/>
  <c r="B781" i="8"/>
  <c r="B1739" i="8"/>
  <c r="B2753" i="8"/>
  <c r="B3114" i="8"/>
  <c r="B1502" i="8"/>
  <c r="B710" i="8"/>
  <c r="B90" i="8"/>
  <c r="B339" i="8"/>
  <c r="B1886" i="8"/>
  <c r="B498" i="8"/>
  <c r="B1856" i="8"/>
  <c r="B2725" i="8"/>
  <c r="B3091" i="8"/>
  <c r="B1604" i="8"/>
  <c r="B455" i="8"/>
  <c r="B1477" i="8"/>
  <c r="B1298" i="8"/>
  <c r="B562" i="8"/>
  <c r="B294" i="8"/>
  <c r="B2399" i="8"/>
  <c r="B859" i="8"/>
  <c r="B681" i="8"/>
  <c r="B1255" i="8"/>
  <c r="B447" i="8"/>
  <c r="B282" i="8"/>
  <c r="B2284" i="8"/>
  <c r="B23" i="8"/>
  <c r="B1537" i="8"/>
  <c r="B1993" i="8"/>
  <c r="B748" i="8"/>
  <c r="B1106" i="8"/>
  <c r="B593" i="8"/>
  <c r="B2421" i="8"/>
  <c r="B724" i="8"/>
  <c r="B129" i="8"/>
  <c r="B2955" i="8"/>
  <c r="B304" i="8"/>
  <c r="B751" i="8"/>
  <c r="B1019" i="8"/>
  <c r="B303" i="8"/>
  <c r="B416" i="8"/>
  <c r="B1280" i="8"/>
  <c r="B1220" i="8"/>
  <c r="B351" i="8"/>
  <c r="B222" i="8"/>
  <c r="D222" i="8" s="1"/>
  <c r="B2199" i="8"/>
  <c r="B2075" i="8"/>
  <c r="B103" i="8"/>
  <c r="B11" i="8"/>
  <c r="B2372" i="8"/>
  <c r="B219" i="8"/>
  <c r="B2302" i="8"/>
  <c r="B1185" i="8"/>
  <c r="B1005" i="8"/>
  <c r="B268" i="8"/>
  <c r="B2597" i="8"/>
  <c r="B1515" i="8"/>
  <c r="B2846" i="8"/>
  <c r="B2639" i="8"/>
  <c r="B980" i="8"/>
  <c r="B519" i="8"/>
  <c r="B501" i="8"/>
  <c r="B236" i="8"/>
  <c r="B612" i="8"/>
  <c r="B883" i="8"/>
  <c r="B1387" i="8"/>
  <c r="B646" i="8"/>
  <c r="B536" i="8"/>
  <c r="B718" i="8"/>
  <c r="B839" i="8"/>
  <c r="B2080" i="8"/>
  <c r="B459" i="8"/>
  <c r="B203" i="8"/>
  <c r="B606" i="8"/>
  <c r="B857" i="8"/>
  <c r="B996" i="8"/>
  <c r="B2408" i="8"/>
  <c r="B865" i="8"/>
  <c r="B368" i="8"/>
  <c r="B1051" i="8"/>
  <c r="B110" i="8"/>
  <c r="D110" i="8" s="1"/>
  <c r="B257" i="8"/>
  <c r="B1046" i="8"/>
  <c r="B52" i="8"/>
  <c r="B775" i="8"/>
  <c r="B2071" i="8"/>
  <c r="B918" i="8"/>
  <c r="B944" i="8"/>
  <c r="B582" i="8"/>
  <c r="B2477" i="8"/>
  <c r="B1043" i="8"/>
  <c r="B62" i="8"/>
  <c r="B488" i="8"/>
  <c r="D488" i="8" s="1"/>
  <c r="B716" i="8"/>
  <c r="B1079" i="8"/>
  <c r="B513" i="8"/>
  <c r="B2855" i="8"/>
  <c r="B1645" i="8"/>
  <c r="B3295" i="8"/>
  <c r="B2768" i="8"/>
  <c r="B241" i="8"/>
  <c r="B1677" i="8"/>
  <c r="B2713" i="8"/>
  <c r="B276" i="8"/>
  <c r="B2134" i="8"/>
  <c r="B2081" i="8"/>
  <c r="B1099" i="8"/>
  <c r="B116" i="8"/>
  <c r="B1419" i="8"/>
  <c r="B779" i="8"/>
  <c r="B2495" i="8"/>
  <c r="B1400" i="8"/>
  <c r="B1082" i="8"/>
  <c r="B795" i="8"/>
  <c r="B348" i="8"/>
  <c r="B759" i="8"/>
  <c r="B2019" i="8"/>
  <c r="B645" i="8"/>
  <c r="B767" i="8"/>
  <c r="B138" i="8"/>
  <c r="B1922" i="8"/>
  <c r="B1666" i="8"/>
  <c r="B624" i="8"/>
  <c r="B942" i="8"/>
  <c r="B3626" i="8"/>
  <c r="B315" i="8"/>
  <c r="D315" i="8" s="1"/>
  <c r="B2198" i="8"/>
  <c r="B1782" i="8"/>
  <c r="B256" i="8"/>
  <c r="B528" i="8"/>
  <c r="B1849" i="8"/>
  <c r="B1413" i="8"/>
  <c r="B2745" i="8"/>
  <c r="B156" i="8"/>
  <c r="B1074" i="8"/>
  <c r="B3228" i="8"/>
  <c r="B2388" i="8"/>
  <c r="B2124" i="8"/>
  <c r="B1818" i="8"/>
  <c r="B72" i="8"/>
  <c r="B1766" i="8"/>
  <c r="B1097" i="8"/>
  <c r="B437" i="8"/>
  <c r="B935" i="8"/>
  <c r="D935" i="8" s="1"/>
  <c r="B2556" i="8"/>
  <c r="B2475" i="8"/>
  <c r="B311" i="8"/>
  <c r="B920" i="8"/>
  <c r="B891" i="8"/>
  <c r="B2204" i="8"/>
  <c r="B60" i="8"/>
  <c r="B1485" i="8"/>
  <c r="B1971" i="8"/>
  <c r="B440" i="8"/>
  <c r="B832" i="8"/>
  <c r="B2082" i="8"/>
  <c r="B18" i="8"/>
  <c r="B1446" i="8"/>
  <c r="B700" i="8"/>
  <c r="B769" i="8"/>
  <c r="B296" i="8"/>
  <c r="B2145" i="8"/>
  <c r="B926" i="8"/>
  <c r="B2332" i="8"/>
  <c r="B574" i="8"/>
  <c r="B299" i="8"/>
  <c r="B684" i="8"/>
  <c r="B1140" i="8"/>
  <c r="B1105" i="8"/>
  <c r="B1081" i="8"/>
  <c r="B2405" i="8"/>
  <c r="B446" i="8"/>
  <c r="B263" i="8"/>
  <c r="B846" i="8"/>
  <c r="B756" i="8"/>
  <c r="B1938" i="8"/>
  <c r="B3165" i="8"/>
  <c r="B1341" i="8"/>
  <c r="B335" i="8"/>
  <c r="B1080" i="8"/>
  <c r="B93" i="8"/>
  <c r="B2230" i="8"/>
  <c r="B957" i="8"/>
  <c r="B1850" i="8"/>
  <c r="B895" i="8"/>
  <c r="B699" i="8"/>
  <c r="B2360" i="8"/>
  <c r="B1563" i="8"/>
  <c r="B1837" i="8"/>
  <c r="B2609" i="8"/>
  <c r="B3463" i="8"/>
  <c r="B1230" i="8"/>
  <c r="B2143" i="8"/>
  <c r="B2140" i="8"/>
  <c r="B1520" i="8"/>
  <c r="B414" i="8"/>
  <c r="B3467" i="8"/>
  <c r="B3277" i="8"/>
  <c r="D3277" i="8" s="1"/>
  <c r="B2011" i="8"/>
  <c r="B239" i="8"/>
  <c r="B2764" i="8"/>
  <c r="B527" i="8"/>
  <c r="B1669" i="8"/>
  <c r="B2104" i="8"/>
  <c r="B1181" i="8"/>
  <c r="B408" i="8"/>
  <c r="B3436" i="8"/>
  <c r="B629" i="8"/>
  <c r="B937" i="8"/>
  <c r="B834" i="8"/>
  <c r="B215" i="8"/>
  <c r="B774" i="8"/>
  <c r="B2048" i="8"/>
  <c r="B2787" i="8"/>
  <c r="B1465" i="8"/>
  <c r="B1263" i="8"/>
  <c r="B1682" i="8"/>
  <c r="B1448" i="8"/>
  <c r="B604" i="8"/>
  <c r="B590" i="8"/>
  <c r="B390" i="8"/>
  <c r="B2299" i="8"/>
  <c r="B320" i="8"/>
  <c r="B557" i="8"/>
  <c r="B344" i="8"/>
  <c r="B518" i="8"/>
  <c r="B3464" i="8"/>
  <c r="B2783" i="8"/>
  <c r="B1662" i="8"/>
  <c r="B1209" i="8"/>
  <c r="B2463" i="8"/>
  <c r="B3062" i="8"/>
  <c r="B121" i="8"/>
  <c r="B1461" i="8"/>
  <c r="B2627" i="8"/>
  <c r="B186" i="8"/>
  <c r="B1059" i="8"/>
  <c r="B1752" i="8"/>
  <c r="B743" i="8"/>
  <c r="B822" i="8"/>
  <c r="B784" i="8"/>
  <c r="B1053" i="8"/>
  <c r="B2065" i="8"/>
  <c r="B1013" i="8"/>
  <c r="B580" i="8"/>
  <c r="B21" i="8"/>
  <c r="B258" i="8"/>
  <c r="B1857" i="8"/>
  <c r="B2040" i="8"/>
  <c r="B279" i="8"/>
  <c r="B3557" i="8"/>
  <c r="B42" i="8"/>
  <c r="B1382" i="8"/>
  <c r="B1240" i="8"/>
  <c r="B36" i="8"/>
  <c r="B884" i="8"/>
  <c r="B3152" i="8"/>
  <c r="B853" i="8"/>
  <c r="B633" i="8"/>
  <c r="B3320" i="8"/>
  <c r="B44" i="8"/>
  <c r="B456" i="8"/>
  <c r="B1297" i="8"/>
  <c r="B2293" i="8"/>
  <c r="B848" i="8"/>
  <c r="B84" i="8"/>
  <c r="B916" i="8"/>
  <c r="B2604" i="8"/>
  <c r="B150" i="8"/>
  <c r="B2275" i="8"/>
  <c r="B1497" i="8"/>
  <c r="B517" i="8"/>
  <c r="B2724" i="8"/>
  <c r="B1926" i="8"/>
  <c r="B483" i="8"/>
  <c r="B572" i="8"/>
  <c r="B3343" i="8"/>
  <c r="B56" i="8"/>
  <c r="B542" i="8"/>
  <c r="D542" i="8" s="1"/>
  <c r="B1357" i="8"/>
  <c r="B2239" i="8"/>
  <c r="B2006" i="8"/>
  <c r="B2739" i="8"/>
  <c r="B941" i="8"/>
  <c r="B1052" i="8"/>
  <c r="B87" i="8"/>
  <c r="B107" i="8"/>
  <c r="B1932" i="8"/>
  <c r="B2311" i="8"/>
  <c r="B1723" i="8"/>
  <c r="B1892" i="8"/>
  <c r="B191" i="8"/>
  <c r="B2580" i="8"/>
  <c r="B2068" i="8"/>
  <c r="B570" i="8"/>
  <c r="B2309" i="8"/>
  <c r="B3251" i="8"/>
  <c r="B1764" i="8"/>
  <c r="B2773" i="8"/>
  <c r="B2290" i="8"/>
  <c r="B3215" i="8"/>
  <c r="B2482" i="8"/>
  <c r="B66" i="8"/>
  <c r="B2822" i="8"/>
  <c r="B2552" i="8"/>
  <c r="B855" i="8"/>
  <c r="B377" i="8"/>
  <c r="B2441" i="8"/>
  <c r="B917" i="8"/>
  <c r="B1656" i="8"/>
  <c r="B797" i="8"/>
  <c r="B302" i="8"/>
  <c r="B362" i="8"/>
  <c r="B162" i="8"/>
  <c r="B817" i="8"/>
  <c r="B1632" i="8"/>
  <c r="B2673" i="8"/>
  <c r="D2673" i="8" s="1"/>
  <c r="B1650" i="8"/>
  <c r="D1650" i="8" s="1"/>
  <c r="B2383" i="8"/>
  <c r="B981" i="8"/>
  <c r="B2932" i="8"/>
  <c r="B2305" i="8"/>
  <c r="B3044" i="8"/>
  <c r="B900" i="8"/>
  <c r="B2709" i="8"/>
  <c r="B547" i="8"/>
  <c r="B2401" i="8"/>
  <c r="B3206" i="8"/>
  <c r="B24" i="8"/>
  <c r="B1088" i="8"/>
  <c r="B1934" i="8"/>
  <c r="B2084" i="8"/>
  <c r="B1740" i="8"/>
  <c r="B2529" i="8"/>
  <c r="B2150" i="8"/>
  <c r="B78" i="8"/>
  <c r="B1323" i="8"/>
  <c r="B2509" i="8"/>
  <c r="B1060" i="8"/>
  <c r="B2988" i="8"/>
  <c r="B224" i="8"/>
  <c r="B787" i="8"/>
  <c r="B452" i="8"/>
  <c r="B1135" i="8"/>
  <c r="B2177" i="8"/>
  <c r="B2933" i="8"/>
  <c r="B872" i="8"/>
  <c r="B1819" i="8"/>
  <c r="B1729" i="8"/>
  <c r="D1729" i="8" s="1"/>
  <c r="B2716" i="8"/>
  <c r="B196" i="8"/>
  <c r="B575" i="8"/>
  <c r="B1262" i="8"/>
  <c r="B2235" i="8"/>
  <c r="B3556" i="8"/>
  <c r="B286" i="8"/>
  <c r="B788" i="8"/>
  <c r="B1251" i="8"/>
  <c r="B1077" i="8"/>
  <c r="B801" i="8"/>
  <c r="B1588" i="8"/>
  <c r="B496" i="8"/>
  <c r="B316" i="8"/>
  <c r="B32" i="8"/>
  <c r="B873" i="8"/>
  <c r="B885" i="8"/>
  <c r="B366" i="8"/>
  <c r="B2761" i="8"/>
  <c r="B2353" i="8"/>
  <c r="B1243" i="8"/>
  <c r="B402" i="8"/>
  <c r="B1381" i="8"/>
  <c r="B2447" i="8"/>
  <c r="B41" i="8"/>
  <c r="B1026" i="8"/>
  <c r="B2261" i="8"/>
  <c r="B3063" i="8"/>
  <c r="B515" i="8"/>
  <c r="B194" i="8"/>
  <c r="B1628" i="8"/>
  <c r="B715" i="8"/>
  <c r="B2810" i="8"/>
  <c r="B665" i="8"/>
  <c r="B77" i="8"/>
  <c r="B185" i="8"/>
  <c r="B48" i="8"/>
  <c r="B2661" i="8"/>
  <c r="B2504" i="8"/>
  <c r="B566" i="8"/>
  <c r="B170" i="8"/>
  <c r="B651" i="8"/>
  <c r="B2046" i="8"/>
  <c r="B3324" i="8"/>
  <c r="B1194" i="8"/>
  <c r="B2493" i="8"/>
  <c r="B117" i="8"/>
  <c r="B137" i="8"/>
  <c r="B758" i="8"/>
  <c r="B1807" i="8"/>
  <c r="B1554" i="8"/>
  <c r="B2702" i="8"/>
  <c r="B2600" i="8"/>
  <c r="B1783" i="8"/>
  <c r="B1394" i="8"/>
  <c r="B1087" i="8"/>
  <c r="B2018" i="8"/>
  <c r="B2110" i="8"/>
  <c r="B2599" i="8"/>
  <c r="B771" i="8"/>
  <c r="D771" i="8" s="1"/>
  <c r="B2108" i="8"/>
  <c r="B673" i="8"/>
  <c r="B1999" i="8"/>
  <c r="B71" i="8"/>
  <c r="B555" i="8"/>
  <c r="B131" i="8"/>
  <c r="B1351" i="8"/>
  <c r="B2788" i="8"/>
  <c r="B1188" i="8"/>
  <c r="B558" i="8"/>
  <c r="B544" i="8"/>
  <c r="B1030" i="8"/>
  <c r="B2106" i="8"/>
  <c r="B2737" i="8"/>
  <c r="B172" i="8"/>
  <c r="B561" i="8"/>
  <c r="B3344" i="8"/>
  <c r="B2780" i="8"/>
  <c r="B2153" i="8"/>
  <c r="B647" i="8"/>
  <c r="B75" i="8"/>
  <c r="B1069" i="8"/>
  <c r="B481" i="8"/>
  <c r="B3511" i="8"/>
  <c r="B2920" i="8"/>
  <c r="B689" i="8"/>
  <c r="B2024" i="8"/>
  <c r="B591" i="8"/>
  <c r="B470" i="8"/>
  <c r="B114" i="8"/>
  <c r="B2814" i="8"/>
  <c r="B1784" i="8"/>
  <c r="B3070" i="8"/>
  <c r="B306" i="8"/>
  <c r="B2790" i="8"/>
  <c r="B1742" i="8"/>
  <c r="B2596" i="8"/>
  <c r="B742" i="8"/>
  <c r="B1484" i="8"/>
  <c r="B2270" i="8"/>
  <c r="B130" i="8"/>
  <c r="B1119" i="8"/>
  <c r="B1006" i="8"/>
  <c r="B571" i="8"/>
  <c r="B3020" i="8"/>
  <c r="B3280" i="8"/>
  <c r="B2456" i="8"/>
  <c r="B3483" i="8"/>
  <c r="B978" i="8"/>
  <c r="B2123" i="8"/>
  <c r="B2809" i="8"/>
  <c r="D2809" i="8" s="1"/>
  <c r="B280" i="8"/>
  <c r="B3360" i="8"/>
  <c r="B410" i="8"/>
  <c r="B1806" i="8"/>
  <c r="B626" i="8"/>
  <c r="B1362" i="8"/>
  <c r="B1977" i="8"/>
  <c r="B2267" i="8"/>
  <c r="B2946" i="8"/>
  <c r="B2306" i="8"/>
  <c r="B1479" i="8"/>
  <c r="B290" i="8"/>
  <c r="B1890" i="8"/>
  <c r="B1526" i="8"/>
  <c r="B2471" i="8"/>
  <c r="B3430" i="8"/>
  <c r="B849" i="8"/>
  <c r="B1580" i="8"/>
  <c r="B1911" i="8"/>
  <c r="B2012" i="8"/>
  <c r="B1976" i="8"/>
  <c r="B1296" i="8"/>
  <c r="B2782" i="8"/>
  <c r="B3253" i="8"/>
  <c r="B423" i="8"/>
  <c r="B2017" i="8"/>
  <c r="B1310" i="8"/>
  <c r="B1717" i="8"/>
  <c r="B2025" i="8"/>
  <c r="B901" i="8"/>
  <c r="B50" i="8"/>
  <c r="B271" i="8"/>
  <c r="B2262" i="8"/>
  <c r="B959" i="8"/>
  <c r="B2058" i="8"/>
  <c r="B2335" i="8"/>
  <c r="B1207" i="8"/>
  <c r="B3226" i="8"/>
  <c r="B551" i="8"/>
  <c r="B1716" i="8"/>
  <c r="B2295" i="8"/>
  <c r="B1904" i="8"/>
  <c r="B468" i="8"/>
  <c r="B1495" i="8"/>
  <c r="B1957" i="8"/>
  <c r="B2464" i="8"/>
  <c r="B392" i="8"/>
  <c r="B250" i="8"/>
  <c r="D250" i="8" s="1"/>
  <c r="B2225" i="8"/>
  <c r="B1969" i="8"/>
  <c r="B1154" i="8"/>
  <c r="B2622" i="8"/>
  <c r="B556" i="8"/>
  <c r="B835" i="8"/>
  <c r="B1915" i="8"/>
  <c r="B1778" i="8"/>
  <c r="B2816" i="8"/>
  <c r="B238" i="8"/>
  <c r="B2127" i="8"/>
  <c r="B1777" i="8"/>
  <c r="B1017" i="8"/>
  <c r="B2607" i="8"/>
  <c r="B2711" i="8"/>
  <c r="B1478" i="8"/>
  <c r="B394" i="8"/>
  <c r="B1525" i="8"/>
  <c r="B1641" i="8"/>
  <c r="B2126" i="8"/>
  <c r="B2945" i="8"/>
  <c r="B2877" i="8"/>
  <c r="B155" i="8"/>
  <c r="B1658" i="8"/>
  <c r="B2886" i="8"/>
  <c r="B1981" i="8"/>
  <c r="B1029" i="8"/>
  <c r="B133" i="8"/>
  <c r="B3601" i="8"/>
  <c r="B125" i="8"/>
  <c r="B2527" i="8"/>
  <c r="B1004" i="8"/>
  <c r="B45" i="8"/>
  <c r="B64" i="8"/>
  <c r="B1803" i="8"/>
  <c r="B3545" i="8"/>
  <c r="B1211" i="8"/>
  <c r="B2343" i="8"/>
  <c r="B204" i="8"/>
  <c r="B1123" i="8"/>
  <c r="B1227" i="8"/>
  <c r="B2630" i="8"/>
  <c r="B482" i="8"/>
  <c r="B2603" i="8"/>
  <c r="B1822" i="8"/>
  <c r="B2731" i="8"/>
  <c r="B879" i="8"/>
  <c r="B713" i="8"/>
  <c r="B3283" i="8"/>
  <c r="B2234" i="8"/>
  <c r="B442" i="8"/>
  <c r="B1760" i="8"/>
  <c r="B3309" i="8"/>
  <c r="B687" i="8"/>
  <c r="B1401" i="8"/>
  <c r="B2183" i="8"/>
  <c r="D2183" i="8" s="1"/>
  <c r="B68" i="8"/>
  <c r="B3244" i="8"/>
  <c r="B415" i="8"/>
  <c r="B1518" i="8"/>
  <c r="B357" i="8"/>
  <c r="B958" i="8"/>
  <c r="B1443" i="8"/>
  <c r="B472" i="8"/>
  <c r="B731" i="8"/>
  <c r="B1891" i="8"/>
  <c r="B2357" i="8"/>
  <c r="B146" i="8"/>
  <c r="B2757" i="8"/>
  <c r="B1305" i="8"/>
  <c r="B2256" i="8"/>
  <c r="B3621" i="8"/>
  <c r="B677" i="8"/>
  <c r="B850" i="8"/>
  <c r="B2944" i="8"/>
  <c r="B1436" i="8"/>
  <c r="B1538" i="8"/>
  <c r="B2229" i="8"/>
  <c r="B2003" i="8"/>
  <c r="B1353" i="8"/>
  <c r="B764" i="8"/>
  <c r="B1118" i="8"/>
  <c r="B2392" i="8"/>
  <c r="B1199" i="8"/>
  <c r="B1050" i="8"/>
  <c r="B310" i="8"/>
  <c r="B2658" i="8"/>
  <c r="B2049" i="8"/>
  <c r="B3014" i="8"/>
  <c r="B1905" i="8"/>
  <c r="B167" i="8"/>
  <c r="B1441" i="8"/>
  <c r="B251" i="8"/>
  <c r="B1104" i="8"/>
  <c r="B407" i="8"/>
  <c r="B1239" i="8"/>
  <c r="B1205" i="8"/>
  <c r="B309" i="8"/>
  <c r="B210" i="8"/>
  <c r="B1989" i="8"/>
  <c r="B3" i="8"/>
  <c r="B1861" i="8"/>
  <c r="B80" i="8"/>
  <c r="B2937" i="8"/>
  <c r="B1399" i="8"/>
  <c r="B305" i="8"/>
  <c r="B535" i="8"/>
  <c r="B1344" i="8"/>
  <c r="B8" i="8"/>
  <c r="B983" i="8"/>
  <c r="B622" i="8"/>
  <c r="B1159" i="8"/>
  <c r="B2146" i="8"/>
  <c r="B2805" i="8"/>
  <c r="B1380" i="8"/>
  <c r="B281" i="8"/>
  <c r="B511" i="8"/>
  <c r="B1320" i="8"/>
  <c r="B964" i="8"/>
  <c r="B3449" i="8"/>
  <c r="B2238" i="8"/>
  <c r="B1063" i="8"/>
  <c r="B946" i="8"/>
  <c r="B1049" i="8"/>
  <c r="B396" i="8"/>
  <c r="B1015" i="8"/>
  <c r="B985" i="8"/>
  <c r="B1223" i="8"/>
  <c r="B2004" i="8"/>
  <c r="B398" i="8"/>
  <c r="B233" i="8"/>
  <c r="B3629" i="8"/>
  <c r="B134" i="8"/>
  <c r="B466" i="8"/>
  <c r="B882" i="8"/>
  <c r="B777" i="8"/>
  <c r="B1160" i="8"/>
  <c r="B1031" i="8"/>
  <c r="B2114" i="8"/>
  <c r="B807" i="8"/>
  <c r="B909" i="8"/>
  <c r="B2746" i="8"/>
  <c r="B108" i="8"/>
  <c r="B3102" i="8"/>
  <c r="D3102" i="8" s="1"/>
  <c r="B1407" i="8"/>
  <c r="B2093" i="8"/>
  <c r="B475" i="8"/>
  <c r="B2242" i="8"/>
  <c r="B1366" i="8"/>
  <c r="B1683" i="8"/>
  <c r="B369" i="8"/>
  <c r="B2028" i="8"/>
  <c r="B2561" i="8"/>
  <c r="B1361" i="8"/>
  <c r="B58" i="8"/>
  <c r="B1161" i="8"/>
  <c r="B2543" i="8"/>
  <c r="B425" i="8"/>
  <c r="B2535" i="8"/>
  <c r="B1732" i="8"/>
  <c r="B1713" i="8"/>
  <c r="B1947" i="8"/>
  <c r="B163" i="8"/>
  <c r="B2550" i="8"/>
  <c r="B598" i="8"/>
  <c r="B37" i="8"/>
  <c r="B969" i="8"/>
  <c r="B260" i="8"/>
  <c r="B273" i="8"/>
  <c r="B2981" i="8"/>
  <c r="B2684" i="8"/>
  <c r="B3612" i="8"/>
  <c r="B2176" i="8"/>
  <c r="B1040" i="8"/>
  <c r="B1335" i="8"/>
  <c r="B1045" i="8"/>
  <c r="B521" i="8"/>
  <c r="B812" i="8"/>
  <c r="B1726" i="8"/>
  <c r="B669" i="8"/>
  <c r="B595" i="8"/>
  <c r="B3303" i="8"/>
  <c r="B3376" i="8"/>
  <c r="B2307" i="8"/>
  <c r="B1787" i="8"/>
  <c r="B948" i="8"/>
  <c r="B3104" i="8"/>
  <c r="B766" i="8"/>
  <c r="B3026" i="8"/>
  <c r="B2939" i="8"/>
  <c r="B1177" i="8"/>
  <c r="B2926" i="8"/>
  <c r="B2060" i="8"/>
  <c r="B1124" i="8"/>
  <c r="B1689" i="8"/>
  <c r="B3028" i="8"/>
  <c r="B323" i="8"/>
  <c r="B428" i="8"/>
  <c r="B17" i="8"/>
  <c r="D17" i="8" s="1"/>
  <c r="B462" i="8"/>
  <c r="D462" i="8" s="1"/>
  <c r="B458" i="8"/>
  <c r="D458" i="8" s="1"/>
  <c r="B1899" i="8"/>
  <c r="B1830" i="8"/>
  <c r="B2517" i="8"/>
  <c r="B999" i="8"/>
  <c r="B2169" i="8"/>
  <c r="B2852" i="8"/>
  <c r="B842" i="8"/>
  <c r="D842" i="8" s="1"/>
  <c r="B1746" i="8"/>
  <c r="B1107" i="8"/>
  <c r="B2581" i="8"/>
  <c r="B1953" i="8"/>
  <c r="B1027" i="8"/>
  <c r="B1539" i="8"/>
  <c r="B3158" i="8"/>
  <c r="B1048" i="8"/>
  <c r="B460" i="8"/>
  <c r="B399" i="8"/>
  <c r="B820" i="8"/>
  <c r="B1233" i="8"/>
  <c r="B915" i="8"/>
  <c r="B897" i="8"/>
  <c r="B982" i="8"/>
  <c r="B2705" i="8"/>
  <c r="B161" i="8"/>
  <c r="B534" i="8"/>
  <c r="B641" i="8"/>
  <c r="B3130" i="8"/>
  <c r="B2037" i="8"/>
  <c r="B1488" i="8"/>
  <c r="B3313" i="8"/>
  <c r="B14" i="8"/>
  <c r="B86" i="8"/>
  <c r="B3126" i="8"/>
  <c r="B330" i="8"/>
  <c r="B403" i="8"/>
  <c r="B3417" i="8"/>
  <c r="B1494" i="8"/>
  <c r="B2901" i="8"/>
  <c r="B76" i="8"/>
  <c r="B581" i="8"/>
  <c r="D581" i="8" s="1"/>
  <c r="B1659" i="8"/>
  <c r="B384" i="8"/>
  <c r="B1579" i="8"/>
  <c r="B1995" i="8"/>
  <c r="B876" i="8"/>
  <c r="B3252" i="8"/>
  <c r="B1550" i="8"/>
  <c r="B2902" i="8"/>
  <c r="B2834" i="8"/>
  <c r="B2831" i="8"/>
  <c r="B588" i="8"/>
  <c r="B3314" i="8"/>
  <c r="B181" i="8"/>
  <c r="B746" i="8"/>
  <c r="B685" i="8"/>
  <c r="B2772" i="8"/>
  <c r="B1623" i="8"/>
  <c r="B2116" i="8"/>
  <c r="B6" i="8"/>
  <c r="B523" i="8"/>
  <c r="B1699" i="8"/>
  <c r="B1242" i="8"/>
  <c r="B1734" i="8"/>
  <c r="B1615" i="8"/>
  <c r="B1102" i="8"/>
  <c r="B1115" i="8"/>
  <c r="B393" i="8"/>
  <c r="B3580" i="8"/>
  <c r="B421" i="8"/>
  <c r="B890" i="8"/>
  <c r="B1423" i="8"/>
  <c r="B2414" i="8"/>
  <c r="B2409" i="8"/>
  <c r="B3121" i="8"/>
  <c r="B2947" i="8"/>
  <c r="B3256" i="8"/>
  <c r="B3378" i="8"/>
  <c r="B2139" i="8"/>
  <c r="B1577" i="8"/>
  <c r="B1555" i="8"/>
  <c r="B2090" i="8"/>
  <c r="B864" i="8"/>
  <c r="D864" i="8" s="1"/>
  <c r="B1719" i="8"/>
  <c r="B3069" i="8"/>
  <c r="B559" i="8"/>
  <c r="B1390" i="8"/>
  <c r="B2330" i="8"/>
  <c r="B2867" i="8"/>
  <c r="B2236" i="8"/>
  <c r="D2236" i="8" s="1"/>
  <c r="B625" i="8"/>
  <c r="B2297" i="8"/>
  <c r="B1745" i="8"/>
  <c r="B899" i="8"/>
  <c r="B1506" i="8"/>
  <c r="B1073" i="8"/>
  <c r="B785" i="8"/>
  <c r="D785" i="8" s="1"/>
  <c r="B1028" i="8"/>
  <c r="B3197" i="8"/>
  <c r="B88" i="8"/>
  <c r="B160" i="8"/>
  <c r="B3366" i="8"/>
  <c r="B354" i="8"/>
  <c r="B463" i="8"/>
  <c r="B902" i="8"/>
  <c r="B1614" i="8"/>
  <c r="B2919" i="8"/>
  <c r="B1070" i="8"/>
  <c r="B1765" i="8"/>
  <c r="B1092" i="8"/>
  <c r="B502" i="8"/>
  <c r="B744" i="8"/>
  <c r="B840" i="8"/>
  <c r="B1285" i="8"/>
  <c r="B974" i="8"/>
  <c r="B910" i="8"/>
  <c r="B989" i="8"/>
  <c r="B2845" i="8"/>
  <c r="B267" i="8"/>
  <c r="B34" i="8"/>
  <c r="B971" i="8"/>
  <c r="B321" i="8"/>
  <c r="B3089" i="8"/>
  <c r="B2446" i="8"/>
  <c r="B667" i="8"/>
  <c r="B2458" i="8"/>
  <c r="B1949" i="8"/>
  <c r="B3242" i="8"/>
  <c r="B426" i="8"/>
  <c r="B401" i="8"/>
  <c r="B1761" i="8"/>
  <c r="B1797" i="8"/>
  <c r="B2426" i="8"/>
  <c r="B477" i="8"/>
  <c r="B2254" i="8"/>
  <c r="B1616" i="8"/>
  <c r="B2374" i="8"/>
  <c r="B234" i="8"/>
  <c r="B295" i="8"/>
  <c r="D295" i="8" s="1"/>
  <c r="B2585" i="8"/>
  <c r="B3591" i="8"/>
  <c r="B3141" i="8"/>
  <c r="B2578" i="8"/>
  <c r="B1122" i="8"/>
  <c r="B1274" i="8"/>
  <c r="B312" i="8"/>
  <c r="B1167" i="8"/>
  <c r="B1218" i="8"/>
  <c r="B3041" i="8"/>
  <c r="D3041" i="8" s="1"/>
  <c r="B2833" i="8"/>
  <c r="D2833" i="8" s="1"/>
  <c r="B1196" i="8"/>
  <c r="B2547" i="8"/>
  <c r="B3426" i="8"/>
  <c r="B2349" i="8"/>
  <c r="B516" i="8"/>
  <c r="B2659" i="8"/>
  <c r="B97" i="8"/>
  <c r="B2350" i="8"/>
  <c r="B601" i="8"/>
  <c r="B2250" i="8"/>
  <c r="B1311" i="8"/>
  <c r="B1589" i="8"/>
  <c r="B2489" i="8"/>
  <c r="B439" i="8"/>
  <c r="B1219" i="8"/>
  <c r="B1001" i="8"/>
  <c r="B1542" i="8"/>
  <c r="B2437" i="8"/>
  <c r="B3098" i="8"/>
  <c r="B386" i="8"/>
  <c r="B105" i="8"/>
  <c r="B2443" i="8"/>
  <c r="B337" i="8"/>
  <c r="B3367" i="8"/>
  <c r="B2088" i="8"/>
  <c r="B2091" i="8"/>
  <c r="B3504" i="8"/>
  <c r="B3332" i="8"/>
  <c r="B2252" i="8"/>
  <c r="B2801" i="8"/>
  <c r="B2656" i="8"/>
  <c r="B1678" i="8"/>
  <c r="B1385" i="8"/>
  <c r="B2192" i="8"/>
  <c r="B1889" i="8"/>
  <c r="B3622" i="8"/>
  <c r="B1551" i="8"/>
  <c r="B2541" i="8"/>
  <c r="B3526" i="8"/>
  <c r="B1288" i="8"/>
  <c r="B171" i="8"/>
  <c r="B182" i="8"/>
  <c r="B594" i="8"/>
  <c r="D594" i="8" s="1"/>
  <c r="B930" i="8"/>
  <c r="B2625" i="8"/>
  <c r="B1988" i="8"/>
  <c r="B359" i="8"/>
  <c r="B1038" i="8"/>
  <c r="B1022" i="8"/>
  <c r="D1022" i="8" s="1"/>
  <c r="B3348" i="8"/>
  <c r="B120" i="8"/>
  <c r="B1758" i="8"/>
  <c r="B100" i="8"/>
  <c r="B1627" i="8"/>
  <c r="B1633" i="8"/>
  <c r="B2652" i="8"/>
  <c r="B142" i="8"/>
  <c r="B1952" i="8"/>
  <c r="B327" i="8"/>
  <c r="B762" i="8"/>
  <c r="B2265" i="8"/>
  <c r="B1133" i="8"/>
  <c r="B2956" i="8"/>
  <c r="B2288" i="8"/>
  <c r="B3398" i="8"/>
  <c r="B1867" i="8"/>
  <c r="B1603" i="8"/>
  <c r="D1603" i="8" s="1"/>
  <c r="B3497" i="8"/>
  <c r="B2729" i="8"/>
  <c r="B2323" i="8"/>
  <c r="B465" i="8"/>
  <c r="B843" i="8"/>
  <c r="B2795" i="8"/>
  <c r="B727" i="8"/>
  <c r="B2697" i="8"/>
  <c r="B2766" i="8"/>
  <c r="B2500" i="8"/>
  <c r="B2532" i="8"/>
  <c r="B2572" i="8"/>
  <c r="B264" i="8"/>
  <c r="B319" i="8"/>
  <c r="B2682" i="8"/>
  <c r="B1326" i="8"/>
  <c r="B2244" i="8"/>
  <c r="B272" i="8"/>
  <c r="B1340" i="8"/>
  <c r="B363" i="8"/>
  <c r="B118" i="8"/>
  <c r="B1058" i="8"/>
  <c r="B345" i="8"/>
  <c r="B3435" i="8"/>
  <c r="B2643" i="8"/>
  <c r="B691" i="8"/>
  <c r="B2621" i="8"/>
  <c r="B2129" i="8"/>
  <c r="B2331" i="8"/>
  <c r="B2389" i="8"/>
  <c r="B3523" i="8"/>
  <c r="B3555" i="8"/>
  <c r="B2241" i="8"/>
  <c r="B1945" i="8"/>
  <c r="B1591" i="8"/>
  <c r="D1591" i="8" s="1"/>
  <c r="B1855" i="8"/>
  <c r="B3444" i="8"/>
  <c r="B3180" i="8"/>
  <c r="B336" i="8"/>
  <c r="B409" i="8"/>
  <c r="B3456" i="8"/>
  <c r="B1509" i="8"/>
  <c r="B2991" i="8"/>
  <c r="B617" i="8"/>
  <c r="B1617" i="8"/>
  <c r="B538" i="8"/>
  <c r="B1851" i="8"/>
  <c r="B126" i="8"/>
  <c r="B151" i="8"/>
  <c r="B1868" i="8"/>
  <c r="B2494" i="8"/>
  <c r="B1600" i="8"/>
  <c r="B1779" i="8"/>
  <c r="B158" i="8"/>
  <c r="B1076" i="8"/>
  <c r="B240" i="8"/>
  <c r="B908" i="8"/>
  <c r="B732" i="8"/>
  <c r="B2567" i="8"/>
  <c r="B2411" i="8"/>
  <c r="B3293" i="8"/>
  <c r="B3027" i="8"/>
  <c r="B3317" i="8"/>
  <c r="B1980" i="8"/>
  <c r="B444" i="8"/>
  <c r="B2094" i="8"/>
  <c r="B13" i="8"/>
  <c r="B1371" i="8"/>
  <c r="B1471" i="8"/>
  <c r="B1914" i="8"/>
  <c r="B2282" i="8"/>
  <c r="B2601" i="8"/>
  <c r="D2601" i="8" s="1"/>
  <c r="B1698" i="8"/>
  <c r="B343" i="8"/>
  <c r="B1067" i="8"/>
  <c r="B837" i="8"/>
  <c r="B1374" i="8"/>
  <c r="B2100" i="8"/>
  <c r="B3350" i="8"/>
  <c r="B242" i="8"/>
  <c r="B3032" i="8"/>
  <c r="B1644" i="8"/>
  <c r="B253" i="8"/>
  <c r="B2205" i="8"/>
  <c r="D2205" i="8" s="1"/>
  <c r="B1893" i="8"/>
  <c r="B1815" i="8"/>
  <c r="B3401" i="8"/>
  <c r="B3231" i="8"/>
  <c r="B3052" i="8"/>
  <c r="B2136" i="8"/>
  <c r="B3651" i="8"/>
  <c r="B1576" i="8"/>
  <c r="B2540" i="8"/>
  <c r="B2444" i="8"/>
  <c r="B1379" i="8"/>
  <c r="B3370" i="8"/>
  <c r="B2219" i="8"/>
  <c r="B1023" i="8"/>
  <c r="B2222" i="8"/>
  <c r="B2958" i="8"/>
  <c r="B218" i="8"/>
  <c r="B469" i="8"/>
  <c r="B3379" i="8"/>
  <c r="B877" i="8"/>
  <c r="B2319" i="8"/>
  <c r="B1800" i="8"/>
  <c r="B3307" i="8"/>
  <c r="B1214" i="8"/>
  <c r="B1103" i="8"/>
  <c r="B2896" i="8"/>
  <c r="B2276" i="8"/>
  <c r="B3362" i="8"/>
  <c r="B57" i="8"/>
  <c r="B2487" i="8"/>
  <c r="B2061" i="8"/>
  <c r="B583" i="8"/>
  <c r="B2047" i="8"/>
  <c r="B1433" i="8"/>
  <c r="B1809" i="8"/>
  <c r="D1809" i="8" s="1"/>
  <c r="B854" i="8"/>
  <c r="D854" i="8" s="1"/>
  <c r="B2059" i="8"/>
  <c r="B174" i="8"/>
  <c r="B199" i="8"/>
  <c r="B2178" i="8"/>
  <c r="B2851" i="8"/>
  <c r="B1804" i="8"/>
  <c r="B128" i="8"/>
  <c r="B874" i="8"/>
  <c r="B2501" i="8"/>
  <c r="B2425" i="8"/>
  <c r="B29" i="8"/>
  <c r="D29" i="8" s="1"/>
  <c r="B3611" i="8"/>
  <c r="B2283" i="8"/>
  <c r="B1987" i="8"/>
  <c r="B553" i="8"/>
  <c r="B1879" i="8"/>
  <c r="B1283" i="8"/>
  <c r="B1321" i="8"/>
  <c r="B1491" i="8"/>
  <c r="B652" i="8"/>
  <c r="B726" i="8"/>
  <c r="B1377" i="8"/>
  <c r="B1195" i="8"/>
  <c r="B3066" i="8"/>
  <c r="B2403" i="8"/>
  <c r="B3632" i="8"/>
  <c r="B2420" i="8"/>
  <c r="B246" i="8"/>
  <c r="B301" i="8"/>
  <c r="B2602" i="8"/>
  <c r="B1269" i="8"/>
  <c r="B3352" i="8"/>
  <c r="B195" i="8"/>
  <c r="B1093" i="8"/>
  <c r="B3023" i="8"/>
  <c r="B1347" i="8"/>
  <c r="D1347" i="8" s="1"/>
  <c r="B30" i="8"/>
  <c r="B31" i="8"/>
  <c r="B1315" i="8"/>
  <c r="B1956" i="8"/>
  <c r="B1222" i="8"/>
  <c r="B1062" i="8"/>
  <c r="B1229" i="8"/>
  <c r="B868" i="8"/>
  <c r="B168" i="8"/>
  <c r="B695" i="8"/>
  <c r="B2687" i="8"/>
  <c r="B2164" i="8"/>
  <c r="B2179" i="8"/>
  <c r="B2636" i="8"/>
  <c r="B1786" i="8"/>
  <c r="B3499" i="8"/>
  <c r="B1596" i="8"/>
  <c r="B372" i="8"/>
  <c r="B1483" i="8"/>
  <c r="B1814" i="8"/>
  <c r="B791" i="8"/>
  <c r="B3193" i="8"/>
  <c r="B1530" i="8"/>
  <c r="B3349" i="8"/>
  <c r="D3349" i="8" s="1"/>
  <c r="B2272" i="8"/>
  <c r="B1033" i="8"/>
  <c r="B259" i="8"/>
  <c r="B903" i="8"/>
  <c r="B799" i="8"/>
  <c r="B3381" i="8"/>
  <c r="B1887" i="8"/>
  <c r="B3238" i="8"/>
  <c r="B98" i="8"/>
  <c r="B720" i="8"/>
  <c r="D720" i="8" s="1"/>
  <c r="B1007" i="8"/>
  <c r="B169" i="8"/>
  <c r="B1257" i="8"/>
  <c r="B1701" i="8"/>
  <c r="B1575" i="8"/>
  <c r="B2216" i="8"/>
  <c r="B3374" i="8"/>
  <c r="B1936" i="8"/>
  <c r="B1793" i="8"/>
  <c r="B881" i="8"/>
  <c r="B1444" i="8"/>
  <c r="B3584" i="8"/>
  <c r="B2237" i="8"/>
  <c r="B3617" i="8"/>
  <c r="B968" i="8"/>
  <c r="B2879" i="8"/>
  <c r="B434" i="8"/>
  <c r="B3078" i="8"/>
  <c r="B1865" i="8"/>
  <c r="B1113" i="8"/>
  <c r="B159" i="8"/>
  <c r="B180" i="8"/>
  <c r="B1845" i="8"/>
  <c r="D1845" i="8" s="1"/>
  <c r="B365" i="8"/>
  <c r="B2976" i="8"/>
  <c r="B47" i="8"/>
  <c r="D47" i="8" s="1"/>
  <c r="B531" i="8"/>
  <c r="B35" i="8"/>
  <c r="B573" i="8"/>
  <c r="B2468" i="8"/>
  <c r="B3257" i="8"/>
  <c r="B417" i="8"/>
  <c r="B1151" i="8"/>
  <c r="B2653" i="8"/>
  <c r="B1429" i="8"/>
  <c r="B1339" i="8"/>
  <c r="B550" i="8"/>
  <c r="B2689" i="8"/>
  <c r="B115" i="8"/>
  <c r="B1504" i="8"/>
  <c r="B2844" i="8"/>
  <c r="B1974" i="8"/>
  <c r="B1455" i="8"/>
  <c r="B2634" i="8"/>
  <c r="B790" i="8"/>
  <c r="B844" i="8"/>
  <c r="B2296" i="8"/>
  <c r="B1791" i="8"/>
  <c r="D1791" i="8" s="1"/>
  <c r="B3279" i="8"/>
  <c r="B2752" i="8"/>
  <c r="B1724" i="8"/>
  <c r="D1724" i="8" s="1"/>
  <c r="B1507" i="8"/>
  <c r="B3407" i="8"/>
  <c r="B2594" i="8"/>
  <c r="B3341" i="8"/>
  <c r="B1232" i="8"/>
  <c r="B63" i="8"/>
  <c r="D63" i="8" s="1"/>
  <c r="B1500" i="8"/>
  <c r="B54" i="8"/>
  <c r="B55" i="8"/>
  <c r="B1411" i="8"/>
  <c r="B2030" i="8"/>
  <c r="B1318" i="8"/>
  <c r="D1318" i="8" s="1"/>
  <c r="B3359" i="8"/>
  <c r="B662" i="8"/>
  <c r="B1501" i="8"/>
  <c r="B1587" i="8"/>
  <c r="B706" i="8"/>
  <c r="B752" i="8"/>
  <c r="B1532" i="8"/>
  <c r="B1250" i="8"/>
  <c r="B3227" i="8"/>
  <c r="B2461" i="8"/>
  <c r="B2539" i="8"/>
  <c r="D2539" i="8" s="1"/>
  <c r="B1068" i="8"/>
  <c r="B990" i="8"/>
  <c r="B353" i="8"/>
  <c r="D353" i="8" s="1"/>
  <c r="B630" i="8"/>
  <c r="D630" i="8" s="1"/>
  <c r="B967" i="8"/>
  <c r="B975" i="8"/>
  <c r="D975" i="8" s="1"/>
  <c r="B2520" i="8"/>
  <c r="B1968" i="8"/>
  <c r="B3188" i="8"/>
  <c r="B1884" i="8"/>
  <c r="B132" i="8"/>
  <c r="B157" i="8"/>
  <c r="B1880" i="8"/>
  <c r="B2530" i="8"/>
  <c r="B1606" i="8"/>
  <c r="B2499" i="8"/>
  <c r="B783" i="8"/>
  <c r="B1322" i="8"/>
  <c r="D1322" i="8" s="1"/>
  <c r="B1056" i="8"/>
  <c r="B2232" i="8"/>
  <c r="B1548" i="8"/>
  <c r="B929" i="8"/>
  <c r="D929" i="8" s="1"/>
  <c r="B1268" i="8"/>
  <c r="B2854" i="8"/>
  <c r="D2854" i="8" s="1"/>
  <c r="B737" i="8"/>
  <c r="B2610" i="8"/>
  <c r="B489" i="8"/>
  <c r="B96" i="8"/>
  <c r="B545" i="8"/>
  <c r="B2195" i="8"/>
  <c r="B1634" i="8"/>
  <c r="B1941" i="8"/>
  <c r="B2180" i="8"/>
  <c r="B1486" i="8"/>
  <c r="B2460" i="8"/>
  <c r="B1248" i="8"/>
  <c r="D1248" i="8" s="1"/>
  <c r="B300" i="8"/>
  <c r="B1130" i="8"/>
  <c r="B1147" i="8"/>
  <c r="B2930" i="8"/>
  <c r="B2693" i="8"/>
  <c r="B1172" i="8"/>
  <c r="B2451" i="8"/>
  <c r="D2451" i="8" s="1"/>
  <c r="B3340" i="8"/>
  <c r="B3190" i="8"/>
  <c r="B175" i="8"/>
  <c r="B733" i="8"/>
  <c r="B679" i="8"/>
  <c r="D679" i="8" s="1"/>
  <c r="B2587" i="8"/>
  <c r="B1608" i="8"/>
  <c r="B2033" i="8"/>
  <c r="B3302" i="8"/>
  <c r="B648" i="8"/>
  <c r="B3128" i="8"/>
  <c r="B85" i="8"/>
  <c r="B3543" i="8"/>
  <c r="B1533" i="8"/>
  <c r="B2185" i="8"/>
  <c r="B1961" i="8"/>
  <c r="B3413" i="8"/>
  <c r="B1816" i="8"/>
  <c r="B2646" i="8"/>
  <c r="B326" i="8"/>
  <c r="B1198" i="8"/>
  <c r="B3641" i="8"/>
  <c r="B3264" i="8"/>
  <c r="B3282" i="8"/>
  <c r="B824" i="8"/>
  <c r="B1876" i="8"/>
  <c r="B499" i="8"/>
  <c r="B2707" i="8"/>
  <c r="B2859" i="8"/>
  <c r="B1529" i="8"/>
  <c r="B3485" i="8"/>
  <c r="B576" i="8"/>
  <c r="D576" i="8" s="1"/>
  <c r="B2518" i="8"/>
  <c r="B2367" i="8"/>
  <c r="B1964" i="8"/>
  <c r="B1365" i="8"/>
  <c r="B1702" i="8"/>
  <c r="B1805" i="8"/>
  <c r="B2" i="8"/>
  <c r="B1720" i="8"/>
  <c r="B2351" i="8"/>
  <c r="B381" i="8"/>
  <c r="B1078" i="8"/>
  <c r="B3289" i="8"/>
  <c r="B3093" i="8"/>
  <c r="B3112" i="8"/>
  <c r="B565" i="8"/>
  <c r="B1414" i="8"/>
  <c r="B211" i="8"/>
  <c r="B1635" i="8"/>
  <c r="B3600" i="8"/>
  <c r="B2690" i="8"/>
  <c r="B504" i="8"/>
  <c r="B1963" i="8"/>
  <c r="B1665" i="8"/>
  <c r="B1496" i="8"/>
  <c r="B3335" i="8"/>
  <c r="B1372" i="8"/>
  <c r="B1643" i="8"/>
  <c r="B970" i="8"/>
  <c r="B1594" i="8"/>
  <c r="B3458" i="8"/>
  <c r="B1287" i="8"/>
  <c r="B2996" i="8"/>
  <c r="B3541" i="8"/>
  <c r="B2719" i="8"/>
  <c r="B262" i="8"/>
  <c r="B1869" i="8"/>
  <c r="B3427" i="8"/>
  <c r="B2876" i="8"/>
  <c r="B1975" i="8"/>
  <c r="B3582" i="8"/>
  <c r="B2141" i="8"/>
  <c r="B2303" i="8"/>
  <c r="B432" i="8"/>
  <c r="B1406" i="8"/>
  <c r="B2511" i="8"/>
  <c r="B1226" i="8"/>
  <c r="B2568" i="8"/>
  <c r="B1090" i="8"/>
  <c r="B1451" i="8"/>
  <c r="B389" i="8"/>
  <c r="B1462" i="8"/>
  <c r="B3650" i="8"/>
  <c r="B2455" i="8"/>
  <c r="B2837" i="8"/>
  <c r="B3081" i="8"/>
  <c r="B1558" i="8"/>
  <c r="B1574" i="8"/>
  <c r="D1574" i="8" s="1"/>
  <c r="B1725" i="8"/>
  <c r="B3010" i="8"/>
  <c r="B2417" i="8"/>
  <c r="B1687" i="8"/>
  <c r="B2668" i="8"/>
  <c r="B2427" i="8"/>
  <c r="B2186" i="8"/>
  <c r="B2465" i="8"/>
  <c r="B252" i="8"/>
  <c r="B307" i="8"/>
  <c r="D307" i="8" s="1"/>
  <c r="B2623" i="8"/>
  <c r="B1302" i="8"/>
  <c r="B2121" i="8"/>
  <c r="B912" i="8"/>
  <c r="B297" i="8"/>
  <c r="B3036" i="8"/>
  <c r="B2384" i="8"/>
  <c r="B661" i="8"/>
  <c r="B2413" i="8"/>
  <c r="B1937" i="8"/>
  <c r="B1279" i="8"/>
  <c r="B1292" i="8"/>
  <c r="B435" i="8"/>
  <c r="B708" i="8"/>
  <c r="B1304" i="8"/>
  <c r="B1164" i="8"/>
  <c r="B3018" i="8"/>
  <c r="B2321" i="8"/>
  <c r="B3560" i="8"/>
  <c r="B1424" i="8"/>
  <c r="B2654" i="8"/>
  <c r="B672" i="8"/>
  <c r="D672" i="8" s="1"/>
  <c r="B1131" i="8"/>
  <c r="B277" i="8"/>
  <c r="B936" i="8"/>
  <c r="D936" i="8" s="1"/>
  <c r="B858" i="8"/>
  <c r="B3544" i="8"/>
  <c r="B1935" i="8"/>
  <c r="B2619" i="8"/>
  <c r="B266" i="8"/>
  <c r="B153" i="8"/>
  <c r="B12" i="8"/>
  <c r="B529" i="8"/>
  <c r="B1741" i="8"/>
  <c r="D1741" i="8" s="1"/>
  <c r="B1267" i="8"/>
  <c r="B1749" i="8"/>
  <c r="B1735" i="8"/>
  <c r="B1126" i="8"/>
  <c r="B92" i="8"/>
  <c r="B1065" i="8"/>
  <c r="B1116" i="8"/>
  <c r="B2908" i="8"/>
  <c r="B2650" i="8"/>
  <c r="B1054" i="8"/>
  <c r="B2433" i="8"/>
  <c r="B3261" i="8"/>
  <c r="B1898" i="8"/>
  <c r="B360" i="8"/>
  <c r="B810" i="8"/>
  <c r="B2074" i="8"/>
  <c r="B994" i="8"/>
  <c r="D994" i="8" s="1"/>
  <c r="B1785" i="8"/>
  <c r="B2975" i="8"/>
  <c r="B2657" i="8"/>
  <c r="B586" i="8"/>
  <c r="B1228" i="8"/>
  <c r="B3506" i="8"/>
  <c r="B2255" i="8"/>
  <c r="B3205" i="8"/>
  <c r="B3258" i="8"/>
  <c r="B1438" i="8"/>
  <c r="B449" i="8"/>
  <c r="B3140" i="8"/>
  <c r="B2027" i="8"/>
  <c r="B1110" i="8"/>
  <c r="B2016" i="8"/>
  <c r="B2371" i="8"/>
  <c r="B2970" i="8"/>
  <c r="B3482" i="8"/>
  <c r="B2217" i="8"/>
  <c r="B1933" i="8"/>
  <c r="B1567" i="8"/>
  <c r="B1831" i="8"/>
  <c r="B3408" i="8"/>
  <c r="B1009" i="8"/>
  <c r="B931" i="8"/>
  <c r="B329" i="8"/>
  <c r="B618" i="8"/>
  <c r="B919" i="8"/>
  <c r="B949" i="8"/>
  <c r="B2469" i="8"/>
  <c r="B1944" i="8"/>
  <c r="B3490" i="8"/>
  <c r="B514" i="8"/>
  <c r="B2953" i="8"/>
  <c r="B600" i="8"/>
  <c r="B745" i="8"/>
  <c r="B193" i="8"/>
  <c r="B772" i="8"/>
  <c r="B697" i="8"/>
  <c r="D697" i="8" s="1"/>
  <c r="B2825" i="8"/>
  <c r="B1647" i="8"/>
  <c r="B2149" i="8"/>
  <c r="B122" i="8"/>
  <c r="B3122" i="8"/>
  <c r="B2528" i="8"/>
  <c r="D2528" i="8" s="1"/>
  <c r="B445" i="8"/>
  <c r="D445" i="8" s="1"/>
  <c r="B1235" i="8"/>
  <c r="B1014" i="8"/>
  <c r="B1557" i="8"/>
  <c r="B2449" i="8"/>
  <c r="B3125" i="8"/>
  <c r="B380" i="8"/>
  <c r="B821" i="8"/>
  <c r="D821" i="8" s="1"/>
  <c r="B3214" i="8"/>
  <c r="B2491" i="8"/>
  <c r="B2354" i="8"/>
  <c r="B3199" i="8"/>
  <c r="B1948" i="8"/>
  <c r="B3033" i="8"/>
  <c r="B1514" i="8"/>
  <c r="B216" i="8"/>
  <c r="B659" i="8"/>
  <c r="B1657" i="8"/>
  <c r="B798" i="8"/>
  <c r="B2470" i="8"/>
  <c r="B3222" i="8"/>
  <c r="B1978" i="8"/>
  <c r="B533" i="8"/>
  <c r="B2862" i="8"/>
  <c r="B3369" i="8"/>
  <c r="B2887" i="8"/>
  <c r="B2755" i="8"/>
  <c r="B2313" i="8"/>
  <c r="B1306" i="8"/>
  <c r="B73" i="8"/>
  <c r="B1157" i="8"/>
  <c r="B2207" i="8"/>
  <c r="B3334" i="8"/>
  <c r="B2211" i="8"/>
  <c r="B2536" i="8"/>
  <c r="B3201" i="8"/>
  <c r="B997" i="8"/>
  <c r="B144" i="8"/>
  <c r="D144" i="8" s="1"/>
  <c r="B497" i="8"/>
  <c r="D497" i="8" s="1"/>
  <c r="B1203" i="8"/>
  <c r="D1203" i="8" s="1"/>
  <c r="B786" i="8"/>
  <c r="B2099" i="8"/>
  <c r="B3220" i="8"/>
  <c r="B3514" i="8"/>
  <c r="B663" i="8"/>
  <c r="B3630" i="8"/>
  <c r="B3296" i="8"/>
  <c r="B3166" i="8"/>
  <c r="B2103" i="8"/>
  <c r="B412" i="8"/>
  <c r="B2966" i="8"/>
  <c r="B3534" i="8"/>
  <c r="B956" i="8"/>
  <c r="B3071" i="8"/>
  <c r="B2771" i="8"/>
  <c r="B3176" i="8"/>
  <c r="B2573" i="8"/>
  <c r="B1072" i="8"/>
  <c r="B1571" i="8"/>
  <c r="B3072" i="8"/>
  <c r="B605" i="8"/>
  <c r="B889" i="8"/>
  <c r="B1020" i="8"/>
  <c r="B637" i="8"/>
  <c r="B1293" i="8"/>
  <c r="B2285" i="8"/>
  <c r="B2415" i="8"/>
  <c r="B1528" i="8"/>
  <c r="B2515" i="8"/>
  <c r="B3521" i="8"/>
  <c r="B2815" i="8"/>
  <c r="B283" i="8"/>
  <c r="B1345" i="8"/>
  <c r="B1676" i="8"/>
  <c r="B2434" i="8"/>
  <c r="B1860" i="8"/>
  <c r="B2151" i="8"/>
  <c r="B2616" i="8"/>
  <c r="D2616" i="8" s="1"/>
  <c r="B2750" i="8"/>
  <c r="B1313" i="8"/>
  <c r="B2957" i="8"/>
  <c r="B2664" i="8"/>
  <c r="B1663" i="8"/>
  <c r="B3149" i="8"/>
  <c r="B1270" i="8"/>
  <c r="B1859" i="8"/>
  <c r="B3585" i="8"/>
  <c r="B2479" i="8"/>
  <c r="B2781" i="8"/>
  <c r="B1359" i="8"/>
  <c r="B1738" i="8"/>
  <c r="B3550" i="8"/>
  <c r="B2026" i="8"/>
  <c r="B3415" i="8"/>
  <c r="B2523" i="8"/>
  <c r="B3572" i="8"/>
  <c r="B3520" i="8"/>
  <c r="B3229" i="8"/>
  <c r="B1309" i="8"/>
  <c r="B1327" i="8"/>
  <c r="B1295" i="8"/>
  <c r="B2868" i="8"/>
  <c r="D2868" i="8" s="1"/>
  <c r="B3181" i="8"/>
  <c r="B2936" i="8"/>
  <c r="B2472" i="8"/>
  <c r="B2774" i="8"/>
  <c r="B1354" i="8"/>
  <c r="B3546" i="8"/>
  <c r="B1925" i="8"/>
  <c r="B2733" i="8"/>
  <c r="D2733" i="8" s="1"/>
  <c r="B2014" i="8"/>
  <c r="B3528" i="8"/>
  <c r="B3489" i="8"/>
  <c r="B3351" i="8"/>
  <c r="B1042" i="8"/>
  <c r="B2300" i="8"/>
  <c r="B1852" i="8"/>
  <c r="B3285" i="8"/>
  <c r="B3425" i="8"/>
  <c r="B1559" i="8"/>
  <c r="B2181" i="8"/>
  <c r="B3498" i="8"/>
  <c r="B3001" i="8"/>
  <c r="B3021" i="8"/>
  <c r="B2173" i="8"/>
  <c r="B3592" i="8"/>
  <c r="B2648" i="8"/>
  <c r="B1625" i="8"/>
  <c r="B2301" i="8"/>
  <c r="B3254" i="8"/>
  <c r="B3129" i="8"/>
  <c r="B3249" i="8"/>
  <c r="B51" i="8"/>
  <c r="B188" i="8"/>
  <c r="B1840" i="8"/>
  <c r="B3195" i="8"/>
  <c r="B3342" i="8"/>
  <c r="B1547" i="8"/>
  <c r="B2155" i="8"/>
  <c r="B3484" i="8"/>
  <c r="B2929" i="8"/>
  <c r="B2959" i="8"/>
  <c r="B1866" i="8"/>
  <c r="B3446" i="8"/>
  <c r="B1762" i="8"/>
  <c r="B2858" i="8"/>
  <c r="B3100" i="8"/>
  <c r="B1469" i="8"/>
  <c r="B3510" i="8"/>
  <c r="B3390" i="8"/>
  <c r="B3423" i="8"/>
  <c r="B2678" i="8"/>
  <c r="B520" i="8"/>
  <c r="B2318" i="8"/>
  <c r="B1324" i="8"/>
  <c r="B3453" i="8"/>
  <c r="B1895" i="8"/>
  <c r="B2675" i="8"/>
  <c r="B1984" i="8"/>
  <c r="B3368" i="8"/>
  <c r="B3422" i="8"/>
  <c r="B3235" i="8"/>
  <c r="B584" i="8"/>
  <c r="B2524" i="8"/>
  <c r="B3396" i="8"/>
  <c r="B1150" i="8"/>
  <c r="B1667" i="8"/>
  <c r="B3375" i="8"/>
  <c r="B3207" i="8"/>
  <c r="B2522" i="8"/>
  <c r="B2563" i="8"/>
  <c r="B1630" i="8"/>
  <c r="B2952" i="8"/>
  <c r="B3610" i="8"/>
  <c r="B2611" i="8"/>
  <c r="B2431" i="8"/>
  <c r="B3634" i="8"/>
  <c r="B3357" i="8"/>
  <c r="B3559" i="8"/>
  <c r="B3329" i="8"/>
  <c r="B2760" i="8"/>
  <c r="B3459" i="8"/>
  <c r="B2557" i="8"/>
  <c r="B3103" i="8"/>
  <c r="B2849" i="8"/>
  <c r="B2400" i="8"/>
  <c r="B148" i="8"/>
  <c r="B1282" i="8"/>
  <c r="B3337" i="8"/>
  <c r="B1853" i="8"/>
  <c r="B2592" i="8"/>
  <c r="B3620" i="8"/>
  <c r="B3637" i="8"/>
  <c r="B3327" i="8"/>
  <c r="B3108" i="8"/>
  <c r="B2209" i="8"/>
  <c r="B3539" i="8"/>
  <c r="B1780" i="8"/>
  <c r="B2934" i="8"/>
  <c r="B3151" i="8"/>
  <c r="B1487" i="8"/>
  <c r="B3606" i="8"/>
  <c r="B3412" i="8"/>
  <c r="B3500" i="8"/>
  <c r="B2699" i="8"/>
  <c r="B704" i="8"/>
  <c r="B3216" i="8"/>
  <c r="B3393" i="8"/>
  <c r="B1553" i="8"/>
  <c r="B2168" i="8"/>
  <c r="B3491" i="8"/>
  <c r="B2965" i="8"/>
  <c r="B3011" i="8"/>
  <c r="B1962" i="8"/>
  <c r="B3487" i="8"/>
  <c r="B1768" i="8"/>
  <c r="B2874" i="8"/>
  <c r="B3124" i="8"/>
  <c r="B1475" i="8"/>
  <c r="B3549" i="8"/>
  <c r="B3397" i="8"/>
  <c r="B3451" i="8"/>
  <c r="B2685" i="8"/>
  <c r="B596" i="8"/>
  <c r="B2995" i="8"/>
  <c r="B1690" i="8"/>
  <c r="B3185" i="8"/>
  <c r="B2848" i="8"/>
  <c r="B1397" i="8"/>
  <c r="B3204" i="8"/>
  <c r="B3304" i="8"/>
  <c r="B3192" i="8"/>
  <c r="B2591" i="8"/>
  <c r="B2054" i="8"/>
  <c r="B2147" i="8"/>
  <c r="B1252" i="8"/>
  <c r="B3247" i="8"/>
  <c r="B1823" i="8"/>
  <c r="B2549" i="8"/>
  <c r="B3590" i="8"/>
  <c r="B3574" i="8"/>
  <c r="B3269" i="8"/>
  <c r="B2381" i="8"/>
  <c r="B1651" i="8"/>
  <c r="B3136" i="8"/>
  <c r="B2055" i="8"/>
  <c r="B2404" i="8"/>
  <c r="B3077" i="8"/>
  <c r="B3074" i="8"/>
  <c r="B2777" i="8"/>
  <c r="B505" i="8"/>
  <c r="B2429" i="8"/>
  <c r="B2791" i="8"/>
  <c r="D2791" i="8" s="1"/>
  <c r="B3564" i="8"/>
  <c r="B2749" i="8"/>
  <c r="B1711" i="8"/>
  <c r="B3194" i="8"/>
  <c r="B1294" i="8"/>
  <c r="B1877" i="8"/>
  <c r="B3019" i="8"/>
  <c r="B467" i="8"/>
  <c r="B139" i="8"/>
  <c r="B995" i="8"/>
  <c r="B1155" i="8"/>
  <c r="D1155" i="8" s="1"/>
  <c r="B1998" i="8"/>
  <c r="B1412" i="8"/>
  <c r="B1863" i="8"/>
  <c r="D1863" i="8" s="1"/>
  <c r="B3571" i="8"/>
  <c r="B2751" i="8"/>
  <c r="B2445" i="8"/>
  <c r="B3604" i="8"/>
  <c r="B2062" i="8"/>
  <c r="B2345" i="8"/>
  <c r="B2931" i="8"/>
  <c r="B3380" i="8"/>
  <c r="B1505" i="8"/>
  <c r="B2785" i="8"/>
  <c r="B1254" i="8"/>
  <c r="B2212" i="8"/>
  <c r="B2368" i="8"/>
  <c r="B1510" i="8"/>
  <c r="B2247" i="8"/>
  <c r="B3433" i="8"/>
  <c r="B1025" i="8"/>
  <c r="D1025" i="8" s="1"/>
  <c r="B2344" i="8"/>
  <c r="B3470" i="8"/>
  <c r="B3202" i="8"/>
  <c r="B3364" i="8"/>
  <c r="B763" i="8"/>
  <c r="D763" i="8" s="1"/>
  <c r="B532" i="8"/>
  <c r="B3046" i="8"/>
  <c r="B2148" i="8"/>
  <c r="B3031" i="8"/>
  <c r="B2763" i="8"/>
  <c r="B2328" i="8"/>
  <c r="B925" i="8"/>
  <c r="B1210" i="8"/>
  <c r="B3116" i="8"/>
  <c r="B1781" i="8"/>
  <c r="B2488" i="8"/>
  <c r="D2488" i="8" s="1"/>
  <c r="B3548" i="8"/>
  <c r="B3461" i="8"/>
  <c r="B3172" i="8"/>
  <c r="B794" i="8"/>
  <c r="B952" i="8"/>
  <c r="B3080" i="8"/>
  <c r="B1708" i="8"/>
  <c r="B2645" i="8"/>
  <c r="B2904" i="8"/>
  <c r="B1415" i="8"/>
  <c r="B3255" i="8"/>
  <c r="B3325" i="8"/>
  <c r="B3230" i="8"/>
  <c r="B2613" i="8"/>
  <c r="B2700" i="8"/>
  <c r="B2888" i="8"/>
  <c r="B3138" i="8"/>
  <c r="B1481" i="8"/>
  <c r="B3567" i="8"/>
  <c r="B3405" i="8"/>
  <c r="B3480" i="8"/>
  <c r="B2692" i="8"/>
  <c r="B650" i="8"/>
  <c r="B3012" i="8"/>
  <c r="B1696" i="8"/>
  <c r="B2586" i="8"/>
  <c r="D2586" i="8" s="1"/>
  <c r="B2870" i="8"/>
  <c r="B1403" i="8"/>
  <c r="B3219" i="8"/>
  <c r="B3311" i="8"/>
  <c r="B3212" i="8"/>
  <c r="B2598" i="8"/>
  <c r="B2170" i="8"/>
  <c r="B3418" i="8"/>
  <c r="B1618" i="8"/>
  <c r="B2992" i="8"/>
  <c r="B2629" i="8"/>
  <c r="B1325" i="8"/>
  <c r="B2951" i="8"/>
  <c r="B3217" i="8"/>
  <c r="B2972" i="8"/>
  <c r="B2505" i="8"/>
  <c r="D2505" i="8" s="1"/>
  <c r="B261" i="8"/>
  <c r="B3175" i="8"/>
  <c r="B1180" i="8"/>
  <c r="B3047" i="8"/>
  <c r="B1751" i="8"/>
  <c r="B2452" i="8"/>
  <c r="B3518" i="8"/>
  <c r="B3403" i="8"/>
  <c r="D3403" i="8" s="1"/>
  <c r="B3619" i="8"/>
  <c r="B179" i="8"/>
  <c r="B166" i="8"/>
  <c r="B589" i="8"/>
  <c r="D589" i="8" s="1"/>
  <c r="B2166" i="8"/>
  <c r="B3599" i="8"/>
  <c r="B1457" i="8"/>
  <c r="D1457" i="8" s="1"/>
  <c r="B3587" i="8"/>
  <c r="B2871" i="8"/>
  <c r="B2098" i="8"/>
  <c r="B1360" i="8"/>
  <c r="B1955" i="8"/>
  <c r="B3115" i="8"/>
  <c r="B490" i="8"/>
  <c r="B2422" i="8"/>
  <c r="B3087" i="8"/>
  <c r="B3084" i="8"/>
  <c r="B2784" i="8"/>
  <c r="B1896" i="8"/>
  <c r="B2131" i="8"/>
  <c r="B2829" i="8"/>
  <c r="B2531" i="8"/>
  <c r="B3240" i="8"/>
  <c r="B433" i="8"/>
  <c r="B2111" i="8"/>
  <c r="B2476" i="8"/>
  <c r="B3134" i="8"/>
  <c r="B2432" i="8"/>
  <c r="B2565" i="8"/>
  <c r="B3535" i="8"/>
  <c r="B1162" i="8"/>
  <c r="B1715" i="8"/>
  <c r="B3472" i="8"/>
  <c r="B1011" i="8"/>
  <c r="D1011" i="8" s="1"/>
  <c r="B67" i="8"/>
  <c r="B851" i="8"/>
  <c r="D851" i="8" s="1"/>
  <c r="B955" i="8"/>
  <c r="B1854" i="8"/>
  <c r="B1141" i="8"/>
  <c r="B1695" i="8"/>
  <c r="D1695" i="8" s="1"/>
  <c r="B1966" i="8"/>
  <c r="B3388" i="8"/>
  <c r="B2122" i="8"/>
  <c r="B2863" i="8"/>
  <c r="B1838" i="8"/>
  <c r="B2130" i="8"/>
  <c r="B2595" i="8"/>
  <c r="B2738" i="8"/>
  <c r="B1307" i="8"/>
  <c r="B2950" i="8"/>
  <c r="B2989" i="8"/>
  <c r="D2989" i="8" s="1"/>
  <c r="B1927" i="8"/>
  <c r="B2193" i="8"/>
  <c r="B1378" i="8"/>
  <c r="B2009" i="8"/>
  <c r="B3174" i="8"/>
  <c r="B2571" i="8"/>
  <c r="B2240" i="8"/>
  <c r="B3593" i="8"/>
  <c r="B3057" i="8"/>
  <c r="B3148" i="8"/>
  <c r="B178" i="8"/>
  <c r="B1943" i="8"/>
  <c r="B2779" i="8"/>
  <c r="B2032" i="8"/>
  <c r="B3561" i="8"/>
  <c r="B3531" i="8"/>
  <c r="B3428" i="8"/>
  <c r="B2087" i="8"/>
  <c r="B1138" i="8"/>
  <c r="B2827" i="8"/>
  <c r="B1709" i="8"/>
  <c r="D1709" i="8" s="1"/>
  <c r="B2402" i="8"/>
  <c r="B3586" i="8"/>
  <c r="B3308" i="8"/>
  <c r="B3493" i="8"/>
  <c r="B2184" i="8"/>
  <c r="B1410" i="8"/>
  <c r="B3508" i="8"/>
  <c r="B1636" i="8"/>
  <c r="B3039" i="8"/>
  <c r="B2667" i="8"/>
  <c r="B1343" i="8"/>
  <c r="B3006" i="8"/>
  <c r="B3239" i="8"/>
  <c r="B2993" i="8"/>
  <c r="B2526" i="8"/>
  <c r="B757" i="8"/>
  <c r="B2608" i="8"/>
  <c r="D2608" i="8" s="1"/>
  <c r="B2883" i="8"/>
  <c r="B1409" i="8"/>
  <c r="B3237" i="8"/>
  <c r="B3318" i="8"/>
  <c r="B3221" i="8"/>
  <c r="B2606" i="8"/>
  <c r="B2435" i="8"/>
  <c r="B3465" i="8"/>
  <c r="B1624" i="8"/>
  <c r="B3002" i="8"/>
  <c r="B2638" i="8"/>
  <c r="B1331" i="8"/>
  <c r="B2973" i="8"/>
  <c r="B3225" i="8"/>
  <c r="B2979" i="8"/>
  <c r="B2512" i="8"/>
  <c r="B411" i="8"/>
  <c r="D411" i="8" s="1"/>
  <c r="B3042" i="8"/>
  <c r="B1546" i="8"/>
  <c r="D1546" i="8" s="1"/>
  <c r="B2889" i="8"/>
  <c r="B2175" i="8"/>
  <c r="B1253" i="8"/>
  <c r="B2723" i="8"/>
  <c r="B3133" i="8"/>
  <c r="B2885" i="8"/>
  <c r="B2430" i="8"/>
  <c r="B694" i="8"/>
  <c r="B1972" i="8"/>
  <c r="B1108" i="8"/>
  <c r="B2712" i="8"/>
  <c r="D2712" i="8" s="1"/>
  <c r="B1679" i="8"/>
  <c r="B2366" i="8"/>
  <c r="B3529" i="8"/>
  <c r="B3241" i="8"/>
  <c r="B3416" i="8"/>
  <c r="B1158" i="8"/>
  <c r="D1158" i="8" s="1"/>
  <c r="B717" i="8"/>
  <c r="B1743" i="8"/>
  <c r="B2963" i="8"/>
  <c r="B3558" i="8"/>
  <c r="B2253" i="8"/>
  <c r="D2253" i="8" s="1"/>
  <c r="B3159" i="8"/>
  <c r="B361" i="8"/>
  <c r="B1795" i="8"/>
  <c r="B2095" i="8"/>
  <c r="B2740" i="8"/>
  <c r="B2112" i="8"/>
  <c r="B2379" i="8"/>
  <c r="B2978" i="8"/>
  <c r="B3421" i="8"/>
  <c r="B1523" i="8"/>
  <c r="B3024" i="8"/>
  <c r="B1143" i="8"/>
  <c r="B2564" i="8"/>
  <c r="B3450" i="8"/>
  <c r="B811" i="8"/>
  <c r="B1710" i="8"/>
  <c r="B943" i="8"/>
  <c r="D943" i="8" s="1"/>
  <c r="B1536" i="8"/>
  <c r="B1870" i="8"/>
  <c r="B2983" i="8"/>
  <c r="B2916" i="8"/>
  <c r="B2490" i="8"/>
  <c r="B1626" i="8"/>
  <c r="B2007" i="8"/>
  <c r="B2289" i="8"/>
  <c r="B2949" i="8"/>
  <c r="B2824" i="8"/>
  <c r="B3573" i="8"/>
  <c r="B2644" i="8"/>
  <c r="B1639" i="8"/>
  <c r="D1639" i="8" s="1"/>
  <c r="B3094" i="8"/>
  <c r="B1246" i="8"/>
  <c r="B1817" i="8"/>
  <c r="B3552" i="8"/>
  <c r="B1328" i="8"/>
  <c r="B2096" i="8"/>
  <c r="B3448" i="8"/>
  <c r="D3448" i="8" s="1"/>
  <c r="B3647" i="8"/>
  <c r="B2744" i="8"/>
  <c r="B1388" i="8"/>
  <c r="B1871" i="8"/>
  <c r="B2618" i="8"/>
  <c r="B3638" i="8"/>
  <c r="B3224" i="8"/>
  <c r="B3373" i="8"/>
  <c r="B202" i="8"/>
  <c r="B3406" i="8"/>
  <c r="B3640" i="8"/>
  <c r="B2662" i="8"/>
  <c r="B1637" i="8"/>
  <c r="D1637" i="8" s="1"/>
  <c r="B2315" i="8"/>
  <c r="B3326" i="8"/>
  <c r="B3155" i="8"/>
  <c r="B3274" i="8"/>
  <c r="B285" i="8"/>
  <c r="B293" i="8"/>
  <c r="B3110" i="8"/>
  <c r="B1564" i="8"/>
  <c r="B2915" i="8"/>
  <c r="B2208" i="8"/>
  <c r="D2208" i="8" s="1"/>
  <c r="B1271" i="8"/>
  <c r="B2800" i="8"/>
  <c r="D2800" i="8" s="1"/>
  <c r="B3153" i="8"/>
  <c r="B2907" i="8"/>
  <c r="B2448" i="8"/>
  <c r="B1016" i="8"/>
  <c r="B3029" i="8"/>
  <c r="B2647" i="8"/>
  <c r="B1337" i="8"/>
  <c r="B2985" i="8"/>
  <c r="B3232" i="8"/>
  <c r="B2986" i="8"/>
  <c r="B2519" i="8"/>
  <c r="B495" i="8"/>
  <c r="B3076" i="8"/>
  <c r="B1552" i="8"/>
  <c r="B2897" i="8"/>
  <c r="B2188" i="8"/>
  <c r="B1259" i="8"/>
  <c r="B2765" i="8"/>
  <c r="B3139" i="8"/>
  <c r="B2892" i="8"/>
  <c r="D2892" i="8" s="1"/>
  <c r="B2436" i="8"/>
  <c r="B750" i="8"/>
  <c r="B2762" i="8"/>
  <c r="D2762" i="8" s="1"/>
  <c r="B1474" i="8"/>
  <c r="D1474" i="8" s="1"/>
  <c r="B2786" i="8"/>
  <c r="B2045" i="8"/>
  <c r="B3271" i="8"/>
  <c r="B2213" i="8"/>
  <c r="B3061" i="8"/>
  <c r="B2799" i="8"/>
  <c r="B2358" i="8"/>
  <c r="B1370" i="8"/>
  <c r="B1900" i="8"/>
  <c r="B3468" i="8"/>
  <c r="B2626" i="8"/>
  <c r="B1607" i="8"/>
  <c r="B2279" i="8"/>
  <c r="B3146" i="8"/>
  <c r="B3096" i="8"/>
  <c r="B3209" i="8"/>
  <c r="D3209" i="8" s="1"/>
  <c r="B734" i="8"/>
  <c r="B3090" i="8"/>
  <c r="B1476" i="8"/>
  <c r="B3234" i="8"/>
  <c r="B2020" i="8"/>
  <c r="B2359" i="8"/>
  <c r="B3389" i="8"/>
  <c r="B3281" i="8"/>
  <c r="B1096" i="8"/>
  <c r="D1096" i="8" s="1"/>
  <c r="B1601" i="8"/>
  <c r="B3213" i="8"/>
  <c r="B609" i="8"/>
  <c r="B2982" i="8"/>
  <c r="D2982" i="8" s="1"/>
  <c r="B3588" i="8"/>
  <c r="B2266" i="8"/>
  <c r="B3198" i="8"/>
  <c r="B1584" i="8"/>
  <c r="B1888" i="8"/>
  <c r="B3147" i="8"/>
  <c r="B3150" i="8"/>
  <c r="B2570" i="8"/>
  <c r="B289" i="8"/>
  <c r="B1393" i="8"/>
  <c r="B1688" i="8"/>
  <c r="D1688" i="8" s="1"/>
  <c r="B2457" i="8"/>
  <c r="B1881" i="8"/>
  <c r="B2171" i="8"/>
  <c r="B2631" i="8"/>
  <c r="B2796" i="8"/>
  <c r="B1355" i="8"/>
  <c r="B3016" i="8"/>
  <c r="B869" i="8"/>
  <c r="D869" i="8" s="1"/>
  <c r="B1836" i="8"/>
  <c r="B2428" i="8"/>
  <c r="B825" i="8"/>
  <c r="B1566" i="8"/>
  <c r="B2839" i="8"/>
  <c r="B1383" i="8"/>
  <c r="B1750" i="8"/>
  <c r="B3607" i="8"/>
  <c r="B2050" i="8"/>
  <c r="B3575" i="8"/>
  <c r="B1364" i="8"/>
  <c r="B1839" i="8"/>
  <c r="B3445" i="8"/>
  <c r="D3445" i="8" s="1"/>
  <c r="B2743" i="8"/>
  <c r="B2438" i="8"/>
  <c r="B3589" i="8"/>
  <c r="B2325" i="8"/>
  <c r="B2510" i="8"/>
  <c r="B3371" i="8"/>
  <c r="B1144" i="8"/>
  <c r="B1661" i="8"/>
  <c r="B3328" i="8"/>
  <c r="B2269" i="8"/>
  <c r="B3424" i="8"/>
  <c r="D3424" i="8" s="1"/>
  <c r="B3361" i="8"/>
  <c r="B3356" i="8"/>
  <c r="B2649" i="8"/>
  <c r="B284" i="8"/>
  <c r="B1799" i="8"/>
  <c r="B2514" i="8"/>
  <c r="B3566" i="8"/>
  <c r="B3501" i="8"/>
  <c r="B3211" i="8"/>
  <c r="B1091" i="8"/>
  <c r="B1136" i="8"/>
  <c r="D1136" i="8" s="1"/>
  <c r="B3310" i="8"/>
  <c r="D3310" i="8" s="1"/>
  <c r="B3475" i="8"/>
  <c r="B1565" i="8"/>
  <c r="B2194" i="8"/>
  <c r="B3505" i="8"/>
  <c r="B3009" i="8"/>
  <c r="B3059" i="8"/>
  <c r="B2440" i="8"/>
  <c r="B1992" i="8"/>
  <c r="B2823" i="8"/>
  <c r="B1492" i="8"/>
  <c r="B2811" i="8"/>
  <c r="B2064" i="8"/>
  <c r="D2064" i="8" s="1"/>
  <c r="B3372" i="8"/>
  <c r="B2246" i="8"/>
  <c r="B3079" i="8"/>
  <c r="B2820" i="8"/>
  <c r="B2376" i="8"/>
  <c r="B1940" i="8"/>
  <c r="B2906" i="8"/>
  <c r="B2201" i="8"/>
  <c r="B1265" i="8"/>
  <c r="B2778" i="8"/>
  <c r="B3145" i="8"/>
  <c r="B2900" i="8"/>
  <c r="B2442" i="8"/>
  <c r="B898" i="8"/>
  <c r="B2775" i="8"/>
  <c r="B1480" i="8"/>
  <c r="B2794" i="8"/>
  <c r="B2051" i="8"/>
  <c r="B3322" i="8"/>
  <c r="B2220" i="8"/>
  <c r="B3067" i="8"/>
  <c r="B2806" i="8"/>
  <c r="B2364" i="8"/>
  <c r="B1556" i="8"/>
  <c r="D1556" i="8" s="1"/>
  <c r="B2513" i="8"/>
  <c r="B1402" i="8"/>
  <c r="B2533" i="8"/>
  <c r="B1973" i="8"/>
  <c r="B2894" i="8"/>
  <c r="B2069" i="8"/>
  <c r="B3624" i="8"/>
  <c r="B3615" i="8"/>
  <c r="B2286" i="8"/>
  <c r="B40" i="8"/>
  <c r="B1828" i="8"/>
  <c r="B3131" i="8"/>
  <c r="B3292" i="8"/>
  <c r="B1535" i="8"/>
  <c r="B2135" i="8"/>
  <c r="B3469" i="8"/>
  <c r="B2857" i="8"/>
  <c r="B2881" i="8"/>
  <c r="B1674" i="8"/>
  <c r="B1224" i="8"/>
  <c r="B288" i="8"/>
  <c r="B1037" i="8"/>
  <c r="B1094" i="8"/>
  <c r="B2875" i="8"/>
  <c r="B2632" i="8"/>
  <c r="B1041" i="8"/>
  <c r="B2393" i="8"/>
  <c r="B3167" i="8"/>
  <c r="B3474" i="8"/>
  <c r="B2663" i="8"/>
  <c r="B2840" i="8"/>
  <c r="B3045" i="8"/>
  <c r="B1445" i="8"/>
  <c r="B3365" i="8"/>
  <c r="B1599" i="8"/>
  <c r="D1599" i="8" s="1"/>
  <c r="B1894" i="8"/>
  <c r="B3157" i="8"/>
  <c r="D3157" i="8" s="1"/>
  <c r="B3168" i="8"/>
  <c r="B2577" i="8"/>
  <c r="B1431" i="8"/>
  <c r="B1792" i="8"/>
  <c r="B2669" i="8"/>
  <c r="B2174" i="8"/>
  <c r="B2340" i="8"/>
  <c r="B217" i="8"/>
  <c r="B1117" i="8"/>
  <c r="B1363" i="8"/>
  <c r="B2231" i="8"/>
  <c r="B1646" i="8"/>
  <c r="D1646" i="8" s="1"/>
  <c r="B2031" i="8"/>
  <c r="B2365" i="8"/>
  <c r="B2967" i="8"/>
  <c r="B3008" i="8"/>
  <c r="B2748" i="8"/>
  <c r="B705" i="8"/>
  <c r="B1249" i="8"/>
  <c r="B1569" i="8"/>
  <c r="B703" i="8"/>
  <c r="D703" i="8" s="1"/>
  <c r="B1422" i="8"/>
  <c r="B2551" i="8"/>
  <c r="B3473" i="8"/>
  <c r="B1654" i="8"/>
  <c r="B2987" i="8"/>
  <c r="B3512" i="8"/>
  <c r="B136" i="8"/>
  <c r="B1125" i="8"/>
  <c r="B1680" i="8"/>
  <c r="B1960" i="8"/>
  <c r="B3377" i="8"/>
  <c r="B2109" i="8"/>
  <c r="B2803" i="8"/>
  <c r="B2052" i="8"/>
  <c r="D2052" i="8" s="1"/>
  <c r="B2333" i="8"/>
  <c r="B2913" i="8"/>
  <c r="B3353" i="8"/>
  <c r="B1499" i="8"/>
  <c r="B3563" i="8"/>
  <c r="B1373" i="8"/>
  <c r="B3137" i="8"/>
  <c r="B3275" i="8"/>
  <c r="B3088" i="8"/>
  <c r="B2562" i="8"/>
  <c r="B1299" i="8"/>
  <c r="B1727" i="8"/>
  <c r="B2423" i="8"/>
  <c r="B3625" i="8"/>
  <c r="B3346" i="8"/>
  <c r="B3547" i="8"/>
  <c r="B2838" i="8"/>
  <c r="B2407" i="8"/>
  <c r="B2948" i="8"/>
  <c r="B3169" i="8"/>
  <c r="B1493" i="8"/>
  <c r="B3642" i="8"/>
  <c r="B3419" i="8"/>
  <c r="B3509" i="8"/>
  <c r="D3509" i="8" s="1"/>
  <c r="B2706" i="8"/>
  <c r="B761" i="8"/>
  <c r="B1848" i="8"/>
  <c r="B2560" i="8"/>
  <c r="B1420" i="8"/>
  <c r="B2641" i="8"/>
  <c r="B1991" i="8"/>
  <c r="B2962" i="8"/>
  <c r="B2102" i="8"/>
  <c r="B3007" i="8"/>
  <c r="B2734" i="8"/>
  <c r="B2304" i="8"/>
  <c r="D2304" i="8" s="1"/>
  <c r="B275" i="8"/>
  <c r="B2802" i="8"/>
  <c r="B2057" i="8"/>
  <c r="B3358" i="8"/>
  <c r="B2233" i="8"/>
  <c r="B3073" i="8"/>
  <c r="B2813" i="8"/>
  <c r="B2370" i="8"/>
  <c r="B1748" i="8"/>
  <c r="B2525" i="8"/>
  <c r="D2525" i="8" s="1"/>
  <c r="B1408" i="8"/>
  <c r="B2569" i="8"/>
  <c r="B1979" i="8"/>
  <c r="B2917" i="8"/>
  <c r="B2076" i="8"/>
  <c r="B3633" i="8"/>
  <c r="B3627" i="8"/>
  <c r="B2292" i="8"/>
  <c r="B83" i="8"/>
  <c r="B2336" i="8"/>
  <c r="B1330" i="8"/>
  <c r="B3478" i="8"/>
  <c r="B1901" i="8"/>
  <c r="B2686" i="8"/>
  <c r="D2686" i="8" s="1"/>
  <c r="B1990" i="8"/>
  <c r="B3404" i="8"/>
  <c r="B3431" i="8"/>
  <c r="B3248" i="8"/>
  <c r="B638" i="8"/>
  <c r="B1756" i="8"/>
  <c r="B2826" i="8"/>
  <c r="B3086" i="8"/>
  <c r="B1463" i="8"/>
  <c r="B3494" i="8"/>
  <c r="B3383" i="8"/>
  <c r="B3394" i="8"/>
  <c r="B2670" i="8"/>
  <c r="B476" i="8"/>
  <c r="B3178" i="8"/>
  <c r="B2369" i="8"/>
  <c r="B2342" i="8"/>
  <c r="B3118" i="8"/>
  <c r="B1942" i="8"/>
  <c r="B3551" i="8"/>
  <c r="B2666" i="8"/>
  <c r="B2418" i="8"/>
  <c r="B2462" i="8"/>
  <c r="D2462" i="8" s="1"/>
  <c r="B3135" i="8"/>
  <c r="B3527" i="8"/>
  <c r="B2864" i="8"/>
  <c r="B1440" i="8"/>
  <c r="B1798" i="8"/>
  <c r="B2676" i="8"/>
  <c r="B2187" i="8"/>
  <c r="B2346" i="8"/>
  <c r="B3635" i="8"/>
  <c r="B1672" i="8"/>
  <c r="B3187" i="8"/>
  <c r="B3578" i="8"/>
  <c r="B1395" i="8"/>
  <c r="D1395" i="8" s="1"/>
  <c r="B145" i="8"/>
  <c r="B1008" i="8"/>
  <c r="B1171" i="8"/>
  <c r="B2013" i="8"/>
  <c r="B1434" i="8"/>
  <c r="B1872" i="8"/>
  <c r="B3639" i="8"/>
  <c r="B2759" i="8"/>
  <c r="B2496" i="8"/>
  <c r="B3183" i="8"/>
  <c r="B597" i="8"/>
  <c r="D597" i="8" s="1"/>
  <c r="B856" i="8"/>
  <c r="D856" i="8" s="1"/>
  <c r="B961" i="8"/>
  <c r="D961" i="8" s="1"/>
  <c r="B631" i="8"/>
  <c r="B1278" i="8"/>
  <c r="B2243" i="8"/>
  <c r="B2397" i="8"/>
  <c r="B1522" i="8"/>
  <c r="B2273" i="8"/>
  <c r="B3462" i="8"/>
  <c r="B1578" i="8"/>
  <c r="B3437" i="8"/>
  <c r="B1527" i="8"/>
  <c r="D1527" i="8" s="1"/>
  <c r="B1864" i="8"/>
  <c r="B2923" i="8"/>
  <c r="B2903" i="8"/>
  <c r="B2484" i="8"/>
  <c r="B1827" i="8"/>
  <c r="B2119" i="8"/>
  <c r="B2582" i="8"/>
  <c r="B2710" i="8"/>
  <c r="B1289" i="8"/>
  <c r="B2928" i="8"/>
  <c r="B1301" i="8"/>
  <c r="B2882" i="8"/>
  <c r="B3189" i="8"/>
  <c r="D3189" i="8" s="1"/>
  <c r="B2943" i="8"/>
  <c r="B2478" i="8"/>
  <c r="B3056" i="8"/>
  <c r="B1655" i="8"/>
  <c r="B2337" i="8"/>
  <c r="B3434" i="8"/>
  <c r="B3184" i="8"/>
  <c r="B3339" i="8"/>
  <c r="B680" i="8"/>
  <c r="B485" i="8"/>
  <c r="B2660" i="8"/>
  <c r="B2918" i="8"/>
  <c r="B1421" i="8"/>
  <c r="B3291" i="8"/>
  <c r="B3333" i="8"/>
  <c r="B3250" i="8"/>
  <c r="B2620" i="8"/>
  <c r="B3315" i="8"/>
  <c r="B1704" i="8"/>
  <c r="B2375" i="8"/>
  <c r="B1348" i="8"/>
  <c r="B3516" i="8"/>
  <c r="D3516" i="8" s="1"/>
  <c r="B1919" i="8"/>
  <c r="B2715" i="8"/>
  <c r="D2715" i="8" s="1"/>
  <c r="B2008" i="8"/>
  <c r="B3513" i="8"/>
  <c r="B3471" i="8"/>
  <c r="B3338" i="8"/>
  <c r="B894" i="8"/>
  <c r="B2605" i="8"/>
  <c r="B1985" i="8"/>
  <c r="B2927" i="8"/>
  <c r="B2089" i="8"/>
  <c r="B3648" i="8"/>
  <c r="B3636" i="8"/>
  <c r="B2298" i="8"/>
  <c r="D2298" i="8" s="1"/>
  <c r="B232" i="8"/>
  <c r="B2347" i="8"/>
  <c r="B1336" i="8"/>
  <c r="B3492" i="8"/>
  <c r="B1907" i="8"/>
  <c r="B2695" i="8"/>
  <c r="B1996" i="8"/>
  <c r="B3440" i="8"/>
  <c r="B3442" i="8"/>
  <c r="B3286" i="8"/>
  <c r="B692" i="8"/>
  <c r="B2157" i="8"/>
  <c r="D2157" i="8" s="1"/>
  <c r="B1258" i="8"/>
  <c r="D1258" i="8" s="1"/>
  <c r="B3262" i="8"/>
  <c r="B1829" i="8"/>
  <c r="B2558" i="8"/>
  <c r="B3596" i="8"/>
  <c r="B3583" i="8"/>
  <c r="B3278" i="8"/>
  <c r="B2612" i="8"/>
  <c r="B1747" i="8"/>
  <c r="B1684" i="8"/>
  <c r="B3171" i="8"/>
  <c r="B2836" i="8"/>
  <c r="B1391" i="8"/>
  <c r="B3186" i="8"/>
  <c r="B3297" i="8"/>
  <c r="B3163" i="8"/>
  <c r="B2584" i="8"/>
  <c r="B1958" i="8"/>
  <c r="B2021" i="8"/>
  <c r="B3203" i="8"/>
  <c r="B27" i="8"/>
  <c r="B2798" i="8"/>
  <c r="B1368" i="8"/>
  <c r="B1744" i="8"/>
  <c r="D1744" i="8" s="1"/>
  <c r="B3568" i="8"/>
  <c r="B2044" i="8"/>
  <c r="B3533" i="8"/>
  <c r="B1593" i="8"/>
  <c r="B1983" i="8"/>
  <c r="B2278" i="8"/>
  <c r="B2940" i="8"/>
  <c r="B2754" i="8"/>
  <c r="B3519" i="8"/>
  <c r="B3495" i="8"/>
  <c r="B2617" i="8"/>
  <c r="B3109" i="8"/>
  <c r="B2856" i="8"/>
  <c r="D2856" i="8" s="1"/>
  <c r="B2406" i="8"/>
  <c r="D2406" i="8" s="1"/>
  <c r="B340" i="8"/>
  <c r="B1583" i="8"/>
  <c r="B2227" i="8"/>
  <c r="B3569" i="8"/>
  <c r="B3048" i="8"/>
  <c r="B3117" i="8"/>
  <c r="B70" i="8"/>
  <c r="B1642" i="8"/>
  <c r="D1642" i="8" s="1"/>
  <c r="B3050" i="8"/>
  <c r="B2696" i="8"/>
  <c r="D2696" i="8" s="1"/>
  <c r="B1349" i="8"/>
  <c r="D1349" i="8" s="1"/>
  <c r="B3034" i="8"/>
  <c r="B3246" i="8"/>
  <c r="B3000" i="8"/>
  <c r="B2534" i="8"/>
  <c r="B875" i="8"/>
  <c r="B1560" i="8"/>
  <c r="B2226" i="8"/>
  <c r="B1276" i="8"/>
  <c r="B3323" i="8"/>
  <c r="B1847" i="8"/>
  <c r="D1847" i="8" s="1"/>
  <c r="B2583" i="8"/>
  <c r="D2583" i="8" s="1"/>
  <c r="B3614" i="8"/>
  <c r="B3628" i="8"/>
  <c r="B3316" i="8"/>
  <c r="B3142" i="8"/>
  <c r="B2035" i="8"/>
  <c r="B3503" i="8"/>
  <c r="B1913" i="8"/>
  <c r="B2704" i="8"/>
  <c r="D2704" i="8" s="1"/>
  <c r="B2002" i="8"/>
  <c r="B3476" i="8"/>
  <c r="B3460" i="8"/>
  <c r="B3300" i="8"/>
  <c r="D3300" i="8" s="1"/>
  <c r="B776" i="8"/>
  <c r="D776" i="8" s="1"/>
  <c r="B2165" i="8"/>
  <c r="B1264" i="8"/>
  <c r="B3273" i="8"/>
  <c r="B1835" i="8"/>
  <c r="B2566" i="8"/>
  <c r="B3602" i="8"/>
  <c r="B3595" i="8"/>
  <c r="B3287" i="8"/>
  <c r="B2843" i="8"/>
  <c r="D2843" i="8" s="1"/>
  <c r="B1843" i="8"/>
  <c r="B3200" i="8"/>
  <c r="B1186" i="8"/>
  <c r="B3058" i="8"/>
  <c r="B1757" i="8"/>
  <c r="B2459" i="8"/>
  <c r="B3524" i="8"/>
  <c r="B3414" i="8"/>
  <c r="B3631" i="8"/>
  <c r="B328" i="8"/>
  <c r="B274" i="8"/>
  <c r="B1612" i="8"/>
  <c r="B2984" i="8"/>
  <c r="D2984" i="8" s="1"/>
  <c r="B2593" i="8"/>
  <c r="D2593" i="8" s="1"/>
  <c r="B1319" i="8"/>
  <c r="D1319" i="8" s="1"/>
  <c r="B2938" i="8"/>
  <c r="B3210" i="8"/>
  <c r="B2964" i="8"/>
  <c r="B2498" i="8"/>
  <c r="B111" i="8"/>
  <c r="B1648" i="8"/>
  <c r="B2974" i="8"/>
  <c r="B3649" i="8"/>
  <c r="B10" i="8"/>
  <c r="B1316" i="8"/>
  <c r="B1824" i="8"/>
  <c r="D1824" i="8" s="1"/>
  <c r="B3411" i="8"/>
  <c r="B2735" i="8"/>
  <c r="B2416" i="8"/>
  <c r="B3517" i="8"/>
  <c r="B3060" i="8"/>
  <c r="B2161" i="8"/>
  <c r="B3037" i="8"/>
  <c r="B2770" i="8"/>
  <c r="D2770" i="8" s="1"/>
  <c r="B2334" i="8"/>
  <c r="B1012" i="8"/>
  <c r="D1012" i="8" s="1"/>
  <c r="B1511" i="8"/>
  <c r="B2083" i="8"/>
  <c r="D2083" i="8" s="1"/>
  <c r="B3441" i="8"/>
  <c r="B3605" i="8"/>
  <c r="B2728" i="8"/>
  <c r="B1153" i="8"/>
  <c r="B1570" i="8"/>
  <c r="B2924" i="8"/>
  <c r="B2221" i="8"/>
  <c r="B1277" i="8"/>
  <c r="B2812" i="8"/>
  <c r="B3160" i="8"/>
  <c r="B2914" i="8"/>
  <c r="B2454" i="8"/>
  <c r="B1213" i="8"/>
  <c r="D1213" i="8" s="1"/>
  <c r="B1416" i="8"/>
  <c r="B3382" i="8"/>
  <c r="B1204" i="8"/>
  <c r="B3106" i="8"/>
  <c r="B1775" i="8"/>
  <c r="B2481" i="8"/>
  <c r="D2481" i="8" s="1"/>
  <c r="B3542" i="8"/>
  <c r="B3452" i="8"/>
  <c r="B3154" i="8"/>
  <c r="B548" i="8"/>
  <c r="B806" i="8"/>
  <c r="B3312" i="8"/>
  <c r="B1841" i="8"/>
  <c r="B2574" i="8"/>
  <c r="B3608" i="8"/>
  <c r="B3616" i="8"/>
  <c r="B3298" i="8"/>
  <c r="B2971" i="8"/>
  <c r="B1939" i="8"/>
  <c r="B3321" i="8"/>
  <c r="B1192" i="8"/>
  <c r="B3068" i="8"/>
  <c r="B1763" i="8"/>
  <c r="B2467" i="8"/>
  <c r="B3530" i="8"/>
  <c r="B3432" i="8"/>
  <c r="D3432" i="8" s="1"/>
  <c r="B3646" i="8"/>
  <c r="B371" i="8"/>
  <c r="B358" i="8"/>
  <c r="B2818" i="8"/>
  <c r="B1114" i="8"/>
  <c r="B2720" i="8"/>
  <c r="B1685" i="8"/>
  <c r="B2373" i="8"/>
  <c r="B3538" i="8"/>
  <c r="B3259" i="8"/>
  <c r="B3429" i="8"/>
  <c r="B1489" i="8"/>
  <c r="B862" i="8"/>
  <c r="D862" i="8" s="1"/>
  <c r="B1540" i="8"/>
  <c r="B2880" i="8"/>
  <c r="B2162" i="8"/>
  <c r="B3623" i="8"/>
  <c r="B2694" i="8"/>
  <c r="B3127" i="8"/>
  <c r="B2878" i="8"/>
  <c r="B2424" i="8"/>
  <c r="B640" i="8"/>
  <c r="D640" i="8" s="1"/>
  <c r="B3043" i="8"/>
  <c r="B1071" i="8"/>
  <c r="B1910" i="8"/>
  <c r="B2508" i="8"/>
  <c r="B838" i="8"/>
  <c r="B1581" i="8"/>
  <c r="B2899" i="8"/>
  <c r="B1392" i="8"/>
  <c r="B1774" i="8"/>
  <c r="B3643" i="8"/>
  <c r="B2128" i="8"/>
  <c r="B2316" i="8"/>
  <c r="B427" i="8"/>
  <c r="B2097" i="8"/>
  <c r="B2398" i="8"/>
  <c r="B3113" i="8"/>
  <c r="D3113" i="8" s="1"/>
  <c r="B2385" i="8"/>
  <c r="B2537" i="8"/>
  <c r="B3486" i="8"/>
  <c r="B1156" i="8"/>
  <c r="B1673" i="8"/>
  <c r="B3385" i="8"/>
  <c r="B82" i="8"/>
  <c r="D82" i="8" s="1"/>
  <c r="B2223" i="8"/>
  <c r="B2386" i="8"/>
  <c r="B1516" i="8"/>
  <c r="B2260" i="8"/>
  <c r="B3455" i="8"/>
  <c r="B1482" i="8"/>
  <c r="B1061" i="8"/>
  <c r="B1671" i="8"/>
  <c r="B1954" i="8"/>
  <c r="B3363" i="8"/>
  <c r="B2070" i="8"/>
  <c r="D2070" i="8" s="1"/>
  <c r="B2721" i="8"/>
  <c r="D2721" i="8" s="1"/>
  <c r="B2789" i="8"/>
  <c r="B2038" i="8"/>
  <c r="B3576" i="8"/>
  <c r="B3540" i="8"/>
  <c r="D3540" i="8" s="1"/>
  <c r="B3466" i="8"/>
  <c r="B2210" i="8"/>
  <c r="B1439" i="8"/>
  <c r="B3391" i="8"/>
  <c r="B3354" i="8"/>
  <c r="B3336" i="8"/>
  <c r="B2642" i="8"/>
  <c r="D2642" i="8" s="1"/>
  <c r="B197" i="8"/>
  <c r="B1498" i="8"/>
  <c r="D1498" i="8" s="1"/>
  <c r="B2819" i="8"/>
  <c r="B2077" i="8"/>
  <c r="D2077" i="8" s="1"/>
  <c r="B3392" i="8"/>
  <c r="B2259" i="8"/>
  <c r="B3085" i="8"/>
  <c r="B2828" i="8"/>
  <c r="B2382" i="8"/>
  <c r="B2271" i="8"/>
  <c r="B1272" i="8"/>
  <c r="B2922" i="8"/>
  <c r="D2922" i="8" s="1"/>
  <c r="B1132" i="8"/>
  <c r="D1132" i="8" s="1"/>
  <c r="B2767" i="8"/>
  <c r="D2767" i="8" s="1"/>
  <c r="B1703" i="8"/>
  <c r="B2395" i="8"/>
  <c r="B3577" i="8"/>
  <c r="B3299" i="8"/>
  <c r="B3479" i="8"/>
  <c r="B2066" i="8"/>
  <c r="B1241" i="8"/>
  <c r="B3095" i="8"/>
  <c r="B1769" i="8"/>
  <c r="D1769" i="8" s="1"/>
  <c r="B2474" i="8"/>
  <c r="B3536" i="8"/>
  <c r="D3536" i="8" s="1"/>
  <c r="B3443" i="8"/>
  <c r="D3443" i="8" s="1"/>
  <c r="B3143" i="8"/>
  <c r="B500" i="8"/>
  <c r="B747" i="8"/>
  <c r="B2861" i="8"/>
  <c r="B1120" i="8"/>
  <c r="D1120" i="8" s="1"/>
  <c r="B2727" i="8"/>
  <c r="B1691" i="8"/>
  <c r="D1691" i="8" s="1"/>
  <c r="B2380" i="8"/>
  <c r="B3553" i="8"/>
  <c r="B3270" i="8"/>
  <c r="B3439" i="8"/>
  <c r="D3439" i="8" s="1"/>
  <c r="B1681" i="8"/>
  <c r="B921" i="8"/>
  <c r="B1906" i="8"/>
  <c r="B3488" i="8"/>
  <c r="B2633" i="8"/>
  <c r="B1613" i="8"/>
  <c r="B2287" i="8"/>
  <c r="B3182" i="8"/>
  <c r="B3105" i="8"/>
  <c r="B3223" i="8"/>
  <c r="B880" i="8"/>
  <c r="B38" i="8"/>
  <c r="B1468" i="8"/>
  <c r="D1468" i="8" s="1"/>
  <c r="B2776" i="8"/>
  <c r="B2039" i="8"/>
  <c r="B3111" i="8"/>
  <c r="B2200" i="8"/>
  <c r="B3055" i="8"/>
  <c r="B2792" i="8"/>
  <c r="B2352" i="8"/>
  <c r="B1208" i="8"/>
  <c r="B2698" i="8"/>
  <c r="B2637" i="8"/>
  <c r="B2412" i="8"/>
  <c r="D2412" i="8" s="1"/>
  <c r="B3284" i="8"/>
  <c r="B1312" i="8"/>
  <c r="B1931" i="8"/>
  <c r="B3049" i="8"/>
  <c r="B1137" i="8"/>
  <c r="B2841" i="8"/>
  <c r="B1174" i="8"/>
  <c r="B1733" i="8"/>
  <c r="B3532" i="8"/>
  <c r="B1459" i="8"/>
  <c r="B1275" i="8"/>
  <c r="B1611" i="8"/>
  <c r="D1611" i="8" s="1"/>
  <c r="B709" i="8"/>
  <c r="B1437" i="8"/>
  <c r="B2590" i="8"/>
  <c r="B3502" i="8"/>
  <c r="B1660" i="8"/>
  <c r="D1660" i="8" s="1"/>
  <c r="B3035" i="8"/>
  <c r="B3554" i="8"/>
  <c r="B940" i="8"/>
  <c r="B355" i="8"/>
  <c r="B1753" i="8"/>
  <c r="B2085" i="8"/>
  <c r="D2085" i="8" s="1"/>
  <c r="B2726" i="8"/>
  <c r="D2726" i="8" s="1"/>
  <c r="B2086" i="8"/>
  <c r="B2356" i="8"/>
  <c r="B2961" i="8"/>
  <c r="B3400" i="8"/>
  <c r="B1517" i="8"/>
  <c r="B2821" i="8"/>
  <c r="B3051" i="8"/>
  <c r="B1951" i="8"/>
  <c r="B2203" i="8"/>
  <c r="D2203" i="8" s="1"/>
  <c r="B1384" i="8"/>
  <c r="D1384" i="8" s="1"/>
  <c r="B2015" i="8"/>
  <c r="B3196" i="8"/>
  <c r="B3265" i="8"/>
  <c r="D3265" i="8" s="1"/>
  <c r="B3410" i="8"/>
  <c r="B1512" i="8"/>
  <c r="B1858" i="8"/>
  <c r="B2905" i="8"/>
  <c r="B2847" i="8"/>
  <c r="B2466" i="8"/>
  <c r="B2628" i="8"/>
  <c r="B3644" i="8"/>
  <c r="B3260" i="8"/>
  <c r="B3384" i="8"/>
  <c r="D3384" i="8" s="1"/>
  <c r="B244" i="8"/>
  <c r="B189" i="8"/>
  <c r="B1367" i="8"/>
  <c r="B3123" i="8"/>
  <c r="B3268" i="8"/>
  <c r="B3064" i="8"/>
  <c r="B2555" i="8"/>
  <c r="B1221" i="8"/>
  <c r="B1426" i="8"/>
  <c r="B2677" i="8"/>
  <c r="B1997" i="8"/>
  <c r="B2997" i="8"/>
  <c r="D2997" i="8" s="1"/>
  <c r="B2115" i="8"/>
  <c r="B3013" i="8"/>
  <c r="B2741" i="8"/>
  <c r="B2310" i="8"/>
  <c r="B424" i="8"/>
  <c r="D424" i="8" s="1"/>
  <c r="B2473" i="8"/>
  <c r="B1924" i="8"/>
  <c r="B3613" i="8"/>
  <c r="D3613" i="8" s="1"/>
  <c r="B2655" i="8"/>
  <c r="B1631" i="8"/>
  <c r="B2308" i="8"/>
  <c r="B3290" i="8"/>
  <c r="B3144" i="8"/>
  <c r="B3263" i="8"/>
  <c r="B135" i="8"/>
  <c r="B230" i="8"/>
  <c r="B2742" i="8"/>
  <c r="B1697" i="8"/>
  <c r="B2387" i="8"/>
  <c r="B3562" i="8"/>
  <c r="B3288" i="8"/>
  <c r="B3454" i="8"/>
  <c r="B1873" i="8"/>
  <c r="D1873" i="8" s="1"/>
  <c r="B1039" i="8"/>
  <c r="D1039" i="8" s="1"/>
  <c r="B1912" i="8"/>
  <c r="B3565" i="8"/>
  <c r="B2640" i="8"/>
  <c r="B1619" i="8"/>
  <c r="B2294" i="8"/>
  <c r="B3218" i="8"/>
  <c r="B3120" i="8"/>
  <c r="B3236" i="8"/>
  <c r="B1057" i="8"/>
  <c r="B101" i="8"/>
  <c r="B1834" i="8"/>
  <c r="D1834" i="8" s="1"/>
  <c r="B3177" i="8"/>
  <c r="D3177" i="8" s="1"/>
  <c r="B3306" i="8"/>
  <c r="B1541" i="8"/>
  <c r="B2142" i="8"/>
  <c r="B3477" i="8"/>
  <c r="B2893" i="8"/>
  <c r="B2941" i="8"/>
  <c r="B1770" i="8"/>
  <c r="B2492" i="8"/>
  <c r="B1396" i="8"/>
  <c r="B2497" i="8"/>
  <c r="B1967" i="8"/>
  <c r="B2869" i="8"/>
  <c r="B2056" i="8"/>
  <c r="B3609" i="8"/>
  <c r="B3594" i="8"/>
  <c r="B2280" i="8"/>
  <c r="B2895" i="8"/>
  <c r="D2900" i="8" l="1"/>
  <c r="D2474" i="8"/>
  <c r="D2949" i="8"/>
  <c r="D2943" i="8"/>
  <c r="D2315" i="8"/>
  <c r="D1795" i="8"/>
  <c r="D3465" i="8"/>
  <c r="D2111" i="8"/>
  <c r="D3619" i="8"/>
  <c r="D2115" i="8"/>
  <c r="D3281" i="8"/>
  <c r="D1912" i="8"/>
  <c r="D244" i="8"/>
  <c r="D3200" i="8"/>
  <c r="D2237" i="8"/>
  <c r="D182" i="8"/>
  <c r="D1685" i="8"/>
  <c r="D3495" i="8"/>
  <c r="D1753" i="8"/>
  <c r="D1673" i="8"/>
  <c r="D1774" i="8"/>
  <c r="D3127" i="8"/>
  <c r="D1684" i="8"/>
  <c r="D2316" i="8"/>
  <c r="D1294" i="8"/>
  <c r="D2518" i="8"/>
  <c r="D3473" i="8"/>
  <c r="D2513" i="8"/>
  <c r="D1304" i="8"/>
  <c r="D300" i="8"/>
  <c r="D386" i="8"/>
  <c r="D1839" i="8"/>
  <c r="D1955" i="8"/>
  <c r="D1325" i="8"/>
  <c r="D3564" i="8"/>
  <c r="D3459" i="8"/>
  <c r="D2858" i="8"/>
  <c r="D3033" i="8"/>
  <c r="D1126" i="8"/>
  <c r="D2511" i="8"/>
  <c r="D3413" i="8"/>
  <c r="D3066" i="8"/>
  <c r="D1270" i="8"/>
  <c r="D2623" i="8"/>
  <c r="D1007" i="8"/>
  <c r="D1541" i="8"/>
  <c r="D1681" i="8"/>
  <c r="D2467" i="8"/>
  <c r="D3614" i="8"/>
  <c r="D3568" i="8"/>
  <c r="D1421" i="8"/>
  <c r="D1990" i="8"/>
  <c r="D275" i="8"/>
  <c r="D2333" i="8"/>
  <c r="D2442" i="8"/>
  <c r="D3475" i="8"/>
  <c r="D3361" i="8"/>
  <c r="D2824" i="8"/>
  <c r="D3304" i="8"/>
  <c r="D3216" i="8"/>
  <c r="D3108" i="8"/>
  <c r="D2557" i="8"/>
  <c r="D92" i="8"/>
  <c r="D2121" i="8"/>
  <c r="D2719" i="8"/>
  <c r="D1103" i="8"/>
  <c r="D3497" i="8"/>
  <c r="D1678" i="8"/>
  <c r="D2731" i="8"/>
  <c r="D711" i="8"/>
  <c r="D1550" i="8"/>
  <c r="D2308" i="8"/>
  <c r="D1768" i="8"/>
  <c r="D2055" i="8"/>
  <c r="D2806" i="8"/>
  <c r="D1355" i="8"/>
  <c r="D1108" i="8"/>
  <c r="D499" i="8"/>
  <c r="D1445" i="8"/>
  <c r="D2757" i="8"/>
  <c r="D2660" i="8"/>
  <c r="D3365" i="8"/>
  <c r="D2522" i="8"/>
  <c r="D3117" i="8"/>
  <c r="D117" i="8"/>
  <c r="D1618" i="8"/>
  <c r="D3150" i="8"/>
  <c r="D361" i="8"/>
  <c r="D433" i="8"/>
  <c r="D1676" i="8"/>
  <c r="D504" i="8"/>
  <c r="D2030" i="8"/>
  <c r="D169" i="8"/>
  <c r="D126" i="8"/>
  <c r="D1765" i="8"/>
  <c r="D3026" i="8"/>
  <c r="D909" i="8"/>
  <c r="D511" i="8"/>
  <c r="D185" i="8"/>
  <c r="D2709" i="8"/>
  <c r="D519" i="8"/>
  <c r="D730" i="8"/>
  <c r="D124" i="8"/>
  <c r="D1917" i="8"/>
  <c r="D1179" i="8"/>
  <c r="D1883" i="8"/>
  <c r="D3068" i="8"/>
  <c r="D1843" i="8"/>
  <c r="D3171" i="8"/>
  <c r="D3636" i="8"/>
  <c r="D1901" i="8"/>
  <c r="D3419" i="8"/>
  <c r="D1363" i="8"/>
  <c r="D2811" i="8"/>
  <c r="D2289" i="8"/>
  <c r="D1343" i="8"/>
  <c r="D51" i="8"/>
  <c r="D2181" i="8"/>
  <c r="D1948" i="8"/>
  <c r="D810" i="8"/>
  <c r="D1406" i="8"/>
  <c r="D1268" i="8"/>
  <c r="D1195" i="8"/>
  <c r="D345" i="8"/>
  <c r="D1122" i="8"/>
  <c r="D34" i="8"/>
  <c r="D1070" i="8"/>
  <c r="D403" i="8"/>
  <c r="D1004" i="8"/>
  <c r="D1080" i="8"/>
  <c r="D1140" i="8"/>
  <c r="D2082" i="8"/>
  <c r="D569" i="8"/>
  <c r="D3598" i="8"/>
  <c r="D2497" i="8"/>
  <c r="D1622" i="8"/>
  <c r="D1186" i="8"/>
  <c r="D2423" i="8"/>
  <c r="D3153" i="8"/>
  <c r="D1014" i="8"/>
  <c r="D737" i="8"/>
  <c r="D1068" i="8"/>
  <c r="D151" i="8"/>
  <c r="D2409" i="8"/>
  <c r="D398" i="8"/>
  <c r="D2108" i="8"/>
  <c r="D3135" i="8"/>
  <c r="D495" i="8"/>
  <c r="D3450" i="8"/>
  <c r="D3006" i="8"/>
  <c r="D3057" i="8"/>
  <c r="D3124" i="8"/>
  <c r="D3229" i="8"/>
  <c r="D889" i="8"/>
  <c r="D3408" i="8"/>
  <c r="D2411" i="8"/>
  <c r="D3609" i="8"/>
  <c r="D3284" i="8"/>
  <c r="D2223" i="8"/>
  <c r="D3312" i="8"/>
  <c r="D1307" i="8"/>
  <c r="D3115" i="8"/>
  <c r="D1514" i="8"/>
  <c r="D745" i="8"/>
  <c r="D264" i="8"/>
  <c r="D2056" i="8"/>
  <c r="D3306" i="8"/>
  <c r="D3538" i="8"/>
  <c r="D2836" i="8"/>
  <c r="D3131" i="8"/>
  <c r="D1607" i="8"/>
  <c r="D1254" i="8"/>
  <c r="D1633" i="8"/>
  <c r="D2171" i="8"/>
  <c r="D3530" i="8"/>
  <c r="D3464" i="8"/>
  <c r="D2346" i="8"/>
  <c r="D3529" i="8"/>
  <c r="D3647" i="8"/>
  <c r="D3269" i="8"/>
  <c r="D188" i="8"/>
  <c r="D1859" i="8"/>
  <c r="D2887" i="8"/>
  <c r="D3541" i="8"/>
  <c r="D2752" i="8"/>
  <c r="D3611" i="8"/>
  <c r="D97" i="8"/>
  <c r="D161" i="8"/>
  <c r="D1399" i="8"/>
  <c r="D251" i="8"/>
  <c r="D1822" i="8"/>
  <c r="D2262" i="8"/>
  <c r="D1922" i="8"/>
  <c r="D1419" i="8"/>
  <c r="D304" i="8"/>
  <c r="D26" i="8"/>
  <c r="D2869" i="8"/>
  <c r="D3290" i="8"/>
  <c r="D1511" i="8"/>
  <c r="D1316" i="8"/>
  <c r="D3050" i="8"/>
  <c r="D2617" i="8"/>
  <c r="D1919" i="8"/>
  <c r="D3578" i="8"/>
  <c r="D3383" i="8"/>
  <c r="D1408" i="8"/>
  <c r="D1299" i="8"/>
  <c r="D1828" i="8"/>
  <c r="D2364" i="8"/>
  <c r="D2269" i="8"/>
  <c r="D3016" i="8"/>
  <c r="D2519" i="8"/>
  <c r="D3042" i="8"/>
  <c r="D3593" i="8"/>
  <c r="D2595" i="8"/>
  <c r="D1360" i="8"/>
  <c r="D1696" i="8"/>
  <c r="D3207" i="8"/>
  <c r="D1345" i="8"/>
  <c r="D997" i="8"/>
  <c r="D2953" i="8"/>
  <c r="D1735" i="8"/>
  <c r="D435" i="8"/>
  <c r="D550" i="8"/>
  <c r="D3023" i="8"/>
  <c r="D2282" i="8"/>
  <c r="D1851" i="8"/>
  <c r="D1797" i="8"/>
  <c r="D1719" i="8"/>
  <c r="D6" i="8"/>
  <c r="D1045" i="8"/>
  <c r="D281" i="8"/>
  <c r="D1353" i="8"/>
  <c r="D271" i="8"/>
  <c r="D2955" i="8"/>
  <c r="D1459" i="8"/>
  <c r="D3336" i="8"/>
  <c r="D3363" i="8"/>
  <c r="D10" i="8"/>
  <c r="D2418" i="8"/>
  <c r="D3494" i="8"/>
  <c r="D1117" i="8"/>
  <c r="D1091" i="8"/>
  <c r="D3468" i="8"/>
  <c r="D2240" i="8"/>
  <c r="D2130" i="8"/>
  <c r="D3500" i="8"/>
  <c r="D3546" i="8"/>
  <c r="D3072" i="8"/>
  <c r="D360" i="8"/>
  <c r="D1377" i="8"/>
  <c r="D100" i="8"/>
  <c r="D2581" i="8"/>
  <c r="D107" i="8"/>
  <c r="D1208" i="8"/>
  <c r="D2271" i="8"/>
  <c r="D3354" i="8"/>
  <c r="D1330" i="8"/>
  <c r="D2823" i="8"/>
  <c r="D3318" i="8"/>
  <c r="D2549" i="8"/>
  <c r="D2303" i="8"/>
  <c r="D1617" i="8"/>
  <c r="D401" i="8"/>
  <c r="D421" i="8"/>
  <c r="D897" i="8"/>
  <c r="D645" i="8"/>
  <c r="D1426" i="8"/>
  <c r="D1951" i="8"/>
  <c r="D2226" i="8"/>
  <c r="D2927" i="8"/>
  <c r="D2336" i="8"/>
  <c r="D2340" i="8"/>
  <c r="D3254" i="8"/>
  <c r="D3630" i="8"/>
  <c r="D1555" i="8"/>
  <c r="D1538" i="8"/>
  <c r="D2948" i="8"/>
  <c r="D3137" i="8"/>
  <c r="D2174" i="8"/>
  <c r="D3508" i="8"/>
  <c r="D1162" i="8"/>
  <c r="D1478" i="8"/>
  <c r="D214" i="8"/>
  <c r="D3139" i="8"/>
  <c r="D663" i="8"/>
  <c r="D3607" i="8"/>
  <c r="D1905" i="8"/>
  <c r="D328" i="8"/>
  <c r="D2375" i="8"/>
  <c r="D3605" i="8"/>
  <c r="D3628" i="8"/>
  <c r="D2478" i="8"/>
  <c r="D1654" i="8"/>
  <c r="D2246" i="8"/>
  <c r="D1388" i="8"/>
  <c r="D2148" i="8"/>
  <c r="D2368" i="8"/>
  <c r="D1651" i="8"/>
  <c r="D3368" i="8"/>
  <c r="D316" i="8"/>
  <c r="D1202" i="8"/>
  <c r="D1720" i="8"/>
  <c r="D724" i="8"/>
  <c r="D1237" i="8"/>
  <c r="D3410" i="8"/>
  <c r="D2386" i="8"/>
  <c r="D476" i="8"/>
  <c r="D3356" i="8"/>
  <c r="D2428" i="8"/>
  <c r="D1552" i="8"/>
  <c r="D2095" i="8"/>
  <c r="D3192" i="8"/>
  <c r="D216" i="8"/>
  <c r="D1935" i="8"/>
  <c r="D1023" i="8"/>
  <c r="D3391" i="8"/>
  <c r="D3275" i="8"/>
  <c r="D3428" i="8"/>
  <c r="D2931" i="8"/>
  <c r="D122" i="8"/>
  <c r="D2217" i="8"/>
  <c r="D3120" i="8"/>
  <c r="D1924" i="8"/>
  <c r="D3055" i="8"/>
  <c r="D3298" i="8"/>
  <c r="D2278" i="8"/>
  <c r="D2605" i="8"/>
  <c r="D1872" i="8"/>
  <c r="D2973" i="8"/>
  <c r="D3019" i="8"/>
  <c r="D2936" i="8"/>
  <c r="D1509" i="8"/>
  <c r="D1443" i="8"/>
  <c r="D2959" i="8"/>
  <c r="D3064" i="8"/>
  <c r="D2508" i="8"/>
  <c r="D2534" i="8"/>
  <c r="D2620" i="8"/>
  <c r="D2119" i="8"/>
  <c r="D3627" i="8"/>
  <c r="D1870" i="8"/>
  <c r="D2193" i="8"/>
  <c r="D261" i="8"/>
  <c r="D1738" i="8"/>
  <c r="D2331" i="8"/>
  <c r="D3622" i="8"/>
  <c r="D1659" i="8"/>
  <c r="D3594" i="8"/>
  <c r="D2142" i="8"/>
  <c r="D2640" i="8"/>
  <c r="D135" i="8"/>
  <c r="D2741" i="8"/>
  <c r="D1367" i="8"/>
  <c r="D2356" i="8"/>
  <c r="D1437" i="8"/>
  <c r="D1312" i="8"/>
  <c r="D2776" i="8"/>
  <c r="D921" i="8"/>
  <c r="D3143" i="8"/>
  <c r="D1703" i="8"/>
  <c r="D2819" i="8"/>
  <c r="D2038" i="8"/>
  <c r="D427" i="8"/>
  <c r="D3043" i="8"/>
  <c r="D3429" i="8"/>
  <c r="D1841" i="8"/>
  <c r="D1416" i="8"/>
  <c r="D2735" i="8"/>
  <c r="D2938" i="8"/>
  <c r="D3058" i="8"/>
  <c r="D2165" i="8"/>
  <c r="D3034" i="8"/>
  <c r="D2044" i="8"/>
  <c r="D3186" i="8"/>
  <c r="D3262" i="8"/>
  <c r="D2347" i="8"/>
  <c r="D3513" i="8"/>
  <c r="D3291" i="8"/>
  <c r="D2903" i="8"/>
  <c r="D631" i="8"/>
  <c r="D1008" i="8"/>
  <c r="D2864" i="8"/>
  <c r="D3404" i="8"/>
  <c r="D2917" i="8"/>
  <c r="D2802" i="8"/>
  <c r="D761" i="8"/>
  <c r="D3625" i="8"/>
  <c r="D2913" i="8"/>
  <c r="D2031" i="8"/>
  <c r="D3168" i="8"/>
  <c r="D1041" i="8"/>
  <c r="D1535" i="8"/>
  <c r="D1402" i="8"/>
  <c r="D898" i="8"/>
  <c r="D1565" i="8"/>
  <c r="D2743" i="8"/>
  <c r="D289" i="8"/>
  <c r="D1601" i="8"/>
  <c r="D3146" i="8"/>
  <c r="D2907" i="8"/>
  <c r="D3326" i="8"/>
  <c r="D3573" i="8"/>
  <c r="D1710" i="8"/>
  <c r="D2175" i="8"/>
  <c r="D1624" i="8"/>
  <c r="D2993" i="8"/>
  <c r="D3586" i="8"/>
  <c r="D178" i="8"/>
  <c r="D2950" i="8"/>
  <c r="D1854" i="8"/>
  <c r="D2476" i="8"/>
  <c r="D490" i="8"/>
  <c r="D3217" i="8"/>
  <c r="D2888" i="8"/>
  <c r="D794" i="8"/>
  <c r="D3571" i="8"/>
  <c r="D3549" i="8"/>
  <c r="D3393" i="8"/>
  <c r="D2209" i="8"/>
  <c r="D3103" i="8"/>
  <c r="D1630" i="8"/>
  <c r="D1469" i="8"/>
  <c r="D3195" i="8"/>
  <c r="D3021" i="8"/>
  <c r="D3528" i="8"/>
  <c r="D1327" i="8"/>
  <c r="D1860" i="8"/>
  <c r="D637" i="8"/>
  <c r="D3534" i="8"/>
  <c r="D2313" i="8"/>
  <c r="D1557" i="8"/>
  <c r="D193" i="8"/>
  <c r="D931" i="8"/>
  <c r="D2027" i="8"/>
  <c r="D1785" i="8"/>
  <c r="D1065" i="8"/>
  <c r="D1164" i="8"/>
  <c r="D912" i="8"/>
  <c r="D3010" i="8"/>
  <c r="D2568" i="8"/>
  <c r="D262" i="8"/>
  <c r="D1665" i="8"/>
  <c r="D1078" i="8"/>
  <c r="D3485" i="8"/>
  <c r="D2646" i="8"/>
  <c r="D1608" i="8"/>
  <c r="D1130" i="8"/>
  <c r="D2610" i="8"/>
  <c r="D2530" i="8"/>
  <c r="D990" i="8"/>
  <c r="D3359" i="8"/>
  <c r="D1507" i="8"/>
  <c r="D1504" i="8"/>
  <c r="D35" i="8"/>
  <c r="D2879" i="8"/>
  <c r="D1701" i="8"/>
  <c r="D1033" i="8"/>
  <c r="D2636" i="8"/>
  <c r="D31" i="8"/>
  <c r="D3632" i="8"/>
  <c r="D1987" i="8"/>
  <c r="D174" i="8"/>
  <c r="D2896" i="8"/>
  <c r="D1815" i="8"/>
  <c r="D343" i="8"/>
  <c r="D3027" i="8"/>
  <c r="D1868" i="8"/>
  <c r="D3180" i="8"/>
  <c r="D691" i="8"/>
  <c r="D319" i="8"/>
  <c r="D2729" i="8"/>
  <c r="D142" i="8"/>
  <c r="D2625" i="8"/>
  <c r="D1385" i="8"/>
  <c r="D105" i="8"/>
  <c r="D601" i="8"/>
  <c r="D1167" i="8"/>
  <c r="D2254" i="8"/>
  <c r="D3089" i="8"/>
  <c r="D502" i="8"/>
  <c r="D3197" i="8"/>
  <c r="D1390" i="8"/>
  <c r="D3121" i="8"/>
  <c r="D1242" i="8"/>
  <c r="D2831" i="8"/>
  <c r="D2901" i="8"/>
  <c r="D641" i="8"/>
  <c r="D3158" i="8"/>
  <c r="D1830" i="8"/>
  <c r="D1177" i="8"/>
  <c r="D1726" i="8"/>
  <c r="D969" i="8"/>
  <c r="D58" i="8"/>
  <c r="D108" i="8"/>
  <c r="D233" i="8"/>
  <c r="D964" i="8"/>
  <c r="D535" i="8"/>
  <c r="D407" i="8"/>
  <c r="D2392" i="8"/>
  <c r="D2256" i="8"/>
  <c r="D415" i="8"/>
  <c r="D879" i="8"/>
  <c r="D1803" i="8"/>
  <c r="D155" i="8"/>
  <c r="D2127" i="8"/>
  <c r="D392" i="8"/>
  <c r="D2058" i="8"/>
  <c r="D2782" i="8"/>
  <c r="D1479" i="8"/>
  <c r="D2123" i="8"/>
  <c r="D368" i="8"/>
  <c r="D939" i="8"/>
  <c r="D1183" i="8"/>
  <c r="D885" i="8"/>
  <c r="D853" i="8"/>
  <c r="D846" i="8"/>
  <c r="D616" i="8"/>
  <c r="D742" i="8"/>
  <c r="D689" i="8"/>
  <c r="D2737" i="8"/>
  <c r="D673" i="8"/>
  <c r="D1807" i="8"/>
  <c r="D2661" i="8"/>
  <c r="D1026" i="8"/>
  <c r="D196" i="8"/>
  <c r="D1060" i="8"/>
  <c r="D2401" i="8"/>
  <c r="D817" i="8"/>
  <c r="D66" i="8"/>
  <c r="D1892" i="8"/>
  <c r="D916" i="8"/>
  <c r="D2463" i="8"/>
  <c r="D604" i="8"/>
  <c r="D3436" i="8"/>
  <c r="D1520" i="8"/>
  <c r="D957" i="8"/>
  <c r="D2405" i="8"/>
  <c r="D700" i="8"/>
  <c r="D311" i="8"/>
  <c r="D1074" i="8"/>
  <c r="D624" i="8"/>
  <c r="D2495" i="8"/>
  <c r="D3295" i="8"/>
  <c r="D918" i="8"/>
  <c r="D236" i="8"/>
  <c r="D219" i="8"/>
  <c r="D1019" i="8"/>
  <c r="D23" i="8"/>
  <c r="D455" i="8"/>
  <c r="D2753" i="8"/>
  <c r="D765" i="8"/>
  <c r="D422" i="8"/>
  <c r="D2138" i="8"/>
  <c r="D992" i="8"/>
  <c r="D1585" i="8"/>
  <c r="D1055" i="8"/>
  <c r="D3004" i="8"/>
  <c r="D577" i="8"/>
  <c r="D1215" i="8"/>
  <c r="D231" i="8"/>
  <c r="D3164" i="8"/>
  <c r="D2872" i="8"/>
  <c r="D493" i="8"/>
  <c r="D537" i="8"/>
  <c r="D1875" i="8"/>
  <c r="D2680" i="8"/>
  <c r="D2189" i="8"/>
  <c r="D887" i="8"/>
  <c r="D866" i="8"/>
  <c r="D782" i="8"/>
  <c r="D7" i="8"/>
  <c r="D395" i="8"/>
  <c r="D212" i="8"/>
  <c r="D2214" i="8"/>
  <c r="D292" i="8"/>
  <c r="D1432" i="8"/>
  <c r="D871" i="8"/>
  <c r="D313" i="8"/>
  <c r="D666" i="8"/>
  <c r="D347" i="8"/>
  <c r="D657" i="8"/>
  <c r="D541" i="8"/>
  <c r="D1146" i="8"/>
  <c r="D2072" i="8"/>
  <c r="D1544" i="8"/>
  <c r="D53" i="8"/>
  <c r="D530" i="8"/>
  <c r="D3092" i="8"/>
  <c r="D754" i="8"/>
  <c r="D1036" i="8"/>
  <c r="D350" i="8"/>
  <c r="D113" i="8"/>
  <c r="D333" i="8"/>
  <c r="D431" i="8"/>
  <c r="D2160" i="8"/>
  <c r="D388" i="8"/>
  <c r="D987" i="8"/>
  <c r="D2041" i="8"/>
  <c r="D804" i="8"/>
  <c r="D780" i="8"/>
  <c r="D1245" i="8"/>
  <c r="D89" i="8"/>
  <c r="D3617" i="8"/>
  <c r="D2572" i="8"/>
  <c r="D3417" i="8"/>
  <c r="D2816" i="8"/>
  <c r="D1957" i="8"/>
  <c r="D2447" i="8"/>
  <c r="D1588" i="8"/>
  <c r="D770" i="8"/>
  <c r="D658" i="8"/>
  <c r="D1826" i="8"/>
  <c r="D3339" i="8"/>
  <c r="D2065" i="8"/>
  <c r="D857" i="8"/>
  <c r="D2317" i="8"/>
  <c r="D3525" i="8"/>
  <c r="D3097" i="8"/>
  <c r="D3395" i="8"/>
  <c r="D2248" i="8"/>
  <c r="D3233" i="8"/>
  <c r="D1692" i="8"/>
  <c r="D1308" i="8"/>
  <c r="D2898" i="8"/>
  <c r="D3319" i="8"/>
  <c r="D2005" i="8"/>
  <c r="D2884" i="8"/>
  <c r="D3013" i="8"/>
  <c r="D709" i="8"/>
  <c r="D3259" i="8"/>
  <c r="D2008" i="8"/>
  <c r="D2670" i="8"/>
  <c r="D1836" i="8"/>
  <c r="D2279" i="8"/>
  <c r="D2366" i="8"/>
  <c r="D2749" i="8"/>
  <c r="D1984" i="8"/>
  <c r="D2966" i="8"/>
  <c r="D381" i="8"/>
  <c r="D1529" i="8"/>
  <c r="D115" i="8"/>
  <c r="D968" i="8"/>
  <c r="D321" i="8"/>
  <c r="D238" i="8"/>
  <c r="D1296" i="8"/>
  <c r="D978" i="8"/>
  <c r="D1240" i="8"/>
  <c r="D3162" i="8"/>
  <c r="D173" i="8"/>
  <c r="D207" i="8"/>
  <c r="D1813" i="8"/>
  <c r="D1291" i="8"/>
  <c r="D412" i="8"/>
  <c r="D1302" i="8"/>
  <c r="D3435" i="8"/>
  <c r="D2426" i="8"/>
  <c r="D2561" i="8"/>
  <c r="D2004" i="8"/>
  <c r="D2945" i="8"/>
  <c r="D1976" i="8"/>
  <c r="D3511" i="8"/>
  <c r="D1030" i="8"/>
  <c r="D1323" i="8"/>
  <c r="D2311" i="8"/>
  <c r="D3343" i="8"/>
  <c r="D378" i="8"/>
  <c r="D2635" i="8"/>
  <c r="D1200" i="8"/>
  <c r="D976" i="8"/>
  <c r="D91" i="8"/>
  <c r="D1772" i="8"/>
  <c r="D298" i="8"/>
  <c r="D704" i="8"/>
  <c r="D3643" i="8"/>
  <c r="D2882" i="8"/>
  <c r="D1094" i="8"/>
  <c r="D3389" i="8"/>
  <c r="D2606" i="8"/>
  <c r="D2827" i="8"/>
  <c r="D3518" i="8"/>
  <c r="D2629" i="8"/>
  <c r="D3548" i="8"/>
  <c r="D2785" i="8"/>
  <c r="D1998" i="8"/>
  <c r="D1397" i="8"/>
  <c r="D2699" i="8"/>
  <c r="D2760" i="8"/>
  <c r="D1762" i="8"/>
  <c r="D1925" i="8"/>
  <c r="D3520" i="8"/>
  <c r="D2103" i="8"/>
  <c r="D2996" i="8"/>
  <c r="D1961" i="8"/>
  <c r="D733" i="8"/>
  <c r="D2460" i="8"/>
  <c r="D132" i="8"/>
  <c r="D1411" i="8"/>
  <c r="D3279" i="8"/>
  <c r="D2976" i="8"/>
  <c r="D1379" i="8"/>
  <c r="D253" i="8"/>
  <c r="D2567" i="8"/>
  <c r="D2532" i="8"/>
  <c r="D1867" i="8"/>
  <c r="D1627" i="8"/>
  <c r="D2437" i="8"/>
  <c r="D2659" i="8"/>
  <c r="D1073" i="8"/>
  <c r="D1953" i="8"/>
  <c r="D2550" i="8"/>
  <c r="D1223" i="8"/>
  <c r="D2937" i="8"/>
  <c r="D1441" i="8"/>
  <c r="D2603" i="8"/>
  <c r="D1778" i="8"/>
  <c r="D2012" i="8"/>
  <c r="D2456" i="8"/>
  <c r="D2599" i="8"/>
  <c r="D77" i="8"/>
  <c r="D1381" i="8"/>
  <c r="D1819" i="8"/>
  <c r="D900" i="8"/>
  <c r="D1932" i="8"/>
  <c r="D572" i="8"/>
  <c r="D2293" i="8"/>
  <c r="D822" i="8"/>
  <c r="D1263" i="8"/>
  <c r="D980" i="8"/>
  <c r="D103" i="8"/>
  <c r="D447" i="8"/>
  <c r="D2196" i="8"/>
  <c r="D3447" i="8"/>
  <c r="D2553" i="8"/>
  <c r="D660" i="8"/>
  <c r="D200" i="8"/>
  <c r="D1086" i="8"/>
  <c r="D1002" i="8"/>
  <c r="D1549" i="8"/>
  <c r="D2251" i="8"/>
  <c r="D1610" i="8"/>
  <c r="D370" i="8"/>
  <c r="D836" i="8"/>
  <c r="D192" i="8"/>
  <c r="D1191" i="8"/>
  <c r="D623" i="8"/>
  <c r="D2674" i="8"/>
  <c r="D61" i="8"/>
  <c r="D479" i="8"/>
  <c r="D656" i="8"/>
  <c r="D831" i="8"/>
  <c r="D2810" i="8"/>
  <c r="D2891" i="8"/>
  <c r="D1169" i="8"/>
  <c r="D137" i="8"/>
  <c r="D784" i="8"/>
  <c r="D649" i="8"/>
  <c r="D2651" i="8"/>
  <c r="D563" i="8"/>
  <c r="D953" i="8"/>
  <c r="D2267" i="8"/>
  <c r="D302" i="8"/>
  <c r="D1230" i="8"/>
  <c r="D2725" i="8"/>
  <c r="D796" i="8"/>
  <c r="D3570" i="8"/>
  <c r="D2163" i="8"/>
  <c r="D2559" i="8"/>
  <c r="D3581" i="8"/>
  <c r="D154" i="8"/>
  <c r="D2113" i="8"/>
  <c r="D3438" i="8"/>
  <c r="D1959" i="8"/>
  <c r="D1986" i="8"/>
  <c r="D2156" i="8"/>
  <c r="D1714" i="8"/>
  <c r="D1707" i="8"/>
  <c r="D878" i="8"/>
  <c r="D1897" i="8"/>
  <c r="D383" i="8"/>
  <c r="D950" i="8"/>
  <c r="D611" i="8"/>
  <c r="D2326" i="8"/>
  <c r="D2439" i="8"/>
  <c r="D707" i="8"/>
  <c r="D2516" i="8"/>
  <c r="D1273" i="8"/>
  <c r="D634" i="8"/>
  <c r="D1668" i="8"/>
  <c r="D947" i="8"/>
  <c r="D792" i="8"/>
  <c r="D1725" i="8"/>
  <c r="D419" i="8"/>
  <c r="D2705" i="8"/>
  <c r="D1967" i="8"/>
  <c r="D1997" i="8"/>
  <c r="D3223" i="8"/>
  <c r="D3323" i="8"/>
  <c r="D3478" i="8"/>
  <c r="D3642" i="8"/>
  <c r="D1492" i="8"/>
  <c r="D1888" i="8"/>
  <c r="D2359" i="8"/>
  <c r="D2007" i="8"/>
  <c r="D3221" i="8"/>
  <c r="D2667" i="8"/>
  <c r="D1138" i="8"/>
  <c r="D2098" i="8"/>
  <c r="D2452" i="8"/>
  <c r="D3590" i="8"/>
  <c r="D2848" i="8"/>
  <c r="D3375" i="8"/>
  <c r="D3453" i="8"/>
  <c r="D3249" i="8"/>
  <c r="D2862" i="8"/>
  <c r="D1567" i="8"/>
  <c r="D3258" i="8"/>
  <c r="D1749" i="8"/>
  <c r="D3081" i="8"/>
  <c r="D1287" i="8"/>
  <c r="D3600" i="8"/>
  <c r="D2185" i="8"/>
  <c r="D3227" i="8"/>
  <c r="D55" i="8"/>
  <c r="D365" i="8"/>
  <c r="D3584" i="8"/>
  <c r="D1800" i="8"/>
  <c r="D2444" i="8"/>
  <c r="D1644" i="8"/>
  <c r="D2500" i="8"/>
  <c r="D3398" i="8"/>
  <c r="D171" i="8"/>
  <c r="D516" i="8"/>
  <c r="D2578" i="8"/>
  <c r="D267" i="8"/>
  <c r="D330" i="8"/>
  <c r="D369" i="8"/>
  <c r="D80" i="8"/>
  <c r="D167" i="8"/>
  <c r="D1401" i="8"/>
  <c r="D2527" i="8"/>
  <c r="D1641" i="8"/>
  <c r="D50" i="8"/>
  <c r="D665" i="8"/>
  <c r="D3557" i="8"/>
  <c r="D684" i="8"/>
  <c r="D1849" i="8"/>
  <c r="D1099" i="8"/>
  <c r="D2080" i="8"/>
  <c r="D552" i="8"/>
  <c r="D1284" i="8"/>
  <c r="D886" i="8"/>
  <c r="D830" i="8"/>
  <c r="D16" i="8"/>
  <c r="D893" i="8"/>
  <c r="D1970" i="8"/>
  <c r="D654" i="8"/>
  <c r="D33" i="8"/>
  <c r="D2592" i="8"/>
  <c r="D3490" i="8"/>
  <c r="D2845" i="8"/>
  <c r="D591" i="8"/>
  <c r="D3063" i="8"/>
  <c r="D224" i="8"/>
  <c r="D2580" i="8"/>
  <c r="D150" i="8"/>
  <c r="D2043" i="8"/>
  <c r="D430" i="8"/>
  <c r="D1825" i="8"/>
  <c r="D1231" i="8"/>
  <c r="D2789" i="8"/>
  <c r="D3441" i="8"/>
  <c r="D3527" i="8"/>
  <c r="D1979" i="8"/>
  <c r="D2632" i="8"/>
  <c r="D3372" i="8"/>
  <c r="D3076" i="8"/>
  <c r="D3239" i="8"/>
  <c r="D955" i="8"/>
  <c r="D3046" i="8"/>
  <c r="D2212" i="8"/>
  <c r="D2381" i="8"/>
  <c r="D3100" i="8"/>
  <c r="D3001" i="8"/>
  <c r="D2014" i="8"/>
  <c r="D2434" i="8"/>
  <c r="D2755" i="8"/>
  <c r="D3140" i="8"/>
  <c r="D3544" i="8"/>
  <c r="D1963" i="8"/>
  <c r="D1880" i="8"/>
  <c r="D1257" i="8"/>
  <c r="D2272" i="8"/>
  <c r="D2179" i="8"/>
  <c r="D1698" i="8"/>
  <c r="D2350" i="8"/>
  <c r="D1494" i="8"/>
  <c r="D534" i="8"/>
  <c r="D1899" i="8"/>
  <c r="D3244" i="8"/>
  <c r="D64" i="8"/>
  <c r="D2306" i="8"/>
  <c r="D2106" i="8"/>
  <c r="D2140" i="8"/>
  <c r="D2230" i="8"/>
  <c r="D779" i="8"/>
  <c r="D1234" i="8"/>
  <c r="D620" i="8"/>
  <c r="D1755" i="8"/>
  <c r="D1763" i="8"/>
  <c r="D2551" i="8"/>
  <c r="D2875" i="8"/>
  <c r="D2613" i="8"/>
  <c r="D3461" i="8"/>
  <c r="D1412" i="8"/>
  <c r="D3204" i="8"/>
  <c r="D2675" i="8"/>
  <c r="D600" i="8"/>
  <c r="D2074" i="8"/>
  <c r="D708" i="8"/>
  <c r="D2689" i="8"/>
  <c r="D2656" i="8"/>
  <c r="D971" i="8"/>
  <c r="D2414" i="8"/>
  <c r="D521" i="8"/>
  <c r="D45" i="8"/>
  <c r="D3483" i="8"/>
  <c r="D1742" i="8"/>
  <c r="D3215" i="8"/>
  <c r="D848" i="8"/>
  <c r="D1662" i="8"/>
  <c r="D1181" i="8"/>
  <c r="D2556" i="8"/>
  <c r="D775" i="8"/>
  <c r="D203" i="8"/>
  <c r="D3091" i="8"/>
  <c r="D2022" i="8"/>
  <c r="D1175" i="8"/>
  <c r="D1620" i="8"/>
  <c r="D2544" i="8"/>
  <c r="D1145" i="8"/>
  <c r="D2063" i="8"/>
  <c r="D682" i="8"/>
  <c r="D2092" i="8"/>
  <c r="D1134" i="8"/>
  <c r="D2521" i="8"/>
  <c r="D1862" i="8"/>
  <c r="D1314" i="8"/>
  <c r="D2698" i="8"/>
  <c r="D3553" i="8"/>
  <c r="D2778" i="8"/>
  <c r="D2986" i="8"/>
  <c r="D3640" i="8"/>
  <c r="D3325" i="8"/>
  <c r="D277" i="8"/>
  <c r="D1486" i="8"/>
  <c r="D695" i="8"/>
  <c r="D732" i="8"/>
  <c r="D1945" i="8"/>
  <c r="D1058" i="8"/>
  <c r="D3252" i="8"/>
  <c r="D1335" i="8"/>
  <c r="D2003" i="8"/>
  <c r="D1911" i="8"/>
  <c r="D402" i="8"/>
  <c r="D2773" i="8"/>
  <c r="D3463" i="8"/>
  <c r="D2639" i="8"/>
  <c r="D341" i="8"/>
  <c r="D1965" i="8"/>
  <c r="D2341" i="8"/>
  <c r="D1929" i="8"/>
  <c r="D2942" i="8"/>
  <c r="D1595" i="8"/>
  <c r="D1342" i="8"/>
  <c r="D1503" i="8"/>
  <c r="D1430" i="8"/>
  <c r="D719" i="8"/>
  <c r="D3025" i="8"/>
  <c r="D1112" i="8"/>
  <c r="D3179" i="8"/>
  <c r="D1994" i="8"/>
  <c r="D3515" i="8"/>
  <c r="D688" i="8"/>
  <c r="D243" i="8"/>
  <c r="D3083" i="8"/>
  <c r="D74" i="8"/>
  <c r="D2218" i="8"/>
  <c r="D507" i="8"/>
  <c r="D1427" i="8"/>
  <c r="D568" i="8"/>
  <c r="D1472" i="8"/>
  <c r="D3286" i="8"/>
  <c r="D485" i="8"/>
  <c r="D3183" i="8"/>
  <c r="D2992" i="8"/>
  <c r="D3166" i="8"/>
  <c r="D3199" i="8"/>
  <c r="D3094" i="8"/>
  <c r="D148" i="8"/>
  <c r="D2155" i="8"/>
  <c r="D3257" i="8"/>
  <c r="D2981" i="8"/>
  <c r="D1387" i="8"/>
  <c r="D3565" i="8"/>
  <c r="D189" i="8"/>
  <c r="D2086" i="8"/>
  <c r="D2923" i="8"/>
  <c r="D145" i="8"/>
  <c r="D2706" i="8"/>
  <c r="D2570" i="8"/>
  <c r="D2786" i="8"/>
  <c r="D811" i="8"/>
  <c r="D3148" i="8"/>
  <c r="D2870" i="8"/>
  <c r="D2700" i="8"/>
  <c r="D3172" i="8"/>
  <c r="D1475" i="8"/>
  <c r="D2563" i="8"/>
  <c r="D1840" i="8"/>
  <c r="D3585" i="8"/>
  <c r="D1226" i="8"/>
  <c r="D2587" i="8"/>
  <c r="D30" i="8"/>
  <c r="D2283" i="8"/>
  <c r="D2219" i="8"/>
  <c r="D2643" i="8"/>
  <c r="D2652" i="8"/>
  <c r="D930" i="8"/>
  <c r="D1092" i="8"/>
  <c r="D1028" i="8"/>
  <c r="D559" i="8"/>
  <c r="D2164" i="8"/>
  <c r="D3370" i="8"/>
  <c r="D1274" i="8"/>
  <c r="D3069" i="8"/>
  <c r="D598" i="8"/>
  <c r="D764" i="8"/>
  <c r="D68" i="8"/>
  <c r="D1382" i="8"/>
  <c r="D18" i="8"/>
  <c r="D11" i="8"/>
  <c r="D282" i="8"/>
  <c r="D2624" i="8"/>
  <c r="D1686" i="8"/>
  <c r="D2677" i="8"/>
  <c r="D1339" i="8"/>
  <c r="D2834" i="8"/>
  <c r="D1539" i="8"/>
  <c r="D1361" i="8"/>
  <c r="D2746" i="8"/>
  <c r="D305" i="8"/>
  <c r="D1118" i="8"/>
  <c r="D2877" i="8"/>
  <c r="D959" i="8"/>
  <c r="D2596" i="8"/>
  <c r="D2920" i="8"/>
  <c r="D758" i="8"/>
  <c r="D48" i="8"/>
  <c r="D41" i="8"/>
  <c r="D496" i="8"/>
  <c r="D2716" i="8"/>
  <c r="D2509" i="8"/>
  <c r="D547" i="8"/>
  <c r="D162" i="8"/>
  <c r="D2482" i="8"/>
  <c r="D1723" i="8"/>
  <c r="D56" i="8"/>
  <c r="D84" i="8"/>
  <c r="D1053" i="8"/>
  <c r="D1209" i="8"/>
  <c r="D1448" i="8"/>
  <c r="D1081" i="8"/>
  <c r="D1446" i="8"/>
  <c r="D2475" i="8"/>
  <c r="D1645" i="8"/>
  <c r="D2071" i="8"/>
  <c r="D606" i="8"/>
  <c r="D501" i="8"/>
  <c r="D2372" i="8"/>
  <c r="D751" i="8"/>
  <c r="D1604" i="8"/>
  <c r="D1739" i="8"/>
  <c r="D2797" i="8"/>
  <c r="D808" i="8"/>
  <c r="D254" i="8"/>
  <c r="D247" i="8"/>
  <c r="D480" i="8"/>
  <c r="D375" i="8"/>
  <c r="D2485" i="8"/>
  <c r="D1582" i="8"/>
  <c r="D22" i="8"/>
  <c r="D2394" i="8"/>
  <c r="D579" i="8"/>
  <c r="D1266" i="8"/>
  <c r="D1129" i="8"/>
  <c r="D1173" i="8"/>
  <c r="D2502" i="8"/>
  <c r="D3272" i="8"/>
  <c r="D587" i="8"/>
  <c r="D471" i="8"/>
  <c r="D1561" i="8"/>
  <c r="D2977" i="8"/>
  <c r="D522" i="8"/>
  <c r="D1467" i="8"/>
  <c r="D2453" i="8"/>
  <c r="D1236" i="8"/>
  <c r="D356" i="8"/>
  <c r="D2396" i="8"/>
  <c r="D1300" i="8"/>
  <c r="D1878" i="8"/>
  <c r="D639" i="8"/>
  <c r="D436" i="8"/>
  <c r="D3457" i="8"/>
  <c r="D2554" i="8"/>
  <c r="D740" i="8"/>
  <c r="D1281" i="8"/>
  <c r="D905" i="8"/>
  <c r="D2125" i="8"/>
  <c r="D3481" i="8"/>
  <c r="D815" i="8"/>
  <c r="D608" i="8"/>
  <c r="D907" i="8"/>
  <c r="D749" i="8"/>
  <c r="D793" i="8"/>
  <c r="D554" i="8"/>
  <c r="D418" i="8"/>
  <c r="D592" i="8"/>
  <c r="D911" i="8"/>
  <c r="D2850" i="8"/>
  <c r="D448" i="8"/>
  <c r="D627" i="8"/>
  <c r="D1930" i="8"/>
  <c r="D1332" i="8"/>
  <c r="D1874" i="8"/>
  <c r="D3579" i="8"/>
  <c r="D1452" i="8"/>
  <c r="D1460" i="8"/>
  <c r="D3645" i="8"/>
  <c r="D2329" i="8"/>
  <c r="D331" i="8"/>
  <c r="D1670" i="8"/>
  <c r="D3038" i="8"/>
  <c r="D984" i="8"/>
  <c r="D800" i="8"/>
  <c r="D1109" i="8"/>
  <c r="D1788" i="8"/>
  <c r="D1435" i="8"/>
  <c r="D2912" i="8"/>
  <c r="D508" i="8"/>
  <c r="D1142" i="8"/>
  <c r="D3399" i="8"/>
  <c r="D1776" i="8"/>
  <c r="D3386" i="8"/>
  <c r="D2380" i="8"/>
  <c r="D3095" i="8"/>
  <c r="D2694" i="8"/>
  <c r="D3452" i="8"/>
  <c r="D274" i="8"/>
  <c r="D70" i="8"/>
  <c r="D1747" i="8"/>
  <c r="D2928" i="8"/>
  <c r="D1672" i="8"/>
  <c r="D2102" i="8"/>
  <c r="D3088" i="8"/>
  <c r="D2286" i="8"/>
  <c r="D1265" i="8"/>
  <c r="D3211" i="8"/>
  <c r="D1661" i="8"/>
  <c r="D1584" i="8"/>
  <c r="D2020" i="8"/>
  <c r="D3232" i="8"/>
  <c r="D1972" i="8"/>
  <c r="D1838" i="8"/>
  <c r="D3472" i="8"/>
  <c r="D3255" i="8"/>
  <c r="D1781" i="8"/>
  <c r="D3487" i="8"/>
  <c r="D1866" i="8"/>
  <c r="D1571" i="8"/>
  <c r="D2354" i="8"/>
  <c r="D1279" i="8"/>
  <c r="D1533" i="8"/>
  <c r="D1548" i="8"/>
  <c r="D1250" i="8"/>
  <c r="D2296" i="8"/>
  <c r="D2319" i="8"/>
  <c r="D3032" i="8"/>
  <c r="D1758" i="8"/>
  <c r="D1001" i="8"/>
  <c r="D3126" i="8"/>
  <c r="D1947" i="8"/>
  <c r="D2229" i="8"/>
  <c r="D1891" i="8"/>
  <c r="D1525" i="8"/>
  <c r="D835" i="8"/>
  <c r="D2018" i="8"/>
  <c r="D1194" i="8"/>
  <c r="D2933" i="8"/>
  <c r="D1656" i="8"/>
  <c r="D87" i="8"/>
  <c r="D279" i="8"/>
  <c r="D803" i="8"/>
  <c r="D2133" i="8"/>
  <c r="D3236" i="8"/>
  <c r="D3037" i="8"/>
  <c r="D2821" i="8"/>
  <c r="D1482" i="8"/>
  <c r="D838" i="8"/>
  <c r="D358" i="8"/>
  <c r="D3315" i="8"/>
  <c r="D2645" i="8"/>
  <c r="D596" i="8"/>
  <c r="D1975" i="8"/>
  <c r="D565" i="8"/>
  <c r="D417" i="8"/>
  <c r="D2389" i="8"/>
  <c r="D756" i="8"/>
  <c r="D2818" i="8"/>
  <c r="D3278" i="8"/>
  <c r="D3639" i="8"/>
  <c r="D2826" i="8"/>
  <c r="D2840" i="8"/>
  <c r="D2170" i="8"/>
  <c r="D2344" i="8"/>
  <c r="D467" i="8"/>
  <c r="D2469" i="8"/>
  <c r="D1491" i="8"/>
  <c r="D128" i="8"/>
  <c r="D2061" i="8"/>
  <c r="D3379" i="8"/>
  <c r="D3348" i="8"/>
  <c r="D1006" i="8"/>
  <c r="D3085" i="8"/>
  <c r="D2385" i="8"/>
  <c r="D2566" i="8"/>
  <c r="D3434" i="8"/>
  <c r="D1522" i="8"/>
  <c r="D1373" i="8"/>
  <c r="D1125" i="8"/>
  <c r="D2669" i="8"/>
  <c r="D2069" i="8"/>
  <c r="D2983" i="8"/>
  <c r="D3561" i="8"/>
  <c r="D3388" i="8"/>
  <c r="D925" i="8"/>
  <c r="D2300" i="8"/>
  <c r="D1462" i="8"/>
  <c r="D2094" i="8"/>
  <c r="D475" i="8"/>
  <c r="D210" i="8"/>
  <c r="D2011" i="8"/>
  <c r="D228" i="8"/>
  <c r="D297" i="8"/>
  <c r="D1090" i="8"/>
  <c r="D3367" i="8"/>
  <c r="D2370" i="8"/>
  <c r="D3562" i="8"/>
  <c r="D1221" i="8"/>
  <c r="D2162" i="8"/>
  <c r="D2971" i="8"/>
  <c r="D1648" i="8"/>
  <c r="D2906" i="8"/>
  <c r="D2266" i="8"/>
  <c r="D1337" i="8"/>
  <c r="D2301" i="8"/>
  <c r="D2472" i="8"/>
  <c r="D159" i="8"/>
  <c r="D2991" i="8"/>
  <c r="D3523" i="8"/>
  <c r="D1732" i="8"/>
  <c r="D1760" i="8"/>
  <c r="D1351" i="8"/>
  <c r="D774" i="8"/>
  <c r="D1563" i="8"/>
  <c r="D339" i="8"/>
  <c r="D2001" i="8"/>
  <c r="D3423" i="8"/>
  <c r="D513" i="8"/>
  <c r="D3225" i="8"/>
  <c r="D3480" i="8"/>
  <c r="D3074" i="8"/>
  <c r="D3247" i="8"/>
  <c r="D3634" i="8"/>
  <c r="D2515" i="8"/>
  <c r="D3334" i="8"/>
  <c r="D3214" i="8"/>
  <c r="D3506" i="8"/>
  <c r="D2433" i="8"/>
  <c r="D1793" i="8"/>
  <c r="D1483" i="8"/>
  <c r="D1229" i="8"/>
  <c r="D13" i="8"/>
  <c r="D2585" i="8"/>
  <c r="D3242" i="8"/>
  <c r="D1233" i="8"/>
  <c r="D1049" i="8"/>
  <c r="D1159" i="8"/>
  <c r="D1989" i="8"/>
  <c r="D2622" i="8"/>
  <c r="D1394" i="8"/>
  <c r="D286" i="8"/>
  <c r="D2332" i="8"/>
  <c r="D1485" i="8"/>
  <c r="D72" i="8"/>
  <c r="D1051" i="8"/>
  <c r="D2399" i="8"/>
  <c r="D2137" i="8"/>
  <c r="D714" i="8"/>
  <c r="D1903" i="8"/>
  <c r="D841" i="8"/>
  <c r="D2450" i="8"/>
  <c r="D2909" i="8"/>
  <c r="D735" i="8"/>
  <c r="D1247" i="8"/>
  <c r="D3003" i="8"/>
  <c r="D373" i="8"/>
  <c r="D670" i="8"/>
  <c r="D847" i="8"/>
  <c r="D2377" i="8"/>
  <c r="D2167" i="8"/>
  <c r="D112" i="8"/>
  <c r="D1375" i="8"/>
  <c r="D1908" i="8"/>
  <c r="D973" i="8"/>
  <c r="D2853" i="8"/>
  <c r="D1456" i="8"/>
  <c r="D3503" i="8"/>
  <c r="D2965" i="8"/>
  <c r="D1172" i="8"/>
  <c r="D2195" i="8"/>
  <c r="D2634" i="8"/>
  <c r="D372" i="8"/>
  <c r="D2136" i="8"/>
  <c r="D2100" i="8"/>
  <c r="D2795" i="8"/>
  <c r="D354" i="8"/>
  <c r="D2852" i="8"/>
  <c r="D1689" i="8"/>
  <c r="D2535" i="8"/>
  <c r="D2658" i="8"/>
  <c r="D1154" i="8"/>
  <c r="D410" i="8"/>
  <c r="D2780" i="8"/>
  <c r="D131" i="8"/>
  <c r="D1497" i="8"/>
  <c r="D1043" i="8"/>
  <c r="D2990" i="8"/>
  <c r="D619" i="8"/>
  <c r="D678" i="8"/>
  <c r="D1982" i="8"/>
  <c r="D613" i="8"/>
  <c r="D698" i="8"/>
  <c r="D338" i="8"/>
  <c r="D773" i="8"/>
  <c r="D1598" i="8"/>
  <c r="D461" i="8"/>
  <c r="D2000" i="8"/>
  <c r="D702" i="8"/>
  <c r="D206" i="8"/>
  <c r="D928" i="8"/>
  <c r="D892" i="8"/>
  <c r="D863" i="8"/>
  <c r="D2866" i="8"/>
  <c r="D3210" i="8"/>
  <c r="D3421" i="8"/>
  <c r="D1151" i="8"/>
  <c r="D1887" i="8"/>
  <c r="D2541" i="8"/>
  <c r="D2297" i="8"/>
  <c r="D2242" i="8"/>
  <c r="D1782" i="8"/>
  <c r="D119" i="8"/>
  <c r="D2847" i="8"/>
  <c r="D875" i="8"/>
  <c r="D1940" i="8"/>
  <c r="D3175" i="8"/>
  <c r="D2207" i="8"/>
  <c r="D2970" i="8"/>
  <c r="D2487" i="8"/>
  <c r="D820" i="8"/>
  <c r="D2684" i="8"/>
  <c r="D882" i="8"/>
  <c r="D442" i="8"/>
  <c r="D2198" i="8"/>
  <c r="D646" i="8"/>
  <c r="D676" i="8"/>
  <c r="D1517" i="8"/>
  <c r="D2200" i="8"/>
  <c r="D2259" i="8"/>
  <c r="D2035" i="8"/>
  <c r="D2233" i="8"/>
  <c r="D2325" i="8"/>
  <c r="D285" i="8"/>
  <c r="D2379" i="8"/>
  <c r="D2147" i="8"/>
  <c r="D584" i="8"/>
  <c r="D3220" i="8"/>
  <c r="D586" i="8"/>
  <c r="D2650" i="8"/>
  <c r="D1372" i="8"/>
  <c r="D648" i="8"/>
  <c r="D3341" i="8"/>
  <c r="D1455" i="8"/>
  <c r="D444" i="8"/>
  <c r="D1102" i="8"/>
  <c r="D181" i="8"/>
  <c r="D3303" i="8"/>
  <c r="D466" i="8"/>
  <c r="D309" i="8"/>
  <c r="D850" i="8"/>
  <c r="D1981" i="8"/>
  <c r="D1969" i="8"/>
  <c r="D787" i="8"/>
  <c r="D1088" i="8"/>
  <c r="D21" i="8"/>
  <c r="D834" i="8"/>
  <c r="D562" i="8"/>
  <c r="D3402" i="8"/>
  <c r="D827" i="8"/>
  <c r="D2718" i="8"/>
  <c r="D324" i="8"/>
  <c r="D829" i="8"/>
  <c r="D1035" i="8"/>
  <c r="D1833" i="8"/>
  <c r="D1767" i="8"/>
  <c r="D1170" i="8"/>
  <c r="D924" i="8"/>
  <c r="D364" i="8"/>
  <c r="D2466" i="8"/>
  <c r="D1581" i="8"/>
  <c r="D3602" i="8"/>
  <c r="D3048" i="8"/>
  <c r="D1996" i="8"/>
  <c r="D1942" i="8"/>
  <c r="D2957" i="8"/>
  <c r="D529" i="8"/>
  <c r="D727" i="8"/>
  <c r="D2091" i="8"/>
  <c r="D1806" i="8"/>
  <c r="D941" i="8"/>
  <c r="D557" i="8"/>
  <c r="D860" i="8"/>
  <c r="D1846" i="8"/>
  <c r="D111" i="8"/>
  <c r="D3588" i="8"/>
  <c r="D1252" i="8"/>
  <c r="D1228" i="8"/>
  <c r="D1115" i="8"/>
  <c r="D2383" i="8"/>
  <c r="D258" i="8"/>
  <c r="D3522" i="8"/>
  <c r="D1098" i="8"/>
  <c r="D1910" i="8"/>
  <c r="D1153" i="8"/>
  <c r="D1593" i="8"/>
  <c r="D3505" i="8"/>
  <c r="D3592" i="8"/>
  <c r="D1359" i="8"/>
  <c r="D618" i="8"/>
  <c r="D2321" i="8"/>
  <c r="D1451" i="8"/>
  <c r="D3427" i="8"/>
  <c r="D1501" i="8"/>
  <c r="D903" i="8"/>
  <c r="D2178" i="8"/>
  <c r="D2037" i="8"/>
  <c r="D2543" i="8"/>
  <c r="D1262" i="8"/>
  <c r="D1185" i="8"/>
  <c r="D2362" i="8"/>
  <c r="D405" i="8"/>
  <c r="D2492" i="8"/>
  <c r="D2537" i="8"/>
  <c r="D2221" i="8"/>
  <c r="D3631" i="8"/>
  <c r="D3624" i="8"/>
  <c r="D2026" i="8"/>
  <c r="D2654" i="8"/>
  <c r="D790" i="8"/>
  <c r="D439" i="8"/>
  <c r="D1577" i="8"/>
  <c r="D2049" i="8"/>
  <c r="D1716" i="8"/>
  <c r="D2153" i="8"/>
  <c r="D1938" i="8"/>
  <c r="D1573" i="8"/>
  <c r="D525" i="8"/>
  <c r="D165" i="8"/>
  <c r="D1811" i="8"/>
  <c r="D2589" i="8"/>
  <c r="D3331" i="8"/>
  <c r="D3118" i="8"/>
  <c r="D2765" i="8"/>
  <c r="D717" i="8"/>
  <c r="D946" i="8"/>
  <c r="D3556" i="8"/>
  <c r="D377" i="8"/>
  <c r="D1220" i="8"/>
  <c r="D2079" i="8"/>
  <c r="D725" i="8"/>
  <c r="D1516" i="8"/>
  <c r="D3353" i="8"/>
  <c r="D2577" i="8"/>
  <c r="D2135" i="8"/>
  <c r="D2422" i="8"/>
  <c r="D489" i="8"/>
  <c r="D1218" i="8"/>
  <c r="D1161" i="8"/>
  <c r="D575" i="8"/>
  <c r="D191" i="8"/>
  <c r="D1821" i="8"/>
  <c r="D1165" i="8"/>
  <c r="D3012" i="8"/>
  <c r="D1914" i="8"/>
  <c r="D1761" i="8"/>
  <c r="D982" i="8"/>
  <c r="D468" i="8"/>
  <c r="D558" i="8"/>
  <c r="D2493" i="8"/>
  <c r="D1077" i="8"/>
  <c r="D2150" i="8"/>
  <c r="D1465" i="8"/>
  <c r="D129" i="8"/>
  <c r="D2546" i="8"/>
  <c r="D1790" i="8"/>
  <c r="D1794" i="8"/>
  <c r="D686" i="8"/>
  <c r="D2793" i="8"/>
  <c r="D3603" i="8"/>
  <c r="D1705" i="8"/>
  <c r="D1338" i="8"/>
  <c r="D1675" i="8"/>
  <c r="D1121" i="8"/>
  <c r="D1369" i="8"/>
  <c r="D355" i="8"/>
  <c r="D3532" i="8"/>
  <c r="D3321" i="8"/>
  <c r="D2002" i="8"/>
  <c r="D2089" i="8"/>
  <c r="D1578" i="8"/>
  <c r="D2666" i="8"/>
  <c r="D1463" i="8"/>
  <c r="D3377" i="8"/>
  <c r="D288" i="8"/>
  <c r="D2050" i="8"/>
  <c r="D2796" i="8"/>
  <c r="D3406" i="8"/>
  <c r="D1626" i="8"/>
  <c r="D3039" i="8"/>
  <c r="D3129" i="8"/>
  <c r="D2536" i="8"/>
  <c r="D1805" i="8"/>
  <c r="D1429" i="8"/>
  <c r="D1444" i="8"/>
  <c r="D195" i="8"/>
  <c r="D726" i="8"/>
  <c r="D2349" i="8"/>
  <c r="D1107" i="8"/>
  <c r="D527" i="8"/>
  <c r="D2628" i="8"/>
  <c r="D940" i="8"/>
  <c r="D3182" i="8"/>
  <c r="D3623" i="8"/>
  <c r="D2612" i="8"/>
  <c r="D2759" i="8"/>
  <c r="D2962" i="8"/>
  <c r="D2201" i="8"/>
  <c r="D694" i="8"/>
  <c r="D2692" i="8"/>
  <c r="D3470" i="8"/>
  <c r="D1150" i="8"/>
  <c r="D1072" i="8"/>
  <c r="D1944" i="8"/>
  <c r="D1594" i="8"/>
  <c r="D2134" i="8"/>
  <c r="D487" i="8"/>
  <c r="D628" i="8"/>
  <c r="D227" i="8"/>
  <c r="D2895" i="8"/>
  <c r="D747" i="8"/>
  <c r="D2398" i="8"/>
  <c r="D2459" i="8"/>
  <c r="D3492" i="8"/>
  <c r="D3080" i="8"/>
  <c r="D2054" i="8"/>
  <c r="D1780" i="8"/>
  <c r="D266" i="8"/>
  <c r="D1198" i="8"/>
  <c r="D2216" i="8"/>
  <c r="D327" i="8"/>
  <c r="D337" i="8"/>
  <c r="D840" i="8"/>
  <c r="D2867" i="8"/>
  <c r="D999" i="8"/>
  <c r="D2225" i="8"/>
  <c r="D1207" i="8"/>
  <c r="D561" i="8"/>
  <c r="D2702" i="8"/>
  <c r="D121" i="8"/>
  <c r="D241" i="8"/>
  <c r="D397" i="8"/>
  <c r="D2339" i="8"/>
  <c r="D3015" i="8"/>
  <c r="D270" i="8"/>
  <c r="D449" i="8"/>
  <c r="D1717" i="8"/>
  <c r="D823" i="8"/>
  <c r="D104" i="8"/>
  <c r="D2275" i="8"/>
  <c r="D2961" i="8"/>
  <c r="D1489" i="8"/>
  <c r="D2416" i="8"/>
  <c r="D3246" i="8"/>
  <c r="D1171" i="8"/>
  <c r="D3346" i="8"/>
  <c r="D952" i="8"/>
  <c r="D3031" i="8"/>
  <c r="D669" i="8"/>
  <c r="D1239" i="8"/>
  <c r="D644" i="8"/>
  <c r="D5" i="8"/>
  <c r="D1737" i="8"/>
  <c r="D2045" i="8"/>
  <c r="D1711" i="8"/>
  <c r="D2994" i="8"/>
  <c r="D3263" i="8"/>
  <c r="D3411" i="8"/>
  <c r="D3292" i="8"/>
  <c r="D2744" i="8"/>
  <c r="D2951" i="8"/>
  <c r="D1816" i="8"/>
  <c r="D531" i="8"/>
  <c r="D2059" i="8"/>
  <c r="D3444" i="8"/>
  <c r="D1699" i="8"/>
  <c r="D2939" i="8"/>
  <c r="D1320" i="8"/>
  <c r="D1666" i="8"/>
  <c r="D2284" i="8"/>
  <c r="D491" i="8"/>
  <c r="D2747" i="8"/>
  <c r="D602" i="8"/>
  <c r="D603" i="8"/>
  <c r="D3266" i="8"/>
  <c r="D2424" i="8"/>
  <c r="D806" i="8"/>
  <c r="D3109" i="8"/>
  <c r="D3394" i="8"/>
  <c r="D1727" i="8"/>
  <c r="D2231" i="8"/>
  <c r="D2738" i="8"/>
  <c r="D2351" i="8"/>
  <c r="D157" i="8"/>
  <c r="D3098" i="8"/>
  <c r="D2902" i="8"/>
  <c r="D1682" i="8"/>
  <c r="D93" i="8"/>
  <c r="D2158" i="8"/>
  <c r="D632" i="8"/>
  <c r="D2263" i="8"/>
  <c r="D2873" i="8"/>
  <c r="D2015" i="8"/>
  <c r="D1275" i="8"/>
  <c r="D880" i="8"/>
  <c r="D3385" i="8"/>
  <c r="D2914" i="8"/>
  <c r="D2734" i="8"/>
  <c r="D2803" i="8"/>
  <c r="D2087" i="8"/>
  <c r="D179" i="8"/>
  <c r="D1403" i="8"/>
  <c r="D2889" i="8"/>
  <c r="D1020" i="8"/>
  <c r="D3293" i="8"/>
  <c r="D477" i="8"/>
  <c r="D37" i="8"/>
  <c r="D1389" i="8"/>
  <c r="D3144" i="8"/>
  <c r="D3196" i="8"/>
  <c r="D197" i="8"/>
  <c r="D2454" i="8"/>
  <c r="D2918" i="8"/>
  <c r="D1864" i="8"/>
  <c r="D2569" i="8"/>
  <c r="D1894" i="8"/>
  <c r="D3327" i="8"/>
  <c r="D2859" i="8"/>
  <c r="D1214" i="8"/>
  <c r="D1855" i="8"/>
  <c r="D1027" i="8"/>
  <c r="D2946" i="8"/>
  <c r="D362" i="8"/>
  <c r="D2745" i="8"/>
  <c r="D2614" i="8"/>
  <c r="D2756" i="8"/>
  <c r="D39" i="8"/>
  <c r="D3173" i="8"/>
  <c r="D933" i="8"/>
  <c r="D960" i="8"/>
  <c r="D738" i="8"/>
  <c r="D2730" i="8"/>
  <c r="D674" i="8"/>
  <c r="D322" i="8"/>
  <c r="D3270" i="8"/>
  <c r="D2878" i="8"/>
  <c r="D548" i="8"/>
  <c r="D1422" i="8"/>
  <c r="D1364" i="8"/>
  <c r="D3147" i="8"/>
  <c r="D3159" i="8"/>
  <c r="D67" i="8"/>
  <c r="D605" i="8"/>
  <c r="D2479" i="8"/>
  <c r="D36" i="8"/>
  <c r="D543" i="8"/>
  <c r="D1391" i="8"/>
  <c r="D232" i="8"/>
  <c r="D2402" i="8"/>
  <c r="D1309" i="8"/>
  <c r="D1009" i="8"/>
  <c r="D2403" i="8"/>
  <c r="D1893" i="8"/>
  <c r="D312" i="8"/>
  <c r="D812" i="8"/>
  <c r="D1104" i="8"/>
  <c r="D1305" i="8"/>
  <c r="D2464" i="8"/>
  <c r="D408" i="8"/>
  <c r="D156" i="8"/>
  <c r="D805" i="8"/>
  <c r="D993" i="8"/>
  <c r="D962" i="8"/>
  <c r="D932" i="8"/>
  <c r="D334" i="8"/>
  <c r="D1586" i="8"/>
  <c r="D387" i="8"/>
  <c r="D38" i="8"/>
  <c r="D2128" i="8"/>
  <c r="D1679" i="8"/>
  <c r="D2435" i="8"/>
  <c r="D532" i="8"/>
  <c r="D3498" i="8"/>
  <c r="D1235" i="8"/>
  <c r="D858" i="8"/>
  <c r="D523" i="8"/>
  <c r="D2143" i="8"/>
  <c r="D1105" i="8"/>
  <c r="D2855" i="8"/>
  <c r="D781" i="8"/>
  <c r="D988" i="8"/>
  <c r="D1075" i="8"/>
  <c r="D2637" i="8"/>
  <c r="D2373" i="8"/>
  <c r="D3460" i="8"/>
  <c r="D1368" i="8"/>
  <c r="D692" i="8"/>
  <c r="D3145" i="8"/>
  <c r="D2626" i="8"/>
  <c r="D1271" i="8"/>
  <c r="D2662" i="8"/>
  <c r="D2564" i="8"/>
  <c r="D3240" i="8"/>
  <c r="D3230" i="8"/>
  <c r="D3574" i="8"/>
  <c r="D2874" i="8"/>
  <c r="D3637" i="8"/>
  <c r="D1895" i="8"/>
  <c r="D2687" i="8"/>
  <c r="D3307" i="8"/>
  <c r="D1495" i="8"/>
  <c r="D2790" i="8"/>
  <c r="D544" i="8"/>
  <c r="D801" i="8"/>
  <c r="D42" i="8"/>
  <c r="D2783" i="8"/>
  <c r="D2104" i="8"/>
  <c r="D138" i="8"/>
  <c r="D2998" i="8"/>
  <c r="D2182" i="8"/>
  <c r="D1417" i="8"/>
  <c r="D183" i="8"/>
  <c r="D1449" i="8"/>
  <c r="D621" i="8"/>
  <c r="D1192" i="8"/>
  <c r="D3160" i="8"/>
  <c r="D2798" i="8"/>
  <c r="D3437" i="8"/>
  <c r="D3369" i="8"/>
  <c r="D2690" i="8"/>
  <c r="D2707" i="8"/>
  <c r="D1530" i="8"/>
  <c r="D1423" i="8"/>
  <c r="D766" i="8"/>
  <c r="D2028" i="8"/>
  <c r="D146" i="8"/>
  <c r="D2126" i="8"/>
  <c r="D481" i="8"/>
  <c r="D2290" i="8"/>
  <c r="D1413" i="8"/>
  <c r="D52" i="8"/>
  <c r="D459" i="8"/>
  <c r="D450" i="8"/>
  <c r="D512" i="8"/>
  <c r="D1453" i="8"/>
  <c r="D413" i="8"/>
  <c r="D451" i="8"/>
  <c r="D59" i="8"/>
  <c r="D816" i="8"/>
  <c r="D1721" i="8"/>
  <c r="D867" i="8"/>
  <c r="D346" i="8"/>
  <c r="D1272" i="8"/>
  <c r="D3154" i="8"/>
  <c r="D3007" i="8"/>
  <c r="D2562" i="8"/>
  <c r="D2109" i="8"/>
  <c r="D1037" i="8"/>
  <c r="D3328" i="8"/>
  <c r="D2531" i="8"/>
  <c r="D3364" i="8"/>
  <c r="D2429" i="8"/>
  <c r="D3620" i="8"/>
  <c r="D3329" i="8"/>
  <c r="D3446" i="8"/>
  <c r="D1559" i="8"/>
  <c r="D3572" i="8"/>
  <c r="D3149" i="8"/>
  <c r="D283" i="8"/>
  <c r="D3201" i="8"/>
  <c r="D514" i="8"/>
  <c r="D1292" i="8"/>
  <c r="D175" i="8"/>
  <c r="D1884" i="8"/>
  <c r="D1093" i="8"/>
  <c r="D2425" i="8"/>
  <c r="D1433" i="8"/>
  <c r="D2252" i="8"/>
  <c r="D2919" i="8"/>
  <c r="D1506" i="8"/>
  <c r="D890" i="8"/>
  <c r="D2116" i="8"/>
  <c r="D3104" i="8"/>
  <c r="D985" i="8"/>
  <c r="D482" i="8"/>
  <c r="D1977" i="8"/>
  <c r="D306" i="8"/>
  <c r="D3044" i="8"/>
  <c r="D797" i="8"/>
  <c r="D1297" i="8"/>
  <c r="D743" i="8"/>
  <c r="D335" i="8"/>
  <c r="D832" i="8"/>
  <c r="D1079" i="8"/>
  <c r="D1046" i="8"/>
  <c r="D1255" i="8"/>
  <c r="D1856" i="8"/>
  <c r="D635" i="8"/>
  <c r="D2671" i="8"/>
  <c r="D3618" i="8"/>
  <c r="D3017" i="8"/>
  <c r="D503" i="8"/>
  <c r="D1303" i="8"/>
  <c r="D2117" i="8"/>
  <c r="D1447" i="8"/>
  <c r="D1531" i="8"/>
  <c r="D809" i="8"/>
  <c r="D2708" i="8"/>
  <c r="D813" i="8"/>
  <c r="D1920" i="8"/>
  <c r="D1722" i="8"/>
  <c r="D184" i="8"/>
  <c r="D2419" i="8"/>
  <c r="D2312" i="8"/>
  <c r="D1568" i="8"/>
  <c r="D101" i="8"/>
  <c r="D3105" i="8"/>
  <c r="D1954" i="8"/>
  <c r="D1156" i="8"/>
  <c r="D2720" i="8"/>
  <c r="D2812" i="8"/>
  <c r="D2334" i="8"/>
  <c r="D3649" i="8"/>
  <c r="D3519" i="8"/>
  <c r="D27" i="8"/>
  <c r="D3442" i="8"/>
  <c r="D680" i="8"/>
  <c r="D2496" i="8"/>
  <c r="D1748" i="8"/>
  <c r="D1493" i="8"/>
  <c r="D1569" i="8"/>
  <c r="D217" i="8"/>
  <c r="D3067" i="8"/>
  <c r="D1900" i="8"/>
  <c r="D2436" i="8"/>
  <c r="D3024" i="8"/>
  <c r="D3558" i="8"/>
  <c r="D3554" i="8"/>
  <c r="D1174" i="8"/>
  <c r="D2287" i="8"/>
  <c r="D2066" i="8"/>
  <c r="D1439" i="8"/>
  <c r="D1061" i="8"/>
  <c r="D1913" i="8"/>
  <c r="D1560" i="8"/>
  <c r="D2940" i="8"/>
  <c r="D2021" i="8"/>
  <c r="D1985" i="8"/>
  <c r="D1704" i="8"/>
  <c r="D2710" i="8"/>
  <c r="D2273" i="8"/>
  <c r="D83" i="8"/>
  <c r="D2813" i="8"/>
  <c r="D1991" i="8"/>
  <c r="D705" i="8"/>
  <c r="D3566" i="8"/>
  <c r="D3371" i="8"/>
  <c r="D1476" i="8"/>
  <c r="D3373" i="8"/>
  <c r="D2009" i="8"/>
  <c r="D2122" i="8"/>
  <c r="D1896" i="8"/>
  <c r="D1180" i="8"/>
  <c r="D3011" i="8"/>
  <c r="D3337" i="8"/>
  <c r="D3396" i="8"/>
  <c r="D3222" i="8"/>
  <c r="D2149" i="8"/>
  <c r="D3482" i="8"/>
  <c r="D2413" i="8"/>
  <c r="D2186" i="8"/>
  <c r="D3582" i="8"/>
  <c r="D1414" i="8"/>
  <c r="D3282" i="8"/>
  <c r="D1634" i="8"/>
  <c r="D2520" i="8"/>
  <c r="D1269" i="8"/>
  <c r="D3651" i="8"/>
  <c r="D1076" i="8"/>
  <c r="D1340" i="8"/>
  <c r="D1133" i="8"/>
  <c r="D2547" i="8"/>
  <c r="D910" i="8"/>
  <c r="D463" i="8"/>
  <c r="D393" i="8"/>
  <c r="D1579" i="8"/>
  <c r="D2307" i="8"/>
  <c r="D3612" i="8"/>
  <c r="D777" i="8"/>
  <c r="D1436" i="8"/>
  <c r="D472" i="8"/>
  <c r="D1123" i="8"/>
  <c r="D133" i="8"/>
  <c r="D3430" i="8"/>
  <c r="D1628" i="8"/>
  <c r="D2761" i="8"/>
  <c r="D981" i="8"/>
  <c r="D239" i="8"/>
  <c r="D1831" i="8"/>
  <c r="D1438" i="8"/>
  <c r="D1558" i="8"/>
  <c r="D2461" i="8"/>
  <c r="D2801" i="8"/>
  <c r="D807" i="8"/>
  <c r="D78" i="8"/>
  <c r="D116" i="8"/>
  <c r="D1404" i="8"/>
  <c r="D2483" i="8"/>
  <c r="D3132" i="8"/>
  <c r="D1187" i="8"/>
  <c r="D1333" i="8"/>
  <c r="D379" i="8"/>
  <c r="D2688" i="8"/>
  <c r="D3260" i="8"/>
  <c r="D1612" i="8"/>
  <c r="D3476" i="8"/>
  <c r="D3648" i="8"/>
  <c r="D1301" i="8"/>
  <c r="D3187" i="8"/>
  <c r="D40" i="8"/>
  <c r="D3575" i="8"/>
  <c r="D750" i="8"/>
  <c r="D2096" i="8"/>
  <c r="D1143" i="8"/>
  <c r="D1505" i="8"/>
  <c r="D432" i="8"/>
  <c r="D3193" i="8"/>
  <c r="D538" i="8"/>
  <c r="D1542" i="8"/>
  <c r="D163" i="8"/>
  <c r="D2114" i="8"/>
  <c r="D1380" i="8"/>
  <c r="D2357" i="8"/>
  <c r="D1915" i="8"/>
  <c r="D3280" i="8"/>
  <c r="D1069" i="8"/>
  <c r="D2110" i="8"/>
  <c r="D872" i="8"/>
  <c r="D483" i="8"/>
  <c r="D1669" i="8"/>
  <c r="D437" i="8"/>
  <c r="D767" i="8"/>
  <c r="D2075" i="8"/>
  <c r="D2314" i="8"/>
  <c r="D2999" i="8"/>
  <c r="D1730" i="8"/>
  <c r="D1127" i="8"/>
  <c r="D690" i="8"/>
  <c r="D739" i="8"/>
  <c r="D2029" i="8"/>
  <c r="D2327" i="8"/>
  <c r="D721" i="8"/>
  <c r="D607" i="8"/>
  <c r="D2804" i="8"/>
  <c r="D3454" i="8"/>
  <c r="D1631" i="8"/>
  <c r="D3644" i="8"/>
  <c r="D1392" i="8"/>
  <c r="D3287" i="8"/>
  <c r="D1276" i="8"/>
  <c r="D1348" i="8"/>
  <c r="D2915" i="8"/>
  <c r="D1328" i="8"/>
  <c r="D2512" i="8"/>
  <c r="D3051" i="8"/>
  <c r="D2792" i="8"/>
  <c r="D2727" i="8"/>
  <c r="D2828" i="8"/>
  <c r="D3184" i="8"/>
  <c r="D1680" i="8"/>
  <c r="D1674" i="8"/>
  <c r="D3322" i="8"/>
  <c r="D2440" i="8"/>
  <c r="D1750" i="8"/>
  <c r="D2358" i="8"/>
  <c r="D3110" i="8"/>
  <c r="D1817" i="8"/>
  <c r="D2916" i="8"/>
  <c r="D1743" i="8"/>
  <c r="D2430" i="8"/>
  <c r="D1409" i="8"/>
  <c r="D3531" i="8"/>
  <c r="D2904" i="8"/>
  <c r="D1210" i="8"/>
  <c r="D2345" i="8"/>
  <c r="D2995" i="8"/>
  <c r="D1487" i="8"/>
  <c r="D520" i="8"/>
  <c r="D2929" i="8"/>
  <c r="D1852" i="8"/>
  <c r="D2573" i="8"/>
  <c r="D3650" i="8"/>
  <c r="D970" i="8"/>
  <c r="D1365" i="8"/>
  <c r="D85" i="8"/>
  <c r="D1056" i="8"/>
  <c r="D752" i="8"/>
  <c r="D3350" i="8"/>
  <c r="D685" i="8"/>
  <c r="D14" i="8"/>
  <c r="D3028" i="8"/>
  <c r="D2814" i="8"/>
  <c r="D2046" i="8"/>
  <c r="D1135" i="8"/>
  <c r="D2084" i="8"/>
  <c r="D2441" i="8"/>
  <c r="D2309" i="8"/>
  <c r="D517" i="8"/>
  <c r="D3320" i="8"/>
  <c r="D1857" i="8"/>
  <c r="D186" i="8"/>
  <c r="D759" i="8"/>
  <c r="D276" i="8"/>
  <c r="D62" i="8"/>
  <c r="D536" i="8"/>
  <c r="D2597" i="8"/>
  <c r="D351" i="8"/>
  <c r="D593" i="8"/>
  <c r="D1470" i="8"/>
  <c r="D1545" i="8"/>
  <c r="D2291" i="8"/>
  <c r="D2105" i="8"/>
  <c r="D1693" i="8"/>
  <c r="D1176" i="8"/>
  <c r="D3301" i="8"/>
  <c r="D1464" i="8"/>
  <c r="D1066" i="8"/>
  <c r="D46" i="8"/>
  <c r="D94" i="8"/>
  <c r="D963" i="8"/>
  <c r="D2264" i="8"/>
  <c r="D2722" i="8"/>
  <c r="D1216" i="8"/>
  <c r="D778" i="8"/>
  <c r="D1095" i="8"/>
  <c r="D1256" i="8"/>
  <c r="D1621" i="8"/>
  <c r="D1602" i="8"/>
  <c r="D3099" i="8"/>
  <c r="D2910" i="8"/>
  <c r="D245" i="8"/>
  <c r="D3267" i="8"/>
  <c r="D3243" i="8"/>
  <c r="D922" i="8"/>
  <c r="D2860" i="8"/>
  <c r="D65" i="8"/>
  <c r="D2545" i="8"/>
  <c r="D287" i="8"/>
  <c r="D1789" i="8"/>
  <c r="D143" i="8"/>
  <c r="D464" i="8"/>
  <c r="D3294" i="8"/>
  <c r="D965" i="8"/>
  <c r="D152" i="8"/>
  <c r="D693" i="8"/>
  <c r="D2348" i="8"/>
  <c r="D2571" i="8"/>
  <c r="D2829" i="8"/>
  <c r="D2871" i="8"/>
  <c r="D1751" i="8"/>
  <c r="D650" i="8"/>
  <c r="D3202" i="8"/>
  <c r="D3380" i="8"/>
  <c r="D995" i="8"/>
  <c r="D505" i="8"/>
  <c r="D3185" i="8"/>
  <c r="D3412" i="8"/>
  <c r="D3559" i="8"/>
  <c r="D1667" i="8"/>
  <c r="D1324" i="8"/>
  <c r="D3425" i="8"/>
  <c r="D1354" i="8"/>
  <c r="D2523" i="8"/>
  <c r="D1663" i="8"/>
  <c r="D2815" i="8"/>
  <c r="D3296" i="8"/>
  <c r="D533" i="8"/>
  <c r="D3122" i="8"/>
  <c r="D1933" i="8"/>
  <c r="D3205" i="8"/>
  <c r="D1898" i="8"/>
  <c r="D1267" i="8"/>
  <c r="D1131" i="8"/>
  <c r="D252" i="8"/>
  <c r="D2837" i="8"/>
  <c r="D3458" i="8"/>
  <c r="D1635" i="8"/>
  <c r="D1876" i="8"/>
  <c r="D3190" i="8"/>
  <c r="D2180" i="8"/>
  <c r="D3188" i="8"/>
  <c r="D54" i="8"/>
  <c r="D98" i="8"/>
  <c r="D791" i="8"/>
  <c r="D168" i="8"/>
  <c r="D2501" i="8"/>
  <c r="D2047" i="8"/>
  <c r="D2540" i="8"/>
  <c r="D1471" i="8"/>
  <c r="D908" i="8"/>
  <c r="D2241" i="8"/>
  <c r="D118" i="8"/>
  <c r="D2766" i="8"/>
  <c r="D2288" i="8"/>
  <c r="D1288" i="8"/>
  <c r="D3332" i="8"/>
  <c r="D3141" i="8"/>
  <c r="D1614" i="8"/>
  <c r="D899" i="8"/>
  <c r="D2090" i="8"/>
  <c r="D1623" i="8"/>
  <c r="D876" i="8"/>
  <c r="D428" i="8"/>
  <c r="D948" i="8"/>
  <c r="D1040" i="8"/>
  <c r="D1683" i="8"/>
  <c r="D1031" i="8"/>
  <c r="D1015" i="8"/>
  <c r="D2805" i="8"/>
  <c r="D1861" i="8"/>
  <c r="D687" i="8"/>
  <c r="D2630" i="8"/>
  <c r="D125" i="8"/>
  <c r="D1904" i="8"/>
  <c r="D901" i="8"/>
  <c r="D1580" i="8"/>
  <c r="D1362" i="8"/>
  <c r="D3020" i="8"/>
  <c r="D3070" i="8"/>
  <c r="D75" i="8"/>
  <c r="D1188" i="8"/>
  <c r="D1243" i="8"/>
  <c r="D1251" i="8"/>
  <c r="D2529" i="8"/>
  <c r="D2305" i="8"/>
  <c r="D1764" i="8"/>
  <c r="D1926" i="8"/>
  <c r="D456" i="8"/>
  <c r="D1752" i="8"/>
  <c r="D518" i="8"/>
  <c r="D2787" i="8"/>
  <c r="D1396" i="8"/>
  <c r="D1057" i="8"/>
  <c r="D3288" i="8"/>
  <c r="D2655" i="8"/>
  <c r="D1733" i="8"/>
  <c r="D2352" i="8"/>
  <c r="D1241" i="8"/>
  <c r="D2382" i="8"/>
  <c r="D1671" i="8"/>
  <c r="D3486" i="8"/>
  <c r="D2899" i="8"/>
  <c r="D1114" i="8"/>
  <c r="D1939" i="8"/>
  <c r="D3542" i="8"/>
  <c r="D1277" i="8"/>
  <c r="D2974" i="8"/>
  <c r="D3595" i="8"/>
  <c r="D2754" i="8"/>
  <c r="D3203" i="8"/>
  <c r="D3440" i="8"/>
  <c r="D1289" i="8"/>
  <c r="D3462" i="8"/>
  <c r="D3635" i="8"/>
  <c r="D3551" i="8"/>
  <c r="D3086" i="8"/>
  <c r="D3169" i="8"/>
  <c r="D1960" i="8"/>
  <c r="D1249" i="8"/>
  <c r="D3045" i="8"/>
  <c r="D1224" i="8"/>
  <c r="D3615" i="8"/>
  <c r="D2220" i="8"/>
  <c r="D1992" i="8"/>
  <c r="D3501" i="8"/>
  <c r="D1144" i="8"/>
  <c r="D2631" i="8"/>
  <c r="D3198" i="8"/>
  <c r="D3234" i="8"/>
  <c r="D1370" i="8"/>
  <c r="D2985" i="8"/>
  <c r="D1564" i="8"/>
  <c r="D202" i="8"/>
  <c r="D3552" i="8"/>
  <c r="D2490" i="8"/>
  <c r="D1523" i="8"/>
  <c r="D2963" i="8"/>
  <c r="D2979" i="8"/>
  <c r="D3237" i="8"/>
  <c r="D1636" i="8"/>
  <c r="D3174" i="8"/>
  <c r="D2863" i="8"/>
  <c r="D1715" i="8"/>
  <c r="D2131" i="8"/>
  <c r="D3587" i="8"/>
  <c r="D3047" i="8"/>
  <c r="D3418" i="8"/>
  <c r="D1415" i="8"/>
  <c r="D3116" i="8"/>
  <c r="D139" i="8"/>
  <c r="D2777" i="8"/>
  <c r="D1823" i="8"/>
  <c r="D1690" i="8"/>
  <c r="D1962" i="8"/>
  <c r="D3606" i="8"/>
  <c r="D1853" i="8"/>
  <c r="D3357" i="8"/>
  <c r="D2318" i="8"/>
  <c r="D3285" i="8"/>
  <c r="D2774" i="8"/>
  <c r="D3415" i="8"/>
  <c r="D2664" i="8"/>
  <c r="D3521" i="8"/>
  <c r="D2211" i="8"/>
  <c r="D1978" i="8"/>
  <c r="D2491" i="8"/>
  <c r="D2255" i="8"/>
  <c r="D3261" i="8"/>
  <c r="D1937" i="8"/>
  <c r="D2465" i="8"/>
  <c r="D2455" i="8"/>
  <c r="D2141" i="8"/>
  <c r="D211" i="8"/>
  <c r="D1702" i="8"/>
  <c r="D824" i="8"/>
  <c r="D3543" i="8"/>
  <c r="D2480" i="8"/>
  <c r="D3409" i="8"/>
  <c r="D1770" i="8"/>
  <c r="D2387" i="8"/>
  <c r="D2555" i="8"/>
  <c r="D3035" i="8"/>
  <c r="D2841" i="8"/>
  <c r="D1613" i="8"/>
  <c r="D3479" i="8"/>
  <c r="D2210" i="8"/>
  <c r="D2880" i="8"/>
  <c r="D1775" i="8"/>
  <c r="D2924" i="8"/>
  <c r="D2161" i="8"/>
  <c r="D3414" i="8"/>
  <c r="D3569" i="8"/>
  <c r="D1958" i="8"/>
  <c r="D3583" i="8"/>
  <c r="D2695" i="8"/>
  <c r="D2582" i="8"/>
  <c r="D2187" i="8"/>
  <c r="D1756" i="8"/>
  <c r="D2292" i="8"/>
  <c r="D3073" i="8"/>
  <c r="D2641" i="8"/>
  <c r="D2407" i="8"/>
  <c r="D2748" i="8"/>
  <c r="D2663" i="8"/>
  <c r="D2881" i="8"/>
  <c r="D2051" i="8"/>
  <c r="D3059" i="8"/>
  <c r="D2514" i="8"/>
  <c r="D2510" i="8"/>
  <c r="D1383" i="8"/>
  <c r="D1881" i="8"/>
  <c r="D3090" i="8"/>
  <c r="D2799" i="8"/>
  <c r="D2647" i="8"/>
  <c r="D293" i="8"/>
  <c r="D3224" i="8"/>
  <c r="D1246" i="8"/>
  <c r="D2978" i="8"/>
  <c r="D2885" i="8"/>
  <c r="D2883" i="8"/>
  <c r="D1410" i="8"/>
  <c r="D1378" i="8"/>
  <c r="D3535" i="8"/>
  <c r="D2784" i="8"/>
  <c r="D3599" i="8"/>
  <c r="D2598" i="8"/>
  <c r="D3405" i="8"/>
  <c r="D2062" i="8"/>
  <c r="D3077" i="8"/>
  <c r="D3151" i="8"/>
  <c r="D1282" i="8"/>
  <c r="D2431" i="8"/>
  <c r="D2524" i="8"/>
  <c r="D2678" i="8"/>
  <c r="D3484" i="8"/>
  <c r="D1625" i="8"/>
  <c r="D3550" i="8"/>
  <c r="D1313" i="8"/>
  <c r="D1528" i="8"/>
  <c r="D3176" i="8"/>
  <c r="D3514" i="8"/>
  <c r="D2470" i="8"/>
  <c r="D1647" i="8"/>
  <c r="D949" i="8"/>
  <c r="D1054" i="8"/>
  <c r="D12" i="8"/>
  <c r="D1424" i="8"/>
  <c r="D661" i="8"/>
  <c r="D2427" i="8"/>
  <c r="D1643" i="8"/>
  <c r="D1964" i="8"/>
  <c r="D3264" i="8"/>
  <c r="D3128" i="8"/>
  <c r="D706" i="8"/>
  <c r="D1232" i="8"/>
  <c r="D1113" i="8"/>
  <c r="D1936" i="8"/>
  <c r="D3381" i="8"/>
  <c r="D1062" i="8"/>
  <c r="D2602" i="8"/>
  <c r="D1321" i="8"/>
  <c r="D1804" i="8"/>
  <c r="D469" i="8"/>
  <c r="D158" i="8"/>
  <c r="D272" i="8"/>
  <c r="D2265" i="8"/>
  <c r="D1551" i="8"/>
  <c r="D2088" i="8"/>
  <c r="D2489" i="8"/>
  <c r="D1196" i="8"/>
  <c r="D1949" i="8"/>
  <c r="D974" i="8"/>
  <c r="D625" i="8"/>
  <c r="D2139" i="8"/>
  <c r="D746" i="8"/>
  <c r="D384" i="8"/>
  <c r="D3313" i="8"/>
  <c r="D3376" i="8"/>
  <c r="D622" i="8"/>
  <c r="D2944" i="8"/>
  <c r="D204" i="8"/>
  <c r="D1029" i="8"/>
  <c r="D2711" i="8"/>
  <c r="D551" i="8"/>
  <c r="D1310" i="8"/>
  <c r="D2471" i="8"/>
  <c r="D1119" i="8"/>
  <c r="D114" i="8"/>
  <c r="D1783" i="8"/>
  <c r="D651" i="8"/>
  <c r="D194" i="8"/>
  <c r="D366" i="8"/>
  <c r="D452" i="8"/>
  <c r="D1934" i="8"/>
  <c r="D570" i="8"/>
  <c r="D2739" i="8"/>
  <c r="D633" i="8"/>
  <c r="D2627" i="8"/>
  <c r="D320" i="8"/>
  <c r="D215" i="8"/>
  <c r="D2360" i="8"/>
  <c r="D926" i="8"/>
  <c r="D60" i="8"/>
  <c r="D1818" i="8"/>
  <c r="D348" i="8"/>
  <c r="D2713" i="8"/>
  <c r="D268" i="8"/>
  <c r="D1106" i="8"/>
  <c r="D294" i="8"/>
  <c r="D90" i="8"/>
  <c r="D3191" i="8"/>
  <c r="D1021" i="8"/>
  <c r="D2249" i="8"/>
  <c r="D2679" i="8"/>
  <c r="D1808" i="8"/>
  <c r="D102" i="8"/>
  <c r="D2732" i="8"/>
  <c r="D1317" i="8"/>
  <c r="D1047" i="8"/>
  <c r="D1024" i="8"/>
  <c r="D1652" i="8"/>
  <c r="D473" i="8"/>
  <c r="D1562" i="8"/>
  <c r="D972" i="8"/>
  <c r="D201" i="8"/>
  <c r="D3355" i="8"/>
  <c r="D1350" i="8"/>
  <c r="D1100" i="8"/>
  <c r="D1754" i="8"/>
  <c r="D1759" i="8"/>
  <c r="D81" i="8"/>
  <c r="D1010" i="8"/>
  <c r="D2538" i="8"/>
  <c r="D977" i="8"/>
  <c r="D349" i="8"/>
  <c r="D2190" i="8"/>
  <c r="D229" i="8"/>
  <c r="D768" i="8"/>
  <c r="D95" i="8"/>
  <c r="D1346" i="8"/>
  <c r="D453" i="8"/>
  <c r="D2067" i="8"/>
  <c r="D2144" i="8"/>
  <c r="D237" i="8"/>
  <c r="D2503" i="8"/>
  <c r="D2681" i="8"/>
  <c r="D19" i="8"/>
  <c r="D979" i="8"/>
  <c r="D1771" i="8"/>
  <c r="D1812" i="8"/>
  <c r="D712" i="8"/>
  <c r="D1728" i="8"/>
  <c r="D526" i="8"/>
  <c r="D28" i="8"/>
  <c r="D2023" i="8"/>
  <c r="D2172" i="8"/>
  <c r="D1731" i="8"/>
  <c r="D317" i="8"/>
  <c r="D2941" i="8"/>
  <c r="D3218" i="8"/>
  <c r="D1697" i="8"/>
  <c r="D2473" i="8"/>
  <c r="D2905" i="8"/>
  <c r="D1137" i="8"/>
  <c r="D2633" i="8"/>
  <c r="D2861" i="8"/>
  <c r="D3299" i="8"/>
  <c r="D3466" i="8"/>
  <c r="D3455" i="8"/>
  <c r="D2893" i="8"/>
  <c r="D2294" i="8"/>
  <c r="D2742" i="8"/>
  <c r="D3268" i="8"/>
  <c r="D1858" i="8"/>
  <c r="D3400" i="8"/>
  <c r="D3502" i="8"/>
  <c r="D3049" i="8"/>
  <c r="D3111" i="8"/>
  <c r="D3488" i="8"/>
  <c r="D2280" i="8"/>
  <c r="D3477" i="8"/>
  <c r="D1619" i="8"/>
  <c r="D230" i="8"/>
  <c r="D2310" i="8"/>
  <c r="D3123" i="8"/>
  <c r="D1512" i="8"/>
  <c r="D2590" i="8"/>
  <c r="D1931" i="8"/>
  <c r="D2039" i="8"/>
  <c r="D1906" i="8"/>
  <c r="D500" i="8"/>
  <c r="D2395" i="8"/>
  <c r="D3576" i="8"/>
  <c r="D2097" i="8"/>
  <c r="D1071" i="8"/>
  <c r="D2574" i="8"/>
  <c r="D3382" i="8"/>
  <c r="D2728" i="8"/>
  <c r="D1757" i="8"/>
  <c r="D3340" i="8"/>
  <c r="D1540" i="8"/>
  <c r="D371" i="8"/>
  <c r="D3616" i="8"/>
  <c r="D3106" i="8"/>
  <c r="D1570" i="8"/>
  <c r="D3060" i="8"/>
  <c r="D2498" i="8"/>
  <c r="D3524" i="8"/>
  <c r="D1835" i="8"/>
  <c r="D2227" i="8"/>
  <c r="D1983" i="8"/>
  <c r="D2584" i="8"/>
  <c r="D3596" i="8"/>
  <c r="D1907" i="8"/>
  <c r="D894" i="8"/>
  <c r="D2337" i="8"/>
  <c r="D2397" i="8"/>
  <c r="D1434" i="8"/>
  <c r="D2676" i="8"/>
  <c r="D2342" i="8"/>
  <c r="D638" i="8"/>
  <c r="D1420" i="8"/>
  <c r="D2838" i="8"/>
  <c r="D3563" i="8"/>
  <c r="D136" i="8"/>
  <c r="D3008" i="8"/>
  <c r="D1792" i="8"/>
  <c r="D3474" i="8"/>
  <c r="D2857" i="8"/>
  <c r="D2894" i="8"/>
  <c r="D2794" i="8"/>
  <c r="D2376" i="8"/>
  <c r="D3009" i="8"/>
  <c r="D1799" i="8"/>
  <c r="D2839" i="8"/>
  <c r="D2457" i="8"/>
  <c r="D734" i="8"/>
  <c r="D3061" i="8"/>
  <c r="D1259" i="8"/>
  <c r="D3029" i="8"/>
  <c r="D3638" i="8"/>
  <c r="D3133" i="8"/>
  <c r="D1331" i="8"/>
  <c r="D2184" i="8"/>
  <c r="D2032" i="8"/>
  <c r="D1966" i="8"/>
  <c r="D2565" i="8"/>
  <c r="D3084" i="8"/>
  <c r="D2166" i="8"/>
  <c r="D3212" i="8"/>
  <c r="D3567" i="8"/>
  <c r="D1708" i="8"/>
  <c r="D2328" i="8"/>
  <c r="D3433" i="8"/>
  <c r="D3604" i="8"/>
  <c r="D1877" i="8"/>
  <c r="D2404" i="8"/>
  <c r="D2685" i="8"/>
  <c r="D3491" i="8"/>
  <c r="D2934" i="8"/>
  <c r="D2611" i="8"/>
  <c r="D2648" i="8"/>
  <c r="D1042" i="8"/>
  <c r="D3181" i="8"/>
  <c r="D2750" i="8"/>
  <c r="D2415" i="8"/>
  <c r="D2771" i="8"/>
  <c r="D1157" i="8"/>
  <c r="D798" i="8"/>
  <c r="D380" i="8"/>
  <c r="D2825" i="8"/>
  <c r="D919" i="8"/>
  <c r="D2371" i="8"/>
  <c r="D153" i="8"/>
  <c r="D3560" i="8"/>
  <c r="D2384" i="8"/>
  <c r="D2668" i="8"/>
  <c r="D389" i="8"/>
  <c r="D2876" i="8"/>
  <c r="D3112" i="8"/>
  <c r="D2367" i="8"/>
  <c r="D3641" i="8"/>
  <c r="D2693" i="8"/>
  <c r="D545" i="8"/>
  <c r="D783" i="8"/>
  <c r="D967" i="8"/>
  <c r="D1587" i="8"/>
  <c r="D1865" i="8"/>
  <c r="D3374" i="8"/>
  <c r="D799" i="8"/>
  <c r="D1596" i="8"/>
  <c r="D1222" i="8"/>
  <c r="D301" i="8"/>
  <c r="D1283" i="8"/>
  <c r="D2851" i="8"/>
  <c r="D57" i="8"/>
  <c r="D218" i="8"/>
  <c r="D3052" i="8"/>
  <c r="D1374" i="8"/>
  <c r="D1779" i="8"/>
  <c r="D3456" i="8"/>
  <c r="D2244" i="8"/>
  <c r="D843" i="8"/>
  <c r="D762" i="8"/>
  <c r="D1038" i="8"/>
  <c r="D1589" i="8"/>
  <c r="D234" i="8"/>
  <c r="D2458" i="8"/>
  <c r="D1285" i="8"/>
  <c r="D3366" i="8"/>
  <c r="D3378" i="8"/>
  <c r="D1488" i="8"/>
  <c r="D399" i="8"/>
  <c r="D2169" i="8"/>
  <c r="D1124" i="8"/>
  <c r="D425" i="8"/>
  <c r="D2093" i="8"/>
  <c r="D1063" i="8"/>
  <c r="D983" i="8"/>
  <c r="D310" i="8"/>
  <c r="D958" i="8"/>
  <c r="D2234" i="8"/>
  <c r="D2343" i="8"/>
  <c r="D2607" i="8"/>
  <c r="D3226" i="8"/>
  <c r="D2017" i="8"/>
  <c r="D1526" i="8"/>
  <c r="D3577" i="8"/>
  <c r="D3392" i="8"/>
  <c r="D2260" i="8"/>
  <c r="D3646" i="8"/>
  <c r="D3608" i="8"/>
  <c r="D1204" i="8"/>
  <c r="D3517" i="8"/>
  <c r="D2964" i="8"/>
  <c r="D3273" i="8"/>
  <c r="D3142" i="8"/>
  <c r="D3000" i="8"/>
  <c r="D1583" i="8"/>
  <c r="D3163" i="8"/>
  <c r="D2558" i="8"/>
  <c r="D3338" i="8"/>
  <c r="D3250" i="8"/>
  <c r="D1655" i="8"/>
  <c r="D1827" i="8"/>
  <c r="D2243" i="8"/>
  <c r="D2013" i="8"/>
  <c r="D1798" i="8"/>
  <c r="D2369" i="8"/>
  <c r="D3248" i="8"/>
  <c r="D3633" i="8"/>
  <c r="D3358" i="8"/>
  <c r="D2560" i="8"/>
  <c r="D3547" i="8"/>
  <c r="D1499" i="8"/>
  <c r="D3512" i="8"/>
  <c r="D2967" i="8"/>
  <c r="D1431" i="8"/>
  <c r="D3167" i="8"/>
  <c r="D3469" i="8"/>
  <c r="D1973" i="8"/>
  <c r="D1480" i="8"/>
  <c r="D2820" i="8"/>
  <c r="D284" i="8"/>
  <c r="D3589" i="8"/>
  <c r="D1566" i="8"/>
  <c r="D609" i="8"/>
  <c r="D2213" i="8"/>
  <c r="D2188" i="8"/>
  <c r="D1016" i="8"/>
  <c r="D3274" i="8"/>
  <c r="D2618" i="8"/>
  <c r="D1536" i="8"/>
  <c r="D2112" i="8"/>
  <c r="D3416" i="8"/>
  <c r="D2723" i="8"/>
  <c r="D2638" i="8"/>
  <c r="D757" i="8"/>
  <c r="D3493" i="8"/>
  <c r="D2779" i="8"/>
  <c r="D1927" i="8"/>
  <c r="D2432" i="8"/>
  <c r="D3087" i="8"/>
  <c r="D3311" i="8"/>
  <c r="D1481" i="8"/>
  <c r="D2763" i="8"/>
  <c r="D2247" i="8"/>
  <c r="D2445" i="8"/>
  <c r="D3451" i="8"/>
  <c r="D2168" i="8"/>
  <c r="D2400" i="8"/>
  <c r="D3610" i="8"/>
  <c r="D3235" i="8"/>
  <c r="D3390" i="8"/>
  <c r="D1547" i="8"/>
  <c r="D3351" i="8"/>
  <c r="D2285" i="8"/>
  <c r="D3071" i="8"/>
  <c r="D2099" i="8"/>
  <c r="D73" i="8"/>
  <c r="D1657" i="8"/>
  <c r="D3125" i="8"/>
  <c r="D2016" i="8"/>
  <c r="D2657" i="8"/>
  <c r="D2908" i="8"/>
  <c r="D3036" i="8"/>
  <c r="D1687" i="8"/>
  <c r="D3335" i="8"/>
  <c r="D3093" i="8"/>
  <c r="D3302" i="8"/>
  <c r="D2930" i="8"/>
  <c r="D96" i="8"/>
  <c r="D1264" i="8"/>
  <c r="D3316" i="8"/>
  <c r="D340" i="8"/>
  <c r="D3533" i="8"/>
  <c r="D3297" i="8"/>
  <c r="D1829" i="8"/>
  <c r="D1336" i="8"/>
  <c r="D3471" i="8"/>
  <c r="D3333" i="8"/>
  <c r="D3056" i="8"/>
  <c r="D2484" i="8"/>
  <c r="D1278" i="8"/>
  <c r="D1440" i="8"/>
  <c r="D3178" i="8"/>
  <c r="D3431" i="8"/>
  <c r="D2076" i="8"/>
  <c r="D2057" i="8"/>
  <c r="D1848" i="8"/>
  <c r="D1428" i="8"/>
  <c r="D2191" i="8"/>
  <c r="D2665" i="8"/>
  <c r="D2911" i="8"/>
  <c r="D255" i="8"/>
  <c r="D2609" i="8"/>
  <c r="D741" i="8"/>
  <c r="D2274" i="8"/>
  <c r="D3360" i="8"/>
  <c r="D130" i="8"/>
  <c r="D470" i="8"/>
  <c r="D3344" i="8"/>
  <c r="D555" i="8"/>
  <c r="D2600" i="8"/>
  <c r="D170" i="8"/>
  <c r="D515" i="8"/>
  <c r="D2235" i="8"/>
  <c r="D855" i="8"/>
  <c r="D2068" i="8"/>
  <c r="D2006" i="8"/>
  <c r="D1461" i="8"/>
  <c r="D2299" i="8"/>
  <c r="D699" i="8"/>
  <c r="D2145" i="8"/>
  <c r="D2204" i="8"/>
  <c r="D2124" i="8"/>
  <c r="D795" i="8"/>
  <c r="D1677" i="8"/>
  <c r="D2477" i="8"/>
  <c r="D865" i="8"/>
  <c r="D1005" i="8"/>
  <c r="D1280" i="8"/>
  <c r="D748" i="8"/>
  <c r="D710" i="8"/>
  <c r="D1649" i="8"/>
  <c r="D3496" i="8"/>
  <c r="D2817" i="8"/>
  <c r="D753" i="8"/>
  <c r="D610" i="8"/>
  <c r="D683" i="8"/>
  <c r="D3276" i="8"/>
  <c r="D2921" i="8"/>
  <c r="D492" i="8"/>
  <c r="D2322" i="8"/>
  <c r="D1543" i="8"/>
  <c r="D49" i="8"/>
  <c r="D474" i="8"/>
  <c r="D382" i="8"/>
  <c r="D2053" i="8"/>
  <c r="D1801" i="8"/>
  <c r="D314" i="8"/>
  <c r="D278" i="8"/>
  <c r="D934" i="8"/>
  <c r="D1286" i="8"/>
  <c r="D3107" i="8"/>
  <c r="D1590" i="8"/>
  <c r="D79" i="8"/>
  <c r="D1189" i="8"/>
  <c r="D1356" i="8"/>
  <c r="D722" i="8"/>
  <c r="D1201" i="8"/>
  <c r="D2224" i="8"/>
  <c r="D457" i="8"/>
  <c r="D2842" i="8"/>
  <c r="D1885" i="8"/>
  <c r="D1128" i="8"/>
  <c r="D2010" i="8"/>
  <c r="D1000" i="8"/>
  <c r="D127" i="8"/>
  <c r="D1244" i="8"/>
  <c r="D951" i="8"/>
  <c r="D509" i="8"/>
  <c r="D578" i="8"/>
  <c r="D208" i="8"/>
  <c r="D904" i="8"/>
  <c r="D209" i="8"/>
  <c r="D2832" i="8"/>
  <c r="D814" i="8"/>
  <c r="D225" i="8"/>
  <c r="D2120" i="8"/>
  <c r="D325" i="8"/>
  <c r="D3156" i="8"/>
  <c r="D3387" i="8"/>
  <c r="D15" i="8"/>
  <c r="D1490" i="8"/>
  <c r="D3347" i="8"/>
  <c r="D1197" i="8"/>
  <c r="D2758" i="8"/>
  <c r="D198" i="8"/>
  <c r="D913" i="8"/>
  <c r="D2245" i="8"/>
  <c r="D1521" i="8"/>
  <c r="D1653" i="8"/>
  <c r="D2499" i="8"/>
  <c r="D2594" i="8"/>
  <c r="D1974" i="8"/>
  <c r="D2468" i="8"/>
  <c r="D3078" i="8"/>
  <c r="D3499" i="8"/>
  <c r="D1956" i="8"/>
  <c r="D246" i="8"/>
  <c r="D1879" i="8"/>
  <c r="D3362" i="8"/>
  <c r="D2958" i="8"/>
  <c r="D3231" i="8"/>
  <c r="D837" i="8"/>
  <c r="D1980" i="8"/>
  <c r="D1600" i="8"/>
  <c r="D409" i="8"/>
  <c r="D2129" i="8"/>
  <c r="D1326" i="8"/>
  <c r="D465" i="8"/>
  <c r="D359" i="8"/>
  <c r="D1889" i="8"/>
  <c r="D1311" i="8"/>
  <c r="D2374" i="8"/>
  <c r="D667" i="8"/>
  <c r="D160" i="8"/>
  <c r="D3256" i="8"/>
  <c r="D1615" i="8"/>
  <c r="D3314" i="8"/>
  <c r="D460" i="8"/>
  <c r="D2060" i="8"/>
  <c r="D595" i="8"/>
  <c r="D273" i="8"/>
  <c r="D1407" i="8"/>
  <c r="D134" i="8"/>
  <c r="D2238" i="8"/>
  <c r="D8" i="8"/>
  <c r="D1205" i="8"/>
  <c r="D1050" i="8"/>
  <c r="D677" i="8"/>
  <c r="D357" i="8"/>
  <c r="D3283" i="8"/>
  <c r="D1211" i="8"/>
  <c r="D2886" i="8"/>
  <c r="D1017" i="8"/>
  <c r="D423" i="8"/>
  <c r="D1890" i="8"/>
  <c r="D280" i="8"/>
  <c r="D2270" i="8"/>
  <c r="D71" i="8"/>
  <c r="D566" i="8"/>
  <c r="D873" i="8"/>
  <c r="D24" i="8"/>
  <c r="D2552" i="8"/>
  <c r="D2239" i="8"/>
  <c r="D3152" i="8"/>
  <c r="D580" i="8"/>
  <c r="D390" i="8"/>
  <c r="D937" i="8"/>
  <c r="D3467" i="8"/>
  <c r="D895" i="8"/>
  <c r="D263" i="8"/>
  <c r="D296" i="8"/>
  <c r="D891" i="8"/>
  <c r="D2388" i="8"/>
  <c r="D3626" i="8"/>
  <c r="D1082" i="8"/>
  <c r="D582" i="8"/>
  <c r="D2408" i="8"/>
  <c r="D883" i="8"/>
  <c r="D416" i="8"/>
  <c r="D1993" i="8"/>
  <c r="D1298" i="8"/>
  <c r="D1502" i="8"/>
  <c r="D1605" i="8"/>
  <c r="D2987" i="8"/>
  <c r="D2365" i="8"/>
  <c r="D2393" i="8"/>
  <c r="D2533" i="8"/>
  <c r="D2775" i="8"/>
  <c r="D3079" i="8"/>
  <c r="D2194" i="8"/>
  <c r="D2649" i="8"/>
  <c r="D2438" i="8"/>
  <c r="D825" i="8"/>
  <c r="D1393" i="8"/>
  <c r="D3213" i="8"/>
  <c r="D3096" i="8"/>
  <c r="D3271" i="8"/>
  <c r="D2897" i="8"/>
  <c r="D2448" i="8"/>
  <c r="D3155" i="8"/>
  <c r="D1871" i="8"/>
  <c r="D2644" i="8"/>
  <c r="D2740" i="8"/>
  <c r="D3241" i="8"/>
  <c r="D1253" i="8"/>
  <c r="D3002" i="8"/>
  <c r="D2526" i="8"/>
  <c r="D3308" i="8"/>
  <c r="D1943" i="8"/>
  <c r="D1141" i="8"/>
  <c r="D3134" i="8"/>
  <c r="D166" i="8"/>
  <c r="D2972" i="8"/>
  <c r="D3219" i="8"/>
  <c r="D3138" i="8"/>
  <c r="D1510" i="8"/>
  <c r="D2751" i="8"/>
  <c r="D3194" i="8"/>
  <c r="D3136" i="8"/>
  <c r="D2591" i="8"/>
  <c r="D3397" i="8"/>
  <c r="D1553" i="8"/>
  <c r="D3539" i="8"/>
  <c r="D2849" i="8"/>
  <c r="D2952" i="8"/>
  <c r="D3422" i="8"/>
  <c r="D3510" i="8"/>
  <c r="D3342" i="8"/>
  <c r="D2173" i="8"/>
  <c r="D3489" i="8"/>
  <c r="D1295" i="8"/>
  <c r="D2781" i="8"/>
  <c r="D2151" i="8"/>
  <c r="D1293" i="8"/>
  <c r="D956" i="8"/>
  <c r="D786" i="8"/>
  <c r="D1306" i="8"/>
  <c r="D659" i="8"/>
  <c r="D2449" i="8"/>
  <c r="D772" i="8"/>
  <c r="D329" i="8"/>
  <c r="D1110" i="8"/>
  <c r="D2975" i="8"/>
  <c r="D1116" i="8"/>
  <c r="D2619" i="8"/>
  <c r="D3018" i="8"/>
  <c r="D2417" i="8"/>
  <c r="D1869" i="8"/>
  <c r="D1496" i="8"/>
  <c r="D3289" i="8"/>
  <c r="D326" i="8"/>
  <c r="D2033" i="8"/>
  <c r="D1147" i="8"/>
  <c r="D1606" i="8"/>
  <c r="D662" i="8"/>
  <c r="D1941" i="8"/>
  <c r="D2232" i="8"/>
  <c r="D1968" i="8"/>
  <c r="D1532" i="8"/>
  <c r="D1500" i="8"/>
  <c r="D844" i="8"/>
  <c r="D2653" i="8"/>
  <c r="D180" i="8"/>
  <c r="D881" i="8"/>
  <c r="D3238" i="8"/>
  <c r="D1814" i="8"/>
  <c r="D868" i="8"/>
  <c r="D3352" i="8"/>
  <c r="D652" i="8"/>
  <c r="D874" i="8"/>
  <c r="D583" i="8"/>
  <c r="D877" i="8"/>
  <c r="D1576" i="8"/>
  <c r="D242" i="8"/>
  <c r="D1371" i="8"/>
  <c r="D240" i="8"/>
  <c r="D617" i="8"/>
  <c r="D3555" i="8"/>
  <c r="D363" i="8"/>
  <c r="D2697" i="8"/>
  <c r="D2956" i="8"/>
  <c r="D120" i="8"/>
  <c r="D3526" i="8"/>
  <c r="D3504" i="8"/>
  <c r="D1219" i="8"/>
  <c r="D3426" i="8"/>
  <c r="D3591" i="8"/>
  <c r="D426" i="8"/>
  <c r="D989" i="8"/>
  <c r="D902" i="8"/>
  <c r="D1745" i="8"/>
  <c r="D3580" i="8"/>
  <c r="D2772" i="8"/>
  <c r="D1995" i="8"/>
  <c r="D86" i="8"/>
  <c r="D915" i="8"/>
  <c r="D1746" i="8"/>
  <c r="D323" i="8"/>
  <c r="D1787" i="8"/>
  <c r="D2176" i="8"/>
  <c r="D1713" i="8"/>
  <c r="D1366" i="8"/>
  <c r="D1160" i="8"/>
  <c r="D396" i="8"/>
  <c r="D2146" i="8"/>
  <c r="D3014" i="8"/>
  <c r="D731" i="8"/>
  <c r="D3309" i="8"/>
  <c r="D1227" i="8"/>
  <c r="D3601" i="8"/>
  <c r="D394" i="8"/>
  <c r="D556" i="8"/>
  <c r="D2295" i="8"/>
  <c r="D2025" i="8"/>
  <c r="D849" i="8"/>
  <c r="D626" i="8"/>
  <c r="D571" i="8"/>
  <c r="D1784" i="8"/>
  <c r="D647" i="8"/>
  <c r="D2788" i="8"/>
  <c r="D1087" i="8"/>
  <c r="D3324" i="8"/>
  <c r="D715" i="8"/>
  <c r="D2353" i="8"/>
  <c r="D788" i="8"/>
  <c r="D2177" i="8"/>
  <c r="D1740" i="8"/>
  <c r="D2932" i="8"/>
  <c r="D917" i="8"/>
  <c r="D3251" i="8"/>
  <c r="D1052" i="8"/>
  <c r="D2724" i="8"/>
  <c r="D44" i="8"/>
  <c r="D2040" i="8"/>
  <c r="D1059" i="8"/>
  <c r="D344" i="8"/>
  <c r="D2048" i="8"/>
  <c r="D2764" i="8"/>
  <c r="D1837" i="8"/>
  <c r="D3165" i="8"/>
  <c r="D342" i="8"/>
  <c r="D1193" i="8"/>
  <c r="D1190" i="8"/>
  <c r="D3305" i="8"/>
  <c r="D1712" i="8"/>
  <c r="D3053" i="8"/>
  <c r="D818" i="8"/>
  <c r="D2925" i="8"/>
  <c r="D1902" i="8"/>
  <c r="D1163" i="8"/>
  <c r="D546" i="8"/>
  <c r="D1534" i="8"/>
  <c r="D539" i="8"/>
  <c r="D828" i="8"/>
  <c r="D567" i="8"/>
  <c r="D1425" i="8"/>
  <c r="D549" i="8"/>
  <c r="D1946" i="8"/>
  <c r="D696" i="8"/>
  <c r="D2506" i="8"/>
  <c r="D655" i="8"/>
  <c r="D187" i="8"/>
  <c r="D564" i="8"/>
  <c r="D2672" i="8"/>
  <c r="D2968" i="8"/>
  <c r="D478" i="8"/>
  <c r="D2118" i="8"/>
  <c r="D3537" i="8"/>
  <c r="D1638" i="8"/>
  <c r="D2807" i="8"/>
  <c r="D1111" i="8"/>
  <c r="D2257" i="8"/>
  <c r="D1260" i="8"/>
  <c r="D43" i="8"/>
  <c r="D9" i="8"/>
  <c r="D454" i="8"/>
  <c r="D755" i="8"/>
  <c r="D2865" i="8"/>
  <c r="D1398" i="8"/>
  <c r="D494" i="8"/>
  <c r="D1524" i="8"/>
  <c r="D3054" i="8"/>
  <c r="D1083" i="8"/>
  <c r="D1466" i="8"/>
  <c r="D2736" i="8"/>
  <c r="D106" i="8"/>
  <c r="D1089" i="8"/>
  <c r="D3040" i="8"/>
  <c r="D2980" i="8"/>
  <c r="D1629" i="8"/>
  <c r="D1950" i="8"/>
  <c r="D1329" i="8"/>
  <c r="D2154" i="8"/>
  <c r="D701" i="8"/>
  <c r="D2363" i="8"/>
  <c r="D2228" i="8"/>
  <c r="D391" i="8"/>
  <c r="D906" i="8"/>
  <c r="D1923" i="8"/>
  <c r="D2281" i="8"/>
  <c r="D861" i="8"/>
  <c r="D248" i="8"/>
  <c r="D1376" i="8"/>
  <c r="D1386" i="8"/>
  <c r="D147" i="8"/>
  <c r="D3407" i="8"/>
  <c r="D2844" i="8"/>
  <c r="D573" i="8"/>
  <c r="D434" i="8"/>
  <c r="D1575" i="8"/>
  <c r="D259" i="8"/>
  <c r="D1786" i="8"/>
  <c r="D1315" i="8"/>
  <c r="D2420" i="8"/>
  <c r="D553" i="8"/>
  <c r="D199" i="8"/>
  <c r="D2276" i="8"/>
  <c r="D2222" i="8"/>
  <c r="D3401" i="8"/>
  <c r="D1067" i="8"/>
  <c r="D3317" i="8"/>
  <c r="D2494" i="8"/>
  <c r="D336" i="8"/>
  <c r="D2621" i="8"/>
  <c r="D2682" i="8"/>
  <c r="D2323" i="8"/>
  <c r="D1952" i="8"/>
  <c r="D1988" i="8"/>
  <c r="D2192" i="8"/>
  <c r="D2443" i="8"/>
  <c r="D2250" i="8"/>
  <c r="D1616" i="8"/>
  <c r="D2446" i="8"/>
  <c r="D744" i="8"/>
  <c r="D88" i="8"/>
  <c r="D2330" i="8"/>
  <c r="D2947" i="8"/>
  <c r="D1734" i="8"/>
  <c r="D588" i="8"/>
  <c r="D76" i="8"/>
  <c r="D3130" i="8"/>
  <c r="D1048" i="8"/>
  <c r="D2517" i="8"/>
  <c r="D2926" i="8"/>
  <c r="D260" i="8"/>
  <c r="D3629" i="8"/>
  <c r="D3449" i="8"/>
  <c r="D1344" i="8"/>
  <c r="D1199" i="8"/>
  <c r="D3621" i="8"/>
  <c r="D1518" i="8"/>
  <c r="D713" i="8"/>
  <c r="D3545" i="8"/>
  <c r="D1658" i="8"/>
  <c r="D1777" i="8"/>
  <c r="D2335" i="8"/>
  <c r="D3253" i="8"/>
  <c r="D290" i="8"/>
  <c r="D1484" i="8"/>
  <c r="D2024" i="8"/>
  <c r="D172" i="8"/>
  <c r="D1999" i="8"/>
  <c r="D1554" i="8"/>
  <c r="D2504" i="8"/>
  <c r="D2261" i="8"/>
  <c r="D32" i="8"/>
  <c r="D2988" i="8"/>
  <c r="D3206" i="8"/>
  <c r="D1632" i="8"/>
  <c r="D2822" i="8"/>
  <c r="D1357" i="8"/>
  <c r="D2604" i="8"/>
  <c r="D884" i="8"/>
  <c r="D1013" i="8"/>
  <c r="D3062" i="8"/>
  <c r="D590" i="8"/>
  <c r="D629" i="8"/>
  <c r="D414" i="8"/>
  <c r="D1341" i="8"/>
  <c r="D299" i="8"/>
  <c r="D440" i="8"/>
  <c r="D1097" i="8"/>
  <c r="D528" i="8"/>
  <c r="D2081" i="8"/>
  <c r="D716" i="8"/>
  <c r="D257" i="8"/>
  <c r="D839" i="8"/>
  <c r="D2846" i="8"/>
  <c r="D2199" i="8"/>
  <c r="D681" i="8"/>
  <c r="D498" i="8"/>
  <c r="D3345" i="8"/>
  <c r="D2691" i="8"/>
  <c r="D291" i="8"/>
  <c r="D385" i="8"/>
  <c r="D2830" i="8"/>
  <c r="D723" i="8"/>
  <c r="D2324" i="8"/>
  <c r="D1640" i="8"/>
  <c r="D560" i="8"/>
  <c r="D443" i="8"/>
  <c r="D760" i="8"/>
  <c r="D1773" i="8"/>
  <c r="D438" i="8"/>
  <c r="D3170" i="8"/>
  <c r="D141" i="8"/>
  <c r="D1844" i="8"/>
  <c r="D1473" i="8"/>
  <c r="D2152" i="8"/>
  <c r="D332" i="8"/>
  <c r="D510" i="8"/>
  <c r="D2683" i="8"/>
  <c r="D3245" i="8"/>
  <c r="D642" i="8"/>
  <c r="D1101" i="8"/>
  <c r="D614" i="8"/>
  <c r="D2159" i="8"/>
  <c r="D1139" i="8"/>
  <c r="D2078" i="8"/>
  <c r="D265" i="8"/>
  <c r="D1405" i="8"/>
  <c r="D1572" i="8"/>
  <c r="D643" i="8"/>
  <c r="D728" i="8"/>
  <c r="D1178" i="8"/>
  <c r="D226" i="8"/>
  <c r="D506" i="8"/>
  <c r="D406" i="8"/>
  <c r="D1003" i="8"/>
  <c r="D2338" i="8"/>
  <c r="D1148" i="8"/>
  <c r="D668" i="8"/>
  <c r="D1882" i="8"/>
  <c r="D1206" i="8"/>
  <c r="D1238" i="8"/>
  <c r="D1032" i="8"/>
  <c r="D1149" i="8"/>
  <c r="D1212" i="8"/>
  <c r="D123" i="8"/>
  <c r="D2197" i="8"/>
  <c r="D986" i="8"/>
  <c r="D1832" i="8"/>
  <c r="D2960" i="8"/>
  <c r="D2034" i="8"/>
  <c r="D4" i="8"/>
  <c r="D269" i="8"/>
  <c r="D2206" i="8"/>
  <c r="D2378" i="8"/>
  <c r="D3065" i="8"/>
  <c r="D1916" i="8"/>
  <c r="D1736" i="8"/>
  <c r="D833" i="8"/>
  <c r="D2701" i="8"/>
  <c r="D1802" i="8"/>
  <c r="D486" i="8"/>
  <c r="D2202" i="8"/>
  <c r="D998" i="8"/>
  <c r="D3597" i="8"/>
  <c r="D2215" i="8"/>
  <c r="D729" i="8"/>
  <c r="D308" i="8"/>
  <c r="D3030" i="8"/>
  <c r="D2969" i="8"/>
  <c r="D574" i="8"/>
  <c r="D1971" i="8"/>
  <c r="D1766" i="8"/>
  <c r="D256" i="8"/>
  <c r="D2019" i="8"/>
  <c r="D718" i="8"/>
  <c r="D1515" i="8"/>
  <c r="D2421" i="8"/>
  <c r="D859" i="8"/>
  <c r="D1886" i="8"/>
  <c r="D3420" i="8"/>
  <c r="D1334" i="8"/>
  <c r="D1928" i="8"/>
  <c r="D1084" i="8"/>
  <c r="D2101" i="8"/>
  <c r="D20" i="8"/>
  <c r="D3082" i="8"/>
  <c r="D599" i="8"/>
  <c r="D789" i="8"/>
  <c r="D2769" i="8"/>
  <c r="D2575" i="8"/>
  <c r="D109" i="8"/>
  <c r="D374" i="8"/>
  <c r="D376" i="8"/>
  <c r="D675" i="8"/>
  <c r="D190" i="8"/>
  <c r="D2486" i="8"/>
  <c r="D1706" i="8"/>
  <c r="D2576" i="8"/>
  <c r="D484" i="8"/>
  <c r="D1519" i="8"/>
  <c r="D540" i="8"/>
  <c r="D1842" i="8"/>
  <c r="D524" i="8"/>
  <c r="D1810" i="8"/>
  <c r="D671" i="8"/>
  <c r="D69" i="8"/>
  <c r="D220" i="8"/>
  <c r="D441" i="8"/>
  <c r="D1454" i="8"/>
  <c r="D2703" i="8"/>
  <c r="D2320" i="8"/>
  <c r="D819" i="8"/>
  <c r="D2258" i="8"/>
  <c r="D991" i="8"/>
  <c r="D1450" i="8"/>
  <c r="D2391" i="8"/>
  <c r="D2361" i="8"/>
  <c r="D3330" i="8"/>
  <c r="D2717" i="8"/>
  <c r="D2542" i="8"/>
  <c r="D235" i="8"/>
  <c r="D1820" i="8"/>
  <c r="D221" i="8"/>
  <c r="D2714" i="8"/>
  <c r="D802" i="8"/>
  <c r="D1064" i="8"/>
  <c r="D1152" i="8"/>
  <c r="D2073" i="8"/>
  <c r="D164" i="8"/>
  <c r="D1184" i="8"/>
  <c r="D2132" i="8"/>
  <c r="D1261" i="8"/>
  <c r="D826" i="8"/>
  <c r="D1700" i="8"/>
  <c r="D585" i="8"/>
  <c r="D945" i="8"/>
  <c r="D2355" i="8"/>
  <c r="D923" i="8"/>
  <c r="D404" i="8"/>
  <c r="D1909" i="8"/>
  <c r="D177" i="8"/>
  <c r="D3075" i="8"/>
  <c r="D2036" i="8"/>
  <c r="D1592" i="8"/>
  <c r="D2588" i="8"/>
  <c r="D1034" i="8"/>
  <c r="D954" i="8"/>
  <c r="D1217" i="8"/>
  <c r="D1358" i="8"/>
  <c r="D1225" i="8"/>
  <c r="D1850" i="8"/>
  <c r="D446" i="8"/>
  <c r="D769" i="8"/>
  <c r="D920" i="8"/>
  <c r="D3228" i="8"/>
  <c r="D942" i="8"/>
  <c r="D1400" i="8"/>
  <c r="D2768" i="8"/>
  <c r="D944" i="8"/>
  <c r="D996" i="8"/>
  <c r="D612" i="8"/>
  <c r="D2302" i="8"/>
  <c r="D303" i="8"/>
  <c r="D1537" i="8"/>
  <c r="D1477" i="8"/>
  <c r="D3114" i="8"/>
  <c r="D25" i="8"/>
  <c r="D140" i="8"/>
  <c r="D1597" i="8"/>
  <c r="D3507" i="8"/>
  <c r="D205" i="8"/>
  <c r="D3101" i="8"/>
  <c r="D1513" i="8"/>
  <c r="D1796" i="8"/>
  <c r="D938" i="8"/>
  <c r="D736" i="8"/>
  <c r="D1718" i="8"/>
  <c r="D149" i="8"/>
  <c r="D896" i="8"/>
  <c r="D845" i="8"/>
  <c r="D664" i="8"/>
  <c r="D2548" i="8"/>
  <c r="D3005" i="8"/>
  <c r="D2268" i="8"/>
  <c r="D1290" i="8"/>
  <c r="D352" i="8"/>
  <c r="D2107" i="8"/>
  <c r="D420" i="8"/>
  <c r="D636" i="8"/>
  <c r="D1918" i="8"/>
  <c r="D176" i="8"/>
  <c r="D1044" i="8"/>
  <c r="D318" i="8"/>
  <c r="D2390" i="8"/>
  <c r="D3208" i="8"/>
  <c r="D3022" i="8"/>
  <c r="D223" i="8"/>
  <c r="D1609" i="8"/>
  <c r="D99" i="8"/>
  <c r="D2954" i="8"/>
  <c r="D870" i="8"/>
  <c r="D1418" i="8"/>
  <c r="D1018" i="8"/>
  <c r="D2890" i="8"/>
  <c r="D2579" i="8"/>
  <c r="D852" i="8"/>
  <c r="D2507" i="8"/>
  <c r="D2277" i="8"/>
  <c r="D1085" i="8"/>
  <c r="D927" i="8"/>
  <c r="D2615" i="8"/>
  <c r="D367" i="8"/>
  <c r="D249" i="8"/>
  <c r="D1166" i="8"/>
  <c r="D1921" i="8"/>
  <c r="D2835" i="8"/>
  <c r="D615" i="8"/>
  <c r="D1664" i="8"/>
  <c r="D1182" i="8"/>
  <c r="D1694" i="8"/>
  <c r="D3161" i="8"/>
  <c r="D2042" i="8"/>
  <c r="D213" i="8"/>
  <c r="D3119" i="8"/>
  <c r="D1508" i="8"/>
  <c r="D1168" i="8"/>
  <c r="D2935" i="8"/>
  <c r="D429" i="8"/>
  <c r="D2808" i="8"/>
  <c r="D2410" i="8"/>
  <c r="D888" i="8"/>
  <c r="D653" i="8"/>
  <c r="D400" i="8"/>
  <c r="D1458" i="8"/>
  <c r="D1352" i="8"/>
  <c r="D1442" i="8"/>
  <c r="D3" i="8"/>
  <c r="C3" i="8"/>
  <c r="C2" i="8"/>
  <c r="D2" i="8"/>
  <c r="F3485" i="8"/>
  <c r="C3485" i="8"/>
  <c r="F1078" i="8"/>
  <c r="C1078" i="8"/>
  <c r="F2646" i="8"/>
  <c r="C2646" i="8"/>
  <c r="F1608" i="8"/>
  <c r="C1608" i="8"/>
  <c r="F2610" i="8"/>
  <c r="C2610" i="8"/>
  <c r="F1130" i="8"/>
  <c r="C1130" i="8"/>
  <c r="F990" i="8"/>
  <c r="C990" i="8"/>
  <c r="F2530" i="8"/>
  <c r="C2530" i="8"/>
  <c r="F3359" i="8"/>
  <c r="C3359" i="8"/>
  <c r="F2938" i="8"/>
  <c r="C2938" i="8"/>
  <c r="F3586" i="8"/>
  <c r="C3586" i="8"/>
  <c r="F3010" i="8"/>
  <c r="C3010" i="8"/>
  <c r="F641" i="8"/>
  <c r="C641" i="8"/>
  <c r="F3594" i="8"/>
  <c r="C3594" i="8"/>
  <c r="F2640" i="8"/>
  <c r="C2640" i="8"/>
  <c r="F2741" i="8"/>
  <c r="C2741" i="8"/>
  <c r="F3410" i="8"/>
  <c r="C3410" i="8"/>
  <c r="F1437" i="8"/>
  <c r="C1437" i="8"/>
  <c r="F2776" i="8"/>
  <c r="C2776" i="8"/>
  <c r="F3143" i="8"/>
  <c r="C3143" i="8"/>
  <c r="F2819" i="8"/>
  <c r="C2819" i="8"/>
  <c r="F2386" i="8"/>
  <c r="C2386" i="8"/>
  <c r="F3043" i="8"/>
  <c r="C3043" i="8"/>
  <c r="F3530" i="8"/>
  <c r="C3530" i="8"/>
  <c r="F1416" i="8"/>
  <c r="C1416" i="8"/>
  <c r="F2735" i="8"/>
  <c r="C2735" i="8"/>
  <c r="F2165" i="8"/>
  <c r="C2165" i="8"/>
  <c r="F3034" i="8"/>
  <c r="C3034" i="8"/>
  <c r="F2044" i="8"/>
  <c r="C2044" i="8"/>
  <c r="F3262" i="8"/>
  <c r="C3262" i="8"/>
  <c r="F3513" i="8"/>
  <c r="C3513" i="8"/>
  <c r="F2478" i="8"/>
  <c r="C2478" i="8"/>
  <c r="F631" i="8"/>
  <c r="C631" i="8"/>
  <c r="F2864" i="8"/>
  <c r="C2864" i="8"/>
  <c r="F3404" i="8"/>
  <c r="C3404" i="8"/>
  <c r="F2802" i="8"/>
  <c r="C2802" i="8"/>
  <c r="F3625" i="8"/>
  <c r="C3625" i="8"/>
  <c r="F1654" i="8"/>
  <c r="C1654" i="8"/>
  <c r="F3168" i="8"/>
  <c r="C3168" i="8"/>
  <c r="F1535" i="8"/>
  <c r="C1535" i="8"/>
  <c r="F898" i="8"/>
  <c r="C898" i="8"/>
  <c r="F1565" i="8"/>
  <c r="C1565" i="8"/>
  <c r="F2743" i="8"/>
  <c r="C2743" i="8"/>
  <c r="F289" i="8"/>
  <c r="C289" i="8"/>
  <c r="F3146" i="8"/>
  <c r="C3146" i="8"/>
  <c r="F1552" i="8"/>
  <c r="C1552" i="8"/>
  <c r="F3326" i="8"/>
  <c r="C3326" i="8"/>
  <c r="F3573" i="8"/>
  <c r="C3573" i="8"/>
  <c r="F2095" i="8"/>
  <c r="C2095" i="8"/>
  <c r="F2175" i="8"/>
  <c r="C2175" i="8"/>
  <c r="F2993" i="8"/>
  <c r="C2993" i="8"/>
  <c r="F2950" i="8"/>
  <c r="C2950" i="8"/>
  <c r="F2476" i="8"/>
  <c r="C2476" i="8"/>
  <c r="F179" i="8"/>
  <c r="C179" i="8"/>
  <c r="F1403" i="8"/>
  <c r="C1403" i="8"/>
  <c r="F794" i="8"/>
  <c r="C794" i="8"/>
  <c r="F2368" i="8"/>
  <c r="C2368" i="8"/>
  <c r="F2209" i="8"/>
  <c r="C2209" i="8"/>
  <c r="F262" i="8"/>
  <c r="C262" i="8"/>
  <c r="F1830" i="8"/>
  <c r="C1830" i="8"/>
  <c r="F2142" i="8"/>
  <c r="C2142" i="8"/>
  <c r="F135" i="8"/>
  <c r="C135" i="8"/>
  <c r="F1367" i="8"/>
  <c r="C1367" i="8"/>
  <c r="F2356" i="8"/>
  <c r="C2356" i="8"/>
  <c r="F1312" i="8"/>
  <c r="C1312" i="8"/>
  <c r="F921" i="8"/>
  <c r="C921" i="8"/>
  <c r="F1703" i="8"/>
  <c r="C1703" i="8"/>
  <c r="F2038" i="8"/>
  <c r="C2038" i="8"/>
  <c r="F427" i="8"/>
  <c r="C427" i="8"/>
  <c r="F3429" i="8"/>
  <c r="C3429" i="8"/>
  <c r="F1841" i="8"/>
  <c r="C1841" i="8"/>
  <c r="F3605" i="8"/>
  <c r="C3605" i="8"/>
  <c r="F3058" i="8"/>
  <c r="C3058" i="8"/>
  <c r="F3628" i="8"/>
  <c r="C3628" i="8"/>
  <c r="F2406" i="8"/>
  <c r="C2406" i="8"/>
  <c r="F3186" i="8"/>
  <c r="C3186" i="8"/>
  <c r="F2347" i="8"/>
  <c r="C2347" i="8"/>
  <c r="F3291" i="8"/>
  <c r="C3291" i="8"/>
  <c r="F2903" i="8"/>
  <c r="C2903" i="8"/>
  <c r="F1008" i="8"/>
  <c r="C1008" i="8"/>
  <c r="F476" i="8"/>
  <c r="C476" i="8"/>
  <c r="F2917" i="8"/>
  <c r="C2917" i="8"/>
  <c r="F761" i="8"/>
  <c r="C761" i="8"/>
  <c r="F2913" i="8"/>
  <c r="C2913" i="8"/>
  <c r="F2031" i="8"/>
  <c r="C2031" i="8"/>
  <c r="F1041" i="8"/>
  <c r="C1041" i="8"/>
  <c r="F1402" i="8"/>
  <c r="C1402" i="8"/>
  <c r="F2246" i="8"/>
  <c r="C2246" i="8"/>
  <c r="F3356" i="8"/>
  <c r="C3356" i="8"/>
  <c r="F2428" i="8"/>
  <c r="C2428" i="8"/>
  <c r="F1601" i="8"/>
  <c r="C1601" i="8"/>
  <c r="F2045" i="8"/>
  <c r="C2045" i="8"/>
  <c r="F2907" i="8"/>
  <c r="C2907" i="8"/>
  <c r="F1388" i="8"/>
  <c r="C1388" i="8"/>
  <c r="F1710" i="8"/>
  <c r="C1710" i="8"/>
  <c r="F3529" i="8"/>
  <c r="C3529" i="8"/>
  <c r="F1624" i="8"/>
  <c r="C1624" i="8"/>
  <c r="F178" i="8"/>
  <c r="C178" i="8"/>
  <c r="F1854" i="8"/>
  <c r="C1854" i="8"/>
  <c r="F490" i="8"/>
  <c r="C490" i="8"/>
  <c r="F3217" i="8"/>
  <c r="C3217" i="8"/>
  <c r="F2888" i="8"/>
  <c r="C2888" i="8"/>
  <c r="F2148" i="8"/>
  <c r="C2148" i="8"/>
  <c r="F3571" i="8"/>
  <c r="C3571" i="8"/>
  <c r="F1711" i="8"/>
  <c r="C1711" i="8"/>
  <c r="F1651" i="8"/>
  <c r="C1651" i="8"/>
  <c r="F3192" i="8"/>
  <c r="C3192" i="8"/>
  <c r="F3549" i="8"/>
  <c r="C3549" i="8"/>
  <c r="F3393" i="8"/>
  <c r="C3393" i="8"/>
  <c r="F3103" i="8"/>
  <c r="C3103" i="8"/>
  <c r="F1630" i="8"/>
  <c r="C1630" i="8"/>
  <c r="F3368" i="8"/>
  <c r="C3368" i="8"/>
  <c r="F1469" i="8"/>
  <c r="C1469" i="8"/>
  <c r="F3195" i="8"/>
  <c r="C3195" i="8"/>
  <c r="F3021" i="8"/>
  <c r="C3021" i="8"/>
  <c r="F3528" i="8"/>
  <c r="C3528" i="8"/>
  <c r="F1327" i="8"/>
  <c r="C1327" i="8"/>
  <c r="F2479" i="8"/>
  <c r="C2479" i="8"/>
  <c r="F1860" i="8"/>
  <c r="C1860" i="8"/>
  <c r="F637" i="8"/>
  <c r="C637" i="8"/>
  <c r="F3534" i="8"/>
  <c r="C3534" i="8"/>
  <c r="F1203" i="8"/>
  <c r="C1203" i="8"/>
  <c r="F2313" i="8"/>
  <c r="C2313" i="8"/>
  <c r="F216" i="8"/>
  <c r="C216" i="8"/>
  <c r="F1557" i="8"/>
  <c r="C1557" i="8"/>
  <c r="F193" i="8"/>
  <c r="C193" i="8"/>
  <c r="F931" i="8"/>
  <c r="C931" i="8"/>
  <c r="F2027" i="8"/>
  <c r="C2027" i="8"/>
  <c r="F1785" i="8"/>
  <c r="C1785" i="8"/>
  <c r="F1065" i="8"/>
  <c r="C1065" i="8"/>
  <c r="F1935" i="8"/>
  <c r="C1935" i="8"/>
  <c r="F1164" i="8"/>
  <c r="C1164" i="8"/>
  <c r="F912" i="8"/>
  <c r="C912" i="8"/>
  <c r="F2568" i="8"/>
  <c r="C2568" i="8"/>
  <c r="F1665" i="8"/>
  <c r="C1665" i="8"/>
  <c r="F1507" i="8"/>
  <c r="C1507" i="8"/>
  <c r="F693" i="8"/>
  <c r="C693" i="8"/>
  <c r="F627" i="8"/>
  <c r="C627" i="8"/>
  <c r="F2348" i="8"/>
  <c r="C2348" i="8"/>
  <c r="F792" i="8"/>
  <c r="C792" i="8"/>
  <c r="F1472" i="8"/>
  <c r="C1472" i="8"/>
  <c r="F3030" i="8"/>
  <c r="C3030" i="8"/>
  <c r="F1960" i="8"/>
  <c r="C1960" i="8"/>
  <c r="F2480" i="8"/>
  <c r="C2480" i="8"/>
  <c r="F2645" i="8"/>
  <c r="C2645" i="8"/>
  <c r="F219" i="8"/>
  <c r="C219" i="8"/>
  <c r="F2884" i="8"/>
  <c r="C2884" i="8"/>
  <c r="F3312" i="8"/>
  <c r="C3312" i="8"/>
  <c r="F1836" i="8"/>
  <c r="C1836" i="8"/>
  <c r="F1863" i="8"/>
  <c r="C1863" i="8"/>
  <c r="F1009" i="8"/>
  <c r="C1009" i="8"/>
  <c r="F1724" i="8"/>
  <c r="C1724" i="8"/>
  <c r="F2643" i="8"/>
  <c r="C2643" i="8"/>
  <c r="F1699" i="8"/>
  <c r="C1699" i="8"/>
  <c r="F305" i="8"/>
  <c r="C305" i="8"/>
  <c r="F2464" i="8"/>
  <c r="C2464" i="8"/>
  <c r="F2108" i="8"/>
  <c r="C2108" i="8"/>
  <c r="F2509" i="8"/>
  <c r="C2509" i="8"/>
  <c r="F84" i="8"/>
  <c r="C84" i="8"/>
  <c r="F408" i="8"/>
  <c r="C408" i="8"/>
  <c r="F1446" i="8"/>
  <c r="C1446" i="8"/>
  <c r="F779" i="8"/>
  <c r="C779" i="8"/>
  <c r="F501" i="8"/>
  <c r="C501" i="8"/>
  <c r="F1604" i="8"/>
  <c r="C1604" i="8"/>
  <c r="F805" i="8"/>
  <c r="C805" i="8"/>
  <c r="F254" i="8"/>
  <c r="C254" i="8"/>
  <c r="F247" i="8"/>
  <c r="C247" i="8"/>
  <c r="F993" i="8"/>
  <c r="C993" i="8"/>
  <c r="F2485" i="8"/>
  <c r="C2485" i="8"/>
  <c r="F2394" i="8"/>
  <c r="C2394" i="8"/>
  <c r="F1129" i="8"/>
  <c r="C1129" i="8"/>
  <c r="F3272" i="8"/>
  <c r="C3272" i="8"/>
  <c r="F932" i="8"/>
  <c r="C932" i="8"/>
  <c r="F1561" i="8"/>
  <c r="C1561" i="8"/>
  <c r="F522" i="8"/>
  <c r="C522" i="8"/>
  <c r="F2747" i="8"/>
  <c r="C2747" i="8"/>
  <c r="F356" i="8"/>
  <c r="C356" i="8"/>
  <c r="F1300" i="8"/>
  <c r="C1300" i="8"/>
  <c r="F639" i="8"/>
  <c r="C639" i="8"/>
  <c r="F602" i="8"/>
  <c r="C602" i="8"/>
  <c r="F2554" i="8"/>
  <c r="C2554" i="8"/>
  <c r="F740" i="8"/>
  <c r="C740" i="8"/>
  <c r="F905" i="8"/>
  <c r="C905" i="8"/>
  <c r="F2125" i="8"/>
  <c r="C2125" i="8"/>
  <c r="F603" i="8"/>
  <c r="C603" i="8"/>
  <c r="F608" i="8"/>
  <c r="C608" i="8"/>
  <c r="F749" i="8"/>
  <c r="C749" i="8"/>
  <c r="F793" i="8"/>
  <c r="C793" i="8"/>
  <c r="F418" i="8"/>
  <c r="C418" i="8"/>
  <c r="F592" i="8"/>
  <c r="C592" i="8"/>
  <c r="F448" i="8"/>
  <c r="C448" i="8"/>
  <c r="F3306" i="8"/>
  <c r="C3306" i="8"/>
  <c r="F3144" i="8"/>
  <c r="C3144" i="8"/>
  <c r="F3196" i="8"/>
  <c r="C3196" i="8"/>
  <c r="F1611" i="8"/>
  <c r="C1611" i="8"/>
  <c r="F38" i="8"/>
  <c r="C38" i="8"/>
  <c r="F3536" i="8"/>
  <c r="C3536" i="8"/>
  <c r="F197" i="8"/>
  <c r="C197" i="8"/>
  <c r="F82" i="8"/>
  <c r="C82" i="8"/>
  <c r="F2424" i="8"/>
  <c r="C2424" i="8"/>
  <c r="F1763" i="8"/>
  <c r="C1763" i="8"/>
  <c r="F806" i="8"/>
  <c r="C806" i="8"/>
  <c r="F2083" i="8"/>
  <c r="C2083" i="8"/>
  <c r="F2593" i="8"/>
  <c r="C2593" i="8"/>
  <c r="F3300" i="8"/>
  <c r="C3300" i="8"/>
  <c r="F2696" i="8"/>
  <c r="C2696" i="8"/>
  <c r="F1744" i="8"/>
  <c r="C1744" i="8"/>
  <c r="F2157" i="8"/>
  <c r="C2157" i="8"/>
  <c r="F2715" i="8"/>
  <c r="C2715" i="8"/>
  <c r="F2918" i="8"/>
  <c r="C2918" i="8"/>
  <c r="F1864" i="8"/>
  <c r="C1864" i="8"/>
  <c r="F1395" i="8"/>
  <c r="C1395" i="8"/>
  <c r="F3394" i="8"/>
  <c r="C3394" i="8"/>
  <c r="F2569" i="8"/>
  <c r="C2569" i="8"/>
  <c r="F3509" i="8"/>
  <c r="C3509" i="8"/>
  <c r="F2052" i="8"/>
  <c r="C2052" i="8"/>
  <c r="F2231" i="8"/>
  <c r="C2231" i="8"/>
  <c r="F2875" i="8"/>
  <c r="C2875" i="8"/>
  <c r="F1556" i="8"/>
  <c r="C1556" i="8"/>
  <c r="F2064" i="8"/>
  <c r="C2064" i="8"/>
  <c r="F3424" i="8"/>
  <c r="C3424" i="8"/>
  <c r="F869" i="8"/>
  <c r="C869" i="8"/>
  <c r="F3281" i="8"/>
  <c r="C3281" i="8"/>
  <c r="F1474" i="8"/>
  <c r="C1474" i="8"/>
  <c r="F1637" i="8"/>
  <c r="C1637" i="8"/>
  <c r="F3450" i="8"/>
  <c r="C3450" i="8"/>
  <c r="F1679" i="8"/>
  <c r="C1679" i="8"/>
  <c r="F2435" i="8"/>
  <c r="C2435" i="8"/>
  <c r="F1709" i="8"/>
  <c r="C1709" i="8"/>
  <c r="F2738" i="8"/>
  <c r="C2738" i="8"/>
  <c r="F433" i="8"/>
  <c r="C433" i="8"/>
  <c r="F3403" i="8"/>
  <c r="C3403" i="8"/>
  <c r="F2586" i="8"/>
  <c r="C2586" i="8"/>
  <c r="F3461" i="8"/>
  <c r="C3461" i="8"/>
  <c r="F1254" i="8"/>
  <c r="C1254" i="8"/>
  <c r="F3269" i="8"/>
  <c r="C3269" i="8"/>
  <c r="F3124" i="8"/>
  <c r="C3124" i="8"/>
  <c r="F3327" i="8"/>
  <c r="C3327" i="8"/>
  <c r="F2522" i="8"/>
  <c r="C2522" i="8"/>
  <c r="F2858" i="8"/>
  <c r="C2858" i="8"/>
  <c r="F3498" i="8"/>
  <c r="C3498" i="8"/>
  <c r="F3229" i="8"/>
  <c r="C3229" i="8"/>
  <c r="F1676" i="8"/>
  <c r="C1676" i="8"/>
  <c r="F412" i="8"/>
  <c r="C412" i="8"/>
  <c r="F2887" i="8"/>
  <c r="C2887" i="8"/>
  <c r="F1235" i="8"/>
  <c r="C1235" i="8"/>
  <c r="F3408" i="8"/>
  <c r="C3408" i="8"/>
  <c r="F2074" i="8"/>
  <c r="C2074" i="8"/>
  <c r="F858" i="8"/>
  <c r="C858" i="8"/>
  <c r="F708" i="8"/>
  <c r="C708" i="8"/>
  <c r="F1302" i="8"/>
  <c r="C1302" i="8"/>
  <c r="F2511" i="8"/>
  <c r="C2511" i="8"/>
  <c r="F504" i="8"/>
  <c r="C504" i="8"/>
  <c r="F2859" i="8"/>
  <c r="C2859" i="8"/>
  <c r="F679" i="8"/>
  <c r="C679" i="8"/>
  <c r="F2854" i="8"/>
  <c r="C2854" i="8"/>
  <c r="F2539" i="8"/>
  <c r="C2539" i="8"/>
  <c r="F2752" i="8"/>
  <c r="C2752" i="8"/>
  <c r="F3617" i="8"/>
  <c r="C3617" i="8"/>
  <c r="F3349" i="8"/>
  <c r="C3349" i="8"/>
  <c r="F1347" i="8"/>
  <c r="C1347" i="8"/>
  <c r="F3611" i="8"/>
  <c r="C3611" i="8"/>
  <c r="F3370" i="8"/>
  <c r="C3370" i="8"/>
  <c r="F2601" i="8"/>
  <c r="C2601" i="8"/>
  <c r="F126" i="8"/>
  <c r="C126" i="8"/>
  <c r="F3435" i="8"/>
  <c r="C3435" i="8"/>
  <c r="F1603" i="8"/>
  <c r="C1603" i="8"/>
  <c r="F594" i="8"/>
  <c r="C594" i="8"/>
  <c r="F3098" i="8"/>
  <c r="C3098" i="8"/>
  <c r="F1274" i="8"/>
  <c r="C1274" i="8"/>
  <c r="F971" i="8"/>
  <c r="C971" i="8"/>
  <c r="F785" i="8"/>
  <c r="C785" i="8"/>
  <c r="F2414" i="8"/>
  <c r="C2414" i="8"/>
  <c r="F2902" i="8"/>
  <c r="C2902" i="8"/>
  <c r="F161" i="8"/>
  <c r="C161" i="8"/>
  <c r="F458" i="8"/>
  <c r="C458" i="8"/>
  <c r="F521" i="8"/>
  <c r="C521" i="8"/>
  <c r="F2561" i="8"/>
  <c r="C2561" i="8"/>
  <c r="F2004" i="8"/>
  <c r="C2004" i="8"/>
  <c r="F1399" i="8"/>
  <c r="C1399" i="8"/>
  <c r="F764" i="8"/>
  <c r="C764" i="8"/>
  <c r="F68" i="8"/>
  <c r="C68" i="8"/>
  <c r="F45" i="8"/>
  <c r="C45" i="8"/>
  <c r="F2816" i="8"/>
  <c r="C2816" i="8"/>
  <c r="F2262" i="8"/>
  <c r="C2262" i="8"/>
  <c r="F2946" i="8"/>
  <c r="C2946" i="8"/>
  <c r="F1742" i="8"/>
  <c r="C1742" i="8"/>
  <c r="F1030" i="8"/>
  <c r="C1030" i="8"/>
  <c r="F137" i="8"/>
  <c r="C137" i="8"/>
  <c r="F2447" i="8"/>
  <c r="C2447" i="8"/>
  <c r="F1729" i="8"/>
  <c r="C1729" i="8"/>
  <c r="F2709" i="8"/>
  <c r="C2709" i="8"/>
  <c r="F3215" i="8"/>
  <c r="C3215" i="8"/>
  <c r="F3343" i="8"/>
  <c r="C3343" i="8"/>
  <c r="F784" i="8"/>
  <c r="C784" i="8"/>
  <c r="F1682" i="8"/>
  <c r="C1682" i="8"/>
  <c r="F2143" i="8"/>
  <c r="C2143" i="8"/>
  <c r="F1105" i="8"/>
  <c r="C1105" i="8"/>
  <c r="F2745" i="8"/>
  <c r="C2745" i="8"/>
  <c r="F1419" i="8"/>
  <c r="C1419" i="8"/>
  <c r="F775" i="8"/>
  <c r="C775" i="8"/>
  <c r="F11" i="8"/>
  <c r="C11" i="8"/>
  <c r="F282" i="8"/>
  <c r="C282" i="8"/>
  <c r="F2022" i="8"/>
  <c r="C2022" i="8"/>
  <c r="F378" i="8"/>
  <c r="C378" i="8"/>
  <c r="F1620" i="8"/>
  <c r="C1620" i="8"/>
  <c r="F2614" i="8"/>
  <c r="C2614" i="8"/>
  <c r="F649" i="8"/>
  <c r="C649" i="8"/>
  <c r="F770" i="8"/>
  <c r="C770" i="8"/>
  <c r="F1686" i="8"/>
  <c r="C1686" i="8"/>
  <c r="F1145" i="8"/>
  <c r="C1145" i="8"/>
  <c r="F1200" i="8"/>
  <c r="C1200" i="8"/>
  <c r="F976" i="8"/>
  <c r="C976" i="8"/>
  <c r="F1179" i="8"/>
  <c r="C1179" i="8"/>
  <c r="F1930" i="8"/>
  <c r="C1930" i="8"/>
  <c r="F1332" i="8"/>
  <c r="C1332" i="8"/>
  <c r="F3579" i="8"/>
  <c r="C3579" i="8"/>
  <c r="F1452" i="8"/>
  <c r="C1452" i="8"/>
  <c r="F1883" i="8"/>
  <c r="C1883" i="8"/>
  <c r="F1670" i="8"/>
  <c r="C1670" i="8"/>
  <c r="F39" i="8"/>
  <c r="C39" i="8"/>
  <c r="F1314" i="8"/>
  <c r="C1314" i="8"/>
  <c r="F960" i="8"/>
  <c r="C960" i="8"/>
  <c r="F1776" i="8"/>
  <c r="C1776" i="8"/>
  <c r="F2373" i="8"/>
  <c r="C2373" i="8"/>
  <c r="F2811" i="8"/>
  <c r="C2811" i="8"/>
  <c r="F2785" i="8"/>
  <c r="C2785" i="8"/>
  <c r="F2953" i="8"/>
  <c r="C2953" i="8"/>
  <c r="F1007" i="8"/>
  <c r="C1007" i="8"/>
  <c r="F1797" i="8"/>
  <c r="C1797" i="8"/>
  <c r="F1353" i="8"/>
  <c r="C1353" i="8"/>
  <c r="F801" i="8"/>
  <c r="C801" i="8"/>
  <c r="F1140" i="8"/>
  <c r="C1140" i="8"/>
  <c r="F512" i="8"/>
  <c r="C512" i="8"/>
  <c r="F1086" i="8"/>
  <c r="C1086" i="8"/>
  <c r="F370" i="8"/>
  <c r="C370" i="8"/>
  <c r="F1668" i="8"/>
  <c r="C1668" i="8"/>
  <c r="F1774" i="8"/>
  <c r="C1774" i="8"/>
  <c r="F1108" i="8"/>
  <c r="C1108" i="8"/>
  <c r="F1287" i="8"/>
  <c r="C1287" i="8"/>
  <c r="F1335" i="8"/>
  <c r="C1335" i="8"/>
  <c r="F1369" i="8"/>
  <c r="C1369" i="8"/>
  <c r="F101" i="8"/>
  <c r="C101" i="8"/>
  <c r="F1631" i="8"/>
  <c r="C1631" i="8"/>
  <c r="F2203" i="8"/>
  <c r="C2203" i="8"/>
  <c r="F3532" i="8"/>
  <c r="C3532" i="8"/>
  <c r="F3105" i="8"/>
  <c r="C3105" i="8"/>
  <c r="F3095" i="8"/>
  <c r="C3095" i="8"/>
  <c r="F3354" i="8"/>
  <c r="C3354" i="8"/>
  <c r="F1392" i="8"/>
  <c r="C1392" i="8"/>
  <c r="F2720" i="8"/>
  <c r="C2720" i="8"/>
  <c r="F3452" i="8"/>
  <c r="C3452" i="8"/>
  <c r="F2334" i="8"/>
  <c r="C2334" i="8"/>
  <c r="F274" i="8"/>
  <c r="C274" i="8"/>
  <c r="F1276" i="8"/>
  <c r="C1276" i="8"/>
  <c r="F3519" i="8"/>
  <c r="C3519" i="8"/>
  <c r="F1747" i="8"/>
  <c r="C1747" i="8"/>
  <c r="F2089" i="8"/>
  <c r="C2089" i="8"/>
  <c r="F680" i="8"/>
  <c r="C680" i="8"/>
  <c r="F1578" i="8"/>
  <c r="C1578" i="8"/>
  <c r="F2666" i="8"/>
  <c r="C2666" i="8"/>
  <c r="F1330" i="8"/>
  <c r="C1330" i="8"/>
  <c r="F2102" i="8"/>
  <c r="C2102" i="8"/>
  <c r="F3088" i="8"/>
  <c r="C3088" i="8"/>
  <c r="F1569" i="8"/>
  <c r="C1569" i="8"/>
  <c r="F1445" i="8"/>
  <c r="C1445" i="8"/>
  <c r="F2286" i="8"/>
  <c r="C2286" i="8"/>
  <c r="F2823" i="8"/>
  <c r="C2823" i="8"/>
  <c r="F1661" i="8"/>
  <c r="C1661" i="8"/>
  <c r="F2796" i="8"/>
  <c r="C2796" i="8"/>
  <c r="F2020" i="8"/>
  <c r="C2020" i="8"/>
  <c r="F2436" i="8"/>
  <c r="C2436" i="8"/>
  <c r="F2915" i="8"/>
  <c r="C2915" i="8"/>
  <c r="F1328" i="8"/>
  <c r="C1328" i="8"/>
  <c r="F3558" i="8"/>
  <c r="C3558" i="8"/>
  <c r="F2512" i="8"/>
  <c r="C2512" i="8"/>
  <c r="F3039" i="8"/>
  <c r="C3039" i="8"/>
  <c r="F2571" i="8"/>
  <c r="C2571" i="8"/>
  <c r="F3472" i="8"/>
  <c r="C3472" i="8"/>
  <c r="F2871" i="8"/>
  <c r="C2871" i="8"/>
  <c r="F1618" i="8"/>
  <c r="C1618" i="8"/>
  <c r="F650" i="8"/>
  <c r="C650" i="8"/>
  <c r="F3202" i="8"/>
  <c r="C3202" i="8"/>
  <c r="F995" i="8"/>
  <c r="C995" i="8"/>
  <c r="F2549" i="8"/>
  <c r="C2549" i="8"/>
  <c r="F3185" i="8"/>
  <c r="C3185" i="8"/>
  <c r="F3412" i="8"/>
  <c r="C3412" i="8"/>
  <c r="F3559" i="8"/>
  <c r="C3559" i="8"/>
  <c r="F1324" i="8"/>
  <c r="C1324" i="8"/>
  <c r="F3129" i="8"/>
  <c r="C3129" i="8"/>
  <c r="F1354" i="8"/>
  <c r="C1354" i="8"/>
  <c r="F1663" i="8"/>
  <c r="C1663" i="8"/>
  <c r="F1571" i="8"/>
  <c r="C1571" i="8"/>
  <c r="F2536" i="8"/>
  <c r="C2536" i="8"/>
  <c r="F2354" i="8"/>
  <c r="C2354" i="8"/>
  <c r="F3490" i="8"/>
  <c r="C3490" i="8"/>
  <c r="F1898" i="8"/>
  <c r="C1898" i="8"/>
  <c r="F1131" i="8"/>
  <c r="C1131" i="8"/>
  <c r="F1279" i="8"/>
  <c r="C1279" i="8"/>
  <c r="F2837" i="8"/>
  <c r="C2837" i="8"/>
  <c r="F3458" i="8"/>
  <c r="C3458" i="8"/>
  <c r="F1876" i="8"/>
  <c r="C1876" i="8"/>
  <c r="F3190" i="8"/>
  <c r="C3190" i="8"/>
  <c r="F1548" i="8"/>
  <c r="C1548" i="8"/>
  <c r="F1250" i="8"/>
  <c r="C1250" i="8"/>
  <c r="F2296" i="8"/>
  <c r="C2296" i="8"/>
  <c r="F1444" i="8"/>
  <c r="C1444" i="8"/>
  <c r="F791" i="8"/>
  <c r="C791" i="8"/>
  <c r="F195" i="8"/>
  <c r="C195" i="8"/>
  <c r="F726" i="8"/>
  <c r="C726" i="8"/>
  <c r="F2501" i="8"/>
  <c r="C2501" i="8"/>
  <c r="F2540" i="8"/>
  <c r="C2540" i="8"/>
  <c r="F1471" i="8"/>
  <c r="C1471" i="8"/>
  <c r="F1617" i="8"/>
  <c r="C1617" i="8"/>
  <c r="F118" i="8"/>
  <c r="C118" i="8"/>
  <c r="F2288" i="8"/>
  <c r="C2288" i="8"/>
  <c r="F3332" i="8"/>
  <c r="C3332" i="8"/>
  <c r="F2349" i="8"/>
  <c r="C2349" i="8"/>
  <c r="F401" i="8"/>
  <c r="C401" i="8"/>
  <c r="F1614" i="8"/>
  <c r="C1614" i="8"/>
  <c r="F421" i="8"/>
  <c r="C421" i="8"/>
  <c r="F876" i="8"/>
  <c r="C876" i="8"/>
  <c r="F897" i="8"/>
  <c r="C897" i="8"/>
  <c r="F428" i="8"/>
  <c r="C428" i="8"/>
  <c r="F1040" i="8"/>
  <c r="C1040" i="8"/>
  <c r="F1683" i="8"/>
  <c r="C1683" i="8"/>
  <c r="F1015" i="8"/>
  <c r="C1015" i="8"/>
  <c r="F1861" i="8"/>
  <c r="C1861" i="8"/>
  <c r="F1891" i="8"/>
  <c r="C1891" i="8"/>
  <c r="F2630" i="8"/>
  <c r="C2630" i="8"/>
  <c r="F1525" i="8"/>
  <c r="C1525" i="8"/>
  <c r="F901" i="8"/>
  <c r="C901" i="8"/>
  <c r="F3020" i="8"/>
  <c r="C3020" i="8"/>
  <c r="F75" i="8"/>
  <c r="C75" i="8"/>
  <c r="F2018" i="8"/>
  <c r="C2018" i="8"/>
  <c r="F2810" i="8"/>
  <c r="C2810" i="8"/>
  <c r="F2933" i="8"/>
  <c r="C2933" i="8"/>
  <c r="F2305" i="8"/>
  <c r="C2305" i="8"/>
  <c r="F1764" i="8"/>
  <c r="C1764" i="8"/>
  <c r="F1926" i="8"/>
  <c r="C1926" i="8"/>
  <c r="F1752" i="8"/>
  <c r="C1752" i="8"/>
  <c r="F2787" i="8"/>
  <c r="C2787" i="8"/>
  <c r="F1341" i="8"/>
  <c r="C1341" i="8"/>
  <c r="F440" i="8"/>
  <c r="C440" i="8"/>
  <c r="F2081" i="8"/>
  <c r="C2081" i="8"/>
  <c r="F257" i="8"/>
  <c r="C257" i="8"/>
  <c r="F2846" i="8"/>
  <c r="C2846" i="8"/>
  <c r="F724" i="8"/>
  <c r="C724" i="8"/>
  <c r="F498" i="8"/>
  <c r="C498" i="8"/>
  <c r="F2691" i="8"/>
  <c r="C2691" i="8"/>
  <c r="F385" i="8"/>
  <c r="C385" i="8"/>
  <c r="F2324" i="8"/>
  <c r="C2324" i="8"/>
  <c r="F560" i="8"/>
  <c r="C560" i="8"/>
  <c r="F1773" i="8"/>
  <c r="C1773" i="8"/>
  <c r="F803" i="8"/>
  <c r="C803" i="8"/>
  <c r="F2133" i="8"/>
  <c r="C2133" i="8"/>
  <c r="F1844" i="8"/>
  <c r="C1844" i="8"/>
  <c r="F2152" i="8"/>
  <c r="C2152" i="8"/>
  <c r="F510" i="8"/>
  <c r="C510" i="8"/>
  <c r="F642" i="8"/>
  <c r="C642" i="8"/>
  <c r="F2159" i="8"/>
  <c r="C2159" i="8"/>
  <c r="F1405" i="8"/>
  <c r="C1405" i="8"/>
  <c r="F728" i="8"/>
  <c r="C728" i="8"/>
  <c r="F506" i="8"/>
  <c r="C506" i="8"/>
  <c r="F2338" i="8"/>
  <c r="C2338" i="8"/>
  <c r="F1882" i="8"/>
  <c r="C1882" i="8"/>
  <c r="F1032" i="8"/>
  <c r="C1032" i="8"/>
  <c r="F1212" i="8"/>
  <c r="C1212" i="8"/>
  <c r="F2197" i="8"/>
  <c r="C2197" i="8"/>
  <c r="F2960" i="8"/>
  <c r="C2960" i="8"/>
  <c r="F4" i="8"/>
  <c r="C4" i="8"/>
  <c r="F2206" i="8"/>
  <c r="C2206" i="8"/>
  <c r="F1916" i="8"/>
  <c r="C1916" i="8"/>
  <c r="F833" i="8"/>
  <c r="C833" i="8"/>
  <c r="F2701" i="8"/>
  <c r="C2701" i="8"/>
  <c r="F486" i="8"/>
  <c r="C486" i="8"/>
  <c r="F998" i="8"/>
  <c r="C998" i="8"/>
  <c r="F308" i="8"/>
  <c r="C308" i="8"/>
  <c r="F1057" i="8"/>
  <c r="C1057" i="8"/>
  <c r="F2655" i="8"/>
  <c r="C2655" i="8"/>
  <c r="F2628" i="8"/>
  <c r="C2628" i="8"/>
  <c r="F940" i="8"/>
  <c r="C940" i="8"/>
  <c r="F2352" i="8"/>
  <c r="C2352" i="8"/>
  <c r="F1691" i="8"/>
  <c r="C1691" i="8"/>
  <c r="F2382" i="8"/>
  <c r="C2382" i="8"/>
  <c r="F1671" i="8"/>
  <c r="C1671" i="8"/>
  <c r="F2899" i="8"/>
  <c r="C2899" i="8"/>
  <c r="F1114" i="8"/>
  <c r="C1114" i="8"/>
  <c r="F1939" i="8"/>
  <c r="C1939" i="8"/>
  <c r="F1277" i="8"/>
  <c r="C1277" i="8"/>
  <c r="F2974" i="8"/>
  <c r="C2974" i="8"/>
  <c r="F3595" i="8"/>
  <c r="C3595" i="8"/>
  <c r="F2226" i="8"/>
  <c r="C2226" i="8"/>
  <c r="F3117" i="8"/>
  <c r="C3117" i="8"/>
  <c r="F3203" i="8"/>
  <c r="C3203" i="8"/>
  <c r="F3440" i="8"/>
  <c r="C3440" i="8"/>
  <c r="F2375" i="8"/>
  <c r="C2375" i="8"/>
  <c r="F1289" i="8"/>
  <c r="C1289" i="8"/>
  <c r="F2759" i="8"/>
  <c r="C2759" i="8"/>
  <c r="F3635" i="8"/>
  <c r="C3635" i="8"/>
  <c r="F3551" i="8"/>
  <c r="C3551" i="8"/>
  <c r="F2336" i="8"/>
  <c r="C2336" i="8"/>
  <c r="F2370" i="8"/>
  <c r="C2370" i="8"/>
  <c r="F3169" i="8"/>
  <c r="C3169" i="8"/>
  <c r="F2492" i="8"/>
  <c r="C2492" i="8"/>
  <c r="F3562" i="8"/>
  <c r="C3562" i="8"/>
  <c r="F1221" i="8"/>
  <c r="C1221" i="8"/>
  <c r="F3051" i="8"/>
  <c r="C3051" i="8"/>
  <c r="F1174" i="8"/>
  <c r="C1174" i="8"/>
  <c r="F2287" i="8"/>
  <c r="C2287" i="8"/>
  <c r="F2066" i="8"/>
  <c r="C2066" i="8"/>
  <c r="F1439" i="8"/>
  <c r="C1439" i="8"/>
  <c r="F2537" i="8"/>
  <c r="C2537" i="8"/>
  <c r="F2162" i="8"/>
  <c r="C2162" i="8"/>
  <c r="F2971" i="8"/>
  <c r="C2971" i="8"/>
  <c r="F2221" i="8"/>
  <c r="C2221" i="8"/>
  <c r="F1648" i="8"/>
  <c r="C1648" i="8"/>
  <c r="F3602" i="8"/>
  <c r="C3602" i="8"/>
  <c r="F1560" i="8"/>
  <c r="C1560" i="8"/>
  <c r="F2940" i="8"/>
  <c r="C2940" i="8"/>
  <c r="F3278" i="8"/>
  <c r="C3278" i="8"/>
  <c r="F1985" i="8"/>
  <c r="C1985" i="8"/>
  <c r="F3184" i="8"/>
  <c r="C3184" i="8"/>
  <c r="F2273" i="8"/>
  <c r="C2273" i="8"/>
  <c r="F2346" i="8"/>
  <c r="C2346" i="8"/>
  <c r="F2826" i="8"/>
  <c r="C2826" i="8"/>
  <c r="F2813" i="8"/>
  <c r="C2813" i="8"/>
  <c r="F2948" i="8"/>
  <c r="C2948" i="8"/>
  <c r="F1680" i="8"/>
  <c r="C1680" i="8"/>
  <c r="F2174" i="8"/>
  <c r="C2174" i="8"/>
  <c r="F1674" i="8"/>
  <c r="C1674" i="8"/>
  <c r="F3322" i="8"/>
  <c r="C3322" i="8"/>
  <c r="F2440" i="8"/>
  <c r="C2440" i="8"/>
  <c r="F1750" i="8"/>
  <c r="C1750" i="8"/>
  <c r="F1476" i="8"/>
  <c r="C1476" i="8"/>
  <c r="F3139" i="8"/>
  <c r="C3139" i="8"/>
  <c r="F3110" i="8"/>
  <c r="C3110" i="8"/>
  <c r="F1817" i="8"/>
  <c r="C1817" i="8"/>
  <c r="F3421" i="8"/>
  <c r="C3421" i="8"/>
  <c r="F2430" i="8"/>
  <c r="C2430" i="8"/>
  <c r="F1409" i="8"/>
  <c r="C1409" i="8"/>
  <c r="F3531" i="8"/>
  <c r="C3531" i="8"/>
  <c r="F2009" i="8"/>
  <c r="C2009" i="8"/>
  <c r="F1162" i="8"/>
  <c r="C1162" i="8"/>
  <c r="F1457" i="8"/>
  <c r="C1457" i="8"/>
  <c r="F2170" i="8"/>
  <c r="C2170" i="8"/>
  <c r="F2904" i="8"/>
  <c r="C2904" i="8"/>
  <c r="F2344" i="8"/>
  <c r="C2344" i="8"/>
  <c r="F467" i="8"/>
  <c r="C467" i="8"/>
  <c r="F3247" i="8"/>
  <c r="C3247" i="8"/>
  <c r="F3011" i="8"/>
  <c r="C3011" i="8"/>
  <c r="F3337" i="8"/>
  <c r="C3337" i="8"/>
  <c r="F3396" i="8"/>
  <c r="C3396" i="8"/>
  <c r="F2929" i="8"/>
  <c r="C2929" i="8"/>
  <c r="F1852" i="8"/>
  <c r="C1852" i="8"/>
  <c r="F2026" i="8"/>
  <c r="C2026" i="8"/>
  <c r="F2515" i="8"/>
  <c r="C2515" i="8"/>
  <c r="F663" i="8"/>
  <c r="C663" i="8"/>
  <c r="F3222" i="8"/>
  <c r="C3222" i="8"/>
  <c r="F2149" i="8"/>
  <c r="C2149" i="8"/>
  <c r="F3482" i="8"/>
  <c r="C3482" i="8"/>
  <c r="F3506" i="8"/>
  <c r="C3506" i="8"/>
  <c r="F529" i="8"/>
  <c r="C529" i="8"/>
  <c r="F2186" i="8"/>
  <c r="C2186" i="8"/>
  <c r="F3582" i="8"/>
  <c r="C3582" i="8"/>
  <c r="F1414" i="8"/>
  <c r="C1414" i="8"/>
  <c r="F3282" i="8"/>
  <c r="C3282" i="8"/>
  <c r="F2451" i="8"/>
  <c r="C2451" i="8"/>
  <c r="F1056" i="8"/>
  <c r="C1056" i="8"/>
  <c r="F752" i="8"/>
  <c r="C752" i="8"/>
  <c r="F790" i="8"/>
  <c r="C790" i="8"/>
  <c r="F159" i="8"/>
  <c r="C159" i="8"/>
  <c r="F1887" i="8"/>
  <c r="C1887" i="8"/>
  <c r="F1229" i="8"/>
  <c r="C1229" i="8"/>
  <c r="F1491" i="8"/>
  <c r="C1491" i="8"/>
  <c r="F2061" i="8"/>
  <c r="C2061" i="8"/>
  <c r="F13" i="8"/>
  <c r="C13" i="8"/>
  <c r="F2991" i="8"/>
  <c r="C2991" i="8"/>
  <c r="F1340" i="8"/>
  <c r="C1340" i="8"/>
  <c r="F1133" i="8"/>
  <c r="C1133" i="8"/>
  <c r="F2541" i="8"/>
  <c r="C2541" i="8"/>
  <c r="F439" i="8"/>
  <c r="C439" i="8"/>
  <c r="F2585" i="8"/>
  <c r="C2585" i="8"/>
  <c r="F910" i="8"/>
  <c r="C910" i="8"/>
  <c r="F2297" i="8"/>
  <c r="C2297" i="8"/>
  <c r="F393" i="8"/>
  <c r="C393" i="8"/>
  <c r="F1579" i="8"/>
  <c r="C1579" i="8"/>
  <c r="F14" i="8"/>
  <c r="C14" i="8"/>
  <c r="F842" i="8"/>
  <c r="C842" i="8"/>
  <c r="F2307" i="8"/>
  <c r="C2307" i="8"/>
  <c r="F1732" i="8"/>
  <c r="C1732" i="8"/>
  <c r="F777" i="8"/>
  <c r="C777" i="8"/>
  <c r="F1159" i="8"/>
  <c r="C1159" i="8"/>
  <c r="F2049" i="8"/>
  <c r="C2049" i="8"/>
  <c r="F472" i="8"/>
  <c r="C472" i="8"/>
  <c r="F1123" i="8"/>
  <c r="C1123" i="8"/>
  <c r="F1478" i="8"/>
  <c r="C1478" i="8"/>
  <c r="F1716" i="8"/>
  <c r="C1716" i="8"/>
  <c r="F3430" i="8"/>
  <c r="C3430" i="8"/>
  <c r="F1006" i="8"/>
  <c r="C1006" i="8"/>
  <c r="F2153" i="8"/>
  <c r="C2153" i="8"/>
  <c r="F1394" i="8"/>
  <c r="C1394" i="8"/>
  <c r="F1628" i="8"/>
  <c r="C1628" i="8"/>
  <c r="F286" i="8"/>
  <c r="C286" i="8"/>
  <c r="F2084" i="8"/>
  <c r="C2084" i="8"/>
  <c r="F2441" i="8"/>
  <c r="C2441" i="8"/>
  <c r="F941" i="8"/>
  <c r="C941" i="8"/>
  <c r="F3320" i="8"/>
  <c r="C3320" i="8"/>
  <c r="F186" i="8"/>
  <c r="C186" i="8"/>
  <c r="F774" i="8"/>
  <c r="C774" i="8"/>
  <c r="F1563" i="8"/>
  <c r="C1563" i="8"/>
  <c r="F2332" i="8"/>
  <c r="C2332" i="8"/>
  <c r="F72" i="8"/>
  <c r="C72" i="8"/>
  <c r="F759" i="8"/>
  <c r="C759" i="8"/>
  <c r="F62" i="8"/>
  <c r="C62" i="8"/>
  <c r="F536" i="8"/>
  <c r="C536" i="8"/>
  <c r="F351" i="8"/>
  <c r="C351" i="8"/>
  <c r="F2399" i="8"/>
  <c r="C2399" i="8"/>
  <c r="F2137" i="8"/>
  <c r="C2137" i="8"/>
  <c r="F1903" i="8"/>
  <c r="C1903" i="8"/>
  <c r="F1545" i="8"/>
  <c r="C1545" i="8"/>
  <c r="F628" i="8"/>
  <c r="C628" i="8"/>
  <c r="F1693" i="8"/>
  <c r="C1693" i="8"/>
  <c r="F841" i="8"/>
  <c r="C841" i="8"/>
  <c r="F2450" i="8"/>
  <c r="C2450" i="8"/>
  <c r="F1573" i="8"/>
  <c r="C1573" i="8"/>
  <c r="F1247" i="8"/>
  <c r="C1247" i="8"/>
  <c r="F1066" i="8"/>
  <c r="C1066" i="8"/>
  <c r="F966" i="8"/>
  <c r="C966" i="8"/>
  <c r="F373" i="8"/>
  <c r="C373" i="8"/>
  <c r="F963" i="8"/>
  <c r="C963" i="8"/>
  <c r="F847" i="8"/>
  <c r="C847" i="8"/>
  <c r="F2722" i="8"/>
  <c r="C2722" i="8"/>
  <c r="F778" i="8"/>
  <c r="C778" i="8"/>
  <c r="F1256" i="8"/>
  <c r="C1256" i="8"/>
  <c r="F1621" i="8"/>
  <c r="C1621" i="8"/>
  <c r="F1602" i="8"/>
  <c r="C1602" i="8"/>
  <c r="F2167" i="8"/>
  <c r="C2167" i="8"/>
  <c r="F1846" i="8"/>
  <c r="C1846" i="8"/>
  <c r="F245" i="8"/>
  <c r="C245" i="8"/>
  <c r="F3243" i="8"/>
  <c r="C3243" i="8"/>
  <c r="F922" i="8"/>
  <c r="C922" i="8"/>
  <c r="F112" i="8"/>
  <c r="C112" i="8"/>
  <c r="F65" i="8"/>
  <c r="C65" i="8"/>
  <c r="F287" i="8"/>
  <c r="C287" i="8"/>
  <c r="F1375" i="8"/>
  <c r="C1375" i="8"/>
  <c r="F143" i="8"/>
  <c r="C143" i="8"/>
  <c r="F464" i="8"/>
  <c r="C464" i="8"/>
  <c r="F1908" i="8"/>
  <c r="C1908" i="8"/>
  <c r="F973" i="8"/>
  <c r="C973" i="8"/>
  <c r="F965" i="8"/>
  <c r="C965" i="8"/>
  <c r="F152" i="8"/>
  <c r="C152" i="8"/>
  <c r="F3120" i="8"/>
  <c r="C3120" i="8"/>
  <c r="F2555" i="8"/>
  <c r="C2555" i="8"/>
  <c r="F2821" i="8"/>
  <c r="C2821" i="8"/>
  <c r="F2841" i="8"/>
  <c r="C2841" i="8"/>
  <c r="F1613" i="8"/>
  <c r="C1613" i="8"/>
  <c r="F3479" i="8"/>
  <c r="C3479" i="8"/>
  <c r="F3085" i="8"/>
  <c r="C3085" i="8"/>
  <c r="F1482" i="8"/>
  <c r="C1482" i="8"/>
  <c r="F838" i="8"/>
  <c r="C838" i="8"/>
  <c r="F358" i="8"/>
  <c r="C358" i="8"/>
  <c r="F1775" i="8"/>
  <c r="C1775" i="8"/>
  <c r="F2161" i="8"/>
  <c r="C2161" i="8"/>
  <c r="F3414" i="8"/>
  <c r="C3414" i="8"/>
  <c r="F3503" i="8"/>
  <c r="C3503" i="8"/>
  <c r="F3569" i="8"/>
  <c r="C3569" i="8"/>
  <c r="F1958" i="8"/>
  <c r="C1958" i="8"/>
  <c r="F2695" i="8"/>
  <c r="C2695" i="8"/>
  <c r="F3315" i="8"/>
  <c r="C3315" i="8"/>
  <c r="F3434" i="8"/>
  <c r="C3434" i="8"/>
  <c r="F1872" i="8"/>
  <c r="C1872" i="8"/>
  <c r="F3118" i="8"/>
  <c r="C3118" i="8"/>
  <c r="F2292" i="8"/>
  <c r="C2292" i="8"/>
  <c r="F2641" i="8"/>
  <c r="C2641" i="8"/>
  <c r="F1373" i="8"/>
  <c r="C1373" i="8"/>
  <c r="F2748" i="8"/>
  <c r="C2748" i="8"/>
  <c r="F2663" i="8"/>
  <c r="C2663" i="8"/>
  <c r="F2069" i="8"/>
  <c r="C2069" i="8"/>
  <c r="F1940" i="8"/>
  <c r="C1940" i="8"/>
  <c r="F2514" i="8"/>
  <c r="C2514" i="8"/>
  <c r="F2510" i="8"/>
  <c r="C2510" i="8"/>
  <c r="F1881" i="8"/>
  <c r="C1881" i="8"/>
  <c r="F3588" i="8"/>
  <c r="C3588" i="8"/>
  <c r="F3090" i="8"/>
  <c r="C3090" i="8"/>
  <c r="F2799" i="8"/>
  <c r="C2799" i="8"/>
  <c r="F2765" i="8"/>
  <c r="C2765" i="8"/>
  <c r="F293" i="8"/>
  <c r="C293" i="8"/>
  <c r="F3224" i="8"/>
  <c r="C3224" i="8"/>
  <c r="F1246" i="8"/>
  <c r="C1246" i="8"/>
  <c r="F2983" i="8"/>
  <c r="C2983" i="8"/>
  <c r="F2978" i="8"/>
  <c r="C2978" i="8"/>
  <c r="F717" i="8"/>
  <c r="C717" i="8"/>
  <c r="F2885" i="8"/>
  <c r="C2885" i="8"/>
  <c r="F2973" i="8"/>
  <c r="C2973" i="8"/>
  <c r="F2883" i="8"/>
  <c r="C2883" i="8"/>
  <c r="F1410" i="8"/>
  <c r="C1410" i="8"/>
  <c r="F3561" i="8"/>
  <c r="C3561" i="8"/>
  <c r="F1378" i="8"/>
  <c r="C1378" i="8"/>
  <c r="F3388" i="8"/>
  <c r="C3388" i="8"/>
  <c r="F3535" i="8"/>
  <c r="C3535" i="8"/>
  <c r="F2784" i="8"/>
  <c r="C2784" i="8"/>
  <c r="F3599" i="8"/>
  <c r="C3599" i="8"/>
  <c r="F3175" i="8"/>
  <c r="C3175" i="8"/>
  <c r="F925" i="8"/>
  <c r="C925" i="8"/>
  <c r="F23" i="8"/>
  <c r="C23" i="8"/>
  <c r="F543" i="8"/>
  <c r="C543" i="8"/>
  <c r="F3443" i="8"/>
  <c r="C3443" i="8"/>
  <c r="F3157" i="8"/>
  <c r="C3157" i="8"/>
  <c r="F3115" i="8"/>
  <c r="C3115" i="8"/>
  <c r="F2966" i="8"/>
  <c r="C2966" i="8"/>
  <c r="F2587" i="8"/>
  <c r="C2587" i="8"/>
  <c r="F1893" i="8"/>
  <c r="C1893" i="8"/>
  <c r="F321" i="8"/>
  <c r="C321" i="8"/>
  <c r="F37" i="8"/>
  <c r="C37" i="8"/>
  <c r="F2731" i="8"/>
  <c r="C2731" i="8"/>
  <c r="F978" i="8"/>
  <c r="C978" i="8"/>
  <c r="F41" i="8"/>
  <c r="C41" i="8"/>
  <c r="F2482" i="8"/>
  <c r="C2482" i="8"/>
  <c r="F1053" i="8"/>
  <c r="C1053" i="8"/>
  <c r="F2230" i="8"/>
  <c r="C2230" i="8"/>
  <c r="F156" i="8"/>
  <c r="C156" i="8"/>
  <c r="F2071" i="8"/>
  <c r="C2071" i="8"/>
  <c r="F751" i="8"/>
  <c r="C751" i="8"/>
  <c r="F1739" i="8"/>
  <c r="C1739" i="8"/>
  <c r="F2797" i="8"/>
  <c r="C2797" i="8"/>
  <c r="F419" i="8"/>
  <c r="C419" i="8"/>
  <c r="F480" i="8"/>
  <c r="C480" i="8"/>
  <c r="F1389" i="8"/>
  <c r="C1389" i="8"/>
  <c r="F1582" i="8"/>
  <c r="C1582" i="8"/>
  <c r="F579" i="8"/>
  <c r="C579" i="8"/>
  <c r="F1173" i="8"/>
  <c r="C1173" i="8"/>
  <c r="F1234" i="8"/>
  <c r="C1234" i="8"/>
  <c r="F1237" i="8"/>
  <c r="C1237" i="8"/>
  <c r="F471" i="8"/>
  <c r="C471" i="8"/>
  <c r="F3162" i="8"/>
  <c r="C3162" i="8"/>
  <c r="F1467" i="8"/>
  <c r="C1467" i="8"/>
  <c r="F1236" i="8"/>
  <c r="C1236" i="8"/>
  <c r="F173" i="8"/>
  <c r="C173" i="8"/>
  <c r="F1878" i="8"/>
  <c r="C1878" i="8"/>
  <c r="F436" i="8"/>
  <c r="C436" i="8"/>
  <c r="F207" i="8"/>
  <c r="C207" i="8"/>
  <c r="F1281" i="8"/>
  <c r="C1281" i="8"/>
  <c r="F1586" i="8"/>
  <c r="C1586" i="8"/>
  <c r="F3481" i="8"/>
  <c r="C3481" i="8"/>
  <c r="F620" i="8"/>
  <c r="C620" i="8"/>
  <c r="F815" i="8"/>
  <c r="C815" i="8"/>
  <c r="F907" i="8"/>
  <c r="C907" i="8"/>
  <c r="F387" i="8"/>
  <c r="C387" i="8"/>
  <c r="F554" i="8"/>
  <c r="C554" i="8"/>
  <c r="F1813" i="8"/>
  <c r="C1813" i="8"/>
  <c r="F1291" i="8"/>
  <c r="C1291" i="8"/>
  <c r="F3266" i="8"/>
  <c r="C3266" i="8"/>
  <c r="F2850" i="8"/>
  <c r="C2850" i="8"/>
  <c r="F2056" i="8"/>
  <c r="C2056" i="8"/>
  <c r="F1912" i="8"/>
  <c r="C1912" i="8"/>
  <c r="F2115" i="8"/>
  <c r="C2115" i="8"/>
  <c r="F244" i="8"/>
  <c r="C244" i="8"/>
  <c r="F2726" i="8"/>
  <c r="C2726" i="8"/>
  <c r="F2412" i="8"/>
  <c r="C2412" i="8"/>
  <c r="F3439" i="8"/>
  <c r="C3439" i="8"/>
  <c r="F1132" i="8"/>
  <c r="C1132" i="8"/>
  <c r="F2721" i="8"/>
  <c r="C2721" i="8"/>
  <c r="F2128" i="8"/>
  <c r="C2128" i="8"/>
  <c r="F3538" i="8"/>
  <c r="C3538" i="8"/>
  <c r="F2454" i="8"/>
  <c r="C2454" i="8"/>
  <c r="F1824" i="8"/>
  <c r="C1824" i="8"/>
  <c r="F3200" i="8"/>
  <c r="C3200" i="8"/>
  <c r="F2583" i="8"/>
  <c r="C2583" i="8"/>
  <c r="F3109" i="8"/>
  <c r="C3109" i="8"/>
  <c r="F2836" i="8"/>
  <c r="C2836" i="8"/>
  <c r="F2298" i="8"/>
  <c r="C2298" i="8"/>
  <c r="F3189" i="8"/>
  <c r="C3189" i="8"/>
  <c r="F856" i="8"/>
  <c r="C856" i="8"/>
  <c r="F3135" i="8"/>
  <c r="C3135" i="8"/>
  <c r="F2686" i="8"/>
  <c r="C2686" i="8"/>
  <c r="F2304" i="8"/>
  <c r="C2304" i="8"/>
  <c r="F1727" i="8"/>
  <c r="C1727" i="8"/>
  <c r="F2551" i="8"/>
  <c r="C2551" i="8"/>
  <c r="F1894" i="8"/>
  <c r="C1894" i="8"/>
  <c r="F3131" i="8"/>
  <c r="C3131" i="8"/>
  <c r="F2900" i="8"/>
  <c r="C2900" i="8"/>
  <c r="F3310" i="8"/>
  <c r="C3310" i="8"/>
  <c r="F1839" i="8"/>
  <c r="C1839" i="8"/>
  <c r="F3150" i="8"/>
  <c r="C3150" i="8"/>
  <c r="F1607" i="8"/>
  <c r="C1607" i="8"/>
  <c r="F495" i="8"/>
  <c r="C495" i="8"/>
  <c r="F3647" i="8"/>
  <c r="C3647" i="8"/>
  <c r="F2949" i="8"/>
  <c r="C2949" i="8"/>
  <c r="F361" i="8"/>
  <c r="C361" i="8"/>
  <c r="F1546" i="8"/>
  <c r="C1546" i="8"/>
  <c r="F3006" i="8"/>
  <c r="C3006" i="8"/>
  <c r="F3057" i="8"/>
  <c r="C3057" i="8"/>
  <c r="F851" i="8"/>
  <c r="C851" i="8"/>
  <c r="F1955" i="8"/>
  <c r="C1955" i="8"/>
  <c r="F1325" i="8"/>
  <c r="C1325" i="8"/>
  <c r="F2613" i="8"/>
  <c r="C2613" i="8"/>
  <c r="F532" i="8"/>
  <c r="C532" i="8"/>
  <c r="F1412" i="8"/>
  <c r="C1412" i="8"/>
  <c r="F3564" i="8"/>
  <c r="C3564" i="8"/>
  <c r="F3204" i="8"/>
  <c r="C3204" i="8"/>
  <c r="F704" i="8"/>
  <c r="C704" i="8"/>
  <c r="F3459" i="8"/>
  <c r="C3459" i="8"/>
  <c r="F2675" i="8"/>
  <c r="C2675" i="8"/>
  <c r="F188" i="8"/>
  <c r="C188" i="8"/>
  <c r="F2733" i="8"/>
  <c r="C2733" i="8"/>
  <c r="F1859" i="8"/>
  <c r="C1859" i="8"/>
  <c r="F889" i="8"/>
  <c r="C889" i="8"/>
  <c r="F144" i="8"/>
  <c r="C144" i="8"/>
  <c r="F3033" i="8"/>
  <c r="C3033" i="8"/>
  <c r="F600" i="8"/>
  <c r="C600" i="8"/>
  <c r="F449" i="8"/>
  <c r="C449" i="8"/>
  <c r="F1126" i="8"/>
  <c r="C1126" i="8"/>
  <c r="F1574" i="8"/>
  <c r="C1574" i="8"/>
  <c r="F3541" i="8"/>
  <c r="C3541" i="8"/>
  <c r="F2351" i="8"/>
  <c r="C2351" i="8"/>
  <c r="F3413" i="8"/>
  <c r="C3413" i="8"/>
  <c r="F1248" i="8"/>
  <c r="C1248" i="8"/>
  <c r="F157" i="8"/>
  <c r="C157" i="8"/>
  <c r="F2030" i="8"/>
  <c r="C2030" i="8"/>
  <c r="F2689" i="8"/>
  <c r="C2689" i="8"/>
  <c r="F47" i="8"/>
  <c r="C47" i="8"/>
  <c r="F169" i="8"/>
  <c r="C169" i="8"/>
  <c r="F2164" i="8"/>
  <c r="C2164" i="8"/>
  <c r="F3066" i="8"/>
  <c r="C3066" i="8"/>
  <c r="F854" i="8"/>
  <c r="C854" i="8"/>
  <c r="F2205" i="8"/>
  <c r="C2205" i="8"/>
  <c r="F2411" i="8"/>
  <c r="C2411" i="8"/>
  <c r="F1855" i="8"/>
  <c r="C1855" i="8"/>
  <c r="F2572" i="8"/>
  <c r="C2572" i="8"/>
  <c r="F1633" i="8"/>
  <c r="C1633" i="8"/>
  <c r="F2656" i="8"/>
  <c r="C2656" i="8"/>
  <c r="F97" i="8"/>
  <c r="C97" i="8"/>
  <c r="F2426" i="8"/>
  <c r="C2426" i="8"/>
  <c r="F1765" i="8"/>
  <c r="C1765" i="8"/>
  <c r="F3069" i="8"/>
  <c r="C3069" i="8"/>
  <c r="F523" i="8"/>
  <c r="C523" i="8"/>
  <c r="F3417" i="8"/>
  <c r="C3417" i="8"/>
  <c r="F1027" i="8"/>
  <c r="C1027" i="8"/>
  <c r="F3026" i="8"/>
  <c r="C3026" i="8"/>
  <c r="F598" i="8"/>
  <c r="C598" i="8"/>
  <c r="F909" i="8"/>
  <c r="C909" i="8"/>
  <c r="F511" i="8"/>
  <c r="C511" i="8"/>
  <c r="F251" i="8"/>
  <c r="C251" i="8"/>
  <c r="F2757" i="8"/>
  <c r="C2757" i="8"/>
  <c r="F1822" i="8"/>
  <c r="C1822" i="8"/>
  <c r="F2945" i="8"/>
  <c r="C2945" i="8"/>
  <c r="F1957" i="8"/>
  <c r="C1957" i="8"/>
  <c r="F1976" i="8"/>
  <c r="C1976" i="8"/>
  <c r="F3483" i="8"/>
  <c r="C3483" i="8"/>
  <c r="F3511" i="8"/>
  <c r="C3511" i="8"/>
  <c r="F771" i="8"/>
  <c r="C771" i="8"/>
  <c r="F185" i="8"/>
  <c r="C185" i="8"/>
  <c r="F1588" i="8"/>
  <c r="C1588" i="8"/>
  <c r="F1323" i="8"/>
  <c r="C1323" i="8"/>
  <c r="F362" i="8"/>
  <c r="C362" i="8"/>
  <c r="F2311" i="8"/>
  <c r="C2311" i="8"/>
  <c r="F848" i="8"/>
  <c r="C848" i="8"/>
  <c r="F1662" i="8"/>
  <c r="C1662" i="8"/>
  <c r="F1181" i="8"/>
  <c r="C1181" i="8"/>
  <c r="F93" i="8"/>
  <c r="C93" i="8"/>
  <c r="F2556" i="8"/>
  <c r="C2556" i="8"/>
  <c r="F1922" i="8"/>
  <c r="C1922" i="8"/>
  <c r="F2855" i="8"/>
  <c r="C2855" i="8"/>
  <c r="F519" i="8"/>
  <c r="C519" i="8"/>
  <c r="F304" i="8"/>
  <c r="C304" i="8"/>
  <c r="F3091" i="8"/>
  <c r="C3091" i="8"/>
  <c r="F988" i="8"/>
  <c r="C988" i="8"/>
  <c r="F1175" i="8"/>
  <c r="C1175" i="8"/>
  <c r="F1075" i="8"/>
  <c r="C1075" i="8"/>
  <c r="F711" i="8"/>
  <c r="C711" i="8"/>
  <c r="F2624" i="8"/>
  <c r="C2624" i="8"/>
  <c r="F2651" i="8"/>
  <c r="C2651" i="8"/>
  <c r="F2544" i="8"/>
  <c r="C2544" i="8"/>
  <c r="F730" i="8"/>
  <c r="C730" i="8"/>
  <c r="F124" i="8"/>
  <c r="C124" i="8"/>
  <c r="F2756" i="8"/>
  <c r="C2756" i="8"/>
  <c r="F563" i="8"/>
  <c r="C563" i="8"/>
  <c r="F1874" i="8"/>
  <c r="C1874" i="8"/>
  <c r="F682" i="8"/>
  <c r="C682" i="8"/>
  <c r="F1460" i="8"/>
  <c r="C1460" i="8"/>
  <c r="F2158" i="8"/>
  <c r="C2158" i="8"/>
  <c r="F3038" i="8"/>
  <c r="C3038" i="8"/>
  <c r="F298" i="8"/>
  <c r="C298" i="8"/>
  <c r="F1788" i="8"/>
  <c r="C1788" i="8"/>
  <c r="F2912" i="8"/>
  <c r="C2912" i="8"/>
  <c r="F3399" i="8"/>
  <c r="C3399" i="8"/>
  <c r="F3171" i="8"/>
  <c r="C3171" i="8"/>
  <c r="F1948" i="8"/>
  <c r="C1948" i="8"/>
  <c r="F3279" i="8"/>
  <c r="C3279" i="8"/>
  <c r="F2437" i="8"/>
  <c r="C2437" i="8"/>
  <c r="F281" i="8"/>
  <c r="C281" i="8"/>
  <c r="F77" i="8"/>
  <c r="C77" i="8"/>
  <c r="F1080" i="8"/>
  <c r="C1080" i="8"/>
  <c r="F3447" i="8"/>
  <c r="C3447" i="8"/>
  <c r="F2559" i="8"/>
  <c r="C2559" i="8"/>
  <c r="F1610" i="8"/>
  <c r="C1610" i="8"/>
  <c r="F947" i="8"/>
  <c r="C947" i="8"/>
  <c r="F3154" i="8"/>
  <c r="C3154" i="8"/>
  <c r="F2667" i="8"/>
  <c r="C2667" i="8"/>
  <c r="F3600" i="8"/>
  <c r="C3600" i="8"/>
  <c r="F163" i="8"/>
  <c r="C163" i="8"/>
  <c r="F1568" i="8"/>
  <c r="C1568" i="8"/>
  <c r="F2497" i="8"/>
  <c r="C2497" i="8"/>
  <c r="F3454" i="8"/>
  <c r="C3454" i="8"/>
  <c r="F2677" i="8"/>
  <c r="C2677" i="8"/>
  <c r="F355" i="8"/>
  <c r="C355" i="8"/>
  <c r="F1208" i="8"/>
  <c r="C1208" i="8"/>
  <c r="F2380" i="8"/>
  <c r="C2380" i="8"/>
  <c r="F2271" i="8"/>
  <c r="C2271" i="8"/>
  <c r="F1156" i="8"/>
  <c r="C1156" i="8"/>
  <c r="F2694" i="8"/>
  <c r="C2694" i="8"/>
  <c r="F3321" i="8"/>
  <c r="C3321" i="8"/>
  <c r="F2812" i="8"/>
  <c r="C2812" i="8"/>
  <c r="F3649" i="8"/>
  <c r="C3649" i="8"/>
  <c r="F2002" i="8"/>
  <c r="C2002" i="8"/>
  <c r="F70" i="8"/>
  <c r="C70" i="8"/>
  <c r="F27" i="8"/>
  <c r="C27" i="8"/>
  <c r="F3442" i="8"/>
  <c r="C3442" i="8"/>
  <c r="F1348" i="8"/>
  <c r="C1348" i="8"/>
  <c r="F2928" i="8"/>
  <c r="C2928" i="8"/>
  <c r="F1672" i="8"/>
  <c r="C1672" i="8"/>
  <c r="F1463" i="8"/>
  <c r="C1463" i="8"/>
  <c r="F1748" i="8"/>
  <c r="C1748" i="8"/>
  <c r="F1493" i="8"/>
  <c r="C1493" i="8"/>
  <c r="F3377" i="8"/>
  <c r="C3377" i="8"/>
  <c r="F217" i="8"/>
  <c r="C217" i="8"/>
  <c r="F288" i="8"/>
  <c r="C288" i="8"/>
  <c r="F1265" i="8"/>
  <c r="C1265" i="8"/>
  <c r="F3211" i="8"/>
  <c r="C3211" i="8"/>
  <c r="F2050" i="8"/>
  <c r="C2050" i="8"/>
  <c r="F1584" i="8"/>
  <c r="C1584" i="8"/>
  <c r="F1900" i="8"/>
  <c r="C1900" i="8"/>
  <c r="F3232" i="8"/>
  <c r="C3232" i="8"/>
  <c r="F3406" i="8"/>
  <c r="C3406" i="8"/>
  <c r="F1626" i="8"/>
  <c r="C1626" i="8"/>
  <c r="F1972" i="8"/>
  <c r="C1972" i="8"/>
  <c r="F3318" i="8"/>
  <c r="C3318" i="8"/>
  <c r="F2087" i="8"/>
  <c r="C2087" i="8"/>
  <c r="F1838" i="8"/>
  <c r="C1838" i="8"/>
  <c r="F2829" i="8"/>
  <c r="C2829" i="8"/>
  <c r="F1751" i="8"/>
  <c r="C1751" i="8"/>
  <c r="F3255" i="8"/>
  <c r="C3255" i="8"/>
  <c r="F3380" i="8"/>
  <c r="C3380" i="8"/>
  <c r="F505" i="8"/>
  <c r="C505" i="8"/>
  <c r="F3487" i="8"/>
  <c r="C3487" i="8"/>
  <c r="F2592" i="8"/>
  <c r="C2592" i="8"/>
  <c r="F1667" i="8"/>
  <c r="C1667" i="8"/>
  <c r="F1866" i="8"/>
  <c r="C1866" i="8"/>
  <c r="F2523" i="8"/>
  <c r="C2523" i="8"/>
  <c r="F2815" i="8"/>
  <c r="C2815" i="8"/>
  <c r="F3296" i="8"/>
  <c r="C3296" i="8"/>
  <c r="F533" i="8"/>
  <c r="C533" i="8"/>
  <c r="F3122" i="8"/>
  <c r="C3122" i="8"/>
  <c r="F3205" i="8"/>
  <c r="C3205" i="8"/>
  <c r="F1267" i="8"/>
  <c r="C1267" i="8"/>
  <c r="F252" i="8"/>
  <c r="C252" i="8"/>
  <c r="F2303" i="8"/>
  <c r="C2303" i="8"/>
  <c r="F1635" i="8"/>
  <c r="C1635" i="8"/>
  <c r="F1533" i="8"/>
  <c r="C1533" i="8"/>
  <c r="F2180" i="8"/>
  <c r="C2180" i="8"/>
  <c r="F3188" i="8"/>
  <c r="C3188" i="8"/>
  <c r="F54" i="8"/>
  <c r="C54" i="8"/>
  <c r="F1845" i="8"/>
  <c r="C1845" i="8"/>
  <c r="F98" i="8"/>
  <c r="C98" i="8"/>
  <c r="F168" i="8"/>
  <c r="C168" i="8"/>
  <c r="F2047" i="8"/>
  <c r="C2047" i="8"/>
  <c r="F3032" i="8"/>
  <c r="C3032" i="8"/>
  <c r="F908" i="8"/>
  <c r="C908" i="8"/>
  <c r="F2241" i="8"/>
  <c r="C2241" i="8"/>
  <c r="F2766" i="8"/>
  <c r="C2766" i="8"/>
  <c r="F1288" i="8"/>
  <c r="C1288" i="8"/>
  <c r="F1001" i="8"/>
  <c r="C1001" i="8"/>
  <c r="F3141" i="8"/>
  <c r="C3141" i="8"/>
  <c r="F2845" i="8"/>
  <c r="C2845" i="8"/>
  <c r="F2090" i="8"/>
  <c r="C2090" i="8"/>
  <c r="F1623" i="8"/>
  <c r="C1623" i="8"/>
  <c r="F3126" i="8"/>
  <c r="C3126" i="8"/>
  <c r="F1107" i="8"/>
  <c r="C1107" i="8"/>
  <c r="F1947" i="8"/>
  <c r="C1947" i="8"/>
  <c r="F1031" i="8"/>
  <c r="C1031" i="8"/>
  <c r="F2805" i="8"/>
  <c r="C2805" i="8"/>
  <c r="F1905" i="8"/>
  <c r="C1905" i="8"/>
  <c r="F687" i="8"/>
  <c r="C687" i="8"/>
  <c r="F125" i="8"/>
  <c r="C125" i="8"/>
  <c r="F835" i="8"/>
  <c r="C835" i="8"/>
  <c r="F1904" i="8"/>
  <c r="C1904" i="8"/>
  <c r="F1362" i="8"/>
  <c r="C1362" i="8"/>
  <c r="F3070" i="8"/>
  <c r="C3070" i="8"/>
  <c r="F1188" i="8"/>
  <c r="C1188" i="8"/>
  <c r="F1194" i="8"/>
  <c r="C1194" i="8"/>
  <c r="F1251" i="8"/>
  <c r="C1251" i="8"/>
  <c r="F2529" i="8"/>
  <c r="C2529" i="8"/>
  <c r="F1656" i="8"/>
  <c r="C1656" i="8"/>
  <c r="F87" i="8"/>
  <c r="C87" i="8"/>
  <c r="F279" i="8"/>
  <c r="C279" i="8"/>
  <c r="F518" i="8"/>
  <c r="C518" i="8"/>
  <c r="F527" i="8"/>
  <c r="C527" i="8"/>
  <c r="F299" i="8"/>
  <c r="C299" i="8"/>
  <c r="F1097" i="8"/>
  <c r="C1097" i="8"/>
  <c r="F645" i="8"/>
  <c r="C645" i="8"/>
  <c r="F716" i="8"/>
  <c r="C716" i="8"/>
  <c r="F2199" i="8"/>
  <c r="C2199" i="8"/>
  <c r="F3345" i="8"/>
  <c r="C3345" i="8"/>
  <c r="F291" i="8"/>
  <c r="C291" i="8"/>
  <c r="F723" i="8"/>
  <c r="C723" i="8"/>
  <c r="F1640" i="8"/>
  <c r="C1640" i="8"/>
  <c r="F443" i="8"/>
  <c r="C443" i="8"/>
  <c r="F438" i="8"/>
  <c r="C438" i="8"/>
  <c r="F3170" i="8"/>
  <c r="C3170" i="8"/>
  <c r="F1473" i="8"/>
  <c r="C1473" i="8"/>
  <c r="F2683" i="8"/>
  <c r="C2683" i="8"/>
  <c r="F1101" i="8"/>
  <c r="C1101" i="8"/>
  <c r="F1139" i="8"/>
  <c r="C1139" i="8"/>
  <c r="F265" i="8"/>
  <c r="C265" i="8"/>
  <c r="F643" i="8"/>
  <c r="C643" i="8"/>
  <c r="F226" i="8"/>
  <c r="C226" i="8"/>
  <c r="F1003" i="8"/>
  <c r="C1003" i="8"/>
  <c r="F668" i="8"/>
  <c r="C668" i="8"/>
  <c r="F1238" i="8"/>
  <c r="C1238" i="8"/>
  <c r="F123" i="8"/>
  <c r="C123" i="8"/>
  <c r="F1832" i="8"/>
  <c r="C1832" i="8"/>
  <c r="F2034" i="8"/>
  <c r="C2034" i="8"/>
  <c r="F269" i="8"/>
  <c r="C269" i="8"/>
  <c r="F3065" i="8"/>
  <c r="C3065" i="8"/>
  <c r="F1736" i="8"/>
  <c r="C1736" i="8"/>
  <c r="F1802" i="8"/>
  <c r="C1802" i="8"/>
  <c r="F2202" i="8"/>
  <c r="C2202" i="8"/>
  <c r="F3597" i="8"/>
  <c r="C3597" i="8"/>
  <c r="F729" i="8"/>
  <c r="C729" i="8"/>
  <c r="F1396" i="8"/>
  <c r="C1396" i="8"/>
  <c r="F3288" i="8"/>
  <c r="C3288" i="8"/>
  <c r="F1426" i="8"/>
  <c r="C1426" i="8"/>
  <c r="F1951" i="8"/>
  <c r="C1951" i="8"/>
  <c r="F1733" i="8"/>
  <c r="C1733" i="8"/>
  <c r="F3182" i="8"/>
  <c r="C3182" i="8"/>
  <c r="F1241" i="8"/>
  <c r="C1241" i="8"/>
  <c r="F3391" i="8"/>
  <c r="C3391" i="8"/>
  <c r="F3486" i="8"/>
  <c r="C3486" i="8"/>
  <c r="F3623" i="8"/>
  <c r="C3623" i="8"/>
  <c r="F3542" i="8"/>
  <c r="C3542" i="8"/>
  <c r="F2770" i="8"/>
  <c r="C2770" i="8"/>
  <c r="F328" i="8"/>
  <c r="C328" i="8"/>
  <c r="F2704" i="8"/>
  <c r="C2704" i="8"/>
  <c r="F2754" i="8"/>
  <c r="C2754" i="8"/>
  <c r="F2612" i="8"/>
  <c r="C2612" i="8"/>
  <c r="F2927" i="8"/>
  <c r="C2927" i="8"/>
  <c r="F3339" i="8"/>
  <c r="C3339" i="8"/>
  <c r="F3462" i="8"/>
  <c r="C3462" i="8"/>
  <c r="F3086" i="8"/>
  <c r="C3086" i="8"/>
  <c r="F2962" i="8"/>
  <c r="C2962" i="8"/>
  <c r="F3275" i="8"/>
  <c r="C3275" i="8"/>
  <c r="F3236" i="8"/>
  <c r="C3236" i="8"/>
  <c r="F3613" i="8"/>
  <c r="C3613" i="8"/>
  <c r="F2466" i="8"/>
  <c r="C2466" i="8"/>
  <c r="F3554" i="8"/>
  <c r="C3554" i="8"/>
  <c r="F2792" i="8"/>
  <c r="C2792" i="8"/>
  <c r="F2727" i="8"/>
  <c r="C2727" i="8"/>
  <c r="F2828" i="8"/>
  <c r="C2828" i="8"/>
  <c r="F1061" i="8"/>
  <c r="C1061" i="8"/>
  <c r="F1581" i="8"/>
  <c r="C1581" i="8"/>
  <c r="F2818" i="8"/>
  <c r="C2818" i="8"/>
  <c r="F2481" i="8"/>
  <c r="C2481" i="8"/>
  <c r="F3037" i="8"/>
  <c r="C3037" i="8"/>
  <c r="F3631" i="8"/>
  <c r="C3631" i="8"/>
  <c r="F1913" i="8"/>
  <c r="C1913" i="8"/>
  <c r="F3048" i="8"/>
  <c r="C3048" i="8"/>
  <c r="F2021" i="8"/>
  <c r="C2021" i="8"/>
  <c r="F1996" i="8"/>
  <c r="C1996" i="8"/>
  <c r="F1704" i="8"/>
  <c r="C1704" i="8"/>
  <c r="F2710" i="8"/>
  <c r="C2710" i="8"/>
  <c r="F3639" i="8"/>
  <c r="C3639" i="8"/>
  <c r="F1942" i="8"/>
  <c r="C1942" i="8"/>
  <c r="F83" i="8"/>
  <c r="C83" i="8"/>
  <c r="F1991" i="8"/>
  <c r="C1991" i="8"/>
  <c r="F3137" i="8"/>
  <c r="C3137" i="8"/>
  <c r="F705" i="8"/>
  <c r="C705" i="8"/>
  <c r="F2840" i="8"/>
  <c r="C2840" i="8"/>
  <c r="F3624" i="8"/>
  <c r="C3624" i="8"/>
  <c r="F2906" i="8"/>
  <c r="C2906" i="8"/>
  <c r="F3566" i="8"/>
  <c r="C3566" i="8"/>
  <c r="F2171" i="8"/>
  <c r="C2171" i="8"/>
  <c r="F2266" i="8"/>
  <c r="C2266" i="8"/>
  <c r="F2358" i="8"/>
  <c r="C2358" i="8"/>
  <c r="F1337" i="8"/>
  <c r="C1337" i="8"/>
  <c r="F3373" i="8"/>
  <c r="C3373" i="8"/>
  <c r="F2916" i="8"/>
  <c r="C2916" i="8"/>
  <c r="F1743" i="8"/>
  <c r="C1743" i="8"/>
  <c r="F3225" i="8"/>
  <c r="C3225" i="8"/>
  <c r="F3508" i="8"/>
  <c r="C3508" i="8"/>
  <c r="F2122" i="8"/>
  <c r="C2122" i="8"/>
  <c r="F1896" i="8"/>
  <c r="C1896" i="8"/>
  <c r="F1180" i="8"/>
  <c r="C1180" i="8"/>
  <c r="F3480" i="8"/>
  <c r="C3480" i="8"/>
  <c r="F1210" i="8"/>
  <c r="C1210" i="8"/>
  <c r="F2345" i="8"/>
  <c r="C2345" i="8"/>
  <c r="F3074" i="8"/>
  <c r="C3074" i="8"/>
  <c r="F2995" i="8"/>
  <c r="C2995" i="8"/>
  <c r="F1487" i="8"/>
  <c r="C1487" i="8"/>
  <c r="F3634" i="8"/>
  <c r="C3634" i="8"/>
  <c r="F520" i="8"/>
  <c r="C520" i="8"/>
  <c r="F2301" i="8"/>
  <c r="C2301" i="8"/>
  <c r="F2472" i="8"/>
  <c r="C2472" i="8"/>
  <c r="F2957" i="8"/>
  <c r="C2957" i="8"/>
  <c r="F2573" i="8"/>
  <c r="C2573" i="8"/>
  <c r="F3334" i="8"/>
  <c r="C3334" i="8"/>
  <c r="F3214" i="8"/>
  <c r="C3214" i="8"/>
  <c r="F2469" i="8"/>
  <c r="C2469" i="8"/>
  <c r="F2433" i="8"/>
  <c r="C2433" i="8"/>
  <c r="F2654" i="8"/>
  <c r="C2654" i="8"/>
  <c r="F2413" i="8"/>
  <c r="C2413" i="8"/>
  <c r="F3650" i="8"/>
  <c r="C3650" i="8"/>
  <c r="F970" i="8"/>
  <c r="C970" i="8"/>
  <c r="F1365" i="8"/>
  <c r="C1365" i="8"/>
  <c r="F85" i="8"/>
  <c r="C85" i="8"/>
  <c r="F1634" i="8"/>
  <c r="C1634" i="8"/>
  <c r="F2520" i="8"/>
  <c r="C2520" i="8"/>
  <c r="F63" i="8"/>
  <c r="C63" i="8"/>
  <c r="F1151" i="8"/>
  <c r="C1151" i="8"/>
  <c r="F1793" i="8"/>
  <c r="C1793" i="8"/>
  <c r="F1483" i="8"/>
  <c r="C1483" i="8"/>
  <c r="F1269" i="8"/>
  <c r="C1269" i="8"/>
  <c r="F128" i="8"/>
  <c r="C128" i="8"/>
  <c r="F3379" i="8"/>
  <c r="C3379" i="8"/>
  <c r="F3350" i="8"/>
  <c r="C3350" i="8"/>
  <c r="F1076" i="8"/>
  <c r="C1076" i="8"/>
  <c r="F3523" i="8"/>
  <c r="C3523" i="8"/>
  <c r="F727" i="8"/>
  <c r="C727" i="8"/>
  <c r="F3348" i="8"/>
  <c r="C3348" i="8"/>
  <c r="F2091" i="8"/>
  <c r="C2091" i="8"/>
  <c r="F2547" i="8"/>
  <c r="C2547" i="8"/>
  <c r="F3242" i="8"/>
  <c r="C3242" i="8"/>
  <c r="F463" i="8"/>
  <c r="C463" i="8"/>
  <c r="F1577" i="8"/>
  <c r="C1577" i="8"/>
  <c r="F685" i="8"/>
  <c r="C685" i="8"/>
  <c r="F1233" i="8"/>
  <c r="C1233" i="8"/>
  <c r="F3028" i="8"/>
  <c r="C3028" i="8"/>
  <c r="F3612" i="8"/>
  <c r="C3612" i="8"/>
  <c r="F2242" i="8"/>
  <c r="C2242" i="8"/>
  <c r="F1049" i="8"/>
  <c r="C1049" i="8"/>
  <c r="F1989" i="8"/>
  <c r="C1989" i="8"/>
  <c r="F1436" i="8"/>
  <c r="C1436" i="8"/>
  <c r="F1760" i="8"/>
  <c r="C1760" i="8"/>
  <c r="F133" i="8"/>
  <c r="C133" i="8"/>
  <c r="F2622" i="8"/>
  <c r="C2622" i="8"/>
  <c r="F1717" i="8"/>
  <c r="C1717" i="8"/>
  <c r="F1806" i="8"/>
  <c r="C1806" i="8"/>
  <c r="F2814" i="8"/>
  <c r="C2814" i="8"/>
  <c r="F1351" i="8"/>
  <c r="C1351" i="8"/>
  <c r="F2046" i="8"/>
  <c r="C2046" i="8"/>
  <c r="F2761" i="8"/>
  <c r="C2761" i="8"/>
  <c r="F1135" i="8"/>
  <c r="C1135" i="8"/>
  <c r="F981" i="8"/>
  <c r="C981" i="8"/>
  <c r="F2309" i="8"/>
  <c r="C2309" i="8"/>
  <c r="F517" i="8"/>
  <c r="C517" i="8"/>
  <c r="F1857" i="8"/>
  <c r="C1857" i="8"/>
  <c r="F557" i="8"/>
  <c r="C557" i="8"/>
  <c r="F239" i="8"/>
  <c r="C239" i="8"/>
  <c r="F1938" i="8"/>
  <c r="C1938" i="8"/>
  <c r="F1485" i="8"/>
  <c r="C1485" i="8"/>
  <c r="F1782" i="8"/>
  <c r="C1782" i="8"/>
  <c r="F276" i="8"/>
  <c r="C276" i="8"/>
  <c r="F1051" i="8"/>
  <c r="C1051" i="8"/>
  <c r="F2597" i="8"/>
  <c r="C2597" i="8"/>
  <c r="F593" i="8"/>
  <c r="C593" i="8"/>
  <c r="F339" i="8"/>
  <c r="C339" i="8"/>
  <c r="F714" i="8"/>
  <c r="C714" i="8"/>
  <c r="F1470" i="8"/>
  <c r="C1470" i="8"/>
  <c r="F2291" i="8"/>
  <c r="C2291" i="8"/>
  <c r="F2105" i="8"/>
  <c r="C2105" i="8"/>
  <c r="F1176" i="8"/>
  <c r="C1176" i="8"/>
  <c r="F3301" i="8"/>
  <c r="C3301" i="8"/>
  <c r="F2909" i="8"/>
  <c r="C2909" i="8"/>
  <c r="F735" i="8"/>
  <c r="C735" i="8"/>
  <c r="F1464" i="8"/>
  <c r="C1464" i="8"/>
  <c r="F3003" i="8"/>
  <c r="C3003" i="8"/>
  <c r="F46" i="8"/>
  <c r="C46" i="8"/>
  <c r="F670" i="8"/>
  <c r="C670" i="8"/>
  <c r="F94" i="8"/>
  <c r="C94" i="8"/>
  <c r="F860" i="8"/>
  <c r="C860" i="8"/>
  <c r="F2264" i="8"/>
  <c r="C2264" i="8"/>
  <c r="F1216" i="8"/>
  <c r="C1216" i="8"/>
  <c r="F1622" i="8"/>
  <c r="C1622" i="8"/>
  <c r="F1095" i="8"/>
  <c r="C1095" i="8"/>
  <c r="F214" i="8"/>
  <c r="C214" i="8"/>
  <c r="F2377" i="8"/>
  <c r="C2377" i="8"/>
  <c r="F3099" i="8"/>
  <c r="C3099" i="8"/>
  <c r="F2001" i="8"/>
  <c r="C2001" i="8"/>
  <c r="F2910" i="8"/>
  <c r="C2910" i="8"/>
  <c r="F3267" i="8"/>
  <c r="C3267" i="8"/>
  <c r="F525" i="8"/>
  <c r="C525" i="8"/>
  <c r="F119" i="8"/>
  <c r="C119" i="8"/>
  <c r="F2860" i="8"/>
  <c r="C2860" i="8"/>
  <c r="F2545" i="8"/>
  <c r="C2545" i="8"/>
  <c r="F1789" i="8"/>
  <c r="C1789" i="8"/>
  <c r="F165" i="8"/>
  <c r="C165" i="8"/>
  <c r="F1811" i="8"/>
  <c r="C1811" i="8"/>
  <c r="F2589" i="8"/>
  <c r="C2589" i="8"/>
  <c r="F3331" i="8"/>
  <c r="C3331" i="8"/>
  <c r="F3294" i="8"/>
  <c r="C3294" i="8"/>
  <c r="F2853" i="8"/>
  <c r="C2853" i="8"/>
  <c r="F1456" i="8"/>
  <c r="C1456" i="8"/>
  <c r="F104" i="8"/>
  <c r="C104" i="8"/>
  <c r="F1770" i="8"/>
  <c r="C1770" i="8"/>
  <c r="F2387" i="8"/>
  <c r="C2387" i="8"/>
  <c r="F1924" i="8"/>
  <c r="C1924" i="8"/>
  <c r="F2847" i="8"/>
  <c r="C2847" i="8"/>
  <c r="F3035" i="8"/>
  <c r="C3035" i="8"/>
  <c r="F3055" i="8"/>
  <c r="C3055" i="8"/>
  <c r="F1120" i="8"/>
  <c r="C1120" i="8"/>
  <c r="F2210" i="8"/>
  <c r="C2210" i="8"/>
  <c r="F2385" i="8"/>
  <c r="C2385" i="8"/>
  <c r="F2880" i="8"/>
  <c r="C2880" i="8"/>
  <c r="F3298" i="8"/>
  <c r="C3298" i="8"/>
  <c r="F2924" i="8"/>
  <c r="C2924" i="8"/>
  <c r="F111" i="8"/>
  <c r="C111" i="8"/>
  <c r="F2566" i="8"/>
  <c r="C2566" i="8"/>
  <c r="F875" i="8"/>
  <c r="C875" i="8"/>
  <c r="F2278" i="8"/>
  <c r="C2278" i="8"/>
  <c r="F3583" i="8"/>
  <c r="C3583" i="8"/>
  <c r="F2605" i="8"/>
  <c r="C2605" i="8"/>
  <c r="F2582" i="8"/>
  <c r="C2582" i="8"/>
  <c r="F2187" i="8"/>
  <c r="C2187" i="8"/>
  <c r="F1756" i="8"/>
  <c r="C1756" i="8"/>
  <c r="F3073" i="8"/>
  <c r="C3073" i="8"/>
  <c r="F2407" i="8"/>
  <c r="C2407" i="8"/>
  <c r="F1125" i="8"/>
  <c r="C1125" i="8"/>
  <c r="F2669" i="8"/>
  <c r="C2669" i="8"/>
  <c r="F2881" i="8"/>
  <c r="C2881" i="8"/>
  <c r="F2051" i="8"/>
  <c r="C2051" i="8"/>
  <c r="F3059" i="8"/>
  <c r="C3059" i="8"/>
  <c r="F1383" i="8"/>
  <c r="C1383" i="8"/>
  <c r="F2647" i="8"/>
  <c r="C2647" i="8"/>
  <c r="F2598" i="8"/>
  <c r="C2598" i="8"/>
  <c r="F2634" i="8"/>
  <c r="C2634" i="8"/>
  <c r="F1504" i="8"/>
  <c r="C1504" i="8"/>
  <c r="F35" i="8"/>
  <c r="C35" i="8"/>
  <c r="F2879" i="8"/>
  <c r="C2879" i="8"/>
  <c r="F1701" i="8"/>
  <c r="C1701" i="8"/>
  <c r="F1033" i="8"/>
  <c r="C1033" i="8"/>
  <c r="F2636" i="8"/>
  <c r="C2636" i="8"/>
  <c r="F31" i="8"/>
  <c r="C31" i="8"/>
  <c r="F3632" i="8"/>
  <c r="C3632" i="8"/>
  <c r="F1987" i="8"/>
  <c r="C1987" i="8"/>
  <c r="F174" i="8"/>
  <c r="C174" i="8"/>
  <c r="F2896" i="8"/>
  <c r="C2896" i="8"/>
  <c r="F1023" i="8"/>
  <c r="C1023" i="8"/>
  <c r="F1815" i="8"/>
  <c r="C1815" i="8"/>
  <c r="F343" i="8"/>
  <c r="C343" i="8"/>
  <c r="F3027" i="8"/>
  <c r="C3027" i="8"/>
  <c r="F1868" i="8"/>
  <c r="C1868" i="8"/>
  <c r="F3180" i="8"/>
  <c r="C3180" i="8"/>
  <c r="F691" i="8"/>
  <c r="C691" i="8"/>
  <c r="F319" i="8"/>
  <c r="C319" i="8"/>
  <c r="F2729" i="8"/>
  <c r="C2729" i="8"/>
  <c r="F142" i="8"/>
  <c r="C142" i="8"/>
  <c r="F2625" i="8"/>
  <c r="C2625" i="8"/>
  <c r="F1385" i="8"/>
  <c r="C1385" i="8"/>
  <c r="F105" i="8"/>
  <c r="C105" i="8"/>
  <c r="F601" i="8"/>
  <c r="C601" i="8"/>
  <c r="F1167" i="8"/>
  <c r="C1167" i="8"/>
  <c r="F2254" i="8"/>
  <c r="C2254" i="8"/>
  <c r="F3089" i="8"/>
  <c r="C3089" i="8"/>
  <c r="F502" i="8"/>
  <c r="C502" i="8"/>
  <c r="F3197" i="8"/>
  <c r="C3197" i="8"/>
  <c r="F1390" i="8"/>
  <c r="C1390" i="8"/>
  <c r="F3121" i="8"/>
  <c r="C3121" i="8"/>
  <c r="F1242" i="8"/>
  <c r="C1242" i="8"/>
  <c r="F2831" i="8"/>
  <c r="C2831" i="8"/>
  <c r="F2901" i="8"/>
  <c r="C2901" i="8"/>
  <c r="F3158" i="8"/>
  <c r="C3158" i="8"/>
  <c r="F1177" i="8"/>
  <c r="C1177" i="8"/>
  <c r="F1726" i="8"/>
  <c r="C1726" i="8"/>
  <c r="F969" i="8"/>
  <c r="C969" i="8"/>
  <c r="F58" i="8"/>
  <c r="C58" i="8"/>
  <c r="F108" i="8"/>
  <c r="C108" i="8"/>
  <c r="F233" i="8"/>
  <c r="C233" i="8"/>
  <c r="F964" i="8"/>
  <c r="C964" i="8"/>
  <c r="F535" i="8"/>
  <c r="C535" i="8"/>
  <c r="F407" i="8"/>
  <c r="C407" i="8"/>
  <c r="F2392" i="8"/>
  <c r="C2392" i="8"/>
  <c r="F2256" i="8"/>
  <c r="C2256" i="8"/>
  <c r="F415" i="8"/>
  <c r="C415" i="8"/>
  <c r="F879" i="8"/>
  <c r="C879" i="8"/>
  <c r="F1803" i="8"/>
  <c r="C1803" i="8"/>
  <c r="F155" i="8"/>
  <c r="C155" i="8"/>
  <c r="F2127" i="8"/>
  <c r="C2127" i="8"/>
  <c r="F392" i="8"/>
  <c r="C392" i="8"/>
  <c r="F2058" i="8"/>
  <c r="C2058" i="8"/>
  <c r="F2782" i="8"/>
  <c r="C2782" i="8"/>
  <c r="F1479" i="8"/>
  <c r="C1479" i="8"/>
  <c r="F2123" i="8"/>
  <c r="C2123" i="8"/>
  <c r="F742" i="8"/>
  <c r="C742" i="8"/>
  <c r="F689" i="8"/>
  <c r="C689" i="8"/>
  <c r="F2737" i="8"/>
  <c r="C2737" i="8"/>
  <c r="F673" i="8"/>
  <c r="C673" i="8"/>
  <c r="F1807" i="8"/>
  <c r="C1807" i="8"/>
  <c r="F2661" i="8"/>
  <c r="C2661" i="8"/>
  <c r="F1026" i="8"/>
  <c r="C1026" i="8"/>
  <c r="F316" i="8"/>
  <c r="C316" i="8"/>
  <c r="F196" i="8"/>
  <c r="C196" i="8"/>
  <c r="F1060" i="8"/>
  <c r="C1060" i="8"/>
  <c r="F2401" i="8"/>
  <c r="C2401" i="8"/>
  <c r="F817" i="8"/>
  <c r="C817" i="8"/>
  <c r="F66" i="8"/>
  <c r="C66" i="8"/>
  <c r="F1892" i="8"/>
  <c r="C1892" i="8"/>
  <c r="F542" i="8"/>
  <c r="C542" i="8"/>
  <c r="F916" i="8"/>
  <c r="C916" i="8"/>
  <c r="F36" i="8"/>
  <c r="C36" i="8"/>
  <c r="F2065" i="8"/>
  <c r="C2065" i="8"/>
  <c r="F2463" i="8"/>
  <c r="C2463" i="8"/>
  <c r="F604" i="8"/>
  <c r="C604" i="8"/>
  <c r="F3436" i="8"/>
  <c r="C3436" i="8"/>
  <c r="F1520" i="8"/>
  <c r="C1520" i="8"/>
  <c r="F957" i="8"/>
  <c r="C957" i="8"/>
  <c r="F2405" i="8"/>
  <c r="C2405" i="8"/>
  <c r="F700" i="8"/>
  <c r="C700" i="8"/>
  <c r="F311" i="8"/>
  <c r="C311" i="8"/>
  <c r="F1074" i="8"/>
  <c r="C1074" i="8"/>
  <c r="F624" i="8"/>
  <c r="C624" i="8"/>
  <c r="F2495" i="8"/>
  <c r="C2495" i="8"/>
  <c r="F3295" i="8"/>
  <c r="C3295" i="8"/>
  <c r="F918" i="8"/>
  <c r="C918" i="8"/>
  <c r="F857" i="8"/>
  <c r="C857" i="8"/>
  <c r="F236" i="8"/>
  <c r="C236" i="8"/>
  <c r="F1019" i="8"/>
  <c r="C1019" i="8"/>
  <c r="F455" i="8"/>
  <c r="C455" i="8"/>
  <c r="F2753" i="8"/>
  <c r="C2753" i="8"/>
  <c r="F765" i="8"/>
  <c r="C765" i="8"/>
  <c r="F422" i="8"/>
  <c r="C422" i="8"/>
  <c r="F2138" i="8"/>
  <c r="C2138" i="8"/>
  <c r="F992" i="8"/>
  <c r="C992" i="8"/>
  <c r="F1585" i="8"/>
  <c r="C1585" i="8"/>
  <c r="F1055" i="8"/>
  <c r="C1055" i="8"/>
  <c r="F3004" i="8"/>
  <c r="C3004" i="8"/>
  <c r="F577" i="8"/>
  <c r="C577" i="8"/>
  <c r="F1215" i="8"/>
  <c r="C1215" i="8"/>
  <c r="F231" i="8"/>
  <c r="C231" i="8"/>
  <c r="F3164" i="8"/>
  <c r="C3164" i="8"/>
  <c r="F2872" i="8"/>
  <c r="C2872" i="8"/>
  <c r="F658" i="8"/>
  <c r="C658" i="8"/>
  <c r="F493" i="8"/>
  <c r="C493" i="8"/>
  <c r="F537" i="8"/>
  <c r="C537" i="8"/>
  <c r="F1875" i="8"/>
  <c r="C1875" i="8"/>
  <c r="F2680" i="8"/>
  <c r="C2680" i="8"/>
  <c r="F2189" i="8"/>
  <c r="C2189" i="8"/>
  <c r="F887" i="8"/>
  <c r="C887" i="8"/>
  <c r="F866" i="8"/>
  <c r="C866" i="8"/>
  <c r="F782" i="8"/>
  <c r="C782" i="8"/>
  <c r="F7" i="8"/>
  <c r="C7" i="8"/>
  <c r="F2317" i="8"/>
  <c r="C2317" i="8"/>
  <c r="F395" i="8"/>
  <c r="C395" i="8"/>
  <c r="F1202" i="8"/>
  <c r="C1202" i="8"/>
  <c r="F1826" i="8"/>
  <c r="C1826" i="8"/>
  <c r="F212" i="8"/>
  <c r="C212" i="8"/>
  <c r="F2214" i="8"/>
  <c r="C2214" i="8"/>
  <c r="F292" i="8"/>
  <c r="C292" i="8"/>
  <c r="F1432" i="8"/>
  <c r="C1432" i="8"/>
  <c r="F871" i="8"/>
  <c r="C871" i="8"/>
  <c r="F313" i="8"/>
  <c r="C313" i="8"/>
  <c r="F666" i="8"/>
  <c r="C666" i="8"/>
  <c r="F347" i="8"/>
  <c r="C347" i="8"/>
  <c r="F657" i="8"/>
  <c r="C657" i="8"/>
  <c r="F1825" i="8"/>
  <c r="C1825" i="8"/>
  <c r="F3525" i="8"/>
  <c r="C3525" i="8"/>
  <c r="F541" i="8"/>
  <c r="C541" i="8"/>
  <c r="F1146" i="8"/>
  <c r="C1146" i="8"/>
  <c r="F3097" i="8"/>
  <c r="C3097" i="8"/>
  <c r="F3395" i="8"/>
  <c r="C3395" i="8"/>
  <c r="F2072" i="8"/>
  <c r="C2072" i="8"/>
  <c r="F1544" i="8"/>
  <c r="C1544" i="8"/>
  <c r="F53" i="8"/>
  <c r="C53" i="8"/>
  <c r="F530" i="8"/>
  <c r="C530" i="8"/>
  <c r="F2248" i="8"/>
  <c r="C2248" i="8"/>
  <c r="F3233" i="8"/>
  <c r="C3233" i="8"/>
  <c r="F3092" i="8"/>
  <c r="C3092" i="8"/>
  <c r="F1692" i="8"/>
  <c r="C1692" i="8"/>
  <c r="F754" i="8"/>
  <c r="C754" i="8"/>
  <c r="F1036" i="8"/>
  <c r="C1036" i="8"/>
  <c r="F2994" i="8"/>
  <c r="C2994" i="8"/>
  <c r="F350" i="8"/>
  <c r="C350" i="8"/>
  <c r="F1308" i="8"/>
  <c r="C1308" i="8"/>
  <c r="F1231" i="8"/>
  <c r="C1231" i="8"/>
  <c r="F113" i="8"/>
  <c r="C113" i="8"/>
  <c r="F333" i="8"/>
  <c r="C333" i="8"/>
  <c r="F2898" i="8"/>
  <c r="C2898" i="8"/>
  <c r="F431" i="8"/>
  <c r="C431" i="8"/>
  <c r="F3319" i="8"/>
  <c r="C3319" i="8"/>
  <c r="F2160" i="8"/>
  <c r="C2160" i="8"/>
  <c r="F388" i="8"/>
  <c r="C388" i="8"/>
  <c r="F2005" i="8"/>
  <c r="C2005" i="8"/>
  <c r="F987" i="8"/>
  <c r="C987" i="8"/>
  <c r="F2041" i="8"/>
  <c r="C2041" i="8"/>
  <c r="F804" i="8"/>
  <c r="C804" i="8"/>
  <c r="F780" i="8"/>
  <c r="C780" i="8"/>
  <c r="F1245" i="8"/>
  <c r="C1245" i="8"/>
  <c r="F89" i="8"/>
  <c r="C89" i="8"/>
  <c r="F3609" i="8"/>
  <c r="C3609" i="8"/>
  <c r="F1541" i="8"/>
  <c r="C1541" i="8"/>
  <c r="F3565" i="8"/>
  <c r="C3565" i="8"/>
  <c r="F3263" i="8"/>
  <c r="C3263" i="8"/>
  <c r="F3013" i="8"/>
  <c r="C3013" i="8"/>
  <c r="F189" i="8"/>
  <c r="C189" i="8"/>
  <c r="F3265" i="8"/>
  <c r="C3265" i="8"/>
  <c r="F2086" i="8"/>
  <c r="C2086" i="8"/>
  <c r="F709" i="8"/>
  <c r="C709" i="8"/>
  <c r="F3284" i="8"/>
  <c r="C3284" i="8"/>
  <c r="F1468" i="8"/>
  <c r="C1468" i="8"/>
  <c r="F1681" i="8"/>
  <c r="C1681" i="8"/>
  <c r="F2767" i="8"/>
  <c r="C2767" i="8"/>
  <c r="F1498" i="8"/>
  <c r="C1498" i="8"/>
  <c r="F2789" i="8"/>
  <c r="C2789" i="8"/>
  <c r="F2223" i="8"/>
  <c r="C2223" i="8"/>
  <c r="F2316" i="8"/>
  <c r="C2316" i="8"/>
  <c r="F640" i="8"/>
  <c r="C640" i="8"/>
  <c r="F3259" i="8"/>
  <c r="C3259" i="8"/>
  <c r="F2467" i="8"/>
  <c r="C2467" i="8"/>
  <c r="F1213" i="8"/>
  <c r="C1213" i="8"/>
  <c r="F3441" i="8"/>
  <c r="C3441" i="8"/>
  <c r="F3411" i="8"/>
  <c r="C3411" i="8"/>
  <c r="F1319" i="8"/>
  <c r="C1319" i="8"/>
  <c r="F1186" i="8"/>
  <c r="C1186" i="8"/>
  <c r="F776" i="8"/>
  <c r="C776" i="8"/>
  <c r="F3614" i="8"/>
  <c r="C3614" i="8"/>
  <c r="F1349" i="8"/>
  <c r="C1349" i="8"/>
  <c r="F2856" i="8"/>
  <c r="C2856" i="8"/>
  <c r="F3568" i="8"/>
  <c r="C3568" i="8"/>
  <c r="F1391" i="8"/>
  <c r="C1391" i="8"/>
  <c r="F1258" i="8"/>
  <c r="C1258" i="8"/>
  <c r="F232" i="8"/>
  <c r="C232" i="8"/>
  <c r="F2008" i="8"/>
  <c r="C2008" i="8"/>
  <c r="F1421" i="8"/>
  <c r="C1421" i="8"/>
  <c r="F2943" i="8"/>
  <c r="C2943" i="8"/>
  <c r="F2923" i="8"/>
  <c r="C2923" i="8"/>
  <c r="F961" i="8"/>
  <c r="C961" i="8"/>
  <c r="F145" i="8"/>
  <c r="C145" i="8"/>
  <c r="F3527" i="8"/>
  <c r="C3527" i="8"/>
  <c r="F2670" i="8"/>
  <c r="C2670" i="8"/>
  <c r="F1990" i="8"/>
  <c r="C1990" i="8"/>
  <c r="F1979" i="8"/>
  <c r="C1979" i="8"/>
  <c r="F275" i="8"/>
  <c r="C275" i="8"/>
  <c r="F2706" i="8"/>
  <c r="C2706" i="8"/>
  <c r="F2423" i="8"/>
  <c r="C2423" i="8"/>
  <c r="F2333" i="8"/>
  <c r="C2333" i="8"/>
  <c r="F3473" i="8"/>
  <c r="C3473" i="8"/>
  <c r="F1646" i="8"/>
  <c r="C1646" i="8"/>
  <c r="F2632" i="8"/>
  <c r="C2632" i="8"/>
  <c r="F3292" i="8"/>
  <c r="C3292" i="8"/>
  <c r="F2513" i="8"/>
  <c r="C2513" i="8"/>
  <c r="F2442" i="8"/>
  <c r="C2442" i="8"/>
  <c r="F3372" i="8"/>
  <c r="C3372" i="8"/>
  <c r="F3475" i="8"/>
  <c r="C3475" i="8"/>
  <c r="F3361" i="8"/>
  <c r="C3361" i="8"/>
  <c r="F3445" i="8"/>
  <c r="C3445" i="8"/>
  <c r="F2570" i="8"/>
  <c r="C2570" i="8"/>
  <c r="F1096" i="8"/>
  <c r="C1096" i="8"/>
  <c r="F2279" i="8"/>
  <c r="C2279" i="8"/>
  <c r="F2786" i="8"/>
  <c r="C2786" i="8"/>
  <c r="F3076" i="8"/>
  <c r="C3076" i="8"/>
  <c r="F3153" i="8"/>
  <c r="C3153" i="8"/>
  <c r="F2315" i="8"/>
  <c r="C2315" i="8"/>
  <c r="F2744" i="8"/>
  <c r="C2744" i="8"/>
  <c r="F2824" i="8"/>
  <c r="C2824" i="8"/>
  <c r="F811" i="8"/>
  <c r="C811" i="8"/>
  <c r="F1795" i="8"/>
  <c r="C1795" i="8"/>
  <c r="F2366" i="8"/>
  <c r="C2366" i="8"/>
  <c r="F2889" i="8"/>
  <c r="C2889" i="8"/>
  <c r="F3465" i="8"/>
  <c r="C3465" i="8"/>
  <c r="F3239" i="8"/>
  <c r="C3239" i="8"/>
  <c r="F2402" i="8"/>
  <c r="C2402" i="8"/>
  <c r="F3148" i="8"/>
  <c r="C3148" i="8"/>
  <c r="F1307" i="8"/>
  <c r="C1307" i="8"/>
  <c r="F955" i="8"/>
  <c r="C955" i="8"/>
  <c r="F2111" i="8"/>
  <c r="C2111" i="8"/>
  <c r="F3619" i="8"/>
  <c r="C3619" i="8"/>
  <c r="F2951" i="8"/>
  <c r="C2951" i="8"/>
  <c r="F2870" i="8"/>
  <c r="C2870" i="8"/>
  <c r="F2700" i="8"/>
  <c r="C2700" i="8"/>
  <c r="F3172" i="8"/>
  <c r="C3172" i="8"/>
  <c r="F3046" i="8"/>
  <c r="C3046" i="8"/>
  <c r="F2212" i="8"/>
  <c r="C2212" i="8"/>
  <c r="F2749" i="8"/>
  <c r="C2749" i="8"/>
  <c r="F2381" i="8"/>
  <c r="C2381" i="8"/>
  <c r="F3304" i="8"/>
  <c r="C3304" i="8"/>
  <c r="F1475" i="8"/>
  <c r="C1475" i="8"/>
  <c r="F3216" i="8"/>
  <c r="C3216" i="8"/>
  <c r="F3108" i="8"/>
  <c r="C3108" i="8"/>
  <c r="F2557" i="8"/>
  <c r="C2557" i="8"/>
  <c r="F2563" i="8"/>
  <c r="C2563" i="8"/>
  <c r="F1984" i="8"/>
  <c r="C1984" i="8"/>
  <c r="F3100" i="8"/>
  <c r="C3100" i="8"/>
  <c r="F1840" i="8"/>
  <c r="C1840" i="8"/>
  <c r="F3001" i="8"/>
  <c r="C3001" i="8"/>
  <c r="F2014" i="8"/>
  <c r="C2014" i="8"/>
  <c r="F1309" i="8"/>
  <c r="C1309" i="8"/>
  <c r="F3585" i="8"/>
  <c r="C3585" i="8"/>
  <c r="F2434" i="8"/>
  <c r="C2434" i="8"/>
  <c r="F1020" i="8"/>
  <c r="C1020" i="8"/>
  <c r="F497" i="8"/>
  <c r="C497" i="8"/>
  <c r="F2755" i="8"/>
  <c r="C2755" i="8"/>
  <c r="F1514" i="8"/>
  <c r="C1514" i="8"/>
  <c r="F1014" i="8"/>
  <c r="C1014" i="8"/>
  <c r="F745" i="8"/>
  <c r="C745" i="8"/>
  <c r="F3140" i="8"/>
  <c r="C3140" i="8"/>
  <c r="F994" i="8"/>
  <c r="C994" i="8"/>
  <c r="F92" i="8"/>
  <c r="C92" i="8"/>
  <c r="F3544" i="8"/>
  <c r="C3544" i="8"/>
  <c r="F1304" i="8"/>
  <c r="C1304" i="8"/>
  <c r="F2121" i="8"/>
  <c r="C2121" i="8"/>
  <c r="F1725" i="8"/>
  <c r="C1725" i="8"/>
  <c r="F1226" i="8"/>
  <c r="C1226" i="8"/>
  <c r="F2719" i="8"/>
  <c r="C2719" i="8"/>
  <c r="F1963" i="8"/>
  <c r="C1963" i="8"/>
  <c r="F381" i="8"/>
  <c r="C381" i="8"/>
  <c r="F1529" i="8"/>
  <c r="C1529" i="8"/>
  <c r="F1816" i="8"/>
  <c r="C1816" i="8"/>
  <c r="F300" i="8"/>
  <c r="C300" i="8"/>
  <c r="F737" i="8"/>
  <c r="C737" i="8"/>
  <c r="F1880" i="8"/>
  <c r="C1880" i="8"/>
  <c r="F1068" i="8"/>
  <c r="C1068" i="8"/>
  <c r="F1318" i="8"/>
  <c r="C1318" i="8"/>
  <c r="F115" i="8"/>
  <c r="C115" i="8"/>
  <c r="F531" i="8"/>
  <c r="C531" i="8"/>
  <c r="F968" i="8"/>
  <c r="C968" i="8"/>
  <c r="F1257" i="8"/>
  <c r="C1257" i="8"/>
  <c r="F2272" i="8"/>
  <c r="C2272" i="8"/>
  <c r="F2179" i="8"/>
  <c r="C2179" i="8"/>
  <c r="F30" i="8"/>
  <c r="C30" i="8"/>
  <c r="F2403" i="8"/>
  <c r="C2403" i="8"/>
  <c r="F2283" i="8"/>
  <c r="C2283" i="8"/>
  <c r="F2059" i="8"/>
  <c r="C2059" i="8"/>
  <c r="F1103" i="8"/>
  <c r="C1103" i="8"/>
  <c r="F2219" i="8"/>
  <c r="C2219" i="8"/>
  <c r="F1698" i="8"/>
  <c r="C1698" i="8"/>
  <c r="F3293" i="8"/>
  <c r="C3293" i="8"/>
  <c r="F151" i="8"/>
  <c r="C151" i="8"/>
  <c r="F3444" i="8"/>
  <c r="C3444" i="8"/>
  <c r="F264" i="8"/>
  <c r="C264" i="8"/>
  <c r="F3497" i="8"/>
  <c r="C3497" i="8"/>
  <c r="F2652" i="8"/>
  <c r="C2652" i="8"/>
  <c r="F930" i="8"/>
  <c r="C930" i="8"/>
  <c r="F1678" i="8"/>
  <c r="C1678" i="8"/>
  <c r="F386" i="8"/>
  <c r="C386" i="8"/>
  <c r="F2350" i="8"/>
  <c r="C2350" i="8"/>
  <c r="F312" i="8"/>
  <c r="C312" i="8"/>
  <c r="F477" i="8"/>
  <c r="C477" i="8"/>
  <c r="F1092" i="8"/>
  <c r="C1092" i="8"/>
  <c r="F1028" i="8"/>
  <c r="C1028" i="8"/>
  <c r="F559" i="8"/>
  <c r="C559" i="8"/>
  <c r="F2409" i="8"/>
  <c r="C2409" i="8"/>
  <c r="F2834" i="8"/>
  <c r="C2834" i="8"/>
  <c r="F1494" i="8"/>
  <c r="C1494" i="8"/>
  <c r="F534" i="8"/>
  <c r="C534" i="8"/>
  <c r="F1539" i="8"/>
  <c r="C1539" i="8"/>
  <c r="F1899" i="8"/>
  <c r="C1899" i="8"/>
  <c r="F2939" i="8"/>
  <c r="C2939" i="8"/>
  <c r="F812" i="8"/>
  <c r="C812" i="8"/>
  <c r="F1361" i="8"/>
  <c r="C1361" i="8"/>
  <c r="F2746" i="8"/>
  <c r="C2746" i="8"/>
  <c r="F398" i="8"/>
  <c r="C398" i="8"/>
  <c r="F1320" i="8"/>
  <c r="C1320" i="8"/>
  <c r="F1104" i="8"/>
  <c r="C1104" i="8"/>
  <c r="F1118" i="8"/>
  <c r="C1118" i="8"/>
  <c r="F1305" i="8"/>
  <c r="C1305" i="8"/>
  <c r="F3244" i="8"/>
  <c r="C3244" i="8"/>
  <c r="F64" i="8"/>
  <c r="C64" i="8"/>
  <c r="F2877" i="8"/>
  <c r="C2877" i="8"/>
  <c r="F238" i="8"/>
  <c r="C238" i="8"/>
  <c r="F959" i="8"/>
  <c r="C959" i="8"/>
  <c r="F1296" i="8"/>
  <c r="C1296" i="8"/>
  <c r="F2306" i="8"/>
  <c r="C2306" i="8"/>
  <c r="F2596" i="8"/>
  <c r="C2596" i="8"/>
  <c r="F2920" i="8"/>
  <c r="C2920" i="8"/>
  <c r="F2106" i="8"/>
  <c r="C2106" i="8"/>
  <c r="F758" i="8"/>
  <c r="C758" i="8"/>
  <c r="F48" i="8"/>
  <c r="C48" i="8"/>
  <c r="F496" i="8"/>
  <c r="C496" i="8"/>
  <c r="F2716" i="8"/>
  <c r="C2716" i="8"/>
  <c r="F547" i="8"/>
  <c r="C547" i="8"/>
  <c r="F162" i="8"/>
  <c r="C162" i="8"/>
  <c r="F1723" i="8"/>
  <c r="C1723" i="8"/>
  <c r="F56" i="8"/>
  <c r="C56" i="8"/>
  <c r="F1240" i="8"/>
  <c r="C1240" i="8"/>
  <c r="F1209" i="8"/>
  <c r="C1209" i="8"/>
  <c r="F1448" i="8"/>
  <c r="C1448" i="8"/>
  <c r="F2140" i="8"/>
  <c r="C2140" i="8"/>
  <c r="F1081" i="8"/>
  <c r="C1081" i="8"/>
  <c r="F2475" i="8"/>
  <c r="C2475" i="8"/>
  <c r="F1666" i="8"/>
  <c r="C1666" i="8"/>
  <c r="F1645" i="8"/>
  <c r="C1645" i="8"/>
  <c r="F606" i="8"/>
  <c r="C606" i="8"/>
  <c r="F2372" i="8"/>
  <c r="C2372" i="8"/>
  <c r="F2284" i="8"/>
  <c r="C2284" i="8"/>
  <c r="F491" i="8"/>
  <c r="C491" i="8"/>
  <c r="F808" i="8"/>
  <c r="C808" i="8"/>
  <c r="F375" i="8"/>
  <c r="C375" i="8"/>
  <c r="F962" i="8"/>
  <c r="C962" i="8"/>
  <c r="F22" i="8"/>
  <c r="C22" i="8"/>
  <c r="F1266" i="8"/>
  <c r="C1266" i="8"/>
  <c r="F2502" i="8"/>
  <c r="C2502" i="8"/>
  <c r="F587" i="8"/>
  <c r="C587" i="8"/>
  <c r="F2977" i="8"/>
  <c r="C2977" i="8"/>
  <c r="F2453" i="8"/>
  <c r="C2453" i="8"/>
  <c r="F2396" i="8"/>
  <c r="C2396" i="8"/>
  <c r="F3457" i="8"/>
  <c r="C3457" i="8"/>
  <c r="F334" i="8"/>
  <c r="C334" i="8"/>
  <c r="F1755" i="8"/>
  <c r="C1755" i="8"/>
  <c r="F911" i="8"/>
  <c r="C911" i="8"/>
  <c r="F2800" i="8"/>
  <c r="C2800" i="8"/>
  <c r="F1214" i="8"/>
  <c r="C1214" i="8"/>
  <c r="F1382" i="8"/>
  <c r="C1382" i="8"/>
  <c r="F18" i="8"/>
  <c r="C18" i="8"/>
  <c r="F203" i="8"/>
  <c r="C203" i="8"/>
  <c r="F781" i="8"/>
  <c r="C781" i="8"/>
  <c r="F26" i="8"/>
  <c r="C26" i="8"/>
  <c r="F2635" i="8"/>
  <c r="C2635" i="8"/>
  <c r="F1917" i="8"/>
  <c r="C1917" i="8"/>
  <c r="F2063" i="8"/>
  <c r="C2063" i="8"/>
  <c r="F91" i="8"/>
  <c r="C91" i="8"/>
  <c r="F1772" i="8"/>
  <c r="C1772" i="8"/>
  <c r="F3645" i="8"/>
  <c r="C3645" i="8"/>
  <c r="F2329" i="8"/>
  <c r="C2329" i="8"/>
  <c r="F331" i="8"/>
  <c r="C331" i="8"/>
  <c r="F2092" i="8"/>
  <c r="C2092" i="8"/>
  <c r="F632" i="8"/>
  <c r="C632" i="8"/>
  <c r="F984" i="8"/>
  <c r="C984" i="8"/>
  <c r="F1134" i="8"/>
  <c r="C1134" i="8"/>
  <c r="F800" i="8"/>
  <c r="C800" i="8"/>
  <c r="F2521" i="8"/>
  <c r="C2521" i="8"/>
  <c r="F1109" i="8"/>
  <c r="C1109" i="8"/>
  <c r="F1862" i="8"/>
  <c r="C1862" i="8"/>
  <c r="F2263" i="8"/>
  <c r="C2263" i="8"/>
  <c r="F3173" i="8"/>
  <c r="C3173" i="8"/>
  <c r="F1435" i="8"/>
  <c r="C1435" i="8"/>
  <c r="F953" i="8"/>
  <c r="C953" i="8"/>
  <c r="F933" i="8"/>
  <c r="C933" i="8"/>
  <c r="F738" i="8"/>
  <c r="C738" i="8"/>
  <c r="F2730" i="8"/>
  <c r="C2730" i="8"/>
  <c r="F674" i="8"/>
  <c r="C674" i="8"/>
  <c r="F508" i="8"/>
  <c r="C508" i="8"/>
  <c r="F2873" i="8"/>
  <c r="C2873" i="8"/>
  <c r="F322" i="8"/>
  <c r="C322" i="8"/>
  <c r="F1142" i="8"/>
  <c r="C1142" i="8"/>
  <c r="F3386" i="8"/>
  <c r="C3386" i="8"/>
  <c r="F2869" i="8"/>
  <c r="C2869" i="8"/>
  <c r="F3177" i="8"/>
  <c r="C3177" i="8"/>
  <c r="F1039" i="8"/>
  <c r="C1039" i="8"/>
  <c r="F3290" i="8"/>
  <c r="C3290" i="8"/>
  <c r="F2997" i="8"/>
  <c r="C2997" i="8"/>
  <c r="F3384" i="8"/>
  <c r="C3384" i="8"/>
  <c r="F2015" i="8"/>
  <c r="C2015" i="8"/>
  <c r="F2085" i="8"/>
  <c r="C2085" i="8"/>
  <c r="F1275" i="8"/>
  <c r="C1275" i="8"/>
  <c r="F2637" i="8"/>
  <c r="C2637" i="8"/>
  <c r="F880" i="8"/>
  <c r="C880" i="8"/>
  <c r="F3270" i="8"/>
  <c r="C3270" i="8"/>
  <c r="F2474" i="8"/>
  <c r="C2474" i="8"/>
  <c r="F2922" i="8"/>
  <c r="C2922" i="8"/>
  <c r="F2642" i="8"/>
  <c r="C2642" i="8"/>
  <c r="F2070" i="8"/>
  <c r="C2070" i="8"/>
  <c r="F3385" i="8"/>
  <c r="C3385" i="8"/>
  <c r="F3643" i="8"/>
  <c r="C3643" i="8"/>
  <c r="F2878" i="8"/>
  <c r="C2878" i="8"/>
  <c r="F3068" i="8"/>
  <c r="C3068" i="8"/>
  <c r="F548" i="8"/>
  <c r="C548" i="8"/>
  <c r="F2914" i="8"/>
  <c r="C2914" i="8"/>
  <c r="F1511" i="8"/>
  <c r="C1511" i="8"/>
  <c r="F1316" i="8"/>
  <c r="C1316" i="8"/>
  <c r="F2984" i="8"/>
  <c r="C2984" i="8"/>
  <c r="F1843" i="8"/>
  <c r="C1843" i="8"/>
  <c r="F3460" i="8"/>
  <c r="C3460" i="8"/>
  <c r="F1847" i="8"/>
  <c r="C1847" i="8"/>
  <c r="F3050" i="8"/>
  <c r="C3050" i="8"/>
  <c r="F2617" i="8"/>
  <c r="C2617" i="8"/>
  <c r="F1368" i="8"/>
  <c r="C1368" i="8"/>
  <c r="F692" i="8"/>
  <c r="C692" i="8"/>
  <c r="F3636" i="8"/>
  <c r="C3636" i="8"/>
  <c r="F1919" i="8"/>
  <c r="C1919" i="8"/>
  <c r="F2660" i="8"/>
  <c r="C2660" i="8"/>
  <c r="F2882" i="8"/>
  <c r="C2882" i="8"/>
  <c r="F1527" i="8"/>
  <c r="C1527" i="8"/>
  <c r="F597" i="8"/>
  <c r="C597" i="8"/>
  <c r="F3578" i="8"/>
  <c r="C3578" i="8"/>
  <c r="F2462" i="8"/>
  <c r="C2462" i="8"/>
  <c r="F3383" i="8"/>
  <c r="C3383" i="8"/>
  <c r="F1901" i="8"/>
  <c r="C1901" i="8"/>
  <c r="F1408" i="8"/>
  <c r="C1408" i="8"/>
  <c r="F2734" i="8"/>
  <c r="C2734" i="8"/>
  <c r="F3419" i="8"/>
  <c r="C3419" i="8"/>
  <c r="F1299" i="8"/>
  <c r="C1299" i="8"/>
  <c r="F2803" i="8"/>
  <c r="C2803" i="8"/>
  <c r="F1422" i="8"/>
  <c r="C1422" i="8"/>
  <c r="F1363" i="8"/>
  <c r="C1363" i="8"/>
  <c r="F1599" i="8"/>
  <c r="C1599" i="8"/>
  <c r="F1094" i="8"/>
  <c r="C1094" i="8"/>
  <c r="F1828" i="8"/>
  <c r="C1828" i="8"/>
  <c r="F2364" i="8"/>
  <c r="C2364" i="8"/>
  <c r="F3145" i="8"/>
  <c r="C3145" i="8"/>
  <c r="F1136" i="8"/>
  <c r="C1136" i="8"/>
  <c r="F2269" i="8"/>
  <c r="C2269" i="8"/>
  <c r="F1364" i="8"/>
  <c r="C1364" i="8"/>
  <c r="F3016" i="8"/>
  <c r="C3016" i="8"/>
  <c r="F3147" i="8"/>
  <c r="C3147" i="8"/>
  <c r="F3389" i="8"/>
  <c r="C3389" i="8"/>
  <c r="F2626" i="8"/>
  <c r="C2626" i="8"/>
  <c r="F2762" i="8"/>
  <c r="C2762" i="8"/>
  <c r="F2519" i="8"/>
  <c r="C2519" i="8"/>
  <c r="F1271" i="8"/>
  <c r="C1271" i="8"/>
  <c r="F2662" i="8"/>
  <c r="C2662" i="8"/>
  <c r="F3448" i="8"/>
  <c r="C3448" i="8"/>
  <c r="F2289" i="8"/>
  <c r="C2289" i="8"/>
  <c r="F2564" i="8"/>
  <c r="C2564" i="8"/>
  <c r="F3159" i="8"/>
  <c r="C3159" i="8"/>
  <c r="F2712" i="8"/>
  <c r="C2712" i="8"/>
  <c r="F3042" i="8"/>
  <c r="C3042" i="8"/>
  <c r="F2606" i="8"/>
  <c r="C2606" i="8"/>
  <c r="F1343" i="8"/>
  <c r="C1343" i="8"/>
  <c r="F2827" i="8"/>
  <c r="C2827" i="8"/>
  <c r="F3593" i="8"/>
  <c r="C3593" i="8"/>
  <c r="F2595" i="8"/>
  <c r="C2595" i="8"/>
  <c r="F67" i="8"/>
  <c r="C67" i="8"/>
  <c r="F3240" i="8"/>
  <c r="C3240" i="8"/>
  <c r="F1360" i="8"/>
  <c r="C1360" i="8"/>
  <c r="F3518" i="8"/>
  <c r="C3518" i="8"/>
  <c r="F2629" i="8"/>
  <c r="C2629" i="8"/>
  <c r="F1696" i="8"/>
  <c r="C1696" i="8"/>
  <c r="F3230" i="8"/>
  <c r="C3230" i="8"/>
  <c r="F3548" i="8"/>
  <c r="C3548" i="8"/>
  <c r="F763" i="8"/>
  <c r="C763" i="8"/>
  <c r="F1998" i="8"/>
  <c r="C1998" i="8"/>
  <c r="F2791" i="8"/>
  <c r="C2791" i="8"/>
  <c r="F3574" i="8"/>
  <c r="C3574" i="8"/>
  <c r="F1397" i="8"/>
  <c r="C1397" i="8"/>
  <c r="F2874" i="8"/>
  <c r="C2874" i="8"/>
  <c r="F2699" i="8"/>
  <c r="C2699" i="8"/>
  <c r="F3637" i="8"/>
  <c r="C3637" i="8"/>
  <c r="F2760" i="8"/>
  <c r="C2760" i="8"/>
  <c r="F3207" i="8"/>
  <c r="C3207" i="8"/>
  <c r="F1895" i="8"/>
  <c r="C1895" i="8"/>
  <c r="F1762" i="8"/>
  <c r="C1762" i="8"/>
  <c r="F51" i="8"/>
  <c r="C51" i="8"/>
  <c r="F2181" i="8"/>
  <c r="C2181" i="8"/>
  <c r="F1925" i="8"/>
  <c r="C1925" i="8"/>
  <c r="F3520" i="8"/>
  <c r="C3520" i="8"/>
  <c r="F1270" i="8"/>
  <c r="C1270" i="8"/>
  <c r="F1345" i="8"/>
  <c r="C1345" i="8"/>
  <c r="F605" i="8"/>
  <c r="C605" i="8"/>
  <c r="F2103" i="8"/>
  <c r="C2103" i="8"/>
  <c r="F997" i="8"/>
  <c r="C997" i="8"/>
  <c r="F3369" i="8"/>
  <c r="C3369" i="8"/>
  <c r="F445" i="8"/>
  <c r="C445" i="8"/>
  <c r="F1831" i="8"/>
  <c r="C1831" i="8"/>
  <c r="F1438" i="8"/>
  <c r="C1438" i="8"/>
  <c r="F810" i="8"/>
  <c r="C810" i="8"/>
  <c r="F1735" i="8"/>
  <c r="C1735" i="8"/>
  <c r="F936" i="8"/>
  <c r="C936" i="8"/>
  <c r="F435" i="8"/>
  <c r="C435" i="8"/>
  <c r="F2623" i="8"/>
  <c r="C2623" i="8"/>
  <c r="F1558" i="8"/>
  <c r="C1558" i="8"/>
  <c r="F1406" i="8"/>
  <c r="C1406" i="8"/>
  <c r="F2996" i="8"/>
  <c r="C2996" i="8"/>
  <c r="F2690" i="8"/>
  <c r="C2690" i="8"/>
  <c r="F1720" i="8"/>
  <c r="C1720" i="8"/>
  <c r="F2707" i="8"/>
  <c r="C2707" i="8"/>
  <c r="F1961" i="8"/>
  <c r="C1961" i="8"/>
  <c r="F733" i="8"/>
  <c r="C733" i="8"/>
  <c r="F2460" i="8"/>
  <c r="C2460" i="8"/>
  <c r="F1268" i="8"/>
  <c r="C1268" i="8"/>
  <c r="F132" i="8"/>
  <c r="C132" i="8"/>
  <c r="F2461" i="8"/>
  <c r="C2461" i="8"/>
  <c r="F1411" i="8"/>
  <c r="C1411" i="8"/>
  <c r="F550" i="8"/>
  <c r="C550" i="8"/>
  <c r="F2976" i="8"/>
  <c r="C2976" i="8"/>
  <c r="F2237" i="8"/>
  <c r="C2237" i="8"/>
  <c r="F1530" i="8"/>
  <c r="C1530" i="8"/>
  <c r="F2687" i="8"/>
  <c r="C2687" i="8"/>
  <c r="F3023" i="8"/>
  <c r="C3023" i="8"/>
  <c r="F1195" i="8"/>
  <c r="C1195" i="8"/>
  <c r="F29" i="8"/>
  <c r="C29" i="8"/>
  <c r="F1809" i="8"/>
  <c r="C1809" i="8"/>
  <c r="F3307" i="8"/>
  <c r="C3307" i="8"/>
  <c r="F1379" i="8"/>
  <c r="C1379" i="8"/>
  <c r="F253" i="8"/>
  <c r="C253" i="8"/>
  <c r="F2282" i="8"/>
  <c r="C2282" i="8"/>
  <c r="F2567" i="8"/>
  <c r="C2567" i="8"/>
  <c r="F1851" i="8"/>
  <c r="C1851" i="8"/>
  <c r="F1591" i="8"/>
  <c r="C1591" i="8"/>
  <c r="F345" i="8"/>
  <c r="C345" i="8"/>
  <c r="F2532" i="8"/>
  <c r="C2532" i="8"/>
  <c r="F1867" i="8"/>
  <c r="C1867" i="8"/>
  <c r="F1627" i="8"/>
  <c r="C1627" i="8"/>
  <c r="F182" i="8"/>
  <c r="C182" i="8"/>
  <c r="F2801" i="8"/>
  <c r="C2801" i="8"/>
  <c r="F2659" i="8"/>
  <c r="C2659" i="8"/>
  <c r="F1122" i="8"/>
  <c r="C1122" i="8"/>
  <c r="F34" i="8"/>
  <c r="C34" i="8"/>
  <c r="F1070" i="8"/>
  <c r="C1070" i="8"/>
  <c r="F1073" i="8"/>
  <c r="C1073" i="8"/>
  <c r="F1719" i="8"/>
  <c r="C1719" i="8"/>
  <c r="F1423" i="8"/>
  <c r="C1423" i="8"/>
  <c r="F6" i="8"/>
  <c r="C6" i="8"/>
  <c r="F1550" i="8"/>
  <c r="C1550" i="8"/>
  <c r="F403" i="8"/>
  <c r="C403" i="8"/>
  <c r="F2705" i="8"/>
  <c r="C2705" i="8"/>
  <c r="F1953" i="8"/>
  <c r="C1953" i="8"/>
  <c r="F462" i="8"/>
  <c r="C462" i="8"/>
  <c r="F766" i="8"/>
  <c r="C766" i="8"/>
  <c r="F1045" i="8"/>
  <c r="C1045" i="8"/>
  <c r="F2550" i="8"/>
  <c r="C2550" i="8"/>
  <c r="F2028" i="8"/>
  <c r="C2028" i="8"/>
  <c r="F807" i="8"/>
  <c r="C807" i="8"/>
  <c r="F1223" i="8"/>
  <c r="C1223" i="8"/>
  <c r="F2937" i="8"/>
  <c r="C2937" i="8"/>
  <c r="F1441" i="8"/>
  <c r="C1441" i="8"/>
  <c r="F146" i="8"/>
  <c r="C146" i="8"/>
  <c r="F2183" i="8"/>
  <c r="C2183" i="8"/>
  <c r="F2603" i="8"/>
  <c r="C2603" i="8"/>
  <c r="F1004" i="8"/>
  <c r="C1004" i="8"/>
  <c r="F2126" i="8"/>
  <c r="C2126" i="8"/>
  <c r="F1778" i="8"/>
  <c r="C1778" i="8"/>
  <c r="F1495" i="8"/>
  <c r="C1495" i="8"/>
  <c r="F271" i="8"/>
  <c r="C271" i="8"/>
  <c r="F2012" i="8"/>
  <c r="C2012" i="8"/>
  <c r="F2267" i="8"/>
  <c r="C2267" i="8"/>
  <c r="F2456" i="8"/>
  <c r="C2456" i="8"/>
  <c r="F2790" i="8"/>
  <c r="C2790" i="8"/>
  <c r="F481" i="8"/>
  <c r="C481" i="8"/>
  <c r="F544" i="8"/>
  <c r="C544" i="8"/>
  <c r="F2599" i="8"/>
  <c r="C2599" i="8"/>
  <c r="F117" i="8"/>
  <c r="C117" i="8"/>
  <c r="F1381" i="8"/>
  <c r="C1381" i="8"/>
  <c r="F1819" i="8"/>
  <c r="C1819" i="8"/>
  <c r="F78" i="8"/>
  <c r="C78" i="8"/>
  <c r="F900" i="8"/>
  <c r="C900" i="8"/>
  <c r="F302" i="8"/>
  <c r="C302" i="8"/>
  <c r="F2290" i="8"/>
  <c r="C2290" i="8"/>
  <c r="F1932" i="8"/>
  <c r="C1932" i="8"/>
  <c r="F572" i="8"/>
  <c r="C572" i="8"/>
  <c r="F2293" i="8"/>
  <c r="C2293" i="8"/>
  <c r="F42" i="8"/>
  <c r="C42" i="8"/>
  <c r="F822" i="8"/>
  <c r="C822" i="8"/>
  <c r="F2783" i="8"/>
  <c r="C2783" i="8"/>
  <c r="F1263" i="8"/>
  <c r="C1263" i="8"/>
  <c r="F2104" i="8"/>
  <c r="C2104" i="8"/>
  <c r="F1230" i="8"/>
  <c r="C1230" i="8"/>
  <c r="F2082" i="8"/>
  <c r="C2082" i="8"/>
  <c r="F935" i="8"/>
  <c r="C935" i="8"/>
  <c r="F1413" i="8"/>
  <c r="C1413" i="8"/>
  <c r="F138" i="8"/>
  <c r="C138" i="8"/>
  <c r="F116" i="8"/>
  <c r="C116" i="8"/>
  <c r="F513" i="8"/>
  <c r="C513" i="8"/>
  <c r="F52" i="8"/>
  <c r="C52" i="8"/>
  <c r="F459" i="8"/>
  <c r="C459" i="8"/>
  <c r="F980" i="8"/>
  <c r="C980" i="8"/>
  <c r="F103" i="8"/>
  <c r="C103" i="8"/>
  <c r="F2955" i="8"/>
  <c r="C2955" i="8"/>
  <c r="F447" i="8"/>
  <c r="C447" i="8"/>
  <c r="F2725" i="8"/>
  <c r="C2725" i="8"/>
  <c r="F2196" i="8"/>
  <c r="C2196" i="8"/>
  <c r="F2998" i="8"/>
  <c r="C2998" i="8"/>
  <c r="F450" i="8"/>
  <c r="C450" i="8"/>
  <c r="F2182" i="8"/>
  <c r="C2182" i="8"/>
  <c r="F1417" i="8"/>
  <c r="C1417" i="8"/>
  <c r="F796" i="8"/>
  <c r="C796" i="8"/>
  <c r="F2553" i="8"/>
  <c r="C2553" i="8"/>
  <c r="F1404" i="8"/>
  <c r="C1404" i="8"/>
  <c r="F3570" i="8"/>
  <c r="C3570" i="8"/>
  <c r="F660" i="8"/>
  <c r="C660" i="8"/>
  <c r="F2483" i="8"/>
  <c r="C2483" i="8"/>
  <c r="F1453" i="8"/>
  <c r="C1453" i="8"/>
  <c r="F3132" i="8"/>
  <c r="C3132" i="8"/>
  <c r="F200" i="8"/>
  <c r="C200" i="8"/>
  <c r="F569" i="8"/>
  <c r="C569" i="8"/>
  <c r="F183" i="8"/>
  <c r="C183" i="8"/>
  <c r="F2163" i="8"/>
  <c r="C2163" i="8"/>
  <c r="F413" i="8"/>
  <c r="C413" i="8"/>
  <c r="F1187" i="8"/>
  <c r="C1187" i="8"/>
  <c r="F3581" i="8"/>
  <c r="C3581" i="8"/>
  <c r="F1002" i="8"/>
  <c r="C1002" i="8"/>
  <c r="F3598" i="8"/>
  <c r="C3598" i="8"/>
  <c r="F154" i="8"/>
  <c r="C154" i="8"/>
  <c r="F1549" i="8"/>
  <c r="C1549" i="8"/>
  <c r="F2251" i="8"/>
  <c r="C2251" i="8"/>
  <c r="F2113" i="8"/>
  <c r="C2113" i="8"/>
  <c r="F3438" i="8"/>
  <c r="C3438" i="8"/>
  <c r="F1959" i="8"/>
  <c r="C1959" i="8"/>
  <c r="F1449" i="8"/>
  <c r="C1449" i="8"/>
  <c r="F1986" i="8"/>
  <c r="C1986" i="8"/>
  <c r="F2156" i="8"/>
  <c r="C2156" i="8"/>
  <c r="F621" i="8"/>
  <c r="C621" i="8"/>
  <c r="F1333" i="8"/>
  <c r="C1333" i="8"/>
  <c r="F1714" i="8"/>
  <c r="C1714" i="8"/>
  <c r="F1707" i="8"/>
  <c r="C1707" i="8"/>
  <c r="F451" i="8"/>
  <c r="C451" i="8"/>
  <c r="F836" i="8"/>
  <c r="C836" i="8"/>
  <c r="F59" i="8"/>
  <c r="C59" i="8"/>
  <c r="F192" i="8"/>
  <c r="C192" i="8"/>
  <c r="F878" i="8"/>
  <c r="C878" i="8"/>
  <c r="F1897" i="8"/>
  <c r="C1897" i="8"/>
  <c r="F383" i="8"/>
  <c r="C383" i="8"/>
  <c r="F816" i="8"/>
  <c r="C816" i="8"/>
  <c r="F950" i="8"/>
  <c r="C950" i="8"/>
  <c r="F379" i="8"/>
  <c r="C379" i="8"/>
  <c r="F611" i="8"/>
  <c r="C611" i="8"/>
  <c r="F1191" i="8"/>
  <c r="C1191" i="8"/>
  <c r="F2688" i="8"/>
  <c r="C2688" i="8"/>
  <c r="F2326" i="8"/>
  <c r="C2326" i="8"/>
  <c r="F623" i="8"/>
  <c r="C623" i="8"/>
  <c r="F2674" i="8"/>
  <c r="C2674" i="8"/>
  <c r="F2439" i="8"/>
  <c r="C2439" i="8"/>
  <c r="F61" i="8"/>
  <c r="C61" i="8"/>
  <c r="F1721" i="8"/>
  <c r="C1721" i="8"/>
  <c r="F707" i="8"/>
  <c r="C707" i="8"/>
  <c r="F479" i="8"/>
  <c r="C479" i="8"/>
  <c r="F867" i="8"/>
  <c r="C867" i="8"/>
  <c r="F346" i="8"/>
  <c r="C346" i="8"/>
  <c r="F2516" i="8"/>
  <c r="C2516" i="8"/>
  <c r="F656" i="8"/>
  <c r="C656" i="8"/>
  <c r="F1273" i="8"/>
  <c r="C1273" i="8"/>
  <c r="F634" i="8"/>
  <c r="C634" i="8"/>
  <c r="F831" i="8"/>
  <c r="C831" i="8"/>
  <c r="F1165" i="8"/>
  <c r="C1165" i="8"/>
  <c r="F1967" i="8"/>
  <c r="C1967" i="8"/>
  <c r="F1834" i="8"/>
  <c r="C1834" i="8"/>
  <c r="F1873" i="8"/>
  <c r="C1873" i="8"/>
  <c r="F2308" i="8"/>
  <c r="C2308" i="8"/>
  <c r="F1997" i="8"/>
  <c r="C1997" i="8"/>
  <c r="F3260" i="8"/>
  <c r="C3260" i="8"/>
  <c r="F1384" i="8"/>
  <c r="C1384" i="8"/>
  <c r="F1753" i="8"/>
  <c r="C1753" i="8"/>
  <c r="F1459" i="8"/>
  <c r="C1459" i="8"/>
  <c r="F2698" i="8"/>
  <c r="C2698" i="8"/>
  <c r="F3223" i="8"/>
  <c r="C3223" i="8"/>
  <c r="F3553" i="8"/>
  <c r="C3553" i="8"/>
  <c r="F1769" i="8"/>
  <c r="C1769" i="8"/>
  <c r="F1272" i="8"/>
  <c r="C1272" i="8"/>
  <c r="F3336" i="8"/>
  <c r="C3336" i="8"/>
  <c r="F3363" i="8"/>
  <c r="C3363" i="8"/>
  <c r="F1673" i="8"/>
  <c r="C1673" i="8"/>
  <c r="F3127" i="8"/>
  <c r="C3127" i="8"/>
  <c r="F1685" i="8"/>
  <c r="C1685" i="8"/>
  <c r="F1192" i="8"/>
  <c r="C1192" i="8"/>
  <c r="F3160" i="8"/>
  <c r="C3160" i="8"/>
  <c r="F1012" i="8"/>
  <c r="C1012" i="8"/>
  <c r="F10" i="8"/>
  <c r="C10" i="8"/>
  <c r="F1612" i="8"/>
  <c r="C1612" i="8"/>
  <c r="F2843" i="8"/>
  <c r="C2843" i="8"/>
  <c r="F3476" i="8"/>
  <c r="C3476" i="8"/>
  <c r="F3323" i="8"/>
  <c r="C3323" i="8"/>
  <c r="F1642" i="8"/>
  <c r="C1642" i="8"/>
  <c r="F3495" i="8"/>
  <c r="C3495" i="8"/>
  <c r="F2798" i="8"/>
  <c r="C2798" i="8"/>
  <c r="F1684" i="8"/>
  <c r="C1684" i="8"/>
  <c r="F3286" i="8"/>
  <c r="C3286" i="8"/>
  <c r="F3648" i="8"/>
  <c r="C3648" i="8"/>
  <c r="F3516" i="8"/>
  <c r="C3516" i="8"/>
  <c r="F485" i="8"/>
  <c r="C485" i="8"/>
  <c r="F1301" i="8"/>
  <c r="C1301" i="8"/>
  <c r="F3437" i="8"/>
  <c r="C3437" i="8"/>
  <c r="F3183" i="8"/>
  <c r="C3183" i="8"/>
  <c r="F3187" i="8"/>
  <c r="C3187" i="8"/>
  <c r="F2418" i="8"/>
  <c r="C2418" i="8"/>
  <c r="F3494" i="8"/>
  <c r="C3494" i="8"/>
  <c r="F3478" i="8"/>
  <c r="C3478" i="8"/>
  <c r="F2525" i="8"/>
  <c r="C2525" i="8"/>
  <c r="F3007" i="8"/>
  <c r="C3007" i="8"/>
  <c r="F3642" i="8"/>
  <c r="C3642" i="8"/>
  <c r="F2562" i="8"/>
  <c r="C2562" i="8"/>
  <c r="F2109" i="8"/>
  <c r="C2109" i="8"/>
  <c r="F703" i="8"/>
  <c r="C703" i="8"/>
  <c r="F1117" i="8"/>
  <c r="C1117" i="8"/>
  <c r="F3365" i="8"/>
  <c r="C3365" i="8"/>
  <c r="F1037" i="8"/>
  <c r="C1037" i="8"/>
  <c r="F40" i="8"/>
  <c r="C40" i="8"/>
  <c r="F2806" i="8"/>
  <c r="C2806" i="8"/>
  <c r="F2778" i="8"/>
  <c r="C2778" i="8"/>
  <c r="F1492" i="8"/>
  <c r="C1492" i="8"/>
  <c r="F1091" i="8"/>
  <c r="C1091" i="8"/>
  <c r="F3328" i="8"/>
  <c r="C3328" i="8"/>
  <c r="F3575" i="8"/>
  <c r="C3575" i="8"/>
  <c r="F1355" i="8"/>
  <c r="C1355" i="8"/>
  <c r="F1888" i="8"/>
  <c r="C1888" i="8"/>
  <c r="F2359" i="8"/>
  <c r="C2359" i="8"/>
  <c r="F3468" i="8"/>
  <c r="C3468" i="8"/>
  <c r="F750" i="8"/>
  <c r="C750" i="8"/>
  <c r="F2986" i="8"/>
  <c r="C2986" i="8"/>
  <c r="F2208" i="8"/>
  <c r="C2208" i="8"/>
  <c r="F3640" i="8"/>
  <c r="C3640" i="8"/>
  <c r="F2096" i="8"/>
  <c r="C2096" i="8"/>
  <c r="F2007" i="8"/>
  <c r="C2007" i="8"/>
  <c r="F1143" i="8"/>
  <c r="C1143" i="8"/>
  <c r="F2253" i="8"/>
  <c r="C2253" i="8"/>
  <c r="F411" i="8"/>
  <c r="C411" i="8"/>
  <c r="F3221" i="8"/>
  <c r="C3221" i="8"/>
  <c r="F1138" i="8"/>
  <c r="C1138" i="8"/>
  <c r="F2240" i="8"/>
  <c r="C2240" i="8"/>
  <c r="F2130" i="8"/>
  <c r="C2130" i="8"/>
  <c r="F1011" i="8"/>
  <c r="C1011" i="8"/>
  <c r="F2531" i="8"/>
  <c r="C2531" i="8"/>
  <c r="F2098" i="8"/>
  <c r="C2098" i="8"/>
  <c r="F2452" i="8"/>
  <c r="C2452" i="8"/>
  <c r="F2992" i="8"/>
  <c r="C2992" i="8"/>
  <c r="F3012" i="8"/>
  <c r="C3012" i="8"/>
  <c r="F3325" i="8"/>
  <c r="C3325" i="8"/>
  <c r="F2488" i="8"/>
  <c r="C2488" i="8"/>
  <c r="F3364" i="8"/>
  <c r="C3364" i="8"/>
  <c r="F1505" i="8"/>
  <c r="C1505" i="8"/>
  <c r="F1155" i="8"/>
  <c r="C1155" i="8"/>
  <c r="F2429" i="8"/>
  <c r="C2429" i="8"/>
  <c r="F3590" i="8"/>
  <c r="C3590" i="8"/>
  <c r="F2848" i="8"/>
  <c r="C2848" i="8"/>
  <c r="F1768" i="8"/>
  <c r="C1768" i="8"/>
  <c r="F3500" i="8"/>
  <c r="C3500" i="8"/>
  <c r="F3620" i="8"/>
  <c r="C3620" i="8"/>
  <c r="F3329" i="8"/>
  <c r="C3329" i="8"/>
  <c r="F3375" i="8"/>
  <c r="C3375" i="8"/>
  <c r="F3453" i="8"/>
  <c r="C3453" i="8"/>
  <c r="F3446" i="8"/>
  <c r="C3446" i="8"/>
  <c r="F3249" i="8"/>
  <c r="C3249" i="8"/>
  <c r="F1559" i="8"/>
  <c r="C1559" i="8"/>
  <c r="F3546" i="8"/>
  <c r="C3546" i="8"/>
  <c r="F3572" i="8"/>
  <c r="C3572" i="8"/>
  <c r="F3149" i="8"/>
  <c r="C3149" i="8"/>
  <c r="F283" i="8"/>
  <c r="C283" i="8"/>
  <c r="F3072" i="8"/>
  <c r="C3072" i="8"/>
  <c r="F3166" i="8"/>
  <c r="C3166" i="8"/>
  <c r="F3201" i="8"/>
  <c r="C3201" i="8"/>
  <c r="F2862" i="8"/>
  <c r="C2862" i="8"/>
  <c r="F3199" i="8"/>
  <c r="C3199" i="8"/>
  <c r="F2528" i="8"/>
  <c r="C2528" i="8"/>
  <c r="F514" i="8"/>
  <c r="C514" i="8"/>
  <c r="F1567" i="8"/>
  <c r="C1567" i="8"/>
  <c r="F3258" i="8"/>
  <c r="C3258" i="8"/>
  <c r="F360" i="8"/>
  <c r="C360" i="8"/>
  <c r="F1749" i="8"/>
  <c r="C1749" i="8"/>
  <c r="F277" i="8"/>
  <c r="C277" i="8"/>
  <c r="F1292" i="8"/>
  <c r="C1292" i="8"/>
  <c r="F307" i="8"/>
  <c r="C307" i="8"/>
  <c r="F3081" i="8"/>
  <c r="C3081" i="8"/>
  <c r="F432" i="8"/>
  <c r="C432" i="8"/>
  <c r="F499" i="8"/>
  <c r="C499" i="8"/>
  <c r="F2185" i="8"/>
  <c r="C2185" i="8"/>
  <c r="F175" i="8"/>
  <c r="C175" i="8"/>
  <c r="F1486" i="8"/>
  <c r="C1486" i="8"/>
  <c r="F929" i="8"/>
  <c r="C929" i="8"/>
  <c r="F1884" i="8"/>
  <c r="C1884" i="8"/>
  <c r="F3227" i="8"/>
  <c r="C3227" i="8"/>
  <c r="F55" i="8"/>
  <c r="C55" i="8"/>
  <c r="F1791" i="8"/>
  <c r="C1791" i="8"/>
  <c r="F1339" i="8"/>
  <c r="C1339" i="8"/>
  <c r="F365" i="8"/>
  <c r="C365" i="8"/>
  <c r="F3584" i="8"/>
  <c r="C3584" i="8"/>
  <c r="F720" i="8"/>
  <c r="C720" i="8"/>
  <c r="F3193" i="8"/>
  <c r="C3193" i="8"/>
  <c r="F695" i="8"/>
  <c r="C695" i="8"/>
  <c r="F1093" i="8"/>
  <c r="C1093" i="8"/>
  <c r="F1377" i="8"/>
  <c r="C1377" i="8"/>
  <c r="F2425" i="8"/>
  <c r="C2425" i="8"/>
  <c r="F1433" i="8"/>
  <c r="C1433" i="8"/>
  <c r="F1800" i="8"/>
  <c r="C1800" i="8"/>
  <c r="F2444" i="8"/>
  <c r="C2444" i="8"/>
  <c r="F1644" i="8"/>
  <c r="C1644" i="8"/>
  <c r="F1914" i="8"/>
  <c r="C1914" i="8"/>
  <c r="F732" i="8"/>
  <c r="C732" i="8"/>
  <c r="F538" i="8"/>
  <c r="C538" i="8"/>
  <c r="F1945" i="8"/>
  <c r="C1945" i="8"/>
  <c r="F1058" i="8"/>
  <c r="C1058" i="8"/>
  <c r="F2500" i="8"/>
  <c r="C2500" i="8"/>
  <c r="F3398" i="8"/>
  <c r="C3398" i="8"/>
  <c r="F100" i="8"/>
  <c r="C100" i="8"/>
  <c r="F171" i="8"/>
  <c r="C171" i="8"/>
  <c r="F2252" i="8"/>
  <c r="C2252" i="8"/>
  <c r="F1542" i="8"/>
  <c r="C1542" i="8"/>
  <c r="F516" i="8"/>
  <c r="C516" i="8"/>
  <c r="F2578" i="8"/>
  <c r="C2578" i="8"/>
  <c r="F1761" i="8"/>
  <c r="C1761" i="8"/>
  <c r="F267" i="8"/>
  <c r="C267" i="8"/>
  <c r="F2919" i="8"/>
  <c r="C2919" i="8"/>
  <c r="F1506" i="8"/>
  <c r="C1506" i="8"/>
  <c r="F864" i="8"/>
  <c r="C864" i="8"/>
  <c r="F890" i="8"/>
  <c r="C890" i="8"/>
  <c r="F2116" i="8"/>
  <c r="C2116" i="8"/>
  <c r="F3252" i="8"/>
  <c r="C3252" i="8"/>
  <c r="F330" i="8"/>
  <c r="C330" i="8"/>
  <c r="F982" i="8"/>
  <c r="C982" i="8"/>
  <c r="F2581" i="8"/>
  <c r="C2581" i="8"/>
  <c r="F17" i="8"/>
  <c r="C17" i="8"/>
  <c r="F3104" i="8"/>
  <c r="C3104" i="8"/>
  <c r="F369" i="8"/>
  <c r="C369" i="8"/>
  <c r="F2114" i="8"/>
  <c r="C2114" i="8"/>
  <c r="F985" i="8"/>
  <c r="C985" i="8"/>
  <c r="F1380" i="8"/>
  <c r="C1380" i="8"/>
  <c r="F80" i="8"/>
  <c r="C80" i="8"/>
  <c r="F167" i="8"/>
  <c r="C167" i="8"/>
  <c r="F2003" i="8"/>
  <c r="C2003" i="8"/>
  <c r="F2357" i="8"/>
  <c r="C2357" i="8"/>
  <c r="F1401" i="8"/>
  <c r="C1401" i="8"/>
  <c r="F482" i="8"/>
  <c r="C482" i="8"/>
  <c r="F2527" i="8"/>
  <c r="C2527" i="8"/>
  <c r="F1641" i="8"/>
  <c r="C1641" i="8"/>
  <c r="F1915" i="8"/>
  <c r="C1915" i="8"/>
  <c r="F468" i="8"/>
  <c r="C468" i="8"/>
  <c r="F50" i="8"/>
  <c r="C50" i="8"/>
  <c r="F1911" i="8"/>
  <c r="C1911" i="8"/>
  <c r="F1977" i="8"/>
  <c r="C1977" i="8"/>
  <c r="F3280" i="8"/>
  <c r="C3280" i="8"/>
  <c r="F306" i="8"/>
  <c r="C306" i="8"/>
  <c r="F1069" i="8"/>
  <c r="C1069" i="8"/>
  <c r="F558" i="8"/>
  <c r="C558" i="8"/>
  <c r="F2110" i="8"/>
  <c r="C2110" i="8"/>
  <c r="F2493" i="8"/>
  <c r="C2493" i="8"/>
  <c r="F665" i="8"/>
  <c r="C665" i="8"/>
  <c r="F402" i="8"/>
  <c r="C402" i="8"/>
  <c r="F1077" i="8"/>
  <c r="C1077" i="8"/>
  <c r="F872" i="8"/>
  <c r="C872" i="8"/>
  <c r="F2150" i="8"/>
  <c r="C2150" i="8"/>
  <c r="F3044" i="8"/>
  <c r="C3044" i="8"/>
  <c r="F797" i="8"/>
  <c r="C797" i="8"/>
  <c r="F2773" i="8"/>
  <c r="C2773" i="8"/>
  <c r="F107" i="8"/>
  <c r="C107" i="8"/>
  <c r="F483" i="8"/>
  <c r="C483" i="8"/>
  <c r="F1297" i="8"/>
  <c r="C1297" i="8"/>
  <c r="F3557" i="8"/>
  <c r="C3557" i="8"/>
  <c r="F743" i="8"/>
  <c r="C743" i="8"/>
  <c r="F3464" i="8"/>
  <c r="C3464" i="8"/>
  <c r="F1465" i="8"/>
  <c r="C1465" i="8"/>
  <c r="F1669" i="8"/>
  <c r="C1669" i="8"/>
  <c r="F3463" i="8"/>
  <c r="C3463" i="8"/>
  <c r="F335" i="8"/>
  <c r="C335" i="8"/>
  <c r="F684" i="8"/>
  <c r="C684" i="8"/>
  <c r="F832" i="8"/>
  <c r="C832" i="8"/>
  <c r="F437" i="8"/>
  <c r="C437" i="8"/>
  <c r="F1849" i="8"/>
  <c r="C1849" i="8"/>
  <c r="F767" i="8"/>
  <c r="C767" i="8"/>
  <c r="F1099" i="8"/>
  <c r="C1099" i="8"/>
  <c r="F1079" i="8"/>
  <c r="C1079" i="8"/>
  <c r="F1046" i="8"/>
  <c r="C1046" i="8"/>
  <c r="F2080" i="8"/>
  <c r="C2080" i="8"/>
  <c r="F2639" i="8"/>
  <c r="C2639" i="8"/>
  <c r="F2075" i="8"/>
  <c r="C2075" i="8"/>
  <c r="F129" i="8"/>
  <c r="C129" i="8"/>
  <c r="F1255" i="8"/>
  <c r="C1255" i="8"/>
  <c r="F1856" i="8"/>
  <c r="C1856" i="8"/>
  <c r="F2546" i="8"/>
  <c r="C2546" i="8"/>
  <c r="F341" i="8"/>
  <c r="C341" i="8"/>
  <c r="F2314" i="8"/>
  <c r="C2314" i="8"/>
  <c r="F1965" i="8"/>
  <c r="C1965" i="8"/>
  <c r="F2999" i="8"/>
  <c r="C2999" i="8"/>
  <c r="F2341" i="8"/>
  <c r="C2341" i="8"/>
  <c r="F635" i="8"/>
  <c r="C635" i="8"/>
  <c r="F1929" i="8"/>
  <c r="C1929" i="8"/>
  <c r="F1790" i="8"/>
  <c r="C1790" i="8"/>
  <c r="F2671" i="8"/>
  <c r="C2671" i="8"/>
  <c r="F2942" i="8"/>
  <c r="C2942" i="8"/>
  <c r="F3618" i="8"/>
  <c r="C3618" i="8"/>
  <c r="F1794" i="8"/>
  <c r="C1794" i="8"/>
  <c r="F552" i="8"/>
  <c r="C552" i="8"/>
  <c r="F1730" i="8"/>
  <c r="C1730" i="8"/>
  <c r="F1284" i="8"/>
  <c r="C1284" i="8"/>
  <c r="F1127" i="8"/>
  <c r="C1127" i="8"/>
  <c r="F886" i="8"/>
  <c r="C886" i="8"/>
  <c r="F3017" i="8"/>
  <c r="C3017" i="8"/>
  <c r="F1595" i="8"/>
  <c r="C1595" i="8"/>
  <c r="F690" i="8"/>
  <c r="C690" i="8"/>
  <c r="F1342" i="8"/>
  <c r="C1342" i="8"/>
  <c r="F739" i="8"/>
  <c r="C739" i="8"/>
  <c r="F1503" i="8"/>
  <c r="C1503" i="8"/>
  <c r="F2029" i="8"/>
  <c r="C2029" i="8"/>
  <c r="F1430" i="8"/>
  <c r="C1430" i="8"/>
  <c r="F503" i="8"/>
  <c r="C503" i="8"/>
  <c r="F1303" i="8"/>
  <c r="C1303" i="8"/>
  <c r="F686" i="8"/>
  <c r="C686" i="8"/>
  <c r="F719" i="8"/>
  <c r="C719" i="8"/>
  <c r="F2117" i="8"/>
  <c r="C2117" i="8"/>
  <c r="F830" i="8"/>
  <c r="C830" i="8"/>
  <c r="F3025" i="8"/>
  <c r="C3025" i="8"/>
  <c r="F2793" i="8"/>
  <c r="C2793" i="8"/>
  <c r="F1112" i="8"/>
  <c r="C1112" i="8"/>
  <c r="F3603" i="8"/>
  <c r="C3603" i="8"/>
  <c r="F2327" i="8"/>
  <c r="C2327" i="8"/>
  <c r="F1447" i="8"/>
  <c r="C1447" i="8"/>
  <c r="F3179" i="8"/>
  <c r="C3179" i="8"/>
  <c r="F1994" i="8"/>
  <c r="C1994" i="8"/>
  <c r="F3515" i="8"/>
  <c r="C3515" i="8"/>
  <c r="F1531" i="8"/>
  <c r="C1531" i="8"/>
  <c r="F1705" i="8"/>
  <c r="C1705" i="8"/>
  <c r="F688" i="8"/>
  <c r="C688" i="8"/>
  <c r="F809" i="8"/>
  <c r="C809" i="8"/>
  <c r="F2708" i="8"/>
  <c r="C2708" i="8"/>
  <c r="F721" i="8"/>
  <c r="C721" i="8"/>
  <c r="F243" i="8"/>
  <c r="C243" i="8"/>
  <c r="F16" i="8"/>
  <c r="C16" i="8"/>
  <c r="F607" i="8"/>
  <c r="C607" i="8"/>
  <c r="F813" i="8"/>
  <c r="C813" i="8"/>
  <c r="F3083" i="8"/>
  <c r="C3083" i="8"/>
  <c r="F74" i="8"/>
  <c r="C74" i="8"/>
  <c r="F893" i="8"/>
  <c r="C893" i="8"/>
  <c r="F2218" i="8"/>
  <c r="C2218" i="8"/>
  <c r="F1338" i="8"/>
  <c r="C1338" i="8"/>
  <c r="F1970" i="8"/>
  <c r="C1970" i="8"/>
  <c r="F507" i="8"/>
  <c r="C507" i="8"/>
  <c r="F1427" i="8"/>
  <c r="C1427" i="8"/>
  <c r="F1675" i="8"/>
  <c r="C1675" i="8"/>
  <c r="F1920" i="8"/>
  <c r="C1920" i="8"/>
  <c r="F1722" i="8"/>
  <c r="C1722" i="8"/>
  <c r="F654" i="8"/>
  <c r="C654" i="8"/>
  <c r="F568" i="8"/>
  <c r="C568" i="8"/>
  <c r="F1121" i="8"/>
  <c r="C1121" i="8"/>
  <c r="F184" i="8"/>
  <c r="C184" i="8"/>
  <c r="F33" i="8"/>
  <c r="C33" i="8"/>
  <c r="F2419" i="8"/>
  <c r="C2419" i="8"/>
  <c r="F2312" i="8"/>
  <c r="C2312" i="8"/>
  <c r="F2804" i="8"/>
  <c r="C2804" i="8"/>
  <c r="F3644" i="8"/>
  <c r="C3644" i="8"/>
  <c r="F1954" i="8"/>
  <c r="C1954" i="8"/>
  <c r="F3287" i="8"/>
  <c r="C3287" i="8"/>
  <c r="F2496" i="8"/>
  <c r="C2496" i="8"/>
  <c r="F3067" i="8"/>
  <c r="C3067" i="8"/>
  <c r="F3024" i="8"/>
  <c r="C3024" i="8"/>
  <c r="F1781" i="8"/>
  <c r="C1781" i="8"/>
  <c r="F3425" i="8"/>
  <c r="C3425" i="8"/>
  <c r="F1933" i="8"/>
  <c r="C1933" i="8"/>
  <c r="F1805" i="8"/>
  <c r="C1805" i="8"/>
  <c r="F1429" i="8"/>
  <c r="C1429" i="8"/>
  <c r="F2319" i="8"/>
  <c r="C2319" i="8"/>
  <c r="F1758" i="8"/>
  <c r="C1758" i="8"/>
  <c r="F899" i="8"/>
  <c r="C899" i="8"/>
  <c r="F948" i="8"/>
  <c r="C948" i="8"/>
  <c r="F2229" i="8"/>
  <c r="C2229" i="8"/>
  <c r="F1580" i="8"/>
  <c r="C1580" i="8"/>
  <c r="F1243" i="8"/>
  <c r="C1243" i="8"/>
  <c r="F456" i="8"/>
  <c r="C456" i="8"/>
  <c r="F2609" i="8"/>
  <c r="C2609" i="8"/>
  <c r="F528" i="8"/>
  <c r="C528" i="8"/>
  <c r="F839" i="8"/>
  <c r="C839" i="8"/>
  <c r="F681" i="8"/>
  <c r="C681" i="8"/>
  <c r="F2830" i="8"/>
  <c r="C2830" i="8"/>
  <c r="F760" i="8"/>
  <c r="C760" i="8"/>
  <c r="F141" i="8"/>
  <c r="C141" i="8"/>
  <c r="F332" i="8"/>
  <c r="C332" i="8"/>
  <c r="F3245" i="8"/>
  <c r="C3245" i="8"/>
  <c r="F614" i="8"/>
  <c r="C614" i="8"/>
  <c r="F2078" i="8"/>
  <c r="C2078" i="8"/>
  <c r="F1572" i="8"/>
  <c r="C1572" i="8"/>
  <c r="F1178" i="8"/>
  <c r="C1178" i="8"/>
  <c r="F406" i="8"/>
  <c r="C406" i="8"/>
  <c r="F1148" i="8"/>
  <c r="C1148" i="8"/>
  <c r="F1206" i="8"/>
  <c r="C1206" i="8"/>
  <c r="F1149" i="8"/>
  <c r="C1149" i="8"/>
  <c r="F986" i="8"/>
  <c r="C986" i="8"/>
  <c r="F2378" i="8"/>
  <c r="C2378" i="8"/>
  <c r="F2215" i="8"/>
  <c r="C2215" i="8"/>
  <c r="F3371" i="8"/>
  <c r="C3371" i="8"/>
  <c r="F823" i="8"/>
  <c r="C823" i="8"/>
  <c r="F1522" i="8"/>
  <c r="C1522" i="8"/>
  <c r="F3405" i="8"/>
  <c r="C3405" i="8"/>
  <c r="F706" i="8"/>
  <c r="C706" i="8"/>
  <c r="F1428" i="8"/>
  <c r="C1428" i="8"/>
  <c r="F2191" i="8"/>
  <c r="C2191" i="8"/>
  <c r="F2665" i="8"/>
  <c r="C2665" i="8"/>
  <c r="F2911" i="8"/>
  <c r="C2911" i="8"/>
  <c r="F255" i="8"/>
  <c r="C255" i="8"/>
  <c r="F2969" i="8"/>
  <c r="C2969" i="8"/>
  <c r="F1249" i="8"/>
  <c r="C1249" i="8"/>
  <c r="F741" i="8"/>
  <c r="C741" i="8"/>
  <c r="F2274" i="8"/>
  <c r="C2274" i="8"/>
  <c r="F1025" i="8"/>
  <c r="C1025" i="8"/>
  <c r="F2062" i="8"/>
  <c r="C2062" i="8"/>
  <c r="F3019" i="8"/>
  <c r="C3019" i="8"/>
  <c r="F3077" i="8"/>
  <c r="C3077" i="8"/>
  <c r="F1252" i="8"/>
  <c r="C1252" i="8"/>
  <c r="F596" i="8"/>
  <c r="C596" i="8"/>
  <c r="F2965" i="8"/>
  <c r="C2965" i="8"/>
  <c r="F3151" i="8"/>
  <c r="C3151" i="8"/>
  <c r="F1282" i="8"/>
  <c r="C1282" i="8"/>
  <c r="F2431" i="8"/>
  <c r="C2431" i="8"/>
  <c r="F2524" i="8"/>
  <c r="C2524" i="8"/>
  <c r="F2678" i="8"/>
  <c r="C2678" i="8"/>
  <c r="F3484" i="8"/>
  <c r="C3484" i="8"/>
  <c r="F1625" i="8"/>
  <c r="C1625" i="8"/>
  <c r="F2300" i="8"/>
  <c r="C2300" i="8"/>
  <c r="F2936" i="8"/>
  <c r="C2936" i="8"/>
  <c r="F3550" i="8"/>
  <c r="C3550" i="8"/>
  <c r="F1313" i="8"/>
  <c r="C1313" i="8"/>
  <c r="F1528" i="8"/>
  <c r="C1528" i="8"/>
  <c r="F3176" i="8"/>
  <c r="C3176" i="8"/>
  <c r="F3514" i="8"/>
  <c r="C3514" i="8"/>
  <c r="F2207" i="8"/>
  <c r="C2207" i="8"/>
  <c r="F2470" i="8"/>
  <c r="C2470" i="8"/>
  <c r="F821" i="8"/>
  <c r="C821" i="8"/>
  <c r="F1647" i="8"/>
  <c r="C1647" i="8"/>
  <c r="F949" i="8"/>
  <c r="C949" i="8"/>
  <c r="F2970" i="8"/>
  <c r="C2970" i="8"/>
  <c r="F1228" i="8"/>
  <c r="C1228" i="8"/>
  <c r="F1054" i="8"/>
  <c r="C1054" i="8"/>
  <c r="F12" i="8"/>
  <c r="C12" i="8"/>
  <c r="F1424" i="8"/>
  <c r="C1424" i="8"/>
  <c r="F661" i="8"/>
  <c r="C661" i="8"/>
  <c r="F2427" i="8"/>
  <c r="C2427" i="8"/>
  <c r="F1462" i="8"/>
  <c r="C1462" i="8"/>
  <c r="F1975" i="8"/>
  <c r="C1975" i="8"/>
  <c r="F1643" i="8"/>
  <c r="C1643" i="8"/>
  <c r="F565" i="8"/>
  <c r="C565" i="8"/>
  <c r="F1964" i="8"/>
  <c r="C1964" i="8"/>
  <c r="F3264" i="8"/>
  <c r="C3264" i="8"/>
  <c r="F3128" i="8"/>
  <c r="C3128" i="8"/>
  <c r="F1172" i="8"/>
  <c r="C1172" i="8"/>
  <c r="F2195" i="8"/>
  <c r="C2195" i="8"/>
  <c r="F1322" i="8"/>
  <c r="C1322" i="8"/>
  <c r="F975" i="8"/>
  <c r="C975" i="8"/>
  <c r="F1232" i="8"/>
  <c r="C1232" i="8"/>
  <c r="F417" i="8"/>
  <c r="C417" i="8"/>
  <c r="F1113" i="8"/>
  <c r="C1113" i="8"/>
  <c r="F1936" i="8"/>
  <c r="C1936" i="8"/>
  <c r="F3381" i="8"/>
  <c r="C3381" i="8"/>
  <c r="F372" i="8"/>
  <c r="C372" i="8"/>
  <c r="F1062" i="8"/>
  <c r="C1062" i="8"/>
  <c r="F2602" i="8"/>
  <c r="C2602" i="8"/>
  <c r="F1321" i="8"/>
  <c r="C1321" i="8"/>
  <c r="F1804" i="8"/>
  <c r="C1804" i="8"/>
  <c r="F2487" i="8"/>
  <c r="C2487" i="8"/>
  <c r="F469" i="8"/>
  <c r="C469" i="8"/>
  <c r="F2136" i="8"/>
  <c r="C2136" i="8"/>
  <c r="F2100" i="8"/>
  <c r="C2100" i="8"/>
  <c r="F2094" i="8"/>
  <c r="C2094" i="8"/>
  <c r="F158" i="8"/>
  <c r="C158" i="8"/>
  <c r="F1509" i="8"/>
  <c r="C1509" i="8"/>
  <c r="F2389" i="8"/>
  <c r="C2389" i="8"/>
  <c r="F272" i="8"/>
  <c r="C272" i="8"/>
  <c r="F2795" i="8"/>
  <c r="C2795" i="8"/>
  <c r="F2265" i="8"/>
  <c r="C2265" i="8"/>
  <c r="F1022" i="8"/>
  <c r="C1022" i="8"/>
  <c r="F1551" i="8"/>
  <c r="C1551" i="8"/>
  <c r="F2088" i="8"/>
  <c r="C2088" i="8"/>
  <c r="F2489" i="8"/>
  <c r="C2489" i="8"/>
  <c r="F1196" i="8"/>
  <c r="C1196" i="8"/>
  <c r="F295" i="8"/>
  <c r="C295" i="8"/>
  <c r="F1949" i="8"/>
  <c r="C1949" i="8"/>
  <c r="F974" i="8"/>
  <c r="C974" i="8"/>
  <c r="F354" i="8"/>
  <c r="C354" i="8"/>
  <c r="F625" i="8"/>
  <c r="C625" i="8"/>
  <c r="F2139" i="8"/>
  <c r="C2139" i="8"/>
  <c r="F1115" i="8"/>
  <c r="C1115" i="8"/>
  <c r="F746" i="8"/>
  <c r="C746" i="8"/>
  <c r="F384" i="8"/>
  <c r="C384" i="8"/>
  <c r="F3313" i="8"/>
  <c r="C3313" i="8"/>
  <c r="F820" i="8"/>
  <c r="C820" i="8"/>
  <c r="F2852" i="8"/>
  <c r="C2852" i="8"/>
  <c r="F1689" i="8"/>
  <c r="C1689" i="8"/>
  <c r="F3376" i="8"/>
  <c r="C3376" i="8"/>
  <c r="F2684" i="8"/>
  <c r="C2684" i="8"/>
  <c r="F2535" i="8"/>
  <c r="C2535" i="8"/>
  <c r="F475" i="8"/>
  <c r="C475" i="8"/>
  <c r="F882" i="8"/>
  <c r="C882" i="8"/>
  <c r="F946" i="8"/>
  <c r="C946" i="8"/>
  <c r="F622" i="8"/>
  <c r="C622" i="8"/>
  <c r="F210" i="8"/>
  <c r="C210" i="8"/>
  <c r="F2658" i="8"/>
  <c r="C2658" i="8"/>
  <c r="F2944" i="8"/>
  <c r="C2944" i="8"/>
  <c r="F1443" i="8"/>
  <c r="C1443" i="8"/>
  <c r="F442" i="8"/>
  <c r="C442" i="8"/>
  <c r="F204" i="8"/>
  <c r="C204" i="8"/>
  <c r="F1029" i="8"/>
  <c r="C1029" i="8"/>
  <c r="F2711" i="8"/>
  <c r="C2711" i="8"/>
  <c r="F1154" i="8"/>
  <c r="C1154" i="8"/>
  <c r="F551" i="8"/>
  <c r="C551" i="8"/>
  <c r="F1310" i="8"/>
  <c r="C1310" i="8"/>
  <c r="F2471" i="8"/>
  <c r="C2471" i="8"/>
  <c r="F410" i="8"/>
  <c r="C410" i="8"/>
  <c r="F1119" i="8"/>
  <c r="C1119" i="8"/>
  <c r="F114" i="8"/>
  <c r="C114" i="8"/>
  <c r="F2780" i="8"/>
  <c r="C2780" i="8"/>
  <c r="F131" i="8"/>
  <c r="C131" i="8"/>
  <c r="F651" i="8"/>
  <c r="C651" i="8"/>
  <c r="F366" i="8"/>
  <c r="C366" i="8"/>
  <c r="F3556" i="8"/>
  <c r="C3556" i="8"/>
  <c r="F452" i="8"/>
  <c r="C452" i="8"/>
  <c r="F1934" i="8"/>
  <c r="C1934" i="8"/>
  <c r="F2383" i="8"/>
  <c r="C2383" i="8"/>
  <c r="F377" i="8"/>
  <c r="C377" i="8"/>
  <c r="F570" i="8"/>
  <c r="C570" i="8"/>
  <c r="F2739" i="8"/>
  <c r="C2739" i="8"/>
  <c r="F1497" i="8"/>
  <c r="C1497" i="8"/>
  <c r="F633" i="8"/>
  <c r="C633" i="8"/>
  <c r="F258" i="8"/>
  <c r="C258" i="8"/>
  <c r="F2627" i="8"/>
  <c r="C2627" i="8"/>
  <c r="F320" i="8"/>
  <c r="C320" i="8"/>
  <c r="F215" i="8"/>
  <c r="C215" i="8"/>
  <c r="F2011" i="8"/>
  <c r="C2011" i="8"/>
  <c r="F2360" i="8"/>
  <c r="C2360" i="8"/>
  <c r="F756" i="8"/>
  <c r="C756" i="8"/>
  <c r="F926" i="8"/>
  <c r="C926" i="8"/>
  <c r="F60" i="8"/>
  <c r="C60" i="8"/>
  <c r="F1818" i="8"/>
  <c r="C1818" i="8"/>
  <c r="F2198" i="8"/>
  <c r="C2198" i="8"/>
  <c r="F348" i="8"/>
  <c r="C348" i="8"/>
  <c r="F2713" i="8"/>
  <c r="C2713" i="8"/>
  <c r="F1043" i="8"/>
  <c r="C1043" i="8"/>
  <c r="F368" i="8"/>
  <c r="C368" i="8"/>
  <c r="F646" i="8"/>
  <c r="C646" i="8"/>
  <c r="F268" i="8"/>
  <c r="C268" i="8"/>
  <c r="F1220" i="8"/>
  <c r="C1220" i="8"/>
  <c r="F1106" i="8"/>
  <c r="C1106" i="8"/>
  <c r="F294" i="8"/>
  <c r="C294" i="8"/>
  <c r="F90" i="8"/>
  <c r="C90" i="8"/>
  <c r="F228" i="8"/>
  <c r="C228" i="8"/>
  <c r="F3191" i="8"/>
  <c r="C3191" i="8"/>
  <c r="F1021" i="8"/>
  <c r="C1021" i="8"/>
  <c r="F2249" i="8"/>
  <c r="C2249" i="8"/>
  <c r="F2679" i="8"/>
  <c r="C2679" i="8"/>
  <c r="F2990" i="8"/>
  <c r="C2990" i="8"/>
  <c r="F1808" i="8"/>
  <c r="C1808" i="8"/>
  <c r="F939" i="8"/>
  <c r="C939" i="8"/>
  <c r="F102" i="8"/>
  <c r="C102" i="8"/>
  <c r="F619" i="8"/>
  <c r="C619" i="8"/>
  <c r="F2732" i="8"/>
  <c r="C2732" i="8"/>
  <c r="F3522" i="8"/>
  <c r="C3522" i="8"/>
  <c r="F1317" i="8"/>
  <c r="C1317" i="8"/>
  <c r="F1047" i="8"/>
  <c r="C1047" i="8"/>
  <c r="F1024" i="8"/>
  <c r="C1024" i="8"/>
  <c r="F2079" i="8"/>
  <c r="C2079" i="8"/>
  <c r="F1652" i="8"/>
  <c r="C1652" i="8"/>
  <c r="F473" i="8"/>
  <c r="C473" i="8"/>
  <c r="F678" i="8"/>
  <c r="C678" i="8"/>
  <c r="F725" i="8"/>
  <c r="C725" i="8"/>
  <c r="F1562" i="8"/>
  <c r="C1562" i="8"/>
  <c r="F972" i="8"/>
  <c r="C972" i="8"/>
  <c r="F201" i="8"/>
  <c r="C201" i="8"/>
  <c r="F3355" i="8"/>
  <c r="C3355" i="8"/>
  <c r="F1350" i="8"/>
  <c r="C1350" i="8"/>
  <c r="F1982" i="8"/>
  <c r="C1982" i="8"/>
  <c r="F1100" i="8"/>
  <c r="C1100" i="8"/>
  <c r="F1754" i="8"/>
  <c r="C1754" i="8"/>
  <c r="F1759" i="8"/>
  <c r="C1759" i="8"/>
  <c r="F81" i="8"/>
  <c r="C81" i="8"/>
  <c r="F613" i="8"/>
  <c r="C613" i="8"/>
  <c r="F1098" i="8"/>
  <c r="C1098" i="8"/>
  <c r="F698" i="8"/>
  <c r="C698" i="8"/>
  <c r="F1010" i="8"/>
  <c r="C1010" i="8"/>
  <c r="F2538" i="8"/>
  <c r="C2538" i="8"/>
  <c r="F977" i="8"/>
  <c r="C977" i="8"/>
  <c r="F676" i="8"/>
  <c r="C676" i="8"/>
  <c r="F349" i="8"/>
  <c r="C349" i="8"/>
  <c r="F338" i="8"/>
  <c r="C338" i="8"/>
  <c r="F2190" i="8"/>
  <c r="C2190" i="8"/>
  <c r="F773" i="8"/>
  <c r="C773" i="8"/>
  <c r="F1598" i="8"/>
  <c r="C1598" i="8"/>
  <c r="F229" i="8"/>
  <c r="C229" i="8"/>
  <c r="F768" i="8"/>
  <c r="C768" i="8"/>
  <c r="F95" i="8"/>
  <c r="C95" i="8"/>
  <c r="F1183" i="8"/>
  <c r="C1183" i="8"/>
  <c r="F461" i="8"/>
  <c r="C461" i="8"/>
  <c r="F1346" i="8"/>
  <c r="C1346" i="8"/>
  <c r="F2000" i="8"/>
  <c r="C2000" i="8"/>
  <c r="F453" i="8"/>
  <c r="C453" i="8"/>
  <c r="F702" i="8"/>
  <c r="C702" i="8"/>
  <c r="F2067" i="8"/>
  <c r="C2067" i="8"/>
  <c r="F2144" i="8"/>
  <c r="C2144" i="8"/>
  <c r="F237" i="8"/>
  <c r="C237" i="8"/>
  <c r="F2503" i="8"/>
  <c r="C2503" i="8"/>
  <c r="F2681" i="8"/>
  <c r="C2681" i="8"/>
  <c r="F206" i="8"/>
  <c r="C206" i="8"/>
  <c r="F19" i="8"/>
  <c r="C19" i="8"/>
  <c r="F979" i="8"/>
  <c r="C979" i="8"/>
  <c r="F1771" i="8"/>
  <c r="C1771" i="8"/>
  <c r="F1812" i="8"/>
  <c r="C1812" i="8"/>
  <c r="F712" i="8"/>
  <c r="C712" i="8"/>
  <c r="F1728" i="8"/>
  <c r="C1728" i="8"/>
  <c r="F928" i="8"/>
  <c r="C928" i="8"/>
  <c r="F526" i="8"/>
  <c r="C526" i="8"/>
  <c r="F28" i="8"/>
  <c r="C28" i="8"/>
  <c r="F2023" i="8"/>
  <c r="C2023" i="8"/>
  <c r="F892" i="8"/>
  <c r="C892" i="8"/>
  <c r="F2172" i="8"/>
  <c r="C2172" i="8"/>
  <c r="F863" i="8"/>
  <c r="C863" i="8"/>
  <c r="F3409" i="8"/>
  <c r="C3409" i="8"/>
  <c r="F2941" i="8"/>
  <c r="C2941" i="8"/>
  <c r="F3218" i="8"/>
  <c r="C3218" i="8"/>
  <c r="F1697" i="8"/>
  <c r="C1697" i="8"/>
  <c r="F2473" i="8"/>
  <c r="C2473" i="8"/>
  <c r="F3064" i="8"/>
  <c r="C3064" i="8"/>
  <c r="F2905" i="8"/>
  <c r="C2905" i="8"/>
  <c r="F1517" i="8"/>
  <c r="C1517" i="8"/>
  <c r="F1660" i="8"/>
  <c r="C1660" i="8"/>
  <c r="F1137" i="8"/>
  <c r="C1137" i="8"/>
  <c r="F2200" i="8"/>
  <c r="C2200" i="8"/>
  <c r="F2633" i="8"/>
  <c r="C2633" i="8"/>
  <c r="F2861" i="8"/>
  <c r="C2861" i="8"/>
  <c r="F3299" i="8"/>
  <c r="C3299" i="8"/>
  <c r="F2259" i="8"/>
  <c r="C2259" i="8"/>
  <c r="F3466" i="8"/>
  <c r="C3466" i="8"/>
  <c r="F3455" i="8"/>
  <c r="C3455" i="8"/>
  <c r="F3113" i="8"/>
  <c r="C3113" i="8"/>
  <c r="F2508" i="8"/>
  <c r="C2508" i="8"/>
  <c r="F371" i="8"/>
  <c r="C371" i="8"/>
  <c r="F3106" i="8"/>
  <c r="C3106" i="8"/>
  <c r="F1570" i="8"/>
  <c r="C1570" i="8"/>
  <c r="F3060" i="8"/>
  <c r="C3060" i="8"/>
  <c r="F2498" i="8"/>
  <c r="C2498" i="8"/>
  <c r="F3524" i="8"/>
  <c r="C3524" i="8"/>
  <c r="F1835" i="8"/>
  <c r="C1835" i="8"/>
  <c r="F2035" i="8"/>
  <c r="C2035" i="8"/>
  <c r="F2534" i="8"/>
  <c r="C2534" i="8"/>
  <c r="F2227" i="8"/>
  <c r="C2227" i="8"/>
  <c r="F1983" i="8"/>
  <c r="C1983" i="8"/>
  <c r="F2584" i="8"/>
  <c r="C2584" i="8"/>
  <c r="F3596" i="8"/>
  <c r="C3596" i="8"/>
  <c r="F1907" i="8"/>
  <c r="C1907" i="8"/>
  <c r="F894" i="8"/>
  <c r="C894" i="8"/>
  <c r="F2620" i="8"/>
  <c r="C2620" i="8"/>
  <c r="F2337" i="8"/>
  <c r="C2337" i="8"/>
  <c r="F2119" i="8"/>
  <c r="C2119" i="8"/>
  <c r="F2397" i="8"/>
  <c r="C2397" i="8"/>
  <c r="F1434" i="8"/>
  <c r="C1434" i="8"/>
  <c r="F2676" i="8"/>
  <c r="C2676" i="8"/>
  <c r="F2342" i="8"/>
  <c r="C2342" i="8"/>
  <c r="F638" i="8"/>
  <c r="C638" i="8"/>
  <c r="F3627" i="8"/>
  <c r="C3627" i="8"/>
  <c r="F2233" i="8"/>
  <c r="C2233" i="8"/>
  <c r="F1420" i="8"/>
  <c r="C1420" i="8"/>
  <c r="F2838" i="8"/>
  <c r="C2838" i="8"/>
  <c r="F3563" i="8"/>
  <c r="C3563" i="8"/>
  <c r="F136" i="8"/>
  <c r="C136" i="8"/>
  <c r="F3008" i="8"/>
  <c r="C3008" i="8"/>
  <c r="F1792" i="8"/>
  <c r="C1792" i="8"/>
  <c r="F3474" i="8"/>
  <c r="C3474" i="8"/>
  <c r="F2857" i="8"/>
  <c r="C2857" i="8"/>
  <c r="F2894" i="8"/>
  <c r="C2894" i="8"/>
  <c r="F2794" i="8"/>
  <c r="C2794" i="8"/>
  <c r="F2376" i="8"/>
  <c r="C2376" i="8"/>
  <c r="F3009" i="8"/>
  <c r="C3009" i="8"/>
  <c r="F1799" i="8"/>
  <c r="C1799" i="8"/>
  <c r="F2325" i="8"/>
  <c r="C2325" i="8"/>
  <c r="F2839" i="8"/>
  <c r="C2839" i="8"/>
  <c r="F2457" i="8"/>
  <c r="C2457" i="8"/>
  <c r="F2982" i="8"/>
  <c r="C2982" i="8"/>
  <c r="F734" i="8"/>
  <c r="C734" i="8"/>
  <c r="F3061" i="8"/>
  <c r="C3061" i="8"/>
  <c r="F1259" i="8"/>
  <c r="C1259" i="8"/>
  <c r="F3029" i="8"/>
  <c r="C3029" i="8"/>
  <c r="F285" i="8"/>
  <c r="C285" i="8"/>
  <c r="F3638" i="8"/>
  <c r="C3638" i="8"/>
  <c r="F3094" i="8"/>
  <c r="C3094" i="8"/>
  <c r="F1870" i="8"/>
  <c r="C1870" i="8"/>
  <c r="F2379" i="8"/>
  <c r="C2379" i="8"/>
  <c r="F1158" i="8"/>
  <c r="C1158" i="8"/>
  <c r="F3133" i="8"/>
  <c r="C3133" i="8"/>
  <c r="F1331" i="8"/>
  <c r="C1331" i="8"/>
  <c r="F2608" i="8"/>
  <c r="C2608" i="8"/>
  <c r="F2184" i="8"/>
  <c r="C2184" i="8"/>
  <c r="F2032" i="8"/>
  <c r="C2032" i="8"/>
  <c r="F2193" i="8"/>
  <c r="C2193" i="8"/>
  <c r="F1966" i="8"/>
  <c r="C1966" i="8"/>
  <c r="F2565" i="8"/>
  <c r="C2565" i="8"/>
  <c r="F3084" i="8"/>
  <c r="C3084" i="8"/>
  <c r="F2166" i="8"/>
  <c r="C2166" i="8"/>
  <c r="F261" i="8"/>
  <c r="C261" i="8"/>
  <c r="F3212" i="8"/>
  <c r="C3212" i="8"/>
  <c r="F3567" i="8"/>
  <c r="C3567" i="8"/>
  <c r="F1708" i="8"/>
  <c r="C1708" i="8"/>
  <c r="F2328" i="8"/>
  <c r="C2328" i="8"/>
  <c r="F3433" i="8"/>
  <c r="C3433" i="8"/>
  <c r="F3604" i="8"/>
  <c r="C3604" i="8"/>
  <c r="F1877" i="8"/>
  <c r="C1877" i="8"/>
  <c r="F2404" i="8"/>
  <c r="C2404" i="8"/>
  <c r="F2147" i="8"/>
  <c r="C2147" i="8"/>
  <c r="F2685" i="8"/>
  <c r="C2685" i="8"/>
  <c r="F3491" i="8"/>
  <c r="C3491" i="8"/>
  <c r="F2934" i="8"/>
  <c r="C2934" i="8"/>
  <c r="F148" i="8"/>
  <c r="C148" i="8"/>
  <c r="F2611" i="8"/>
  <c r="C2611" i="8"/>
  <c r="F584" i="8"/>
  <c r="C584" i="8"/>
  <c r="F3423" i="8"/>
  <c r="C3423" i="8"/>
  <c r="F2155" i="8"/>
  <c r="C2155" i="8"/>
  <c r="F2648" i="8"/>
  <c r="C2648" i="8"/>
  <c r="F1042" i="8"/>
  <c r="C1042" i="8"/>
  <c r="F3181" i="8"/>
  <c r="C3181" i="8"/>
  <c r="F1738" i="8"/>
  <c r="C1738" i="8"/>
  <c r="F2750" i="8"/>
  <c r="C2750" i="8"/>
  <c r="F2415" i="8"/>
  <c r="C2415" i="8"/>
  <c r="F2771" i="8"/>
  <c r="C2771" i="8"/>
  <c r="F3220" i="8"/>
  <c r="C3220" i="8"/>
  <c r="F1157" i="8"/>
  <c r="C1157" i="8"/>
  <c r="F798" i="8"/>
  <c r="C798" i="8"/>
  <c r="F380" i="8"/>
  <c r="C380" i="8"/>
  <c r="F2825" i="8"/>
  <c r="C2825" i="8"/>
  <c r="F919" i="8"/>
  <c r="C919" i="8"/>
  <c r="F2371" i="8"/>
  <c r="C2371" i="8"/>
  <c r="F586" i="8"/>
  <c r="C586" i="8"/>
  <c r="F2650" i="8"/>
  <c r="C2650" i="8"/>
  <c r="F153" i="8"/>
  <c r="C153" i="8"/>
  <c r="F3560" i="8"/>
  <c r="C3560" i="8"/>
  <c r="F2384" i="8"/>
  <c r="C2384" i="8"/>
  <c r="F2668" i="8"/>
  <c r="C2668" i="8"/>
  <c r="F389" i="8"/>
  <c r="C389" i="8"/>
  <c r="F2876" i="8"/>
  <c r="C2876" i="8"/>
  <c r="F1372" i="8"/>
  <c r="C1372" i="8"/>
  <c r="F3112" i="8"/>
  <c r="C3112" i="8"/>
  <c r="F2367" i="8"/>
  <c r="C2367" i="8"/>
  <c r="F3641" i="8"/>
  <c r="C3641" i="8"/>
  <c r="F648" i="8"/>
  <c r="C648" i="8"/>
  <c r="F2693" i="8"/>
  <c r="C2693" i="8"/>
  <c r="F545" i="8"/>
  <c r="C545" i="8"/>
  <c r="F783" i="8"/>
  <c r="C783" i="8"/>
  <c r="F967" i="8"/>
  <c r="C967" i="8"/>
  <c r="F1587" i="8"/>
  <c r="C1587" i="8"/>
  <c r="F3341" i="8"/>
  <c r="C3341" i="8"/>
  <c r="F1455" i="8"/>
  <c r="C1455" i="8"/>
  <c r="F3257" i="8"/>
  <c r="C3257" i="8"/>
  <c r="F1865" i="8"/>
  <c r="C1865" i="8"/>
  <c r="F3374" i="8"/>
  <c r="C3374" i="8"/>
  <c r="F799" i="8"/>
  <c r="C799" i="8"/>
  <c r="F1596" i="8"/>
  <c r="C1596" i="8"/>
  <c r="F1222" i="8"/>
  <c r="C1222" i="8"/>
  <c r="F301" i="8"/>
  <c r="C301" i="8"/>
  <c r="F1283" i="8"/>
  <c r="C1283" i="8"/>
  <c r="F2851" i="8"/>
  <c r="C2851" i="8"/>
  <c r="F57" i="8"/>
  <c r="C57" i="8"/>
  <c r="F218" i="8"/>
  <c r="C218" i="8"/>
  <c r="F3052" i="8"/>
  <c r="C3052" i="8"/>
  <c r="F1374" i="8"/>
  <c r="C1374" i="8"/>
  <c r="F444" i="8"/>
  <c r="C444" i="8"/>
  <c r="F1779" i="8"/>
  <c r="C1779" i="8"/>
  <c r="F3456" i="8"/>
  <c r="C3456" i="8"/>
  <c r="F2331" i="8"/>
  <c r="C2331" i="8"/>
  <c r="F2244" i="8"/>
  <c r="C2244" i="8"/>
  <c r="F843" i="8"/>
  <c r="C843" i="8"/>
  <c r="F762" i="8"/>
  <c r="C762" i="8"/>
  <c r="F1038" i="8"/>
  <c r="C1038" i="8"/>
  <c r="F3622" i="8"/>
  <c r="C3622" i="8"/>
  <c r="F3367" i="8"/>
  <c r="C3367" i="8"/>
  <c r="F1589" i="8"/>
  <c r="C1589" i="8"/>
  <c r="F2833" i="8"/>
  <c r="C2833" i="8"/>
  <c r="F234" i="8"/>
  <c r="C234" i="8"/>
  <c r="F2458" i="8"/>
  <c r="C2458" i="8"/>
  <c r="F1285" i="8"/>
  <c r="C1285" i="8"/>
  <c r="F3366" i="8"/>
  <c r="C3366" i="8"/>
  <c r="F2236" i="8"/>
  <c r="C2236" i="8"/>
  <c r="F3378" i="8"/>
  <c r="C3378" i="8"/>
  <c r="F1102" i="8"/>
  <c r="C1102" i="8"/>
  <c r="F181" i="8"/>
  <c r="C181" i="8"/>
  <c r="F1659" i="8"/>
  <c r="C1659" i="8"/>
  <c r="F1488" i="8"/>
  <c r="C1488" i="8"/>
  <c r="F399" i="8"/>
  <c r="C399" i="8"/>
  <c r="F2169" i="8"/>
  <c r="C2169" i="8"/>
  <c r="F1124" i="8"/>
  <c r="C1124" i="8"/>
  <c r="F3303" i="8"/>
  <c r="C3303" i="8"/>
  <c r="F2981" i="8"/>
  <c r="C2981" i="8"/>
  <c r="F425" i="8"/>
  <c r="C425" i="8"/>
  <c r="F466" i="8"/>
  <c r="C466" i="8"/>
  <c r="F983" i="8"/>
  <c r="C983" i="8"/>
  <c r="F309" i="8"/>
  <c r="C309" i="8"/>
  <c r="F310" i="8"/>
  <c r="C310" i="8"/>
  <c r="F850" i="8"/>
  <c r="C850" i="8"/>
  <c r="F958" i="8"/>
  <c r="C958" i="8"/>
  <c r="F2234" i="8"/>
  <c r="C2234" i="8"/>
  <c r="F2343" i="8"/>
  <c r="C2343" i="8"/>
  <c r="F1981" i="8"/>
  <c r="C1981" i="8"/>
  <c r="F2607" i="8"/>
  <c r="C2607" i="8"/>
  <c r="F1969" i="8"/>
  <c r="C1969" i="8"/>
  <c r="F3226" i="8"/>
  <c r="C3226" i="8"/>
  <c r="F2017" i="8"/>
  <c r="C2017" i="8"/>
  <c r="F1526" i="8"/>
  <c r="C1526" i="8"/>
  <c r="F3360" i="8"/>
  <c r="C3360" i="8"/>
  <c r="F130" i="8"/>
  <c r="C130" i="8"/>
  <c r="F470" i="8"/>
  <c r="C470" i="8"/>
  <c r="F3344" i="8"/>
  <c r="C3344" i="8"/>
  <c r="F555" i="8"/>
  <c r="C555" i="8"/>
  <c r="F2600" i="8"/>
  <c r="C2600" i="8"/>
  <c r="F170" i="8"/>
  <c r="C170" i="8"/>
  <c r="F515" i="8"/>
  <c r="C515" i="8"/>
  <c r="F885" i="8"/>
  <c r="C885" i="8"/>
  <c r="F2235" i="8"/>
  <c r="C2235" i="8"/>
  <c r="F787" i="8"/>
  <c r="C787" i="8"/>
  <c r="F1088" i="8"/>
  <c r="C1088" i="8"/>
  <c r="F1650" i="8"/>
  <c r="C1650" i="8"/>
  <c r="F855" i="8"/>
  <c r="C855" i="8"/>
  <c r="F2068" i="8"/>
  <c r="C2068" i="8"/>
  <c r="F2006" i="8"/>
  <c r="C2006" i="8"/>
  <c r="F2275" i="8"/>
  <c r="C2275" i="8"/>
  <c r="F853" i="8"/>
  <c r="C853" i="8"/>
  <c r="F21" i="8"/>
  <c r="C21" i="8"/>
  <c r="F1461" i="8"/>
  <c r="C1461" i="8"/>
  <c r="F2299" i="8"/>
  <c r="C2299" i="8"/>
  <c r="F834" i="8"/>
  <c r="C834" i="8"/>
  <c r="F3277" i="8"/>
  <c r="C3277" i="8"/>
  <c r="F699" i="8"/>
  <c r="C699" i="8"/>
  <c r="F846" i="8"/>
  <c r="C846" i="8"/>
  <c r="F2145" i="8"/>
  <c r="C2145" i="8"/>
  <c r="F2204" i="8"/>
  <c r="C2204" i="8"/>
  <c r="F2124" i="8"/>
  <c r="C2124" i="8"/>
  <c r="F315" i="8"/>
  <c r="C315" i="8"/>
  <c r="F795" i="8"/>
  <c r="C795" i="8"/>
  <c r="F1677" i="8"/>
  <c r="C1677" i="8"/>
  <c r="F2477" i="8"/>
  <c r="C2477" i="8"/>
  <c r="F865" i="8"/>
  <c r="C865" i="8"/>
  <c r="F1387" i="8"/>
  <c r="C1387" i="8"/>
  <c r="F1005" i="8"/>
  <c r="C1005" i="8"/>
  <c r="F1280" i="8"/>
  <c r="C1280" i="8"/>
  <c r="F748" i="8"/>
  <c r="C748" i="8"/>
  <c r="F562" i="8"/>
  <c r="C562" i="8"/>
  <c r="F710" i="8"/>
  <c r="C710" i="8"/>
  <c r="F1649" i="8"/>
  <c r="C1649" i="8"/>
  <c r="F3496" i="8"/>
  <c r="C3496" i="8"/>
  <c r="F2817" i="8"/>
  <c r="C2817" i="8"/>
  <c r="F753" i="8"/>
  <c r="C753" i="8"/>
  <c r="F610" i="8"/>
  <c r="C610" i="8"/>
  <c r="F616" i="8"/>
  <c r="C616" i="8"/>
  <c r="F683" i="8"/>
  <c r="C683" i="8"/>
  <c r="F3276" i="8"/>
  <c r="C3276" i="8"/>
  <c r="F2921" i="8"/>
  <c r="C2921" i="8"/>
  <c r="F492" i="8"/>
  <c r="C492" i="8"/>
  <c r="F2322" i="8"/>
  <c r="C2322" i="8"/>
  <c r="F1543" i="8"/>
  <c r="C1543" i="8"/>
  <c r="F49" i="8"/>
  <c r="C49" i="8"/>
  <c r="F474" i="8"/>
  <c r="C474" i="8"/>
  <c r="F382" i="8"/>
  <c r="C382" i="8"/>
  <c r="F2053" i="8"/>
  <c r="C2053" i="8"/>
  <c r="F1801" i="8"/>
  <c r="C1801" i="8"/>
  <c r="F314" i="8"/>
  <c r="C314" i="8"/>
  <c r="F278" i="8"/>
  <c r="C278" i="8"/>
  <c r="F934" i="8"/>
  <c r="C934" i="8"/>
  <c r="F1286" i="8"/>
  <c r="C1286" i="8"/>
  <c r="F3402" i="8"/>
  <c r="C3402" i="8"/>
  <c r="F3107" i="8"/>
  <c r="C3107" i="8"/>
  <c r="F1590" i="8"/>
  <c r="C1590" i="8"/>
  <c r="F79" i="8"/>
  <c r="C79" i="8"/>
  <c r="F1189" i="8"/>
  <c r="C1189" i="8"/>
  <c r="F1356" i="8"/>
  <c r="C1356" i="8"/>
  <c r="F722" i="8"/>
  <c r="C722" i="8"/>
  <c r="F1201" i="8"/>
  <c r="C1201" i="8"/>
  <c r="F2224" i="8"/>
  <c r="C2224" i="8"/>
  <c r="F457" i="8"/>
  <c r="C457" i="8"/>
  <c r="F827" i="8"/>
  <c r="C827" i="8"/>
  <c r="F2842" i="8"/>
  <c r="C2842" i="8"/>
  <c r="F1885" i="8"/>
  <c r="C1885" i="8"/>
  <c r="F2718" i="8"/>
  <c r="C2718" i="8"/>
  <c r="F1128" i="8"/>
  <c r="C1128" i="8"/>
  <c r="F324" i="8"/>
  <c r="C324" i="8"/>
  <c r="F829" i="8"/>
  <c r="C829" i="8"/>
  <c r="F2010" i="8"/>
  <c r="C2010" i="8"/>
  <c r="F1000" i="8"/>
  <c r="C1000" i="8"/>
  <c r="F127" i="8"/>
  <c r="C127" i="8"/>
  <c r="F1035" i="8"/>
  <c r="C1035" i="8"/>
  <c r="F2866" i="8"/>
  <c r="C2866" i="8"/>
  <c r="F1833" i="8"/>
  <c r="C1833" i="8"/>
  <c r="F1244" i="8"/>
  <c r="C1244" i="8"/>
  <c r="F951" i="8"/>
  <c r="C951" i="8"/>
  <c r="F509" i="8"/>
  <c r="C509" i="8"/>
  <c r="F578" i="8"/>
  <c r="C578" i="8"/>
  <c r="F208" i="8"/>
  <c r="C208" i="8"/>
  <c r="F904" i="8"/>
  <c r="C904" i="8"/>
  <c r="F209" i="8"/>
  <c r="C209" i="8"/>
  <c r="F1767" i="8"/>
  <c r="C1767" i="8"/>
  <c r="F2832" i="8"/>
  <c r="C2832" i="8"/>
  <c r="F1170" i="8"/>
  <c r="C1170" i="8"/>
  <c r="F814" i="8"/>
  <c r="C814" i="8"/>
  <c r="F225" i="8"/>
  <c r="C225" i="8"/>
  <c r="F2120" i="8"/>
  <c r="C2120" i="8"/>
  <c r="F924" i="8"/>
  <c r="C924" i="8"/>
  <c r="F325" i="8"/>
  <c r="C325" i="8"/>
  <c r="F3156" i="8"/>
  <c r="C3156" i="8"/>
  <c r="F227" i="8"/>
  <c r="C227" i="8"/>
  <c r="F3387" i="8"/>
  <c r="C3387" i="8"/>
  <c r="F15" i="8"/>
  <c r="C15" i="8"/>
  <c r="F364" i="8"/>
  <c r="C364" i="8"/>
  <c r="F1490" i="8"/>
  <c r="C1490" i="8"/>
  <c r="F3347" i="8"/>
  <c r="C3347" i="8"/>
  <c r="F1197" i="8"/>
  <c r="C1197" i="8"/>
  <c r="F2758" i="8"/>
  <c r="C2758" i="8"/>
  <c r="F198" i="8"/>
  <c r="C198" i="8"/>
  <c r="F914" i="8"/>
  <c r="C914" i="8"/>
  <c r="F913" i="8"/>
  <c r="C913" i="8"/>
  <c r="F2245" i="8"/>
  <c r="C2245" i="8"/>
  <c r="F1521" i="8"/>
  <c r="C1521" i="8"/>
  <c r="F1653" i="8"/>
  <c r="C1653" i="8"/>
  <c r="F194" i="8"/>
  <c r="C194" i="8"/>
  <c r="F1731" i="8"/>
  <c r="C1731" i="8"/>
  <c r="F1540" i="8"/>
  <c r="C1540" i="8"/>
  <c r="F1063" i="8"/>
  <c r="C1063" i="8"/>
  <c r="F2895" i="8"/>
  <c r="C2895" i="8"/>
  <c r="F2893" i="8"/>
  <c r="C2893" i="8"/>
  <c r="F2294" i="8"/>
  <c r="C2294" i="8"/>
  <c r="F2742" i="8"/>
  <c r="C2742" i="8"/>
  <c r="F424" i="8"/>
  <c r="C424" i="8"/>
  <c r="F3268" i="8"/>
  <c r="C3268" i="8"/>
  <c r="F1858" i="8"/>
  <c r="C1858" i="8"/>
  <c r="F3400" i="8"/>
  <c r="C3400" i="8"/>
  <c r="F3502" i="8"/>
  <c r="C3502" i="8"/>
  <c r="F3049" i="8"/>
  <c r="C3049" i="8"/>
  <c r="F3111" i="8"/>
  <c r="C3111" i="8"/>
  <c r="F3488" i="8"/>
  <c r="C3488" i="8"/>
  <c r="F747" i="8"/>
  <c r="C747" i="8"/>
  <c r="F3577" i="8"/>
  <c r="C3577" i="8"/>
  <c r="F3392" i="8"/>
  <c r="C3392" i="8"/>
  <c r="F3540" i="8"/>
  <c r="C3540" i="8"/>
  <c r="F2260" i="8"/>
  <c r="C2260" i="8"/>
  <c r="F2398" i="8"/>
  <c r="C2398" i="8"/>
  <c r="F1910" i="8"/>
  <c r="C1910" i="8"/>
  <c r="F862" i="8"/>
  <c r="C862" i="8"/>
  <c r="F3646" i="8"/>
  <c r="C3646" i="8"/>
  <c r="F3608" i="8"/>
  <c r="C3608" i="8"/>
  <c r="F1204" i="8"/>
  <c r="C1204" i="8"/>
  <c r="F1153" i="8"/>
  <c r="C1153" i="8"/>
  <c r="F3517" i="8"/>
  <c r="C3517" i="8"/>
  <c r="F2964" i="8"/>
  <c r="C2964" i="8"/>
  <c r="F2459" i="8"/>
  <c r="C2459" i="8"/>
  <c r="F3273" i="8"/>
  <c r="C3273" i="8"/>
  <c r="F3142" i="8"/>
  <c r="C3142" i="8"/>
  <c r="F3000" i="8"/>
  <c r="C3000" i="8"/>
  <c r="F1583" i="8"/>
  <c r="C1583" i="8"/>
  <c r="F1593" i="8"/>
  <c r="C1593" i="8"/>
  <c r="F3163" i="8"/>
  <c r="C3163" i="8"/>
  <c r="F2558" i="8"/>
  <c r="C2558" i="8"/>
  <c r="F3492" i="8"/>
  <c r="C3492" i="8"/>
  <c r="F3338" i="8"/>
  <c r="C3338" i="8"/>
  <c r="F3250" i="8"/>
  <c r="C3250" i="8"/>
  <c r="F1655" i="8"/>
  <c r="C1655" i="8"/>
  <c r="F1827" i="8"/>
  <c r="C1827" i="8"/>
  <c r="F2243" i="8"/>
  <c r="C2243" i="8"/>
  <c r="F2013" i="8"/>
  <c r="C2013" i="8"/>
  <c r="F1798" i="8"/>
  <c r="C1798" i="8"/>
  <c r="F2369" i="8"/>
  <c r="C2369" i="8"/>
  <c r="F3248" i="8"/>
  <c r="C3248" i="8"/>
  <c r="F3633" i="8"/>
  <c r="C3633" i="8"/>
  <c r="F3358" i="8"/>
  <c r="C3358" i="8"/>
  <c r="F2560" i="8"/>
  <c r="C2560" i="8"/>
  <c r="F3547" i="8"/>
  <c r="C3547" i="8"/>
  <c r="F1499" i="8"/>
  <c r="C1499" i="8"/>
  <c r="F3512" i="8"/>
  <c r="C3512" i="8"/>
  <c r="F2967" i="8"/>
  <c r="C2967" i="8"/>
  <c r="F1431" i="8"/>
  <c r="C1431" i="8"/>
  <c r="F3167" i="8"/>
  <c r="C3167" i="8"/>
  <c r="F3469" i="8"/>
  <c r="C3469" i="8"/>
  <c r="F1973" i="8"/>
  <c r="C1973" i="8"/>
  <c r="F1480" i="8"/>
  <c r="C1480" i="8"/>
  <c r="F2820" i="8"/>
  <c r="C2820" i="8"/>
  <c r="F3505" i="8"/>
  <c r="C3505" i="8"/>
  <c r="F284" i="8"/>
  <c r="C284" i="8"/>
  <c r="F3589" i="8"/>
  <c r="C3589" i="8"/>
  <c r="F1566" i="8"/>
  <c r="C1566" i="8"/>
  <c r="F1688" i="8"/>
  <c r="C1688" i="8"/>
  <c r="F609" i="8"/>
  <c r="C609" i="8"/>
  <c r="F1783" i="8"/>
  <c r="C1783" i="8"/>
  <c r="F317" i="8"/>
  <c r="C317" i="8"/>
  <c r="F3616" i="8"/>
  <c r="C3616" i="8"/>
  <c r="F2093" i="8"/>
  <c r="C2093" i="8"/>
  <c r="F2280" i="8"/>
  <c r="C2280" i="8"/>
  <c r="F3477" i="8"/>
  <c r="C3477" i="8"/>
  <c r="F1619" i="8"/>
  <c r="C1619" i="8"/>
  <c r="F230" i="8"/>
  <c r="C230" i="8"/>
  <c r="F2310" i="8"/>
  <c r="C2310" i="8"/>
  <c r="F3123" i="8"/>
  <c r="C3123" i="8"/>
  <c r="F1512" i="8"/>
  <c r="C1512" i="8"/>
  <c r="F2961" i="8"/>
  <c r="C2961" i="8"/>
  <c r="F2590" i="8"/>
  <c r="C2590" i="8"/>
  <c r="F1931" i="8"/>
  <c r="C1931" i="8"/>
  <c r="F2039" i="8"/>
  <c r="C2039" i="8"/>
  <c r="F1906" i="8"/>
  <c r="C1906" i="8"/>
  <c r="F500" i="8"/>
  <c r="C500" i="8"/>
  <c r="F2395" i="8"/>
  <c r="C2395" i="8"/>
  <c r="F2077" i="8"/>
  <c r="C2077" i="8"/>
  <c r="F3576" i="8"/>
  <c r="C3576" i="8"/>
  <c r="F1516" i="8"/>
  <c r="C1516" i="8"/>
  <c r="F2097" i="8"/>
  <c r="C2097" i="8"/>
  <c r="F1071" i="8"/>
  <c r="C1071" i="8"/>
  <c r="F1489" i="8"/>
  <c r="C1489" i="8"/>
  <c r="F3432" i="8"/>
  <c r="C3432" i="8"/>
  <c r="F2574" i="8"/>
  <c r="C2574" i="8"/>
  <c r="F3382" i="8"/>
  <c r="C3382" i="8"/>
  <c r="F2728" i="8"/>
  <c r="C2728" i="8"/>
  <c r="F2416" i="8"/>
  <c r="C2416" i="8"/>
  <c r="F3210" i="8"/>
  <c r="C3210" i="8"/>
  <c r="F1757" i="8"/>
  <c r="C1757" i="8"/>
  <c r="F1264" i="8"/>
  <c r="C1264" i="8"/>
  <c r="F3316" i="8"/>
  <c r="C3316" i="8"/>
  <c r="F3246" i="8"/>
  <c r="C3246" i="8"/>
  <c r="F340" i="8"/>
  <c r="C340" i="8"/>
  <c r="F3533" i="8"/>
  <c r="C3533" i="8"/>
  <c r="F3297" i="8"/>
  <c r="C3297" i="8"/>
  <c r="F1829" i="8"/>
  <c r="C1829" i="8"/>
  <c r="F1336" i="8"/>
  <c r="C1336" i="8"/>
  <c r="F3471" i="8"/>
  <c r="C3471" i="8"/>
  <c r="F3333" i="8"/>
  <c r="C3333" i="8"/>
  <c r="F3056" i="8"/>
  <c r="C3056" i="8"/>
  <c r="F2484" i="8"/>
  <c r="C2484" i="8"/>
  <c r="F1278" i="8"/>
  <c r="C1278" i="8"/>
  <c r="F1171" i="8"/>
  <c r="C1171" i="8"/>
  <c r="F1440" i="8"/>
  <c r="C1440" i="8"/>
  <c r="F3178" i="8"/>
  <c r="C3178" i="8"/>
  <c r="F3431" i="8"/>
  <c r="C3431" i="8"/>
  <c r="F2076" i="8"/>
  <c r="C2076" i="8"/>
  <c r="F2057" i="8"/>
  <c r="C2057" i="8"/>
  <c r="F1848" i="8"/>
  <c r="C1848" i="8"/>
  <c r="F3346" i="8"/>
  <c r="C3346" i="8"/>
  <c r="F3353" i="8"/>
  <c r="C3353" i="8"/>
  <c r="F2987" i="8"/>
  <c r="C2987" i="8"/>
  <c r="F2340" i="8"/>
  <c r="C2340" i="8"/>
  <c r="F3045" i="8"/>
  <c r="C3045" i="8"/>
  <c r="F1224" i="8"/>
  <c r="C1224" i="8"/>
  <c r="F3615" i="8"/>
  <c r="C3615" i="8"/>
  <c r="F2220" i="8"/>
  <c r="C2220" i="8"/>
  <c r="F2201" i="8"/>
  <c r="C2201" i="8"/>
  <c r="F1992" i="8"/>
  <c r="C1992" i="8"/>
  <c r="F3501" i="8"/>
  <c r="C3501" i="8"/>
  <c r="F1144" i="8"/>
  <c r="C1144" i="8"/>
  <c r="F3607" i="8"/>
  <c r="C3607" i="8"/>
  <c r="F2631" i="8"/>
  <c r="C2631" i="8"/>
  <c r="F3198" i="8"/>
  <c r="C3198" i="8"/>
  <c r="F3234" i="8"/>
  <c r="C3234" i="8"/>
  <c r="F1370" i="8"/>
  <c r="C1370" i="8"/>
  <c r="F2892" i="8"/>
  <c r="C2892" i="8"/>
  <c r="F2985" i="8"/>
  <c r="C2985" i="8"/>
  <c r="F1564" i="8"/>
  <c r="C1564" i="8"/>
  <c r="F202" i="8"/>
  <c r="C202" i="8"/>
  <c r="F3552" i="8"/>
  <c r="C3552" i="8"/>
  <c r="F2490" i="8"/>
  <c r="C2490" i="8"/>
  <c r="F1523" i="8"/>
  <c r="C1523" i="8"/>
  <c r="F2963" i="8"/>
  <c r="C2963" i="8"/>
  <c r="F694" i="8"/>
  <c r="C694" i="8"/>
  <c r="F2979" i="8"/>
  <c r="C2979" i="8"/>
  <c r="F3237" i="8"/>
  <c r="C3237" i="8"/>
  <c r="F1636" i="8"/>
  <c r="C1636" i="8"/>
  <c r="F3428" i="8"/>
  <c r="C3428" i="8"/>
  <c r="F3174" i="8"/>
  <c r="C3174" i="8"/>
  <c r="F2863" i="8"/>
  <c r="C2863" i="8"/>
  <c r="F1715" i="8"/>
  <c r="C1715" i="8"/>
  <c r="F2131" i="8"/>
  <c r="C2131" i="8"/>
  <c r="F3587" i="8"/>
  <c r="C3587" i="8"/>
  <c r="F3047" i="8"/>
  <c r="C3047" i="8"/>
  <c r="F3418" i="8"/>
  <c r="C3418" i="8"/>
  <c r="F2692" i="8"/>
  <c r="C2692" i="8"/>
  <c r="F1415" i="8"/>
  <c r="C1415" i="8"/>
  <c r="F3116" i="8"/>
  <c r="C3116" i="8"/>
  <c r="F3470" i="8"/>
  <c r="C3470" i="8"/>
  <c r="F2931" i="8"/>
  <c r="C2931" i="8"/>
  <c r="F139" i="8"/>
  <c r="C139" i="8"/>
  <c r="F2777" i="8"/>
  <c r="C2777" i="8"/>
  <c r="F1823" i="8"/>
  <c r="C1823" i="8"/>
  <c r="F1690" i="8"/>
  <c r="C1690" i="8"/>
  <c r="F1962" i="8"/>
  <c r="C1962" i="8"/>
  <c r="F3606" i="8"/>
  <c r="C3606" i="8"/>
  <c r="F1853" i="8"/>
  <c r="C1853" i="8"/>
  <c r="F3357" i="8"/>
  <c r="C3357" i="8"/>
  <c r="F1150" i="8"/>
  <c r="C1150" i="8"/>
  <c r="F2318" i="8"/>
  <c r="C2318" i="8"/>
  <c r="F2959" i="8"/>
  <c r="C2959" i="8"/>
  <c r="F3254" i="8"/>
  <c r="C3254" i="8"/>
  <c r="F3285" i="8"/>
  <c r="C3285" i="8"/>
  <c r="F2774" i="8"/>
  <c r="C2774" i="8"/>
  <c r="F3415" i="8"/>
  <c r="C3415" i="8"/>
  <c r="F2664" i="8"/>
  <c r="C2664" i="8"/>
  <c r="F3521" i="8"/>
  <c r="C3521" i="8"/>
  <c r="F1072" i="8"/>
  <c r="C1072" i="8"/>
  <c r="F3630" i="8"/>
  <c r="C3630" i="8"/>
  <c r="F2211" i="8"/>
  <c r="C2211" i="8"/>
  <c r="F1978" i="8"/>
  <c r="C1978" i="8"/>
  <c r="F2491" i="8"/>
  <c r="C2491" i="8"/>
  <c r="F122" i="8"/>
  <c r="C122" i="8"/>
  <c r="F1944" i="8"/>
  <c r="C1944" i="8"/>
  <c r="F2217" i="8"/>
  <c r="C2217" i="8"/>
  <c r="F2255" i="8"/>
  <c r="C2255" i="8"/>
  <c r="F3261" i="8"/>
  <c r="C3261" i="8"/>
  <c r="F1741" i="8"/>
  <c r="C1741" i="8"/>
  <c r="F672" i="8"/>
  <c r="C672" i="8"/>
  <c r="F1937" i="8"/>
  <c r="C1937" i="8"/>
  <c r="F2465" i="8"/>
  <c r="C2465" i="8"/>
  <c r="F2455" i="8"/>
  <c r="C2455" i="8"/>
  <c r="F2141" i="8"/>
  <c r="C2141" i="8"/>
  <c r="F1594" i="8"/>
  <c r="C1594" i="8"/>
  <c r="F211" i="8"/>
  <c r="C211" i="8"/>
  <c r="F1702" i="8"/>
  <c r="C1702" i="8"/>
  <c r="F824" i="8"/>
  <c r="C824" i="8"/>
  <c r="F3543" i="8"/>
  <c r="C3543" i="8"/>
  <c r="F3340" i="8"/>
  <c r="C3340" i="8"/>
  <c r="F1941" i="8"/>
  <c r="C1941" i="8"/>
  <c r="F2232" i="8"/>
  <c r="C2232" i="8"/>
  <c r="F1968" i="8"/>
  <c r="C1968" i="8"/>
  <c r="F1532" i="8"/>
  <c r="C1532" i="8"/>
  <c r="F1500" i="8"/>
  <c r="C1500" i="8"/>
  <c r="F844" i="8"/>
  <c r="C844" i="8"/>
  <c r="F2653" i="8"/>
  <c r="C2653" i="8"/>
  <c r="F180" i="8"/>
  <c r="C180" i="8"/>
  <c r="F881" i="8"/>
  <c r="C881" i="8"/>
  <c r="F3238" i="8"/>
  <c r="C3238" i="8"/>
  <c r="F1814" i="8"/>
  <c r="C1814" i="8"/>
  <c r="F868" i="8"/>
  <c r="C868" i="8"/>
  <c r="F3352" i="8"/>
  <c r="C3352" i="8"/>
  <c r="F652" i="8"/>
  <c r="C652" i="8"/>
  <c r="F874" i="8"/>
  <c r="C874" i="8"/>
  <c r="F583" i="8"/>
  <c r="C583" i="8"/>
  <c r="F877" i="8"/>
  <c r="C877" i="8"/>
  <c r="F1576" i="8"/>
  <c r="C1576" i="8"/>
  <c r="F242" i="8"/>
  <c r="C242" i="8"/>
  <c r="F1371" i="8"/>
  <c r="C1371" i="8"/>
  <c r="F240" i="8"/>
  <c r="C240" i="8"/>
  <c r="F617" i="8"/>
  <c r="C617" i="8"/>
  <c r="F3555" i="8"/>
  <c r="C3555" i="8"/>
  <c r="F363" i="8"/>
  <c r="C363" i="8"/>
  <c r="F2697" i="8"/>
  <c r="C2697" i="8"/>
  <c r="F2956" i="8"/>
  <c r="C2956" i="8"/>
  <c r="F120" i="8"/>
  <c r="C120" i="8"/>
  <c r="F3526" i="8"/>
  <c r="C3526" i="8"/>
  <c r="F3504" i="8"/>
  <c r="C3504" i="8"/>
  <c r="F1219" i="8"/>
  <c r="C1219" i="8"/>
  <c r="F3426" i="8"/>
  <c r="C3426" i="8"/>
  <c r="F3591" i="8"/>
  <c r="C3591" i="8"/>
  <c r="F426" i="8"/>
  <c r="C426" i="8"/>
  <c r="F989" i="8"/>
  <c r="C989" i="8"/>
  <c r="F902" i="8"/>
  <c r="C902" i="8"/>
  <c r="F1745" i="8"/>
  <c r="C1745" i="8"/>
  <c r="F1555" i="8"/>
  <c r="C1555" i="8"/>
  <c r="F3580" i="8"/>
  <c r="C3580" i="8"/>
  <c r="F2772" i="8"/>
  <c r="C2772" i="8"/>
  <c r="F1995" i="8"/>
  <c r="C1995" i="8"/>
  <c r="F86" i="8"/>
  <c r="C86" i="8"/>
  <c r="F915" i="8"/>
  <c r="C915" i="8"/>
  <c r="F1746" i="8"/>
  <c r="C1746" i="8"/>
  <c r="F323" i="8"/>
  <c r="C323" i="8"/>
  <c r="F1787" i="8"/>
  <c r="C1787" i="8"/>
  <c r="F2176" i="8"/>
  <c r="C2176" i="8"/>
  <c r="F1713" i="8"/>
  <c r="C1713" i="8"/>
  <c r="F1366" i="8"/>
  <c r="C1366" i="8"/>
  <c r="F1160" i="8"/>
  <c r="C1160" i="8"/>
  <c r="F396" i="8"/>
  <c r="C396" i="8"/>
  <c r="F2146" i="8"/>
  <c r="C2146" i="8"/>
  <c r="F3" i="8"/>
  <c r="F3014" i="8"/>
  <c r="C3014" i="8"/>
  <c r="F1538" i="8"/>
  <c r="C1538" i="8"/>
  <c r="F731" i="8"/>
  <c r="C731" i="8"/>
  <c r="F3309" i="8"/>
  <c r="C3309" i="8"/>
  <c r="F1227" i="8"/>
  <c r="C1227" i="8"/>
  <c r="F3601" i="8"/>
  <c r="C3601" i="8"/>
  <c r="F394" i="8"/>
  <c r="C394" i="8"/>
  <c r="F556" i="8"/>
  <c r="C556" i="8"/>
  <c r="F2295" i="8"/>
  <c r="C2295" i="8"/>
  <c r="F2025" i="8"/>
  <c r="C2025" i="8"/>
  <c r="F849" i="8"/>
  <c r="C849" i="8"/>
  <c r="F626" i="8"/>
  <c r="C626" i="8"/>
  <c r="F571" i="8"/>
  <c r="C571" i="8"/>
  <c r="F1784" i="8"/>
  <c r="C1784" i="8"/>
  <c r="F647" i="8"/>
  <c r="C647" i="8"/>
  <c r="F2788" i="8"/>
  <c r="C2788" i="8"/>
  <c r="F1087" i="8"/>
  <c r="C1087" i="8"/>
  <c r="F3324" i="8"/>
  <c r="C3324" i="8"/>
  <c r="F715" i="8"/>
  <c r="C715" i="8"/>
  <c r="F2353" i="8"/>
  <c r="C2353" i="8"/>
  <c r="F788" i="8"/>
  <c r="C788" i="8"/>
  <c r="F2177" i="8"/>
  <c r="C2177" i="8"/>
  <c r="F1740" i="8"/>
  <c r="C1740" i="8"/>
  <c r="F2932" i="8"/>
  <c r="C2932" i="8"/>
  <c r="F917" i="8"/>
  <c r="C917" i="8"/>
  <c r="F3251" i="8"/>
  <c r="C3251" i="8"/>
  <c r="F1052" i="8"/>
  <c r="C1052" i="8"/>
  <c r="F2724" i="8"/>
  <c r="C2724" i="8"/>
  <c r="F44" i="8"/>
  <c r="C44" i="8"/>
  <c r="F2040" i="8"/>
  <c r="C2040" i="8"/>
  <c r="F1059" i="8"/>
  <c r="C1059" i="8"/>
  <c r="F344" i="8"/>
  <c r="C344" i="8"/>
  <c r="F2048" i="8"/>
  <c r="C2048" i="8"/>
  <c r="F2764" i="8"/>
  <c r="C2764" i="8"/>
  <c r="F1837" i="8"/>
  <c r="C1837" i="8"/>
  <c r="F3165" i="8"/>
  <c r="C3165" i="8"/>
  <c r="F574" i="8"/>
  <c r="C574" i="8"/>
  <c r="F1971" i="8"/>
  <c r="C1971" i="8"/>
  <c r="F1766" i="8"/>
  <c r="C1766" i="8"/>
  <c r="F256" i="8"/>
  <c r="C256" i="8"/>
  <c r="F2019" i="8"/>
  <c r="C2019" i="8"/>
  <c r="F2134" i="8"/>
  <c r="C2134" i="8"/>
  <c r="F488" i="8"/>
  <c r="C488" i="8"/>
  <c r="F110" i="8"/>
  <c r="C110" i="8"/>
  <c r="F718" i="8"/>
  <c r="C718" i="8"/>
  <c r="F1515" i="8"/>
  <c r="C1515" i="8"/>
  <c r="F222" i="8"/>
  <c r="C222" i="8"/>
  <c r="F2421" i="8"/>
  <c r="C2421" i="8"/>
  <c r="F859" i="8"/>
  <c r="C859" i="8"/>
  <c r="F1886" i="8"/>
  <c r="C1886" i="8"/>
  <c r="F3420" i="8"/>
  <c r="C3420" i="8"/>
  <c r="F1334" i="8"/>
  <c r="C1334" i="8"/>
  <c r="F1928" i="8"/>
  <c r="C1928" i="8"/>
  <c r="F1084" i="8"/>
  <c r="C1084" i="8"/>
  <c r="F2101" i="8"/>
  <c r="C2101" i="8"/>
  <c r="F20" i="8"/>
  <c r="C20" i="8"/>
  <c r="F3082" i="8"/>
  <c r="C3082" i="8"/>
  <c r="F599" i="8"/>
  <c r="C599" i="8"/>
  <c r="F789" i="8"/>
  <c r="C789" i="8"/>
  <c r="F2769" i="8"/>
  <c r="C2769" i="8"/>
  <c r="F2575" i="8"/>
  <c r="C2575" i="8"/>
  <c r="F109" i="8"/>
  <c r="C109" i="8"/>
  <c r="F374" i="8"/>
  <c r="C374" i="8"/>
  <c r="F2891" i="8"/>
  <c r="C2891" i="8"/>
  <c r="F376" i="8"/>
  <c r="C376" i="8"/>
  <c r="F487" i="8"/>
  <c r="C487" i="8"/>
  <c r="F675" i="8"/>
  <c r="C675" i="8"/>
  <c r="F190" i="8"/>
  <c r="C190" i="8"/>
  <c r="F2486" i="8"/>
  <c r="C2486" i="8"/>
  <c r="F1706" i="8"/>
  <c r="C1706" i="8"/>
  <c r="F2576" i="8"/>
  <c r="C2576" i="8"/>
  <c r="F484" i="8"/>
  <c r="C484" i="8"/>
  <c r="F1519" i="8"/>
  <c r="C1519" i="8"/>
  <c r="F540" i="8"/>
  <c r="C540" i="8"/>
  <c r="F1842" i="8"/>
  <c r="C1842" i="8"/>
  <c r="F524" i="8"/>
  <c r="C524" i="8"/>
  <c r="F1810" i="8"/>
  <c r="C1810" i="8"/>
  <c r="F671" i="8"/>
  <c r="C671" i="8"/>
  <c r="F69" i="8"/>
  <c r="C69" i="8"/>
  <c r="F220" i="8"/>
  <c r="C220" i="8"/>
  <c r="F441" i="8"/>
  <c r="C441" i="8"/>
  <c r="F1454" i="8"/>
  <c r="C1454" i="8"/>
  <c r="F2703" i="8"/>
  <c r="C2703" i="8"/>
  <c r="F2320" i="8"/>
  <c r="C2320" i="8"/>
  <c r="F819" i="8"/>
  <c r="C819" i="8"/>
  <c r="F2258" i="8"/>
  <c r="C2258" i="8"/>
  <c r="F991" i="8"/>
  <c r="C991" i="8"/>
  <c r="F1450" i="8"/>
  <c r="C1450" i="8"/>
  <c r="F2391" i="8"/>
  <c r="C2391" i="8"/>
  <c r="F2361" i="8"/>
  <c r="C2361" i="8"/>
  <c r="F3330" i="8"/>
  <c r="C3330" i="8"/>
  <c r="F2717" i="8"/>
  <c r="C2717" i="8"/>
  <c r="F2542" i="8"/>
  <c r="C2542" i="8"/>
  <c r="F235" i="8"/>
  <c r="C235" i="8"/>
  <c r="F1820" i="8"/>
  <c r="C1820" i="8"/>
  <c r="F221" i="8"/>
  <c r="C221" i="8"/>
  <c r="F1169" i="8"/>
  <c r="C1169" i="8"/>
  <c r="F2714" i="8"/>
  <c r="C2714" i="8"/>
  <c r="F802" i="8"/>
  <c r="C802" i="8"/>
  <c r="F1064" i="8"/>
  <c r="C1064" i="8"/>
  <c r="F1152" i="8"/>
  <c r="C1152" i="8"/>
  <c r="F2073" i="8"/>
  <c r="C2073" i="8"/>
  <c r="F164" i="8"/>
  <c r="C164" i="8"/>
  <c r="F1184" i="8"/>
  <c r="C1184" i="8"/>
  <c r="F2132" i="8"/>
  <c r="C2132" i="8"/>
  <c r="F1261" i="8"/>
  <c r="C1261" i="8"/>
  <c r="F826" i="8"/>
  <c r="C826" i="8"/>
  <c r="F1700" i="8"/>
  <c r="C1700" i="8"/>
  <c r="F585" i="8"/>
  <c r="C585" i="8"/>
  <c r="F945" i="8"/>
  <c r="C945" i="8"/>
  <c r="F2355" i="8"/>
  <c r="C2355" i="8"/>
  <c r="F923" i="8"/>
  <c r="C923" i="8"/>
  <c r="F404" i="8"/>
  <c r="C404" i="8"/>
  <c r="F1909" i="8"/>
  <c r="C1909" i="8"/>
  <c r="F177" i="8"/>
  <c r="C177" i="8"/>
  <c r="F3075" i="8"/>
  <c r="C3075" i="8"/>
  <c r="F2036" i="8"/>
  <c r="C2036" i="8"/>
  <c r="F1592" i="8"/>
  <c r="C1592" i="8"/>
  <c r="F2588" i="8"/>
  <c r="C2588" i="8"/>
  <c r="F1034" i="8"/>
  <c r="C1034" i="8"/>
  <c r="F954" i="8"/>
  <c r="C954" i="8"/>
  <c r="F1217" i="8"/>
  <c r="C1217" i="8"/>
  <c r="F1358" i="8"/>
  <c r="C1358" i="8"/>
  <c r="F1225" i="8"/>
  <c r="C1225" i="8"/>
  <c r="F3209" i="8"/>
  <c r="C3209" i="8"/>
  <c r="F2213" i="8"/>
  <c r="C2213" i="8"/>
  <c r="F2188" i="8"/>
  <c r="C2188" i="8"/>
  <c r="F1016" i="8"/>
  <c r="C1016" i="8"/>
  <c r="F3274" i="8"/>
  <c r="C3274" i="8"/>
  <c r="F2618" i="8"/>
  <c r="C2618" i="8"/>
  <c r="F1639" i="8"/>
  <c r="C1639" i="8"/>
  <c r="F1536" i="8"/>
  <c r="C1536" i="8"/>
  <c r="F2112" i="8"/>
  <c r="C2112" i="8"/>
  <c r="F3416" i="8"/>
  <c r="C3416" i="8"/>
  <c r="F2723" i="8"/>
  <c r="C2723" i="8"/>
  <c r="F2638" i="8"/>
  <c r="C2638" i="8"/>
  <c r="F757" i="8"/>
  <c r="C757" i="8"/>
  <c r="F3493" i="8"/>
  <c r="C3493" i="8"/>
  <c r="F2779" i="8"/>
  <c r="C2779" i="8"/>
  <c r="F1927" i="8"/>
  <c r="C1927" i="8"/>
  <c r="F1695" i="8"/>
  <c r="C1695" i="8"/>
  <c r="F2432" i="8"/>
  <c r="C2432" i="8"/>
  <c r="F3087" i="8"/>
  <c r="C3087" i="8"/>
  <c r="F589" i="8"/>
  <c r="C589" i="8"/>
  <c r="F2505" i="8"/>
  <c r="C2505" i="8"/>
  <c r="F3311" i="8"/>
  <c r="C3311" i="8"/>
  <c r="F1481" i="8"/>
  <c r="C1481" i="8"/>
  <c r="F3080" i="8"/>
  <c r="C3080" i="8"/>
  <c r="F2763" i="8"/>
  <c r="C2763" i="8"/>
  <c r="F2247" i="8"/>
  <c r="C2247" i="8"/>
  <c r="F2445" i="8"/>
  <c r="C2445" i="8"/>
  <c r="F1294" i="8"/>
  <c r="C1294" i="8"/>
  <c r="F2055" i="8"/>
  <c r="C2055" i="8"/>
  <c r="F2054" i="8"/>
  <c r="C2054" i="8"/>
  <c r="F3451" i="8"/>
  <c r="C3451" i="8"/>
  <c r="F2168" i="8"/>
  <c r="C2168" i="8"/>
  <c r="F1780" i="8"/>
  <c r="C1780" i="8"/>
  <c r="F2400" i="8"/>
  <c r="C2400" i="8"/>
  <c r="F3610" i="8"/>
  <c r="C3610" i="8"/>
  <c r="F3235" i="8"/>
  <c r="C3235" i="8"/>
  <c r="F3390" i="8"/>
  <c r="C3390" i="8"/>
  <c r="F1547" i="8"/>
  <c r="C1547" i="8"/>
  <c r="F3592" i="8"/>
  <c r="C3592" i="8"/>
  <c r="F3351" i="8"/>
  <c r="C3351" i="8"/>
  <c r="F2868" i="8"/>
  <c r="C2868" i="8"/>
  <c r="F1359" i="8"/>
  <c r="C1359" i="8"/>
  <c r="F2616" i="8"/>
  <c r="C2616" i="8"/>
  <c r="F2285" i="8"/>
  <c r="C2285" i="8"/>
  <c r="F3071" i="8"/>
  <c r="C3071" i="8"/>
  <c r="F2099" i="8"/>
  <c r="C2099" i="8"/>
  <c r="F73" i="8"/>
  <c r="C73" i="8"/>
  <c r="F1657" i="8"/>
  <c r="C1657" i="8"/>
  <c r="F3125" i="8"/>
  <c r="C3125" i="8"/>
  <c r="F697" i="8"/>
  <c r="C697" i="8"/>
  <c r="F618" i="8"/>
  <c r="C618" i="8"/>
  <c r="F2016" i="8"/>
  <c r="C2016" i="8"/>
  <c r="F2657" i="8"/>
  <c r="C2657" i="8"/>
  <c r="F2908" i="8"/>
  <c r="C2908" i="8"/>
  <c r="F266" i="8"/>
  <c r="C266" i="8"/>
  <c r="F2321" i="8"/>
  <c r="C2321" i="8"/>
  <c r="F3036" i="8"/>
  <c r="C3036" i="8"/>
  <c r="F1687" i="8"/>
  <c r="C1687" i="8"/>
  <c r="F1451" i="8"/>
  <c r="C1451" i="8"/>
  <c r="F3427" i="8"/>
  <c r="C3427" i="8"/>
  <c r="F3335" i="8"/>
  <c r="C3335" i="8"/>
  <c r="F3093" i="8"/>
  <c r="C3093" i="8"/>
  <c r="F2518" i="8"/>
  <c r="C2518" i="8"/>
  <c r="F1198" i="8"/>
  <c r="C1198" i="8"/>
  <c r="F3302" i="8"/>
  <c r="C3302" i="8"/>
  <c r="F2930" i="8"/>
  <c r="C2930" i="8"/>
  <c r="F96" i="8"/>
  <c r="C96" i="8"/>
  <c r="F2499" i="8"/>
  <c r="C2499" i="8"/>
  <c r="F630" i="8"/>
  <c r="C630" i="8"/>
  <c r="F1501" i="8"/>
  <c r="C1501" i="8"/>
  <c r="F2594" i="8"/>
  <c r="C2594" i="8"/>
  <c r="F1974" i="8"/>
  <c r="C1974" i="8"/>
  <c r="F2468" i="8"/>
  <c r="C2468" i="8"/>
  <c r="F3078" i="8"/>
  <c r="C3078" i="8"/>
  <c r="F2216" i="8"/>
  <c r="C2216" i="8"/>
  <c r="F903" i="8"/>
  <c r="C903" i="8"/>
  <c r="F3499" i="8"/>
  <c r="C3499" i="8"/>
  <c r="F1956" i="8"/>
  <c r="C1956" i="8"/>
  <c r="F246" i="8"/>
  <c r="C246" i="8"/>
  <c r="F1879" i="8"/>
  <c r="C1879" i="8"/>
  <c r="F2178" i="8"/>
  <c r="C2178" i="8"/>
  <c r="F3362" i="8"/>
  <c r="C3362" i="8"/>
  <c r="F2958" i="8"/>
  <c r="C2958" i="8"/>
  <c r="F3231" i="8"/>
  <c r="C3231" i="8"/>
  <c r="F837" i="8"/>
  <c r="C837" i="8"/>
  <c r="F1980" i="8"/>
  <c r="C1980" i="8"/>
  <c r="F1600" i="8"/>
  <c r="C1600" i="8"/>
  <c r="F409" i="8"/>
  <c r="C409" i="8"/>
  <c r="F2129" i="8"/>
  <c r="C2129" i="8"/>
  <c r="F1326" i="8"/>
  <c r="C1326" i="8"/>
  <c r="F465" i="8"/>
  <c r="C465" i="8"/>
  <c r="F327" i="8"/>
  <c r="C327" i="8"/>
  <c r="F359" i="8"/>
  <c r="C359" i="8"/>
  <c r="F1889" i="8"/>
  <c r="C1889" i="8"/>
  <c r="F337" i="8"/>
  <c r="C337" i="8"/>
  <c r="F1311" i="8"/>
  <c r="C1311" i="8"/>
  <c r="F3041" i="8"/>
  <c r="C3041" i="8"/>
  <c r="F2374" i="8"/>
  <c r="C2374" i="8"/>
  <c r="F667" i="8"/>
  <c r="C667" i="8"/>
  <c r="F840" i="8"/>
  <c r="C840" i="8"/>
  <c r="F160" i="8"/>
  <c r="C160" i="8"/>
  <c r="F2867" i="8"/>
  <c r="C2867" i="8"/>
  <c r="F3256" i="8"/>
  <c r="C3256" i="8"/>
  <c r="F1615" i="8"/>
  <c r="C1615" i="8"/>
  <c r="F3314" i="8"/>
  <c r="C3314" i="8"/>
  <c r="F581" i="8"/>
  <c r="C581" i="8"/>
  <c r="F2037" i="8"/>
  <c r="C2037" i="8"/>
  <c r="F460" i="8"/>
  <c r="C460" i="8"/>
  <c r="F999" i="8"/>
  <c r="C999" i="8"/>
  <c r="F2060" i="8"/>
  <c r="C2060" i="8"/>
  <c r="F595" i="8"/>
  <c r="C595" i="8"/>
  <c r="F273" i="8"/>
  <c r="C273" i="8"/>
  <c r="F2543" i="8"/>
  <c r="C2543" i="8"/>
  <c r="F1407" i="8"/>
  <c r="C1407" i="8"/>
  <c r="F134" i="8"/>
  <c r="C134" i="8"/>
  <c r="F2238" i="8"/>
  <c r="C2238" i="8"/>
  <c r="F8" i="8"/>
  <c r="C8" i="8"/>
  <c r="F1205" i="8"/>
  <c r="C1205" i="8"/>
  <c r="F1050" i="8"/>
  <c r="C1050" i="8"/>
  <c r="F677" i="8"/>
  <c r="C677" i="8"/>
  <c r="F357" i="8"/>
  <c r="C357" i="8"/>
  <c r="F3283" i="8"/>
  <c r="C3283" i="8"/>
  <c r="F1211" i="8"/>
  <c r="C1211" i="8"/>
  <c r="F2886" i="8"/>
  <c r="C2886" i="8"/>
  <c r="F1017" i="8"/>
  <c r="C1017" i="8"/>
  <c r="F2225" i="8"/>
  <c r="C2225" i="8"/>
  <c r="F1207" i="8"/>
  <c r="C1207" i="8"/>
  <c r="F423" i="8"/>
  <c r="C423" i="8"/>
  <c r="F1890" i="8"/>
  <c r="C1890" i="8"/>
  <c r="F280" i="8"/>
  <c r="C280" i="8"/>
  <c r="F2270" i="8"/>
  <c r="C2270" i="8"/>
  <c r="F591" i="8"/>
  <c r="C591" i="8"/>
  <c r="F561" i="8"/>
  <c r="C561" i="8"/>
  <c r="F71" i="8"/>
  <c r="C71" i="8"/>
  <c r="F2702" i="8"/>
  <c r="C2702" i="8"/>
  <c r="F566" i="8"/>
  <c r="C566" i="8"/>
  <c r="F3063" i="8"/>
  <c r="C3063" i="8"/>
  <c r="F873" i="8"/>
  <c r="C873" i="8"/>
  <c r="F1262" i="8"/>
  <c r="C1262" i="8"/>
  <c r="F224" i="8"/>
  <c r="C224" i="8"/>
  <c r="F24" i="8"/>
  <c r="C24" i="8"/>
  <c r="F2673" i="8"/>
  <c r="C2673" i="8"/>
  <c r="F2552" i="8"/>
  <c r="C2552" i="8"/>
  <c r="F2580" i="8"/>
  <c r="C2580" i="8"/>
  <c r="F2239" i="8"/>
  <c r="C2239" i="8"/>
  <c r="F150" i="8"/>
  <c r="C150" i="8"/>
  <c r="F3152" i="8"/>
  <c r="C3152" i="8"/>
  <c r="F580" i="8"/>
  <c r="C580" i="8"/>
  <c r="F121" i="8"/>
  <c r="C121" i="8"/>
  <c r="F390" i="8"/>
  <c r="C390" i="8"/>
  <c r="F937" i="8"/>
  <c r="C937" i="8"/>
  <c r="F3467" i="8"/>
  <c r="C3467" i="8"/>
  <c r="F895" i="8"/>
  <c r="C895" i="8"/>
  <c r="F263" i="8"/>
  <c r="C263" i="8"/>
  <c r="F296" i="8"/>
  <c r="C296" i="8"/>
  <c r="F891" i="8"/>
  <c r="C891" i="8"/>
  <c r="F2388" i="8"/>
  <c r="C2388" i="8"/>
  <c r="F3626" i="8"/>
  <c r="C3626" i="8"/>
  <c r="F1082" i="8"/>
  <c r="C1082" i="8"/>
  <c r="F241" i="8"/>
  <c r="C241" i="8"/>
  <c r="F582" i="8"/>
  <c r="C582" i="8"/>
  <c r="F2408" i="8"/>
  <c r="C2408" i="8"/>
  <c r="F883" i="8"/>
  <c r="C883" i="8"/>
  <c r="F1185" i="8"/>
  <c r="C1185" i="8"/>
  <c r="F416" i="8"/>
  <c r="C416" i="8"/>
  <c r="F1993" i="8"/>
  <c r="C1993" i="8"/>
  <c r="F1298" i="8"/>
  <c r="C1298" i="8"/>
  <c r="F1502" i="8"/>
  <c r="C1502" i="8"/>
  <c r="F1605" i="8"/>
  <c r="C1605" i="8"/>
  <c r="F342" i="8"/>
  <c r="C342" i="8"/>
  <c r="F1193" i="8"/>
  <c r="C1193" i="8"/>
  <c r="F1190" i="8"/>
  <c r="C1190" i="8"/>
  <c r="F3305" i="8"/>
  <c r="C3305" i="8"/>
  <c r="F1712" i="8"/>
  <c r="C1712" i="8"/>
  <c r="F3053" i="8"/>
  <c r="C3053" i="8"/>
  <c r="F397" i="8"/>
  <c r="C397" i="8"/>
  <c r="F818" i="8"/>
  <c r="C818" i="8"/>
  <c r="F2925" i="8"/>
  <c r="C2925" i="8"/>
  <c r="F1902" i="8"/>
  <c r="C1902" i="8"/>
  <c r="F1163" i="8"/>
  <c r="C1163" i="8"/>
  <c r="F546" i="8"/>
  <c r="C546" i="8"/>
  <c r="F1534" i="8"/>
  <c r="C1534" i="8"/>
  <c r="F539" i="8"/>
  <c r="C539" i="8"/>
  <c r="F828" i="8"/>
  <c r="C828" i="8"/>
  <c r="F567" i="8"/>
  <c r="C567" i="8"/>
  <c r="F1425" i="8"/>
  <c r="C1425" i="8"/>
  <c r="F549" i="8"/>
  <c r="C549" i="8"/>
  <c r="F1946" i="8"/>
  <c r="C1946" i="8"/>
  <c r="F696" i="8"/>
  <c r="C696" i="8"/>
  <c r="F2506" i="8"/>
  <c r="C2506" i="8"/>
  <c r="F655" i="8"/>
  <c r="C655" i="8"/>
  <c r="F187" i="8"/>
  <c r="C187" i="8"/>
  <c r="F564" i="8"/>
  <c r="C564" i="8"/>
  <c r="F2672" i="8"/>
  <c r="C2672" i="8"/>
  <c r="F2968" i="8"/>
  <c r="C2968" i="8"/>
  <c r="F478" i="8"/>
  <c r="C478" i="8"/>
  <c r="F2118" i="8"/>
  <c r="C2118" i="8"/>
  <c r="F2362" i="8"/>
  <c r="C2362" i="8"/>
  <c r="F2043" i="8"/>
  <c r="C2043" i="8"/>
  <c r="F3537" i="8"/>
  <c r="C3537" i="8"/>
  <c r="F1638" i="8"/>
  <c r="C1638" i="8"/>
  <c r="F2807" i="8"/>
  <c r="C2807" i="8"/>
  <c r="F1111" i="8"/>
  <c r="C1111" i="8"/>
  <c r="F2257" i="8"/>
  <c r="C2257" i="8"/>
  <c r="F1260" i="8"/>
  <c r="C1260" i="8"/>
  <c r="F2339" i="8"/>
  <c r="C2339" i="8"/>
  <c r="F43" i="8"/>
  <c r="C43" i="8"/>
  <c r="F9" i="8"/>
  <c r="C9" i="8"/>
  <c r="F3015" i="8"/>
  <c r="C3015" i="8"/>
  <c r="F454" i="8"/>
  <c r="C454" i="8"/>
  <c r="F755" i="8"/>
  <c r="C755" i="8"/>
  <c r="F2865" i="8"/>
  <c r="C2865" i="8"/>
  <c r="F270" i="8"/>
  <c r="C270" i="8"/>
  <c r="F1398" i="8"/>
  <c r="C1398" i="8"/>
  <c r="F494" i="8"/>
  <c r="C494" i="8"/>
  <c r="F1524" i="8"/>
  <c r="C1524" i="8"/>
  <c r="F3054" i="8"/>
  <c r="C3054" i="8"/>
  <c r="F1083" i="8"/>
  <c r="C1083" i="8"/>
  <c r="F1466" i="8"/>
  <c r="C1466" i="8"/>
  <c r="F2736" i="8"/>
  <c r="C2736" i="8"/>
  <c r="F106" i="8"/>
  <c r="C106" i="8"/>
  <c r="F1089" i="8"/>
  <c r="C1089" i="8"/>
  <c r="F3040" i="8"/>
  <c r="C3040" i="8"/>
  <c r="F2980" i="8"/>
  <c r="C2980" i="8"/>
  <c r="F1629" i="8"/>
  <c r="C1629" i="8"/>
  <c r="F1950" i="8"/>
  <c r="C1950" i="8"/>
  <c r="F405" i="8"/>
  <c r="C405" i="8"/>
  <c r="F430" i="8"/>
  <c r="C430" i="8"/>
  <c r="F1329" i="8"/>
  <c r="C1329" i="8"/>
  <c r="F2154" i="8"/>
  <c r="C2154" i="8"/>
  <c r="F701" i="8"/>
  <c r="C701" i="8"/>
  <c r="F2363" i="8"/>
  <c r="C2363" i="8"/>
  <c r="F2228" i="8"/>
  <c r="C2228" i="8"/>
  <c r="F391" i="8"/>
  <c r="C391" i="8"/>
  <c r="F906" i="8"/>
  <c r="C906" i="8"/>
  <c r="F1923" i="8"/>
  <c r="C1923" i="8"/>
  <c r="F2281" i="8"/>
  <c r="C2281" i="8"/>
  <c r="F861" i="8"/>
  <c r="C861" i="8"/>
  <c r="F248" i="8"/>
  <c r="C248" i="8"/>
  <c r="F1376" i="8"/>
  <c r="C1376" i="8"/>
  <c r="F1386" i="8"/>
  <c r="C1386" i="8"/>
  <c r="F147" i="8"/>
  <c r="C147" i="8"/>
  <c r="F2365" i="8"/>
  <c r="C2365" i="8"/>
  <c r="F2577" i="8"/>
  <c r="C2577" i="8"/>
  <c r="F2393" i="8"/>
  <c r="C2393" i="8"/>
  <c r="F2135" i="8"/>
  <c r="C2135" i="8"/>
  <c r="F2533" i="8"/>
  <c r="C2533" i="8"/>
  <c r="F2775" i="8"/>
  <c r="C2775" i="8"/>
  <c r="F3079" i="8"/>
  <c r="C3079" i="8"/>
  <c r="F2194" i="8"/>
  <c r="C2194" i="8"/>
  <c r="F2649" i="8"/>
  <c r="C2649" i="8"/>
  <c r="F2438" i="8"/>
  <c r="C2438" i="8"/>
  <c r="F825" i="8"/>
  <c r="C825" i="8"/>
  <c r="F1393" i="8"/>
  <c r="C1393" i="8"/>
  <c r="F3213" i="8"/>
  <c r="C3213" i="8"/>
  <c r="F3096" i="8"/>
  <c r="C3096" i="8"/>
  <c r="F3271" i="8"/>
  <c r="C3271" i="8"/>
  <c r="F2897" i="8"/>
  <c r="C2897" i="8"/>
  <c r="F2448" i="8"/>
  <c r="C2448" i="8"/>
  <c r="F3155" i="8"/>
  <c r="C3155" i="8"/>
  <c r="F1871" i="8"/>
  <c r="C1871" i="8"/>
  <c r="F2644" i="8"/>
  <c r="C2644" i="8"/>
  <c r="F943" i="8"/>
  <c r="C943" i="8"/>
  <c r="F2740" i="8"/>
  <c r="C2740" i="8"/>
  <c r="F3241" i="8"/>
  <c r="C3241" i="8"/>
  <c r="F1253" i="8"/>
  <c r="C1253" i="8"/>
  <c r="F3002" i="8"/>
  <c r="C3002" i="8"/>
  <c r="F2526" i="8"/>
  <c r="C2526" i="8"/>
  <c r="F3308" i="8"/>
  <c r="C3308" i="8"/>
  <c r="F1943" i="8"/>
  <c r="C1943" i="8"/>
  <c r="F2989" i="8"/>
  <c r="C2989" i="8"/>
  <c r="F1141" i="8"/>
  <c r="C1141" i="8"/>
  <c r="F3134" i="8"/>
  <c r="C3134" i="8"/>
  <c r="F2422" i="8"/>
  <c r="C2422" i="8"/>
  <c r="F166" i="8"/>
  <c r="C166" i="8"/>
  <c r="F2972" i="8"/>
  <c r="C2972" i="8"/>
  <c r="F3219" i="8"/>
  <c r="C3219" i="8"/>
  <c r="F3138" i="8"/>
  <c r="C3138" i="8"/>
  <c r="F952" i="8"/>
  <c r="C952" i="8"/>
  <c r="F3031" i="8"/>
  <c r="C3031" i="8"/>
  <c r="F1510" i="8"/>
  <c r="C1510" i="8"/>
  <c r="F2751" i="8"/>
  <c r="C2751" i="8"/>
  <c r="F3194" i="8"/>
  <c r="C3194" i="8"/>
  <c r="F3136" i="8"/>
  <c r="C3136" i="8"/>
  <c r="F2591" i="8"/>
  <c r="C2591" i="8"/>
  <c r="F3397" i="8"/>
  <c r="C3397" i="8"/>
  <c r="F1553" i="8"/>
  <c r="C1553" i="8"/>
  <c r="F3539" i="8"/>
  <c r="C3539" i="8"/>
  <c r="F2849" i="8"/>
  <c r="C2849" i="8"/>
  <c r="F2952" i="8"/>
  <c r="C2952" i="8"/>
  <c r="F3422" i="8"/>
  <c r="C3422" i="8"/>
  <c r="F3510" i="8"/>
  <c r="C3510" i="8"/>
  <c r="F3342" i="8"/>
  <c r="C3342" i="8"/>
  <c r="F2173" i="8"/>
  <c r="C2173" i="8"/>
  <c r="F3489" i="8"/>
  <c r="C3489" i="8"/>
  <c r="F1295" i="8"/>
  <c r="C1295" i="8"/>
  <c r="F2781" i="8"/>
  <c r="C2781" i="8"/>
  <c r="F2151" i="8"/>
  <c r="C2151" i="8"/>
  <c r="F1293" i="8"/>
  <c r="C1293" i="8"/>
  <c r="F956" i="8"/>
  <c r="C956" i="8"/>
  <c r="F786" i="8"/>
  <c r="C786" i="8"/>
  <c r="F1306" i="8"/>
  <c r="C1306" i="8"/>
  <c r="F659" i="8"/>
  <c r="C659" i="8"/>
  <c r="F2449" i="8"/>
  <c r="C2449" i="8"/>
  <c r="F772" i="8"/>
  <c r="C772" i="8"/>
  <c r="F329" i="8"/>
  <c r="C329" i="8"/>
  <c r="F1110" i="8"/>
  <c r="C1110" i="8"/>
  <c r="F2975" i="8"/>
  <c r="C2975" i="8"/>
  <c r="F1116" i="8"/>
  <c r="C1116" i="8"/>
  <c r="F2619" i="8"/>
  <c r="C2619" i="8"/>
  <c r="F3018" i="8"/>
  <c r="C3018" i="8"/>
  <c r="F297" i="8"/>
  <c r="C297" i="8"/>
  <c r="F2417" i="8"/>
  <c r="C2417" i="8"/>
  <c r="F1090" i="8"/>
  <c r="C1090" i="8"/>
  <c r="F1869" i="8"/>
  <c r="C1869" i="8"/>
  <c r="F1496" i="8"/>
  <c r="C1496" i="8"/>
  <c r="F3289" i="8"/>
  <c r="C3289" i="8"/>
  <c r="F576" i="8"/>
  <c r="C576" i="8"/>
  <c r="F326" i="8"/>
  <c r="C326" i="8"/>
  <c r="F2033" i="8"/>
  <c r="C2033" i="8"/>
  <c r="F1147" i="8"/>
  <c r="C1147" i="8"/>
  <c r="F489" i="8"/>
  <c r="C489" i="8"/>
  <c r="F1606" i="8"/>
  <c r="C1606" i="8"/>
  <c r="F353" i="8"/>
  <c r="C353" i="8"/>
  <c r="F662" i="8"/>
  <c r="C662" i="8"/>
  <c r="F3407" i="8"/>
  <c r="C3407" i="8"/>
  <c r="F2844" i="8"/>
  <c r="C2844" i="8"/>
  <c r="F573" i="8"/>
  <c r="C573" i="8"/>
  <c r="F434" i="8"/>
  <c r="C434" i="8"/>
  <c r="F1575" i="8"/>
  <c r="C1575" i="8"/>
  <c r="F259" i="8"/>
  <c r="C259" i="8"/>
  <c r="F1786" i="8"/>
  <c r="C1786" i="8"/>
  <c r="F1315" i="8"/>
  <c r="C1315" i="8"/>
  <c r="F2420" i="8"/>
  <c r="C2420" i="8"/>
  <c r="F553" i="8"/>
  <c r="C553" i="8"/>
  <c r="F199" i="8"/>
  <c r="C199" i="8"/>
  <c r="F2276" i="8"/>
  <c r="C2276" i="8"/>
  <c r="F2222" i="8"/>
  <c r="C2222" i="8"/>
  <c r="F3401" i="8"/>
  <c r="C3401" i="8"/>
  <c r="F1067" i="8"/>
  <c r="C1067" i="8"/>
  <c r="F3317" i="8"/>
  <c r="C3317" i="8"/>
  <c r="F2494" i="8"/>
  <c r="C2494" i="8"/>
  <c r="F336" i="8"/>
  <c r="C336" i="8"/>
  <c r="F2621" i="8"/>
  <c r="C2621" i="8"/>
  <c r="F2682" i="8"/>
  <c r="C2682" i="8"/>
  <c r="F2323" i="8"/>
  <c r="C2323" i="8"/>
  <c r="F1952" i="8"/>
  <c r="C1952" i="8"/>
  <c r="F1988" i="8"/>
  <c r="C1988" i="8"/>
  <c r="F2192" i="8"/>
  <c r="C2192" i="8"/>
  <c r="F2443" i="8"/>
  <c r="C2443" i="8"/>
  <c r="F2250" i="8"/>
  <c r="C2250" i="8"/>
  <c r="F1218" i="8"/>
  <c r="C1218" i="8"/>
  <c r="F1616" i="8"/>
  <c r="C1616" i="8"/>
  <c r="F2446" i="8"/>
  <c r="C2446" i="8"/>
  <c r="F744" i="8"/>
  <c r="C744" i="8"/>
  <c r="F88" i="8"/>
  <c r="C88" i="8"/>
  <c r="F2330" i="8"/>
  <c r="C2330" i="8"/>
  <c r="F2947" i="8"/>
  <c r="C2947" i="8"/>
  <c r="F1734" i="8"/>
  <c r="C1734" i="8"/>
  <c r="F588" i="8"/>
  <c r="C588" i="8"/>
  <c r="F76" i="8"/>
  <c r="C76" i="8"/>
  <c r="F3130" i="8"/>
  <c r="C3130" i="8"/>
  <c r="F1048" i="8"/>
  <c r="C1048" i="8"/>
  <c r="F2517" i="8"/>
  <c r="C2517" i="8"/>
  <c r="F2926" i="8"/>
  <c r="C2926" i="8"/>
  <c r="F669" i="8"/>
  <c r="C669" i="8"/>
  <c r="F260" i="8"/>
  <c r="C260" i="8"/>
  <c r="F1161" i="8"/>
  <c r="C1161" i="8"/>
  <c r="F3102" i="8"/>
  <c r="C3102" i="8"/>
  <c r="F3629" i="8"/>
  <c r="C3629" i="8"/>
  <c r="F3449" i="8"/>
  <c r="C3449" i="8"/>
  <c r="F1344" i="8"/>
  <c r="C1344" i="8"/>
  <c r="F1239" i="8"/>
  <c r="C1239" i="8"/>
  <c r="F1199" i="8"/>
  <c r="C1199" i="8"/>
  <c r="F3621" i="8"/>
  <c r="C3621" i="8"/>
  <c r="F1518" i="8"/>
  <c r="C1518" i="8"/>
  <c r="F713" i="8"/>
  <c r="C713" i="8"/>
  <c r="F3545" i="8"/>
  <c r="C3545" i="8"/>
  <c r="F1658" i="8"/>
  <c r="C1658" i="8"/>
  <c r="F1777" i="8"/>
  <c r="C1777" i="8"/>
  <c r="F250" i="8"/>
  <c r="C250" i="8"/>
  <c r="F2335" i="8"/>
  <c r="C2335" i="8"/>
  <c r="F3253" i="8"/>
  <c r="C3253" i="8"/>
  <c r="F290" i="8"/>
  <c r="C290" i="8"/>
  <c r="F2809" i="8"/>
  <c r="C2809" i="8"/>
  <c r="F1484" i="8"/>
  <c r="C1484" i="8"/>
  <c r="F2024" i="8"/>
  <c r="C2024" i="8"/>
  <c r="F172" i="8"/>
  <c r="C172" i="8"/>
  <c r="F1999" i="8"/>
  <c r="C1999" i="8"/>
  <c r="F1554" i="8"/>
  <c r="C1554" i="8"/>
  <c r="F2504" i="8"/>
  <c r="C2504" i="8"/>
  <c r="F2261" i="8"/>
  <c r="C2261" i="8"/>
  <c r="F32" i="8"/>
  <c r="C32" i="8"/>
  <c r="F575" i="8"/>
  <c r="C575" i="8"/>
  <c r="F2988" i="8"/>
  <c r="C2988" i="8"/>
  <c r="F3206" i="8"/>
  <c r="C3206" i="8"/>
  <c r="F1632" i="8"/>
  <c r="C1632" i="8"/>
  <c r="F2822" i="8"/>
  <c r="C2822" i="8"/>
  <c r="F191" i="8"/>
  <c r="C191" i="8"/>
  <c r="F1357" i="8"/>
  <c r="C1357" i="8"/>
  <c r="F2604" i="8"/>
  <c r="C2604" i="8"/>
  <c r="F884" i="8"/>
  <c r="C884" i="8"/>
  <c r="F1013" i="8"/>
  <c r="C1013" i="8"/>
  <c r="F3062" i="8"/>
  <c r="C3062" i="8"/>
  <c r="F590" i="8"/>
  <c r="C590" i="8"/>
  <c r="F629" i="8"/>
  <c r="C629" i="8"/>
  <c r="F414" i="8"/>
  <c r="C414" i="8"/>
  <c r="F1850" i="8"/>
  <c r="C1850" i="8"/>
  <c r="F446" i="8"/>
  <c r="C446" i="8"/>
  <c r="F769" i="8"/>
  <c r="C769" i="8"/>
  <c r="F920" i="8"/>
  <c r="C920" i="8"/>
  <c r="F3228" i="8"/>
  <c r="C3228" i="8"/>
  <c r="F942" i="8"/>
  <c r="C942" i="8"/>
  <c r="F1400" i="8"/>
  <c r="C1400" i="8"/>
  <c r="F2768" i="8"/>
  <c r="C2768" i="8"/>
  <c r="F944" i="8"/>
  <c r="C944" i="8"/>
  <c r="F996" i="8"/>
  <c r="C996" i="8"/>
  <c r="F612" i="8"/>
  <c r="C612" i="8"/>
  <c r="F2302" i="8"/>
  <c r="C2302" i="8"/>
  <c r="F303" i="8"/>
  <c r="C303" i="8"/>
  <c r="F1537" i="8"/>
  <c r="C1537" i="8"/>
  <c r="F1477" i="8"/>
  <c r="C1477" i="8"/>
  <c r="F3114" i="8"/>
  <c r="C3114" i="8"/>
  <c r="F25" i="8"/>
  <c r="C25" i="8"/>
  <c r="F140" i="8"/>
  <c r="C140" i="8"/>
  <c r="F1597" i="8"/>
  <c r="C1597" i="8"/>
  <c r="F3507" i="8"/>
  <c r="C3507" i="8"/>
  <c r="F205" i="8"/>
  <c r="C205" i="8"/>
  <c r="F3101" i="8"/>
  <c r="C3101" i="8"/>
  <c r="F1513" i="8"/>
  <c r="C1513" i="8"/>
  <c r="F1796" i="8"/>
  <c r="C1796" i="8"/>
  <c r="F938" i="8"/>
  <c r="C938" i="8"/>
  <c r="F736" i="8"/>
  <c r="C736" i="8"/>
  <c r="F1718" i="8"/>
  <c r="C1718" i="8"/>
  <c r="F644" i="8"/>
  <c r="C644" i="8"/>
  <c r="F149" i="8"/>
  <c r="C149" i="8"/>
  <c r="F896" i="8"/>
  <c r="C896" i="8"/>
  <c r="F845" i="8"/>
  <c r="C845" i="8"/>
  <c r="F664" i="8"/>
  <c r="C664" i="8"/>
  <c r="F2548" i="8"/>
  <c r="C2548" i="8"/>
  <c r="F3005" i="8"/>
  <c r="C3005" i="8"/>
  <c r="F2268" i="8"/>
  <c r="C2268" i="8"/>
  <c r="F1290" i="8"/>
  <c r="C1290" i="8"/>
  <c r="F352" i="8"/>
  <c r="C352" i="8"/>
  <c r="F2107" i="8"/>
  <c r="C2107" i="8"/>
  <c r="F420" i="8"/>
  <c r="C420" i="8"/>
  <c r="F636" i="8"/>
  <c r="C636" i="8"/>
  <c r="F1918" i="8"/>
  <c r="C1918" i="8"/>
  <c r="F176" i="8"/>
  <c r="C176" i="8"/>
  <c r="F1044" i="8"/>
  <c r="C1044" i="8"/>
  <c r="F318" i="8"/>
  <c r="C318" i="8"/>
  <c r="F2390" i="8"/>
  <c r="C2390" i="8"/>
  <c r="F3208" i="8"/>
  <c r="C3208" i="8"/>
  <c r="F3022" i="8"/>
  <c r="C3022" i="8"/>
  <c r="F1821" i="8"/>
  <c r="C1821" i="8"/>
  <c r="F223" i="8"/>
  <c r="C223" i="8"/>
  <c r="F1609" i="8"/>
  <c r="C1609" i="8"/>
  <c r="F99" i="8"/>
  <c r="C99" i="8"/>
  <c r="F5" i="8"/>
  <c r="C5" i="8"/>
  <c r="F2954" i="8"/>
  <c r="C2954" i="8"/>
  <c r="F870" i="8"/>
  <c r="C870" i="8"/>
  <c r="F1418" i="8"/>
  <c r="C1418" i="8"/>
  <c r="F1018" i="8"/>
  <c r="C1018" i="8"/>
  <c r="F2890" i="8"/>
  <c r="C2890" i="8"/>
  <c r="F2579" i="8"/>
  <c r="C2579" i="8"/>
  <c r="F1737" i="8"/>
  <c r="C1737" i="8"/>
  <c r="F852" i="8"/>
  <c r="C852" i="8"/>
  <c r="F2507" i="8"/>
  <c r="C2507" i="8"/>
  <c r="F2277" i="8"/>
  <c r="C2277" i="8"/>
  <c r="F1085" i="8"/>
  <c r="C1085" i="8"/>
  <c r="F927" i="8"/>
  <c r="C927" i="8"/>
  <c r="F2615" i="8"/>
  <c r="C2615" i="8"/>
  <c r="F367" i="8"/>
  <c r="C367" i="8"/>
  <c r="F249" i="8"/>
  <c r="C249" i="8"/>
  <c r="F1166" i="8"/>
  <c r="C1166" i="8"/>
  <c r="F1921" i="8"/>
  <c r="C1921" i="8"/>
  <c r="F2835" i="8"/>
  <c r="C2835" i="8"/>
  <c r="F615" i="8"/>
  <c r="C615" i="8"/>
  <c r="F1664" i="8"/>
  <c r="C1664" i="8"/>
  <c r="F1182" i="8"/>
  <c r="C1182" i="8"/>
  <c r="F1694" i="8"/>
  <c r="C1694" i="8"/>
  <c r="F3161" i="8"/>
  <c r="C3161" i="8"/>
  <c r="F2042" i="8"/>
  <c r="C2042" i="8"/>
  <c r="F213" i="8"/>
  <c r="C213" i="8"/>
  <c r="F3119" i="8"/>
  <c r="C3119" i="8"/>
  <c r="F1508" i="8"/>
  <c r="C1508" i="8"/>
  <c r="F1168" i="8"/>
  <c r="C1168" i="8"/>
  <c r="F2935" i="8"/>
  <c r="C2935" i="8"/>
  <c r="F429" i="8"/>
  <c r="C429" i="8"/>
  <c r="F2808" i="8"/>
  <c r="C2808" i="8"/>
  <c r="F2410" i="8"/>
  <c r="C2410" i="8"/>
  <c r="F888" i="8"/>
  <c r="C888" i="8"/>
  <c r="F653" i="8"/>
  <c r="C653" i="8"/>
  <c r="F400" i="8"/>
  <c r="C400" i="8"/>
  <c r="F1458" i="8"/>
  <c r="C1458" i="8"/>
  <c r="F1352" i="8"/>
  <c r="C1352" i="8"/>
  <c r="F1442" i="8"/>
  <c r="C1442" i="8"/>
  <c r="F3651" i="8"/>
  <c r="C3651" i="8"/>
  <c r="F2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EA2B6EA-039E-40A1-AE9B-F62705DB7B98}" keepAlive="1" name="ModelConnection_Table 7" description="Data Model" type="5" refreshedVersion="8" minRefreshableVersion="5" saveData="1">
    <dbPr connection="Data Model Connection" command="Table 7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1CD93C7A-B503-4B95-86DE-DE0D9D688402}" keepAlive="1" name="ModelConnection_Table 8" description="Data Model" type="5" refreshedVersion="8" minRefreshableVersion="5" saveData="1">
    <dbPr connection="Data Model Connection" command="Table 8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24AE8E3C-18BF-4E20-9B3D-FDAEEAF09D35}" keepAlive="1" name="Query - 2024" description="Connection to the '2024' query in the workbook." type="5" refreshedVersion="8" background="1" saveData="1">
    <dbPr connection="Provider=Microsoft.Mashup.OleDb.1;Data Source=$Workbook$;Location=2024;Extended Properties=&quot;&quot;" command="SELECT * FROM [2024]"/>
  </connection>
  <connection id="4" xr16:uid="{D7913EBE-0858-41D9-8CA4-E1DA3DC03B83}" name="Query - Table 7" description="Connection to the 'Table 7' query in the workbook." type="100" refreshedVersion="8" minRefreshableVersion="5">
    <extLst>
      <ext xmlns:x15="http://schemas.microsoft.com/office/spreadsheetml/2010/11/main" uri="{DE250136-89BD-433C-8126-D09CA5730AF9}">
        <x15:connection id="e68c0616-ca08-4a2e-ad58-6d7a305b992b"/>
      </ext>
    </extLst>
  </connection>
  <connection id="5" xr16:uid="{C6388140-EF0C-4F2C-BA24-D2400BC69DA3}" keepAlive="1" name="Query - Table 7 (3)" description="Connection to the 'Table 7 (3)' query in the workbook." type="5" refreshedVersion="8" background="1" saveData="1">
    <dbPr connection="Provider=Microsoft.Mashup.OleDb.1;Data Source=$Workbook$;Location=&quot;Table 7 (3)&quot;;Extended Properties=&quot;&quot;" command="SELECT * FROM [Table 7 (3)]"/>
  </connection>
  <connection id="6" xr16:uid="{B5962588-529E-45FC-B812-568C74BA53CD}" keepAlive="1" name="Query - Table 7 (5)" description="Connection to the 'Table 7 (5)' query in the workbook." type="5" refreshedVersion="8" background="1" saveData="1">
    <dbPr connection="Provider=Microsoft.Mashup.OleDb.1;Data Source=$Workbook$;Location=&quot;Table 7 (5)&quot;;Extended Properties=&quot;&quot;" command="SELECT * FROM [Table 7 (5)]"/>
  </connection>
  <connection id="7" xr16:uid="{581A3E19-52D3-4CC6-9848-E7D8E6C0B615}" name="Query - Table 8" description="Connection to the 'Table 8' query in the workbook." type="100" refreshedVersion="8" minRefreshableVersion="5">
    <extLst>
      <ext xmlns:x15="http://schemas.microsoft.com/office/spreadsheetml/2010/11/main" uri="{DE250136-89BD-433C-8126-D09CA5730AF9}">
        <x15:connection id="fee464c0-6553-48d1-8a42-898d53d7cf16"/>
      </ext>
    </extLst>
  </connection>
  <connection id="8" xr16:uid="{FD9191BF-4683-49B1-A647-9CF5087A68A2}" keepAlive="1" name="Query - Table 8 (3)" description="Connection to the 'Table 8 (3)' query in the workbook." type="5" refreshedVersion="8" background="1" saveData="1">
    <dbPr connection="Provider=Microsoft.Mashup.OleDb.1;Data Source=$Workbook$;Location=&quot;Table 8 (3)&quot;;Extended Properties=&quot;&quot;" command="SELECT * FROM [Table 8 (3)]"/>
  </connection>
  <connection id="9" xr16:uid="{EA093D9A-CE18-4194-A167-8615A0D5CB10}" keepAlive="1" name="Query - Table 8 (5)" description="Connection to the 'Table 8 (5)' query in the workbook." type="5" refreshedVersion="8" background="1" saveData="1">
    <dbPr connection="Provider=Microsoft.Mashup.OleDb.1;Data Source=$Workbook$;Location=&quot;Table 8 (5)&quot;;Extended Properties=&quot;&quot;" command="SELECT * FROM [Table 8 (5)]"/>
  </connection>
  <connection id="10" xr16:uid="{6986BC5C-BDB9-480A-8277-EAD1CC3F255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<sst xmlns="http://schemas.openxmlformats.org/spreadsheetml/2006/main" count="2236" uniqueCount="170">
  <si>
    <t>D0</t>
  </si>
  <si>
    <t>D-1</t>
  </si>
  <si>
    <t>DI</t>
  </si>
  <si>
    <t>DOL</t>
  </si>
  <si>
    <t>CCS</t>
  </si>
  <si>
    <t>CCL</t>
  </si>
  <si>
    <t>Contrato</t>
  </si>
  <si>
    <t>Data</t>
  </si>
  <si>
    <t>Dia da Semana</t>
  </si>
  <si>
    <t>Feriado</t>
  </si>
  <si>
    <t>segunda-feira</t>
  </si>
  <si>
    <t>Confraternização Universal</t>
  </si>
  <si>
    <t>Carnaval</t>
  </si>
  <si>
    <t>terça-feira</t>
  </si>
  <si>
    <t>sexta-feira</t>
  </si>
  <si>
    <t>Paixão de Cristo</t>
  </si>
  <si>
    <t>domingo</t>
  </si>
  <si>
    <t>Tiradentes</t>
  </si>
  <si>
    <t>quarta-feira</t>
  </si>
  <si>
    <t>Dia do Trabalho</t>
  </si>
  <si>
    <t>quinta-feira</t>
  </si>
  <si>
    <t>Corpus Christi</t>
  </si>
  <si>
    <t>sábado</t>
  </si>
  <si>
    <t>Independência do Brasil</t>
  </si>
  <si>
    <t>Nossa Sr.a Aparecida - Padroeira do Brasil</t>
  </si>
  <si>
    <t>Finados</t>
  </si>
  <si>
    <t>Proclamação da República</t>
  </si>
  <si>
    <t>Dia Nacional de Zumbi e da Consciência Negra</t>
  </si>
  <si>
    <t>Natal</t>
  </si>
  <si>
    <t xml:space="preserve">Confraternização Universal </t>
  </si>
  <si>
    <t>V24</t>
  </si>
  <si>
    <t>VENCTO</t>
  </si>
  <si>
    <t>PREÇO ABERT.</t>
  </si>
  <si>
    <t>PREÇO MÍN.</t>
  </si>
  <si>
    <t>PREÇO MÁX.</t>
  </si>
  <si>
    <t>PREÇO MÉD.</t>
  </si>
  <si>
    <t>ÚLT. PREÇO</t>
  </si>
  <si>
    <t>AJUSTE</t>
  </si>
  <si>
    <t>VAR. PTOS.</t>
  </si>
  <si>
    <t>ÚLT. OF. COMPRA</t>
  </si>
  <si>
    <t>ÚLT. OF. VENDA</t>
  </si>
  <si>
    <t>X24</t>
  </si>
  <si>
    <t>Z24</t>
  </si>
  <si>
    <t>F25</t>
  </si>
  <si>
    <t>G25</t>
  </si>
  <si>
    <t>H25</t>
  </si>
  <si>
    <t>J25</t>
  </si>
  <si>
    <t>K25</t>
  </si>
  <si>
    <t>M25</t>
  </si>
  <si>
    <t>N25</t>
  </si>
  <si>
    <t>Q25</t>
  </si>
  <si>
    <t>V25</t>
  </si>
  <si>
    <t>F26</t>
  </si>
  <si>
    <t>J26</t>
  </si>
  <si>
    <t>N26</t>
  </si>
  <si>
    <t>V26</t>
  </si>
  <si>
    <t>F27</t>
  </si>
  <si>
    <t>J27</t>
  </si>
  <si>
    <t>N27</t>
  </si>
  <si>
    <t>F28</t>
  </si>
  <si>
    <t>N28</t>
  </si>
  <si>
    <t>F29</t>
  </si>
  <si>
    <t>N29</t>
  </si>
  <si>
    <t>F30</t>
  </si>
  <si>
    <t>AJUSTE ANTER. (3)</t>
  </si>
  <si>
    <t>AJUSTE CORRIG. (4)</t>
  </si>
  <si>
    <t>V27</t>
  </si>
  <si>
    <t>J28</t>
  </si>
  <si>
    <t>V28</t>
  </si>
  <si>
    <t>J29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</si>
  <si>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</si>
  <si>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</si>
  <si>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</si>
  <si>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</si>
  <si>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</si>
  <si>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</si>
  <si>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</si>
  <si>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</si>
  <si>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</si>
  <si>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DU</t>
  </si>
  <si>
    <t>DC</t>
  </si>
  <si>
    <t>Código</t>
  </si>
  <si>
    <t>Mês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</si>
  <si>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</si>
  <si>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</si>
  <si>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</si>
  <si>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</si>
  <si>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</si>
  <si>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</si>
  <si>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</si>
  <si>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</si>
  <si>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</si>
  <si>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</si>
  <si>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</si>
  <si>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</si>
  <si>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Vcto Data</t>
  </si>
  <si>
    <t>Currency</t>
  </si>
  <si>
    <t>Buy</t>
  </si>
  <si>
    <t>Sell</t>
  </si>
  <si>
    <t>USD</t>
  </si>
  <si>
    <t>28082024</t>
  </si>
  <si>
    <t>29082024</t>
  </si>
  <si>
    <t>30082024</t>
  </si>
  <si>
    <t>Para atualizar o range da Ptax, editar no Power Query da consulta</t>
  </si>
  <si>
    <t>PTAX (D-1)</t>
  </si>
  <si>
    <t>DDI</t>
  </si>
  <si>
    <t>Tenor</t>
  </si>
  <si>
    <t>-</t>
  </si>
  <si>
    <t>Acionar antes de atualizar</t>
  </si>
  <si>
    <t>U25</t>
  </si>
  <si>
    <t>2092024</t>
  </si>
  <si>
    <t>3092024</t>
  </si>
  <si>
    <t>4092024</t>
  </si>
  <si>
    <t>5092024</t>
  </si>
  <si>
    <t>6092024</t>
  </si>
  <si>
    <t>Diff</t>
  </si>
  <si>
    <t>DI (30/08)</t>
  </si>
  <si>
    <t>9092024</t>
  </si>
  <si>
    <t>10092024</t>
  </si>
  <si>
    <t>11092024</t>
  </si>
  <si>
    <t>12092024</t>
  </si>
  <si>
    <t>13092024</t>
  </si>
  <si>
    <t>16092024</t>
  </si>
  <si>
    <t>Pre Implicita</t>
  </si>
  <si>
    <t>Fator</t>
  </si>
  <si>
    <t>17092024</t>
  </si>
  <si>
    <t>18092024</t>
  </si>
  <si>
    <t>19092024</t>
  </si>
  <si>
    <t>20092024</t>
  </si>
  <si>
    <t>DI (20/09)</t>
  </si>
  <si>
    <t>Interpolação Manual</t>
  </si>
  <si>
    <t>Normal</t>
  </si>
  <si>
    <t>Steep</t>
  </si>
  <si>
    <t>Flat</t>
  </si>
  <si>
    <t>Inverted</t>
  </si>
  <si>
    <t>As taxas de juros aumentam conforme o prazo se alonga, indicando confiança no crescimento econômico</t>
  </si>
  <si>
    <t xml:space="preserve"> e expectativas de inflação moderada no futuro.</t>
  </si>
  <si>
    <t>As taxas de juros de curto prazo são maiores que as de longo prazo, um sinal de pessimismo econômico</t>
  </si>
  <si>
    <t xml:space="preserve"> e possível recessão à frente.</t>
  </si>
  <si>
    <t xml:space="preserve">As taxas aumentam rapidamente com o prazo, sugerindo um crescimento econômico acelerado </t>
  </si>
  <si>
    <t>ou expectativas de inflação futura alta.</t>
  </si>
  <si>
    <t>As taxas de curto e longo prazo são quase iguais, sugerindo incerteza no mercado sobre o crescimento</t>
  </si>
  <si>
    <t xml:space="preserve"> econômico futuro ou uma transição entre cenários.</t>
  </si>
  <si>
    <t>BR 17/05/2016</t>
  </si>
  <si>
    <t>US 05/08/2024</t>
  </si>
  <si>
    <t>Interpole a curva DI do dia 17/05/2016 e do dia 17/09/2024</t>
  </si>
  <si>
    <t>4. O que estava acontecendo no Brasil e no mundo a fora que pode ter levado a esse formato?</t>
  </si>
  <si>
    <t>2. Para os demais vencimentos use a função dessa planilha.</t>
  </si>
  <si>
    <r>
      <t xml:space="preserve">1. Realize a interpolação </t>
    </r>
    <r>
      <rPr>
        <b/>
        <sz val="10"/>
        <color theme="1"/>
        <rFont val="Aptos Narrow"/>
        <family val="2"/>
        <scheme val="minor"/>
      </rPr>
      <t>na mão</t>
    </r>
    <r>
      <rPr>
        <sz val="10"/>
        <color theme="1"/>
        <rFont val="Aptos Narrow"/>
        <family val="2"/>
        <scheme val="minor"/>
      </rPr>
      <t xml:space="preserve"> entre o 1º dia util e o primeiro vencimento.</t>
    </r>
  </si>
  <si>
    <t>3. Diga qual o formato de cada curva.</t>
  </si>
  <si>
    <t>Formato da entrega: .xlsx</t>
  </si>
  <si>
    <t>Fonte: Manual de Curvas B3</t>
  </si>
  <si>
    <t>O FRA entre os dois vcto é 9,71%</t>
  </si>
  <si>
    <t>Taxa (i)</t>
  </si>
  <si>
    <t>DU (vc2 - vc1)</t>
  </si>
  <si>
    <t>FRA</t>
  </si>
  <si>
    <t>Fator DI</t>
  </si>
  <si>
    <t>Vcto</t>
  </si>
  <si>
    <t>pela espectativa do hoje para o futuro.</t>
  </si>
  <si>
    <r>
      <rPr>
        <b/>
        <sz val="9"/>
        <color rgb="FFC00000"/>
        <rFont val="Aptos Narrow"/>
        <family val="2"/>
        <scheme val="minor"/>
      </rPr>
      <t>Taxas Foward</t>
    </r>
    <r>
      <rPr>
        <sz val="9"/>
        <color rgb="FFC00000"/>
        <rFont val="Aptos Narrow"/>
        <family val="2"/>
        <scheme val="minor"/>
      </rPr>
      <t xml:space="preserve">, que são taxas entre períodos, e não taxas geradas </t>
    </r>
  </si>
  <si>
    <r>
      <t>Porém, as taxas dos futuros são</t>
    </r>
    <r>
      <rPr>
        <b/>
        <sz val="9"/>
        <color rgb="FFC00000"/>
        <rFont val="Aptos Narrow"/>
        <family val="2"/>
        <scheme val="minor"/>
      </rPr>
      <t xml:space="preserve"> taxas spots</t>
    </r>
    <r>
      <rPr>
        <sz val="9"/>
        <color rgb="FFC00000"/>
        <rFont val="Aptos Narrow"/>
        <family val="2"/>
        <scheme val="minor"/>
      </rPr>
      <t xml:space="preserve"> e no FRA negociamos </t>
    </r>
  </si>
  <si>
    <t>mantendo a mesma taxa até que o FRA se desfaça (morte do 1 vcto)</t>
  </si>
  <si>
    <t>Assim, movimentos paralelos na curva não gerar impacto no seu FRA,</t>
  </si>
  <si>
    <t>Negociando uma ponta Long e outra Short.</t>
  </si>
  <si>
    <t>Você quer basicamente travar a taxa entre dois periodos</t>
  </si>
  <si>
    <t>Futuro DI</t>
  </si>
  <si>
    <t>de determinado principal durante um período de tempo futuro específico.</t>
  </si>
  <si>
    <t xml:space="preserve">Um contrato de taxa forward (FRA, forward rate agreement) é uma transação de balcão estruturada de modo a fixar a taxa de juros que se aplicará ao empréstimo </t>
  </si>
  <si>
    <t>O que são FRAs</t>
  </si>
  <si>
    <r>
      <t xml:space="preserve">Data da Entrega: 06/10/2024 </t>
    </r>
    <r>
      <rPr>
        <b/>
        <sz val="10"/>
        <color theme="1"/>
        <rFont val="Aptos Narrow"/>
        <family val="2"/>
        <scheme val="minor"/>
      </rPr>
      <t>(individual)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</si>
</sst>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0.0000"/>
    <numFmt numFmtId="165" formatCode="#,##0.0000"/>
    <numFmt numFmtId="166" formatCode="0.0000000"/>
    <numFmt numFmtId="169" formatCode="0.00000%"/>
  </numFmts>
  <fonts count="23" x14ac:knownFonts="1">
    <font>
      <sz val="1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4"/>
      <name val="Aptos Narrow"/>
      <family val="2"/>
      <scheme val="minor"/>
    </font>
    <font>
      <b/>
      <sz val="9"/>
      <color theme="6"/>
      <name val="Aptos Narrow"/>
      <family val="2"/>
      <scheme val="minor"/>
    </font>
    <font>
      <b/>
      <sz val="9"/>
      <color theme="1" tint="0.34998626667073579"/>
      <name val="Aptos Narrow"/>
      <family val="2"/>
      <scheme val="minor"/>
    </font>
    <font>
      <b/>
      <sz val="8"/>
      <color theme="0"/>
      <name val="Arial"/>
      <family val="2"/>
    </font>
    <font>
      <sz val="8"/>
      <color theme="1"/>
      <name val="Aptos Narrow"/>
      <family val="2"/>
      <scheme val="minor"/>
    </font>
    <font>
      <sz val="8"/>
      <color theme="4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9"/>
      <name val="Aptos Narrow"/>
      <family val="2"/>
      <scheme val="minor"/>
    </font>
    <font>
      <sz val="10"/>
      <color rgb="FF000000"/>
      <name val="Aptos Narrow"/>
      <family val="2"/>
    </font>
    <font>
      <b/>
      <sz val="10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7"/>
      <color rgb="FF585A5B"/>
      <name val="Trebuchet MS"/>
      <family val="2"/>
    </font>
    <font>
      <b/>
      <i/>
      <sz val="9"/>
      <color theme="4"/>
      <name val="Aptos Narrow"/>
      <family val="2"/>
      <scheme val="minor"/>
    </font>
    <font>
      <b/>
      <sz val="10"/>
      <color rgb="FFC00000"/>
      <name val="Aptos Narrow"/>
      <family val="2"/>
      <scheme val="minor"/>
    </font>
    <font>
      <b/>
      <sz val="8"/>
      <color rgb="FFC00000"/>
      <name val="Aptos Narrow"/>
      <family val="2"/>
      <scheme val="minor"/>
    </font>
    <font>
      <sz val="9"/>
      <color rgb="FFC00000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b/>
      <u/>
      <sz val="10"/>
      <color theme="1"/>
      <name val="Aptos Narrow"/>
      <family val="2"/>
      <scheme val="minor"/>
    </font>
    <font>
      <i/>
      <sz val="9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55"/>
      </right>
      <top style="medium">
        <color indexed="23"/>
      </top>
      <bottom style="medium">
        <color indexed="2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85">
    <xf numFmtId="0" fontId="0" fillId="0" borderId="0" xfId="0"/>
    <xf numFmtId="0" fontId="2" fillId="2" borderId="4" xfId="0" applyFont="1" applyFill="1" applyBorder="1" applyAlignment="1">
      <alignment horizontal="center"/>
    </xf>
    <xf numFmtId="164" fontId="3" fillId="0" borderId="5" xfId="0" applyNumberFormat="1" applyFont="1" applyBorder="1" applyAlignment="1">
      <alignment horizontal="center"/>
    </xf>
    <xf numFmtId="10" fontId="4" fillId="0" borderId="5" xfId="1" applyNumberFormat="1" applyFont="1" applyBorder="1" applyAlignment="1">
      <alignment horizontal="center"/>
    </xf>
    <xf numFmtId="164" fontId="4" fillId="0" borderId="5" xfId="0" applyNumberFormat="1" applyFont="1" applyBorder="1" applyAlignment="1">
      <alignment horizontal="center"/>
    </xf>
    <xf numFmtId="164" fontId="5" fillId="0" borderId="5" xfId="0" applyNumberFormat="1" applyFont="1" applyBorder="1" applyAlignment="1">
      <alignment horizontal="center"/>
    </xf>
    <xf numFmtId="14" fontId="6" fillId="0" borderId="5" xfId="0" applyNumberFormat="1" applyFont="1" applyBorder="1" applyAlignment="1">
      <alignment horizontal="center"/>
    </xf>
    <xf numFmtId="10" fontId="4" fillId="0" borderId="0" xfId="1" applyNumberFormat="1" applyFont="1" applyAlignment="1">
      <alignment horizontal="center"/>
    </xf>
    <xf numFmtId="14" fontId="7" fillId="2" borderId="1" xfId="0" applyNumberFormat="1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8" fillId="0" borderId="0" xfId="0" applyFont="1"/>
    <xf numFmtId="14" fontId="8" fillId="3" borderId="0" xfId="0" applyNumberFormat="1" applyFont="1" applyFill="1"/>
    <xf numFmtId="0" fontId="8" fillId="3" borderId="0" xfId="0" applyFont="1" applyFill="1"/>
    <xf numFmtId="0" fontId="8" fillId="3" borderId="0" xfId="0" applyFont="1" applyFill="1" applyAlignment="1">
      <alignment horizontal="center"/>
    </xf>
    <xf numFmtId="14" fontId="9" fillId="3" borderId="0" xfId="0" applyNumberFormat="1" applyFont="1" applyFill="1" applyAlignment="1">
      <alignment horizontal="center"/>
    </xf>
    <xf numFmtId="1" fontId="9" fillId="3" borderId="0" xfId="0" applyNumberFormat="1" applyFont="1" applyFill="1" applyAlignment="1">
      <alignment horizontal="center"/>
    </xf>
    <xf numFmtId="164" fontId="9" fillId="3" borderId="0" xfId="0" applyNumberFormat="1" applyFont="1" applyFill="1" applyAlignment="1">
      <alignment horizontal="center"/>
    </xf>
    <xf numFmtId="14" fontId="8" fillId="3" borderId="0" xfId="0" applyNumberFormat="1" applyFont="1" applyFill="1" applyAlignment="1">
      <alignment horizontal="center"/>
    </xf>
    <xf numFmtId="0" fontId="8" fillId="0" borderId="0" xfId="0" applyFont="1" applyAlignment="1">
      <alignment horizontal="center"/>
    </xf>
    <xf numFmtId="14" fontId="8" fillId="0" borderId="0" xfId="0" applyNumberFormat="1" applyFont="1"/>
    <xf numFmtId="0" fontId="2" fillId="2" borderId="0" xfId="0" applyFont="1" applyFill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165" fontId="10" fillId="0" borderId="0" xfId="0" applyNumberFormat="1" applyFont="1" applyAlignment="1">
      <alignment horizontal="center"/>
    </xf>
    <xf numFmtId="165" fontId="2" fillId="4" borderId="0" xfId="0" applyNumberFormat="1" applyFont="1" applyFill="1" applyAlignment="1">
      <alignment horizontal="center"/>
    </xf>
    <xf numFmtId="14" fontId="3" fillId="0" borderId="0" xfId="0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14" fontId="3" fillId="0" borderId="0" xfId="0" applyNumberFormat="1" applyFont="1"/>
    <xf numFmtId="4" fontId="10" fillId="0" borderId="0" xfId="0" applyNumberFormat="1" applyFont="1" applyAlignment="1">
      <alignment horizontal="center"/>
    </xf>
    <xf numFmtId="4" fontId="3" fillId="0" borderId="0" xfId="0" applyNumberFormat="1" applyFont="1" applyAlignment="1">
      <alignment horizontal="center"/>
    </xf>
    <xf numFmtId="10" fontId="11" fillId="0" borderId="0" xfId="1" applyNumberFormat="1" applyFont="1" applyAlignment="1">
      <alignment horizontal="center"/>
    </xf>
    <xf numFmtId="0" fontId="2" fillId="2" borderId="0" xfId="0" applyFont="1" applyFill="1"/>
    <xf numFmtId="164" fontId="3" fillId="0" borderId="0" xfId="0" applyNumberFormat="1" applyFont="1"/>
    <xf numFmtId="10" fontId="3" fillId="0" borderId="0" xfId="1" applyNumberFormat="1" applyFont="1"/>
    <xf numFmtId="10" fontId="4" fillId="0" borderId="0" xfId="1" applyNumberFormat="1" applyFont="1" applyFill="1" applyAlignment="1">
      <alignment horizontal="center"/>
    </xf>
    <xf numFmtId="166" fontId="4" fillId="0" borderId="0" xfId="1" applyNumberFormat="1" applyFont="1" applyFill="1" applyAlignment="1">
      <alignment horizontal="center"/>
    </xf>
    <xf numFmtId="0" fontId="3" fillId="5" borderId="0" xfId="0" applyFont="1" applyFill="1" applyAlignment="1">
      <alignment horizontal="center"/>
    </xf>
    <xf numFmtId="10" fontId="4" fillId="5" borderId="0" xfId="1" applyNumberFormat="1" applyFont="1" applyFill="1" applyAlignment="1">
      <alignment horizontal="center"/>
    </xf>
    <xf numFmtId="166" fontId="4" fillId="5" borderId="0" xfId="1" applyNumberFormat="1" applyFont="1" applyFill="1" applyAlignment="1">
      <alignment horizontal="center"/>
    </xf>
    <xf numFmtId="10" fontId="11" fillId="5" borderId="0" xfId="1" applyNumberFormat="1" applyFont="1" applyFill="1" applyAlignment="1">
      <alignment horizontal="center"/>
    </xf>
    <xf numFmtId="10" fontId="3" fillId="5" borderId="0" xfId="1" applyNumberFormat="1" applyFont="1" applyFill="1"/>
    <xf numFmtId="0" fontId="3" fillId="5" borderId="0" xfId="0" applyFont="1" applyFill="1"/>
    <xf numFmtId="10" fontId="11" fillId="0" borderId="0" xfId="1" applyNumberFormat="1" applyFont="1" applyFill="1" applyAlignment="1">
      <alignment horizontal="center"/>
    </xf>
    <xf numFmtId="10" fontId="3" fillId="0" borderId="0" xfId="1" applyNumberFormat="1" applyFont="1" applyFill="1"/>
    <xf numFmtId="0" fontId="0" fillId="0" borderId="0" xfId="0" applyAlignment="1">
      <alignment vertical="center" wrapText="1"/>
    </xf>
    <xf numFmtId="43" fontId="0" fillId="0" borderId="0" xfId="2" applyFont="1" applyAlignment="1">
      <alignment vertical="center" wrapText="1"/>
    </xf>
    <xf numFmtId="43" fontId="0" fillId="0" borderId="0" xfId="0" applyNumberFormat="1"/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right"/>
    </xf>
    <xf numFmtId="0" fontId="14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15" fillId="6" borderId="0" xfId="0" applyFont="1" applyFill="1" applyAlignment="1">
      <alignment horizontal="right" wrapText="1"/>
    </xf>
    <xf numFmtId="0" fontId="0" fillId="2" borderId="0" xfId="0" applyFill="1"/>
    <xf numFmtId="0" fontId="13" fillId="2" borderId="0" xfId="0" applyFont="1" applyFill="1"/>
    <xf numFmtId="0" fontId="16" fillId="0" borderId="0" xfId="0" applyFont="1" applyAlignment="1">
      <alignment horizontal="center"/>
    </xf>
    <xf numFmtId="0" fontId="13" fillId="2" borderId="0" xfId="0" applyFont="1" applyFill="1" applyAlignment="1">
      <alignment horizontal="center" vertical="center" wrapText="1"/>
    </xf>
    <xf numFmtId="0" fontId="14" fillId="0" borderId="0" xfId="0" applyFont="1"/>
    <xf numFmtId="0" fontId="8" fillId="0" borderId="0" xfId="0" applyFont="1" applyAlignment="1">
      <alignment vertical="top"/>
    </xf>
    <xf numFmtId="0" fontId="8" fillId="0" borderId="0" xfId="0" applyFont="1" applyAlignment="1">
      <alignment vertical="center"/>
    </xf>
    <xf numFmtId="10" fontId="17" fillId="7" borderId="6" xfId="1" applyNumberFormat="1" applyFont="1" applyFill="1" applyBorder="1"/>
    <xf numFmtId="0" fontId="18" fillId="7" borderId="7" xfId="0" applyFont="1" applyFill="1" applyBorder="1"/>
    <xf numFmtId="0" fontId="17" fillId="3" borderId="8" xfId="0" applyFont="1" applyFill="1" applyBorder="1"/>
    <xf numFmtId="0" fontId="18" fillId="3" borderId="9" xfId="0" applyFont="1" applyFill="1" applyBorder="1"/>
    <xf numFmtId="0" fontId="13" fillId="2" borderId="10" xfId="0" applyFont="1" applyFill="1" applyBorder="1" applyAlignment="1">
      <alignment horizontal="center"/>
    </xf>
    <xf numFmtId="0" fontId="13" fillId="2" borderId="11" xfId="0" applyFont="1" applyFill="1" applyBorder="1" applyAlignment="1">
      <alignment horizontal="center"/>
    </xf>
    <xf numFmtId="0" fontId="3" fillId="8" borderId="12" xfId="0" applyFont="1" applyFill="1" applyBorder="1" applyAlignment="1">
      <alignment horizontal="center"/>
    </xf>
    <xf numFmtId="0" fontId="3" fillId="8" borderId="6" xfId="0" applyFont="1" applyFill="1" applyBorder="1" applyAlignment="1">
      <alignment horizontal="center"/>
    </xf>
    <xf numFmtId="17" fontId="3" fillId="8" borderId="7" xfId="0" applyNumberFormat="1" applyFont="1" applyFill="1" applyBorder="1" applyAlignment="1">
      <alignment horizontal="center"/>
    </xf>
    <xf numFmtId="0" fontId="3" fillId="9" borderId="13" xfId="0" applyFont="1" applyFill="1" applyBorder="1" applyAlignment="1">
      <alignment horizontal="center"/>
    </xf>
    <xf numFmtId="2" fontId="3" fillId="9" borderId="8" xfId="0" applyNumberFormat="1" applyFont="1" applyFill="1" applyBorder="1" applyAlignment="1">
      <alignment horizontal="center"/>
    </xf>
    <xf numFmtId="17" fontId="3" fillId="9" borderId="14" xfId="0" applyNumberFormat="1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13" fillId="2" borderId="15" xfId="0" applyFont="1" applyFill="1" applyBorder="1" applyAlignment="1">
      <alignment horizontal="center"/>
    </xf>
    <xf numFmtId="0" fontId="19" fillId="0" borderId="0" xfId="0" applyFont="1" applyAlignment="1">
      <alignment vertical="top"/>
    </xf>
    <xf numFmtId="17" fontId="0" fillId="0" borderId="0" xfId="0" applyNumberFormat="1" applyAlignment="1">
      <alignment horizontal="left"/>
    </xf>
    <xf numFmtId="17" fontId="0" fillId="0" borderId="0" xfId="0" applyNumberFormat="1" applyAlignment="1">
      <alignment horizontal="center"/>
    </xf>
    <xf numFmtId="0" fontId="3" fillId="0" borderId="0" xfId="0" applyFont="1" applyAlignment="1">
      <alignment vertical="top"/>
    </xf>
    <xf numFmtId="0" fontId="21" fillId="0" borderId="0" xfId="0" applyFont="1" applyAlignment="1">
      <alignment horizontal="center" vertical="top"/>
    </xf>
    <xf numFmtId="0" fontId="22" fillId="0" borderId="0" xfId="0" applyFont="1" applyAlignment="1">
      <alignment horizontal="left" vertical="top"/>
    </xf>
    <xf numFmtId="0" fontId="17" fillId="0" borderId="0" xfId="0" applyFont="1"/>
    <xf numFmtId="169" fontId="3" fillId="0" borderId="0" xfId="1" applyNumberFormat="1" applyFont="1"/>
  </cellXfs>
  <cellStyles count="3">
    <cellStyle name="Comma" xfId="2" builtinId="3"/>
    <cellStyle name="Normal" xfId="0" builtinId="0"/>
    <cellStyle name="Percent" xfId="1" builtinId="5"/>
  </cellStyles>
  <dxfs count="54">
    <dxf>
      <font>
        <strike val="0"/>
        <outline val="0"/>
        <shadow val="0"/>
        <u val="none"/>
        <vertAlign val="baseline"/>
        <sz val="9"/>
        <name val="Aptos Narrow"/>
        <family val="2"/>
        <scheme val="minor"/>
      </font>
      <numFmt numFmtId="165" formatCode="#,##0.00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Aptos Narrow"/>
        <family val="2"/>
        <scheme val="minor"/>
      </font>
      <numFmt numFmtId="165" formatCode="#,##0.00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Aptos Narrow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9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4" formatCode="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4" formatCode="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rgb="FFC00000"/>
        </patternFill>
      </fill>
    </dxf>
  </dxfs>
  <tableStyles count="1" defaultTableStyle="TableStyleMedium2" defaultPivotStyle="PivotStyleLight16">
    <tableStyle name="Table Style 1" pivot="0" count="2" xr9:uid="{C56EF769-C6FE-4717-980D-BF420105B9FA}">
      <tableStyleElement type="headerRow" dxfId="53"/>
      <tableStyleElement type="secondRowStripe" dxfId="52"/>
    </tableStyle>
  </tableStyles>
  <colors>
    <mruColors>
      <color rgb="FF9E9E9E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 b="1" i="1"/>
              <a:t>Curva DI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Interpolações!$F$1</c:f>
              <c:strCache>
                <c:ptCount val="1"/>
                <c:pt idx="0">
                  <c:v>Diff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invertIfNegative val="0"/>
          <c:val>
            <c:numRef>
              <c:f>Interpolações!$F$2:$F$3651</c:f>
              <c:numCache>
                <c:formatCode>0.00%</c:formatCode>
                <c:ptCount val="3650"/>
                <c:pt idx="0">
                  <c:v>2.5429560222469672E-3</c:v>
                </c:pt>
                <c:pt idx="1">
                  <c:v>1.8456726379281196E-3</c:v>
                </c:pt>
                <c:pt idx="2">
                  <c:v>1.6132437655127507E-3</c:v>
                </c:pt>
                <c:pt idx="3">
                  <c:v>1.4970291268003866E-3</c:v>
                </c:pt>
                <c:pt idx="4">
                  <c:v>1.427300279082333E-3</c:v>
                </c:pt>
                <c:pt idx="5">
                  <c:v>1.3808143541507167E-3</c:v>
                </c:pt>
                <c:pt idx="6">
                  <c:v>1.3476101071765445E-3</c:v>
                </c:pt>
                <c:pt idx="7">
                  <c:v>1.3290134233789885E-3</c:v>
                </c:pt>
                <c:pt idx="8">
                  <c:v>1.3145493315436241E-3</c:v>
                </c:pt>
                <c:pt idx="9">
                  <c:v>1.3029780558948545E-3</c:v>
                </c:pt>
                <c:pt idx="10">
                  <c:v>1.293510646194207E-3</c:v>
                </c:pt>
                <c:pt idx="11">
                  <c:v>1.2856211376810478E-3</c:v>
                </c:pt>
                <c:pt idx="12">
                  <c:v>1.2789453983197419E-3</c:v>
                </c:pt>
                <c:pt idx="13">
                  <c:v>1.2732233356516076E-3</c:v>
                </c:pt>
                <c:pt idx="14">
                  <c:v>1.268264214449033E-3</c:v>
                </c:pt>
                <c:pt idx="15">
                  <c:v>1.2639249825419085E-3</c:v>
                </c:pt>
                <c:pt idx="16">
                  <c:v>1.2600962491005063E-3</c:v>
                </c:pt>
                <c:pt idx="17">
                  <c:v>1.256692929518799E-3</c:v>
                </c:pt>
                <c:pt idx="18">
                  <c:v>1.2536478541047558E-3</c:v>
                </c:pt>
                <c:pt idx="19">
                  <c:v>1.2509072862432191E-3</c:v>
                </c:pt>
                <c:pt idx="20">
                  <c:v>1.2484277245983222E-3</c:v>
                </c:pt>
                <c:pt idx="21">
                  <c:v>1.2461735774278448E-3</c:v>
                </c:pt>
                <c:pt idx="22">
                  <c:v>1.1566794205331021E-3</c:v>
                </c:pt>
                <c:pt idx="23">
                  <c:v>1.0746430385122352E-3</c:v>
                </c:pt>
                <c:pt idx="24">
                  <c:v>9.9916950691003592E-4</c:v>
                </c:pt>
                <c:pt idx="25">
                  <c:v>9.2950158021576357E-4</c:v>
                </c:pt>
                <c:pt idx="26">
                  <c:v>8.6499419686969503E-4</c:v>
                </c:pt>
                <c:pt idx="27">
                  <c:v>8.0509444588816592E-4</c:v>
                </c:pt>
                <c:pt idx="28">
                  <c:v>7.4932567946106587E-4</c:v>
                </c:pt>
                <c:pt idx="29">
                  <c:v>6.9727480226910998E-4</c:v>
                </c:pt>
                <c:pt idx="30">
                  <c:v>7.8213804586280133E-4</c:v>
                </c:pt>
                <c:pt idx="31">
                  <c:v>8.6169747794961893E-4</c:v>
                </c:pt>
                <c:pt idx="32">
                  <c:v>9.3643525009845519E-4</c:v>
                </c:pt>
                <c:pt idx="33">
                  <c:v>1.0067767930221905E-3</c:v>
                </c:pt>
                <c:pt idx="34">
                  <c:v>1.0730989164597915E-3</c:v>
                </c:pt>
                <c:pt idx="35">
                  <c:v>1.135736564683576E-3</c:v>
                </c:pt>
                <c:pt idx="36">
                  <c:v>1.1949884718198689E-3</c:v>
                </c:pt>
                <c:pt idx="37">
                  <c:v>1.2511219273259044E-3</c:v>
                </c:pt>
                <c:pt idx="38">
                  <c:v>1.3043768067433348E-3</c:v>
                </c:pt>
                <c:pt idx="39">
                  <c:v>1.3549689988456848E-3</c:v>
                </c:pt>
                <c:pt idx="40">
                  <c:v>1.4030933301878434E-3</c:v>
                </c:pt>
                <c:pt idx="41">
                  <c:v>1.4489260733885345E-3</c:v>
                </c:pt>
                <c:pt idx="42">
                  <c:v>1.4926271030057947E-3</c:v>
                </c:pt>
                <c:pt idx="43">
                  <c:v>1.5343417606006327E-3</c:v>
                </c:pt>
                <c:pt idx="44">
                  <c:v>1.5742024682989797E-3</c:v>
                </c:pt>
                <c:pt idx="45">
                  <c:v>1.5142765881659415E-3</c:v>
                </c:pt>
                <c:pt idx="46">
                  <c:v>1.4569006442366472E-3</c:v>
                </c:pt>
                <c:pt idx="47">
                  <c:v>1.4019152719146888E-3</c:v>
                </c:pt>
                <c:pt idx="48">
                  <c:v>1.3491741151705483E-3</c:v>
                </c:pt>
                <c:pt idx="49">
                  <c:v>1.3883580495699377E-3</c:v>
                </c:pt>
                <c:pt idx="50">
                  <c:v>1.4260054483905549E-3</c:v>
                </c:pt>
                <c:pt idx="51">
                  <c:v>1.4622049528956182E-3</c:v>
                </c:pt>
                <c:pt idx="52">
                  <c:v>1.4970385145973708E-3</c:v>
                </c:pt>
                <c:pt idx="53">
                  <c:v>1.5305820154409844E-3</c:v>
                </c:pt>
                <c:pt idx="54">
                  <c:v>1.5629058179644773E-3</c:v>
                </c:pt>
                <c:pt idx="55">
                  <c:v>1.5940752603249564E-3</c:v>
                </c:pt>
                <c:pt idx="56">
                  <c:v>1.62415109492553E-3</c:v>
                </c:pt>
                <c:pt idx="57">
                  <c:v>1.6531898844318604E-3</c:v>
                </c:pt>
                <c:pt idx="58">
                  <c:v>1.6812443578873015E-3</c:v>
                </c:pt>
                <c:pt idx="59">
                  <c:v>1.7083637283255015E-3</c:v>
                </c:pt>
                <c:pt idx="60">
                  <c:v>1.7345939822943635E-3</c:v>
                </c:pt>
                <c:pt idx="61">
                  <c:v>1.7599781394261882E-3</c:v>
                </c:pt>
                <c:pt idx="62">
                  <c:v>1.7845564882268405E-3</c:v>
                </c:pt>
                <c:pt idx="63">
                  <c:v>1.8083667993264996E-3</c:v>
                </c:pt>
                <c:pt idx="64">
                  <c:v>1.7728875645328657E-3</c:v>
                </c:pt>
                <c:pt idx="65">
                  <c:v>1.7384833898237417E-3</c:v>
                </c:pt>
                <c:pt idx="66">
                  <c:v>1.7051061414807833E-3</c:v>
                </c:pt>
                <c:pt idx="67">
                  <c:v>1.6727105164981992E-3</c:v>
                </c:pt>
                <c:pt idx="68">
                  <c:v>1.641253838147172E-3</c:v>
                </c:pt>
                <c:pt idx="69">
                  <c:v>1.6106958685708772E-3</c:v>
                </c:pt>
                <c:pt idx="70">
                  <c:v>1.6147410704325793E-3</c:v>
                </c:pt>
                <c:pt idx="71">
                  <c:v>1.6186739136392347E-3</c:v>
                </c:pt>
                <c:pt idx="72">
                  <c:v>1.622499014941603E-3</c:v>
                </c:pt>
                <c:pt idx="73">
                  <c:v>1.626220742156903E-3</c:v>
                </c:pt>
                <c:pt idx="74">
                  <c:v>1.6298432300221322E-3</c:v>
                </c:pt>
                <c:pt idx="75">
                  <c:v>1.6333703954929391E-3</c:v>
                </c:pt>
                <c:pt idx="76">
                  <c:v>1.63680595230975E-3</c:v>
                </c:pt>
                <c:pt idx="77">
                  <c:v>1.6401534234766757E-3</c:v>
                </c:pt>
                <c:pt idx="78">
                  <c:v>1.6434161540290759E-3</c:v>
                </c:pt>
                <c:pt idx="79">
                  <c:v>1.6465973213808383E-3</c:v>
                </c:pt>
                <c:pt idx="80">
                  <c:v>1.6496999462267681E-3</c:v>
                </c:pt>
                <c:pt idx="81">
                  <c:v>1.6527269019572799E-3</c:v>
                </c:pt>
                <c:pt idx="82">
                  <c:v>1.6556809234291592E-3</c:v>
                </c:pt>
                <c:pt idx="83">
                  <c:v>1.6585646152256217E-3</c:v>
                </c:pt>
                <c:pt idx="84">
                  <c:v>1.6613804593827997E-3</c:v>
                </c:pt>
                <c:pt idx="85">
                  <c:v>1.6426816757730833E-3</c:v>
                </c:pt>
                <c:pt idx="86">
                  <c:v>1.6244127205133907E-3</c:v>
                </c:pt>
                <c:pt idx="87">
                  <c:v>1.6065589415026338E-3</c:v>
                </c:pt>
                <c:pt idx="88">
                  <c:v>1.5891063448236764E-3</c:v>
                </c:pt>
                <c:pt idx="89">
                  <c:v>1.5720415585507297E-3</c:v>
                </c:pt>
                <c:pt idx="90">
                  <c:v>1.5553517987765275E-3</c:v>
                </c:pt>
                <c:pt idx="91">
                  <c:v>1.5390248368831738E-3</c:v>
                </c:pt>
                <c:pt idx="92">
                  <c:v>1.5763659573009292E-3</c:v>
                </c:pt>
                <c:pt idx="93">
                  <c:v>1.6129126540809224E-3</c:v>
                </c:pt>
                <c:pt idx="94">
                  <c:v>1.6486900121126524E-3</c:v>
                </c:pt>
                <c:pt idx="95">
                  <c:v>1.6837220713217249E-3</c:v>
                </c:pt>
                <c:pt idx="96">
                  <c:v>1.7180318800935623E-3</c:v>
                </c:pt>
                <c:pt idx="97">
                  <c:v>1.7516415464546853E-3</c:v>
                </c:pt>
                <c:pt idx="98">
                  <c:v>1.784572285012942E-3</c:v>
                </c:pt>
                <c:pt idx="99">
                  <c:v>1.8168444620769719E-3</c:v>
                </c:pt>
                <c:pt idx="100">
                  <c:v>1.8484776371341383E-3</c:v>
                </c:pt>
                <c:pt idx="101">
                  <c:v>1.879490603129419E-3</c:v>
                </c:pt>
                <c:pt idx="102">
                  <c:v>1.9099014227474953E-3</c:v>
                </c:pt>
                <c:pt idx="103">
                  <c:v>1.9397274643839779E-3</c:v>
                </c:pt>
                <c:pt idx="104">
                  <c:v>1.9689854345639191E-3</c:v>
                </c:pt>
                <c:pt idx="105">
                  <c:v>1.9976914097608045E-3</c:v>
                </c:pt>
                <c:pt idx="106">
                  <c:v>2.025860865106921E-3</c:v>
                </c:pt>
                <c:pt idx="107">
                  <c:v>2.0208829670576023E-3</c:v>
                </c:pt>
                <c:pt idx="108">
                  <c:v>2.0159963981525308E-3</c:v>
                </c:pt>
                <c:pt idx="109">
                  <c:v>2.0111986678728044E-3</c:v>
                </c:pt>
                <c:pt idx="110">
                  <c:v>2.0064873754277457E-3</c:v>
                </c:pt>
                <c:pt idx="111">
                  <c:v>2.0018602057803037E-3</c:v>
                </c:pt>
                <c:pt idx="112">
                  <c:v>1.9982766277903963E-3</c:v>
                </c:pt>
                <c:pt idx="113">
                  <c:v>1.9947559141142435E-3</c:v>
                </c:pt>
                <c:pt idx="114">
                  <c:v>1.9912964248858245E-3</c:v>
                </c:pt>
                <c:pt idx="115">
                  <c:v>1.9878965769049017E-3</c:v>
                </c:pt>
                <c:pt idx="116">
                  <c:v>1.9845548409724856E-3</c:v>
                </c:pt>
                <c:pt idx="117">
                  <c:v>1.9812697398702284E-3</c:v>
                </c:pt>
                <c:pt idx="118">
                  <c:v>1.9780398458513204E-3</c:v>
                </c:pt>
                <c:pt idx="119">
                  <c:v>1.9748637788641332E-3</c:v>
                </c:pt>
                <c:pt idx="120">
                  <c:v>1.9717402045760224E-3</c:v>
                </c:pt>
                <c:pt idx="121">
                  <c:v>1.9686678321972906E-3</c:v>
                </c:pt>
                <c:pt idx="122">
                  <c:v>1.9656454129712841E-3</c:v>
                </c:pt>
                <c:pt idx="123">
                  <c:v>1.9626717385534675E-3</c:v>
                </c:pt>
                <c:pt idx="124">
                  <c:v>1.9597456391018397E-3</c:v>
                </c:pt>
                <c:pt idx="125">
                  <c:v>1.9568659820112799E-3</c:v>
                </c:pt>
                <c:pt idx="126">
                  <c:v>1.954031670248213E-3</c:v>
                </c:pt>
                <c:pt idx="127">
                  <c:v>1.9483248988372281E-3</c:v>
                </c:pt>
                <c:pt idx="128">
                  <c:v>1.9427065974575441E-3</c:v>
                </c:pt>
                <c:pt idx="129">
                  <c:v>1.9371747246754722E-3</c:v>
                </c:pt>
                <c:pt idx="130">
                  <c:v>1.9317273013852443E-3</c:v>
                </c:pt>
                <c:pt idx="131">
                  <c:v>1.9451480309795599E-3</c:v>
                </c:pt>
                <c:pt idx="132">
                  <c:v>1.958366963128455E-3</c:v>
                </c:pt>
                <c:pt idx="133">
                  <c:v>1.971388615285008E-3</c:v>
                </c:pt>
                <c:pt idx="134">
                  <c:v>1.9842173710316047E-3</c:v>
                </c:pt>
                <c:pt idx="135">
                  <c:v>1.9968574850759424E-3</c:v>
                </c:pt>
                <c:pt idx="136">
                  <c:v>2.0093130879583754E-3</c:v>
                </c:pt>
                <c:pt idx="137">
                  <c:v>2.0215881903817845E-3</c:v>
                </c:pt>
                <c:pt idx="138">
                  <c:v>2.0336866877634918E-3</c:v>
                </c:pt>
                <c:pt idx="139">
                  <c:v>2.0456123640100188E-3</c:v>
                </c:pt>
                <c:pt idx="140">
                  <c:v>2.057368896135614E-3</c:v>
                </c:pt>
                <c:pt idx="141">
                  <c:v>2.0689598570378109E-3</c:v>
                </c:pt>
                <c:pt idx="142">
                  <c:v>2.0803887200715465E-3</c:v>
                </c:pt>
                <c:pt idx="143">
                  <c:v>2.0916588621133769E-3</c:v>
                </c:pt>
                <c:pt idx="144">
                  <c:v>2.1027735665368752E-3</c:v>
                </c:pt>
                <c:pt idx="145">
                  <c:v>2.1137360271650252E-3</c:v>
                </c:pt>
                <c:pt idx="146">
                  <c:v>2.1231898822637874E-3</c:v>
                </c:pt>
                <c:pt idx="147">
                  <c:v>2.132515992969708E-3</c:v>
                </c:pt>
                <c:pt idx="148">
                  <c:v>2.1417169310256057E-3</c:v>
                </c:pt>
                <c:pt idx="149">
                  <c:v>2.1507951998067654E-3</c:v>
                </c:pt>
                <c:pt idx="150">
                  <c:v>2.1597532361861127E-3</c:v>
                </c:pt>
                <c:pt idx="151">
                  <c:v>2.1677544615350541E-3</c:v>
                </c:pt>
                <c:pt idx="152">
                  <c:v>2.1756511038084625E-3</c:v>
                </c:pt>
                <c:pt idx="153">
                  <c:v>2.1834452002433835E-3</c:v>
                </c:pt>
                <c:pt idx="154">
                  <c:v>2.191138735474496E-3</c:v>
                </c:pt>
                <c:pt idx="155">
                  <c:v>2.1987336431994464E-3</c:v>
                </c:pt>
                <c:pt idx="156">
                  <c:v>2.20623180777757E-3</c:v>
                </c:pt>
                <c:pt idx="157">
                  <c:v>2.2136350661172699E-3</c:v>
                </c:pt>
                <c:pt idx="158">
                  <c:v>2.220945208630809E-3</c:v>
                </c:pt>
                <c:pt idx="159">
                  <c:v>2.2281639812771203E-3</c:v>
                </c:pt>
                <c:pt idx="160">
                  <c:v>2.2352930862945541E-3</c:v>
                </c:pt>
                <c:pt idx="161">
                  <c:v>2.242334184177075E-3</c:v>
                </c:pt>
                <c:pt idx="162">
                  <c:v>2.2492888945180312E-3</c:v>
                </c:pt>
                <c:pt idx="163">
                  <c:v>2.2561587974756492E-3</c:v>
                </c:pt>
                <c:pt idx="164">
                  <c:v>2.2629454349498701E-3</c:v>
                </c:pt>
                <c:pt idx="165">
                  <c:v>2.2696503116135247E-3</c:v>
                </c:pt>
                <c:pt idx="166">
                  <c:v>2.2749911136488166E-3</c:v>
                </c:pt>
                <c:pt idx="167">
                  <c:v>2.2802683393274847E-3</c:v>
                </c:pt>
                <c:pt idx="168">
                  <c:v>2.2854831171814638E-3</c:v>
                </c:pt>
                <c:pt idx="169">
                  <c:v>2.2906365489960834E-3</c:v>
                </c:pt>
                <c:pt idx="170">
                  <c:v>2.2957297110215436E-3</c:v>
                </c:pt>
                <c:pt idx="171">
                  <c:v>2.3007636544498666E-3</c:v>
                </c:pt>
                <c:pt idx="172">
                  <c:v>2.3191146811596397E-3</c:v>
                </c:pt>
                <c:pt idx="173">
                  <c:v>2.3372547935718302E-3</c:v>
                </c:pt>
                <c:pt idx="174">
                  <c:v>2.3551876071170597E-3</c:v>
                </c:pt>
                <c:pt idx="175">
                  <c:v>2.372916655035695E-3</c:v>
                </c:pt>
                <c:pt idx="176">
                  <c:v>2.3904453906764545E-3</c:v>
                </c:pt>
                <c:pt idx="177">
                  <c:v>2.407777189805671E-3</c:v>
                </c:pt>
                <c:pt idx="178">
                  <c:v>2.4249153528055345E-3</c:v>
                </c:pt>
                <c:pt idx="179">
                  <c:v>2.4418631067169017E-3</c:v>
                </c:pt>
                <c:pt idx="180">
                  <c:v>2.4586236071932888E-3</c:v>
                </c:pt>
                <c:pt idx="181">
                  <c:v>2.4751999405880909E-3</c:v>
                </c:pt>
                <c:pt idx="182">
                  <c:v>2.4915951258419611E-3</c:v>
                </c:pt>
                <c:pt idx="183">
                  <c:v>2.5078121162147582E-3</c:v>
                </c:pt>
                <c:pt idx="184">
                  <c:v>2.5238538011063127E-3</c:v>
                </c:pt>
                <c:pt idx="185">
                  <c:v>2.5397230078327837E-3</c:v>
                </c:pt>
                <c:pt idx="186">
                  <c:v>2.5554225032637934E-3</c:v>
                </c:pt>
                <c:pt idx="187">
                  <c:v>2.5598421611316979E-3</c:v>
                </c:pt>
                <c:pt idx="188">
                  <c:v>2.5642150540683417E-3</c:v>
                </c:pt>
                <c:pt idx="189">
                  <c:v>2.5685419204002358E-3</c:v>
                </c:pt>
                <c:pt idx="190">
                  <c:v>2.5728234831268182E-3</c:v>
                </c:pt>
                <c:pt idx="191">
                  <c:v>2.5770604499062433E-3</c:v>
                </c:pt>
                <c:pt idx="192">
                  <c:v>2.577453166607846E-3</c:v>
                </c:pt>
                <c:pt idx="193">
                  <c:v>2.5778418350608234E-3</c:v>
                </c:pt>
                <c:pt idx="194">
                  <c:v>2.5782265175244845E-3</c:v>
                </c:pt>
                <c:pt idx="195">
                  <c:v>2.5786072749278688E-3</c:v>
                </c:pt>
                <c:pt idx="196">
                  <c:v>2.5789841670453839E-3</c:v>
                </c:pt>
                <c:pt idx="197">
                  <c:v>2.5793572524968056E-3</c:v>
                </c:pt>
                <c:pt idx="198">
                  <c:v>2.5797265886140508E-3</c:v>
                </c:pt>
                <c:pt idx="199">
                  <c:v>2.5800922316632224E-3</c:v>
                </c:pt>
                <c:pt idx="200">
                  <c:v>2.580454236733587E-3</c:v>
                </c:pt>
                <c:pt idx="201">
                  <c:v>2.5808126579374147E-3</c:v>
                </c:pt>
                <c:pt idx="202">
                  <c:v>2.581167548099117E-3</c:v>
                </c:pt>
                <c:pt idx="203">
                  <c:v>2.5815189592215404E-3</c:v>
                </c:pt>
                <c:pt idx="204">
                  <c:v>2.5818669421751039E-3</c:v>
                </c:pt>
                <c:pt idx="205">
                  <c:v>2.5822115469420481E-3</c:v>
                </c:pt>
                <c:pt idx="206">
                  <c:v>2.5825528224276972E-3</c:v>
                </c:pt>
                <c:pt idx="207">
                  <c:v>2.5962875006335651E-3</c:v>
                </c:pt>
                <c:pt idx="208">
                  <c:v>2.6098907544014338E-3</c:v>
                </c:pt>
                <c:pt idx="209">
                  <c:v>2.6233644609741091E-3</c:v>
                </c:pt>
                <c:pt idx="210">
                  <c:v>2.6367104622559978E-3</c:v>
                </c:pt>
                <c:pt idx="211">
                  <c:v>2.6499305652905036E-3</c:v>
                </c:pt>
                <c:pt idx="212">
                  <c:v>2.6630265431704103E-3</c:v>
                </c:pt>
                <c:pt idx="213">
                  <c:v>2.6760001358372421E-3</c:v>
                </c:pt>
                <c:pt idx="214">
                  <c:v>2.6888530509030506E-3</c:v>
                </c:pt>
                <c:pt idx="215">
                  <c:v>2.6990443094065952E-3</c:v>
                </c:pt>
                <c:pt idx="216">
                  <c:v>2.7091416443525418E-3</c:v>
                </c:pt>
                <c:pt idx="217">
                  <c:v>2.719146348284518E-3</c:v>
                </c:pt>
                <c:pt idx="218">
                  <c:v>2.7290596899876007E-3</c:v>
                </c:pt>
                <c:pt idx="219">
                  <c:v>2.738882915287455E-3</c:v>
                </c:pt>
                <c:pt idx="220">
                  <c:v>2.7486172473389914E-3</c:v>
                </c:pt>
                <c:pt idx="221">
                  <c:v>2.758263887470136E-3</c:v>
                </c:pt>
                <c:pt idx="222">
                  <c:v>2.767824015226239E-3</c:v>
                </c:pt>
                <c:pt idx="223">
                  <c:v>2.7772987892138445E-3</c:v>
                </c:pt>
                <c:pt idx="224">
                  <c:v>2.7866893474337573E-3</c:v>
                </c:pt>
                <c:pt idx="225">
                  <c:v>2.7959968077251318E-3</c:v>
                </c:pt>
                <c:pt idx="226">
                  <c:v>2.8052222682539707E-3</c:v>
                </c:pt>
                <c:pt idx="227">
                  <c:v>2.8143668079572137E-3</c:v>
                </c:pt>
                <c:pt idx="228">
                  <c:v>2.8234314867647825E-3</c:v>
                </c:pt>
                <c:pt idx="229">
                  <c:v>2.8324173463545321E-3</c:v>
                </c:pt>
                <c:pt idx="230">
                  <c:v>2.8350601722237911E-3</c:v>
                </c:pt>
                <c:pt idx="231">
                  <c:v>2.8376802164498116E-3</c:v>
                </c:pt>
                <c:pt idx="232">
                  <c:v>2.8402777723535166E-3</c:v>
                </c:pt>
                <c:pt idx="233">
                  <c:v>2.8428531281932123E-3</c:v>
                </c:pt>
                <c:pt idx="234">
                  <c:v>2.845406567364428E-3</c:v>
                </c:pt>
                <c:pt idx="235">
                  <c:v>2.8479383684443249E-3</c:v>
                </c:pt>
                <c:pt idx="236">
                  <c:v>2.856138079954107E-3</c:v>
                </c:pt>
                <c:pt idx="237">
                  <c:v>2.8642688906455049E-3</c:v>
                </c:pt>
                <c:pt idx="238">
                  <c:v>2.8723316654488684E-3</c:v>
                </c:pt>
                <c:pt idx="239">
                  <c:v>2.8803272546618075E-3</c:v>
                </c:pt>
                <c:pt idx="240">
                  <c:v>2.8882564946375311E-3</c:v>
                </c:pt>
                <c:pt idx="241">
                  <c:v>2.8961202077626425E-3</c:v>
                </c:pt>
                <c:pt idx="242">
                  <c:v>2.9039192029456373E-3</c:v>
                </c:pt>
                <c:pt idx="243">
                  <c:v>2.9116542759721753E-3</c:v>
                </c:pt>
                <c:pt idx="244">
                  <c:v>2.9193262094384664E-3</c:v>
                </c:pt>
                <c:pt idx="245">
                  <c:v>2.9269357733063828E-3</c:v>
                </c:pt>
                <c:pt idx="246">
                  <c:v>2.9344837249922762E-3</c:v>
                </c:pt>
                <c:pt idx="247">
                  <c:v>2.9419708098776809E-3</c:v>
                </c:pt>
                <c:pt idx="248">
                  <c:v>2.9493977611538824E-3</c:v>
                </c:pt>
                <c:pt idx="249">
                  <c:v>2.9567653003992334E-3</c:v>
                </c:pt>
                <c:pt idx="250">
                  <c:v>2.9640741376901758E-3</c:v>
                </c:pt>
                <c:pt idx="251">
                  <c:v>2.9713249718454904E-3</c:v>
                </c:pt>
                <c:pt idx="252">
                  <c:v>2.9785184905817275E-3</c:v>
                </c:pt>
                <c:pt idx="253">
                  <c:v>2.9856553707796607E-3</c:v>
                </c:pt>
                <c:pt idx="254">
                  <c:v>2.9927362788173539E-3</c:v>
                </c:pt>
                <c:pt idx="255">
                  <c:v>2.9997618704813434E-3</c:v>
                </c:pt>
                <c:pt idx="256">
                  <c:v>3.006732791521749E-3</c:v>
                </c:pt>
                <c:pt idx="257">
                  <c:v>3.0136496776078658E-3</c:v>
                </c:pt>
                <c:pt idx="258">
                  <c:v>3.0177288125932122E-3</c:v>
                </c:pt>
                <c:pt idx="259">
                  <c:v>3.0217765713658196E-3</c:v>
                </c:pt>
                <c:pt idx="260">
                  <c:v>3.0257933145039217E-3</c:v>
                </c:pt>
                <c:pt idx="261">
                  <c:v>3.0297793971234555E-3</c:v>
                </c:pt>
                <c:pt idx="262">
                  <c:v>3.0337351689890824E-3</c:v>
                </c:pt>
                <c:pt idx="263">
                  <c:v>3.0376609744919847E-3</c:v>
                </c:pt>
                <c:pt idx="264">
                  <c:v>3.0415571528497054E-3</c:v>
                </c:pt>
                <c:pt idx="265">
                  <c:v>3.0454240382171704E-3</c:v>
                </c:pt>
                <c:pt idx="266">
                  <c:v>3.0492619596644843E-3</c:v>
                </c:pt>
                <c:pt idx="267">
                  <c:v>3.0530712414433836E-3</c:v>
                </c:pt>
                <c:pt idx="268">
                  <c:v>3.0568522029206235E-3</c:v>
                </c:pt>
                <c:pt idx="269">
                  <c:v>3.0606051587334093E-3</c:v>
                </c:pt>
                <c:pt idx="270">
                  <c:v>3.0643304189226228E-3</c:v>
                </c:pt>
                <c:pt idx="271">
                  <c:v>3.0680282889106181E-3</c:v>
                </c:pt>
                <c:pt idx="272">
                  <c:v>3.0716990696788571E-3</c:v>
                </c:pt>
                <c:pt idx="273">
                  <c:v>3.0817616458067576E-3</c:v>
                </c:pt>
                <c:pt idx="274">
                  <c:v>3.091751042649804E-3</c:v>
                </c:pt>
                <c:pt idx="275">
                  <c:v>3.101668055704998E-3</c:v>
                </c:pt>
                <c:pt idx="276">
                  <c:v>3.111513468789795E-3</c:v>
                </c:pt>
                <c:pt idx="277">
                  <c:v>3.1212880545972155E-3</c:v>
                </c:pt>
                <c:pt idx="278">
                  <c:v>3.1309925746292322E-3</c:v>
                </c:pt>
                <c:pt idx="279">
                  <c:v>3.1406277796186544E-3</c:v>
                </c:pt>
                <c:pt idx="280">
                  <c:v>3.1501944095291279E-3</c:v>
                </c:pt>
                <c:pt idx="281">
                  <c:v>3.1596931937771799E-3</c:v>
                </c:pt>
                <c:pt idx="282">
                  <c:v>3.1691248516318993E-3</c:v>
                </c:pt>
                <c:pt idx="283">
                  <c:v>3.1784900921705272E-3</c:v>
                </c:pt>
                <c:pt idx="284">
                  <c:v>3.1877896143450712E-3</c:v>
                </c:pt>
                <c:pt idx="285">
                  <c:v>3.1970241076484385E-3</c:v>
                </c:pt>
                <c:pt idx="286">
                  <c:v>3.2061942517147557E-3</c:v>
                </c:pt>
                <c:pt idx="287">
                  <c:v>3.2153007168300718E-3</c:v>
                </c:pt>
                <c:pt idx="288">
                  <c:v>3.2243441639989712E-3</c:v>
                </c:pt>
                <c:pt idx="289">
                  <c:v>3.2333252450778005E-3</c:v>
                </c:pt>
                <c:pt idx="290">
                  <c:v>3.2422446030411223E-3</c:v>
                </c:pt>
                <c:pt idx="291">
                  <c:v>3.2511028720039192E-3</c:v>
                </c:pt>
                <c:pt idx="292">
                  <c:v>3.2599006773548211E-3</c:v>
                </c:pt>
                <c:pt idx="293">
                  <c:v>3.2686386361113762E-3</c:v>
                </c:pt>
                <c:pt idx="294">
                  <c:v>3.2773173568534375E-3</c:v>
                </c:pt>
                <c:pt idx="295">
                  <c:v>3.2859374399452079E-3</c:v>
                </c:pt>
                <c:pt idx="296">
                  <c:v>3.2944994775796488E-3</c:v>
                </c:pt>
                <c:pt idx="297">
                  <c:v>3.3030040542003647E-3</c:v>
                </c:pt>
                <c:pt idx="298">
                  <c:v>3.31145174623515E-3</c:v>
                </c:pt>
                <c:pt idx="299">
                  <c:v>3.3198431225622826E-3</c:v>
                </c:pt>
                <c:pt idx="300">
                  <c:v>3.3281787443995015E-3</c:v>
                </c:pt>
                <c:pt idx="301">
                  <c:v>3.336459165614869E-3</c:v>
                </c:pt>
                <c:pt idx="302">
                  <c:v>3.3446849327045669E-3</c:v>
                </c:pt>
                <c:pt idx="303">
                  <c:v>3.3528565850149405E-3</c:v>
                </c:pt>
                <c:pt idx="304">
                  <c:v>3.3609746547869079E-3</c:v>
                </c:pt>
                <c:pt idx="305">
                  <c:v>3.3690396673335954E-3</c:v>
                </c:pt>
                <c:pt idx="306">
                  <c:v>3.377052141106951E-3</c:v>
                </c:pt>
                <c:pt idx="307">
                  <c:v>3.3850125878087667E-3</c:v>
                </c:pt>
                <c:pt idx="308">
                  <c:v>3.3929215125461099E-3</c:v>
                </c:pt>
                <c:pt idx="309">
                  <c:v>3.4007794138979364E-3</c:v>
                </c:pt>
                <c:pt idx="310">
                  <c:v>3.408586784070522E-3</c:v>
                </c:pt>
                <c:pt idx="311">
                  <c:v>3.4163441088752577E-3</c:v>
                </c:pt>
                <c:pt idx="312">
                  <c:v>3.4240518679728993E-3</c:v>
                </c:pt>
                <c:pt idx="313">
                  <c:v>3.43171053494018E-3</c:v>
                </c:pt>
                <c:pt idx="314">
                  <c:v>3.4393205772031976E-3</c:v>
                </c:pt>
                <c:pt idx="315">
                  <c:v>3.4468824564815037E-3</c:v>
                </c:pt>
                <c:pt idx="316">
                  <c:v>3.4543966285216499E-3</c:v>
                </c:pt>
                <c:pt idx="317">
                  <c:v>3.4618635433636413E-3</c:v>
                </c:pt>
                <c:pt idx="318">
                  <c:v>3.4692836454297549E-3</c:v>
                </c:pt>
                <c:pt idx="319">
                  <c:v>3.4766573735467432E-3</c:v>
                </c:pt>
                <c:pt idx="320">
                  <c:v>3.4839851611678796E-3</c:v>
                </c:pt>
                <c:pt idx="321">
                  <c:v>3.4912674362175267E-3</c:v>
                </c:pt>
                <c:pt idx="322">
                  <c:v>3.4979135134172168E-3</c:v>
                </c:pt>
                <c:pt idx="323">
                  <c:v>3.5045185668769463E-3</c:v>
                </c:pt>
                <c:pt idx="324">
                  <c:v>3.5110829753604023E-3</c:v>
                </c:pt>
                <c:pt idx="325">
                  <c:v>3.5176071127684949E-3</c:v>
                </c:pt>
                <c:pt idx="326">
                  <c:v>3.5240913486278558E-3</c:v>
                </c:pt>
                <c:pt idx="327">
                  <c:v>3.5305360478243841E-3</c:v>
                </c:pt>
                <c:pt idx="328">
                  <c:v>3.536941570891905E-3</c:v>
                </c:pt>
                <c:pt idx="329">
                  <c:v>3.5433082739677602E-3</c:v>
                </c:pt>
                <c:pt idx="330">
                  <c:v>3.5496365088816262E-3</c:v>
                </c:pt>
                <c:pt idx="331">
                  <c:v>3.5559266231777187E-3</c:v>
                </c:pt>
                <c:pt idx="332">
                  <c:v>3.5621789603590415E-3</c:v>
                </c:pt>
                <c:pt idx="333">
                  <c:v>3.5683938596431375E-3</c:v>
                </c:pt>
                <c:pt idx="334">
                  <c:v>3.5745716563173602E-3</c:v>
                </c:pt>
                <c:pt idx="335">
                  <c:v>3.580712681716669E-3</c:v>
                </c:pt>
                <c:pt idx="336">
                  <c:v>3.5868172630681983E-3</c:v>
                </c:pt>
                <c:pt idx="337">
                  <c:v>3.5904926602325915E-3</c:v>
                </c:pt>
                <c:pt idx="338">
                  <c:v>3.5941463744748603E-3</c:v>
                </c:pt>
                <c:pt idx="339">
                  <c:v>3.5977785970864318E-3</c:v>
                </c:pt>
                <c:pt idx="340">
                  <c:v>3.6013895171604915E-3</c:v>
                </c:pt>
                <c:pt idx="341">
                  <c:v>3.6049793215031656E-3</c:v>
                </c:pt>
                <c:pt idx="342">
                  <c:v>3.6085481948777698E-3</c:v>
                </c:pt>
                <c:pt idx="343">
                  <c:v>3.612096319738356E-3</c:v>
                </c:pt>
                <c:pt idx="344">
                  <c:v>3.6156238765183701E-3</c:v>
                </c:pt>
                <c:pt idx="345">
                  <c:v>3.6191310435418345E-3</c:v>
                </c:pt>
                <c:pt idx="346">
                  <c:v>3.6226179971121653E-3</c:v>
                </c:pt>
                <c:pt idx="347">
                  <c:v>3.626084911467764E-3</c:v>
                </c:pt>
                <c:pt idx="348">
                  <c:v>3.6295319588486308E-3</c:v>
                </c:pt>
                <c:pt idx="349">
                  <c:v>3.6329593094963641E-3</c:v>
                </c:pt>
                <c:pt idx="350">
                  <c:v>3.6363671318317969E-3</c:v>
                </c:pt>
                <c:pt idx="351">
                  <c:v>3.6397555922551561E-3</c:v>
                </c:pt>
                <c:pt idx="352">
                  <c:v>3.6431248552792894E-3</c:v>
                </c:pt>
                <c:pt idx="353">
                  <c:v>3.6464750836406878E-3</c:v>
                </c:pt>
                <c:pt idx="354">
                  <c:v>3.6498064381440543E-3</c:v>
                </c:pt>
                <c:pt idx="355">
                  <c:v>3.6531190778177347E-3</c:v>
                </c:pt>
                <c:pt idx="356">
                  <c:v>3.6564131600025362E-3</c:v>
                </c:pt>
                <c:pt idx="357">
                  <c:v>3.6596888401296823E-3</c:v>
                </c:pt>
                <c:pt idx="358">
                  <c:v>3.6629462720094708E-3</c:v>
                </c:pt>
                <c:pt idx="359">
                  <c:v>3.6661856076758426E-3</c:v>
                </c:pt>
                <c:pt idx="360">
                  <c:v>3.6694069975418131E-3</c:v>
                </c:pt>
                <c:pt idx="361">
                  <c:v>3.6726105902884498E-3</c:v>
                </c:pt>
                <c:pt idx="362">
                  <c:v>3.6757965330203035E-3</c:v>
                </c:pt>
                <c:pt idx="363">
                  <c:v>3.6789649711765904E-3</c:v>
                </c:pt>
                <c:pt idx="364">
                  <c:v>3.6821160486422144E-3</c:v>
                </c:pt>
                <c:pt idx="365">
                  <c:v>3.6852499077255629E-3</c:v>
                </c:pt>
                <c:pt idx="366">
                  <c:v>3.6883666891585065E-3</c:v>
                </c:pt>
                <c:pt idx="367">
                  <c:v>3.691466532140808E-3</c:v>
                </c:pt>
                <c:pt idx="368">
                  <c:v>3.6945495743845314E-3</c:v>
                </c:pt>
                <c:pt idx="369">
                  <c:v>3.6976159521140417E-3</c:v>
                </c:pt>
                <c:pt idx="370">
                  <c:v>3.7006658000882098E-3</c:v>
                </c:pt>
                <c:pt idx="371">
                  <c:v>3.7036992515782075E-3</c:v>
                </c:pt>
                <c:pt idx="372">
                  <c:v>3.7067164385007345E-3</c:v>
                </c:pt>
                <c:pt idx="373">
                  <c:v>3.7097174912847919E-3</c:v>
                </c:pt>
                <c:pt idx="374">
                  <c:v>3.712702538982704E-3</c:v>
                </c:pt>
                <c:pt idx="375">
                  <c:v>3.7156717093145275E-3</c:v>
                </c:pt>
                <c:pt idx="376">
                  <c:v>3.7186251286458472E-3</c:v>
                </c:pt>
                <c:pt idx="377">
                  <c:v>3.7215629219211621E-3</c:v>
                </c:pt>
                <c:pt idx="378">
                  <c:v>3.7244852128637262E-3</c:v>
                </c:pt>
                <c:pt idx="379">
                  <c:v>3.7273921238645258E-3</c:v>
                </c:pt>
                <c:pt idx="380">
                  <c:v>3.7302837759822793E-3</c:v>
                </c:pt>
                <c:pt idx="381">
                  <c:v>3.7331602890544602E-3</c:v>
                </c:pt>
                <c:pt idx="382">
                  <c:v>3.7360217817195007E-3</c:v>
                </c:pt>
                <c:pt idx="383">
                  <c:v>3.7332434127401726E-3</c:v>
                </c:pt>
                <c:pt idx="384">
                  <c:v>3.7304794765713467E-3</c:v>
                </c:pt>
                <c:pt idx="385">
                  <c:v>3.7277298609694753E-3</c:v>
                </c:pt>
                <c:pt idx="386">
                  <c:v>3.724994454912256E-3</c:v>
                </c:pt>
                <c:pt idx="387">
                  <c:v>3.7222731485986316E-3</c:v>
                </c:pt>
                <c:pt idx="388">
                  <c:v>3.7195658332489501E-3</c:v>
                </c:pt>
                <c:pt idx="389">
                  <c:v>3.7168724012826004E-3</c:v>
                </c:pt>
                <c:pt idx="390">
                  <c:v>3.7141927461181723E-3</c:v>
                </c:pt>
                <c:pt idx="391">
                  <c:v>3.7115267623732962E-3</c:v>
                </c:pt>
                <c:pt idx="392">
                  <c:v>3.7088743456870077E-3</c:v>
                </c:pt>
                <c:pt idx="393">
                  <c:v>3.7062353927419522E-3</c:v>
                </c:pt>
                <c:pt idx="394">
                  <c:v>3.7036098013087937E-3</c:v>
                </c:pt>
                <c:pt idx="395">
                  <c:v>3.7009974701129877E-3</c:v>
                </c:pt>
                <c:pt idx="396">
                  <c:v>3.698398299034622E-3</c:v>
                </c:pt>
                <c:pt idx="397">
                  <c:v>3.6958121887753492E-3</c:v>
                </c:pt>
                <c:pt idx="398">
                  <c:v>3.6954990719095804E-3</c:v>
                </c:pt>
                <c:pt idx="399">
                  <c:v>3.695187520591503E-3</c:v>
                </c:pt>
                <c:pt idx="400">
                  <c:v>3.6948775231415709E-3</c:v>
                </c:pt>
                <c:pt idx="401">
                  <c:v>3.6945690679024423E-3</c:v>
                </c:pt>
                <c:pt idx="402">
                  <c:v>3.6942621434610246E-3</c:v>
                </c:pt>
                <c:pt idx="403">
                  <c:v>3.6939567384042249E-3</c:v>
                </c:pt>
                <c:pt idx="404">
                  <c:v>3.6936528415409953E-3</c:v>
                </c:pt>
                <c:pt idx="405">
                  <c:v>3.6933504416358787E-3</c:v>
                </c:pt>
                <c:pt idx="406">
                  <c:v>3.6930495276976671E-3</c:v>
                </c:pt>
                <c:pt idx="407">
                  <c:v>3.6927500888461751E-3</c:v>
                </c:pt>
                <c:pt idx="408">
                  <c:v>3.6924521141790123E-3</c:v>
                </c:pt>
                <c:pt idx="409">
                  <c:v>3.6921555930158334E-3</c:v>
                </c:pt>
                <c:pt idx="410">
                  <c:v>3.6918605147873151E-3</c:v>
                </c:pt>
                <c:pt idx="411">
                  <c:v>3.6915668689019299E-3</c:v>
                </c:pt>
                <c:pt idx="412">
                  <c:v>3.6912746450346035E-3</c:v>
                </c:pt>
                <c:pt idx="413">
                  <c:v>3.6909838328824662E-3</c:v>
                </c:pt>
                <c:pt idx="414">
                  <c:v>3.6906944221870575E-3</c:v>
                </c:pt>
                <c:pt idx="415">
                  <c:v>3.6904064028675521E-3</c:v>
                </c:pt>
                <c:pt idx="416">
                  <c:v>3.6901197649319428E-3</c:v>
                </c:pt>
                <c:pt idx="417">
                  <c:v>3.6898344983882225E-3</c:v>
                </c:pt>
                <c:pt idx="418">
                  <c:v>3.6895505935108375E-3</c:v>
                </c:pt>
                <c:pt idx="419">
                  <c:v>3.6892680405520295E-3</c:v>
                </c:pt>
                <c:pt idx="420">
                  <c:v>3.6889868298528583E-3</c:v>
                </c:pt>
                <c:pt idx="421">
                  <c:v>3.6887069518876103E-3</c:v>
                </c:pt>
                <c:pt idx="422">
                  <c:v>3.6884283971971854E-3</c:v>
                </c:pt>
                <c:pt idx="423">
                  <c:v>3.6881511564335057E-3</c:v>
                </c:pt>
                <c:pt idx="424">
                  <c:v>3.6878752203151066E-3</c:v>
                </c:pt>
                <c:pt idx="425">
                  <c:v>3.6876005796271372E-3</c:v>
                </c:pt>
                <c:pt idx="426">
                  <c:v>3.687327225287973E-3</c:v>
                </c:pt>
                <c:pt idx="427">
                  <c:v>3.6870551482826031E-3</c:v>
                </c:pt>
                <c:pt idx="428">
                  <c:v>3.6867843397292432E-3</c:v>
                </c:pt>
                <c:pt idx="429">
                  <c:v>3.6865147907017004E-3</c:v>
                </c:pt>
                <c:pt idx="430">
                  <c:v>3.6862464924514171E-3</c:v>
                </c:pt>
                <c:pt idx="431">
                  <c:v>3.6859794362964493E-3</c:v>
                </c:pt>
                <c:pt idx="432">
                  <c:v>3.6857136136658752E-3</c:v>
                </c:pt>
                <c:pt idx="433">
                  <c:v>3.6854490159887732E-3</c:v>
                </c:pt>
                <c:pt idx="434">
                  <c:v>3.6851856348496526E-3</c:v>
                </c:pt>
                <c:pt idx="435">
                  <c:v>3.6849234618330229E-3</c:v>
                </c:pt>
                <c:pt idx="436">
                  <c:v>3.6846624887010293E-3</c:v>
                </c:pt>
                <c:pt idx="437">
                  <c:v>3.6844027071714081E-3</c:v>
                </c:pt>
                <c:pt idx="438">
                  <c:v>3.6841441091617355E-3</c:v>
                </c:pt>
                <c:pt idx="439">
                  <c:v>3.6838866865673836E-3</c:v>
                </c:pt>
                <c:pt idx="440">
                  <c:v>3.6836304314391555E-3</c:v>
                </c:pt>
                <c:pt idx="441">
                  <c:v>3.6833753358056498E-3</c:v>
                </c:pt>
                <c:pt idx="442">
                  <c:v>3.6831213918064876E-3</c:v>
                </c:pt>
                <c:pt idx="443">
                  <c:v>3.6828685917031923E-3</c:v>
                </c:pt>
                <c:pt idx="444">
                  <c:v>3.678528284090099E-3</c:v>
                </c:pt>
                <c:pt idx="445">
                  <c:v>3.6742074396078905E-3</c:v>
                </c:pt>
                <c:pt idx="446">
                  <c:v>3.6699059276612545E-3</c:v>
                </c:pt>
                <c:pt idx="447">
                  <c:v>3.6656236187537772E-3</c:v>
                </c:pt>
                <c:pt idx="448">
                  <c:v>3.6613603846102905E-3</c:v>
                </c:pt>
                <c:pt idx="449">
                  <c:v>3.6571160980436446E-3</c:v>
                </c:pt>
                <c:pt idx="450">
                  <c:v>3.6528906330213218E-3</c:v>
                </c:pt>
                <c:pt idx="451">
                  <c:v>3.6486838646654363E-3</c:v>
                </c:pt>
                <c:pt idx="452">
                  <c:v>3.6444956690750985E-3</c:v>
                </c:pt>
                <c:pt idx="453">
                  <c:v>3.6403259235706642E-3</c:v>
                </c:pt>
                <c:pt idx="454">
                  <c:v>3.6361745065160989E-3</c:v>
                </c:pt>
                <c:pt idx="455">
                  <c:v>3.6320412973189775E-3</c:v>
                </c:pt>
                <c:pt idx="456">
                  <c:v>3.6279261764526893E-3</c:v>
                </c:pt>
                <c:pt idx="457">
                  <c:v>3.6238290254342331E-3</c:v>
                </c:pt>
                <c:pt idx="458">
                  <c:v>3.6197497267729251E-3</c:v>
                </c:pt>
                <c:pt idx="459">
                  <c:v>3.6180396789209368E-3</c:v>
                </c:pt>
                <c:pt idx="460">
                  <c:v>3.6163370499497915E-3</c:v>
                </c:pt>
                <c:pt idx="461">
                  <c:v>3.61464179161608E-3</c:v>
                </c:pt>
                <c:pt idx="462">
                  <c:v>3.6129538562468255E-3</c:v>
                </c:pt>
                <c:pt idx="463">
                  <c:v>3.6112731964355049E-3</c:v>
                </c:pt>
                <c:pt idx="464">
                  <c:v>3.6095997652640932E-3</c:v>
                </c:pt>
                <c:pt idx="465">
                  <c:v>3.6079335161698367E-3</c:v>
                </c:pt>
                <c:pt idx="466">
                  <c:v>3.6062744030784799E-3</c:v>
                </c:pt>
                <c:pt idx="467">
                  <c:v>3.6046223801822208E-3</c:v>
                </c:pt>
                <c:pt idx="468">
                  <c:v>3.6029774021617555E-3</c:v>
                </c:pt>
                <c:pt idx="469">
                  <c:v>3.6013394240308472E-3</c:v>
                </c:pt>
                <c:pt idx="470">
                  <c:v>3.5997084012251435E-3</c:v>
                </c:pt>
                <c:pt idx="471">
                  <c:v>3.5980842895355636E-3</c:v>
                </c:pt>
                <c:pt idx="472">
                  <c:v>3.5964670451082981E-3</c:v>
                </c:pt>
                <c:pt idx="473">
                  <c:v>3.5948566244670133E-3</c:v>
                </c:pt>
                <c:pt idx="474">
                  <c:v>3.5932529845794647E-3</c:v>
                </c:pt>
                <c:pt idx="475">
                  <c:v>3.5916560826798616E-3</c:v>
                </c:pt>
                <c:pt idx="476">
                  <c:v>3.5900658763576843E-3</c:v>
                </c:pt>
                <c:pt idx="477">
                  <c:v>3.5884823236020935E-3</c:v>
                </c:pt>
                <c:pt idx="478">
                  <c:v>3.586905382735317E-3</c:v>
                </c:pt>
                <c:pt idx="479">
                  <c:v>3.5853350124792627E-3</c:v>
                </c:pt>
                <c:pt idx="480">
                  <c:v>3.583771171822292E-3</c:v>
                </c:pt>
                <c:pt idx="481">
                  <c:v>3.5822138201080378E-3</c:v>
                </c:pt>
                <c:pt idx="482">
                  <c:v>3.5806629170576088E-3</c:v>
                </c:pt>
                <c:pt idx="483">
                  <c:v>3.5791184227251804E-3</c:v>
                </c:pt>
                <c:pt idx="484">
                  <c:v>3.577580297386973E-3</c:v>
                </c:pt>
                <c:pt idx="485">
                  <c:v>3.5760485018077048E-3</c:v>
                </c:pt>
                <c:pt idx="486">
                  <c:v>3.5745229969519343E-3</c:v>
                </c:pt>
                <c:pt idx="487">
                  <c:v>3.5730037441616957E-3</c:v>
                </c:pt>
                <c:pt idx="488">
                  <c:v>3.5714907050676814E-3</c:v>
                </c:pt>
                <c:pt idx="489">
                  <c:v>3.5699838416558549E-3</c:v>
                </c:pt>
                <c:pt idx="490">
                  <c:v>3.5684831161786335E-3</c:v>
                </c:pt>
                <c:pt idx="491">
                  <c:v>3.5669884911992966E-3</c:v>
                </c:pt>
                <c:pt idx="492">
                  <c:v>3.5654999295919865E-3</c:v>
                </c:pt>
                <c:pt idx="493">
                  <c:v>3.564017394563912E-3</c:v>
                </c:pt>
                <c:pt idx="494">
                  <c:v>3.5625408495665312E-3</c:v>
                </c:pt>
                <c:pt idx="495">
                  <c:v>3.5610702583621645E-3</c:v>
                </c:pt>
                <c:pt idx="496">
                  <c:v>3.5596055850239949E-3</c:v>
                </c:pt>
                <c:pt idx="497">
                  <c:v>3.5581467939138633E-3</c:v>
                </c:pt>
                <c:pt idx="498">
                  <c:v>3.5566938496378597E-3</c:v>
                </c:pt>
                <c:pt idx="499">
                  <c:v>3.5552467171573454E-3</c:v>
                </c:pt>
                <c:pt idx="500">
                  <c:v>3.5538053616557264E-3</c:v>
                </c:pt>
                <c:pt idx="501">
                  <c:v>3.552369748582862E-3</c:v>
                </c:pt>
                <c:pt idx="502">
                  <c:v>3.5509398436994744E-3</c:v>
                </c:pt>
                <c:pt idx="503">
                  <c:v>3.5495156130549432E-3</c:v>
                </c:pt>
                <c:pt idx="504">
                  <c:v>3.5480970228984887E-3</c:v>
                </c:pt>
                <c:pt idx="505">
                  <c:v>3.5466840398568067E-3</c:v>
                </c:pt>
                <c:pt idx="506">
                  <c:v>3.5452766306898198E-3</c:v>
                </c:pt>
                <c:pt idx="507">
                  <c:v>3.5438747624905176E-3</c:v>
                </c:pt>
                <c:pt idx="508">
                  <c:v>3.5424784026103495E-3</c:v>
                </c:pt>
                <c:pt idx="509">
                  <c:v>3.5362049923159944E-3</c:v>
                </c:pt>
                <c:pt idx="510">
                  <c:v>3.529956135839285E-3</c:v>
                </c:pt>
                <c:pt idx="511">
                  <c:v>3.5237316891700843E-3</c:v>
                </c:pt>
                <c:pt idx="512">
                  <c:v>3.5175315096669379E-3</c:v>
                </c:pt>
                <c:pt idx="513">
                  <c:v>3.5113554556431836E-3</c:v>
                </c:pt>
                <c:pt idx="514">
                  <c:v>3.5052033865667909E-3</c:v>
                </c:pt>
                <c:pt idx="515">
                  <c:v>3.4990751629937478E-3</c:v>
                </c:pt>
                <c:pt idx="516">
                  <c:v>3.492970646568061E-3</c:v>
                </c:pt>
                <c:pt idx="517">
                  <c:v>3.4868896999551424E-3</c:v>
                </c:pt>
                <c:pt idx="518">
                  <c:v>3.4808321869306269E-3</c:v>
                </c:pt>
                <c:pt idx="519">
                  <c:v>3.4747979722915545E-3</c:v>
                </c:pt>
                <c:pt idx="520">
                  <c:v>3.4687869219007794E-3</c:v>
                </c:pt>
                <c:pt idx="521">
                  <c:v>3.4627989026203565E-3</c:v>
                </c:pt>
                <c:pt idx="522">
                  <c:v>3.4568337823115414E-3</c:v>
                </c:pt>
                <c:pt idx="523">
                  <c:v>3.4508914298991833E-3</c:v>
                </c:pt>
                <c:pt idx="524">
                  <c:v>3.4461392556028869E-3</c:v>
                </c:pt>
                <c:pt idx="525">
                  <c:v>3.4414051506503895E-3</c:v>
                </c:pt>
                <c:pt idx="526">
                  <c:v>3.4366890122150551E-3</c:v>
                </c:pt>
                <c:pt idx="527">
                  <c:v>3.4319907382007742E-3</c:v>
                </c:pt>
                <c:pt idx="528">
                  <c:v>3.4273102272885936E-3</c:v>
                </c:pt>
                <c:pt idx="529">
                  <c:v>3.4226473789145118E-3</c:v>
                </c:pt>
                <c:pt idx="530">
                  <c:v>3.4180020933360922E-3</c:v>
                </c:pt>
                <c:pt idx="531">
                  <c:v>3.4133742714548276E-3</c:v>
                </c:pt>
                <c:pt idx="532">
                  <c:v>3.408763814993776E-3</c:v>
                </c:pt>
                <c:pt idx="533">
                  <c:v>3.4041706264309468E-3</c:v>
                </c:pt>
                <c:pt idx="534">
                  <c:v>3.3995946088882789E-3</c:v>
                </c:pt>
                <c:pt idx="535">
                  <c:v>3.3950356662870718E-3</c:v>
                </c:pt>
                <c:pt idx="536">
                  <c:v>3.3904937032369631E-3</c:v>
                </c:pt>
                <c:pt idx="537">
                  <c:v>3.3859686250359289E-3</c:v>
                </c:pt>
                <c:pt idx="538">
                  <c:v>3.3814603376924879E-3</c:v>
                </c:pt>
                <c:pt idx="539">
                  <c:v>3.3769687479701105E-3</c:v>
                </c:pt>
                <c:pt idx="540">
                  <c:v>3.3724937632317875E-3</c:v>
                </c:pt>
                <c:pt idx="541">
                  <c:v>3.3680352915954614E-3</c:v>
                </c:pt>
                <c:pt idx="542">
                  <c:v>3.3635932418007997E-3</c:v>
                </c:pt>
                <c:pt idx="543">
                  <c:v>3.3591675232980123E-3</c:v>
                </c:pt>
                <c:pt idx="544">
                  <c:v>3.3547580462034432E-3</c:v>
                </c:pt>
                <c:pt idx="545">
                  <c:v>3.3503647212329568E-3</c:v>
                </c:pt>
                <c:pt idx="546">
                  <c:v>3.3459874598351647E-3</c:v>
                </c:pt>
                <c:pt idx="547">
                  <c:v>3.3416261740804032E-3</c:v>
                </c:pt>
                <c:pt idx="548">
                  <c:v>3.3372807766385293E-3</c:v>
                </c:pt>
                <c:pt idx="549">
                  <c:v>3.3329511808455337E-3</c:v>
                </c:pt>
                <c:pt idx="550">
                  <c:v>3.3286373007035408E-3</c:v>
                </c:pt>
                <c:pt idx="551">
                  <c:v>3.3243390507697868E-3</c:v>
                </c:pt>
                <c:pt idx="552">
                  <c:v>3.3200563462454369E-3</c:v>
                </c:pt>
                <c:pt idx="553">
                  <c:v>3.3157891029533815E-3</c:v>
                </c:pt>
                <c:pt idx="554">
                  <c:v>3.3115372373382357E-3</c:v>
                </c:pt>
                <c:pt idx="555">
                  <c:v>3.3073006664219307E-3</c:v>
                </c:pt>
                <c:pt idx="556">
                  <c:v>3.303079307781509E-3</c:v>
                </c:pt>
                <c:pt idx="557">
                  <c:v>3.2988730796823518E-3</c:v>
                </c:pt>
                <c:pt idx="558">
                  <c:v>3.2946819009005424E-3</c:v>
                </c:pt>
                <c:pt idx="559">
                  <c:v>3.2905056908116848E-3</c:v>
                </c:pt>
                <c:pt idx="560">
                  <c:v>3.2863443693464944E-3</c:v>
                </c:pt>
                <c:pt idx="561">
                  <c:v>3.2821978571018207E-3</c:v>
                </c:pt>
                <c:pt idx="562">
                  <c:v>3.2780660750963975E-3</c:v>
                </c:pt>
                <c:pt idx="563">
                  <c:v>3.2739489449928882E-3</c:v>
                </c:pt>
                <c:pt idx="564">
                  <c:v>3.2698463890090679E-3</c:v>
                </c:pt>
                <c:pt idx="565">
                  <c:v>3.2657583298512094E-3</c:v>
                </c:pt>
                <c:pt idx="566">
                  <c:v>3.2616846908695152E-3</c:v>
                </c:pt>
                <c:pt idx="567">
                  <c:v>3.2576253958804813E-3</c:v>
                </c:pt>
                <c:pt idx="568">
                  <c:v>3.2535803692335108E-3</c:v>
                </c:pt>
                <c:pt idx="569">
                  <c:v>3.2495495358553228E-3</c:v>
                </c:pt>
                <c:pt idx="570">
                  <c:v>3.2455328211893342E-3</c:v>
                </c:pt>
                <c:pt idx="571">
                  <c:v>3.2476747679810458E-3</c:v>
                </c:pt>
                <c:pt idx="572">
                  <c:v>3.2498092385591093E-3</c:v>
                </c:pt>
                <c:pt idx="573">
                  <c:v>3.2519362720195844E-3</c:v>
                </c:pt>
                <c:pt idx="574">
                  <c:v>3.254055907131459E-3</c:v>
                </c:pt>
                <c:pt idx="575">
                  <c:v>3.2561681823972677E-3</c:v>
                </c:pt>
                <c:pt idx="576">
                  <c:v>3.2582731361419093E-3</c:v>
                </c:pt>
                <c:pt idx="577">
                  <c:v>3.2603708063350112E-3</c:v>
                </c:pt>
                <c:pt idx="578">
                  <c:v>3.2624612307463607E-3</c:v>
                </c:pt>
                <c:pt idx="579">
                  <c:v>3.2645444467904738E-3</c:v>
                </c:pt>
                <c:pt idx="580">
                  <c:v>3.2666204917264352E-3</c:v>
                </c:pt>
                <c:pt idx="581">
                  <c:v>3.268689402546876E-3</c:v>
                </c:pt>
                <c:pt idx="582">
                  <c:v>3.270751215933565E-3</c:v>
                </c:pt>
                <c:pt idx="583">
                  <c:v>3.2728059683240218E-3</c:v>
                </c:pt>
                <c:pt idx="584">
                  <c:v>3.274853695955926E-3</c:v>
                </c:pt>
                <c:pt idx="585">
                  <c:v>3.2768944347703055E-3</c:v>
                </c:pt>
                <c:pt idx="586">
                  <c:v>3.2727713646929502E-3</c:v>
                </c:pt>
                <c:pt idx="587">
                  <c:v>3.2686623183231234E-3</c:v>
                </c:pt>
                <c:pt idx="588">
                  <c:v>3.2645672242814783E-3</c:v>
                </c:pt>
                <c:pt idx="589">
                  <c:v>3.2604860116025591E-3</c:v>
                </c:pt>
                <c:pt idx="590">
                  <c:v>3.2564186098094083E-3</c:v>
                </c:pt>
                <c:pt idx="591">
                  <c:v>3.2523649489357709E-3</c:v>
                </c:pt>
                <c:pt idx="592">
                  <c:v>3.2483249594816854E-3</c:v>
                </c:pt>
                <c:pt idx="593">
                  <c:v>3.2442985723912798E-3</c:v>
                </c:pt>
                <c:pt idx="594">
                  <c:v>3.2402857190749756E-3</c:v>
                </c:pt>
                <c:pt idx="595">
                  <c:v>3.2362863314094881E-3</c:v>
                </c:pt>
                <c:pt idx="596">
                  <c:v>3.232300341737826E-3</c:v>
                </c:pt>
                <c:pt idx="597">
                  <c:v>3.228327682824883E-3</c:v>
                </c:pt>
                <c:pt idx="598">
                  <c:v>3.2243682879462554E-3</c:v>
                </c:pt>
                <c:pt idx="599">
                  <c:v>3.2204220907328107E-3</c:v>
                </c:pt>
                <c:pt idx="600">
                  <c:v>3.2164890253705281E-3</c:v>
                </c:pt>
                <c:pt idx="601">
                  <c:v>3.2125690264006579E-3</c:v>
                </c:pt>
                <c:pt idx="602">
                  <c:v>3.2086620287863354E-3</c:v>
                </c:pt>
                <c:pt idx="603">
                  <c:v>3.2047679679347851E-3</c:v>
                </c:pt>
                <c:pt idx="604">
                  <c:v>3.200886779763934E-3</c:v>
                </c:pt>
                <c:pt idx="605">
                  <c:v>3.1970184005247759E-3</c:v>
                </c:pt>
                <c:pt idx="606">
                  <c:v>3.1931627669123941E-3</c:v>
                </c:pt>
                <c:pt idx="607">
                  <c:v>3.1893198159993474E-3</c:v>
                </c:pt>
                <c:pt idx="608">
                  <c:v>3.1854894853688975E-3</c:v>
                </c:pt>
                <c:pt idx="609">
                  <c:v>3.1816717129151684E-3</c:v>
                </c:pt>
                <c:pt idx="610">
                  <c:v>3.1778664369985776E-3</c:v>
                </c:pt>
                <c:pt idx="611">
                  <c:v>3.1740735963792233E-3</c:v>
                </c:pt>
                <c:pt idx="612">
                  <c:v>3.1702931301502701E-3</c:v>
                </c:pt>
                <c:pt idx="613">
                  <c:v>3.1665249779155857E-3</c:v>
                </c:pt>
                <c:pt idx="614">
                  <c:v>3.162769079545491E-3</c:v>
                </c:pt>
                <c:pt idx="615">
                  <c:v>3.1590253753988051E-3</c:v>
                </c:pt>
                <c:pt idx="616">
                  <c:v>3.1552938061896185E-3</c:v>
                </c:pt>
                <c:pt idx="617">
                  <c:v>3.1515743129650886E-3</c:v>
                </c:pt>
                <c:pt idx="618">
                  <c:v>3.1478668372608709E-3</c:v>
                </c:pt>
                <c:pt idx="619">
                  <c:v>3.1441713209234834E-3</c:v>
                </c:pt>
                <c:pt idx="620">
                  <c:v>3.1404877061325109E-3</c:v>
                </c:pt>
                <c:pt idx="621">
                  <c:v>3.1368159354894232E-3</c:v>
                </c:pt>
                <c:pt idx="622">
                  <c:v>3.1331559520175745E-3</c:v>
                </c:pt>
                <c:pt idx="623">
                  <c:v>3.1295076990289772E-3</c:v>
                </c:pt>
                <c:pt idx="624">
                  <c:v>3.1258711201909151E-3</c:v>
                </c:pt>
                <c:pt idx="625">
                  <c:v>3.1222461595703521E-3</c:v>
                </c:pt>
                <c:pt idx="626">
                  <c:v>3.1186327615673193E-3</c:v>
                </c:pt>
                <c:pt idx="627">
                  <c:v>3.1150308709815278E-3</c:v>
                </c:pt>
                <c:pt idx="628">
                  <c:v>3.1114404329013468E-3</c:v>
                </c:pt>
                <c:pt idx="629">
                  <c:v>3.1078613928148258E-3</c:v>
                </c:pt>
                <c:pt idx="630">
                  <c:v>3.1042936964986723E-3</c:v>
                </c:pt>
                <c:pt idx="631">
                  <c:v>3.1020202740705827E-3</c:v>
                </c:pt>
                <c:pt idx="632">
                  <c:v>3.0997540344968044E-3</c:v>
                </c:pt>
                <c:pt idx="633">
                  <c:v>3.097494943760104E-3</c:v>
                </c:pt>
                <c:pt idx="634">
                  <c:v>3.0952429680652926E-3</c:v>
                </c:pt>
                <c:pt idx="635">
                  <c:v>3.0929980738836349E-3</c:v>
                </c:pt>
                <c:pt idx="636">
                  <c:v>3.0907602278862356E-3</c:v>
                </c:pt>
                <c:pt idx="637">
                  <c:v>3.0885293969218353E-3</c:v>
                </c:pt>
                <c:pt idx="638">
                  <c:v>3.08630554801681E-3</c:v>
                </c:pt>
                <c:pt idx="639">
                  <c:v>3.0840886484639896E-3</c:v>
                </c:pt>
                <c:pt idx="640">
                  <c:v>3.0818786657560437E-3</c:v>
                </c:pt>
                <c:pt idx="641">
                  <c:v>3.0796755675632781E-3</c:v>
                </c:pt>
                <c:pt idx="642">
                  <c:v>3.0774793217780427E-3</c:v>
                </c:pt>
                <c:pt idx="643">
                  <c:v>3.0752898964259145E-3</c:v>
                </c:pt>
                <c:pt idx="644">
                  <c:v>3.0731072598655373E-3</c:v>
                </c:pt>
                <c:pt idx="645">
                  <c:v>3.0709313805221683E-3</c:v>
                </c:pt>
                <c:pt idx="646">
                  <c:v>3.0685482101056039E-3</c:v>
                </c:pt>
                <c:pt idx="647">
                  <c:v>3.0661723949609865E-3</c:v>
                </c:pt>
                <c:pt idx="648">
                  <c:v>3.0638039010932872E-3</c:v>
                </c:pt>
                <c:pt idx="649">
                  <c:v>3.0614426947517259E-3</c:v>
                </c:pt>
                <c:pt idx="650">
                  <c:v>3.0590887422743407E-3</c:v>
                </c:pt>
                <c:pt idx="651">
                  <c:v>3.0567420103766452E-3</c:v>
                </c:pt>
                <c:pt idx="652">
                  <c:v>3.054402465818562E-3</c:v>
                </c:pt>
                <c:pt idx="653">
                  <c:v>3.0520700756486718E-3</c:v>
                </c:pt>
                <c:pt idx="654">
                  <c:v>3.0497448071153954E-3</c:v>
                </c:pt>
                <c:pt idx="655">
                  <c:v>3.0474266276447892E-3</c:v>
                </c:pt>
                <c:pt idx="656">
                  <c:v>3.0451155048627498E-3</c:v>
                </c:pt>
                <c:pt idx="657">
                  <c:v>3.0428114066172185E-3</c:v>
                </c:pt>
                <c:pt idx="658">
                  <c:v>3.0405143008671587E-3</c:v>
                </c:pt>
                <c:pt idx="659">
                  <c:v>3.0382241559046008E-3</c:v>
                </c:pt>
                <c:pt idx="660">
                  <c:v>3.0359409401103932E-3</c:v>
                </c:pt>
                <c:pt idx="661">
                  <c:v>3.0336646220874286E-3</c:v>
                </c:pt>
                <c:pt idx="662">
                  <c:v>3.0313951705940312E-3</c:v>
                </c:pt>
                <c:pt idx="663">
                  <c:v>3.0291325546327741E-3</c:v>
                </c:pt>
                <c:pt idx="664">
                  <c:v>3.0268767433838661E-3</c:v>
                </c:pt>
                <c:pt idx="665">
                  <c:v>3.0246277061829474E-3</c:v>
                </c:pt>
                <c:pt idx="666">
                  <c:v>3.0223854125210892E-3</c:v>
                </c:pt>
                <c:pt idx="667">
                  <c:v>3.0201498321780207E-3</c:v>
                </c:pt>
                <c:pt idx="668">
                  <c:v>3.0179209350444935E-3</c:v>
                </c:pt>
                <c:pt idx="669">
                  <c:v>3.0156986911666905E-3</c:v>
                </c:pt>
                <c:pt idx="670">
                  <c:v>3.0134830707906346E-3</c:v>
                </c:pt>
                <c:pt idx="671">
                  <c:v>3.0112740443621888E-3</c:v>
                </c:pt>
                <c:pt idx="672">
                  <c:v>3.009071582504852E-3</c:v>
                </c:pt>
                <c:pt idx="673">
                  <c:v>3.006875655997554E-3</c:v>
                </c:pt>
                <c:pt idx="674">
                  <c:v>3.0046862357524518E-3</c:v>
                </c:pt>
                <c:pt idx="675">
                  <c:v>3.0025032929481554E-3</c:v>
                </c:pt>
                <c:pt idx="676">
                  <c:v>3.0003267988742977E-3</c:v>
                </c:pt>
                <c:pt idx="677">
                  <c:v>2.9981567249759422E-3</c:v>
                </c:pt>
                <c:pt idx="678">
                  <c:v>2.9959930428757886E-3</c:v>
                </c:pt>
                <c:pt idx="679">
                  <c:v>2.9938357244185809E-3</c:v>
                </c:pt>
                <c:pt idx="680">
                  <c:v>2.9916847415378811E-3</c:v>
                </c:pt>
                <c:pt idx="681">
                  <c:v>2.9895400663670912E-3</c:v>
                </c:pt>
                <c:pt idx="682">
                  <c:v>2.9874016712172491E-3</c:v>
                </c:pt>
                <c:pt idx="683">
                  <c:v>2.9852695285326192E-3</c:v>
                </c:pt>
                <c:pt idx="684">
                  <c:v>2.9831436109573062E-3</c:v>
                </c:pt>
                <c:pt idx="685">
                  <c:v>2.9810238912242326E-3</c:v>
                </c:pt>
                <c:pt idx="686">
                  <c:v>2.9789103423105701E-3</c:v>
                </c:pt>
                <c:pt idx="687">
                  <c:v>2.9768029372823079E-3</c:v>
                </c:pt>
                <c:pt idx="688">
                  <c:v>2.9747016494052758E-3</c:v>
                </c:pt>
                <c:pt idx="689">
                  <c:v>2.97260645207853E-3</c:v>
                </c:pt>
                <c:pt idx="690">
                  <c:v>2.9705173188565581E-3</c:v>
                </c:pt>
                <c:pt idx="691">
                  <c:v>2.96843422340487E-3</c:v>
                </c:pt>
                <c:pt idx="692">
                  <c:v>2.9663571396776334E-3</c:v>
                </c:pt>
                <c:pt idx="693">
                  <c:v>2.9642860416512207E-3</c:v>
                </c:pt>
                <c:pt idx="694">
                  <c:v>2.9631077378189374E-3</c:v>
                </c:pt>
                <c:pt idx="695">
                  <c:v>2.9619328198338124E-3</c:v>
                </c:pt>
                <c:pt idx="696">
                  <c:v>2.960761273107515E-3</c:v>
                </c:pt>
                <c:pt idx="697">
                  <c:v>2.9595930831627371E-3</c:v>
                </c:pt>
                <c:pt idx="698">
                  <c:v>2.9584282355887837E-3</c:v>
                </c:pt>
                <c:pt idx="699">
                  <c:v>2.9572667160637778E-3</c:v>
                </c:pt>
                <c:pt idx="700">
                  <c:v>2.9561085103546603E-3</c:v>
                </c:pt>
                <c:pt idx="701">
                  <c:v>2.9549536042949853E-3</c:v>
                </c:pt>
                <c:pt idx="702">
                  <c:v>2.9538019837849205E-3</c:v>
                </c:pt>
                <c:pt idx="703">
                  <c:v>2.9526536348356558E-3</c:v>
                </c:pt>
                <c:pt idx="704">
                  <c:v>2.9515085435471988E-3</c:v>
                </c:pt>
                <c:pt idx="705">
                  <c:v>2.9503666960639663E-3</c:v>
                </c:pt>
                <c:pt idx="706">
                  <c:v>2.9492280785969882E-3</c:v>
                </c:pt>
                <c:pt idx="707">
                  <c:v>2.9480926774905214E-3</c:v>
                </c:pt>
                <c:pt idx="708">
                  <c:v>2.9469604791332316E-3</c:v>
                </c:pt>
                <c:pt idx="709">
                  <c:v>2.944652722747243E-3</c:v>
                </c:pt>
                <c:pt idx="710">
                  <c:v>2.9423514577020526E-3</c:v>
                </c:pt>
                <c:pt idx="711">
                  <c:v>2.9400566567083786E-3</c:v>
                </c:pt>
                <c:pt idx="712">
                  <c:v>2.9377682925657567E-3</c:v>
                </c:pt>
                <c:pt idx="713">
                  <c:v>2.9354863382291541E-3</c:v>
                </c:pt>
                <c:pt idx="714">
                  <c:v>2.9332107667645602E-3</c:v>
                </c:pt>
                <c:pt idx="715">
                  <c:v>2.9309415514822135E-3</c:v>
                </c:pt>
                <c:pt idx="716">
                  <c:v>2.9286786657145569E-3</c:v>
                </c:pt>
                <c:pt idx="717">
                  <c:v>2.9264220831271004E-3</c:v>
                </c:pt>
                <c:pt idx="718">
                  <c:v>2.9241717773187403E-3</c:v>
                </c:pt>
                <c:pt idx="719">
                  <c:v>2.9219277221770312E-3</c:v>
                </c:pt>
                <c:pt idx="720">
                  <c:v>2.9196898916783454E-3</c:v>
                </c:pt>
                <c:pt idx="721">
                  <c:v>2.9174582600210996E-3</c:v>
                </c:pt>
                <c:pt idx="722">
                  <c:v>2.9152328014259155E-3</c:v>
                </c:pt>
                <c:pt idx="723">
                  <c:v>2.9130134902910498E-3</c:v>
                </c:pt>
                <c:pt idx="724">
                  <c:v>2.9108003012590089E-3</c:v>
                </c:pt>
                <c:pt idx="725">
                  <c:v>2.9085932089500943E-3</c:v>
                </c:pt>
                <c:pt idx="726">
                  <c:v>2.9063921882510613E-3</c:v>
                </c:pt>
                <c:pt idx="727">
                  <c:v>2.9041972141818917E-3</c:v>
                </c:pt>
                <c:pt idx="728">
                  <c:v>2.9020082617625675E-3</c:v>
                </c:pt>
                <c:pt idx="729">
                  <c:v>2.8998253063017287E-3</c:v>
                </c:pt>
                <c:pt idx="730">
                  <c:v>2.8976483232190375E-3</c:v>
                </c:pt>
                <c:pt idx="731">
                  <c:v>2.8954772879785651E-3</c:v>
                </c:pt>
                <c:pt idx="732">
                  <c:v>2.8933121762886316E-3</c:v>
                </c:pt>
                <c:pt idx="733">
                  <c:v>2.8911529639019662E-3</c:v>
                </c:pt>
                <c:pt idx="734">
                  <c:v>2.8889996267489337E-3</c:v>
                </c:pt>
                <c:pt idx="735">
                  <c:v>2.8868521408931258E-3</c:v>
                </c:pt>
                <c:pt idx="736">
                  <c:v>2.8847104824869518E-3</c:v>
                </c:pt>
                <c:pt idx="737">
                  <c:v>2.8825746279048658E-3</c:v>
                </c:pt>
                <c:pt idx="738">
                  <c:v>2.8804445535435264E-3</c:v>
                </c:pt>
                <c:pt idx="739">
                  <c:v>2.8783202359550231E-3</c:v>
                </c:pt>
                <c:pt idx="740">
                  <c:v>2.8762016518690814E-3</c:v>
                </c:pt>
                <c:pt idx="741">
                  <c:v>2.8740887780820401E-3</c:v>
                </c:pt>
                <c:pt idx="742">
                  <c:v>2.8719815915456692E-3</c:v>
                </c:pt>
                <c:pt idx="743">
                  <c:v>2.8698800693227611E-3</c:v>
                </c:pt>
                <c:pt idx="744">
                  <c:v>2.8677841886093347E-3</c:v>
                </c:pt>
                <c:pt idx="745">
                  <c:v>2.8656939267124315E-3</c:v>
                </c:pt>
                <c:pt idx="746">
                  <c:v>2.8636092611167285E-3</c:v>
                </c:pt>
                <c:pt idx="747">
                  <c:v>2.8615301692846984E-3</c:v>
                </c:pt>
                <c:pt idx="748">
                  <c:v>2.8594566289674717E-3</c:v>
                </c:pt>
                <c:pt idx="749">
                  <c:v>2.8573886179383834E-3</c:v>
                </c:pt>
                <c:pt idx="750">
                  <c:v>2.8553261140817909E-3</c:v>
                </c:pt>
                <c:pt idx="751">
                  <c:v>2.8532690954818918E-3</c:v>
                </c:pt>
                <c:pt idx="752">
                  <c:v>2.8512175402228834E-3</c:v>
                </c:pt>
                <c:pt idx="753">
                  <c:v>2.8491714266332124E-3</c:v>
                </c:pt>
                <c:pt idx="754">
                  <c:v>2.8471307330635298E-3</c:v>
                </c:pt>
                <c:pt idx="755">
                  <c:v>2.8450954379977134E-3</c:v>
                </c:pt>
                <c:pt idx="756">
                  <c:v>2.8430655200306632E-3</c:v>
                </c:pt>
                <c:pt idx="757">
                  <c:v>2.8410409579127105E-3</c:v>
                </c:pt>
                <c:pt idx="758">
                  <c:v>2.8390217304608001E-3</c:v>
                </c:pt>
                <c:pt idx="759">
                  <c:v>2.8357114391086569E-3</c:v>
                </c:pt>
                <c:pt idx="760">
                  <c:v>2.8324098473975212E-3</c:v>
                </c:pt>
                <c:pt idx="761">
                  <c:v>2.8291169210881151E-3</c:v>
                </c:pt>
                <c:pt idx="762">
                  <c:v>2.825832626118796E-3</c:v>
                </c:pt>
                <c:pt idx="763">
                  <c:v>2.8225569285611485E-3</c:v>
                </c:pt>
                <c:pt idx="764">
                  <c:v>2.8192897947310058E-3</c:v>
                </c:pt>
                <c:pt idx="765">
                  <c:v>2.8160311910996327E-3</c:v>
                </c:pt>
                <c:pt idx="766">
                  <c:v>2.8127810842937251E-3</c:v>
                </c:pt>
                <c:pt idx="767">
                  <c:v>2.80953944109541E-3</c:v>
                </c:pt>
                <c:pt idx="768">
                  <c:v>2.8063062284866547E-3</c:v>
                </c:pt>
                <c:pt idx="769">
                  <c:v>2.803081413671471E-3</c:v>
                </c:pt>
                <c:pt idx="770">
                  <c:v>2.7998649639426887E-3</c:v>
                </c:pt>
                <c:pt idx="771">
                  <c:v>2.7966568467929775E-3</c:v>
                </c:pt>
                <c:pt idx="772">
                  <c:v>2.7934570298926431E-3</c:v>
                </c:pt>
                <c:pt idx="773">
                  <c:v>2.7902654810674221E-3</c:v>
                </c:pt>
                <c:pt idx="774">
                  <c:v>2.7908999938208723E-3</c:v>
                </c:pt>
                <c:pt idx="775">
                  <c:v>2.7915328712602161E-3</c:v>
                </c:pt>
                <c:pt idx="776">
                  <c:v>2.7921641196471114E-3</c:v>
                </c:pt>
                <c:pt idx="777">
                  <c:v>2.792793745332034E-3</c:v>
                </c:pt>
                <c:pt idx="778">
                  <c:v>2.7934217545322326E-3</c:v>
                </c:pt>
                <c:pt idx="779">
                  <c:v>2.7940481534649564E-3</c:v>
                </c:pt>
                <c:pt idx="780">
                  <c:v>2.7946729483252497E-3</c:v>
                </c:pt>
                <c:pt idx="781">
                  <c:v>2.7952961452415437E-3</c:v>
                </c:pt>
                <c:pt idx="782">
                  <c:v>2.7959177503422694E-3</c:v>
                </c:pt>
                <c:pt idx="783">
                  <c:v>2.7965377697336535E-3</c:v>
                </c:pt>
                <c:pt idx="784">
                  <c:v>2.7971562094775138E-3</c:v>
                </c:pt>
                <c:pt idx="785">
                  <c:v>2.7977730755912589E-3</c:v>
                </c:pt>
                <c:pt idx="786">
                  <c:v>2.7983883740922977E-3</c:v>
                </c:pt>
                <c:pt idx="787">
                  <c:v>2.7990021109092211E-3</c:v>
                </c:pt>
                <c:pt idx="788">
                  <c:v>2.7996142920150291E-3</c:v>
                </c:pt>
                <c:pt idx="789">
                  <c:v>2.8002249233161081E-3</c:v>
                </c:pt>
                <c:pt idx="790">
                  <c:v>2.8008340106744356E-3</c:v>
                </c:pt>
                <c:pt idx="791">
                  <c:v>2.8014415599297848E-3</c:v>
                </c:pt>
                <c:pt idx="792">
                  <c:v>2.8020475769219289E-3</c:v>
                </c:pt>
                <c:pt idx="793">
                  <c:v>2.8026520674462319E-3</c:v>
                </c:pt>
                <c:pt idx="794">
                  <c:v>2.8032550372314446E-3</c:v>
                </c:pt>
                <c:pt idx="795">
                  <c:v>2.8038564920729314E-3</c:v>
                </c:pt>
                <c:pt idx="796">
                  <c:v>2.8044564375884207E-3</c:v>
                </c:pt>
                <c:pt idx="797">
                  <c:v>2.8050548795288677E-3</c:v>
                </c:pt>
                <c:pt idx="798">
                  <c:v>2.8056518234453875E-3</c:v>
                </c:pt>
                <c:pt idx="799">
                  <c:v>2.8062472750667311E-3</c:v>
                </c:pt>
                <c:pt idx="800">
                  <c:v>2.806841239921809E-3</c:v>
                </c:pt>
                <c:pt idx="801">
                  <c:v>2.8074337235395319E-3</c:v>
                </c:pt>
                <c:pt idx="802">
                  <c:v>2.8080247315154239E-3</c:v>
                </c:pt>
                <c:pt idx="803">
                  <c:v>2.8086142693561911E-3</c:v>
                </c:pt>
                <c:pt idx="804">
                  <c:v>2.8092023425019264E-3</c:v>
                </c:pt>
                <c:pt idx="805">
                  <c:v>2.809788956414927E-3</c:v>
                </c:pt>
                <c:pt idx="806">
                  <c:v>2.8103741165130813E-3</c:v>
                </c:pt>
                <c:pt idx="807">
                  <c:v>2.8109578282142778E-3</c:v>
                </c:pt>
                <c:pt idx="808">
                  <c:v>2.8115400968919957E-3</c:v>
                </c:pt>
                <c:pt idx="809">
                  <c:v>2.8121209278753057E-3</c:v>
                </c:pt>
                <c:pt idx="810">
                  <c:v>2.8127003264710737E-3</c:v>
                </c:pt>
                <c:pt idx="811">
                  <c:v>2.8132782980083704E-3</c:v>
                </c:pt>
                <c:pt idx="812">
                  <c:v>2.8138548477274483E-3</c:v>
                </c:pt>
                <c:pt idx="813">
                  <c:v>2.8144299808907647E-3</c:v>
                </c:pt>
                <c:pt idx="814">
                  <c:v>2.8150037026497543E-3</c:v>
                </c:pt>
                <c:pt idx="815">
                  <c:v>2.8155760182668743E-3</c:v>
                </c:pt>
                <c:pt idx="816">
                  <c:v>2.8161469328935596E-3</c:v>
                </c:pt>
                <c:pt idx="817">
                  <c:v>2.8167164516146315E-3</c:v>
                </c:pt>
                <c:pt idx="818">
                  <c:v>2.8172845796037294E-3</c:v>
                </c:pt>
                <c:pt idx="819">
                  <c:v>2.8178513219012657E-3</c:v>
                </c:pt>
                <c:pt idx="820">
                  <c:v>2.8184166836142666E-3</c:v>
                </c:pt>
                <c:pt idx="821">
                  <c:v>2.8189806697609399E-3</c:v>
                </c:pt>
                <c:pt idx="822">
                  <c:v>2.8221275852002847E-3</c:v>
                </c:pt>
                <c:pt idx="823">
                  <c:v>2.8252668626382871E-3</c:v>
                </c:pt>
                <c:pt idx="824">
                  <c:v>2.8283985298083181E-3</c:v>
                </c:pt>
                <c:pt idx="825">
                  <c:v>2.8315226143993399E-3</c:v>
                </c:pt>
                <c:pt idx="826">
                  <c:v>2.8346391439226792E-3</c:v>
                </c:pt>
                <c:pt idx="827">
                  <c:v>2.8377481457120268E-3</c:v>
                </c:pt>
                <c:pt idx="828">
                  <c:v>2.8408496470344602E-3</c:v>
                </c:pt>
                <c:pt idx="829">
                  <c:v>2.8439436749794211E-3</c:v>
                </c:pt>
                <c:pt idx="830">
                  <c:v>2.8470302565475336E-3</c:v>
                </c:pt>
                <c:pt idx="831">
                  <c:v>2.8501094185839904E-3</c:v>
                </c:pt>
                <c:pt idx="832">
                  <c:v>2.8531811878229618E-3</c:v>
                </c:pt>
                <c:pt idx="833">
                  <c:v>2.8562455907987783E-3</c:v>
                </c:pt>
                <c:pt idx="834">
                  <c:v>2.85930265404577E-3</c:v>
                </c:pt>
                <c:pt idx="835">
                  <c:v>2.8623524038762227E-3</c:v>
                </c:pt>
                <c:pt idx="836">
                  <c:v>2.8653948664691953E-3</c:v>
                </c:pt>
                <c:pt idx="837">
                  <c:v>2.8652659378458623E-3</c:v>
                </c:pt>
                <c:pt idx="838">
                  <c:v>2.8651373165544669E-3</c:v>
                </c:pt>
                <c:pt idx="839">
                  <c:v>2.8650090015069907E-3</c:v>
                </c:pt>
                <c:pt idx="840">
                  <c:v>2.8648809915710061E-3</c:v>
                </c:pt>
                <c:pt idx="841">
                  <c:v>2.8647532857029034E-3</c:v>
                </c:pt>
                <c:pt idx="842">
                  <c:v>2.8646258828146642E-3</c:v>
                </c:pt>
                <c:pt idx="843">
                  <c:v>2.8644987818182699E-3</c:v>
                </c:pt>
                <c:pt idx="844">
                  <c:v>2.8643719816257018E-3</c:v>
                </c:pt>
                <c:pt idx="845">
                  <c:v>2.8642454811933504E-3</c:v>
                </c:pt>
                <c:pt idx="846">
                  <c:v>2.8641192794554016E-3</c:v>
                </c:pt>
                <c:pt idx="847">
                  <c:v>2.8639933753682456E-3</c:v>
                </c:pt>
                <c:pt idx="848">
                  <c:v>2.863867767843864E-3</c:v>
                </c:pt>
                <c:pt idx="849">
                  <c:v>2.8637424558608515E-3</c:v>
                </c:pt>
                <c:pt idx="850">
                  <c:v>2.8636174383755986E-3</c:v>
                </c:pt>
                <c:pt idx="851">
                  <c:v>2.8634927143666999E-3</c:v>
                </c:pt>
                <c:pt idx="852">
                  <c:v>2.863368282790546E-3</c:v>
                </c:pt>
                <c:pt idx="853">
                  <c:v>2.8632441425813226E-3</c:v>
                </c:pt>
                <c:pt idx="854">
                  <c:v>2.8631202927620336E-3</c:v>
                </c:pt>
                <c:pt idx="855">
                  <c:v>2.8629967323112737E-3</c:v>
                </c:pt>
                <c:pt idx="856">
                  <c:v>2.8628734602076378E-3</c:v>
                </c:pt>
                <c:pt idx="857">
                  <c:v>2.8627504754519251E-3</c:v>
                </c:pt>
                <c:pt idx="858">
                  <c:v>2.8626277770227304E-3</c:v>
                </c:pt>
                <c:pt idx="859">
                  <c:v>2.8625053639208531E-3</c:v>
                </c:pt>
                <c:pt idx="860">
                  <c:v>2.8623832351470924E-3</c:v>
                </c:pt>
                <c:pt idx="861">
                  <c:v>2.8622613897466564E-3</c:v>
                </c:pt>
                <c:pt idx="862">
                  <c:v>2.8621398267203446E-3</c:v>
                </c:pt>
                <c:pt idx="863">
                  <c:v>2.8620185450689561E-3</c:v>
                </c:pt>
                <c:pt idx="864">
                  <c:v>2.8618975438154948E-3</c:v>
                </c:pt>
                <c:pt idx="865">
                  <c:v>2.8617768220495776E-3</c:v>
                </c:pt>
                <c:pt idx="866">
                  <c:v>2.861656378727595E-3</c:v>
                </c:pt>
                <c:pt idx="867">
                  <c:v>2.8615362128947552E-3</c:v>
                </c:pt>
                <c:pt idx="868">
                  <c:v>2.8614163236406753E-3</c:v>
                </c:pt>
                <c:pt idx="869">
                  <c:v>2.8612967099883591E-3</c:v>
                </c:pt>
                <c:pt idx="870">
                  <c:v>2.8611773709830146E-3</c:v>
                </c:pt>
                <c:pt idx="871">
                  <c:v>2.8610583056698502E-3</c:v>
                </c:pt>
                <c:pt idx="872">
                  <c:v>2.8609395131606874E-3</c:v>
                </c:pt>
                <c:pt idx="873">
                  <c:v>2.860820992434121E-3</c:v>
                </c:pt>
                <c:pt idx="874">
                  <c:v>2.8607027426019727E-3</c:v>
                </c:pt>
                <c:pt idx="875">
                  <c:v>2.8605847627538594E-3</c:v>
                </c:pt>
                <c:pt idx="876">
                  <c:v>2.8604670519793984E-3</c:v>
                </c:pt>
                <c:pt idx="877">
                  <c:v>2.860349609279389E-3</c:v>
                </c:pt>
                <c:pt idx="878">
                  <c:v>2.860232433832266E-3</c:v>
                </c:pt>
                <c:pt idx="879">
                  <c:v>2.8601155246610332E-3</c:v>
                </c:pt>
                <c:pt idx="880">
                  <c:v>2.8599988808997168E-3</c:v>
                </c:pt>
                <c:pt idx="881">
                  <c:v>2.8598825016379337E-3</c:v>
                </c:pt>
                <c:pt idx="882">
                  <c:v>2.8597663859430966E-3</c:v>
                </c:pt>
                <c:pt idx="883">
                  <c:v>2.8596505329492317E-3</c:v>
                </c:pt>
                <c:pt idx="884">
                  <c:v>2.8595349417681604E-3</c:v>
                </c:pt>
                <c:pt idx="885">
                  <c:v>2.8621305191434132E-3</c:v>
                </c:pt>
                <c:pt idx="886">
                  <c:v>2.8647202442888542E-3</c:v>
                </c:pt>
                <c:pt idx="887">
                  <c:v>2.8673041369442487E-3</c:v>
                </c:pt>
                <c:pt idx="888">
                  <c:v>2.8698822168271576E-3</c:v>
                </c:pt>
                <c:pt idx="889">
                  <c:v>2.8724545034775062E-3</c:v>
                </c:pt>
                <c:pt idx="890">
                  <c:v>2.8750210164574241E-3</c:v>
                </c:pt>
                <c:pt idx="891">
                  <c:v>2.8775817751514055E-3</c:v>
                </c:pt>
                <c:pt idx="892">
                  <c:v>2.8801367988995352E-3</c:v>
                </c:pt>
                <c:pt idx="893">
                  <c:v>2.8826861069308762E-3</c:v>
                </c:pt>
                <c:pt idx="894">
                  <c:v>2.8852297184300824E-3</c:v>
                </c:pt>
                <c:pt idx="895">
                  <c:v>2.8877676524485807E-3</c:v>
                </c:pt>
                <c:pt idx="896">
                  <c:v>2.890299927971185E-3</c:v>
                </c:pt>
                <c:pt idx="897">
                  <c:v>2.8928265639383E-3</c:v>
                </c:pt>
                <c:pt idx="898">
                  <c:v>2.8953475791348993E-3</c:v>
                </c:pt>
                <c:pt idx="899">
                  <c:v>2.8978629922793431E-3</c:v>
                </c:pt>
                <c:pt idx="900">
                  <c:v>2.8980223073071798E-3</c:v>
                </c:pt>
                <c:pt idx="901">
                  <c:v>2.8981812690620501E-3</c:v>
                </c:pt>
                <c:pt idx="902">
                  <c:v>2.8983398787874037E-3</c:v>
                </c:pt>
                <c:pt idx="903">
                  <c:v>2.8984981375934638E-3</c:v>
                </c:pt>
                <c:pt idx="904">
                  <c:v>2.8986560467014755E-3</c:v>
                </c:pt>
                <c:pt idx="905">
                  <c:v>2.8988136072438664E-3</c:v>
                </c:pt>
                <c:pt idx="906">
                  <c:v>2.898970820353064E-3</c:v>
                </c:pt>
                <c:pt idx="907">
                  <c:v>2.8991276872059046E-3</c:v>
                </c:pt>
                <c:pt idx="908">
                  <c:v>2.8992842089348159E-3</c:v>
                </c:pt>
                <c:pt idx="909">
                  <c:v>2.8994403866944296E-3</c:v>
                </c:pt>
                <c:pt idx="910">
                  <c:v>2.8995962215727644E-3</c:v>
                </c:pt>
                <c:pt idx="911">
                  <c:v>2.8997517147244523E-3</c:v>
                </c:pt>
                <c:pt idx="912">
                  <c:v>2.8999068672819206E-3</c:v>
                </c:pt>
                <c:pt idx="913">
                  <c:v>2.9000616803553925E-3</c:v>
                </c:pt>
                <c:pt idx="914">
                  <c:v>2.9002161550550909E-3</c:v>
                </c:pt>
                <c:pt idx="915">
                  <c:v>2.9003702925134434E-3</c:v>
                </c:pt>
                <c:pt idx="916">
                  <c:v>2.9005240937740595E-3</c:v>
                </c:pt>
                <c:pt idx="917">
                  <c:v>2.9006775599915713E-3</c:v>
                </c:pt>
                <c:pt idx="918">
                  <c:v>2.9008306922317928E-3</c:v>
                </c:pt>
                <c:pt idx="919">
                  <c:v>2.9009834916049471E-3</c:v>
                </c:pt>
                <c:pt idx="920">
                  <c:v>2.9011359591768482E-3</c:v>
                </c:pt>
                <c:pt idx="921">
                  <c:v>2.9012880960355147E-3</c:v>
                </c:pt>
                <c:pt idx="922">
                  <c:v>2.9014399032245564E-3</c:v>
                </c:pt>
                <c:pt idx="923">
                  <c:v>2.9015913818764005E-3</c:v>
                </c:pt>
                <c:pt idx="924">
                  <c:v>2.9017425330124524E-3</c:v>
                </c:pt>
                <c:pt idx="925">
                  <c:v>2.9018933577207306E-3</c:v>
                </c:pt>
                <c:pt idx="926">
                  <c:v>2.9020438570226403E-3</c:v>
                </c:pt>
                <c:pt idx="927">
                  <c:v>2.9021940319839956E-3</c:v>
                </c:pt>
                <c:pt idx="928">
                  <c:v>2.9023438836706106E-3</c:v>
                </c:pt>
                <c:pt idx="929">
                  <c:v>2.9024934131260949E-3</c:v>
                </c:pt>
                <c:pt idx="930">
                  <c:v>2.9026426213274448E-3</c:v>
                </c:pt>
                <c:pt idx="931">
                  <c:v>2.9027915093848833E-3</c:v>
                </c:pt>
                <c:pt idx="932">
                  <c:v>2.9029400782976111E-3</c:v>
                </c:pt>
                <c:pt idx="933">
                  <c:v>2.9030883290870335E-3</c:v>
                </c:pt>
                <c:pt idx="934">
                  <c:v>2.9032362627745556E-3</c:v>
                </c:pt>
                <c:pt idx="935">
                  <c:v>2.903383880403787E-3</c:v>
                </c:pt>
                <c:pt idx="936">
                  <c:v>2.9035311829295196E-3</c:v>
                </c:pt>
                <c:pt idx="937">
                  <c:v>2.9036781714175675E-3</c:v>
                </c:pt>
                <c:pt idx="938">
                  <c:v>2.9038248468227223E-3</c:v>
                </c:pt>
                <c:pt idx="939">
                  <c:v>2.9039712102107984E-3</c:v>
                </c:pt>
                <c:pt idx="940">
                  <c:v>2.9041172624921785E-3</c:v>
                </c:pt>
                <c:pt idx="941">
                  <c:v>2.9042630047104723E-3</c:v>
                </c:pt>
                <c:pt idx="942">
                  <c:v>2.904408437842676E-3</c:v>
                </c:pt>
                <c:pt idx="943">
                  <c:v>2.9045535628435815E-3</c:v>
                </c:pt>
                <c:pt idx="944">
                  <c:v>2.9046983807567983E-3</c:v>
                </c:pt>
                <c:pt idx="945">
                  <c:v>2.9048428924911551E-3</c:v>
                </c:pt>
                <c:pt idx="946">
                  <c:v>2.9026116170616234E-3</c:v>
                </c:pt>
                <c:pt idx="947">
                  <c:v>2.9003850487985261E-3</c:v>
                </c:pt>
                <c:pt idx="948">
                  <c:v>2.8981631727820201E-3</c:v>
                </c:pt>
                <c:pt idx="949">
                  <c:v>2.8959459742683435E-3</c:v>
                </c:pt>
                <c:pt idx="950">
                  <c:v>2.8937334384249169E-3</c:v>
                </c:pt>
                <c:pt idx="951">
                  <c:v>2.8915255505967963E-3</c:v>
                </c:pt>
                <c:pt idx="952">
                  <c:v>2.8893222961512421E-3</c:v>
                </c:pt>
                <c:pt idx="953">
                  <c:v>2.8871236605443329E-3</c:v>
                </c:pt>
                <c:pt idx="954">
                  <c:v>2.8849296292099424E-3</c:v>
                </c:pt>
                <c:pt idx="955">
                  <c:v>2.8827401877373759E-3</c:v>
                </c:pt>
                <c:pt idx="956">
                  <c:v>2.880555321738143E-3</c:v>
                </c:pt>
                <c:pt idx="957">
                  <c:v>2.8783750168681621E-3</c:v>
                </c:pt>
                <c:pt idx="958">
                  <c:v>2.8761992588499652E-3</c:v>
                </c:pt>
                <c:pt idx="959">
                  <c:v>2.8740280335393109E-3</c:v>
                </c:pt>
                <c:pt idx="960">
                  <c:v>2.8718613267015858E-3</c:v>
                </c:pt>
                <c:pt idx="961">
                  <c:v>2.872109538420986E-3</c:v>
                </c:pt>
                <c:pt idx="962">
                  <c:v>2.8723572346622817E-3</c:v>
                </c:pt>
                <c:pt idx="963">
                  <c:v>2.8726044170257481E-3</c:v>
                </c:pt>
                <c:pt idx="964">
                  <c:v>2.872851087087902E-3</c:v>
                </c:pt>
                <c:pt idx="965">
                  <c:v>2.8730972464696691E-3</c:v>
                </c:pt>
                <c:pt idx="966">
                  <c:v>2.873342896747566E-3</c:v>
                </c:pt>
                <c:pt idx="967">
                  <c:v>2.8735880394981095E-3</c:v>
                </c:pt>
                <c:pt idx="968">
                  <c:v>2.8738326762978161E-3</c:v>
                </c:pt>
                <c:pt idx="969">
                  <c:v>2.8740768086787938E-3</c:v>
                </c:pt>
                <c:pt idx="970">
                  <c:v>2.8743204382397636E-3</c:v>
                </c:pt>
                <c:pt idx="971">
                  <c:v>2.8745635665128333E-3</c:v>
                </c:pt>
                <c:pt idx="972">
                  <c:v>2.8748061950523152E-3</c:v>
                </c:pt>
                <c:pt idx="973">
                  <c:v>2.875048325390317E-3</c:v>
                </c:pt>
                <c:pt idx="974">
                  <c:v>2.8752899590589465E-3</c:v>
                </c:pt>
                <c:pt idx="975">
                  <c:v>2.8755310976125159E-3</c:v>
                </c:pt>
                <c:pt idx="976">
                  <c:v>2.8757717425387241E-3</c:v>
                </c:pt>
                <c:pt idx="977">
                  <c:v>2.8760118953474745E-3</c:v>
                </c:pt>
                <c:pt idx="978">
                  <c:v>2.8762515575486702E-3</c:v>
                </c:pt>
                <c:pt idx="979">
                  <c:v>2.8764907307188281E-3</c:v>
                </c:pt>
                <c:pt idx="980">
                  <c:v>2.8767294162346246E-3</c:v>
                </c:pt>
                <c:pt idx="981">
                  <c:v>2.8769676156281676E-3</c:v>
                </c:pt>
                <c:pt idx="982">
                  <c:v>2.8772053304093603E-3</c:v>
                </c:pt>
                <c:pt idx="983">
                  <c:v>2.8774425620659017E-3</c:v>
                </c:pt>
                <c:pt idx="984">
                  <c:v>2.8776793120410815E-3</c:v>
                </c:pt>
                <c:pt idx="985">
                  <c:v>2.8779155817781898E-3</c:v>
                </c:pt>
                <c:pt idx="986">
                  <c:v>2.87815137278713E-3</c:v>
                </c:pt>
                <c:pt idx="987">
                  <c:v>2.8783866865111918E-3</c:v>
                </c:pt>
                <c:pt idx="988">
                  <c:v>2.8786215243492563E-3</c:v>
                </c:pt>
                <c:pt idx="989">
                  <c:v>2.8788558878112269E-3</c:v>
                </c:pt>
                <c:pt idx="990">
                  <c:v>2.8790897782737801E-3</c:v>
                </c:pt>
                <c:pt idx="991">
                  <c:v>2.8793231972024103E-3</c:v>
                </c:pt>
                <c:pt idx="992">
                  <c:v>2.8795561460182029E-3</c:v>
                </c:pt>
                <c:pt idx="993">
                  <c:v>2.8797886261422434E-3</c:v>
                </c:pt>
                <c:pt idx="994">
                  <c:v>2.8800206389734129E-3</c:v>
                </c:pt>
                <c:pt idx="995">
                  <c:v>2.8802521859105923E-3</c:v>
                </c:pt>
                <c:pt idx="996">
                  <c:v>2.8804832683970716E-3</c:v>
                </c:pt>
                <c:pt idx="997">
                  <c:v>2.8807138877873228E-3</c:v>
                </c:pt>
                <c:pt idx="998">
                  <c:v>2.8809440455024315E-3</c:v>
                </c:pt>
                <c:pt idx="999">
                  <c:v>2.8811737428968698E-3</c:v>
                </c:pt>
                <c:pt idx="1000">
                  <c:v>2.881402981391723E-3</c:v>
                </c:pt>
                <c:pt idx="1001">
                  <c:v>2.8816317623192589E-3</c:v>
                </c:pt>
                <c:pt idx="1002">
                  <c:v>2.8818600870561539E-3</c:v>
                </c:pt>
                <c:pt idx="1003">
                  <c:v>2.8820879570012892E-3</c:v>
                </c:pt>
                <c:pt idx="1004">
                  <c:v>2.8823153734647278E-3</c:v>
                </c:pt>
                <c:pt idx="1005">
                  <c:v>2.8825423378009418E-3</c:v>
                </c:pt>
                <c:pt idx="1006">
                  <c:v>2.8827688513866079E-3</c:v>
                </c:pt>
                <c:pt idx="1007">
                  <c:v>2.882994915576198E-3</c:v>
                </c:pt>
                <c:pt idx="1008">
                  <c:v>2.883220531657571E-3</c:v>
                </c:pt>
                <c:pt idx="1009">
                  <c:v>2.8834457009938586E-3</c:v>
                </c:pt>
                <c:pt idx="1010">
                  <c:v>2.8806556459537447E-3</c:v>
                </c:pt>
                <c:pt idx="1011">
                  <c:v>2.877871104778329E-3</c:v>
                </c:pt>
                <c:pt idx="1012">
                  <c:v>2.8750920612052866E-3</c:v>
                </c:pt>
                <c:pt idx="1013">
                  <c:v>2.8723184989365436E-3</c:v>
                </c:pt>
                <c:pt idx="1014">
                  <c:v>2.8695504017628437E-3</c:v>
                </c:pt>
                <c:pt idx="1015">
                  <c:v>2.8667877535193398E-3</c:v>
                </c:pt>
                <c:pt idx="1016">
                  <c:v>2.8640305381966158E-3</c:v>
                </c:pt>
                <c:pt idx="1017">
                  <c:v>2.8612787397408468E-3</c:v>
                </c:pt>
                <c:pt idx="1018">
                  <c:v>2.8585323422536391E-3</c:v>
                </c:pt>
                <c:pt idx="1019">
                  <c:v>2.855791329747781E-3</c:v>
                </c:pt>
                <c:pt idx="1020">
                  <c:v>2.8530556865025147E-3</c:v>
                </c:pt>
                <c:pt idx="1021">
                  <c:v>2.8503253967304687E-3</c:v>
                </c:pt>
                <c:pt idx="1022">
                  <c:v>2.8476004446886805E-3</c:v>
                </c:pt>
                <c:pt idx="1023">
                  <c:v>2.8448808147896187E-3</c:v>
                </c:pt>
                <c:pt idx="1024">
                  <c:v>2.8421664914757283E-3</c:v>
                </c:pt>
                <c:pt idx="1025">
                  <c:v>2.8421813148771236E-3</c:v>
                </c:pt>
                <c:pt idx="1026">
                  <c:v>2.8421961093982873E-3</c:v>
                </c:pt>
                <c:pt idx="1027">
                  <c:v>2.8422108751646746E-3</c:v>
                </c:pt>
                <c:pt idx="1028">
                  <c:v>2.8422256122206946E-3</c:v>
                </c:pt>
                <c:pt idx="1029">
                  <c:v>2.842240320655165E-3</c:v>
                </c:pt>
                <c:pt idx="1030">
                  <c:v>2.8422550005569036E-3</c:v>
                </c:pt>
                <c:pt idx="1031">
                  <c:v>2.8422696520147284E-3</c:v>
                </c:pt>
                <c:pt idx="1032">
                  <c:v>2.8422842751396615E-3</c:v>
                </c:pt>
                <c:pt idx="1033">
                  <c:v>2.8422988699317031E-3</c:v>
                </c:pt>
                <c:pt idx="1034">
                  <c:v>2.8423134365462843E-3</c:v>
                </c:pt>
                <c:pt idx="1035">
                  <c:v>2.8423279750056096E-3</c:v>
                </c:pt>
                <c:pt idx="1036">
                  <c:v>2.8423424854429058E-3</c:v>
                </c:pt>
                <c:pt idx="1037">
                  <c:v>2.8423569679469907E-3</c:v>
                </c:pt>
                <c:pt idx="1038">
                  <c:v>2.8423714225622732E-3</c:v>
                </c:pt>
                <c:pt idx="1039">
                  <c:v>2.8423858493775711E-3</c:v>
                </c:pt>
                <c:pt idx="1040">
                  <c:v>2.8424002484817024E-3</c:v>
                </c:pt>
                <c:pt idx="1041">
                  <c:v>2.8424146199190758E-3</c:v>
                </c:pt>
                <c:pt idx="1042">
                  <c:v>2.8424289638007139E-3</c:v>
                </c:pt>
                <c:pt idx="1043">
                  <c:v>2.8424432802376387E-3</c:v>
                </c:pt>
                <c:pt idx="1044">
                  <c:v>2.8424575692520548E-3</c:v>
                </c:pt>
                <c:pt idx="1045">
                  <c:v>2.8424718309327801E-3</c:v>
                </c:pt>
                <c:pt idx="1046">
                  <c:v>2.8424860654130413E-3</c:v>
                </c:pt>
                <c:pt idx="1047">
                  <c:v>2.8425002727150428E-3</c:v>
                </c:pt>
                <c:pt idx="1048">
                  <c:v>2.8425144529053981E-3</c:v>
                </c:pt>
                <c:pt idx="1049">
                  <c:v>2.8425286060951294E-3</c:v>
                </c:pt>
                <c:pt idx="1050">
                  <c:v>2.8425427323508501E-3</c:v>
                </c:pt>
                <c:pt idx="1051">
                  <c:v>2.8425568317391736E-3</c:v>
                </c:pt>
                <c:pt idx="1052">
                  <c:v>2.8425709043711223E-3</c:v>
                </c:pt>
                <c:pt idx="1053">
                  <c:v>2.8425849502689005E-3</c:v>
                </c:pt>
                <c:pt idx="1054">
                  <c:v>2.8425989695879395E-3</c:v>
                </c:pt>
                <c:pt idx="1055">
                  <c:v>2.8426129623060348E-3</c:v>
                </c:pt>
                <c:pt idx="1056">
                  <c:v>2.8426269285786177E-3</c:v>
                </c:pt>
                <c:pt idx="1057">
                  <c:v>2.842640868450097E-3</c:v>
                </c:pt>
                <c:pt idx="1058">
                  <c:v>2.8426547819870862E-3</c:v>
                </c:pt>
                <c:pt idx="1059">
                  <c:v>2.8426686692784031E-3</c:v>
                </c:pt>
                <c:pt idx="1060">
                  <c:v>2.8426825303906611E-3</c:v>
                </c:pt>
                <c:pt idx="1061">
                  <c:v>2.8426963653682691E-3</c:v>
                </c:pt>
                <c:pt idx="1062">
                  <c:v>2.8427101743444538E-3</c:v>
                </c:pt>
                <c:pt idx="1063">
                  <c:v>2.8427239573636243E-3</c:v>
                </c:pt>
                <c:pt idx="1064">
                  <c:v>2.8427377144923938E-3</c:v>
                </c:pt>
                <c:pt idx="1065">
                  <c:v>2.8427514458195802E-3</c:v>
                </c:pt>
                <c:pt idx="1066">
                  <c:v>2.8427651513895924E-3</c:v>
                </c:pt>
                <c:pt idx="1067">
                  <c:v>2.8427788313356572E-3</c:v>
                </c:pt>
                <c:pt idx="1068">
                  <c:v>2.8427924856355702E-3</c:v>
                </c:pt>
                <c:pt idx="1069">
                  <c:v>2.8428061144549766E-3</c:v>
                </c:pt>
                <c:pt idx="1070">
                  <c:v>2.8434649655961763E-3</c:v>
                </c:pt>
                <c:pt idx="1071">
                  <c:v>2.8441225875752707E-3</c:v>
                </c:pt>
                <c:pt idx="1072">
                  <c:v>2.844778983779328E-3</c:v>
                </c:pt>
                <c:pt idx="1073">
                  <c:v>2.8454341576500397E-3</c:v>
                </c:pt>
                <c:pt idx="1074">
                  <c:v>2.8460881125846882E-3</c:v>
                </c:pt>
                <c:pt idx="1075">
                  <c:v>2.8467408519805559E-3</c:v>
                </c:pt>
                <c:pt idx="1076">
                  <c:v>2.8473923792349254E-3</c:v>
                </c:pt>
                <c:pt idx="1077">
                  <c:v>2.8480426977228745E-3</c:v>
                </c:pt>
                <c:pt idx="1078">
                  <c:v>2.848691810797277E-3</c:v>
                </c:pt>
                <c:pt idx="1079">
                  <c:v>2.8493397217888017E-3</c:v>
                </c:pt>
                <c:pt idx="1080">
                  <c:v>2.8499864340725267E-3</c:v>
                </c:pt>
                <c:pt idx="1081">
                  <c:v>2.8506319509569167E-3</c:v>
                </c:pt>
                <c:pt idx="1082">
                  <c:v>2.8512762757504362E-3</c:v>
                </c:pt>
                <c:pt idx="1083">
                  <c:v>2.8519194117393454E-3</c:v>
                </c:pt>
                <c:pt idx="1084">
                  <c:v>2.8525613622021329E-3</c:v>
                </c:pt>
                <c:pt idx="1085">
                  <c:v>2.851172907836208E-3</c:v>
                </c:pt>
                <c:pt idx="1086">
                  <c:v>2.8497870081301002E-3</c:v>
                </c:pt>
                <c:pt idx="1087">
                  <c:v>2.8484036559861536E-3</c:v>
                </c:pt>
                <c:pt idx="1088">
                  <c:v>2.8470228444099632E-3</c:v>
                </c:pt>
                <c:pt idx="1089">
                  <c:v>2.8456445664071239E-3</c:v>
                </c:pt>
                <c:pt idx="1090">
                  <c:v>2.8442688150276396E-3</c:v>
                </c:pt>
                <c:pt idx="1091">
                  <c:v>2.8428955832993097E-3</c:v>
                </c:pt>
                <c:pt idx="1092">
                  <c:v>2.8415248643165469E-3</c:v>
                </c:pt>
                <c:pt idx="1093">
                  <c:v>2.8401566512403775E-3</c:v>
                </c:pt>
                <c:pt idx="1094">
                  <c:v>2.8387909370986009E-3</c:v>
                </c:pt>
                <c:pt idx="1095">
                  <c:v>2.8374277151632654E-3</c:v>
                </c:pt>
                <c:pt idx="1096">
                  <c:v>2.8360669785509884E-3</c:v>
                </c:pt>
                <c:pt idx="1097">
                  <c:v>2.8347087204894095E-3</c:v>
                </c:pt>
                <c:pt idx="1098">
                  <c:v>2.8333529342061681E-3</c:v>
                </c:pt>
                <c:pt idx="1099">
                  <c:v>2.8319996129733127E-3</c:v>
                </c:pt>
                <c:pt idx="1100">
                  <c:v>2.8306487500406874E-3</c:v>
                </c:pt>
                <c:pt idx="1101">
                  <c:v>2.8293003387691584E-3</c:v>
                </c:pt>
                <c:pt idx="1102">
                  <c:v>2.8279543724751832E-3</c:v>
                </c:pt>
                <c:pt idx="1103">
                  <c:v>2.8266108444752192E-3</c:v>
                </c:pt>
                <c:pt idx="1104">
                  <c:v>2.8252697481967459E-3</c:v>
                </c:pt>
                <c:pt idx="1105">
                  <c:v>2.8239310770006298E-3</c:v>
                </c:pt>
                <c:pt idx="1106">
                  <c:v>2.822594824380964E-3</c:v>
                </c:pt>
                <c:pt idx="1107">
                  <c:v>2.8212609837208191E-3</c:v>
                </c:pt>
                <c:pt idx="1108">
                  <c:v>2.8199295485364928E-3</c:v>
                </c:pt>
                <c:pt idx="1109">
                  <c:v>2.8186005122998736E-3</c:v>
                </c:pt>
                <c:pt idx="1110">
                  <c:v>2.8172738685272591E-3</c:v>
                </c:pt>
                <c:pt idx="1111">
                  <c:v>2.8159496108015603E-3</c:v>
                </c:pt>
                <c:pt idx="1112">
                  <c:v>2.814627732661279E-3</c:v>
                </c:pt>
                <c:pt idx="1113">
                  <c:v>2.8133082277337351E-3</c:v>
                </c:pt>
                <c:pt idx="1114">
                  <c:v>2.8119910896240441E-3</c:v>
                </c:pt>
                <c:pt idx="1115">
                  <c:v>2.8106763119151168E-3</c:v>
                </c:pt>
                <c:pt idx="1116">
                  <c:v>2.8093638883008865E-3</c:v>
                </c:pt>
                <c:pt idx="1117">
                  <c:v>2.8080538124974908E-3</c:v>
                </c:pt>
                <c:pt idx="1118">
                  <c:v>2.8067460781988629E-3</c:v>
                </c:pt>
                <c:pt idx="1119">
                  <c:v>2.8054406790767317E-3</c:v>
                </c:pt>
                <c:pt idx="1120">
                  <c:v>2.804137608958257E-3</c:v>
                </c:pt>
                <c:pt idx="1121">
                  <c:v>2.8028368615595767E-3</c:v>
                </c:pt>
                <c:pt idx="1122">
                  <c:v>2.8015384307078506E-3</c:v>
                </c:pt>
                <c:pt idx="1123">
                  <c:v>2.8002423102080343E-3</c:v>
                </c:pt>
                <c:pt idx="1124">
                  <c:v>2.7989484939316966E-3</c:v>
                </c:pt>
                <c:pt idx="1125">
                  <c:v>2.7976569756615888E-3</c:v>
                </c:pt>
                <c:pt idx="1126">
                  <c:v>2.7963677493580974E-3</c:v>
                </c:pt>
                <c:pt idx="1127">
                  <c:v>2.7950808088927914E-3</c:v>
                </c:pt>
                <c:pt idx="1128">
                  <c:v>2.7937961481816487E-3</c:v>
                </c:pt>
                <c:pt idx="1129">
                  <c:v>2.7925137612072604E-3</c:v>
                </c:pt>
                <c:pt idx="1130">
                  <c:v>2.7912336418758343E-3</c:v>
                </c:pt>
                <c:pt idx="1131">
                  <c:v>2.7909719724217297E-3</c:v>
                </c:pt>
                <c:pt idx="1132">
                  <c:v>2.7907107648550422E-3</c:v>
                </c:pt>
                <c:pt idx="1133">
                  <c:v>2.7904500179865011E-3</c:v>
                </c:pt>
                <c:pt idx="1134">
                  <c:v>2.7901897305726564E-3</c:v>
                </c:pt>
                <c:pt idx="1135">
                  <c:v>2.7899299013700585E-3</c:v>
                </c:pt>
                <c:pt idx="1136">
                  <c:v>2.7896705292462798E-3</c:v>
                </c:pt>
                <c:pt idx="1137">
                  <c:v>2.7894116129356661E-3</c:v>
                </c:pt>
                <c:pt idx="1138">
                  <c:v>2.7891531512391765E-3</c:v>
                </c:pt>
                <c:pt idx="1139">
                  <c:v>2.7888951430021791E-3</c:v>
                </c:pt>
                <c:pt idx="1140">
                  <c:v>2.7886375870034286E-3</c:v>
                </c:pt>
                <c:pt idx="1141">
                  <c:v>2.788380482043884E-3</c:v>
                </c:pt>
                <c:pt idx="1142">
                  <c:v>2.7881238269911179E-3</c:v>
                </c:pt>
                <c:pt idx="1143">
                  <c:v>2.7878676206016806E-3</c:v>
                </c:pt>
                <c:pt idx="1144">
                  <c:v>2.7876118617431445E-3</c:v>
                </c:pt>
                <c:pt idx="1145">
                  <c:v>2.7873565491896013E-3</c:v>
                </c:pt>
                <c:pt idx="1146">
                  <c:v>2.7891672295332626E-3</c:v>
                </c:pt>
                <c:pt idx="1147">
                  <c:v>2.790974755395581E-3</c:v>
                </c:pt>
                <c:pt idx="1148">
                  <c:v>2.79277913499687E-3</c:v>
                </c:pt>
                <c:pt idx="1149">
                  <c:v>2.7945803765527799E-3</c:v>
                </c:pt>
                <c:pt idx="1150">
                  <c:v>2.7963784882345522E-3</c:v>
                </c:pt>
                <c:pt idx="1151">
                  <c:v>2.7981734782356327E-3</c:v>
                </c:pt>
                <c:pt idx="1152">
                  <c:v>2.7999653546162406E-3</c:v>
                </c:pt>
                <c:pt idx="1153">
                  <c:v>2.8017541255032086E-3</c:v>
                </c:pt>
                <c:pt idx="1154">
                  <c:v>2.8035397989789601E-3</c:v>
                </c:pt>
                <c:pt idx="1155">
                  <c:v>2.805322383037101E-3</c:v>
                </c:pt>
                <c:pt idx="1156">
                  <c:v>2.8071018857378505E-3</c:v>
                </c:pt>
                <c:pt idx="1157">
                  <c:v>2.8088783150304053E-3</c:v>
                </c:pt>
                <c:pt idx="1158">
                  <c:v>2.8106516788639624E-3</c:v>
                </c:pt>
                <c:pt idx="1159">
                  <c:v>2.812421985209923E-3</c:v>
                </c:pt>
                <c:pt idx="1160">
                  <c:v>2.8141892419064618E-3</c:v>
                </c:pt>
                <c:pt idx="1161">
                  <c:v>2.8159534569027755E-3</c:v>
                </c:pt>
                <c:pt idx="1162">
                  <c:v>2.8177146379704254E-3</c:v>
                </c:pt>
                <c:pt idx="1163">
                  <c:v>2.8194727929697905E-3</c:v>
                </c:pt>
                <c:pt idx="1164">
                  <c:v>2.8212279296946363E-3</c:v>
                </c:pt>
                <c:pt idx="1165">
                  <c:v>2.8229800558943197E-3</c:v>
                </c:pt>
                <c:pt idx="1166">
                  <c:v>2.8247291792959928E-3</c:v>
                </c:pt>
                <c:pt idx="1167">
                  <c:v>2.8264753076934213E-3</c:v>
                </c:pt>
                <c:pt idx="1168">
                  <c:v>2.8282184486583262E-3</c:v>
                </c:pt>
                <c:pt idx="1169">
                  <c:v>2.8299586099178597E-3</c:v>
                </c:pt>
                <c:pt idx="1170">
                  <c:v>2.8316957990659475E-3</c:v>
                </c:pt>
                <c:pt idx="1171">
                  <c:v>2.8334300237631282E-3</c:v>
                </c:pt>
                <c:pt idx="1172">
                  <c:v>2.8351612915589186E-3</c:v>
                </c:pt>
                <c:pt idx="1173">
                  <c:v>2.8368896100028351E-3</c:v>
                </c:pt>
                <c:pt idx="1174">
                  <c:v>2.8386149866443944E-3</c:v>
                </c:pt>
                <c:pt idx="1175">
                  <c:v>2.8403374289664995E-3</c:v>
                </c:pt>
                <c:pt idx="1176">
                  <c:v>2.8420569444742583E-3</c:v>
                </c:pt>
                <c:pt idx="1177">
                  <c:v>2.8437735406061648E-3</c:v>
                </c:pt>
                <c:pt idx="1178">
                  <c:v>2.8454872248007135E-3</c:v>
                </c:pt>
                <c:pt idx="1179">
                  <c:v>2.8471980044519896E-3</c:v>
                </c:pt>
                <c:pt idx="1180">
                  <c:v>2.848905886931874E-3</c:v>
                </c:pt>
                <c:pt idx="1181">
                  <c:v>2.8506108795900431E-3</c:v>
                </c:pt>
                <c:pt idx="1182">
                  <c:v>2.8523129897983779E-3</c:v>
                </c:pt>
                <c:pt idx="1183">
                  <c:v>2.8540122247955324E-3</c:v>
                </c:pt>
                <c:pt idx="1184">
                  <c:v>2.8557085919089786E-3</c:v>
                </c:pt>
                <c:pt idx="1185">
                  <c:v>2.8574020983773707E-3</c:v>
                </c:pt>
                <c:pt idx="1186">
                  <c:v>2.8590927514393627E-3</c:v>
                </c:pt>
                <c:pt idx="1187">
                  <c:v>2.8607805582891999E-3</c:v>
                </c:pt>
                <c:pt idx="1188">
                  <c:v>2.8624655260767184E-3</c:v>
                </c:pt>
                <c:pt idx="1189">
                  <c:v>2.8641476620183681E-3</c:v>
                </c:pt>
                <c:pt idx="1190">
                  <c:v>2.8658269732195762E-3</c:v>
                </c:pt>
                <c:pt idx="1191">
                  <c:v>2.8675034667857702E-3</c:v>
                </c:pt>
                <c:pt idx="1192">
                  <c:v>2.8691771498223773E-3</c:v>
                </c:pt>
                <c:pt idx="1193">
                  <c:v>2.8708480293904159E-3</c:v>
                </c:pt>
                <c:pt idx="1194">
                  <c:v>2.8735840823523873E-3</c:v>
                </c:pt>
                <c:pt idx="1195">
                  <c:v>2.8763155600408652E-3</c:v>
                </c:pt>
                <c:pt idx="1196">
                  <c:v>2.8790424738911469E-3</c:v>
                </c:pt>
                <c:pt idx="1197">
                  <c:v>2.8817648353385295E-3</c:v>
                </c:pt>
                <c:pt idx="1198">
                  <c:v>2.8844826557516967E-3</c:v>
                </c:pt>
                <c:pt idx="1199">
                  <c:v>2.8871959465437413E-3</c:v>
                </c:pt>
                <c:pt idx="1200">
                  <c:v>2.8899047189723248E-3</c:v>
                </c:pt>
                <c:pt idx="1201">
                  <c:v>2.8926089843173131E-3</c:v>
                </c:pt>
                <c:pt idx="1202">
                  <c:v>2.895308753858572E-3</c:v>
                </c:pt>
                <c:pt idx="1203">
                  <c:v>2.8980040387649453E-3</c:v>
                </c:pt>
                <c:pt idx="1204">
                  <c:v>2.9006948502052765E-3</c:v>
                </c:pt>
                <c:pt idx="1205">
                  <c:v>2.9033811993040004E-3</c:v>
                </c:pt>
                <c:pt idx="1206">
                  <c:v>2.9060630971633472E-3</c:v>
                </c:pt>
                <c:pt idx="1207">
                  <c:v>2.9087405548411382E-3</c:v>
                </c:pt>
                <c:pt idx="1208">
                  <c:v>2.9114135833507859E-3</c:v>
                </c:pt>
                <c:pt idx="1209">
                  <c:v>2.9116284717689567E-3</c:v>
                </c:pt>
                <c:pt idx="1210">
                  <c:v>2.9118430052710309E-3</c:v>
                </c:pt>
                <c:pt idx="1211">
                  <c:v>2.912057184789596E-3</c:v>
                </c:pt>
                <c:pt idx="1212">
                  <c:v>2.9122710111684214E-3</c:v>
                </c:pt>
                <c:pt idx="1213">
                  <c:v>2.9124844852956855E-3</c:v>
                </c:pt>
                <c:pt idx="1214">
                  <c:v>2.9126976080373623E-3</c:v>
                </c:pt>
                <c:pt idx="1215">
                  <c:v>2.9129103802372214E-3</c:v>
                </c:pt>
                <c:pt idx="1216">
                  <c:v>2.913122802783441E-3</c:v>
                </c:pt>
                <c:pt idx="1217">
                  <c:v>2.9133348765419953E-3</c:v>
                </c:pt>
                <c:pt idx="1218">
                  <c:v>2.9135466023566536E-3</c:v>
                </c:pt>
                <c:pt idx="1219">
                  <c:v>2.91375798109339E-3</c:v>
                </c:pt>
                <c:pt idx="1220">
                  <c:v>2.9139690135959739E-3</c:v>
                </c:pt>
                <c:pt idx="1221">
                  <c:v>2.9141797007081749E-3</c:v>
                </c:pt>
                <c:pt idx="1222">
                  <c:v>2.9143900432959668E-3</c:v>
                </c:pt>
                <c:pt idx="1223">
                  <c:v>2.9146000421809148E-3</c:v>
                </c:pt>
                <c:pt idx="1224">
                  <c:v>2.9148096982511973E-3</c:v>
                </c:pt>
                <c:pt idx="1225">
                  <c:v>2.9150190122839703E-3</c:v>
                </c:pt>
                <c:pt idx="1226">
                  <c:v>2.9152279851452079E-3</c:v>
                </c:pt>
                <c:pt idx="1227">
                  <c:v>2.9154366177008839E-3</c:v>
                </c:pt>
                <c:pt idx="1228">
                  <c:v>2.9156449107059501E-3</c:v>
                </c:pt>
                <c:pt idx="1229">
                  <c:v>2.9158528650707893E-3</c:v>
                </c:pt>
                <c:pt idx="1230">
                  <c:v>2.9160604815503532E-3</c:v>
                </c:pt>
                <c:pt idx="1231">
                  <c:v>2.9162677609884113E-3</c:v>
                </c:pt>
                <c:pt idx="1232">
                  <c:v>2.9164747042509376E-3</c:v>
                </c:pt>
                <c:pt idx="1233">
                  <c:v>2.9166813120928836E-3</c:v>
                </c:pt>
                <c:pt idx="1234">
                  <c:v>2.9168875853802234E-3</c:v>
                </c:pt>
                <c:pt idx="1235">
                  <c:v>2.9170935248679086E-3</c:v>
                </c:pt>
                <c:pt idx="1236">
                  <c:v>2.9172991314219132E-3</c:v>
                </c:pt>
                <c:pt idx="1237">
                  <c:v>2.9175044058193933E-3</c:v>
                </c:pt>
                <c:pt idx="1238">
                  <c:v>2.9177093488597095E-3</c:v>
                </c:pt>
                <c:pt idx="1239">
                  <c:v>2.9179139613422223E-3</c:v>
                </c:pt>
                <c:pt idx="1240">
                  <c:v>2.9181182441107012E-3</c:v>
                </c:pt>
                <c:pt idx="1241">
                  <c:v>2.9183221979200979E-3</c:v>
                </c:pt>
                <c:pt idx="1242">
                  <c:v>2.9185258235697731E-3</c:v>
                </c:pt>
                <c:pt idx="1243">
                  <c:v>2.9187291218368827E-3</c:v>
                </c:pt>
                <c:pt idx="1244">
                  <c:v>2.9189320935651963E-3</c:v>
                </c:pt>
                <c:pt idx="1245">
                  <c:v>2.9191347394652567E-3</c:v>
                </c:pt>
                <c:pt idx="1246">
                  <c:v>2.9193370603808333E-3</c:v>
                </c:pt>
                <c:pt idx="1247">
                  <c:v>2.9195390570890822E-3</c:v>
                </c:pt>
                <c:pt idx="1248">
                  <c:v>2.9197407303227507E-3</c:v>
                </c:pt>
                <c:pt idx="1249">
                  <c:v>2.9199420808811993E-3</c:v>
                </c:pt>
                <c:pt idx="1250">
                  <c:v>2.9201431095637886E-3</c:v>
                </c:pt>
                <c:pt idx="1251">
                  <c:v>2.9203438171032658E-3</c:v>
                </c:pt>
                <c:pt idx="1252">
                  <c:v>2.9205442042989915E-3</c:v>
                </c:pt>
                <c:pt idx="1253">
                  <c:v>2.9207442719059173E-3</c:v>
                </c:pt>
                <c:pt idx="1254">
                  <c:v>2.9209440206789949E-3</c:v>
                </c:pt>
                <c:pt idx="1255">
                  <c:v>2.921143451373176E-3</c:v>
                </c:pt>
                <c:pt idx="1256">
                  <c:v>2.9213425647878211E-3</c:v>
                </c:pt>
                <c:pt idx="1257">
                  <c:v>2.9215413616556773E-3</c:v>
                </c:pt>
                <c:pt idx="1258">
                  <c:v>2.9217398427316965E-3</c:v>
                </c:pt>
                <c:pt idx="1259">
                  <c:v>2.9219380087486257E-3</c:v>
                </c:pt>
                <c:pt idx="1260">
                  <c:v>2.9221358604836212E-3</c:v>
                </c:pt>
                <c:pt idx="1261">
                  <c:v>2.92233339866943E-3</c:v>
                </c:pt>
                <c:pt idx="1262">
                  <c:v>2.9225306240610038E-3</c:v>
                </c:pt>
                <c:pt idx="1263">
                  <c:v>2.9227275373688855E-3</c:v>
                </c:pt>
                <c:pt idx="1264">
                  <c:v>2.9229241393924354E-3</c:v>
                </c:pt>
                <c:pt idx="1265">
                  <c:v>2.9231204308199921E-3</c:v>
                </c:pt>
                <c:pt idx="1266">
                  <c:v>2.923316412406507E-3</c:v>
                </c:pt>
                <c:pt idx="1267">
                  <c:v>2.9235120848625229E-3</c:v>
                </c:pt>
                <c:pt idx="1268">
                  <c:v>2.9237074489429915E-3</c:v>
                </c:pt>
                <c:pt idx="1269">
                  <c:v>2.92390250538066E-3</c:v>
                </c:pt>
                <c:pt idx="1270">
                  <c:v>2.9240972549082755E-3</c:v>
                </c:pt>
                <c:pt idx="1271">
                  <c:v>2.9242916982141764E-3</c:v>
                </c:pt>
                <c:pt idx="1272">
                  <c:v>2.9244858360533144E-3</c:v>
                </c:pt>
                <c:pt idx="1273">
                  <c:v>2.9246796690918231E-3</c:v>
                </c:pt>
                <c:pt idx="1274">
                  <c:v>2.9248731981290632E-3</c:v>
                </c:pt>
                <c:pt idx="1275">
                  <c:v>2.9250664238089641E-3</c:v>
                </c:pt>
                <c:pt idx="1276">
                  <c:v>2.9252593468642729E-3</c:v>
                </c:pt>
                <c:pt idx="1277">
                  <c:v>2.9254519680499413E-3</c:v>
                </c:pt>
                <c:pt idx="1278">
                  <c:v>2.9256442880098987E-3</c:v>
                </c:pt>
                <c:pt idx="1279">
                  <c:v>2.9258363074768923E-3</c:v>
                </c:pt>
                <c:pt idx="1280">
                  <c:v>2.9260280271392602E-3</c:v>
                </c:pt>
                <c:pt idx="1281">
                  <c:v>2.9262194477519543E-3</c:v>
                </c:pt>
                <c:pt idx="1282">
                  <c:v>2.9264105699366993E-3</c:v>
                </c:pt>
                <c:pt idx="1283">
                  <c:v>2.9266013944706515E-3</c:v>
                </c:pt>
                <c:pt idx="1284">
                  <c:v>2.9267919219755356E-3</c:v>
                </c:pt>
                <c:pt idx="1285">
                  <c:v>2.9269821531840989E-3</c:v>
                </c:pt>
                <c:pt idx="1286">
                  <c:v>2.9271720888068842E-3</c:v>
                </c:pt>
                <c:pt idx="1287">
                  <c:v>2.9273617294656162E-3</c:v>
                </c:pt>
                <c:pt idx="1288">
                  <c:v>2.9275510758930423E-3</c:v>
                </c:pt>
                <c:pt idx="1289">
                  <c:v>2.9277401287997051E-3</c:v>
                </c:pt>
                <c:pt idx="1290">
                  <c:v>2.9279288887851251E-3</c:v>
                </c:pt>
                <c:pt idx="1291">
                  <c:v>2.928117356604254E-3</c:v>
                </c:pt>
                <c:pt idx="1292">
                  <c:v>2.9283055329232255E-3</c:v>
                </c:pt>
                <c:pt idx="1293">
                  <c:v>2.928493418385969E-3</c:v>
                </c:pt>
                <c:pt idx="1294">
                  <c:v>2.9286810136808228E-3</c:v>
                </c:pt>
                <c:pt idx="1295">
                  <c:v>2.9288683194961251E-3</c:v>
                </c:pt>
                <c:pt idx="1296">
                  <c:v>2.9290553364758054E-3</c:v>
                </c:pt>
                <c:pt idx="1297">
                  <c:v>2.9292420653304063E-3</c:v>
                </c:pt>
                <c:pt idx="1298">
                  <c:v>2.9294285066594483E-3</c:v>
                </c:pt>
                <c:pt idx="1299">
                  <c:v>2.9296146611956786E-3</c:v>
                </c:pt>
                <c:pt idx="1300">
                  <c:v>2.9298005295386176E-3</c:v>
                </c:pt>
                <c:pt idx="1301">
                  <c:v>2.9299861123766036E-3</c:v>
                </c:pt>
                <c:pt idx="1302">
                  <c:v>2.9301714103757703E-3</c:v>
                </c:pt>
                <c:pt idx="1303">
                  <c:v>2.9303564241800473E-3</c:v>
                </c:pt>
                <c:pt idx="1304">
                  <c:v>2.9305411544555682E-3</c:v>
                </c:pt>
                <c:pt idx="1305">
                  <c:v>2.9307256018240579E-3</c:v>
                </c:pt>
                <c:pt idx="1306">
                  <c:v>2.9309097669516504E-3</c:v>
                </c:pt>
                <c:pt idx="1307">
                  <c:v>2.9310936505044793E-3</c:v>
                </c:pt>
                <c:pt idx="1308">
                  <c:v>2.9312772530820652E-3</c:v>
                </c:pt>
                <c:pt idx="1309">
                  <c:v>2.9314605753949508E-3</c:v>
                </c:pt>
                <c:pt idx="1310">
                  <c:v>2.9316436180204519E-3</c:v>
                </c:pt>
                <c:pt idx="1311">
                  <c:v>2.931826381646907E-3</c:v>
                </c:pt>
                <c:pt idx="1312">
                  <c:v>2.932008866851632E-3</c:v>
                </c:pt>
                <c:pt idx="1313">
                  <c:v>2.9321910743451696E-3</c:v>
                </c:pt>
                <c:pt idx="1314">
                  <c:v>2.9323730047048358E-3</c:v>
                </c:pt>
                <c:pt idx="1315">
                  <c:v>2.9325546585745599E-3</c:v>
                </c:pt>
                <c:pt idx="1316">
                  <c:v>2.9327360365982713E-3</c:v>
                </c:pt>
                <c:pt idx="1317">
                  <c:v>2.9329171393976949E-3</c:v>
                </c:pt>
                <c:pt idx="1318">
                  <c:v>2.9330979675945557E-3</c:v>
                </c:pt>
                <c:pt idx="1319">
                  <c:v>2.9304554915787762E-3</c:v>
                </c:pt>
                <c:pt idx="1320">
                  <c:v>2.9278170162294614E-3</c:v>
                </c:pt>
                <c:pt idx="1321">
                  <c:v>2.925182532553805E-3</c:v>
                </c:pt>
                <c:pt idx="1322">
                  <c:v>2.9225520314257736E-3</c:v>
                </c:pt>
                <c:pt idx="1323">
                  <c:v>2.9199255038747651E-3</c:v>
                </c:pt>
                <c:pt idx="1324">
                  <c:v>2.9173029408857687E-3</c:v>
                </c:pt>
                <c:pt idx="1325">
                  <c:v>2.9146843334659778E-3</c:v>
                </c:pt>
                <c:pt idx="1326">
                  <c:v>2.9120696726669948E-3</c:v>
                </c:pt>
                <c:pt idx="1327">
                  <c:v>2.9094589496736489E-3</c:v>
                </c:pt>
                <c:pt idx="1328">
                  <c:v>2.9068521554487248E-3</c:v>
                </c:pt>
                <c:pt idx="1329">
                  <c:v>2.9042492812436649E-3</c:v>
                </c:pt>
                <c:pt idx="1330">
                  <c:v>2.9016503181766851E-3</c:v>
                </c:pt>
                <c:pt idx="1331">
                  <c:v>2.8990552574326145E-3</c:v>
                </c:pt>
                <c:pt idx="1332">
                  <c:v>2.8964640902406913E-3</c:v>
                </c:pt>
                <c:pt idx="1333">
                  <c:v>2.893876807852358E-3</c:v>
                </c:pt>
                <c:pt idx="1334">
                  <c:v>2.8936633764020669E-3</c:v>
                </c:pt>
                <c:pt idx="1335">
                  <c:v>2.8934502644517579E-3</c:v>
                </c:pt>
                <c:pt idx="1336">
                  <c:v>2.8932374713130926E-3</c:v>
                </c:pt>
                <c:pt idx="1337">
                  <c:v>2.8930249962311194E-3</c:v>
                </c:pt>
                <c:pt idx="1338">
                  <c:v>2.8928128385397045E-3</c:v>
                </c:pt>
                <c:pt idx="1339">
                  <c:v>2.8926009975283051E-3</c:v>
                </c:pt>
                <c:pt idx="1340">
                  <c:v>2.8923894724197652E-3</c:v>
                </c:pt>
                <c:pt idx="1341">
                  <c:v>2.8921782625701553E-3</c:v>
                </c:pt>
                <c:pt idx="1342">
                  <c:v>2.8919673672467283E-3</c:v>
                </c:pt>
                <c:pt idx="1343">
                  <c:v>2.8917567857833504E-3</c:v>
                </c:pt>
                <c:pt idx="1344">
                  <c:v>2.8915465174472743E-3</c:v>
                </c:pt>
                <c:pt idx="1345">
                  <c:v>2.8913365615501618E-3</c:v>
                </c:pt>
                <c:pt idx="1346">
                  <c:v>2.8911269173814702E-3</c:v>
                </c:pt>
                <c:pt idx="1347">
                  <c:v>2.8909175842750656E-3</c:v>
                </c:pt>
                <c:pt idx="1348">
                  <c:v>2.8907085615204053E-3</c:v>
                </c:pt>
                <c:pt idx="1349">
                  <c:v>2.8904998484513555E-3</c:v>
                </c:pt>
                <c:pt idx="1350">
                  <c:v>2.8902914443573735E-3</c:v>
                </c:pt>
                <c:pt idx="1351">
                  <c:v>2.8900833485501209E-3</c:v>
                </c:pt>
                <c:pt idx="1352">
                  <c:v>2.8898755603412596E-3</c:v>
                </c:pt>
                <c:pt idx="1353">
                  <c:v>2.8896680790646556E-3</c:v>
                </c:pt>
                <c:pt idx="1354">
                  <c:v>2.8894609040541752E-3</c:v>
                </c:pt>
                <c:pt idx="1355">
                  <c:v>2.8892540345992757E-3</c:v>
                </c:pt>
                <c:pt idx="1356">
                  <c:v>2.8890474700338231E-3</c:v>
                </c:pt>
                <c:pt idx="1357">
                  <c:v>2.8888412097138882E-3</c:v>
                </c:pt>
                <c:pt idx="1358">
                  <c:v>2.8886352529289283E-3</c:v>
                </c:pt>
                <c:pt idx="1359">
                  <c:v>2.888429599035014E-3</c:v>
                </c:pt>
                <c:pt idx="1360">
                  <c:v>2.8882242473438069E-3</c:v>
                </c:pt>
                <c:pt idx="1361">
                  <c:v>2.8880191972113778E-3</c:v>
                </c:pt>
                <c:pt idx="1362">
                  <c:v>2.8878144479715928E-3</c:v>
                </c:pt>
                <c:pt idx="1363">
                  <c:v>2.8876099989361137E-3</c:v>
                </c:pt>
                <c:pt idx="1364">
                  <c:v>2.8874058494610111E-3</c:v>
                </c:pt>
                <c:pt idx="1365">
                  <c:v>2.8872019989023556E-3</c:v>
                </c:pt>
                <c:pt idx="1366">
                  <c:v>2.886998446571809E-3</c:v>
                </c:pt>
                <c:pt idx="1367">
                  <c:v>2.8867951918698509E-3</c:v>
                </c:pt>
                <c:pt idx="1368">
                  <c:v>2.8865922340859385E-3</c:v>
                </c:pt>
                <c:pt idx="1369">
                  <c:v>2.8863895726205513E-3</c:v>
                </c:pt>
                <c:pt idx="1370">
                  <c:v>2.8861872067631467E-3</c:v>
                </c:pt>
                <c:pt idx="1371">
                  <c:v>2.8859851359364086E-3</c:v>
                </c:pt>
                <c:pt idx="1372">
                  <c:v>2.8857833594297944E-3</c:v>
                </c:pt>
                <c:pt idx="1373">
                  <c:v>2.885581876665988E-3</c:v>
                </c:pt>
                <c:pt idx="1374">
                  <c:v>2.8853806869566512E-3</c:v>
                </c:pt>
                <c:pt idx="1375">
                  <c:v>2.8851797896800591E-3</c:v>
                </c:pt>
                <c:pt idx="1376">
                  <c:v>2.8849791841700778E-3</c:v>
                </c:pt>
                <c:pt idx="1377">
                  <c:v>2.8847788698493915E-3</c:v>
                </c:pt>
                <c:pt idx="1378">
                  <c:v>2.8845788460518662E-3</c:v>
                </c:pt>
                <c:pt idx="1379">
                  <c:v>2.8843791121557771E-3</c:v>
                </c:pt>
                <c:pt idx="1380">
                  <c:v>2.8841796674949904E-3</c:v>
                </c:pt>
                <c:pt idx="1381">
                  <c:v>2.8839805114921901E-3</c:v>
                </c:pt>
                <c:pt idx="1382">
                  <c:v>2.8837816435034469E-3</c:v>
                </c:pt>
                <c:pt idx="1383">
                  <c:v>2.8835830628848313E-3</c:v>
                </c:pt>
                <c:pt idx="1384">
                  <c:v>2.8833847690368231E-3</c:v>
                </c:pt>
                <c:pt idx="1385">
                  <c:v>2.8831867613154927E-3</c:v>
                </c:pt>
                <c:pt idx="1386">
                  <c:v>2.8829890391213198E-3</c:v>
                </c:pt>
                <c:pt idx="1387">
                  <c:v>2.8827916018325794E-3</c:v>
                </c:pt>
                <c:pt idx="1388">
                  <c:v>2.8825944488497512E-3</c:v>
                </c:pt>
                <c:pt idx="1389">
                  <c:v>2.8823975795289059E-3</c:v>
                </c:pt>
                <c:pt idx="1390">
                  <c:v>2.8822009932705228E-3</c:v>
                </c:pt>
                <c:pt idx="1391">
                  <c:v>2.8820046894750817E-3</c:v>
                </c:pt>
                <c:pt idx="1392">
                  <c:v>2.8818086675430621E-3</c:v>
                </c:pt>
                <c:pt idx="1393">
                  <c:v>2.8816129268305346E-3</c:v>
                </c:pt>
                <c:pt idx="1394">
                  <c:v>2.8814174667601833E-3</c:v>
                </c:pt>
                <c:pt idx="1395">
                  <c:v>2.8812222867324877E-3</c:v>
                </c:pt>
                <c:pt idx="1396">
                  <c:v>2.881027386125723E-3</c:v>
                </c:pt>
                <c:pt idx="1397">
                  <c:v>2.8808327643403686E-3</c:v>
                </c:pt>
                <c:pt idx="1398">
                  <c:v>2.8806384207546998E-3</c:v>
                </c:pt>
                <c:pt idx="1399">
                  <c:v>2.8804443548802183E-3</c:v>
                </c:pt>
                <c:pt idx="1400">
                  <c:v>2.8802505660063815E-3</c:v>
                </c:pt>
                <c:pt idx="1401">
                  <c:v>2.8800570535780778E-3</c:v>
                </c:pt>
                <c:pt idx="1402">
                  <c:v>2.8798638170401958E-3</c:v>
                </c:pt>
                <c:pt idx="1403">
                  <c:v>2.8796708557266015E-3</c:v>
                </c:pt>
                <c:pt idx="1404">
                  <c:v>2.8794781691265925E-3</c:v>
                </c:pt>
                <c:pt idx="1405">
                  <c:v>2.8792857566184438E-3</c:v>
                </c:pt>
                <c:pt idx="1406">
                  <c:v>2.8790936176026349E-3</c:v>
                </c:pt>
                <c:pt idx="1407">
                  <c:v>2.8789017515462589E-3</c:v>
                </c:pt>
                <c:pt idx="1408">
                  <c:v>2.8787101578275909E-3</c:v>
                </c:pt>
                <c:pt idx="1409">
                  <c:v>2.8785188358471103E-3</c:v>
                </c:pt>
                <c:pt idx="1410">
                  <c:v>2.8783277850941147E-3</c:v>
                </c:pt>
                <c:pt idx="1411">
                  <c:v>2.8781370049246746E-3</c:v>
                </c:pt>
                <c:pt idx="1412">
                  <c:v>2.8779464947836786E-3</c:v>
                </c:pt>
                <c:pt idx="1413">
                  <c:v>2.8777562541382196E-3</c:v>
                </c:pt>
                <c:pt idx="1414">
                  <c:v>2.8775662823887771E-3</c:v>
                </c:pt>
                <c:pt idx="1415">
                  <c:v>2.8773765789580352E-3</c:v>
                </c:pt>
                <c:pt idx="1416">
                  <c:v>2.8771871432908824E-3</c:v>
                </c:pt>
                <c:pt idx="1417">
                  <c:v>2.8769979748100027E-3</c:v>
                </c:pt>
                <c:pt idx="1418">
                  <c:v>2.8768090729380802E-3</c:v>
                </c:pt>
                <c:pt idx="1419">
                  <c:v>2.8766204371644122E-3</c:v>
                </c:pt>
                <c:pt idx="1420">
                  <c:v>2.8764320668450694E-3</c:v>
                </c:pt>
                <c:pt idx="1421">
                  <c:v>2.8762439614915536E-3</c:v>
                </c:pt>
                <c:pt idx="1422">
                  <c:v>2.8760561205043444E-3</c:v>
                </c:pt>
                <c:pt idx="1423">
                  <c:v>2.8758685433505349E-3</c:v>
                </c:pt>
                <c:pt idx="1424">
                  <c:v>2.8756812294750134E-3</c:v>
                </c:pt>
                <c:pt idx="1425">
                  <c:v>2.8754941783226684E-3</c:v>
                </c:pt>
                <c:pt idx="1426">
                  <c:v>2.875307389316184E-3</c:v>
                </c:pt>
                <c:pt idx="1427">
                  <c:v>2.8751208619226531E-3</c:v>
                </c:pt>
                <c:pt idx="1428">
                  <c:v>2.8749345956091688E-3</c:v>
                </c:pt>
                <c:pt idx="1429">
                  <c:v>2.8747485897984149E-3</c:v>
                </c:pt>
                <c:pt idx="1430">
                  <c:v>2.8745628439352799E-3</c:v>
                </c:pt>
                <c:pt idx="1431">
                  <c:v>2.8743773575312659E-3</c:v>
                </c:pt>
                <c:pt idx="1432">
                  <c:v>2.8741921299868523E-3</c:v>
                </c:pt>
                <c:pt idx="1433">
                  <c:v>2.8740071608135409E-3</c:v>
                </c:pt>
                <c:pt idx="1434">
                  <c:v>2.873822449389607E-3</c:v>
                </c:pt>
                <c:pt idx="1435">
                  <c:v>2.8736379952487567E-3</c:v>
                </c:pt>
                <c:pt idx="1436">
                  <c:v>2.8734537978358787E-3</c:v>
                </c:pt>
                <c:pt idx="1437">
                  <c:v>2.8732698566402703E-3</c:v>
                </c:pt>
                <c:pt idx="1438">
                  <c:v>2.8730861710402067E-3</c:v>
                </c:pt>
                <c:pt idx="1439">
                  <c:v>2.872902740613803E-3</c:v>
                </c:pt>
                <c:pt idx="1440">
                  <c:v>2.8727195647615389E-3</c:v>
                </c:pt>
                <c:pt idx="1441">
                  <c:v>2.8725366429505073E-3</c:v>
                </c:pt>
                <c:pt idx="1442">
                  <c:v>2.87235397469221E-3</c:v>
                </c:pt>
                <c:pt idx="1443">
                  <c:v>2.8721715594315356E-3</c:v>
                </c:pt>
                <c:pt idx="1444">
                  <c:v>2.8719893966799859E-3</c:v>
                </c:pt>
                <c:pt idx="1445">
                  <c:v>2.8718074858602449E-3</c:v>
                </c:pt>
                <c:pt idx="1446">
                  <c:v>2.8716258264838146E-3</c:v>
                </c:pt>
                <c:pt idx="1447">
                  <c:v>2.8714444179955834E-3</c:v>
                </c:pt>
                <c:pt idx="1448">
                  <c:v>2.8712632599292576E-3</c:v>
                </c:pt>
                <c:pt idx="1449">
                  <c:v>2.8710823517297257E-3</c:v>
                </c:pt>
                <c:pt idx="1450">
                  <c:v>2.8709016928862852E-3</c:v>
                </c:pt>
                <c:pt idx="1451">
                  <c:v>2.8707212828882334E-3</c:v>
                </c:pt>
                <c:pt idx="1452">
                  <c:v>2.8705411212248677E-3</c:v>
                </c:pt>
                <c:pt idx="1453">
                  <c:v>2.8703612073854856E-3</c:v>
                </c:pt>
                <c:pt idx="1454">
                  <c:v>2.87018154083718E-3</c:v>
                </c:pt>
                <c:pt idx="1455">
                  <c:v>2.8700021210914528E-3</c:v>
                </c:pt>
                <c:pt idx="1456">
                  <c:v>2.8698229476598058E-3</c:v>
                </c:pt>
                <c:pt idx="1457">
                  <c:v>2.8696440199649231E-3</c:v>
                </c:pt>
                <c:pt idx="1458">
                  <c:v>2.86946533758492E-3</c:v>
                </c:pt>
                <c:pt idx="1459">
                  <c:v>2.8692868999646848E-3</c:v>
                </c:pt>
                <c:pt idx="1460">
                  <c:v>2.8691087066157195E-3</c:v>
                </c:pt>
                <c:pt idx="1461">
                  <c:v>2.8689307570273215E-3</c:v>
                </c:pt>
                <c:pt idx="1462">
                  <c:v>2.8687530507331971E-3</c:v>
                </c:pt>
                <c:pt idx="1463">
                  <c:v>2.8685755871782348E-3</c:v>
                </c:pt>
                <c:pt idx="1464">
                  <c:v>2.8683983659183454E-3</c:v>
                </c:pt>
                <c:pt idx="1465">
                  <c:v>2.8682213864206219E-3</c:v>
                </c:pt>
                <c:pt idx="1466">
                  <c:v>2.8680446482409749E-3</c:v>
                </c:pt>
                <c:pt idx="1467">
                  <c:v>2.8678681508242931E-3</c:v>
                </c:pt>
                <c:pt idx="1468">
                  <c:v>2.8676918937042828E-3</c:v>
                </c:pt>
                <c:pt idx="1469">
                  <c:v>2.8675158764146502E-3</c:v>
                </c:pt>
                <c:pt idx="1470">
                  <c:v>2.8673400984224884E-3</c:v>
                </c:pt>
                <c:pt idx="1471">
                  <c:v>2.8671645592392991E-3</c:v>
                </c:pt>
                <c:pt idx="1472">
                  <c:v>2.8669892584654022E-3</c:v>
                </c:pt>
                <c:pt idx="1473">
                  <c:v>2.8668141955012771E-3</c:v>
                </c:pt>
                <c:pt idx="1474">
                  <c:v>2.8666393699250392E-3</c:v>
                </c:pt>
                <c:pt idx="1475">
                  <c:v>2.8664647812481903E-3</c:v>
                </c:pt>
                <c:pt idx="1476">
                  <c:v>2.8662904289822322E-3</c:v>
                </c:pt>
                <c:pt idx="1477">
                  <c:v>2.8661163126386668E-3</c:v>
                </c:pt>
                <c:pt idx="1478">
                  <c:v>2.8659424317512006E-3</c:v>
                </c:pt>
                <c:pt idx="1479">
                  <c:v>2.8657687858757441E-3</c:v>
                </c:pt>
                <c:pt idx="1480">
                  <c:v>2.8655953744793905E-3</c:v>
                </c:pt>
                <c:pt idx="1481">
                  <c:v>2.8654221970736415E-3</c:v>
                </c:pt>
                <c:pt idx="1482">
                  <c:v>2.865249253258817E-3</c:v>
                </c:pt>
                <c:pt idx="1483">
                  <c:v>2.8650765425242142E-3</c:v>
                </c:pt>
                <c:pt idx="1484">
                  <c:v>2.864904064381335E-3</c:v>
                </c:pt>
                <c:pt idx="1485">
                  <c:v>2.8647318184082948E-3</c:v>
                </c:pt>
                <c:pt idx="1486">
                  <c:v>2.8645598040721865E-3</c:v>
                </c:pt>
                <c:pt idx="1487">
                  <c:v>2.8643880209511252E-3</c:v>
                </c:pt>
                <c:pt idx="1488">
                  <c:v>2.8642164685788174E-3</c:v>
                </c:pt>
                <c:pt idx="1489">
                  <c:v>2.8640451464667649E-3</c:v>
                </c:pt>
                <c:pt idx="1490">
                  <c:v>2.8638740541708785E-3</c:v>
                </c:pt>
                <c:pt idx="1491">
                  <c:v>2.863703191247069E-3</c:v>
                </c:pt>
                <c:pt idx="1492">
                  <c:v>2.8635325571846337E-3</c:v>
                </c:pt>
                <c:pt idx="1493">
                  <c:v>2.8633621515394836E-3</c:v>
                </c:pt>
                <c:pt idx="1494">
                  <c:v>2.8631919738897338E-3</c:v>
                </c:pt>
                <c:pt idx="1495">
                  <c:v>2.8630220237468862E-3</c:v>
                </c:pt>
                <c:pt idx="1496">
                  <c:v>2.8628523006446471E-3</c:v>
                </c:pt>
                <c:pt idx="1497">
                  <c:v>2.8626828041833363E-3</c:v>
                </c:pt>
                <c:pt idx="1498">
                  <c:v>2.8625135338522512E-3</c:v>
                </c:pt>
                <c:pt idx="1499">
                  <c:v>2.8623444892073024E-3</c:v>
                </c:pt>
                <c:pt idx="1500">
                  <c:v>2.862175669804401E-3</c:v>
                </c:pt>
                <c:pt idx="1501">
                  <c:v>2.8620070751994575E-3</c:v>
                </c:pt>
                <c:pt idx="1502">
                  <c:v>2.8618387049483829E-3</c:v>
                </c:pt>
                <c:pt idx="1503">
                  <c:v>2.8616705585848834E-3</c:v>
                </c:pt>
                <c:pt idx="1504">
                  <c:v>2.8615026356870743E-3</c:v>
                </c:pt>
                <c:pt idx="1505">
                  <c:v>2.8613349358108664E-3</c:v>
                </c:pt>
                <c:pt idx="1506">
                  <c:v>2.8611674584677615E-3</c:v>
                </c:pt>
                <c:pt idx="1507">
                  <c:v>2.8610002032580795E-3</c:v>
                </c:pt>
                <c:pt idx="1508">
                  <c:v>2.8608331697377309E-3</c:v>
                </c:pt>
                <c:pt idx="1509">
                  <c:v>2.8606663574404223E-3</c:v>
                </c:pt>
                <c:pt idx="1510">
                  <c:v>2.8604997659664733E-3</c:v>
                </c:pt>
                <c:pt idx="1511">
                  <c:v>2.8603333948051812E-3</c:v>
                </c:pt>
                <c:pt idx="1512">
                  <c:v>2.8601672436234793E-3</c:v>
                </c:pt>
                <c:pt idx="1513">
                  <c:v>2.8600013118884604E-3</c:v>
                </c:pt>
                <c:pt idx="1514">
                  <c:v>2.8598355992448532E-3</c:v>
                </c:pt>
                <c:pt idx="1515">
                  <c:v>2.8596701051819551E-3</c:v>
                </c:pt>
                <c:pt idx="1516">
                  <c:v>2.8595048293444947E-3</c:v>
                </c:pt>
                <c:pt idx="1517">
                  <c:v>2.8593397712439739E-3</c:v>
                </c:pt>
                <c:pt idx="1518">
                  <c:v>2.8591749304807124E-3</c:v>
                </c:pt>
                <c:pt idx="1519">
                  <c:v>2.8590103066106209E-3</c:v>
                </c:pt>
                <c:pt idx="1520">
                  <c:v>2.8588458992118149E-3</c:v>
                </c:pt>
                <c:pt idx="1521">
                  <c:v>2.8586817078624094E-3</c:v>
                </c:pt>
                <c:pt idx="1522">
                  <c:v>2.8585177321183153E-3</c:v>
                </c:pt>
                <c:pt idx="1523">
                  <c:v>2.8583539715798523E-3</c:v>
                </c:pt>
                <c:pt idx="1524">
                  <c:v>2.8581904258029311E-3</c:v>
                </c:pt>
                <c:pt idx="1525">
                  <c:v>2.8580270943878716E-3</c:v>
                </c:pt>
                <c:pt idx="1526">
                  <c:v>2.85786397686838E-3</c:v>
                </c:pt>
                <c:pt idx="1527">
                  <c:v>2.857701072889185E-3</c:v>
                </c:pt>
                <c:pt idx="1528">
                  <c:v>2.8575383819839928E-3</c:v>
                </c:pt>
                <c:pt idx="1529">
                  <c:v>2.8573759037309188E-3</c:v>
                </c:pt>
                <c:pt idx="1530">
                  <c:v>2.857213637752487E-3</c:v>
                </c:pt>
                <c:pt idx="1531">
                  <c:v>2.8570515836268129E-3</c:v>
                </c:pt>
                <c:pt idx="1532">
                  <c:v>2.8568897409098071E-3</c:v>
                </c:pt>
                <c:pt idx="1533">
                  <c:v>2.8567281092017893E-3</c:v>
                </c:pt>
                <c:pt idx="1534">
                  <c:v>2.8565666881030793E-3</c:v>
                </c:pt>
                <c:pt idx="1535">
                  <c:v>2.8564054771473835E-3</c:v>
                </c:pt>
                <c:pt idx="1536">
                  <c:v>2.8562444760016348E-3</c:v>
                </c:pt>
                <c:pt idx="1537">
                  <c:v>2.8560836842217441E-3</c:v>
                </c:pt>
                <c:pt idx="1538">
                  <c:v>2.8559231014080311E-3</c:v>
                </c:pt>
                <c:pt idx="1539">
                  <c:v>2.855762727138611E-3</c:v>
                </c:pt>
                <c:pt idx="1540">
                  <c:v>2.8556025610138036E-3</c:v>
                </c:pt>
                <c:pt idx="1541">
                  <c:v>2.8554426026117241E-3</c:v>
                </c:pt>
                <c:pt idx="1542">
                  <c:v>2.8552828515548967E-3</c:v>
                </c:pt>
                <c:pt idx="1543">
                  <c:v>2.8551233074436411E-3</c:v>
                </c:pt>
                <c:pt idx="1544">
                  <c:v>2.8549639698560725E-3</c:v>
                </c:pt>
                <c:pt idx="1545">
                  <c:v>2.8548048384147151E-3</c:v>
                </c:pt>
                <c:pt idx="1546">
                  <c:v>2.8546459126754797E-3</c:v>
                </c:pt>
                <c:pt idx="1547">
                  <c:v>2.854487192283095E-3</c:v>
                </c:pt>
                <c:pt idx="1548">
                  <c:v>2.8543286768378806E-3</c:v>
                </c:pt>
                <c:pt idx="1549">
                  <c:v>2.8541703659179518E-3</c:v>
                </c:pt>
                <c:pt idx="1550">
                  <c:v>2.8540122591458328E-3</c:v>
                </c:pt>
                <c:pt idx="1551">
                  <c:v>2.8538543561218432E-3</c:v>
                </c:pt>
                <c:pt idx="1552">
                  <c:v>2.8536966564463029E-3</c:v>
                </c:pt>
                <c:pt idx="1553">
                  <c:v>2.8535391597417359E-3</c:v>
                </c:pt>
                <c:pt idx="1554">
                  <c:v>2.8533818655862575E-3</c:v>
                </c:pt>
                <c:pt idx="1555">
                  <c:v>2.8532247736245964E-3</c:v>
                </c:pt>
                <c:pt idx="1556">
                  <c:v>2.8530678834792766E-3</c:v>
                </c:pt>
                <c:pt idx="1557">
                  <c:v>2.8529111947062091E-3</c:v>
                </c:pt>
                <c:pt idx="1558">
                  <c:v>2.852754706927918E-3</c:v>
                </c:pt>
                <c:pt idx="1559">
                  <c:v>2.8525984198113363E-3</c:v>
                </c:pt>
                <c:pt idx="1560">
                  <c:v>2.8524423329345794E-3</c:v>
                </c:pt>
                <c:pt idx="1561">
                  <c:v>2.8522864459201713E-3</c:v>
                </c:pt>
                <c:pt idx="1562">
                  <c:v>2.8521307583462274E-3</c:v>
                </c:pt>
                <c:pt idx="1563">
                  <c:v>2.8519752699018852E-3</c:v>
                </c:pt>
                <c:pt idx="1564">
                  <c:v>2.8518199801430555E-3</c:v>
                </c:pt>
                <c:pt idx="1565">
                  <c:v>2.8516648887144669E-3</c:v>
                </c:pt>
                <c:pt idx="1566">
                  <c:v>2.8515099952386436E-3</c:v>
                </c:pt>
                <c:pt idx="1567">
                  <c:v>2.8513552993159053E-3</c:v>
                </c:pt>
                <c:pt idx="1568">
                  <c:v>2.8512008006353895E-3</c:v>
                </c:pt>
                <c:pt idx="1569">
                  <c:v>2.8510464987085982E-3</c:v>
                </c:pt>
                <c:pt idx="1570">
                  <c:v>2.8508923932690777E-3</c:v>
                </c:pt>
                <c:pt idx="1571">
                  <c:v>2.8510441760110083E-3</c:v>
                </c:pt>
                <c:pt idx="1572">
                  <c:v>2.8511957657739728E-3</c:v>
                </c:pt>
                <c:pt idx="1573">
                  <c:v>2.851347162935447E-3</c:v>
                </c:pt>
                <c:pt idx="1574">
                  <c:v>2.8514983678284977E-3</c:v>
                </c:pt>
                <c:pt idx="1575">
                  <c:v>2.8516493808306009E-3</c:v>
                </c:pt>
                <c:pt idx="1576">
                  <c:v>2.8518002022970279E-3</c:v>
                </c:pt>
                <c:pt idx="1577">
                  <c:v>2.8519508326496634E-3</c:v>
                </c:pt>
                <c:pt idx="1578">
                  <c:v>2.852101272154961E-3</c:v>
                </c:pt>
                <c:pt idx="1579">
                  <c:v>2.8522515212792143E-3</c:v>
                </c:pt>
                <c:pt idx="1580">
                  <c:v>2.8524015803110814E-3</c:v>
                </c:pt>
                <c:pt idx="1581">
                  <c:v>2.852551449628038E-3</c:v>
                </c:pt>
                <c:pt idx="1582">
                  <c:v>2.8527011295853555E-3</c:v>
                </c:pt>
                <c:pt idx="1583">
                  <c:v>2.8528506205827142E-3</c:v>
                </c:pt>
                <c:pt idx="1584">
                  <c:v>2.8529999229309766E-3</c:v>
                </c:pt>
                <c:pt idx="1585">
                  <c:v>2.8531490370076185E-3</c:v>
                </c:pt>
                <c:pt idx="1586">
                  <c:v>2.8535708376686841E-3</c:v>
                </c:pt>
                <c:pt idx="1587">
                  <c:v>2.853992107110237E-3</c:v>
                </c:pt>
                <c:pt idx="1588">
                  <c:v>2.8544128463092733E-3</c:v>
                </c:pt>
                <c:pt idx="1589">
                  <c:v>2.8548330562649937E-3</c:v>
                </c:pt>
                <c:pt idx="1590">
                  <c:v>2.8552527379988035E-3</c:v>
                </c:pt>
                <c:pt idx="1591">
                  <c:v>2.8556718924654945E-3</c:v>
                </c:pt>
                <c:pt idx="1592">
                  <c:v>2.8560905206864717E-3</c:v>
                </c:pt>
                <c:pt idx="1593">
                  <c:v>2.8565086236609361E-3</c:v>
                </c:pt>
                <c:pt idx="1594">
                  <c:v>2.8569262023436792E-3</c:v>
                </c:pt>
                <c:pt idx="1595">
                  <c:v>2.8573432577561064E-3</c:v>
                </c:pt>
                <c:pt idx="1596">
                  <c:v>2.8577597908530095E-3</c:v>
                </c:pt>
                <c:pt idx="1597">
                  <c:v>2.8581758026335891E-3</c:v>
                </c:pt>
                <c:pt idx="1598">
                  <c:v>2.858591294052637E-3</c:v>
                </c:pt>
                <c:pt idx="1599">
                  <c:v>2.8590062661315585E-3</c:v>
                </c:pt>
                <c:pt idx="1600">
                  <c:v>2.8594207198029409E-3</c:v>
                </c:pt>
                <c:pt idx="1601">
                  <c:v>2.8598346560215759E-3</c:v>
                </c:pt>
                <c:pt idx="1602">
                  <c:v>2.8602480758088689E-3</c:v>
                </c:pt>
                <c:pt idx="1603">
                  <c:v>2.860660980097407E-3</c:v>
                </c:pt>
                <c:pt idx="1604">
                  <c:v>2.8610733698641866E-3</c:v>
                </c:pt>
                <c:pt idx="1605">
                  <c:v>2.8614852460639995E-3</c:v>
                </c:pt>
                <c:pt idx="1606">
                  <c:v>2.8618966096738419E-3</c:v>
                </c:pt>
                <c:pt idx="1607">
                  <c:v>2.8623074616040967E-3</c:v>
                </c:pt>
                <c:pt idx="1608">
                  <c:v>2.8627178028317601E-3</c:v>
                </c:pt>
                <c:pt idx="1609">
                  <c:v>2.8631276343338286E-3</c:v>
                </c:pt>
                <c:pt idx="1610">
                  <c:v>2.8635369570206848E-3</c:v>
                </c:pt>
                <c:pt idx="1611">
                  <c:v>2.8639457718915295E-3</c:v>
                </c:pt>
                <c:pt idx="1612">
                  <c:v>2.8643540798345413E-3</c:v>
                </c:pt>
                <c:pt idx="1613">
                  <c:v>2.8647618818045117E-3</c:v>
                </c:pt>
                <c:pt idx="1614">
                  <c:v>2.8651691787562328E-3</c:v>
                </c:pt>
                <c:pt idx="1615">
                  <c:v>2.8655759716222917E-3</c:v>
                </c:pt>
                <c:pt idx="1616">
                  <c:v>2.8659822613574804E-3</c:v>
                </c:pt>
                <c:pt idx="1617">
                  <c:v>2.8663880488721816E-3</c:v>
                </c:pt>
                <c:pt idx="1618">
                  <c:v>2.8667933350767782E-3</c:v>
                </c:pt>
                <c:pt idx="1619">
                  <c:v>2.8671981209260622E-3</c:v>
                </c:pt>
                <c:pt idx="1620">
                  <c:v>2.8676024073526207E-3</c:v>
                </c:pt>
                <c:pt idx="1621">
                  <c:v>2.8680061952668368E-3</c:v>
                </c:pt>
                <c:pt idx="1622">
                  <c:v>2.8684094856012976E-3</c:v>
                </c:pt>
                <c:pt idx="1623">
                  <c:v>2.8688122792663862E-3</c:v>
                </c:pt>
                <c:pt idx="1624">
                  <c:v>2.8692145771724853E-3</c:v>
                </c:pt>
                <c:pt idx="1625">
                  <c:v>2.8696163802521824E-3</c:v>
                </c:pt>
                <c:pt idx="1626">
                  <c:v>2.8700176893936558E-3</c:v>
                </c:pt>
                <c:pt idx="1627">
                  <c:v>2.8704185055072884E-3</c:v>
                </c:pt>
                <c:pt idx="1628">
                  <c:v>2.8708188295700765E-3</c:v>
                </c:pt>
                <c:pt idx="1629">
                  <c:v>2.8712186624035851E-3</c:v>
                </c:pt>
                <c:pt idx="1630">
                  <c:v>2.8716180049181972E-3</c:v>
                </c:pt>
                <c:pt idx="1631">
                  <c:v>2.8720168580687044E-3</c:v>
                </c:pt>
                <c:pt idx="1632">
                  <c:v>2.8724152226988764E-3</c:v>
                </c:pt>
                <c:pt idx="1633">
                  <c:v>2.8728130997635049E-3</c:v>
                </c:pt>
                <c:pt idx="1634">
                  <c:v>2.8732104900841549E-3</c:v>
                </c:pt>
                <c:pt idx="1635">
                  <c:v>2.8736073946156182E-3</c:v>
                </c:pt>
                <c:pt idx="1636">
                  <c:v>2.8740038142016644E-3</c:v>
                </c:pt>
                <c:pt idx="1637">
                  <c:v>2.8743997497748808E-3</c:v>
                </c:pt>
                <c:pt idx="1638">
                  <c:v>2.8747952022012413E-3</c:v>
                </c:pt>
                <c:pt idx="1639">
                  <c:v>2.8751901723689244E-3</c:v>
                </c:pt>
                <c:pt idx="1640">
                  <c:v>2.875584661143904E-3</c:v>
                </c:pt>
                <c:pt idx="1641">
                  <c:v>2.8759786694143585E-3</c:v>
                </c:pt>
                <c:pt idx="1642">
                  <c:v>2.876372198046262E-3</c:v>
                </c:pt>
                <c:pt idx="1643">
                  <c:v>2.8767652479499972E-3</c:v>
                </c:pt>
                <c:pt idx="1644">
                  <c:v>2.8771578199693337E-3</c:v>
                </c:pt>
                <c:pt idx="1645">
                  <c:v>2.8775499149924499E-3</c:v>
                </c:pt>
                <c:pt idx="1646">
                  <c:v>2.8779415338631154E-3</c:v>
                </c:pt>
                <c:pt idx="1647">
                  <c:v>2.8783326774695084E-3</c:v>
                </c:pt>
                <c:pt idx="1648">
                  <c:v>2.878723346677603E-3</c:v>
                </c:pt>
                <c:pt idx="1649">
                  <c:v>2.8791135423311687E-3</c:v>
                </c:pt>
                <c:pt idx="1650">
                  <c:v>2.8795032652961794E-3</c:v>
                </c:pt>
                <c:pt idx="1651">
                  <c:v>2.8798925164608136E-3</c:v>
                </c:pt>
                <c:pt idx="1652">
                  <c:v>2.8802812966466362E-3</c:v>
                </c:pt>
                <c:pt idx="1653">
                  <c:v>2.8806696066974169E-3</c:v>
                </c:pt>
                <c:pt idx="1654">
                  <c:v>2.8810574475235384E-3</c:v>
                </c:pt>
                <c:pt idx="1655">
                  <c:v>2.881444819902157E-3</c:v>
                </c:pt>
                <c:pt idx="1656">
                  <c:v>2.8818317247436553E-3</c:v>
                </c:pt>
                <c:pt idx="1657">
                  <c:v>2.8822181628695986E-3</c:v>
                </c:pt>
                <c:pt idx="1658">
                  <c:v>2.8826041351015519E-3</c:v>
                </c:pt>
                <c:pt idx="1659">
                  <c:v>2.8829896423276935E-3</c:v>
                </c:pt>
                <c:pt idx="1660">
                  <c:v>2.8833746853251796E-3</c:v>
                </c:pt>
                <c:pt idx="1661">
                  <c:v>2.8837592650043931E-3</c:v>
                </c:pt>
                <c:pt idx="1662">
                  <c:v>2.88414338214249E-3</c:v>
                </c:pt>
                <c:pt idx="1663">
                  <c:v>2.8845270376054444E-3</c:v>
                </c:pt>
                <c:pt idx="1664">
                  <c:v>2.8849102322148212E-3</c:v>
                </c:pt>
                <c:pt idx="1665">
                  <c:v>2.8852929668143901E-3</c:v>
                </c:pt>
                <c:pt idx="1666">
                  <c:v>2.8856752422035115E-3</c:v>
                </c:pt>
                <c:pt idx="1667">
                  <c:v>2.8860570592481594E-3</c:v>
                </c:pt>
                <c:pt idx="1668">
                  <c:v>2.8864384187032854E-3</c:v>
                </c:pt>
                <c:pt idx="1669">
                  <c:v>2.8868193214792726E-3</c:v>
                </c:pt>
                <c:pt idx="1670">
                  <c:v>2.8871997683310724E-3</c:v>
                </c:pt>
                <c:pt idx="1671">
                  <c:v>2.8875797601024544E-3</c:v>
                </c:pt>
                <c:pt idx="1672">
                  <c:v>2.8879592975927793E-3</c:v>
                </c:pt>
                <c:pt idx="1673">
                  <c:v>2.8883383816458164E-3</c:v>
                </c:pt>
                <c:pt idx="1674">
                  <c:v>2.8887170130609263E-3</c:v>
                </c:pt>
                <c:pt idx="1675">
                  <c:v>2.8890951926374697E-3</c:v>
                </c:pt>
                <c:pt idx="1676">
                  <c:v>2.8894729211970116E-3</c:v>
                </c:pt>
                <c:pt idx="1677">
                  <c:v>2.8898501995167081E-3</c:v>
                </c:pt>
                <c:pt idx="1678">
                  <c:v>2.8902270284403286E-3</c:v>
                </c:pt>
                <c:pt idx="1679">
                  <c:v>2.8906034087450294E-3</c:v>
                </c:pt>
                <c:pt idx="1680">
                  <c:v>2.8909793412523754E-3</c:v>
                </c:pt>
                <c:pt idx="1681">
                  <c:v>2.8913548267617273E-3</c:v>
                </c:pt>
                <c:pt idx="1682">
                  <c:v>2.8917298660280366E-3</c:v>
                </c:pt>
                <c:pt idx="1683">
                  <c:v>2.8921044598728685E-3</c:v>
                </c:pt>
                <c:pt idx="1684">
                  <c:v>2.8924786091177879E-3</c:v>
                </c:pt>
                <c:pt idx="1685">
                  <c:v>2.8928523145177465E-3</c:v>
                </c:pt>
                <c:pt idx="1686">
                  <c:v>2.8932255768499004E-3</c:v>
                </c:pt>
                <c:pt idx="1687">
                  <c:v>2.8935983969580192E-3</c:v>
                </c:pt>
                <c:pt idx="1688">
                  <c:v>2.8939707755748501E-3</c:v>
                </c:pt>
                <c:pt idx="1689">
                  <c:v>2.8943427134997535E-3</c:v>
                </c:pt>
                <c:pt idx="1690">
                  <c:v>2.8947142115320901E-3</c:v>
                </c:pt>
                <c:pt idx="1691">
                  <c:v>2.8950852704268115E-3</c:v>
                </c:pt>
                <c:pt idx="1692">
                  <c:v>2.8954558909610739E-3</c:v>
                </c:pt>
                <c:pt idx="1693">
                  <c:v>2.8958260739564423E-3</c:v>
                </c:pt>
                <c:pt idx="1694">
                  <c:v>2.8961958201234594E-3</c:v>
                </c:pt>
                <c:pt idx="1695">
                  <c:v>2.8965651302614859E-3</c:v>
                </c:pt>
                <c:pt idx="1696">
                  <c:v>2.8969340051698822E-3</c:v>
                </c:pt>
                <c:pt idx="1697">
                  <c:v>2.8973024455813956E-3</c:v>
                </c:pt>
                <c:pt idx="1698">
                  <c:v>2.8976704522509777E-3</c:v>
                </c:pt>
                <c:pt idx="1699">
                  <c:v>2.8980380260001937E-3</c:v>
                </c:pt>
                <c:pt idx="1700">
                  <c:v>2.8984051675395861E-3</c:v>
                </c:pt>
                <c:pt idx="1701">
                  <c:v>2.8987718776685156E-3</c:v>
                </c:pt>
                <c:pt idx="1702">
                  <c:v>2.8991381571197294E-3</c:v>
                </c:pt>
                <c:pt idx="1703">
                  <c:v>2.8995040066703837E-3</c:v>
                </c:pt>
                <c:pt idx="1704">
                  <c:v>2.8998694270532255E-3</c:v>
                </c:pt>
                <c:pt idx="1705">
                  <c:v>2.9002344190232066E-3</c:v>
                </c:pt>
                <c:pt idx="1706">
                  <c:v>2.9005989833796875E-3</c:v>
                </c:pt>
                <c:pt idx="1707">
                  <c:v>2.900963120833211E-3</c:v>
                </c:pt>
                <c:pt idx="1708">
                  <c:v>2.9013268321387287E-3</c:v>
                </c:pt>
                <c:pt idx="1709">
                  <c:v>2.9016901180511923E-3</c:v>
                </c:pt>
                <c:pt idx="1710">
                  <c:v>2.9020529793033489E-3</c:v>
                </c:pt>
                <c:pt idx="1711">
                  <c:v>2.9024154166501503E-3</c:v>
                </c:pt>
                <c:pt idx="1712">
                  <c:v>2.9027774308243437E-3</c:v>
                </c:pt>
                <c:pt idx="1713">
                  <c:v>2.9031390226030851E-3</c:v>
                </c:pt>
                <c:pt idx="1714">
                  <c:v>2.9035001926525084E-3</c:v>
                </c:pt>
                <c:pt idx="1715">
                  <c:v>2.9038609417941785E-3</c:v>
                </c:pt>
                <c:pt idx="1716">
                  <c:v>2.9042212706942294E-3</c:v>
                </c:pt>
                <c:pt idx="1717">
                  <c:v>2.9045811801298171E-3</c:v>
                </c:pt>
                <c:pt idx="1718">
                  <c:v>2.9049406708114844E-3</c:v>
                </c:pt>
                <c:pt idx="1719">
                  <c:v>2.905299743494183E-3</c:v>
                </c:pt>
                <c:pt idx="1720">
                  <c:v>2.905658398866251E-3</c:v>
                </c:pt>
                <c:pt idx="1721">
                  <c:v>2.9060166377048446E-3</c:v>
                </c:pt>
                <c:pt idx="1722">
                  <c:v>2.9063744606760977E-3</c:v>
                </c:pt>
                <c:pt idx="1723">
                  <c:v>2.9067318685571664E-3</c:v>
                </c:pt>
                <c:pt idx="1724">
                  <c:v>2.9070888620585933E-3</c:v>
                </c:pt>
                <c:pt idx="1725">
                  <c:v>2.9074454418687168E-3</c:v>
                </c:pt>
                <c:pt idx="1726">
                  <c:v>2.907801608720284E-3</c:v>
                </c:pt>
                <c:pt idx="1727">
                  <c:v>2.9081573633460422E-3</c:v>
                </c:pt>
                <c:pt idx="1728">
                  <c:v>2.9085127064565341E-3</c:v>
                </c:pt>
                <c:pt idx="1729">
                  <c:v>2.9088676387623025E-3</c:v>
                </c:pt>
                <c:pt idx="1730">
                  <c:v>2.9092221609960944E-3</c:v>
                </c:pt>
                <c:pt idx="1731">
                  <c:v>2.9095762738018394E-3</c:v>
                </c:pt>
                <c:pt idx="1732">
                  <c:v>2.9099299779788979E-3</c:v>
                </c:pt>
                <c:pt idx="1733">
                  <c:v>2.9102832741489948E-3</c:v>
                </c:pt>
                <c:pt idx="1734">
                  <c:v>2.9106361630892863E-3</c:v>
                </c:pt>
                <c:pt idx="1735">
                  <c:v>2.9109886454437017E-3</c:v>
                </c:pt>
                <c:pt idx="1736">
                  <c:v>2.9113407219449883E-3</c:v>
                </c:pt>
                <c:pt idx="1737">
                  <c:v>2.9116923933036887E-3</c:v>
                </c:pt>
                <c:pt idx="1738">
                  <c:v>2.9120436602081412E-3</c:v>
                </c:pt>
                <c:pt idx="1739">
                  <c:v>2.9123945233688886E-3</c:v>
                </c:pt>
                <c:pt idx="1740">
                  <c:v>2.9127449834298602E-3</c:v>
                </c:pt>
                <c:pt idx="1741">
                  <c:v>2.9130950411460077E-3</c:v>
                </c:pt>
                <c:pt idx="1742">
                  <c:v>2.9134446971612604E-3</c:v>
                </c:pt>
                <c:pt idx="1743">
                  <c:v>2.91379395223057E-3</c:v>
                </c:pt>
                <c:pt idx="1744">
                  <c:v>2.9141428069756614E-3</c:v>
                </c:pt>
                <c:pt idx="1745">
                  <c:v>2.9144912621292818E-3</c:v>
                </c:pt>
                <c:pt idx="1746">
                  <c:v>2.9148393183353605E-3</c:v>
                </c:pt>
                <c:pt idx="1747">
                  <c:v>2.9151869763266447E-3</c:v>
                </c:pt>
                <c:pt idx="1748">
                  <c:v>2.9155342367692683E-3</c:v>
                </c:pt>
                <c:pt idx="1749">
                  <c:v>2.9158811003071605E-3</c:v>
                </c:pt>
                <c:pt idx="1750">
                  <c:v>2.9162275676730687E-3</c:v>
                </c:pt>
                <c:pt idx="1751">
                  <c:v>2.9165736395331265E-3</c:v>
                </c:pt>
                <c:pt idx="1752">
                  <c:v>2.9169193165312635E-3</c:v>
                </c:pt>
                <c:pt idx="1753">
                  <c:v>2.9172645993780222E-3</c:v>
                </c:pt>
                <c:pt idx="1754">
                  <c:v>2.9176094887395365E-3</c:v>
                </c:pt>
                <c:pt idx="1755">
                  <c:v>2.9179539852819403E-3</c:v>
                </c:pt>
                <c:pt idx="1756">
                  <c:v>2.9182980896935717E-3</c:v>
                </c:pt>
                <c:pt idx="1757">
                  <c:v>2.9186418026183603E-3</c:v>
                </c:pt>
                <c:pt idx="1758">
                  <c:v>2.9189851247224397E-3</c:v>
                </c:pt>
                <c:pt idx="1759">
                  <c:v>2.9193280566941482E-3</c:v>
                </c:pt>
                <c:pt idx="1760">
                  <c:v>2.9196705991774152E-3</c:v>
                </c:pt>
                <c:pt idx="1761">
                  <c:v>2.9200127528827835E-3</c:v>
                </c:pt>
                <c:pt idx="1762">
                  <c:v>2.920354518387569E-3</c:v>
                </c:pt>
                <c:pt idx="1763">
                  <c:v>2.9206958964467233E-3</c:v>
                </c:pt>
                <c:pt idx="1764">
                  <c:v>2.9210368876153581E-3</c:v>
                </c:pt>
                <c:pt idx="1765">
                  <c:v>2.9213774926484248E-3</c:v>
                </c:pt>
                <c:pt idx="1766">
                  <c:v>2.9217177121454441E-3</c:v>
                </c:pt>
                <c:pt idx="1767">
                  <c:v>2.9220575467725496E-3</c:v>
                </c:pt>
                <c:pt idx="1768">
                  <c:v>2.9223969971958752E-3</c:v>
                </c:pt>
                <c:pt idx="1769">
                  <c:v>2.9227360640593503E-3</c:v>
                </c:pt>
                <c:pt idx="1770">
                  <c:v>2.9230747479846997E-3</c:v>
                </c:pt>
                <c:pt idx="1771">
                  <c:v>2.9234130496824662E-3</c:v>
                </c:pt>
                <c:pt idx="1772">
                  <c:v>2.9237509697299657E-3</c:v>
                </c:pt>
                <c:pt idx="1773">
                  <c:v>2.9240885088155366E-3</c:v>
                </c:pt>
                <c:pt idx="1774">
                  <c:v>2.9244256675609037E-3</c:v>
                </c:pt>
                <c:pt idx="1775">
                  <c:v>2.9247624466322009E-3</c:v>
                </c:pt>
                <c:pt idx="1776">
                  <c:v>2.9250988466511529E-3</c:v>
                </c:pt>
                <c:pt idx="1777">
                  <c:v>2.9254348682838938E-3</c:v>
                </c:pt>
                <c:pt idx="1778">
                  <c:v>2.9257705121077393E-3</c:v>
                </c:pt>
                <c:pt idx="1779">
                  <c:v>2.9261057788332323E-3</c:v>
                </c:pt>
                <c:pt idx="1780">
                  <c:v>2.9264406690598932E-3</c:v>
                </c:pt>
                <c:pt idx="1781">
                  <c:v>2.9267751834094469E-3</c:v>
                </c:pt>
                <c:pt idx="1782">
                  <c:v>2.9271093225480271E-3</c:v>
                </c:pt>
                <c:pt idx="1783">
                  <c:v>2.9274430870751544E-3</c:v>
                </c:pt>
                <c:pt idx="1784">
                  <c:v>2.9277764776347581E-3</c:v>
                </c:pt>
                <c:pt idx="1785">
                  <c:v>2.9281094948485631E-3</c:v>
                </c:pt>
                <c:pt idx="1786">
                  <c:v>2.9284421393604987E-3</c:v>
                </c:pt>
                <c:pt idx="1787">
                  <c:v>2.9287744117700854E-3</c:v>
                </c:pt>
                <c:pt idx="1788">
                  <c:v>2.9291063127212524E-3</c:v>
                </c:pt>
                <c:pt idx="1789">
                  <c:v>2.9294378428357248E-3</c:v>
                </c:pt>
                <c:pt idx="1790">
                  <c:v>2.9297690027352274E-3</c:v>
                </c:pt>
                <c:pt idx="1791">
                  <c:v>2.9300997929970762E-3</c:v>
                </c:pt>
                <c:pt idx="1792">
                  <c:v>2.930430214287405E-3</c:v>
                </c:pt>
                <c:pt idx="1793">
                  <c:v>2.9307602672279387E-3</c:v>
                </c:pt>
                <c:pt idx="1794">
                  <c:v>2.9310899523959932E-3</c:v>
                </c:pt>
                <c:pt idx="1795">
                  <c:v>2.9314192704799069E-3</c:v>
                </c:pt>
                <c:pt idx="1796">
                  <c:v>2.9317482220125868E-3</c:v>
                </c:pt>
                <c:pt idx="1797">
                  <c:v>2.9320768076157577E-3</c:v>
                </c:pt>
                <c:pt idx="1798">
                  <c:v>2.9324050279333491E-3</c:v>
                </c:pt>
                <c:pt idx="1799">
                  <c:v>2.9327328835426769E-3</c:v>
                </c:pt>
                <c:pt idx="1800">
                  <c:v>2.9330603750876705E-3</c:v>
                </c:pt>
                <c:pt idx="1801">
                  <c:v>2.9333875031456458E-3</c:v>
                </c:pt>
                <c:pt idx="1802">
                  <c:v>2.9337142683161233E-3</c:v>
                </c:pt>
                <c:pt idx="1803">
                  <c:v>2.9340406712208278E-3</c:v>
                </c:pt>
                <c:pt idx="1804">
                  <c:v>2.9343667124592798E-3</c:v>
                </c:pt>
                <c:pt idx="1805">
                  <c:v>2.9346923926532043E-3</c:v>
                </c:pt>
                <c:pt idx="1806">
                  <c:v>2.9350177123355081E-3</c:v>
                </c:pt>
                <c:pt idx="1807">
                  <c:v>2.9353426721945297E-3</c:v>
                </c:pt>
                <c:pt idx="1808">
                  <c:v>2.9356672727409716E-3</c:v>
                </c:pt>
                <c:pt idx="1809">
                  <c:v>2.9359915146409676E-3</c:v>
                </c:pt>
                <c:pt idx="1810">
                  <c:v>2.9363153984274248E-3</c:v>
                </c:pt>
                <c:pt idx="1811">
                  <c:v>2.9366389247442726E-3</c:v>
                </c:pt>
                <c:pt idx="1812">
                  <c:v>2.9369620941466223E-3</c:v>
                </c:pt>
                <c:pt idx="1813">
                  <c:v>2.9372849072561991E-3</c:v>
                </c:pt>
                <c:pt idx="1814">
                  <c:v>2.9376073646281142E-3</c:v>
                </c:pt>
                <c:pt idx="1815">
                  <c:v>2.9379294668618883E-3</c:v>
                </c:pt>
                <c:pt idx="1816">
                  <c:v>2.9382512145792461E-3</c:v>
                </c:pt>
                <c:pt idx="1817">
                  <c:v>2.9385726083130947E-3</c:v>
                </c:pt>
                <c:pt idx="1818">
                  <c:v>2.9388936486851591E-3</c:v>
                </c:pt>
                <c:pt idx="1819">
                  <c:v>2.9392143362727552E-3</c:v>
                </c:pt>
                <c:pt idx="1820">
                  <c:v>2.93953467160879E-3</c:v>
                </c:pt>
                <c:pt idx="1821">
                  <c:v>2.9398546553371929E-3</c:v>
                </c:pt>
                <c:pt idx="1822">
                  <c:v>2.9401742879839876E-3</c:v>
                </c:pt>
                <c:pt idx="1823">
                  <c:v>2.939797035539371E-3</c:v>
                </c:pt>
                <c:pt idx="1824">
                  <c:v>2.9394201965127209E-3</c:v>
                </c:pt>
                <c:pt idx="1825">
                  <c:v>2.939043770200378E-3</c:v>
                </c:pt>
                <c:pt idx="1826">
                  <c:v>2.9386677560028218E-3</c:v>
                </c:pt>
                <c:pt idx="1827">
                  <c:v>2.9382921532095096E-3</c:v>
                </c:pt>
                <c:pt idx="1828">
                  <c:v>2.9379169611321032E-3</c:v>
                </c:pt>
                <c:pt idx="1829">
                  <c:v>2.9375421791044687E-3</c:v>
                </c:pt>
                <c:pt idx="1830">
                  <c:v>2.9371678064604723E-3</c:v>
                </c:pt>
                <c:pt idx="1831">
                  <c:v>2.9367938425339801E-3</c:v>
                </c:pt>
                <c:pt idx="1832">
                  <c:v>2.936420286636654E-3</c:v>
                </c:pt>
                <c:pt idx="1833">
                  <c:v>2.9360471381245645E-3</c:v>
                </c:pt>
                <c:pt idx="1834">
                  <c:v>2.9356743963093734E-3</c:v>
                </c:pt>
                <c:pt idx="1835">
                  <c:v>2.9353020605471514E-3</c:v>
                </c:pt>
                <c:pt idx="1836">
                  <c:v>2.9349301301495601E-3</c:v>
                </c:pt>
                <c:pt idx="1837">
                  <c:v>2.9345586044644545E-3</c:v>
                </c:pt>
                <c:pt idx="1838">
                  <c:v>2.9335821683407204E-3</c:v>
                </c:pt>
                <c:pt idx="1839">
                  <c:v>2.9326067935597777E-3</c:v>
                </c:pt>
                <c:pt idx="1840">
                  <c:v>2.9316324783978942E-3</c:v>
                </c:pt>
                <c:pt idx="1841">
                  <c:v>2.9306592211453264E-3</c:v>
                </c:pt>
                <c:pt idx="1842">
                  <c:v>2.9296870200257175E-3</c:v>
                </c:pt>
                <c:pt idx="1843">
                  <c:v>2.9287158734181418E-3</c:v>
                </c:pt>
                <c:pt idx="1844">
                  <c:v>2.927745779524038E-3</c:v>
                </c:pt>
                <c:pt idx="1845">
                  <c:v>2.9267767366780717E-3</c:v>
                </c:pt>
                <c:pt idx="1846">
                  <c:v>2.9258087431704993E-3</c:v>
                </c:pt>
                <c:pt idx="1847">
                  <c:v>2.9248417972471685E-3</c:v>
                </c:pt>
                <c:pt idx="1848">
                  <c:v>2.9238758972649492E-3</c:v>
                </c:pt>
                <c:pt idx="1849">
                  <c:v>2.922911041514098E-3</c:v>
                </c:pt>
                <c:pt idx="1850">
                  <c:v>2.9219472282848713E-3</c:v>
                </c:pt>
                <c:pt idx="1851">
                  <c:v>2.9209844559119347E-3</c:v>
                </c:pt>
                <c:pt idx="1852">
                  <c:v>2.9200227227077491E-3</c:v>
                </c:pt>
                <c:pt idx="1853">
                  <c:v>2.9190620269625711E-3</c:v>
                </c:pt>
                <c:pt idx="1854">
                  <c:v>2.9181023670110662E-3</c:v>
                </c:pt>
                <c:pt idx="1855">
                  <c:v>2.9171437412323087E-3</c:v>
                </c:pt>
                <c:pt idx="1856">
                  <c:v>2.9161861478721463E-3</c:v>
                </c:pt>
                <c:pt idx="1857">
                  <c:v>2.9152295852874488E-3</c:v>
                </c:pt>
                <c:pt idx="1858">
                  <c:v>2.9142740518572907E-3</c:v>
                </c:pt>
                <c:pt idx="1859">
                  <c:v>2.9133195458719285E-3</c:v>
                </c:pt>
                <c:pt idx="1860">
                  <c:v>2.9123660657104367E-3</c:v>
                </c:pt>
                <c:pt idx="1861">
                  <c:v>2.9114136097074805E-3</c:v>
                </c:pt>
                <c:pt idx="1862">
                  <c:v>2.9104621761977256E-3</c:v>
                </c:pt>
                <c:pt idx="1863">
                  <c:v>2.9095117635602463E-3</c:v>
                </c:pt>
                <c:pt idx="1864">
                  <c:v>2.9085623701297081E-3</c:v>
                </c:pt>
                <c:pt idx="1865">
                  <c:v>2.9076139942851853E-3</c:v>
                </c:pt>
                <c:pt idx="1866">
                  <c:v>2.9066666344057523E-3</c:v>
                </c:pt>
                <c:pt idx="1867">
                  <c:v>2.9057202888038702E-3</c:v>
                </c:pt>
                <c:pt idx="1868">
                  <c:v>2.9047749559030223E-3</c:v>
                </c:pt>
                <c:pt idx="1869">
                  <c:v>2.9038306340600784E-3</c:v>
                </c:pt>
                <c:pt idx="1870">
                  <c:v>2.9028873216763174E-3</c:v>
                </c:pt>
                <c:pt idx="1871">
                  <c:v>2.9019450170864047E-3</c:v>
                </c:pt>
                <c:pt idx="1872">
                  <c:v>2.9010037187360282E-3</c:v>
                </c:pt>
                <c:pt idx="1873">
                  <c:v>2.9000634249598534E-3</c:v>
                </c:pt>
                <c:pt idx="1874">
                  <c:v>2.8991241341813634E-3</c:v>
                </c:pt>
                <c:pt idx="1875">
                  <c:v>2.8981858447796327E-3</c:v>
                </c:pt>
                <c:pt idx="1876">
                  <c:v>2.8972485551781446E-3</c:v>
                </c:pt>
                <c:pt idx="1877">
                  <c:v>2.8963122637559735E-3</c:v>
                </c:pt>
                <c:pt idx="1878">
                  <c:v>2.8953769689366027E-3</c:v>
                </c:pt>
                <c:pt idx="1879">
                  <c:v>2.8944426690991065E-3</c:v>
                </c:pt>
                <c:pt idx="1880">
                  <c:v>2.8935093626891728E-3</c:v>
                </c:pt>
                <c:pt idx="1881">
                  <c:v>2.8925770481302848E-3</c:v>
                </c:pt>
                <c:pt idx="1882">
                  <c:v>2.891645723801517E-3</c:v>
                </c:pt>
                <c:pt idx="1883">
                  <c:v>2.8907153881707615E-3</c:v>
                </c:pt>
                <c:pt idx="1884">
                  <c:v>2.8897860396170927E-3</c:v>
                </c:pt>
                <c:pt idx="1885">
                  <c:v>2.8888576766084029E-3</c:v>
                </c:pt>
                <c:pt idx="1886">
                  <c:v>2.8879302975903798E-3</c:v>
                </c:pt>
                <c:pt idx="1887">
                  <c:v>2.8870039009420978E-3</c:v>
                </c:pt>
                <c:pt idx="1888">
                  <c:v>2.8860784851536536E-3</c:v>
                </c:pt>
                <c:pt idx="1889">
                  <c:v>2.8851540486263261E-3</c:v>
                </c:pt>
                <c:pt idx="1890">
                  <c:v>2.8842305898502119E-3</c:v>
                </c:pt>
                <c:pt idx="1891">
                  <c:v>2.8833081072487943E-3</c:v>
                </c:pt>
                <c:pt idx="1892">
                  <c:v>2.8823865992899655E-3</c:v>
                </c:pt>
                <c:pt idx="1893">
                  <c:v>2.8814660644194134E-3</c:v>
                </c:pt>
                <c:pt idx="1894">
                  <c:v>2.8805465011050302E-3</c:v>
                </c:pt>
                <c:pt idx="1895">
                  <c:v>2.8796279077925035E-3</c:v>
                </c:pt>
                <c:pt idx="1896">
                  <c:v>2.8787102829497258E-3</c:v>
                </c:pt>
                <c:pt idx="1897">
                  <c:v>2.8777936250667935E-3</c:v>
                </c:pt>
                <c:pt idx="1898">
                  <c:v>2.8768779325893945E-3</c:v>
                </c:pt>
                <c:pt idx="1899">
                  <c:v>2.8759632040520344E-3</c:v>
                </c:pt>
                <c:pt idx="1900">
                  <c:v>2.8750494378337876E-3</c:v>
                </c:pt>
                <c:pt idx="1901">
                  <c:v>2.8741366324913642E-3</c:v>
                </c:pt>
                <c:pt idx="1902">
                  <c:v>2.8732247865148608E-3</c:v>
                </c:pt>
                <c:pt idx="1903">
                  <c:v>2.8723138983277607E-3</c:v>
                </c:pt>
                <c:pt idx="1904">
                  <c:v>2.8714039664867741E-3</c:v>
                </c:pt>
                <c:pt idx="1905">
                  <c:v>2.8704949894819975E-3</c:v>
                </c:pt>
                <c:pt idx="1906">
                  <c:v>2.8695869657591189E-3</c:v>
                </c:pt>
                <c:pt idx="1907">
                  <c:v>2.8686798938748481E-3</c:v>
                </c:pt>
                <c:pt idx="1908">
                  <c:v>2.8677737722970775E-3</c:v>
                </c:pt>
                <c:pt idx="1909">
                  <c:v>2.8668685995603127E-3</c:v>
                </c:pt>
                <c:pt idx="1910">
                  <c:v>2.8659643741324459E-3</c:v>
                </c:pt>
                <c:pt idx="1911">
                  <c:v>2.8650610945923916E-3</c:v>
                </c:pt>
                <c:pt idx="1912">
                  <c:v>2.8641587593858375E-3</c:v>
                </c:pt>
                <c:pt idx="1913">
                  <c:v>2.8632573670694939E-3</c:v>
                </c:pt>
                <c:pt idx="1914">
                  <c:v>2.8623569162000706E-3</c:v>
                </c:pt>
                <c:pt idx="1915">
                  <c:v>2.86145740524546E-3</c:v>
                </c:pt>
                <c:pt idx="1916">
                  <c:v>2.8605588327401676E-3</c:v>
                </c:pt>
                <c:pt idx="1917">
                  <c:v>2.8596611972631081E-3</c:v>
                </c:pt>
                <c:pt idx="1918">
                  <c:v>2.858764497304378E-3</c:v>
                </c:pt>
                <c:pt idx="1919">
                  <c:v>2.8578687314206874E-3</c:v>
                </c:pt>
                <c:pt idx="1920">
                  <c:v>2.856973898146542E-3</c:v>
                </c:pt>
                <c:pt idx="1921">
                  <c:v>2.8560799960164474E-3</c:v>
                </c:pt>
                <c:pt idx="1922">
                  <c:v>2.855187023609318E-3</c:v>
                </c:pt>
                <c:pt idx="1923">
                  <c:v>2.8542949794596595E-3</c:v>
                </c:pt>
                <c:pt idx="1924">
                  <c:v>2.8534038621019775E-3</c:v>
                </c:pt>
                <c:pt idx="1925">
                  <c:v>2.8525136701151865E-3</c:v>
                </c:pt>
                <c:pt idx="1926">
                  <c:v>2.8516244020337922E-3</c:v>
                </c:pt>
                <c:pt idx="1927">
                  <c:v>2.8507360564811179E-3</c:v>
                </c:pt>
                <c:pt idx="1928">
                  <c:v>2.8498486319472605E-3</c:v>
                </c:pt>
                <c:pt idx="1929">
                  <c:v>2.8489621270333387E-3</c:v>
                </c:pt>
                <c:pt idx="1930">
                  <c:v>2.8480765403404718E-3</c:v>
                </c:pt>
                <c:pt idx="1931">
                  <c:v>2.8471918703809607E-3</c:v>
                </c:pt>
                <c:pt idx="1932">
                  <c:v>2.8463081157559245E-3</c:v>
                </c:pt>
                <c:pt idx="1933">
                  <c:v>2.8454252750664821E-3</c:v>
                </c:pt>
                <c:pt idx="1934">
                  <c:v>2.8445433468915482E-3</c:v>
                </c:pt>
                <c:pt idx="1935">
                  <c:v>2.8436623298100372E-3</c:v>
                </c:pt>
                <c:pt idx="1936">
                  <c:v>2.8427822223786592E-3</c:v>
                </c:pt>
                <c:pt idx="1937">
                  <c:v>2.8419030232651465E-3</c:v>
                </c:pt>
                <c:pt idx="1938">
                  <c:v>2.8410247309818004E-3</c:v>
                </c:pt>
                <c:pt idx="1939">
                  <c:v>2.8401473441741487E-3</c:v>
                </c:pt>
                <c:pt idx="1940">
                  <c:v>2.8392708614433104E-3</c:v>
                </c:pt>
                <c:pt idx="1941">
                  <c:v>2.8383952813459956E-3</c:v>
                </c:pt>
                <c:pt idx="1942">
                  <c:v>2.8375206025499367E-3</c:v>
                </c:pt>
                <c:pt idx="1943">
                  <c:v>2.8366468236562525E-3</c:v>
                </c:pt>
                <c:pt idx="1944">
                  <c:v>2.8357739432216533E-3</c:v>
                </c:pt>
                <c:pt idx="1945">
                  <c:v>2.8349019599138714E-3</c:v>
                </c:pt>
                <c:pt idx="1946">
                  <c:v>2.8340308723340257E-3</c:v>
                </c:pt>
                <c:pt idx="1947">
                  <c:v>2.8331606791054398E-3</c:v>
                </c:pt>
                <c:pt idx="1948">
                  <c:v>2.832291378851437E-3</c:v>
                </c:pt>
                <c:pt idx="1949">
                  <c:v>2.8314229701731364E-3</c:v>
                </c:pt>
                <c:pt idx="1950">
                  <c:v>2.8305554517382703E-3</c:v>
                </c:pt>
                <c:pt idx="1951">
                  <c:v>2.8296888221701622E-3</c:v>
                </c:pt>
                <c:pt idx="1952">
                  <c:v>2.8288230800921355E-3</c:v>
                </c:pt>
                <c:pt idx="1953">
                  <c:v>2.8279582241275136E-3</c:v>
                </c:pt>
                <c:pt idx="1954">
                  <c:v>2.8270942529440291E-3</c:v>
                </c:pt>
                <c:pt idx="1955">
                  <c:v>2.8262311651872096E-3</c:v>
                </c:pt>
                <c:pt idx="1956">
                  <c:v>2.8253689594803788E-3</c:v>
                </c:pt>
                <c:pt idx="1957">
                  <c:v>2.8245076344690645E-3</c:v>
                </c:pt>
                <c:pt idx="1958">
                  <c:v>2.8236471888432035E-3</c:v>
                </c:pt>
                <c:pt idx="1959">
                  <c:v>2.8227876212039149E-3</c:v>
                </c:pt>
                <c:pt idx="1960">
                  <c:v>2.8219289302633399E-3</c:v>
                </c:pt>
                <c:pt idx="1961">
                  <c:v>2.821071114644802E-3</c:v>
                </c:pt>
                <c:pt idx="1962">
                  <c:v>2.8202141730160335E-3</c:v>
                </c:pt>
                <c:pt idx="1963">
                  <c:v>2.8193581040447668E-3</c:v>
                </c:pt>
                <c:pt idx="1964">
                  <c:v>2.8185029063987344E-3</c:v>
                </c:pt>
                <c:pt idx="1965">
                  <c:v>2.817648578723464E-3</c:v>
                </c:pt>
                <c:pt idx="1966">
                  <c:v>2.8167951197533014E-3</c:v>
                </c:pt>
                <c:pt idx="1967">
                  <c:v>2.8159425281115702E-3</c:v>
                </c:pt>
                <c:pt idx="1968">
                  <c:v>2.8150908025104115E-3</c:v>
                </c:pt>
                <c:pt idx="1969">
                  <c:v>2.8142399415953534E-3</c:v>
                </c:pt>
                <c:pt idx="1970">
                  <c:v>2.8133899440563326E-3</c:v>
                </c:pt>
                <c:pt idx="1971">
                  <c:v>2.8125408086054904E-3</c:v>
                </c:pt>
                <c:pt idx="1972">
                  <c:v>2.8116925339327636E-3</c:v>
                </c:pt>
                <c:pt idx="1973">
                  <c:v>2.8108451186836803E-3</c:v>
                </c:pt>
                <c:pt idx="1974">
                  <c:v>2.8099985616147904E-3</c:v>
                </c:pt>
                <c:pt idx="1975">
                  <c:v>2.8091528613494177E-3</c:v>
                </c:pt>
                <c:pt idx="1976">
                  <c:v>2.808308016688521E-3</c:v>
                </c:pt>
                <c:pt idx="1977">
                  <c:v>2.8074640262332196E-3</c:v>
                </c:pt>
                <c:pt idx="1978">
                  <c:v>2.8066208887400634E-3</c:v>
                </c:pt>
                <c:pt idx="1979">
                  <c:v>2.805778602921194E-3</c:v>
                </c:pt>
                <c:pt idx="1980">
                  <c:v>2.8049371674887524E-3</c:v>
                </c:pt>
                <c:pt idx="1981">
                  <c:v>2.8040965811104712E-3</c:v>
                </c:pt>
                <c:pt idx="1982">
                  <c:v>2.8032568425429005E-3</c:v>
                </c:pt>
                <c:pt idx="1983">
                  <c:v>2.8024179504981817E-3</c:v>
                </c:pt>
                <c:pt idx="1984">
                  <c:v>2.8015799036662514E-3</c:v>
                </c:pt>
                <c:pt idx="1985">
                  <c:v>2.8007427008258645E-3</c:v>
                </c:pt>
                <c:pt idx="1986">
                  <c:v>2.7999063406669578E-3</c:v>
                </c:pt>
                <c:pt idx="1987">
                  <c:v>2.7990708219460814E-3</c:v>
                </c:pt>
                <c:pt idx="1988">
                  <c:v>2.7982361433309677E-3</c:v>
                </c:pt>
                <c:pt idx="1989">
                  <c:v>2.7974023036225759E-3</c:v>
                </c:pt>
                <c:pt idx="1990">
                  <c:v>2.7965693015108428E-3</c:v>
                </c:pt>
                <c:pt idx="1991">
                  <c:v>2.7957371357745231E-3</c:v>
                </c:pt>
                <c:pt idx="1992">
                  <c:v>2.7949058051479625E-3</c:v>
                </c:pt>
                <c:pt idx="1993">
                  <c:v>2.7940753083210979E-3</c:v>
                </c:pt>
                <c:pt idx="1994">
                  <c:v>2.7932456440948883E-3</c:v>
                </c:pt>
                <c:pt idx="1995">
                  <c:v>2.792416811225884E-3</c:v>
                </c:pt>
                <c:pt idx="1996">
                  <c:v>2.7915888084040219E-3</c:v>
                </c:pt>
                <c:pt idx="1997">
                  <c:v>2.7907616344524655E-3</c:v>
                </c:pt>
                <c:pt idx="1998">
                  <c:v>2.7899352880833561E-3</c:v>
                </c:pt>
                <c:pt idx="1999">
                  <c:v>2.789109768053244E-3</c:v>
                </c:pt>
                <c:pt idx="2000">
                  <c:v>2.7882850731630882E-3</c:v>
                </c:pt>
                <c:pt idx="2001">
                  <c:v>2.7874612021472345E-3</c:v>
                </c:pt>
                <c:pt idx="2002">
                  <c:v>2.7866381537622331E-3</c:v>
                </c:pt>
                <c:pt idx="2003">
                  <c:v>2.7858159267868388E-3</c:v>
                </c:pt>
                <c:pt idx="2004">
                  <c:v>2.7849945200220105E-3</c:v>
                </c:pt>
                <c:pt idx="2005">
                  <c:v>2.7841739321798897E-3</c:v>
                </c:pt>
                <c:pt idx="2006">
                  <c:v>2.7833541621058444E-3</c:v>
                </c:pt>
                <c:pt idx="2007">
                  <c:v>2.7825352085342203E-3</c:v>
                </c:pt>
                <c:pt idx="2008">
                  <c:v>2.7817170702437721E-3</c:v>
                </c:pt>
                <c:pt idx="2009">
                  <c:v>2.780899746035459E-3</c:v>
                </c:pt>
                <c:pt idx="2010">
                  <c:v>2.7800832346658311E-3</c:v>
                </c:pt>
                <c:pt idx="2011">
                  <c:v>2.7792675349802565E-3</c:v>
                </c:pt>
                <c:pt idx="2012">
                  <c:v>2.7784526457352854E-3</c:v>
                </c:pt>
                <c:pt idx="2013">
                  <c:v>2.777638565687468E-3</c:v>
                </c:pt>
                <c:pt idx="2014">
                  <c:v>2.7768252937043769E-3</c:v>
                </c:pt>
                <c:pt idx="2015">
                  <c:v>2.7760128285203578E-3</c:v>
                </c:pt>
                <c:pt idx="2016">
                  <c:v>2.7752011689585743E-3</c:v>
                </c:pt>
                <c:pt idx="2017">
                  <c:v>2.7743903138421899E-3</c:v>
                </c:pt>
                <c:pt idx="2018">
                  <c:v>2.773580261927755E-3</c:v>
                </c:pt>
                <c:pt idx="2019">
                  <c:v>2.7727710120828419E-3</c:v>
                </c:pt>
                <c:pt idx="2020">
                  <c:v>2.771962563064001E-3</c:v>
                </c:pt>
                <c:pt idx="2021">
                  <c:v>2.7711549137166003E-3</c:v>
                </c:pt>
                <c:pt idx="2022">
                  <c:v>2.7703480628415988E-3</c:v>
                </c:pt>
                <c:pt idx="2023">
                  <c:v>2.7695420092621603E-3</c:v>
                </c:pt>
                <c:pt idx="2024">
                  <c:v>2.7687367517792438E-3</c:v>
                </c:pt>
                <c:pt idx="2025">
                  <c:v>2.7679322892382174E-3</c:v>
                </c:pt>
                <c:pt idx="2026">
                  <c:v>2.7671286204622447E-3</c:v>
                </c:pt>
                <c:pt idx="2027">
                  <c:v>2.7663257442300804E-3</c:v>
                </c:pt>
                <c:pt idx="2028">
                  <c:v>2.7655236594315014E-3</c:v>
                </c:pt>
                <c:pt idx="2029">
                  <c:v>2.7647223648896713E-3</c:v>
                </c:pt>
                <c:pt idx="2030">
                  <c:v>2.7639218593833448E-3</c:v>
                </c:pt>
                <c:pt idx="2031">
                  <c:v>2.7631221418022989E-3</c:v>
                </c:pt>
                <c:pt idx="2032">
                  <c:v>2.7623232109474927E-3</c:v>
                </c:pt>
                <c:pt idx="2033">
                  <c:v>2.7615250656864987E-3</c:v>
                </c:pt>
                <c:pt idx="2034">
                  <c:v>2.7607277048424805E-3</c:v>
                </c:pt>
                <c:pt idx="2035">
                  <c:v>2.7599311272830107E-3</c:v>
                </c:pt>
                <c:pt idx="2036">
                  <c:v>2.7591353318534573E-3</c:v>
                </c:pt>
                <c:pt idx="2037">
                  <c:v>2.7583403173547794E-3</c:v>
                </c:pt>
                <c:pt idx="2038">
                  <c:v>2.7575460826767539E-3</c:v>
                </c:pt>
                <c:pt idx="2039">
                  <c:v>2.7567526266647491E-3</c:v>
                </c:pt>
                <c:pt idx="2040">
                  <c:v>2.7559599481863373E-3</c:v>
                </c:pt>
                <c:pt idx="2041">
                  <c:v>2.7551680461090911E-3</c:v>
                </c:pt>
                <c:pt idx="2042">
                  <c:v>2.754376919256174E-3</c:v>
                </c:pt>
                <c:pt idx="2043">
                  <c:v>2.7535865664951586E-3</c:v>
                </c:pt>
                <c:pt idx="2044">
                  <c:v>2.752796986715822E-3</c:v>
                </c:pt>
                <c:pt idx="2045">
                  <c:v>2.752008178763532E-3</c:v>
                </c:pt>
                <c:pt idx="2046">
                  <c:v>2.7512201415058612E-3</c:v>
                </c:pt>
                <c:pt idx="2047">
                  <c:v>2.7504328738325867E-3</c:v>
                </c:pt>
                <c:pt idx="2048">
                  <c:v>2.7496463746112809E-3</c:v>
                </c:pt>
                <c:pt idx="2049">
                  <c:v>2.7488606427095164E-3</c:v>
                </c:pt>
                <c:pt idx="2050">
                  <c:v>2.7480756769948655E-3</c:v>
                </c:pt>
                <c:pt idx="2051">
                  <c:v>2.7472914763793099E-3</c:v>
                </c:pt>
                <c:pt idx="2052">
                  <c:v>2.746508039730422E-3</c:v>
                </c:pt>
                <c:pt idx="2053">
                  <c:v>2.7457253659157743E-3</c:v>
                </c:pt>
                <c:pt idx="2054">
                  <c:v>2.7449434538473483E-3</c:v>
                </c:pt>
                <c:pt idx="2055">
                  <c:v>2.744162302370512E-3</c:v>
                </c:pt>
                <c:pt idx="2056">
                  <c:v>2.7433819104416557E-3</c:v>
                </c:pt>
                <c:pt idx="2057">
                  <c:v>2.7426022769061476E-3</c:v>
                </c:pt>
                <c:pt idx="2058">
                  <c:v>2.7418234006537645E-3</c:v>
                </c:pt>
                <c:pt idx="2059">
                  <c:v>2.7410452806186925E-3</c:v>
                </c:pt>
                <c:pt idx="2060">
                  <c:v>2.7402679156685039E-3</c:v>
                </c:pt>
                <c:pt idx="2061">
                  <c:v>2.7394913047151803E-3</c:v>
                </c:pt>
                <c:pt idx="2062">
                  <c:v>2.7387154466707031E-3</c:v>
                </c:pt>
                <c:pt idx="2063">
                  <c:v>2.7379403404248492E-3</c:v>
                </c:pt>
                <c:pt idx="2064">
                  <c:v>2.7371659849118046E-3</c:v>
                </c:pt>
                <c:pt idx="2065">
                  <c:v>2.7363923790213462E-3</c:v>
                </c:pt>
                <c:pt idx="2066">
                  <c:v>2.7356195216432511E-3</c:v>
                </c:pt>
                <c:pt idx="2067">
                  <c:v>2.7348474117339094E-3</c:v>
                </c:pt>
                <c:pt idx="2068">
                  <c:v>2.7340760481830984E-3</c:v>
                </c:pt>
                <c:pt idx="2069">
                  <c:v>2.7333054299250037E-3</c:v>
                </c:pt>
                <c:pt idx="2070">
                  <c:v>2.7325355558716069E-3</c:v>
                </c:pt>
                <c:pt idx="2071">
                  <c:v>2.7317664249348894E-3</c:v>
                </c:pt>
                <c:pt idx="2072">
                  <c:v>2.7309980360712416E-3</c:v>
                </c:pt>
                <c:pt idx="2073">
                  <c:v>2.7302303881482359E-3</c:v>
                </c:pt>
                <c:pt idx="2074">
                  <c:v>2.7294634801759976E-3</c:v>
                </c:pt>
                <c:pt idx="2075">
                  <c:v>2.7282488527458071E-3</c:v>
                </c:pt>
                <c:pt idx="2076">
                  <c:v>2.7270353949448989E-3</c:v>
                </c:pt>
                <c:pt idx="2077">
                  <c:v>2.7258231050542037E-3</c:v>
                </c:pt>
                <c:pt idx="2078">
                  <c:v>2.7246119814305914E-3</c:v>
                </c:pt>
                <c:pt idx="2079">
                  <c:v>2.7234020223199096E-3</c:v>
                </c:pt>
                <c:pt idx="2080">
                  <c:v>2.7221932261234372E-3</c:v>
                </c:pt>
                <c:pt idx="2081">
                  <c:v>2.7209855911092262E-3</c:v>
                </c:pt>
                <c:pt idx="2082">
                  <c:v>2.7197791156563511E-3</c:v>
                </c:pt>
                <c:pt idx="2083">
                  <c:v>2.7185737980328639E-3</c:v>
                </c:pt>
                <c:pt idx="2084">
                  <c:v>2.717369636617839E-3</c:v>
                </c:pt>
                <c:pt idx="2085">
                  <c:v>2.7161666297237375E-3</c:v>
                </c:pt>
                <c:pt idx="2086">
                  <c:v>2.7149647757296336E-3</c:v>
                </c:pt>
                <c:pt idx="2087">
                  <c:v>2.7137640729257839E-3</c:v>
                </c:pt>
                <c:pt idx="2088">
                  <c:v>2.7125645196912629E-3</c:v>
                </c:pt>
                <c:pt idx="2089">
                  <c:v>2.7113661143793877E-3</c:v>
                </c:pt>
                <c:pt idx="2090">
                  <c:v>2.7116952689087981E-3</c:v>
                </c:pt>
                <c:pt idx="2091">
                  <c:v>2.7120241087530417E-3</c:v>
                </c:pt>
                <c:pt idx="2092">
                  <c:v>2.7123526343597604E-3</c:v>
                </c:pt>
                <c:pt idx="2093">
                  <c:v>2.7126808461730434E-3</c:v>
                </c:pt>
                <c:pt idx="2094">
                  <c:v>2.7130087446813889E-3</c:v>
                </c:pt>
                <c:pt idx="2095">
                  <c:v>2.7133363302844771E-3</c:v>
                </c:pt>
                <c:pt idx="2096">
                  <c:v>2.7136636034263972E-3</c:v>
                </c:pt>
                <c:pt idx="2097">
                  <c:v>2.713990564573443E-3</c:v>
                </c:pt>
                <c:pt idx="2098">
                  <c:v>2.7143172141919081E-3</c:v>
                </c:pt>
                <c:pt idx="2099">
                  <c:v>2.7146435527036772E-3</c:v>
                </c:pt>
                <c:pt idx="2100">
                  <c:v>2.7149695805528395E-3</c:v>
                </c:pt>
                <c:pt idx="2101">
                  <c:v>2.7152952981834844E-3</c:v>
                </c:pt>
                <c:pt idx="2102">
                  <c:v>2.7156207060397008E-3</c:v>
                </c:pt>
                <c:pt idx="2103">
                  <c:v>2.7159458045655782E-3</c:v>
                </c:pt>
                <c:pt idx="2104">
                  <c:v>2.7162705942052057E-3</c:v>
                </c:pt>
                <c:pt idx="2105">
                  <c:v>2.716595075380468E-3</c:v>
                </c:pt>
                <c:pt idx="2106">
                  <c:v>2.7169192485576588E-3</c:v>
                </c:pt>
                <c:pt idx="2107">
                  <c:v>2.7172431141586628E-3</c:v>
                </c:pt>
                <c:pt idx="2108">
                  <c:v>2.7175666726053649E-3</c:v>
                </c:pt>
                <c:pt idx="2109">
                  <c:v>2.7178899243640586E-3</c:v>
                </c:pt>
                <c:pt idx="2110">
                  <c:v>2.7182128698788333E-3</c:v>
                </c:pt>
                <c:pt idx="2111">
                  <c:v>2.7185355095271646E-3</c:v>
                </c:pt>
                <c:pt idx="2112">
                  <c:v>2.7188578437975508E-3</c:v>
                </c:pt>
                <c:pt idx="2113">
                  <c:v>2.719179873134081E-3</c:v>
                </c:pt>
                <c:pt idx="2114">
                  <c:v>2.7195015979142312E-3</c:v>
                </c:pt>
                <c:pt idx="2115">
                  <c:v>2.7198230186042949E-3</c:v>
                </c:pt>
                <c:pt idx="2116">
                  <c:v>2.7201441356261569E-3</c:v>
                </c:pt>
                <c:pt idx="2117">
                  <c:v>2.7204649494239064E-3</c:v>
                </c:pt>
                <c:pt idx="2118">
                  <c:v>2.7207854604194281E-3</c:v>
                </c:pt>
                <c:pt idx="2119">
                  <c:v>2.7211056690124025E-3</c:v>
                </c:pt>
                <c:pt idx="2120">
                  <c:v>2.721425575669123E-3</c:v>
                </c:pt>
                <c:pt idx="2121">
                  <c:v>2.7217451807892701E-3</c:v>
                </c:pt>
                <c:pt idx="2122">
                  <c:v>2.7220644848391373E-3</c:v>
                </c:pt>
                <c:pt idx="2123">
                  <c:v>2.7223834881962006E-3</c:v>
                </c:pt>
                <c:pt idx="2124">
                  <c:v>2.7227021913267535E-3</c:v>
                </c:pt>
                <c:pt idx="2125">
                  <c:v>2.7230205946082719E-3</c:v>
                </c:pt>
                <c:pt idx="2126">
                  <c:v>2.7233386985070496E-3</c:v>
                </c:pt>
                <c:pt idx="2127">
                  <c:v>2.7236565034227667E-3</c:v>
                </c:pt>
                <c:pt idx="2128">
                  <c:v>2.723974009777308E-3</c:v>
                </c:pt>
                <c:pt idx="2129">
                  <c:v>2.7242912180147627E-3</c:v>
                </c:pt>
                <c:pt idx="2130">
                  <c:v>2.7246081284904022E-3</c:v>
                </c:pt>
                <c:pt idx="2131">
                  <c:v>2.7249247417149292E-3</c:v>
                </c:pt>
                <c:pt idx="2132">
                  <c:v>2.7252410580436148E-3</c:v>
                </c:pt>
                <c:pt idx="2133">
                  <c:v>2.725557077898344E-3</c:v>
                </c:pt>
                <c:pt idx="2134">
                  <c:v>2.7258728017232059E-3</c:v>
                </c:pt>
                <c:pt idx="2135">
                  <c:v>2.7261882298956763E-3</c:v>
                </c:pt>
                <c:pt idx="2136">
                  <c:v>2.7265033628598445E-3</c:v>
                </c:pt>
                <c:pt idx="2137">
                  <c:v>2.7268182010597997E-3</c:v>
                </c:pt>
                <c:pt idx="2138">
                  <c:v>2.7271327448286087E-3</c:v>
                </c:pt>
                <c:pt idx="2139">
                  <c:v>2.7274469946547697E-3</c:v>
                </c:pt>
                <c:pt idx="2140">
                  <c:v>2.7277609508935541E-3</c:v>
                </c:pt>
                <c:pt idx="2141">
                  <c:v>2.7280746140112555E-3</c:v>
                </c:pt>
                <c:pt idx="2142">
                  <c:v>2.7283879843631453E-3</c:v>
                </c:pt>
                <c:pt idx="2143">
                  <c:v>2.7287010623933128E-3</c:v>
                </c:pt>
                <c:pt idx="2144">
                  <c:v>2.7290138484792337E-3</c:v>
                </c:pt>
                <c:pt idx="2145">
                  <c:v>2.7293263430649972E-3</c:v>
                </c:pt>
                <c:pt idx="2146">
                  <c:v>2.7296385465502837E-3</c:v>
                </c:pt>
                <c:pt idx="2147">
                  <c:v>2.7299504593347734E-3</c:v>
                </c:pt>
                <c:pt idx="2148">
                  <c:v>2.7302620818181467E-3</c:v>
                </c:pt>
                <c:pt idx="2149">
                  <c:v>2.7305734144222882E-3</c:v>
                </c:pt>
                <c:pt idx="2150">
                  <c:v>2.7308844575246738E-3</c:v>
                </c:pt>
                <c:pt idx="2151">
                  <c:v>2.7311952115693927E-3</c:v>
                </c:pt>
                <c:pt idx="2152">
                  <c:v>2.7315056769117163E-3</c:v>
                </c:pt>
                <c:pt idx="2153">
                  <c:v>2.7318158539735293E-3</c:v>
                </c:pt>
                <c:pt idx="2154">
                  <c:v>2.7321257431767165E-3</c:v>
                </c:pt>
                <c:pt idx="2155">
                  <c:v>2.7324353448987537E-3</c:v>
                </c:pt>
                <c:pt idx="2156">
                  <c:v>2.7327446595393212E-3</c:v>
                </c:pt>
                <c:pt idx="2157">
                  <c:v>2.7330536875203038E-3</c:v>
                </c:pt>
                <c:pt idx="2158">
                  <c:v>2.7333624292191772E-3</c:v>
                </c:pt>
                <c:pt idx="2159">
                  <c:v>2.7336708850356217E-3</c:v>
                </c:pt>
                <c:pt idx="2160">
                  <c:v>2.7339790553471133E-3</c:v>
                </c:pt>
                <c:pt idx="2161">
                  <c:v>2.734286940597741E-3</c:v>
                </c:pt>
                <c:pt idx="2162">
                  <c:v>2.7345945411427763E-3</c:v>
                </c:pt>
                <c:pt idx="2163">
                  <c:v>2.7349018574263084E-3</c:v>
                </c:pt>
                <c:pt idx="2164">
                  <c:v>2.7352088897591997E-3</c:v>
                </c:pt>
                <c:pt idx="2165">
                  <c:v>2.7355156386077439E-3</c:v>
                </c:pt>
                <c:pt idx="2166">
                  <c:v>2.7358221043272124E-3</c:v>
                </c:pt>
                <c:pt idx="2167">
                  <c:v>2.7361282873394899E-3</c:v>
                </c:pt>
                <c:pt idx="2168">
                  <c:v>2.7364341879998477E-3</c:v>
                </c:pt>
                <c:pt idx="2169">
                  <c:v>2.7367398067301707E-3</c:v>
                </c:pt>
                <c:pt idx="2170">
                  <c:v>2.7370451438857302E-3</c:v>
                </c:pt>
                <c:pt idx="2171">
                  <c:v>2.7373501998884109E-3</c:v>
                </c:pt>
                <c:pt idx="2172">
                  <c:v>2.7376549751156887E-3</c:v>
                </c:pt>
                <c:pt idx="2173">
                  <c:v>2.7379594699672438E-3</c:v>
                </c:pt>
                <c:pt idx="2174">
                  <c:v>2.7382636847761432E-3</c:v>
                </c:pt>
                <c:pt idx="2175">
                  <c:v>2.7385676199864761E-3</c:v>
                </c:pt>
                <c:pt idx="2176">
                  <c:v>2.7388712759979228E-3</c:v>
                </c:pt>
                <c:pt idx="2177">
                  <c:v>2.7391746531213457E-3</c:v>
                </c:pt>
                <c:pt idx="2178">
                  <c:v>2.739477751800834E-3</c:v>
                </c:pt>
                <c:pt idx="2179">
                  <c:v>2.7397805723916591E-3</c:v>
                </c:pt>
                <c:pt idx="2180">
                  <c:v>2.7400831152712968E-3</c:v>
                </c:pt>
                <c:pt idx="2181">
                  <c:v>2.7403853808616319E-3</c:v>
                </c:pt>
                <c:pt idx="2182">
                  <c:v>2.7406873695179357E-3</c:v>
                </c:pt>
                <c:pt idx="2183">
                  <c:v>2.7409890815954796E-3</c:v>
                </c:pt>
                <c:pt idx="2184">
                  <c:v>2.7412905175161484E-3</c:v>
                </c:pt>
                <c:pt idx="2185">
                  <c:v>2.7415916776352134E-3</c:v>
                </c:pt>
                <c:pt idx="2186">
                  <c:v>2.7418925623301504E-3</c:v>
                </c:pt>
                <c:pt idx="2187">
                  <c:v>2.7421931720006398E-3</c:v>
                </c:pt>
                <c:pt idx="2188">
                  <c:v>2.7424935070019529E-3</c:v>
                </c:pt>
                <c:pt idx="2189">
                  <c:v>2.7427935677115656E-3</c:v>
                </c:pt>
                <c:pt idx="2190">
                  <c:v>2.743093354529158E-3</c:v>
                </c:pt>
                <c:pt idx="2191">
                  <c:v>2.7433928678100017E-3</c:v>
                </c:pt>
                <c:pt idx="2192">
                  <c:v>2.7436921079093679E-3</c:v>
                </c:pt>
                <c:pt idx="2193">
                  <c:v>2.743991075226937E-3</c:v>
                </c:pt>
                <c:pt idx="2194">
                  <c:v>2.7442897701401847E-3</c:v>
                </c:pt>
                <c:pt idx="2195">
                  <c:v>2.744588192982178E-3</c:v>
                </c:pt>
                <c:pt idx="2196">
                  <c:v>2.7448863441970062E-3</c:v>
                </c:pt>
                <c:pt idx="2197">
                  <c:v>2.7451842240955315E-3</c:v>
                </c:pt>
                <c:pt idx="2198">
                  <c:v>2.7454818330330255E-3</c:v>
                </c:pt>
                <c:pt idx="2199">
                  <c:v>2.7457791714313728E-3</c:v>
                </c:pt>
                <c:pt idx="2200">
                  <c:v>2.7460762396458449E-3</c:v>
                </c:pt>
                <c:pt idx="2201">
                  <c:v>2.7463730380095086E-3</c:v>
                </c:pt>
                <c:pt idx="2202">
                  <c:v>2.7466695669442487E-3</c:v>
                </c:pt>
                <c:pt idx="2203">
                  <c:v>2.7469658267831321E-3</c:v>
                </c:pt>
                <c:pt idx="2204">
                  <c:v>2.7472618179036346E-3</c:v>
                </c:pt>
                <c:pt idx="2205">
                  <c:v>2.7475575406388231E-3</c:v>
                </c:pt>
                <c:pt idx="2206">
                  <c:v>2.7478529954105824E-3</c:v>
                </c:pt>
                <c:pt idx="2207">
                  <c:v>2.7481481825519793E-3</c:v>
                </c:pt>
                <c:pt idx="2208">
                  <c:v>2.7484431024182854E-3</c:v>
                </c:pt>
                <c:pt idx="2209">
                  <c:v>2.7487377553647718E-3</c:v>
                </c:pt>
                <c:pt idx="2210">
                  <c:v>2.749032141791119E-3</c:v>
                </c:pt>
                <c:pt idx="2211">
                  <c:v>2.7493262620303938E-3</c:v>
                </c:pt>
                <c:pt idx="2212">
                  <c:v>2.749620116460072E-3</c:v>
                </c:pt>
                <c:pt idx="2213">
                  <c:v>2.7499137054132206E-3</c:v>
                </c:pt>
                <c:pt idx="2214">
                  <c:v>2.7502070292673153E-3</c:v>
                </c:pt>
                <c:pt idx="2215">
                  <c:v>2.7505000883998321E-3</c:v>
                </c:pt>
                <c:pt idx="2216">
                  <c:v>2.7507928831438377E-3</c:v>
                </c:pt>
                <c:pt idx="2217">
                  <c:v>2.7510854138546037E-3</c:v>
                </c:pt>
                <c:pt idx="2218">
                  <c:v>2.7513776809096058E-3</c:v>
                </c:pt>
                <c:pt idx="2219">
                  <c:v>2.7516696846641153E-3</c:v>
                </c:pt>
                <c:pt idx="2220">
                  <c:v>2.7519614254289948E-3</c:v>
                </c:pt>
                <c:pt idx="2221">
                  <c:v>2.752252903626129E-3</c:v>
                </c:pt>
                <c:pt idx="2222">
                  <c:v>2.7525441195663802E-3</c:v>
                </c:pt>
                <c:pt idx="2223">
                  <c:v>2.7528350736272245E-3</c:v>
                </c:pt>
                <c:pt idx="2224">
                  <c:v>2.7531257661195241E-3</c:v>
                </c:pt>
                <c:pt idx="2225">
                  <c:v>2.7534161974429594E-3</c:v>
                </c:pt>
                <c:pt idx="2226">
                  <c:v>2.7537063679305973E-3</c:v>
                </c:pt>
                <c:pt idx="2227">
                  <c:v>2.7539962779377092E-3</c:v>
                </c:pt>
                <c:pt idx="2228">
                  <c:v>2.7542859277973619E-3</c:v>
                </c:pt>
                <c:pt idx="2229">
                  <c:v>2.7545753179092358E-3</c:v>
                </c:pt>
                <c:pt idx="2230">
                  <c:v>2.7548644485619889E-3</c:v>
                </c:pt>
                <c:pt idx="2231">
                  <c:v>2.7551533201330969E-3</c:v>
                </c:pt>
                <c:pt idx="2232">
                  <c:v>2.7554419329556268E-3</c:v>
                </c:pt>
                <c:pt idx="2233">
                  <c:v>2.7557302874070544E-3</c:v>
                </c:pt>
                <c:pt idx="2234">
                  <c:v>2.7560183837982422E-3</c:v>
                </c:pt>
                <c:pt idx="2235">
                  <c:v>2.7563062225066659E-3</c:v>
                </c:pt>
                <c:pt idx="2236">
                  <c:v>2.7565938038653925E-3</c:v>
                </c:pt>
                <c:pt idx="2237">
                  <c:v>2.7568811282296934E-3</c:v>
                </c:pt>
                <c:pt idx="2238">
                  <c:v>2.7571681959104311E-3</c:v>
                </c:pt>
                <c:pt idx="2239">
                  <c:v>2.7574550072628767E-3</c:v>
                </c:pt>
                <c:pt idx="2240">
                  <c:v>2.7577415626867108E-3</c:v>
                </c:pt>
                <c:pt idx="2241">
                  <c:v>2.7580278624261823E-3</c:v>
                </c:pt>
                <c:pt idx="2242">
                  <c:v>2.7583139069253804E-3</c:v>
                </c:pt>
                <c:pt idx="2243">
                  <c:v>2.7585996964507586E-3</c:v>
                </c:pt>
                <c:pt idx="2244">
                  <c:v>2.7588852313575885E-3</c:v>
                </c:pt>
                <c:pt idx="2245">
                  <c:v>2.7591705120233456E-3</c:v>
                </c:pt>
                <c:pt idx="2246">
                  <c:v>2.7594555387366881E-3</c:v>
                </c:pt>
                <c:pt idx="2247">
                  <c:v>2.7597403118750918E-3</c:v>
                </c:pt>
                <c:pt idx="2248">
                  <c:v>2.7600248317494191E-3</c:v>
                </c:pt>
                <c:pt idx="2249">
                  <c:v>2.7603090987371459E-3</c:v>
                </c:pt>
                <c:pt idx="2250">
                  <c:v>2.7605931131269301E-3</c:v>
                </c:pt>
                <c:pt idx="2251">
                  <c:v>2.7608768752740431E-3</c:v>
                </c:pt>
                <c:pt idx="2252">
                  <c:v>2.7611603855337563E-3</c:v>
                </c:pt>
                <c:pt idx="2253">
                  <c:v>2.7614436441947277E-3</c:v>
                </c:pt>
                <c:pt idx="2254">
                  <c:v>2.7617266516566374E-3</c:v>
                </c:pt>
                <c:pt idx="2255">
                  <c:v>2.7620094082081437E-3</c:v>
                </c:pt>
                <c:pt idx="2256">
                  <c:v>2.7622919141601088E-3</c:v>
                </c:pt>
                <c:pt idx="2257">
                  <c:v>2.7625741699344175E-3</c:v>
                </c:pt>
                <c:pt idx="2258">
                  <c:v>2.7628561757531145E-3</c:v>
                </c:pt>
                <c:pt idx="2259">
                  <c:v>2.7631379320380844E-3</c:v>
                </c:pt>
                <c:pt idx="2260">
                  <c:v>2.7634194390779854E-3</c:v>
                </c:pt>
                <c:pt idx="2261">
                  <c:v>2.7637006972058842E-3</c:v>
                </c:pt>
                <c:pt idx="2262">
                  <c:v>2.7639817067770522E-3</c:v>
                </c:pt>
                <c:pt idx="2263">
                  <c:v>2.7642624680801475E-3</c:v>
                </c:pt>
                <c:pt idx="2264">
                  <c:v>2.764542981448237E-3</c:v>
                </c:pt>
                <c:pt idx="2265">
                  <c:v>2.7648232472587964E-3</c:v>
                </c:pt>
                <c:pt idx="2266">
                  <c:v>2.7651032657560748E-3</c:v>
                </c:pt>
                <c:pt idx="2267">
                  <c:v>2.765383037361957E-3</c:v>
                </c:pt>
                <c:pt idx="2268">
                  <c:v>2.7656625623428965E-3</c:v>
                </c:pt>
                <c:pt idx="2269">
                  <c:v>2.7659418410541647E-3</c:v>
                </c:pt>
                <c:pt idx="2270">
                  <c:v>2.7662208738066241E-3</c:v>
                </c:pt>
                <c:pt idx="2271">
                  <c:v>2.766499660911137E-3</c:v>
                </c:pt>
                <c:pt idx="2272">
                  <c:v>2.7667782027007704E-3</c:v>
                </c:pt>
                <c:pt idx="2273">
                  <c:v>2.7670564995085911E-3</c:v>
                </c:pt>
                <c:pt idx="2274">
                  <c:v>2.7673345516454617E-3</c:v>
                </c:pt>
                <c:pt idx="2275">
                  <c:v>2.7676123594666535E-3</c:v>
                </c:pt>
                <c:pt idx="2276">
                  <c:v>2.7678899232608245E-3</c:v>
                </c:pt>
                <c:pt idx="2277">
                  <c:v>2.7681672433388371E-3</c:v>
                </c:pt>
                <c:pt idx="2278">
                  <c:v>2.7684443200559627E-3</c:v>
                </c:pt>
                <c:pt idx="2279">
                  <c:v>2.7687211537230638E-3</c:v>
                </c:pt>
                <c:pt idx="2280">
                  <c:v>2.7689977446287983E-3</c:v>
                </c:pt>
                <c:pt idx="2281">
                  <c:v>2.7692740931284376E-3</c:v>
                </c:pt>
                <c:pt idx="2282">
                  <c:v>2.7695501995328442E-3</c:v>
                </c:pt>
                <c:pt idx="2283">
                  <c:v>2.7698260641750849E-3</c:v>
                </c:pt>
                <c:pt idx="2284">
                  <c:v>2.7701016873438178E-3</c:v>
                </c:pt>
                <c:pt idx="2285">
                  <c:v>2.7703770693499052E-3</c:v>
                </c:pt>
                <c:pt idx="2286">
                  <c:v>2.7706522105042097E-3</c:v>
                </c:pt>
                <c:pt idx="2287">
                  <c:v>2.7709271112064116E-3</c:v>
                </c:pt>
                <c:pt idx="2288">
                  <c:v>2.7712017716785553E-3</c:v>
                </c:pt>
                <c:pt idx="2289">
                  <c:v>2.7714761922315034E-3</c:v>
                </c:pt>
                <c:pt idx="2290">
                  <c:v>2.7717503732649362E-3</c:v>
                </c:pt>
                <c:pt idx="2291">
                  <c:v>2.7720243150231028E-3</c:v>
                </c:pt>
                <c:pt idx="2292">
                  <c:v>2.7722980178390699E-3</c:v>
                </c:pt>
                <c:pt idx="2293">
                  <c:v>2.7725714820014957E-3</c:v>
                </c:pt>
                <c:pt idx="2294">
                  <c:v>2.772844707887856E-3</c:v>
                </c:pt>
                <c:pt idx="2295">
                  <c:v>2.7731176957423997E-3</c:v>
                </c:pt>
                <c:pt idx="2296">
                  <c:v>2.7733904458981939E-3</c:v>
                </c:pt>
                <c:pt idx="2297">
                  <c:v>2.7736629586883055E-3</c:v>
                </c:pt>
                <c:pt idx="2298">
                  <c:v>2.7739352343569834E-3</c:v>
                </c:pt>
                <c:pt idx="2299">
                  <c:v>2.774207273303908E-3</c:v>
                </c:pt>
                <c:pt idx="2300">
                  <c:v>2.7744790757733284E-3</c:v>
                </c:pt>
                <c:pt idx="2301">
                  <c:v>2.774750642076107E-3</c:v>
                </c:pt>
                <c:pt idx="2302">
                  <c:v>2.7750219725675151E-3</c:v>
                </c:pt>
                <c:pt idx="2303">
                  <c:v>2.7752930674918019E-3</c:v>
                </c:pt>
                <c:pt idx="2304">
                  <c:v>2.7755639272042387E-3</c:v>
                </c:pt>
                <c:pt idx="2305">
                  <c:v>2.775834551971279E-3</c:v>
                </c:pt>
                <c:pt idx="2306">
                  <c:v>2.7761049421481943E-3</c:v>
                </c:pt>
                <c:pt idx="2307">
                  <c:v>2.7763750980236424E-3</c:v>
                </c:pt>
                <c:pt idx="2308">
                  <c:v>2.7766450198640769E-3</c:v>
                </c:pt>
                <c:pt idx="2309">
                  <c:v>2.7769147080025647E-3</c:v>
                </c:pt>
                <c:pt idx="2310">
                  <c:v>2.7771841627277638E-3</c:v>
                </c:pt>
                <c:pt idx="2311">
                  <c:v>2.7774533843727411E-3</c:v>
                </c:pt>
                <c:pt idx="2312">
                  <c:v>2.7777223732261547E-3</c:v>
                </c:pt>
                <c:pt idx="2313">
                  <c:v>2.7779911295766624E-3</c:v>
                </c:pt>
                <c:pt idx="2314">
                  <c:v>2.7782596537351267E-3</c:v>
                </c:pt>
                <c:pt idx="2315">
                  <c:v>2.7785279459902057E-3</c:v>
                </c:pt>
                <c:pt idx="2316">
                  <c:v>2.7787960066749662E-3</c:v>
                </c:pt>
                <c:pt idx="2317">
                  <c:v>2.7790638360558617E-3</c:v>
                </c:pt>
                <c:pt idx="2318">
                  <c:v>2.7793314344437547E-3</c:v>
                </c:pt>
                <c:pt idx="2319">
                  <c:v>2.7795988021273033E-3</c:v>
                </c:pt>
                <c:pt idx="2320">
                  <c:v>2.7798659394395742E-3</c:v>
                </c:pt>
                <c:pt idx="2321">
                  <c:v>2.7801328466248165E-3</c:v>
                </c:pt>
                <c:pt idx="2322">
                  <c:v>2.7803995240383017E-3</c:v>
                </c:pt>
                <c:pt idx="2323">
                  <c:v>2.7806659719020743E-3</c:v>
                </c:pt>
                <c:pt idx="2324">
                  <c:v>2.7809321905936102E-3</c:v>
                </c:pt>
                <c:pt idx="2325">
                  <c:v>2.781198180384914E-3</c:v>
                </c:pt>
                <c:pt idx="2326">
                  <c:v>2.782637112641595E-3</c:v>
                </c:pt>
                <c:pt idx="2327">
                  <c:v>2.7840748087148981E-3</c:v>
                </c:pt>
                <c:pt idx="2328">
                  <c:v>2.7855112701535845E-3</c:v>
                </c:pt>
                <c:pt idx="2329">
                  <c:v>2.7869464985341708E-3</c:v>
                </c:pt>
                <c:pt idx="2330">
                  <c:v>2.7883804955219915E-3</c:v>
                </c:pt>
                <c:pt idx="2331">
                  <c:v>2.7898132626269501E-3</c:v>
                </c:pt>
                <c:pt idx="2332">
                  <c:v>2.7912448014477675E-3</c:v>
                </c:pt>
                <c:pt idx="2333">
                  <c:v>2.7926751135831651E-3</c:v>
                </c:pt>
                <c:pt idx="2334">
                  <c:v>2.794104200587455E-3</c:v>
                </c:pt>
                <c:pt idx="2335">
                  <c:v>2.7955320640593584E-3</c:v>
                </c:pt>
                <c:pt idx="2336">
                  <c:v>2.7969587055531875E-3</c:v>
                </c:pt>
                <c:pt idx="2337">
                  <c:v>2.7983841266232545E-3</c:v>
                </c:pt>
                <c:pt idx="2338">
                  <c:v>2.7998083288460762E-3</c:v>
                </c:pt>
                <c:pt idx="2339">
                  <c:v>2.8012313137981693E-3</c:v>
                </c:pt>
                <c:pt idx="2340">
                  <c:v>2.8026530830012053E-3</c:v>
                </c:pt>
                <c:pt idx="2341">
                  <c:v>2.8031412892426388E-3</c:v>
                </c:pt>
                <c:pt idx="2342">
                  <c:v>2.8036290787625262E-3</c:v>
                </c:pt>
                <c:pt idx="2343">
                  <c:v>2.8041164520375972E-3</c:v>
                </c:pt>
                <c:pt idx="2344">
                  <c:v>2.8046034096673722E-3</c:v>
                </c:pt>
                <c:pt idx="2345">
                  <c:v>2.8050899521403494E-3</c:v>
                </c:pt>
                <c:pt idx="2346">
                  <c:v>2.8055760800338447E-3</c:v>
                </c:pt>
                <c:pt idx="2347">
                  <c:v>2.8060617938363563E-3</c:v>
                </c:pt>
                <c:pt idx="2348">
                  <c:v>2.8065470940585868E-3</c:v>
                </c:pt>
                <c:pt idx="2349">
                  <c:v>2.8070319813000566E-3</c:v>
                </c:pt>
                <c:pt idx="2350">
                  <c:v>2.8075164560270593E-3</c:v>
                </c:pt>
                <c:pt idx="2351">
                  <c:v>2.8080005187725021E-3</c:v>
                </c:pt>
                <c:pt idx="2352">
                  <c:v>2.8084841700914964E-3</c:v>
                </c:pt>
                <c:pt idx="2353">
                  <c:v>2.8089674105169493E-3</c:v>
                </c:pt>
                <c:pt idx="2354">
                  <c:v>2.8094502405151545E-3</c:v>
                </c:pt>
                <c:pt idx="2355">
                  <c:v>2.8099326606190189E-3</c:v>
                </c:pt>
                <c:pt idx="2356">
                  <c:v>2.8104146714058587E-3</c:v>
                </c:pt>
                <c:pt idx="2357">
                  <c:v>2.8108962733419673E-3</c:v>
                </c:pt>
                <c:pt idx="2358">
                  <c:v>2.8113774669824565E-3</c:v>
                </c:pt>
                <c:pt idx="2359">
                  <c:v>2.8118582528158242E-3</c:v>
                </c:pt>
                <c:pt idx="2360">
                  <c:v>2.8123386313971821E-3</c:v>
                </c:pt>
                <c:pt idx="2361">
                  <c:v>2.8128186032150282E-3</c:v>
                </c:pt>
                <c:pt idx="2362">
                  <c:v>2.8132981688022696E-3</c:v>
                </c:pt>
                <c:pt idx="2363">
                  <c:v>2.8137773286251999E-3</c:v>
                </c:pt>
                <c:pt idx="2364">
                  <c:v>2.8142560832611352E-3</c:v>
                </c:pt>
                <c:pt idx="2365">
                  <c:v>2.8147344331985735E-3</c:v>
                </c:pt>
                <c:pt idx="2366">
                  <c:v>2.815212378970422E-3</c:v>
                </c:pt>
                <c:pt idx="2367">
                  <c:v>2.8156899210429742E-3</c:v>
                </c:pt>
                <c:pt idx="2368">
                  <c:v>2.8161670599935462E-3</c:v>
                </c:pt>
                <c:pt idx="2369">
                  <c:v>2.8166437962662272E-3</c:v>
                </c:pt>
                <c:pt idx="2370">
                  <c:v>2.8171201303939242E-3</c:v>
                </c:pt>
                <c:pt idx="2371">
                  <c:v>2.8175960629095442E-3</c:v>
                </c:pt>
                <c:pt idx="2372">
                  <c:v>2.818071594279381E-3</c:v>
                </c:pt>
                <c:pt idx="2373">
                  <c:v>2.8185467250585461E-3</c:v>
                </c:pt>
                <c:pt idx="2374">
                  <c:v>2.8190214557133331E-3</c:v>
                </c:pt>
                <c:pt idx="2375">
                  <c:v>2.8194957867544446E-3</c:v>
                </c:pt>
                <c:pt idx="2376">
                  <c:v>2.8199697187147876E-3</c:v>
                </c:pt>
                <c:pt idx="2377">
                  <c:v>2.8204432520828604E-3</c:v>
                </c:pt>
                <c:pt idx="2378">
                  <c:v>2.8209163873249565E-3</c:v>
                </c:pt>
                <c:pt idx="2379">
                  <c:v>2.8213891249961875E-3</c:v>
                </c:pt>
                <c:pt idx="2380">
                  <c:v>2.8218614655628471E-3</c:v>
                </c:pt>
                <c:pt idx="2381">
                  <c:v>2.8223334095356378E-3</c:v>
                </c:pt>
                <c:pt idx="2382">
                  <c:v>2.8228049574252623E-3</c:v>
                </c:pt>
                <c:pt idx="2383">
                  <c:v>2.8232761097202186E-3</c:v>
                </c:pt>
                <c:pt idx="2384">
                  <c:v>2.8237468669090049E-3</c:v>
                </c:pt>
                <c:pt idx="2385">
                  <c:v>2.8242172295023238E-3</c:v>
                </c:pt>
                <c:pt idx="2386">
                  <c:v>2.8246871979886734E-3</c:v>
                </c:pt>
                <c:pt idx="2387">
                  <c:v>2.8251567728787563E-3</c:v>
                </c:pt>
                <c:pt idx="2388">
                  <c:v>2.8256259546388662E-3</c:v>
                </c:pt>
                <c:pt idx="2389">
                  <c:v>2.8260947437797057E-3</c:v>
                </c:pt>
                <c:pt idx="2390">
                  <c:v>2.8265631408119773E-3</c:v>
                </c:pt>
                <c:pt idx="2391">
                  <c:v>2.8270311461797704E-3</c:v>
                </c:pt>
                <c:pt idx="2392">
                  <c:v>2.8274987604159918E-3</c:v>
                </c:pt>
                <c:pt idx="2393">
                  <c:v>2.8279659839869353E-3</c:v>
                </c:pt>
                <c:pt idx="2394">
                  <c:v>2.8284328174033035E-3</c:v>
                </c:pt>
                <c:pt idx="2395">
                  <c:v>2.8288992611313901E-3</c:v>
                </c:pt>
                <c:pt idx="2396">
                  <c:v>2.8293653156818976E-3</c:v>
                </c:pt>
                <c:pt idx="2397">
                  <c:v>2.8298309815433242E-3</c:v>
                </c:pt>
                <c:pt idx="2398">
                  <c:v>2.8302962591375547E-3</c:v>
                </c:pt>
                <c:pt idx="2399">
                  <c:v>2.8307611490419049E-3</c:v>
                </c:pt>
                <c:pt idx="2400">
                  <c:v>2.8312256516782597E-3</c:v>
                </c:pt>
                <c:pt idx="2401">
                  <c:v>2.8316897675573216E-3</c:v>
                </c:pt>
                <c:pt idx="2402">
                  <c:v>2.8321534971453843E-3</c:v>
                </c:pt>
                <c:pt idx="2403">
                  <c:v>2.8326168409531505E-3</c:v>
                </c:pt>
                <c:pt idx="2404">
                  <c:v>2.8330797994247092E-3</c:v>
                </c:pt>
                <c:pt idx="2405">
                  <c:v>2.8335423730929676E-3</c:v>
                </c:pt>
                <c:pt idx="2406">
                  <c:v>2.8340045623798105E-3</c:v>
                </c:pt>
                <c:pt idx="2407">
                  <c:v>2.8344663677737358E-3</c:v>
                </c:pt>
                <c:pt idx="2408">
                  <c:v>2.8349277897854464E-3</c:v>
                </c:pt>
                <c:pt idx="2409">
                  <c:v>2.8353888288812357E-3</c:v>
                </c:pt>
                <c:pt idx="2410">
                  <c:v>2.835849485505193E-3</c:v>
                </c:pt>
                <c:pt idx="2411">
                  <c:v>2.8363097601902254E-3</c:v>
                </c:pt>
                <c:pt idx="2412">
                  <c:v>2.8367696533360132E-3</c:v>
                </c:pt>
                <c:pt idx="2413">
                  <c:v>2.8372291654754633E-3</c:v>
                </c:pt>
                <c:pt idx="2414">
                  <c:v>2.837688297097074E-3</c:v>
                </c:pt>
                <c:pt idx="2415">
                  <c:v>2.83814704862273E-3</c:v>
                </c:pt>
                <c:pt idx="2416">
                  <c:v>2.8386054205409295E-3</c:v>
                </c:pt>
                <c:pt idx="2417">
                  <c:v>2.839063413317966E-3</c:v>
                </c:pt>
                <c:pt idx="2418">
                  <c:v>2.8395210274423377E-3</c:v>
                </c:pt>
                <c:pt idx="2419">
                  <c:v>2.8399782633581339E-3</c:v>
                </c:pt>
                <c:pt idx="2420">
                  <c:v>2.840435121576057E-3</c:v>
                </c:pt>
                <c:pt idx="2421">
                  <c:v>2.8408916024957875E-3</c:v>
                </c:pt>
                <c:pt idx="2422">
                  <c:v>2.8413477066724369E-3</c:v>
                </c:pt>
                <c:pt idx="2423">
                  <c:v>2.8418034344834808E-3</c:v>
                </c:pt>
                <c:pt idx="2424">
                  <c:v>2.8422587864618265E-3</c:v>
                </c:pt>
                <c:pt idx="2425">
                  <c:v>2.8427137630293586E-3</c:v>
                </c:pt>
                <c:pt idx="2426">
                  <c:v>2.8431683646745753E-3</c:v>
                </c:pt>
                <c:pt idx="2427">
                  <c:v>2.8436225918637703E-3</c:v>
                </c:pt>
                <c:pt idx="2428">
                  <c:v>2.8440764450188283E-3</c:v>
                </c:pt>
                <c:pt idx="2429">
                  <c:v>2.8445299246726563E-3</c:v>
                </c:pt>
                <c:pt idx="2430">
                  <c:v>2.8449830312027302E-3</c:v>
                </c:pt>
                <c:pt idx="2431">
                  <c:v>2.8454357651419571E-3</c:v>
                </c:pt>
                <c:pt idx="2432">
                  <c:v>2.8458881269122216E-3</c:v>
                </c:pt>
                <c:pt idx="2433">
                  <c:v>2.8463401169798175E-3</c:v>
                </c:pt>
                <c:pt idx="2434">
                  <c:v>2.8467917358110384E-3</c:v>
                </c:pt>
                <c:pt idx="2435">
                  <c:v>2.8472429838277691E-3</c:v>
                </c:pt>
                <c:pt idx="2436">
                  <c:v>2.8476938615185077E-3</c:v>
                </c:pt>
                <c:pt idx="2437">
                  <c:v>2.8481443693717523E-3</c:v>
                </c:pt>
                <c:pt idx="2438">
                  <c:v>2.8485945077649788E-3</c:v>
                </c:pt>
                <c:pt idx="2439">
                  <c:v>2.8490442772310942E-3</c:v>
                </c:pt>
                <c:pt idx="2440">
                  <c:v>2.8494936781253699E-3</c:v>
                </c:pt>
                <c:pt idx="2441">
                  <c:v>2.8499427110029174E-3</c:v>
                </c:pt>
                <c:pt idx="2442">
                  <c:v>2.850391376263417E-3</c:v>
                </c:pt>
                <c:pt idx="2443">
                  <c:v>2.8508396743509579E-3</c:v>
                </c:pt>
                <c:pt idx="2444">
                  <c:v>2.8512876057540382E-3</c:v>
                </c:pt>
                <c:pt idx="2445">
                  <c:v>2.8517351708945426E-3</c:v>
                </c:pt>
                <c:pt idx="2446">
                  <c:v>2.8521823702165605E-3</c:v>
                </c:pt>
                <c:pt idx="2447">
                  <c:v>2.8526292041863854E-3</c:v>
                </c:pt>
                <c:pt idx="2448">
                  <c:v>2.8530756732481066E-3</c:v>
                </c:pt>
                <c:pt idx="2449">
                  <c:v>2.8535217778458133E-3</c:v>
                </c:pt>
                <c:pt idx="2450">
                  <c:v>2.8539675184235946E-3</c:v>
                </c:pt>
                <c:pt idx="2451">
                  <c:v>2.8544128954255399E-3</c:v>
                </c:pt>
                <c:pt idx="2452">
                  <c:v>2.8548579092957382E-3</c:v>
                </c:pt>
                <c:pt idx="2453">
                  <c:v>2.8553025604782789E-3</c:v>
                </c:pt>
                <c:pt idx="2454">
                  <c:v>2.8557468494394556E-3</c:v>
                </c:pt>
                <c:pt idx="2455">
                  <c:v>2.8561907765789485E-3</c:v>
                </c:pt>
                <c:pt idx="2456">
                  <c:v>2.8566343423630514E-3</c:v>
                </c:pt>
                <c:pt idx="2457">
                  <c:v>2.8570775472358534E-3</c:v>
                </c:pt>
                <c:pt idx="2458">
                  <c:v>2.8575203916192393E-3</c:v>
                </c:pt>
                <c:pt idx="2459">
                  <c:v>2.8579628760017073E-3</c:v>
                </c:pt>
                <c:pt idx="2460">
                  <c:v>2.8584050007385287E-3</c:v>
                </c:pt>
                <c:pt idx="2461">
                  <c:v>2.8588467663626105E-3</c:v>
                </c:pt>
                <c:pt idx="2462">
                  <c:v>2.8592881732292241E-3</c:v>
                </c:pt>
                <c:pt idx="2463">
                  <c:v>2.8597292218046633E-3</c:v>
                </c:pt>
                <c:pt idx="2464">
                  <c:v>2.8601699125552216E-3</c:v>
                </c:pt>
                <c:pt idx="2465">
                  <c:v>2.8606102459027838E-3</c:v>
                </c:pt>
                <c:pt idx="2466">
                  <c:v>2.8610502222470302E-3</c:v>
                </c:pt>
                <c:pt idx="2467">
                  <c:v>2.8614898420542545E-3</c:v>
                </c:pt>
                <c:pt idx="2468">
                  <c:v>2.8619291057463414E-3</c:v>
                </c:pt>
                <c:pt idx="2469">
                  <c:v>2.8623680137451757E-3</c:v>
                </c:pt>
                <c:pt idx="2470">
                  <c:v>2.862806566517051E-3</c:v>
                </c:pt>
                <c:pt idx="2471">
                  <c:v>2.8632447644838521E-3</c:v>
                </c:pt>
                <c:pt idx="2472">
                  <c:v>2.8636826080452593E-3</c:v>
                </c:pt>
                <c:pt idx="2473">
                  <c:v>2.8641200976453618E-3</c:v>
                </c:pt>
                <c:pt idx="2474">
                  <c:v>2.8645572337282488E-3</c:v>
                </c:pt>
                <c:pt idx="2475">
                  <c:v>2.8649940166936005E-3</c:v>
                </c:pt>
                <c:pt idx="2476">
                  <c:v>2.8654304470077108E-3</c:v>
                </c:pt>
                <c:pt idx="2477">
                  <c:v>2.8658665250702597E-3</c:v>
                </c:pt>
                <c:pt idx="2478">
                  <c:v>2.8663022513253367E-3</c:v>
                </c:pt>
                <c:pt idx="2479">
                  <c:v>2.8667376261726218E-3</c:v>
                </c:pt>
                <c:pt idx="2480">
                  <c:v>2.8671726500562045E-3</c:v>
                </c:pt>
                <c:pt idx="2481">
                  <c:v>2.8676073234201738E-3</c:v>
                </c:pt>
                <c:pt idx="2482">
                  <c:v>2.8680416466198011E-3</c:v>
                </c:pt>
                <c:pt idx="2483">
                  <c:v>2.8684756201435846E-3</c:v>
                </c:pt>
                <c:pt idx="2484">
                  <c:v>2.8689092443912045E-3</c:v>
                </c:pt>
                <c:pt idx="2485">
                  <c:v>2.8693425197845457E-3</c:v>
                </c:pt>
                <c:pt idx="2486">
                  <c:v>2.8697754467676972E-3</c:v>
                </c:pt>
                <c:pt idx="2487">
                  <c:v>2.870208025718135E-3</c:v>
                </c:pt>
                <c:pt idx="2488">
                  <c:v>2.8706402570799483E-3</c:v>
                </c:pt>
                <c:pt idx="2489">
                  <c:v>2.8710721412528173E-3</c:v>
                </c:pt>
                <c:pt idx="2490">
                  <c:v>2.8715036786808312E-3</c:v>
                </c:pt>
                <c:pt idx="2491">
                  <c:v>2.8719348697636704E-3</c:v>
                </c:pt>
                <c:pt idx="2492">
                  <c:v>2.8723657149232196E-3</c:v>
                </c:pt>
                <c:pt idx="2493">
                  <c:v>2.8727962146035679E-3</c:v>
                </c:pt>
                <c:pt idx="2494">
                  <c:v>2.8732263691599869E-3</c:v>
                </c:pt>
                <c:pt idx="2495">
                  <c:v>2.87365617905877E-3</c:v>
                </c:pt>
                <c:pt idx="2496">
                  <c:v>2.8740856446995977E-3</c:v>
                </c:pt>
                <c:pt idx="2497">
                  <c:v>2.8745147664821502E-3</c:v>
                </c:pt>
                <c:pt idx="2498">
                  <c:v>2.8749435448283123E-3</c:v>
                </c:pt>
                <c:pt idx="2499">
                  <c:v>2.8753719801599686E-3</c:v>
                </c:pt>
                <c:pt idx="2500">
                  <c:v>2.8758000728545952E-3</c:v>
                </c:pt>
                <c:pt idx="2501">
                  <c:v>2.8762278233784855E-3</c:v>
                </c:pt>
                <c:pt idx="2502">
                  <c:v>2.8766552321091154E-3</c:v>
                </c:pt>
                <c:pt idx="2503">
                  <c:v>2.8770822994461653E-3</c:v>
                </c:pt>
                <c:pt idx="2504">
                  <c:v>2.8775090258115199E-3</c:v>
                </c:pt>
                <c:pt idx="2505">
                  <c:v>2.8779354116048594E-3</c:v>
                </c:pt>
                <c:pt idx="2506">
                  <c:v>2.8783614572702731E-3</c:v>
                </c:pt>
                <c:pt idx="2507">
                  <c:v>2.8787871631630324E-3</c:v>
                </c:pt>
                <c:pt idx="2508">
                  <c:v>2.8792125297272264E-3</c:v>
                </c:pt>
                <c:pt idx="2509">
                  <c:v>2.879637557340331E-3</c:v>
                </c:pt>
                <c:pt idx="2510">
                  <c:v>2.8800622464242309E-3</c:v>
                </c:pt>
                <c:pt idx="2511">
                  <c:v>2.8804865973786065E-3</c:v>
                </c:pt>
                <c:pt idx="2512">
                  <c:v>2.8809106106031379E-3</c:v>
                </c:pt>
                <c:pt idx="2513">
                  <c:v>2.88133428651971E-3</c:v>
                </c:pt>
                <c:pt idx="2514">
                  <c:v>2.8817576255057986E-3</c:v>
                </c:pt>
                <c:pt idx="2515">
                  <c:v>2.8821806279832884E-3</c:v>
                </c:pt>
                <c:pt idx="2516">
                  <c:v>2.8826032943296553E-3</c:v>
                </c:pt>
                <c:pt idx="2517">
                  <c:v>2.8830256249667841E-3</c:v>
                </c:pt>
                <c:pt idx="2518">
                  <c:v>2.8834476202943549E-3</c:v>
                </c:pt>
                <c:pt idx="2519">
                  <c:v>2.8838692806898436E-3</c:v>
                </c:pt>
                <c:pt idx="2520">
                  <c:v>2.884290606575135E-3</c:v>
                </c:pt>
                <c:pt idx="2521">
                  <c:v>2.884711598327705E-3</c:v>
                </c:pt>
                <c:pt idx="2522">
                  <c:v>2.8851322563694382E-3</c:v>
                </c:pt>
                <c:pt idx="2523">
                  <c:v>2.8855525810778104E-3</c:v>
                </c:pt>
                <c:pt idx="2524">
                  <c:v>2.8859725728747065E-3</c:v>
                </c:pt>
                <c:pt idx="2525">
                  <c:v>2.8863922321153979E-3</c:v>
                </c:pt>
                <c:pt idx="2526">
                  <c:v>2.8868115592217691E-3</c:v>
                </c:pt>
                <c:pt idx="2527">
                  <c:v>2.8872305545712962E-3</c:v>
                </c:pt>
                <c:pt idx="2528">
                  <c:v>2.8876492185858638E-3</c:v>
                </c:pt>
                <c:pt idx="2529">
                  <c:v>2.8880675516207432E-3</c:v>
                </c:pt>
                <c:pt idx="2530">
                  <c:v>2.8884855541200238E-3</c:v>
                </c:pt>
                <c:pt idx="2531">
                  <c:v>2.8889032264167724E-3</c:v>
                </c:pt>
                <c:pt idx="2532">
                  <c:v>2.8893205689328738E-3</c:v>
                </c:pt>
                <c:pt idx="2533">
                  <c:v>2.8897375820458038E-3</c:v>
                </c:pt>
                <c:pt idx="2534">
                  <c:v>2.8901542661774471E-3</c:v>
                </c:pt>
                <c:pt idx="2535">
                  <c:v>2.8905706216608706E-3</c:v>
                </c:pt>
                <c:pt idx="2536">
                  <c:v>2.8909866489401637E-3</c:v>
                </c:pt>
                <c:pt idx="2537">
                  <c:v>2.8914023483705975E-3</c:v>
                </c:pt>
                <c:pt idx="2538">
                  <c:v>2.8918177203518525E-3</c:v>
                </c:pt>
                <c:pt idx="2539">
                  <c:v>2.8922327652836088E-3</c:v>
                </c:pt>
                <c:pt idx="2540">
                  <c:v>2.892647483521138E-3</c:v>
                </c:pt>
                <c:pt idx="2541">
                  <c:v>2.8930618754641202E-3</c:v>
                </c:pt>
                <c:pt idx="2542">
                  <c:v>2.8934759414900313E-3</c:v>
                </c:pt>
                <c:pt idx="2543">
                  <c:v>2.893889682020756E-3</c:v>
                </c:pt>
                <c:pt idx="2544">
                  <c:v>2.8943030973671569E-3</c:v>
                </c:pt>
                <c:pt idx="2545">
                  <c:v>2.8947161879955274E-3</c:v>
                </c:pt>
                <c:pt idx="2546">
                  <c:v>2.8951289542389347E-3</c:v>
                </c:pt>
                <c:pt idx="2547">
                  <c:v>2.8955413964970589E-3</c:v>
                </c:pt>
                <c:pt idx="2548">
                  <c:v>2.8959535151251714E-3</c:v>
                </c:pt>
                <c:pt idx="2549">
                  <c:v>2.8963653105229525E-3</c:v>
                </c:pt>
                <c:pt idx="2550">
                  <c:v>2.8967767830900826E-3</c:v>
                </c:pt>
                <c:pt idx="2551">
                  <c:v>2.8971879331596284E-3</c:v>
                </c:pt>
                <c:pt idx="2552">
                  <c:v>2.8975987611534748E-3</c:v>
                </c:pt>
                <c:pt idx="2553">
                  <c:v>2.8980092674268931E-3</c:v>
                </c:pt>
                <c:pt idx="2554">
                  <c:v>2.8984194523795637E-3</c:v>
                </c:pt>
                <c:pt idx="2555">
                  <c:v>2.8988293163667578E-3</c:v>
                </c:pt>
                <c:pt idx="2556">
                  <c:v>2.8992388597437468E-3</c:v>
                </c:pt>
                <c:pt idx="2557">
                  <c:v>2.8996480829324156E-3</c:v>
                </c:pt>
                <c:pt idx="2558">
                  <c:v>2.9000569863102399E-3</c:v>
                </c:pt>
                <c:pt idx="2559">
                  <c:v>2.9004655702324911E-3</c:v>
                </c:pt>
                <c:pt idx="2560">
                  <c:v>2.9008738350322361E-3</c:v>
                </c:pt>
                <c:pt idx="2561">
                  <c:v>2.9012817811757685E-3</c:v>
                </c:pt>
                <c:pt idx="2562">
                  <c:v>2.901689408929542E-3</c:v>
                </c:pt>
                <c:pt idx="2563">
                  <c:v>2.9020967187598501E-3</c:v>
                </c:pt>
                <c:pt idx="2564">
                  <c:v>2.9025037109775553E-3</c:v>
                </c:pt>
                <c:pt idx="2565">
                  <c:v>2.9029103860045424E-3</c:v>
                </c:pt>
                <c:pt idx="2566">
                  <c:v>2.9033167441516738E-3</c:v>
                </c:pt>
                <c:pt idx="2567">
                  <c:v>2.9037227858408343E-3</c:v>
                </c:pt>
                <c:pt idx="2568">
                  <c:v>2.9041285114050908E-3</c:v>
                </c:pt>
                <c:pt idx="2569">
                  <c:v>2.904533921221919E-3</c:v>
                </c:pt>
                <c:pt idx="2570">
                  <c:v>2.9049390157132038E-3</c:v>
                </c:pt>
                <c:pt idx="2571">
                  <c:v>2.9053437951453986E-3</c:v>
                </c:pt>
                <c:pt idx="2572">
                  <c:v>2.9057482599625928E-3</c:v>
                </c:pt>
                <c:pt idx="2573">
                  <c:v>2.9061524105200576E-3</c:v>
                </c:pt>
                <c:pt idx="2574">
                  <c:v>2.9055299747948737E-3</c:v>
                </c:pt>
                <c:pt idx="2575">
                  <c:v>2.9049080223275681E-3</c:v>
                </c:pt>
                <c:pt idx="2576">
                  <c:v>2.904286552563029E-3</c:v>
                </c:pt>
                <c:pt idx="2577">
                  <c:v>2.9036655649461451E-3</c:v>
                </c:pt>
                <c:pt idx="2578">
                  <c:v>2.9030450588773959E-3</c:v>
                </c:pt>
                <c:pt idx="2579">
                  <c:v>2.9024250338682833E-3</c:v>
                </c:pt>
                <c:pt idx="2580">
                  <c:v>2.9018054892970824E-3</c:v>
                </c:pt>
                <c:pt idx="2581">
                  <c:v>2.9011864246530905E-3</c:v>
                </c:pt>
                <c:pt idx="2582">
                  <c:v>2.9005678393145828E-3</c:v>
                </c:pt>
                <c:pt idx="2583">
                  <c:v>2.8999497327930612E-3</c:v>
                </c:pt>
                <c:pt idx="2584">
                  <c:v>2.8993321045112097E-3</c:v>
                </c:pt>
                <c:pt idx="2585">
                  <c:v>2.8987149538917123E-3</c:v>
                </c:pt>
                <c:pt idx="2586">
                  <c:v>2.898098280401662E-3</c:v>
                </c:pt>
                <c:pt idx="2587">
                  <c:v>2.8974820834859472E-3</c:v>
                </c:pt>
                <c:pt idx="2588">
                  <c:v>2.8968663625672519E-3</c:v>
                </c:pt>
                <c:pt idx="2589">
                  <c:v>2.8968760688696804E-3</c:v>
                </c:pt>
                <c:pt idx="2590">
                  <c:v>2.8968857676892057E-3</c:v>
                </c:pt>
                <c:pt idx="2591">
                  <c:v>2.8968954590258278E-3</c:v>
                </c:pt>
                <c:pt idx="2592">
                  <c:v>2.8969051428795467E-3</c:v>
                </c:pt>
                <c:pt idx="2593">
                  <c:v>2.8969148192725669E-3</c:v>
                </c:pt>
                <c:pt idx="2594">
                  <c:v>2.8969244882048883E-3</c:v>
                </c:pt>
                <c:pt idx="2595">
                  <c:v>2.8969341496765111E-3</c:v>
                </c:pt>
                <c:pt idx="2596">
                  <c:v>2.8969438037096396E-3</c:v>
                </c:pt>
                <c:pt idx="2597">
                  <c:v>2.8969534503264782E-3</c:v>
                </c:pt>
                <c:pt idx="2598">
                  <c:v>2.8969630895048226E-3</c:v>
                </c:pt>
                <c:pt idx="2599">
                  <c:v>2.8969727212890817E-3</c:v>
                </c:pt>
                <c:pt idx="2600">
                  <c:v>2.8969823456348465E-3</c:v>
                </c:pt>
                <c:pt idx="2601">
                  <c:v>2.8969919626087304E-3</c:v>
                </c:pt>
                <c:pt idx="2602">
                  <c:v>2.8970015721885289E-3</c:v>
                </c:pt>
                <c:pt idx="2603">
                  <c:v>2.8970111743964466E-3</c:v>
                </c:pt>
                <c:pt idx="2604">
                  <c:v>2.897020769210279E-3</c:v>
                </c:pt>
                <c:pt idx="2605">
                  <c:v>2.8970303566744349E-3</c:v>
                </c:pt>
                <c:pt idx="2606">
                  <c:v>2.8970399367667099E-3</c:v>
                </c:pt>
                <c:pt idx="2607">
                  <c:v>2.897049509531513E-3</c:v>
                </c:pt>
                <c:pt idx="2608">
                  <c:v>2.8970590749466396E-3</c:v>
                </c:pt>
                <c:pt idx="2609">
                  <c:v>2.8970686330342943E-3</c:v>
                </c:pt>
                <c:pt idx="2610">
                  <c:v>2.897078183794477E-3</c:v>
                </c:pt>
                <c:pt idx="2611">
                  <c:v>2.8970877272493922E-3</c:v>
                </c:pt>
                <c:pt idx="2612">
                  <c:v>2.8970972633990399E-3</c:v>
                </c:pt>
                <c:pt idx="2613">
                  <c:v>2.8971067922656246E-3</c:v>
                </c:pt>
                <c:pt idx="2614">
                  <c:v>2.8971163138269418E-3</c:v>
                </c:pt>
                <c:pt idx="2615">
                  <c:v>2.8971258281051959E-3</c:v>
                </c:pt>
                <c:pt idx="2616">
                  <c:v>2.8971353351225915E-3</c:v>
                </c:pt>
                <c:pt idx="2617">
                  <c:v>2.8971448348791284E-3</c:v>
                </c:pt>
                <c:pt idx="2618">
                  <c:v>2.8971543273748068E-3</c:v>
                </c:pt>
                <c:pt idx="2619">
                  <c:v>2.8971638126318311E-3</c:v>
                </c:pt>
                <c:pt idx="2620">
                  <c:v>2.8971732906502012E-3</c:v>
                </c:pt>
                <c:pt idx="2621">
                  <c:v>2.8971827614299173E-3</c:v>
                </c:pt>
                <c:pt idx="2622">
                  <c:v>2.8971922249931836E-3</c:v>
                </c:pt>
                <c:pt idx="2623">
                  <c:v>2.8972016813177959E-3</c:v>
                </c:pt>
                <c:pt idx="2624">
                  <c:v>2.8972111304703674E-3</c:v>
                </c:pt>
                <c:pt idx="2625">
                  <c:v>2.8972205724064892E-3</c:v>
                </c:pt>
                <c:pt idx="2626">
                  <c:v>2.8972300071705703E-3</c:v>
                </c:pt>
                <c:pt idx="2627">
                  <c:v>2.8972394347626107E-3</c:v>
                </c:pt>
                <c:pt idx="2628">
                  <c:v>2.8972488551604059E-3</c:v>
                </c:pt>
                <c:pt idx="2629">
                  <c:v>2.8972582683861603E-3</c:v>
                </c:pt>
                <c:pt idx="2630">
                  <c:v>2.8972676744842829E-3</c:v>
                </c:pt>
                <c:pt idx="2631">
                  <c:v>2.8972770734103648E-3</c:v>
                </c:pt>
                <c:pt idx="2632">
                  <c:v>2.8972864652088148E-3</c:v>
                </c:pt>
                <c:pt idx="2633">
                  <c:v>2.8972958498796331E-3</c:v>
                </c:pt>
                <c:pt idx="2634">
                  <c:v>2.8973052274228195E-3</c:v>
                </c:pt>
                <c:pt idx="2635">
                  <c:v>2.8973145978605785E-3</c:v>
                </c:pt>
                <c:pt idx="2636">
                  <c:v>2.8973239611929102E-3</c:v>
                </c:pt>
                <c:pt idx="2637">
                  <c:v>2.8973333173976101E-3</c:v>
                </c:pt>
                <c:pt idx="2638">
                  <c:v>2.8973426665190871E-3</c:v>
                </c:pt>
                <c:pt idx="2639">
                  <c:v>2.8973520085795457E-3</c:v>
                </c:pt>
                <c:pt idx="2640">
                  <c:v>2.8973613435567813E-3</c:v>
                </c:pt>
                <c:pt idx="2641">
                  <c:v>2.8973706714729985E-3</c:v>
                </c:pt>
                <c:pt idx="2642">
                  <c:v>2.8973799923059929E-3</c:v>
                </c:pt>
                <c:pt idx="2643">
                  <c:v>2.8973893061001732E-3</c:v>
                </c:pt>
                <c:pt idx="2644">
                  <c:v>2.897398612877744E-3</c:v>
                </c:pt>
                <c:pt idx="2645">
                  <c:v>2.8974079125942964E-3</c:v>
                </c:pt>
                <c:pt idx="2646">
                  <c:v>2.8974172052720348E-3</c:v>
                </c:pt>
                <c:pt idx="2647">
                  <c:v>2.8974264909331637E-3</c:v>
                </c:pt>
                <c:pt idx="2648">
                  <c:v>2.8974357695998876E-3</c:v>
                </c:pt>
                <c:pt idx="2649">
                  <c:v>2.8974450412722064E-3</c:v>
                </c:pt>
                <c:pt idx="2650">
                  <c:v>2.8974543059501201E-3</c:v>
                </c:pt>
                <c:pt idx="2651">
                  <c:v>2.8974635636114243E-3</c:v>
                </c:pt>
                <c:pt idx="2652">
                  <c:v>2.8974728143227324E-3</c:v>
                </c:pt>
                <c:pt idx="2653">
                  <c:v>2.8974820580396354E-3</c:v>
                </c:pt>
                <c:pt idx="2654">
                  <c:v>2.8974912948065423E-3</c:v>
                </c:pt>
                <c:pt idx="2655">
                  <c:v>2.8975005246234531E-3</c:v>
                </c:pt>
                <c:pt idx="2656">
                  <c:v>2.8975097474903677E-3</c:v>
                </c:pt>
                <c:pt idx="2657">
                  <c:v>2.8975189633850817E-3</c:v>
                </c:pt>
                <c:pt idx="2658">
                  <c:v>2.8975281723742086E-3</c:v>
                </c:pt>
                <c:pt idx="2659">
                  <c:v>2.8975373744577482E-3</c:v>
                </c:pt>
                <c:pt idx="2660">
                  <c:v>2.8975465695912916E-3</c:v>
                </c:pt>
                <c:pt idx="2661">
                  <c:v>2.8975557578414524E-3</c:v>
                </c:pt>
                <c:pt idx="2662">
                  <c:v>2.8975649391638214E-3</c:v>
                </c:pt>
                <c:pt idx="2663">
                  <c:v>2.8975741136250122E-3</c:v>
                </c:pt>
                <c:pt idx="2664">
                  <c:v>2.8975832812028202E-3</c:v>
                </c:pt>
                <c:pt idx="2665">
                  <c:v>2.8975924418750409E-3</c:v>
                </c:pt>
                <c:pt idx="2666">
                  <c:v>2.8976015956860834E-3</c:v>
                </c:pt>
                <c:pt idx="2667">
                  <c:v>2.8976107426359476E-3</c:v>
                </c:pt>
                <c:pt idx="2668">
                  <c:v>2.8976198827246336E-3</c:v>
                </c:pt>
                <c:pt idx="2669">
                  <c:v>2.8976290159965501E-3</c:v>
                </c:pt>
                <c:pt idx="2670">
                  <c:v>2.8976381424072883E-3</c:v>
                </c:pt>
                <c:pt idx="2671">
                  <c:v>2.8976472620012572E-3</c:v>
                </c:pt>
                <c:pt idx="2672">
                  <c:v>2.8976563747340478E-3</c:v>
                </c:pt>
                <c:pt idx="2673">
                  <c:v>2.8976654806944779E-3</c:v>
                </c:pt>
                <c:pt idx="2674">
                  <c:v>2.8976745797937298E-3</c:v>
                </c:pt>
                <c:pt idx="2675">
                  <c:v>2.8976836721428256E-3</c:v>
                </c:pt>
                <c:pt idx="2676">
                  <c:v>2.8976927576973566E-3</c:v>
                </c:pt>
                <c:pt idx="2677">
                  <c:v>2.8977018364129137E-3</c:v>
                </c:pt>
                <c:pt idx="2678">
                  <c:v>2.8977109084227237E-3</c:v>
                </c:pt>
                <c:pt idx="2679">
                  <c:v>2.8977199736157644E-3</c:v>
                </c:pt>
                <c:pt idx="2680">
                  <c:v>2.8977290320586491E-3</c:v>
                </c:pt>
                <c:pt idx="2681">
                  <c:v>2.8977380837291733E-3</c:v>
                </c:pt>
                <c:pt idx="2682">
                  <c:v>2.8977471286939505E-3</c:v>
                </c:pt>
                <c:pt idx="2683">
                  <c:v>2.8977561668641627E-3</c:v>
                </c:pt>
                <c:pt idx="2684">
                  <c:v>2.8977651983508323E-3</c:v>
                </c:pt>
                <c:pt idx="2685">
                  <c:v>2.897774223087346E-3</c:v>
                </c:pt>
                <c:pt idx="2686">
                  <c:v>2.8977832411181126E-3</c:v>
                </c:pt>
                <c:pt idx="2687">
                  <c:v>2.8977922524431321E-3</c:v>
                </c:pt>
                <c:pt idx="2688">
                  <c:v>2.8978012570402001E-3</c:v>
                </c:pt>
                <c:pt idx="2689">
                  <c:v>2.8978102549537255E-3</c:v>
                </c:pt>
                <c:pt idx="2690">
                  <c:v>2.8978192462059127E-3</c:v>
                </c:pt>
                <c:pt idx="2691">
                  <c:v>2.8978282307301484E-3</c:v>
                </c:pt>
                <c:pt idx="2692">
                  <c:v>2.8978372086152504E-3</c:v>
                </c:pt>
                <c:pt idx="2693">
                  <c:v>2.8978461798168098E-3</c:v>
                </c:pt>
                <c:pt idx="2694">
                  <c:v>2.8978551443792355E-3</c:v>
                </c:pt>
                <c:pt idx="2695">
                  <c:v>2.8978641022803231E-3</c:v>
                </c:pt>
                <c:pt idx="2696">
                  <c:v>2.897873053542277E-3</c:v>
                </c:pt>
                <c:pt idx="2697">
                  <c:v>2.8978819981650972E-3</c:v>
                </c:pt>
                <c:pt idx="2698">
                  <c:v>2.8978909361709881E-3</c:v>
                </c:pt>
                <c:pt idx="2699">
                  <c:v>2.8978998675377454E-3</c:v>
                </c:pt>
                <c:pt idx="2700">
                  <c:v>2.8979087923097779E-3</c:v>
                </c:pt>
                <c:pt idx="2701">
                  <c:v>2.8979177104648812E-3</c:v>
                </c:pt>
                <c:pt idx="2702">
                  <c:v>2.8979266220030553E-3</c:v>
                </c:pt>
                <c:pt idx="2703">
                  <c:v>2.8979355269909135E-3</c:v>
                </c:pt>
                <c:pt idx="2704">
                  <c:v>2.8979444253618425E-3</c:v>
                </c:pt>
                <c:pt idx="2705">
                  <c:v>2.8979533171602512E-3</c:v>
                </c:pt>
                <c:pt idx="2706">
                  <c:v>2.897962202408344E-3</c:v>
                </c:pt>
                <c:pt idx="2707">
                  <c:v>2.8979710810839165E-3</c:v>
                </c:pt>
                <c:pt idx="2708">
                  <c:v>2.8979799531869688E-3</c:v>
                </c:pt>
                <c:pt idx="2709">
                  <c:v>2.8979888187619096E-3</c:v>
                </c:pt>
                <c:pt idx="2710">
                  <c:v>2.8979976777865346E-3</c:v>
                </c:pt>
                <c:pt idx="2711">
                  <c:v>2.8980065302830482E-3</c:v>
                </c:pt>
                <c:pt idx="2712">
                  <c:v>2.8980153762736549E-3</c:v>
                </c:pt>
                <c:pt idx="2713">
                  <c:v>2.8980242157139458E-3</c:v>
                </c:pt>
                <c:pt idx="2714">
                  <c:v>2.8980330486483297E-3</c:v>
                </c:pt>
                <c:pt idx="2715">
                  <c:v>2.8980418750768067E-3</c:v>
                </c:pt>
                <c:pt idx="2716">
                  <c:v>2.8980506950215812E-3</c:v>
                </c:pt>
                <c:pt idx="2717">
                  <c:v>2.8980595084826533E-3</c:v>
                </c:pt>
                <c:pt idx="2718">
                  <c:v>2.8980683154378184E-3</c:v>
                </c:pt>
                <c:pt idx="2719">
                  <c:v>2.8980771159092811E-3</c:v>
                </c:pt>
                <c:pt idx="2720">
                  <c:v>2.8980859099414502E-3</c:v>
                </c:pt>
                <c:pt idx="2721">
                  <c:v>2.8980946974899169E-3</c:v>
                </c:pt>
                <c:pt idx="2722">
                  <c:v>2.89810347859909E-3</c:v>
                </c:pt>
                <c:pt idx="2723">
                  <c:v>2.8981122532689696E-3</c:v>
                </c:pt>
                <c:pt idx="2724">
                  <c:v>2.8981210214773512E-3</c:v>
                </c:pt>
                <c:pt idx="2725">
                  <c:v>2.8981297832464392E-3</c:v>
                </c:pt>
                <c:pt idx="2726">
                  <c:v>2.8981385386206426E-3</c:v>
                </c:pt>
                <c:pt idx="2727">
                  <c:v>2.8981472875555525E-3</c:v>
                </c:pt>
                <c:pt idx="2728">
                  <c:v>2.8981560300733733E-3</c:v>
                </c:pt>
                <c:pt idx="2729">
                  <c:v>2.8981647661963095E-3</c:v>
                </c:pt>
                <c:pt idx="2730">
                  <c:v>2.898173495924361E-3</c:v>
                </c:pt>
                <c:pt idx="2731">
                  <c:v>2.8981822192575279E-3</c:v>
                </c:pt>
                <c:pt idx="2732">
                  <c:v>2.8981909361958103E-3</c:v>
                </c:pt>
                <c:pt idx="2733">
                  <c:v>2.8981996467836169E-3</c:v>
                </c:pt>
                <c:pt idx="2734">
                  <c:v>2.8982083509765388E-3</c:v>
                </c:pt>
                <c:pt idx="2735">
                  <c:v>2.8982170487967807E-3</c:v>
                </c:pt>
                <c:pt idx="2736">
                  <c:v>2.8982257402887512E-3</c:v>
                </c:pt>
                <c:pt idx="2737">
                  <c:v>2.8982344254302461E-3</c:v>
                </c:pt>
                <c:pt idx="2738">
                  <c:v>2.8982431041990608E-3</c:v>
                </c:pt>
                <c:pt idx="2739">
                  <c:v>2.8982517766618088E-3</c:v>
                </c:pt>
                <c:pt idx="2740">
                  <c:v>2.8982604427962855E-3</c:v>
                </c:pt>
                <c:pt idx="2741">
                  <c:v>2.8982691026024909E-3</c:v>
                </c:pt>
                <c:pt idx="2742">
                  <c:v>2.8982777561026296E-3</c:v>
                </c:pt>
                <c:pt idx="2743">
                  <c:v>2.898286403274497E-3</c:v>
                </c:pt>
                <c:pt idx="2744">
                  <c:v>2.8982950441625022E-3</c:v>
                </c:pt>
                <c:pt idx="2745">
                  <c:v>2.8983036787444405E-3</c:v>
                </c:pt>
                <c:pt idx="2746">
                  <c:v>2.898312307064721E-3</c:v>
                </c:pt>
                <c:pt idx="2747">
                  <c:v>2.8983209290789347E-3</c:v>
                </c:pt>
                <c:pt idx="2748">
                  <c:v>2.898329544853695E-3</c:v>
                </c:pt>
                <c:pt idx="2749">
                  <c:v>2.8983381543223885E-3</c:v>
                </c:pt>
                <c:pt idx="2750">
                  <c:v>2.8983467575516286E-3</c:v>
                </c:pt>
                <c:pt idx="2751">
                  <c:v>2.8983553545192109E-3</c:v>
                </c:pt>
                <c:pt idx="2752">
                  <c:v>2.8983639452473398E-3</c:v>
                </c:pt>
                <c:pt idx="2753">
                  <c:v>2.8983725297582197E-3</c:v>
                </c:pt>
                <c:pt idx="2754">
                  <c:v>2.8983811080074418E-3</c:v>
                </c:pt>
                <c:pt idx="2755">
                  <c:v>2.8983896800394149E-3</c:v>
                </c:pt>
                <c:pt idx="2756">
                  <c:v>2.8983982458541391E-3</c:v>
                </c:pt>
                <c:pt idx="2757">
                  <c:v>2.8984068054516143E-3</c:v>
                </c:pt>
                <c:pt idx="2758">
                  <c:v>2.8984153588540451E-3</c:v>
                </c:pt>
                <c:pt idx="2759">
                  <c:v>2.8984239060614314E-3</c:v>
                </c:pt>
                <c:pt idx="2760">
                  <c:v>2.8984324470515688E-3</c:v>
                </c:pt>
                <c:pt idx="2761">
                  <c:v>2.8984409818688661E-3</c:v>
                </c:pt>
                <c:pt idx="2762">
                  <c:v>2.8984495105133234E-3</c:v>
                </c:pt>
                <c:pt idx="2763">
                  <c:v>2.8984580330071452E-3</c:v>
                </c:pt>
                <c:pt idx="2764">
                  <c:v>2.8984665493059225E-3</c:v>
                </c:pt>
                <c:pt idx="2765">
                  <c:v>2.8984750594540643E-3</c:v>
                </c:pt>
                <c:pt idx="2766">
                  <c:v>2.8984835634737749E-3</c:v>
                </c:pt>
                <c:pt idx="2767">
                  <c:v>2.8984920613206455E-3</c:v>
                </c:pt>
                <c:pt idx="2768">
                  <c:v>2.8985005530168806E-3</c:v>
                </c:pt>
                <c:pt idx="2769">
                  <c:v>2.898509038606889E-3</c:v>
                </c:pt>
                <c:pt idx="2770">
                  <c:v>2.8985175180684664E-3</c:v>
                </c:pt>
                <c:pt idx="2771">
                  <c:v>2.8985259914238171E-3</c:v>
                </c:pt>
                <c:pt idx="2772">
                  <c:v>2.8985344586507367E-3</c:v>
                </c:pt>
                <c:pt idx="2773">
                  <c:v>2.8985429197714296E-3</c:v>
                </c:pt>
                <c:pt idx="2774">
                  <c:v>2.898551374785896E-3</c:v>
                </c:pt>
                <c:pt idx="2775">
                  <c:v>2.8985598237385446E-3</c:v>
                </c:pt>
                <c:pt idx="2776">
                  <c:v>2.8985682665849666E-3</c:v>
                </c:pt>
                <c:pt idx="2777">
                  <c:v>2.8985767033695709E-3</c:v>
                </c:pt>
                <c:pt idx="2778">
                  <c:v>2.8985851340479485E-3</c:v>
                </c:pt>
                <c:pt idx="2779">
                  <c:v>2.8985935587089173E-3</c:v>
                </c:pt>
                <c:pt idx="2780">
                  <c:v>2.8986019772636595E-3</c:v>
                </c:pt>
                <c:pt idx="2781">
                  <c:v>2.8986103898009929E-3</c:v>
                </c:pt>
                <c:pt idx="2782">
                  <c:v>2.8986187962765086E-3</c:v>
                </c:pt>
                <c:pt idx="2783">
                  <c:v>2.8986271967124111E-3</c:v>
                </c:pt>
                <c:pt idx="2784">
                  <c:v>2.8986355911309047E-3</c:v>
                </c:pt>
                <c:pt idx="2785">
                  <c:v>2.8986439795097851E-3</c:v>
                </c:pt>
                <c:pt idx="2786">
                  <c:v>2.8986523618712567E-3</c:v>
                </c:pt>
                <c:pt idx="2787">
                  <c:v>2.8986607382153196E-3</c:v>
                </c:pt>
                <c:pt idx="2788">
                  <c:v>2.898669108564178E-3</c:v>
                </c:pt>
                <c:pt idx="2789">
                  <c:v>2.8986774728956277E-3</c:v>
                </c:pt>
                <c:pt idx="2790">
                  <c:v>2.8986858312318731E-3</c:v>
                </c:pt>
                <c:pt idx="2791">
                  <c:v>2.8986941835951185E-3</c:v>
                </c:pt>
                <c:pt idx="2792">
                  <c:v>2.8987025299631597E-3</c:v>
                </c:pt>
                <c:pt idx="2793">
                  <c:v>2.8987108703804054E-3</c:v>
                </c:pt>
                <c:pt idx="2794">
                  <c:v>2.8987192048246513E-3</c:v>
                </c:pt>
                <c:pt idx="2795">
                  <c:v>2.8987275332736928E-3</c:v>
                </c:pt>
                <c:pt idx="2796">
                  <c:v>2.8987358557941434E-3</c:v>
                </c:pt>
                <c:pt idx="2797">
                  <c:v>2.8987441723637986E-3</c:v>
                </c:pt>
                <c:pt idx="2798">
                  <c:v>2.8987524830048628E-3</c:v>
                </c:pt>
                <c:pt idx="2799">
                  <c:v>2.8987607876729271E-3</c:v>
                </c:pt>
                <c:pt idx="2800">
                  <c:v>2.898769086434605E-3</c:v>
                </c:pt>
                <c:pt idx="2801">
                  <c:v>2.8987773792676919E-3</c:v>
                </c:pt>
                <c:pt idx="2802">
                  <c:v>2.8987856661943923E-3</c:v>
                </c:pt>
                <c:pt idx="2803">
                  <c:v>2.8987939472147062E-3</c:v>
                </c:pt>
                <c:pt idx="2804">
                  <c:v>2.8988022223064291E-3</c:v>
                </c:pt>
                <c:pt idx="2805">
                  <c:v>2.8988104915139701E-3</c:v>
                </c:pt>
                <c:pt idx="2806">
                  <c:v>2.8988187548151245E-3</c:v>
                </c:pt>
                <c:pt idx="2807">
                  <c:v>2.8988270122543014E-3</c:v>
                </c:pt>
                <c:pt idx="2808">
                  <c:v>2.8988352637870918E-3</c:v>
                </c:pt>
                <c:pt idx="2809">
                  <c:v>2.898843509480109E-3</c:v>
                </c:pt>
                <c:pt idx="2810">
                  <c:v>2.8988517492889443E-3</c:v>
                </c:pt>
                <c:pt idx="2811">
                  <c:v>2.898859983235802E-3</c:v>
                </c:pt>
                <c:pt idx="2812">
                  <c:v>2.8988682113206821E-3</c:v>
                </c:pt>
                <c:pt idx="2813">
                  <c:v>2.8988764335879935E-3</c:v>
                </c:pt>
                <c:pt idx="2814">
                  <c:v>2.8988846499711229E-3</c:v>
                </c:pt>
                <c:pt idx="2815">
                  <c:v>2.8988928605366837E-3</c:v>
                </c:pt>
                <c:pt idx="2816">
                  <c:v>2.8989010652846758E-3</c:v>
                </c:pt>
                <c:pt idx="2817">
                  <c:v>2.8989092641928949E-3</c:v>
                </c:pt>
                <c:pt idx="2818">
                  <c:v>2.8989174573057497E-3</c:v>
                </c:pt>
                <c:pt idx="2819">
                  <c:v>2.8989256445788314E-3</c:v>
                </c:pt>
                <c:pt idx="2820">
                  <c:v>2.8989338260565489E-3</c:v>
                </c:pt>
                <c:pt idx="2821">
                  <c:v>2.8989420017389023E-3</c:v>
                </c:pt>
                <c:pt idx="2822">
                  <c:v>2.8989501716258914E-3</c:v>
                </c:pt>
                <c:pt idx="2823">
                  <c:v>2.8996905355072045E-3</c:v>
                </c:pt>
                <c:pt idx="2824">
                  <c:v>2.9004303752078187E-3</c:v>
                </c:pt>
                <c:pt idx="2825">
                  <c:v>2.9011696913272544E-3</c:v>
                </c:pt>
                <c:pt idx="2826">
                  <c:v>2.9019084843984189E-3</c:v>
                </c:pt>
                <c:pt idx="2827">
                  <c:v>2.9026467549764234E-3</c:v>
                </c:pt>
                <c:pt idx="2828">
                  <c:v>2.9033845036163797E-3</c:v>
                </c:pt>
                <c:pt idx="2829">
                  <c:v>2.9041217308733991E-3</c:v>
                </c:pt>
                <c:pt idx="2830">
                  <c:v>2.9048584373025932E-3</c:v>
                </c:pt>
                <c:pt idx="2831">
                  <c:v>2.9055946234812779E-3</c:v>
                </c:pt>
                <c:pt idx="2832">
                  <c:v>2.9063302898979515E-3</c:v>
                </c:pt>
                <c:pt idx="2833">
                  <c:v>2.9070654371299298E-3</c:v>
                </c:pt>
                <c:pt idx="2834">
                  <c:v>2.9078000657545289E-3</c:v>
                </c:pt>
                <c:pt idx="2835">
                  <c:v>2.9085341763046557E-3</c:v>
                </c:pt>
                <c:pt idx="2836">
                  <c:v>2.9092677693132174E-3</c:v>
                </c:pt>
                <c:pt idx="2837">
                  <c:v>2.9100008453353254E-3</c:v>
                </c:pt>
                <c:pt idx="2838">
                  <c:v>2.9100008380966713E-3</c:v>
                </c:pt>
                <c:pt idx="2839">
                  <c:v>2.9100008308580172E-3</c:v>
                </c:pt>
                <c:pt idx="2840">
                  <c:v>2.9100008235971586E-3</c:v>
                </c:pt>
                <c:pt idx="2841">
                  <c:v>2.9100008163585045E-3</c:v>
                </c:pt>
                <c:pt idx="2842">
                  <c:v>2.9100008091198504E-3</c:v>
                </c:pt>
                <c:pt idx="2843">
                  <c:v>2.9100008019034007E-3</c:v>
                </c:pt>
                <c:pt idx="2844">
                  <c:v>2.9100007946869511E-3</c:v>
                </c:pt>
                <c:pt idx="2845">
                  <c:v>2.9100007874705014E-3</c:v>
                </c:pt>
                <c:pt idx="2846">
                  <c:v>2.9100007802540517E-3</c:v>
                </c:pt>
                <c:pt idx="2847">
                  <c:v>2.9100007730598065E-3</c:v>
                </c:pt>
                <c:pt idx="2848">
                  <c:v>2.9100007658655613E-3</c:v>
                </c:pt>
                <c:pt idx="2849">
                  <c:v>2.9100007586713161E-3</c:v>
                </c:pt>
                <c:pt idx="2850">
                  <c:v>2.9100007514770709E-3</c:v>
                </c:pt>
                <c:pt idx="2851">
                  <c:v>2.9100007442828257E-3</c:v>
                </c:pt>
                <c:pt idx="2852">
                  <c:v>2.910000737110785E-3</c:v>
                </c:pt>
                <c:pt idx="2853">
                  <c:v>2.9100007299387443E-3</c:v>
                </c:pt>
                <c:pt idx="2854">
                  <c:v>2.9100007227667035E-3</c:v>
                </c:pt>
                <c:pt idx="2855">
                  <c:v>2.9100007155946628E-3</c:v>
                </c:pt>
                <c:pt idx="2856">
                  <c:v>2.9100007084448265E-3</c:v>
                </c:pt>
                <c:pt idx="2857">
                  <c:v>2.9100007012949902E-3</c:v>
                </c:pt>
                <c:pt idx="2858">
                  <c:v>2.9100006941451539E-3</c:v>
                </c:pt>
                <c:pt idx="2859">
                  <c:v>2.9100006869731132E-3</c:v>
                </c:pt>
                <c:pt idx="2860">
                  <c:v>2.9100006798454814E-3</c:v>
                </c:pt>
                <c:pt idx="2861">
                  <c:v>2.9100006726956451E-3</c:v>
                </c:pt>
                <c:pt idx="2862">
                  <c:v>2.9100006655902177E-3</c:v>
                </c:pt>
                <c:pt idx="2863">
                  <c:v>2.9100006584625859E-3</c:v>
                </c:pt>
                <c:pt idx="2864">
                  <c:v>2.9100006513349541E-3</c:v>
                </c:pt>
                <c:pt idx="2865">
                  <c:v>2.9100006442295268E-3</c:v>
                </c:pt>
                <c:pt idx="2866">
                  <c:v>2.9100006371018949E-3</c:v>
                </c:pt>
                <c:pt idx="2867">
                  <c:v>2.9100006299964676E-3</c:v>
                </c:pt>
                <c:pt idx="2868">
                  <c:v>2.9100006228910402E-3</c:v>
                </c:pt>
                <c:pt idx="2869">
                  <c:v>2.9100006158078173E-3</c:v>
                </c:pt>
                <c:pt idx="2870">
                  <c:v>2.91000060870239E-3</c:v>
                </c:pt>
                <c:pt idx="2871">
                  <c:v>2.9100006016413715E-3</c:v>
                </c:pt>
                <c:pt idx="2872">
                  <c:v>2.9100005945581486E-3</c:v>
                </c:pt>
                <c:pt idx="2873">
                  <c:v>2.9100005874749257E-3</c:v>
                </c:pt>
                <c:pt idx="2874">
                  <c:v>2.9100005803917028E-3</c:v>
                </c:pt>
                <c:pt idx="2875">
                  <c:v>2.9100005733306844E-3</c:v>
                </c:pt>
                <c:pt idx="2876">
                  <c:v>2.910000566269666E-3</c:v>
                </c:pt>
                <c:pt idx="2877">
                  <c:v>2.910000559230852E-3</c:v>
                </c:pt>
                <c:pt idx="2878">
                  <c:v>2.9100005521698336E-3</c:v>
                </c:pt>
                <c:pt idx="2879">
                  <c:v>2.9100005451310196E-3</c:v>
                </c:pt>
                <c:pt idx="2880">
                  <c:v>2.9100005380922056E-3</c:v>
                </c:pt>
                <c:pt idx="2881">
                  <c:v>2.9100005310311872E-3</c:v>
                </c:pt>
                <c:pt idx="2882">
                  <c:v>2.9100005240145776E-3</c:v>
                </c:pt>
                <c:pt idx="2883">
                  <c:v>2.9100005169757637E-3</c:v>
                </c:pt>
                <c:pt idx="2884">
                  <c:v>2.9100005099591542E-3</c:v>
                </c:pt>
                <c:pt idx="2885">
                  <c:v>2.9100005029647491E-3</c:v>
                </c:pt>
                <c:pt idx="2886">
                  <c:v>2.9100004959481396E-3</c:v>
                </c:pt>
                <c:pt idx="2887">
                  <c:v>2.9100004889315301E-3</c:v>
                </c:pt>
                <c:pt idx="2888">
                  <c:v>2.910000481937125E-3</c:v>
                </c:pt>
                <c:pt idx="2889">
                  <c:v>2.91000047494272E-3</c:v>
                </c:pt>
                <c:pt idx="2890">
                  <c:v>2.9100004679261104E-3</c:v>
                </c:pt>
                <c:pt idx="2891">
                  <c:v>2.9100004609539099E-3</c:v>
                </c:pt>
                <c:pt idx="2892">
                  <c:v>2.9100004539817093E-3</c:v>
                </c:pt>
                <c:pt idx="2893">
                  <c:v>2.9100004469873042E-3</c:v>
                </c:pt>
                <c:pt idx="2894">
                  <c:v>2.9100004400151036E-3</c:v>
                </c:pt>
                <c:pt idx="2895">
                  <c:v>2.910000433042903E-3</c:v>
                </c:pt>
                <c:pt idx="2896">
                  <c:v>2.9100004260929069E-3</c:v>
                </c:pt>
                <c:pt idx="2897">
                  <c:v>2.9100004191207063E-3</c:v>
                </c:pt>
                <c:pt idx="2898">
                  <c:v>2.9100004121707101E-3</c:v>
                </c:pt>
                <c:pt idx="2899">
                  <c:v>2.910000405220714E-3</c:v>
                </c:pt>
                <c:pt idx="2900">
                  <c:v>2.9100003982707179E-3</c:v>
                </c:pt>
                <c:pt idx="2901">
                  <c:v>2.9100003913429262E-3</c:v>
                </c:pt>
                <c:pt idx="2902">
                  <c:v>2.9100003844151345E-3</c:v>
                </c:pt>
                <c:pt idx="2903">
                  <c:v>2.9100003774873429E-3</c:v>
                </c:pt>
                <c:pt idx="2904">
                  <c:v>2.9100003705373467E-3</c:v>
                </c:pt>
                <c:pt idx="2905">
                  <c:v>2.9100003636317595E-3</c:v>
                </c:pt>
                <c:pt idx="2906">
                  <c:v>2.9100003567261723E-3</c:v>
                </c:pt>
                <c:pt idx="2907">
                  <c:v>2.9100003497983806E-3</c:v>
                </c:pt>
                <c:pt idx="2908">
                  <c:v>2.9100003429149979E-3</c:v>
                </c:pt>
                <c:pt idx="2909">
                  <c:v>2.9100003359872062E-3</c:v>
                </c:pt>
                <c:pt idx="2910">
                  <c:v>2.9100003291038234E-3</c:v>
                </c:pt>
                <c:pt idx="2911">
                  <c:v>2.9100003221982362E-3</c:v>
                </c:pt>
                <c:pt idx="2912">
                  <c:v>2.9100003153148535E-3</c:v>
                </c:pt>
                <c:pt idx="2913">
                  <c:v>2.9100003084314707E-3</c:v>
                </c:pt>
                <c:pt idx="2914">
                  <c:v>2.9100003015702924E-3</c:v>
                </c:pt>
                <c:pt idx="2915">
                  <c:v>2.9100002946869097E-3</c:v>
                </c:pt>
                <c:pt idx="2916">
                  <c:v>2.9100002878257314E-3</c:v>
                </c:pt>
                <c:pt idx="2917">
                  <c:v>2.9100002809645531E-3</c:v>
                </c:pt>
                <c:pt idx="2918">
                  <c:v>2.9100002741033748E-3</c:v>
                </c:pt>
                <c:pt idx="2919">
                  <c:v>2.9100002672421965E-3</c:v>
                </c:pt>
                <c:pt idx="2920">
                  <c:v>2.9100002603810182E-3</c:v>
                </c:pt>
                <c:pt idx="2921">
                  <c:v>2.9100002535420444E-3</c:v>
                </c:pt>
                <c:pt idx="2922">
                  <c:v>2.9100002467030706E-3</c:v>
                </c:pt>
                <c:pt idx="2923">
                  <c:v>2.9100002398640967E-3</c:v>
                </c:pt>
                <c:pt idx="2924">
                  <c:v>2.9100002330473274E-3</c:v>
                </c:pt>
                <c:pt idx="2925">
                  <c:v>2.9100002262083535E-3</c:v>
                </c:pt>
                <c:pt idx="2926">
                  <c:v>2.9100002193915842E-3</c:v>
                </c:pt>
                <c:pt idx="2927">
                  <c:v>2.9100002125748148E-3</c:v>
                </c:pt>
                <c:pt idx="2928">
                  <c:v>2.9100002057580454E-3</c:v>
                </c:pt>
                <c:pt idx="2929">
                  <c:v>2.9100001989634805E-3</c:v>
                </c:pt>
                <c:pt idx="2930">
                  <c:v>2.9100001921467111E-3</c:v>
                </c:pt>
                <c:pt idx="2931">
                  <c:v>2.9100001853521462E-3</c:v>
                </c:pt>
                <c:pt idx="2932">
                  <c:v>2.9100001785575813E-3</c:v>
                </c:pt>
                <c:pt idx="2933">
                  <c:v>2.9100001717630164E-3</c:v>
                </c:pt>
                <c:pt idx="2934">
                  <c:v>2.9100001649906559E-3</c:v>
                </c:pt>
                <c:pt idx="2935">
                  <c:v>2.9100001582182955E-3</c:v>
                </c:pt>
                <c:pt idx="2936">
                  <c:v>2.910000151445935E-3</c:v>
                </c:pt>
                <c:pt idx="2937">
                  <c:v>2.9100001446513701E-3</c:v>
                </c:pt>
                <c:pt idx="2938">
                  <c:v>2.9100001378790097E-3</c:v>
                </c:pt>
                <c:pt idx="2939">
                  <c:v>2.9100001311288537E-3</c:v>
                </c:pt>
                <c:pt idx="2940">
                  <c:v>2.9100001243786977E-3</c:v>
                </c:pt>
                <c:pt idx="2941">
                  <c:v>2.9100001176285417E-3</c:v>
                </c:pt>
                <c:pt idx="2942">
                  <c:v>2.9100001108783857E-3</c:v>
                </c:pt>
                <c:pt idx="2943">
                  <c:v>2.9100001041504342E-3</c:v>
                </c:pt>
                <c:pt idx="2944">
                  <c:v>2.9100000974002782E-3</c:v>
                </c:pt>
                <c:pt idx="2945">
                  <c:v>2.9100000906723267E-3</c:v>
                </c:pt>
                <c:pt idx="2946">
                  <c:v>2.9100000839443751E-3</c:v>
                </c:pt>
                <c:pt idx="2947">
                  <c:v>2.9100000772164236E-3</c:v>
                </c:pt>
                <c:pt idx="2948">
                  <c:v>2.9100000704884721E-3</c:v>
                </c:pt>
                <c:pt idx="2949">
                  <c:v>2.9100000637605206E-3</c:v>
                </c:pt>
                <c:pt idx="2950">
                  <c:v>2.9100000570547735E-3</c:v>
                </c:pt>
                <c:pt idx="2951">
                  <c:v>2.9100000503490264E-3</c:v>
                </c:pt>
                <c:pt idx="2952">
                  <c:v>2.9100000436432794E-3</c:v>
                </c:pt>
                <c:pt idx="2953">
                  <c:v>2.9100000369597367E-3</c:v>
                </c:pt>
                <c:pt idx="2954">
                  <c:v>2.9100000302539897E-3</c:v>
                </c:pt>
                <c:pt idx="2955">
                  <c:v>2.9100000235704471E-3</c:v>
                </c:pt>
                <c:pt idx="2956">
                  <c:v>2.9100000169091089E-3</c:v>
                </c:pt>
                <c:pt idx="2957">
                  <c:v>2.9100000102033619E-3</c:v>
                </c:pt>
                <c:pt idx="2958">
                  <c:v>2.9100000035420237E-3</c:v>
                </c:pt>
                <c:pt idx="2959">
                  <c:v>2.9099999968584811E-3</c:v>
                </c:pt>
                <c:pt idx="2960">
                  <c:v>2.9099999901971429E-3</c:v>
                </c:pt>
                <c:pt idx="2961">
                  <c:v>2.9099999835358048E-3</c:v>
                </c:pt>
                <c:pt idx="2962">
                  <c:v>2.9099999768966711E-3</c:v>
                </c:pt>
                <c:pt idx="2963">
                  <c:v>2.909999970235333E-3</c:v>
                </c:pt>
                <c:pt idx="2964">
                  <c:v>2.9099999635739948E-3</c:v>
                </c:pt>
                <c:pt idx="2965">
                  <c:v>2.9099999569348611E-3</c:v>
                </c:pt>
                <c:pt idx="2966">
                  <c:v>2.9099999502957274E-3</c:v>
                </c:pt>
                <c:pt idx="2967">
                  <c:v>2.9099999436787982E-3</c:v>
                </c:pt>
                <c:pt idx="2968">
                  <c:v>2.9099999370396645E-3</c:v>
                </c:pt>
                <c:pt idx="2969">
                  <c:v>2.9099999304227353E-3</c:v>
                </c:pt>
                <c:pt idx="2970">
                  <c:v>2.9099999237836016E-3</c:v>
                </c:pt>
                <c:pt idx="2971">
                  <c:v>2.9099999171666724E-3</c:v>
                </c:pt>
                <c:pt idx="2972">
                  <c:v>2.9099999105497432E-3</c:v>
                </c:pt>
                <c:pt idx="2973">
                  <c:v>2.9099999039772229E-3</c:v>
                </c:pt>
                <c:pt idx="2974">
                  <c:v>2.9099998973602936E-3</c:v>
                </c:pt>
                <c:pt idx="2975">
                  <c:v>2.9099998907433644E-3</c:v>
                </c:pt>
                <c:pt idx="2976">
                  <c:v>2.9099998841708441E-3</c:v>
                </c:pt>
                <c:pt idx="2977">
                  <c:v>2.9099998775761193E-3</c:v>
                </c:pt>
                <c:pt idx="2978">
                  <c:v>2.9099998709813946E-3</c:v>
                </c:pt>
                <c:pt idx="2979">
                  <c:v>2.9099998643866698E-3</c:v>
                </c:pt>
                <c:pt idx="2980">
                  <c:v>2.9099998578141495E-3</c:v>
                </c:pt>
                <c:pt idx="2981">
                  <c:v>2.9099998512638336E-3</c:v>
                </c:pt>
                <c:pt idx="2982">
                  <c:v>2.9099998446913133E-3</c:v>
                </c:pt>
                <c:pt idx="2983">
                  <c:v>2.909999838118793E-3</c:v>
                </c:pt>
                <c:pt idx="2984">
                  <c:v>2.9099998315684772E-3</c:v>
                </c:pt>
                <c:pt idx="2985">
                  <c:v>2.9099998250181613E-3</c:v>
                </c:pt>
                <c:pt idx="2986">
                  <c:v>2.9099998184678455E-3</c:v>
                </c:pt>
                <c:pt idx="2987">
                  <c:v>2.9099998119175297E-3</c:v>
                </c:pt>
                <c:pt idx="2988">
                  <c:v>2.9099998053894183E-3</c:v>
                </c:pt>
                <c:pt idx="2989">
                  <c:v>2.9099997988391024E-3</c:v>
                </c:pt>
                <c:pt idx="2990">
                  <c:v>2.909999792310991E-3</c:v>
                </c:pt>
                <c:pt idx="2991">
                  <c:v>2.9099997857828797E-3</c:v>
                </c:pt>
                <c:pt idx="2992">
                  <c:v>2.9099997792547683E-3</c:v>
                </c:pt>
                <c:pt idx="2993">
                  <c:v>2.9099997727488613E-3</c:v>
                </c:pt>
                <c:pt idx="2994">
                  <c:v>2.90999976622075E-3</c:v>
                </c:pt>
                <c:pt idx="2995">
                  <c:v>2.909999759714843E-3</c:v>
                </c:pt>
                <c:pt idx="2996">
                  <c:v>2.9099997531867317E-3</c:v>
                </c:pt>
                <c:pt idx="2997">
                  <c:v>2.9099997466808247E-3</c:v>
                </c:pt>
                <c:pt idx="2998">
                  <c:v>2.9099997401971223E-3</c:v>
                </c:pt>
                <c:pt idx="2999">
                  <c:v>2.9099997336912153E-3</c:v>
                </c:pt>
                <c:pt idx="3000">
                  <c:v>2.9099997272075129E-3</c:v>
                </c:pt>
                <c:pt idx="3001">
                  <c:v>2.9099997207460149E-3</c:v>
                </c:pt>
                <c:pt idx="3002">
                  <c:v>2.9099997142623124E-3</c:v>
                </c:pt>
                <c:pt idx="3003">
                  <c:v>2.9099997077786099E-3</c:v>
                </c:pt>
                <c:pt idx="3004">
                  <c:v>2.9099997012949075E-3</c:v>
                </c:pt>
                <c:pt idx="3005">
                  <c:v>2.9099996948334095E-3</c:v>
                </c:pt>
                <c:pt idx="3006">
                  <c:v>2.9099996883719115E-3</c:v>
                </c:pt>
                <c:pt idx="3007">
                  <c:v>2.9099996819104135E-3</c:v>
                </c:pt>
                <c:pt idx="3008">
                  <c:v>2.9099996754489155E-3</c:v>
                </c:pt>
                <c:pt idx="3009">
                  <c:v>2.9099996690096219E-3</c:v>
                </c:pt>
                <c:pt idx="3010">
                  <c:v>2.9099996625703284E-3</c:v>
                </c:pt>
                <c:pt idx="3011">
                  <c:v>2.9099996561088304E-3</c:v>
                </c:pt>
                <c:pt idx="3012">
                  <c:v>2.9099996496695368E-3</c:v>
                </c:pt>
                <c:pt idx="3013">
                  <c:v>2.9099996432524478E-3</c:v>
                </c:pt>
                <c:pt idx="3014">
                  <c:v>2.9099996368131542E-3</c:v>
                </c:pt>
                <c:pt idx="3015">
                  <c:v>2.9099996303960651E-3</c:v>
                </c:pt>
                <c:pt idx="3016">
                  <c:v>2.909999623978976E-3</c:v>
                </c:pt>
                <c:pt idx="3017">
                  <c:v>2.909999617561887E-3</c:v>
                </c:pt>
                <c:pt idx="3018">
                  <c:v>2.9099996111447979E-3</c:v>
                </c:pt>
                <c:pt idx="3019">
                  <c:v>2.9099996047499133E-3</c:v>
                </c:pt>
                <c:pt idx="3020">
                  <c:v>2.9099995983106197E-3</c:v>
                </c:pt>
                <c:pt idx="3021">
                  <c:v>2.9099995919379396E-3</c:v>
                </c:pt>
                <c:pt idx="3022">
                  <c:v>2.9099995855430549E-3</c:v>
                </c:pt>
                <c:pt idx="3023">
                  <c:v>2.9099995791481703E-3</c:v>
                </c:pt>
                <c:pt idx="3024">
                  <c:v>2.9099995727754902E-3</c:v>
                </c:pt>
                <c:pt idx="3025">
                  <c:v>2.9099995663806055E-3</c:v>
                </c:pt>
                <c:pt idx="3026">
                  <c:v>2.9099995600079254E-3</c:v>
                </c:pt>
                <c:pt idx="3027">
                  <c:v>2.9099995536130407E-3</c:v>
                </c:pt>
                <c:pt idx="3028">
                  <c:v>2.909999547262565E-3</c:v>
                </c:pt>
                <c:pt idx="3029">
                  <c:v>2.9099995408898849E-3</c:v>
                </c:pt>
                <c:pt idx="3030">
                  <c:v>2.9099995345172047E-3</c:v>
                </c:pt>
                <c:pt idx="3031">
                  <c:v>2.909999528166729E-3</c:v>
                </c:pt>
                <c:pt idx="3032">
                  <c:v>2.9099995218162533E-3</c:v>
                </c:pt>
                <c:pt idx="3033">
                  <c:v>2.9099995154657776E-3</c:v>
                </c:pt>
                <c:pt idx="3034">
                  <c:v>2.9099995091375064E-3</c:v>
                </c:pt>
                <c:pt idx="3035">
                  <c:v>2.9099995027870307E-3</c:v>
                </c:pt>
                <c:pt idx="3036">
                  <c:v>2.9099994964587594E-3</c:v>
                </c:pt>
                <c:pt idx="3037">
                  <c:v>2.9099994901082837E-3</c:v>
                </c:pt>
                <c:pt idx="3038">
                  <c:v>2.9099994837800125E-3</c:v>
                </c:pt>
                <c:pt idx="3039">
                  <c:v>2.9099994774517413E-3</c:v>
                </c:pt>
                <c:pt idx="3040">
                  <c:v>2.9099994711456745E-3</c:v>
                </c:pt>
                <c:pt idx="3041">
                  <c:v>2.9099994648174032E-3</c:v>
                </c:pt>
                <c:pt idx="3042">
                  <c:v>2.9099994585335409E-3</c:v>
                </c:pt>
                <c:pt idx="3043">
                  <c:v>2.9099994522052697E-3</c:v>
                </c:pt>
                <c:pt idx="3044">
                  <c:v>2.9099994458992029E-3</c:v>
                </c:pt>
                <c:pt idx="3045">
                  <c:v>2.9099994395931361E-3</c:v>
                </c:pt>
                <c:pt idx="3046">
                  <c:v>2.9099994333092738E-3</c:v>
                </c:pt>
                <c:pt idx="3047">
                  <c:v>2.9099994270254115E-3</c:v>
                </c:pt>
                <c:pt idx="3048">
                  <c:v>2.9099994207415492E-3</c:v>
                </c:pt>
                <c:pt idx="3049">
                  <c:v>2.9099994144576868E-3</c:v>
                </c:pt>
                <c:pt idx="3050">
                  <c:v>2.909999408196029E-3</c:v>
                </c:pt>
                <c:pt idx="3051">
                  <c:v>2.9099994018899622E-3</c:v>
                </c:pt>
                <c:pt idx="3052">
                  <c:v>2.9099993956505088E-3</c:v>
                </c:pt>
                <c:pt idx="3053">
                  <c:v>2.9099993893666465E-3</c:v>
                </c:pt>
                <c:pt idx="3054">
                  <c:v>2.9099993831049886E-3</c:v>
                </c:pt>
                <c:pt idx="3055">
                  <c:v>2.9099993768433308E-3</c:v>
                </c:pt>
                <c:pt idx="3056">
                  <c:v>2.9099993706038774E-3</c:v>
                </c:pt>
                <c:pt idx="3057">
                  <c:v>2.9099993643422195E-3</c:v>
                </c:pt>
                <c:pt idx="3058">
                  <c:v>2.9099993581027661E-3</c:v>
                </c:pt>
                <c:pt idx="3059">
                  <c:v>2.9099993518633127E-3</c:v>
                </c:pt>
                <c:pt idx="3060">
                  <c:v>2.9099993456238593E-3</c:v>
                </c:pt>
                <c:pt idx="3061">
                  <c:v>2.9099993393844059E-3</c:v>
                </c:pt>
                <c:pt idx="3062">
                  <c:v>2.9099993331449525E-3</c:v>
                </c:pt>
                <c:pt idx="3063">
                  <c:v>2.9099993269277036E-3</c:v>
                </c:pt>
                <c:pt idx="3064">
                  <c:v>2.9099993207104546E-3</c:v>
                </c:pt>
                <c:pt idx="3065">
                  <c:v>2.9099993144932057E-3</c:v>
                </c:pt>
                <c:pt idx="3066">
                  <c:v>2.9099993082981612E-3</c:v>
                </c:pt>
                <c:pt idx="3067">
                  <c:v>2.9099993020587078E-3</c:v>
                </c:pt>
                <c:pt idx="3068">
                  <c:v>2.9099992958636633E-3</c:v>
                </c:pt>
                <c:pt idx="3069">
                  <c:v>2.9099992896686189E-3</c:v>
                </c:pt>
                <c:pt idx="3070">
                  <c:v>2.9099992834735744E-3</c:v>
                </c:pt>
                <c:pt idx="3071">
                  <c:v>2.9099992772785299E-3</c:v>
                </c:pt>
                <c:pt idx="3072">
                  <c:v>2.9099992710834854E-3</c:v>
                </c:pt>
                <c:pt idx="3073">
                  <c:v>2.9099992649106454E-3</c:v>
                </c:pt>
                <c:pt idx="3074">
                  <c:v>2.9099992587378054E-3</c:v>
                </c:pt>
                <c:pt idx="3075">
                  <c:v>2.9099992525427609E-3</c:v>
                </c:pt>
                <c:pt idx="3076">
                  <c:v>2.9099991559089489E-3</c:v>
                </c:pt>
                <c:pt idx="3077">
                  <c:v>2.9099990593417502E-3</c:v>
                </c:pt>
                <c:pt idx="3078">
                  <c:v>2.9099989628411649E-3</c:v>
                </c:pt>
                <c:pt idx="3079">
                  <c:v>2.9099988663849885E-3</c:v>
                </c:pt>
                <c:pt idx="3080">
                  <c:v>2.9099987699954255E-3</c:v>
                </c:pt>
                <c:pt idx="3081">
                  <c:v>2.9099986736724759E-3</c:v>
                </c:pt>
                <c:pt idx="3082">
                  <c:v>2.9099985774161397E-3</c:v>
                </c:pt>
                <c:pt idx="3083">
                  <c:v>2.9099984812042123E-3</c:v>
                </c:pt>
                <c:pt idx="3084">
                  <c:v>2.9099983850811029E-3</c:v>
                </c:pt>
                <c:pt idx="3085">
                  <c:v>2.9099982890024023E-3</c:v>
                </c:pt>
                <c:pt idx="3086">
                  <c:v>2.9099981930125196E-3</c:v>
                </c:pt>
                <c:pt idx="3087">
                  <c:v>2.9099980970448414E-3</c:v>
                </c:pt>
                <c:pt idx="3088">
                  <c:v>2.909998001165981E-3</c:v>
                </c:pt>
                <c:pt idx="3089">
                  <c:v>2.9099979053537339E-3</c:v>
                </c:pt>
                <c:pt idx="3090">
                  <c:v>2.9099978095858958E-3</c:v>
                </c:pt>
                <c:pt idx="3091">
                  <c:v>2.9099979229840756E-3</c:v>
                </c:pt>
                <c:pt idx="3092">
                  <c:v>2.9099980363378464E-3</c:v>
                </c:pt>
                <c:pt idx="3093">
                  <c:v>2.9099981496027993E-3</c:v>
                </c:pt>
                <c:pt idx="3094">
                  <c:v>2.9099982628011389E-3</c:v>
                </c:pt>
                <c:pt idx="3095">
                  <c:v>2.9099983759106607E-3</c:v>
                </c:pt>
                <c:pt idx="3096">
                  <c:v>2.9099984889535691E-3</c:v>
                </c:pt>
                <c:pt idx="3097">
                  <c:v>2.909998601929864E-3</c:v>
                </c:pt>
                <c:pt idx="3098">
                  <c:v>2.9099987148395456E-3</c:v>
                </c:pt>
                <c:pt idx="3099">
                  <c:v>2.9099988276382049E-3</c:v>
                </c:pt>
                <c:pt idx="3100">
                  <c:v>2.9099989404146598E-3</c:v>
                </c:pt>
                <c:pt idx="3101">
                  <c:v>2.9099990530800923E-3</c:v>
                </c:pt>
                <c:pt idx="3102">
                  <c:v>2.9099991657011159E-3</c:v>
                </c:pt>
                <c:pt idx="3103">
                  <c:v>2.9099992782333217E-3</c:v>
                </c:pt>
                <c:pt idx="3104">
                  <c:v>2.9099993906989141E-3</c:v>
                </c:pt>
                <c:pt idx="3105">
                  <c:v>2.9099995030978931E-3</c:v>
                </c:pt>
                <c:pt idx="3106">
                  <c:v>2.9099996154080543E-3</c:v>
                </c:pt>
                <c:pt idx="3107">
                  <c:v>2.9099997276738065E-3</c:v>
                </c:pt>
                <c:pt idx="3108">
                  <c:v>2.9099998398285365E-3</c:v>
                </c:pt>
                <c:pt idx="3109">
                  <c:v>2.9099999519388575E-3</c:v>
                </c:pt>
                <c:pt idx="3110">
                  <c:v>2.9100000639825652E-3</c:v>
                </c:pt>
                <c:pt idx="3111">
                  <c:v>2.910000175937455E-3</c:v>
                </c:pt>
                <c:pt idx="3112">
                  <c:v>2.9100002878257314E-3</c:v>
                </c:pt>
                <c:pt idx="3113">
                  <c:v>2.9100003996473944E-3</c:v>
                </c:pt>
                <c:pt idx="3114">
                  <c:v>2.9100005114024441E-3</c:v>
                </c:pt>
                <c:pt idx="3115">
                  <c:v>2.9100006230464714E-3</c:v>
                </c:pt>
                <c:pt idx="3116">
                  <c:v>2.9100007346460899E-3</c:v>
                </c:pt>
                <c:pt idx="3117">
                  <c:v>2.9100008461790949E-3</c:v>
                </c:pt>
                <c:pt idx="3118">
                  <c:v>2.9100009576454866E-3</c:v>
                </c:pt>
                <c:pt idx="3119">
                  <c:v>2.9100010690230604E-3</c:v>
                </c:pt>
                <c:pt idx="3120">
                  <c:v>2.9100011803340209E-3</c:v>
                </c:pt>
                <c:pt idx="3121">
                  <c:v>2.910001291578368E-3</c:v>
                </c:pt>
                <c:pt idx="3122">
                  <c:v>2.9100014027561016E-3</c:v>
                </c:pt>
                <c:pt idx="3123">
                  <c:v>2.9100015138672219E-3</c:v>
                </c:pt>
                <c:pt idx="3124">
                  <c:v>2.9100016248895244E-3</c:v>
                </c:pt>
                <c:pt idx="3125">
                  <c:v>2.9100017358674179E-3</c:v>
                </c:pt>
                <c:pt idx="3126">
                  <c:v>2.9100018467342892E-3</c:v>
                </c:pt>
                <c:pt idx="3127">
                  <c:v>2.9100019575567515E-3</c:v>
                </c:pt>
                <c:pt idx="3128">
                  <c:v>2.910002068290396E-3</c:v>
                </c:pt>
                <c:pt idx="3129">
                  <c:v>2.9100021789796315E-3</c:v>
                </c:pt>
                <c:pt idx="3130">
                  <c:v>2.9100022895800493E-3</c:v>
                </c:pt>
                <c:pt idx="3131">
                  <c:v>2.9100024001138536E-3</c:v>
                </c:pt>
                <c:pt idx="3132">
                  <c:v>2.9100025105810445E-3</c:v>
                </c:pt>
                <c:pt idx="3133">
                  <c:v>2.9100026209594176E-3</c:v>
                </c:pt>
                <c:pt idx="3134">
                  <c:v>2.9100027312933818E-3</c:v>
                </c:pt>
                <c:pt idx="3135">
                  <c:v>2.9100028415385282E-3</c:v>
                </c:pt>
                <c:pt idx="3136">
                  <c:v>2.9100029517392656E-3</c:v>
                </c:pt>
                <c:pt idx="3137">
                  <c:v>2.9100030618511852E-3</c:v>
                </c:pt>
                <c:pt idx="3138">
                  <c:v>2.9100031718742869E-3</c:v>
                </c:pt>
                <c:pt idx="3139">
                  <c:v>2.9100032818529797E-3</c:v>
                </c:pt>
                <c:pt idx="3140">
                  <c:v>2.9100033917428547E-3</c:v>
                </c:pt>
                <c:pt idx="3141">
                  <c:v>2.9100035015883208E-3</c:v>
                </c:pt>
                <c:pt idx="3142">
                  <c:v>2.910003611344969E-3</c:v>
                </c:pt>
                <c:pt idx="3143">
                  <c:v>2.9100037210572083E-3</c:v>
                </c:pt>
                <c:pt idx="3144">
                  <c:v>2.9100038306584253E-3</c:v>
                </c:pt>
                <c:pt idx="3145">
                  <c:v>2.9100039402152333E-3</c:v>
                </c:pt>
                <c:pt idx="3146">
                  <c:v>2.9100040496832236E-3</c:v>
                </c:pt>
                <c:pt idx="3147">
                  <c:v>2.9100041591290093E-3</c:v>
                </c:pt>
                <c:pt idx="3148">
                  <c:v>2.9100042684415683E-3</c:v>
                </c:pt>
                <c:pt idx="3149">
                  <c:v>2.9100043777319229E-3</c:v>
                </c:pt>
                <c:pt idx="3150">
                  <c:v>2.9100044869112551E-3</c:v>
                </c:pt>
                <c:pt idx="3151">
                  <c:v>2.9100045960683829E-3</c:v>
                </c:pt>
                <c:pt idx="3152">
                  <c:v>2.9100047051366928E-3</c:v>
                </c:pt>
                <c:pt idx="3153">
                  <c:v>2.9100048141383894E-3</c:v>
                </c:pt>
                <c:pt idx="3154">
                  <c:v>2.9100049230512681E-3</c:v>
                </c:pt>
                <c:pt idx="3155">
                  <c:v>2.9100050319197379E-3</c:v>
                </c:pt>
                <c:pt idx="3156">
                  <c:v>2.9100051406993899E-3</c:v>
                </c:pt>
                <c:pt idx="3157">
                  <c:v>2.9100052494346329E-3</c:v>
                </c:pt>
                <c:pt idx="3158">
                  <c:v>2.9100053580810581E-3</c:v>
                </c:pt>
                <c:pt idx="3159">
                  <c:v>2.9100054666608699E-3</c:v>
                </c:pt>
                <c:pt idx="3160">
                  <c:v>2.9100055751740683E-3</c:v>
                </c:pt>
                <c:pt idx="3161">
                  <c:v>2.9100056836206534E-3</c:v>
                </c:pt>
                <c:pt idx="3162">
                  <c:v>2.910005792000625E-3</c:v>
                </c:pt>
                <c:pt idx="3163">
                  <c:v>2.9100059003139833E-3</c:v>
                </c:pt>
                <c:pt idx="3164">
                  <c:v>2.9100060085607282E-3</c:v>
                </c:pt>
                <c:pt idx="3165">
                  <c:v>2.9100061167186553E-3</c:v>
                </c:pt>
                <c:pt idx="3166">
                  <c:v>2.910006224809969E-3</c:v>
                </c:pt>
                <c:pt idx="3167">
                  <c:v>2.9100063328790782E-3</c:v>
                </c:pt>
                <c:pt idx="3168">
                  <c:v>2.9100064408149606E-3</c:v>
                </c:pt>
                <c:pt idx="3169">
                  <c:v>2.9100065487508431E-3</c:v>
                </c:pt>
                <c:pt idx="3170">
                  <c:v>2.9100066565534988E-3</c:v>
                </c:pt>
                <c:pt idx="3171">
                  <c:v>2.91000676433395E-3</c:v>
                </c:pt>
                <c:pt idx="3172">
                  <c:v>2.9100068720255834E-3</c:v>
                </c:pt>
                <c:pt idx="3173">
                  <c:v>2.9100069796506034E-3</c:v>
                </c:pt>
                <c:pt idx="3174">
                  <c:v>2.91000708720901E-3</c:v>
                </c:pt>
                <c:pt idx="3175">
                  <c:v>2.9100071947008033E-3</c:v>
                </c:pt>
                <c:pt idx="3176">
                  <c:v>2.9100073021259831E-3</c:v>
                </c:pt>
                <c:pt idx="3177">
                  <c:v>2.9100074094623452E-3</c:v>
                </c:pt>
                <c:pt idx="3178">
                  <c:v>2.9100075167765027E-3</c:v>
                </c:pt>
                <c:pt idx="3179">
                  <c:v>2.910007623979638E-3</c:v>
                </c:pt>
                <c:pt idx="3180">
                  <c:v>2.9100077311605688E-3</c:v>
                </c:pt>
                <c:pt idx="3181">
                  <c:v>2.9100078382304773E-3</c:v>
                </c:pt>
                <c:pt idx="3182">
                  <c:v>2.9100079452559768E-3</c:v>
                </c:pt>
                <c:pt idx="3183">
                  <c:v>2.910008052214863E-3</c:v>
                </c:pt>
                <c:pt idx="3184">
                  <c:v>2.9100081590849314E-3</c:v>
                </c:pt>
                <c:pt idx="3185">
                  <c:v>2.9100082659105908E-3</c:v>
                </c:pt>
                <c:pt idx="3186">
                  <c:v>2.9100083726696369E-3</c:v>
                </c:pt>
                <c:pt idx="3187">
                  <c:v>2.9100084793398651E-3</c:v>
                </c:pt>
                <c:pt idx="3188">
                  <c:v>2.9100085859656843E-3</c:v>
                </c:pt>
                <c:pt idx="3189">
                  <c:v>2.9100086925026858E-3</c:v>
                </c:pt>
                <c:pt idx="3190">
                  <c:v>2.9100087989952783E-3</c:v>
                </c:pt>
                <c:pt idx="3191">
                  <c:v>2.9100089054212575E-3</c:v>
                </c:pt>
                <c:pt idx="3192">
                  <c:v>2.9100090117584188E-3</c:v>
                </c:pt>
                <c:pt idx="3193">
                  <c:v>2.9100091180511711E-3</c:v>
                </c:pt>
                <c:pt idx="3194">
                  <c:v>2.9100092242773101E-3</c:v>
                </c:pt>
                <c:pt idx="3195">
                  <c:v>2.9100093304146313E-3</c:v>
                </c:pt>
                <c:pt idx="3196">
                  <c:v>2.9100094364853391E-3</c:v>
                </c:pt>
                <c:pt idx="3197">
                  <c:v>2.9100095425338424E-3</c:v>
                </c:pt>
                <c:pt idx="3198">
                  <c:v>2.9100096484713234E-3</c:v>
                </c:pt>
                <c:pt idx="3199">
                  <c:v>2.9100097543643955E-3</c:v>
                </c:pt>
                <c:pt idx="3200">
                  <c:v>2.9100098601686497E-3</c:v>
                </c:pt>
                <c:pt idx="3201">
                  <c:v>2.910009965928495E-3</c:v>
                </c:pt>
                <c:pt idx="3202">
                  <c:v>2.9100100715995225E-3</c:v>
                </c:pt>
                <c:pt idx="3203">
                  <c:v>2.9100101772261411E-3</c:v>
                </c:pt>
                <c:pt idx="3204">
                  <c:v>2.9100102827861463E-3</c:v>
                </c:pt>
                <c:pt idx="3205">
                  <c:v>2.9100103883017425E-3</c:v>
                </c:pt>
                <c:pt idx="3206">
                  <c:v>2.910010493684112E-3</c:v>
                </c:pt>
                <c:pt idx="3207">
                  <c:v>2.9100105990664815E-3</c:v>
                </c:pt>
                <c:pt idx="3208">
                  <c:v>2.9100107043378287E-3</c:v>
                </c:pt>
                <c:pt idx="3209">
                  <c:v>2.910010809564767E-3</c:v>
                </c:pt>
                <c:pt idx="3210">
                  <c:v>2.9100109147472963E-3</c:v>
                </c:pt>
                <c:pt idx="3211">
                  <c:v>2.9100110198410079E-3</c:v>
                </c:pt>
                <c:pt idx="3212">
                  <c:v>2.910011124868106E-3</c:v>
                </c:pt>
                <c:pt idx="3213">
                  <c:v>2.9100112298285907E-3</c:v>
                </c:pt>
                <c:pt idx="3214">
                  <c:v>2.9100113347224621E-3</c:v>
                </c:pt>
                <c:pt idx="3215">
                  <c:v>2.9100114395719245E-3</c:v>
                </c:pt>
                <c:pt idx="3216">
                  <c:v>2.9100115443325691E-3</c:v>
                </c:pt>
                <c:pt idx="3217">
                  <c:v>2.9100116490488048E-3</c:v>
                </c:pt>
                <c:pt idx="3218">
                  <c:v>2.9100117536762227E-3</c:v>
                </c:pt>
                <c:pt idx="3219">
                  <c:v>2.9100118582370271E-3</c:v>
                </c:pt>
                <c:pt idx="3220">
                  <c:v>2.9100119627756271E-3</c:v>
                </c:pt>
                <c:pt idx="3221">
                  <c:v>2.9100120672032048E-3</c:v>
                </c:pt>
                <c:pt idx="3222">
                  <c:v>2.9100121715863736E-3</c:v>
                </c:pt>
                <c:pt idx="3223">
                  <c:v>2.910012275902929E-3</c:v>
                </c:pt>
                <c:pt idx="3224">
                  <c:v>2.910012380152871E-3</c:v>
                </c:pt>
                <c:pt idx="3225">
                  <c:v>2.9100124843361996E-3</c:v>
                </c:pt>
                <c:pt idx="3226">
                  <c:v>2.9100125884529149E-3</c:v>
                </c:pt>
                <c:pt idx="3227">
                  <c:v>2.9100126925252212E-3</c:v>
                </c:pt>
                <c:pt idx="3228">
                  <c:v>2.9100127965087097E-3</c:v>
                </c:pt>
                <c:pt idx="3229">
                  <c:v>2.9100129004477893E-3</c:v>
                </c:pt>
                <c:pt idx="3230">
                  <c:v>2.910013004298051E-3</c:v>
                </c:pt>
                <c:pt idx="3231">
                  <c:v>2.9100131080816993E-3</c:v>
                </c:pt>
                <c:pt idx="3232">
                  <c:v>2.9100132118209387E-3</c:v>
                </c:pt>
                <c:pt idx="3233">
                  <c:v>2.9100133155157692E-3</c:v>
                </c:pt>
                <c:pt idx="3234">
                  <c:v>2.9100134190995774E-3</c:v>
                </c:pt>
                <c:pt idx="3235">
                  <c:v>2.9100135226389767E-3</c:v>
                </c:pt>
                <c:pt idx="3236">
                  <c:v>2.9100136261339671E-3</c:v>
                </c:pt>
                <c:pt idx="3237">
                  <c:v>2.9100137295401396E-3</c:v>
                </c:pt>
                <c:pt idx="3238">
                  <c:v>2.9100138329019032E-3</c:v>
                </c:pt>
                <c:pt idx="3239">
                  <c:v>2.9100139361748489E-3</c:v>
                </c:pt>
                <c:pt idx="3240">
                  <c:v>2.9100140393811813E-3</c:v>
                </c:pt>
                <c:pt idx="3241">
                  <c:v>2.9100141425653092E-3</c:v>
                </c:pt>
                <c:pt idx="3242">
                  <c:v>2.9100142456384148E-3</c:v>
                </c:pt>
                <c:pt idx="3243">
                  <c:v>2.910014348689316E-3</c:v>
                </c:pt>
                <c:pt idx="3244">
                  <c:v>2.9100144516513993E-3</c:v>
                </c:pt>
                <c:pt idx="3245">
                  <c:v>2.9100145545690737E-3</c:v>
                </c:pt>
                <c:pt idx="3246">
                  <c:v>2.9100146573979302E-3</c:v>
                </c:pt>
                <c:pt idx="3247">
                  <c:v>2.9100147601823778E-3</c:v>
                </c:pt>
                <c:pt idx="3248">
                  <c:v>2.9100148629002121E-3</c:v>
                </c:pt>
                <c:pt idx="3249">
                  <c:v>2.9100149655514329E-3</c:v>
                </c:pt>
                <c:pt idx="3250">
                  <c:v>2.9100150681360404E-3</c:v>
                </c:pt>
                <c:pt idx="3251">
                  <c:v>2.9100151706540345E-3</c:v>
                </c:pt>
                <c:pt idx="3252">
                  <c:v>2.9100152731276197E-3</c:v>
                </c:pt>
                <c:pt idx="3253">
                  <c:v>2.910015375512387E-3</c:v>
                </c:pt>
                <c:pt idx="3254">
                  <c:v>2.9100154778527454E-3</c:v>
                </c:pt>
                <c:pt idx="3255">
                  <c:v>2.9100155801264904E-3</c:v>
                </c:pt>
                <c:pt idx="3256">
                  <c:v>2.9100156823336221E-3</c:v>
                </c:pt>
                <c:pt idx="3257">
                  <c:v>2.9100157844741403E-3</c:v>
                </c:pt>
                <c:pt idx="3258">
                  <c:v>2.9100158865702497E-3</c:v>
                </c:pt>
                <c:pt idx="3259">
                  <c:v>2.9100159885997456E-3</c:v>
                </c:pt>
                <c:pt idx="3260">
                  <c:v>2.9100160905626282E-3</c:v>
                </c:pt>
                <c:pt idx="3261">
                  <c:v>2.9100161924811019E-3</c:v>
                </c:pt>
                <c:pt idx="3262">
                  <c:v>2.9100162943107577E-3</c:v>
                </c:pt>
                <c:pt idx="3263">
                  <c:v>2.9100163960515957E-3</c:v>
                </c:pt>
                <c:pt idx="3264">
                  <c:v>2.9100164977702292E-3</c:v>
                </c:pt>
                <c:pt idx="3265">
                  <c:v>2.9100165994444538E-3</c:v>
                </c:pt>
                <c:pt idx="3266">
                  <c:v>2.9100167010076561E-3</c:v>
                </c:pt>
                <c:pt idx="3267">
                  <c:v>2.9100168025264495E-3</c:v>
                </c:pt>
                <c:pt idx="3268">
                  <c:v>2.9100169040008339E-3</c:v>
                </c:pt>
                <c:pt idx="3269">
                  <c:v>2.910017005408605E-3</c:v>
                </c:pt>
                <c:pt idx="3270">
                  <c:v>2.9100171067497627E-3</c:v>
                </c:pt>
                <c:pt idx="3271">
                  <c:v>2.9100172080021025E-3</c:v>
                </c:pt>
                <c:pt idx="3272">
                  <c:v>2.9100173092322379E-3</c:v>
                </c:pt>
                <c:pt idx="3273">
                  <c:v>2.9100174103957599E-3</c:v>
                </c:pt>
                <c:pt idx="3274">
                  <c:v>2.9100175114704641E-3</c:v>
                </c:pt>
                <c:pt idx="3275">
                  <c:v>2.9100176125007593E-3</c:v>
                </c:pt>
                <c:pt idx="3276">
                  <c:v>2.9100177134866456E-3</c:v>
                </c:pt>
                <c:pt idx="3277">
                  <c:v>2.9100178143615096E-3</c:v>
                </c:pt>
                <c:pt idx="3278">
                  <c:v>2.9100179152363737E-3</c:v>
                </c:pt>
                <c:pt idx="3279">
                  <c:v>2.9100180160002154E-3</c:v>
                </c:pt>
                <c:pt idx="3280">
                  <c:v>2.9100181167196482E-3</c:v>
                </c:pt>
                <c:pt idx="3281">
                  <c:v>2.9100182173724676E-3</c:v>
                </c:pt>
                <c:pt idx="3282">
                  <c:v>2.9100183179808781E-3</c:v>
                </c:pt>
                <c:pt idx="3283">
                  <c:v>2.9100184185226752E-3</c:v>
                </c:pt>
                <c:pt idx="3284">
                  <c:v>2.9100185189978589E-3</c:v>
                </c:pt>
                <c:pt idx="3285">
                  <c:v>2.9100186194286337E-3</c:v>
                </c:pt>
                <c:pt idx="3286">
                  <c:v>2.9100187197705907E-3</c:v>
                </c:pt>
                <c:pt idx="3287">
                  <c:v>2.9100188200459343E-3</c:v>
                </c:pt>
                <c:pt idx="3288">
                  <c:v>2.9100189202990734E-3</c:v>
                </c:pt>
                <c:pt idx="3289">
                  <c:v>2.9100190204633947E-3</c:v>
                </c:pt>
                <c:pt idx="3290">
                  <c:v>2.9100191205611026E-3</c:v>
                </c:pt>
                <c:pt idx="3291">
                  <c:v>2.9100192206144015E-3</c:v>
                </c:pt>
                <c:pt idx="3292">
                  <c:v>2.9100193206010871E-3</c:v>
                </c:pt>
                <c:pt idx="3293">
                  <c:v>2.9100194205433638E-3</c:v>
                </c:pt>
                <c:pt idx="3294">
                  <c:v>2.9100195203968227E-3</c:v>
                </c:pt>
                <c:pt idx="3295">
                  <c:v>2.9100196202058726E-3</c:v>
                </c:pt>
                <c:pt idx="3296">
                  <c:v>2.9100197199483091E-3</c:v>
                </c:pt>
                <c:pt idx="3297">
                  <c:v>2.9100198196463367E-3</c:v>
                </c:pt>
                <c:pt idx="3298">
                  <c:v>2.9100199192555465E-3</c:v>
                </c:pt>
                <c:pt idx="3299">
                  <c:v>2.9100200188203473E-3</c:v>
                </c:pt>
                <c:pt idx="3300">
                  <c:v>2.9100201183407393E-3</c:v>
                </c:pt>
                <c:pt idx="3301">
                  <c:v>2.9100202177945178E-3</c:v>
                </c:pt>
                <c:pt idx="3302">
                  <c:v>2.9100203171594785E-3</c:v>
                </c:pt>
                <c:pt idx="3303">
                  <c:v>2.9100204164800303E-3</c:v>
                </c:pt>
                <c:pt idx="3304">
                  <c:v>2.9100205157561732E-3</c:v>
                </c:pt>
                <c:pt idx="3305">
                  <c:v>2.9100206149434982E-3</c:v>
                </c:pt>
                <c:pt idx="3306">
                  <c:v>2.9100207140864143E-3</c:v>
                </c:pt>
                <c:pt idx="3307">
                  <c:v>2.9100208131849215E-3</c:v>
                </c:pt>
                <c:pt idx="3308">
                  <c:v>2.9100209122168152E-3</c:v>
                </c:pt>
                <c:pt idx="3309">
                  <c:v>2.9100210111598912E-3</c:v>
                </c:pt>
                <c:pt idx="3310">
                  <c:v>2.9100211100807627E-3</c:v>
                </c:pt>
                <c:pt idx="3311">
                  <c:v>2.9100212089128163E-3</c:v>
                </c:pt>
                <c:pt idx="3312">
                  <c:v>2.9100213077004611E-3</c:v>
                </c:pt>
                <c:pt idx="3313">
                  <c:v>2.9100214064214924E-3</c:v>
                </c:pt>
                <c:pt idx="3314">
                  <c:v>2.9100215050981149E-3</c:v>
                </c:pt>
                <c:pt idx="3315">
                  <c:v>2.9100216036859194E-3</c:v>
                </c:pt>
                <c:pt idx="3316">
                  <c:v>2.9100217022293151E-3</c:v>
                </c:pt>
                <c:pt idx="3317">
                  <c:v>2.9100218007283019E-3</c:v>
                </c:pt>
                <c:pt idx="3318">
                  <c:v>2.9100218991606752E-3</c:v>
                </c:pt>
                <c:pt idx="3319">
                  <c:v>2.9100219975042307E-3</c:v>
                </c:pt>
                <c:pt idx="3320">
                  <c:v>2.9100220958477863E-3</c:v>
                </c:pt>
                <c:pt idx="3321">
                  <c:v>2.9100221940803195E-3</c:v>
                </c:pt>
                <c:pt idx="3322">
                  <c:v>2.9100222922684438E-3</c:v>
                </c:pt>
                <c:pt idx="3323">
                  <c:v>2.9100223903899547E-3</c:v>
                </c:pt>
                <c:pt idx="3324">
                  <c:v>2.9100224884670567E-3</c:v>
                </c:pt>
                <c:pt idx="3325">
                  <c:v>2.910022564139858E-3</c:v>
                </c:pt>
                <c:pt idx="3326">
                  <c:v>2.910022639746046E-3</c:v>
                </c:pt>
                <c:pt idx="3327">
                  <c:v>2.9100227153078251E-3</c:v>
                </c:pt>
                <c:pt idx="3328">
                  <c:v>2.9100227908251952E-3</c:v>
                </c:pt>
                <c:pt idx="3329">
                  <c:v>2.9100228662981564E-3</c:v>
                </c:pt>
                <c:pt idx="3330">
                  <c:v>2.9100229417489132E-3</c:v>
                </c:pt>
                <c:pt idx="3331">
                  <c:v>2.9100230171330566E-3</c:v>
                </c:pt>
                <c:pt idx="3332">
                  <c:v>2.910023092472791E-3</c:v>
                </c:pt>
                <c:pt idx="3333">
                  <c:v>2.9100231677681165E-3</c:v>
                </c:pt>
                <c:pt idx="3334">
                  <c:v>2.9100232430190331E-3</c:v>
                </c:pt>
                <c:pt idx="3335">
                  <c:v>2.9100233182255408E-3</c:v>
                </c:pt>
                <c:pt idx="3336">
                  <c:v>2.9100233933876396E-3</c:v>
                </c:pt>
                <c:pt idx="3337">
                  <c:v>2.910023468483125E-3</c:v>
                </c:pt>
                <c:pt idx="3338">
                  <c:v>2.9100235435786104E-3</c:v>
                </c:pt>
                <c:pt idx="3339">
                  <c:v>2.9100236186074824E-3</c:v>
                </c:pt>
                <c:pt idx="3340">
                  <c:v>2.9100234531176383E-3</c:v>
                </c:pt>
                <c:pt idx="3341">
                  <c:v>2.9100232877388166E-3</c:v>
                </c:pt>
                <c:pt idx="3342">
                  <c:v>2.9100231224710171E-3</c:v>
                </c:pt>
                <c:pt idx="3343">
                  <c:v>2.9100229572920355E-3</c:v>
                </c:pt>
                <c:pt idx="3344">
                  <c:v>2.9100227922240762E-3</c:v>
                </c:pt>
                <c:pt idx="3345">
                  <c:v>2.9100226272227303E-3</c:v>
                </c:pt>
                <c:pt idx="3346">
                  <c:v>2.9100224623546112E-3</c:v>
                </c:pt>
                <c:pt idx="3347">
                  <c:v>2.9100222975753098E-3</c:v>
                </c:pt>
                <c:pt idx="3348">
                  <c:v>2.9100221328848264E-3</c:v>
                </c:pt>
                <c:pt idx="3349">
                  <c:v>2.9100219683053652E-3</c:v>
                </c:pt>
                <c:pt idx="3350">
                  <c:v>2.9100218038147219E-3</c:v>
                </c:pt>
                <c:pt idx="3351">
                  <c:v>2.9100216394351008E-3</c:v>
                </c:pt>
                <c:pt idx="3352">
                  <c:v>2.9100214751220932E-3</c:v>
                </c:pt>
                <c:pt idx="3353">
                  <c:v>2.9100213109423123E-3</c:v>
                </c:pt>
                <c:pt idx="3354">
                  <c:v>2.9100211468291448E-3</c:v>
                </c:pt>
                <c:pt idx="3355">
                  <c:v>2.9100209828492041E-3</c:v>
                </c:pt>
                <c:pt idx="3356">
                  <c:v>2.9100208189358767E-3</c:v>
                </c:pt>
                <c:pt idx="3357">
                  <c:v>2.9100206551557761E-3</c:v>
                </c:pt>
                <c:pt idx="3358">
                  <c:v>2.9100204914422889E-3</c:v>
                </c:pt>
                <c:pt idx="3359">
                  <c:v>2.9100203278176195E-3</c:v>
                </c:pt>
                <c:pt idx="3360">
                  <c:v>2.9100201643039725E-3</c:v>
                </c:pt>
                <c:pt idx="3361">
                  <c:v>2.9100200009013477E-3</c:v>
                </c:pt>
                <c:pt idx="3362">
                  <c:v>2.9100198375875408E-3</c:v>
                </c:pt>
                <c:pt idx="3363">
                  <c:v>2.9100196743625517E-3</c:v>
                </c:pt>
                <c:pt idx="3364">
                  <c:v>2.9100195112485849E-3</c:v>
                </c:pt>
                <c:pt idx="3365">
                  <c:v>2.9100193482012315E-3</c:v>
                </c:pt>
                <c:pt idx="3366">
                  <c:v>2.9100191852871049E-3</c:v>
                </c:pt>
                <c:pt idx="3367">
                  <c:v>2.9100190224617961E-3</c:v>
                </c:pt>
                <c:pt idx="3368">
                  <c:v>2.9100188597031007E-3</c:v>
                </c:pt>
                <c:pt idx="3369">
                  <c:v>2.9100186970776321E-3</c:v>
                </c:pt>
                <c:pt idx="3370">
                  <c:v>2.9100185345409812E-3</c:v>
                </c:pt>
                <c:pt idx="3371">
                  <c:v>2.9100183720931483E-3</c:v>
                </c:pt>
                <c:pt idx="3372">
                  <c:v>2.9100182097341332E-3</c:v>
                </c:pt>
                <c:pt idx="3373">
                  <c:v>2.9100180475083448E-3</c:v>
                </c:pt>
                <c:pt idx="3374">
                  <c:v>2.9100178853269654E-3</c:v>
                </c:pt>
                <c:pt idx="3375">
                  <c:v>2.9100177232566082E-3</c:v>
                </c:pt>
                <c:pt idx="3376">
                  <c:v>2.9100175612972734E-3</c:v>
                </c:pt>
                <c:pt idx="3377">
                  <c:v>2.9100173994267564E-3</c:v>
                </c:pt>
                <c:pt idx="3378">
                  <c:v>2.9100172376672617E-3</c:v>
                </c:pt>
                <c:pt idx="3379">
                  <c:v>2.9100170759743804E-3</c:v>
                </c:pt>
                <c:pt idx="3380">
                  <c:v>2.9100169144147259E-3</c:v>
                </c:pt>
                <c:pt idx="3381">
                  <c:v>2.9100167529216847E-3</c:v>
                </c:pt>
                <c:pt idx="3382">
                  <c:v>2.9100165915174614E-3</c:v>
                </c:pt>
                <c:pt idx="3383">
                  <c:v>2.9100164302464648E-3</c:v>
                </c:pt>
                <c:pt idx="3384">
                  <c:v>2.9100162690420817E-3</c:v>
                </c:pt>
                <c:pt idx="3385">
                  <c:v>2.9100161079265163E-3</c:v>
                </c:pt>
                <c:pt idx="3386">
                  <c:v>2.9100159469219733E-3</c:v>
                </c:pt>
                <c:pt idx="3387">
                  <c:v>2.9100157860062481E-3</c:v>
                </c:pt>
                <c:pt idx="3388">
                  <c:v>2.9100156251793408E-3</c:v>
                </c:pt>
                <c:pt idx="3389">
                  <c:v>2.9100154644634557E-3</c:v>
                </c:pt>
                <c:pt idx="3390">
                  <c:v>2.9100153038141841E-3</c:v>
                </c:pt>
                <c:pt idx="3391">
                  <c:v>2.9100151432981392E-3</c:v>
                </c:pt>
                <c:pt idx="3392">
                  <c:v>2.9100149828487076E-3</c:v>
                </c:pt>
                <c:pt idx="3393">
                  <c:v>2.910014822488094E-3</c:v>
                </c:pt>
                <c:pt idx="3394">
                  <c:v>2.910014662260707E-3</c:v>
                </c:pt>
                <c:pt idx="3395">
                  <c:v>2.9100145020999335E-3</c:v>
                </c:pt>
                <c:pt idx="3396">
                  <c:v>2.9100143420501823E-3</c:v>
                </c:pt>
                <c:pt idx="3397">
                  <c:v>2.91001418204484E-3</c:v>
                </c:pt>
                <c:pt idx="3398">
                  <c:v>2.9100140221949289E-3</c:v>
                </c:pt>
                <c:pt idx="3399">
                  <c:v>2.9100138624116312E-3</c:v>
                </c:pt>
                <c:pt idx="3400">
                  <c:v>2.9100137027171513E-3</c:v>
                </c:pt>
                <c:pt idx="3401">
                  <c:v>2.9100135431336938E-3</c:v>
                </c:pt>
                <c:pt idx="3402">
                  <c:v>2.910013383639054E-3</c:v>
                </c:pt>
                <c:pt idx="3403">
                  <c:v>2.9100132242110277E-3</c:v>
                </c:pt>
                <c:pt idx="3404">
                  <c:v>2.9100130649162281E-3</c:v>
                </c:pt>
                <c:pt idx="3405">
                  <c:v>2.9100129056880419E-3</c:v>
                </c:pt>
                <c:pt idx="3406">
                  <c:v>2.9100127465708781E-3</c:v>
                </c:pt>
                <c:pt idx="3407">
                  <c:v>2.910012587542532E-3</c:v>
                </c:pt>
                <c:pt idx="3408">
                  <c:v>2.9100124286030038E-3</c:v>
                </c:pt>
                <c:pt idx="3409">
                  <c:v>2.9100122697522934E-3</c:v>
                </c:pt>
                <c:pt idx="3410">
                  <c:v>2.9100121110126054E-3</c:v>
                </c:pt>
                <c:pt idx="3411">
                  <c:v>2.9100119523395307E-3</c:v>
                </c:pt>
                <c:pt idx="3412">
                  <c:v>2.9100117937774783E-3</c:v>
                </c:pt>
                <c:pt idx="3413">
                  <c:v>2.9100116353042438E-3</c:v>
                </c:pt>
                <c:pt idx="3414">
                  <c:v>2.9100114769198271E-3</c:v>
                </c:pt>
                <c:pt idx="3415">
                  <c:v>2.9100113186464327E-3</c:v>
                </c:pt>
                <c:pt idx="3416">
                  <c:v>2.9100111604618562E-3</c:v>
                </c:pt>
                <c:pt idx="3417">
                  <c:v>2.910011002343893E-3</c:v>
                </c:pt>
                <c:pt idx="3418">
                  <c:v>2.9100108443369521E-3</c:v>
                </c:pt>
                <c:pt idx="3419">
                  <c:v>2.9100106864188291E-3</c:v>
                </c:pt>
                <c:pt idx="3420">
                  <c:v>2.9100105285895239E-3</c:v>
                </c:pt>
                <c:pt idx="3421">
                  <c:v>2.910010370871241E-3</c:v>
                </c:pt>
                <c:pt idx="3422">
                  <c:v>2.9100102132195715E-3</c:v>
                </c:pt>
                <c:pt idx="3423">
                  <c:v>2.9100100556789243E-3</c:v>
                </c:pt>
                <c:pt idx="3424">
                  <c:v>2.9100098982048905E-3</c:v>
                </c:pt>
                <c:pt idx="3425">
                  <c:v>2.9100097408640835E-3</c:v>
                </c:pt>
                <c:pt idx="3426">
                  <c:v>2.9100095835676854E-3</c:v>
                </c:pt>
                <c:pt idx="3427">
                  <c:v>2.910009426404514E-3</c:v>
                </c:pt>
                <c:pt idx="3428">
                  <c:v>2.910009269307956E-3</c:v>
                </c:pt>
                <c:pt idx="3429">
                  <c:v>2.9100091123002159E-3</c:v>
                </c:pt>
                <c:pt idx="3430">
                  <c:v>2.910008955403498E-3</c:v>
                </c:pt>
                <c:pt idx="3431">
                  <c:v>2.910008798595598E-3</c:v>
                </c:pt>
                <c:pt idx="3432">
                  <c:v>2.9100086418765159E-3</c:v>
                </c:pt>
                <c:pt idx="3433">
                  <c:v>2.9100084852240471E-3</c:v>
                </c:pt>
                <c:pt idx="3434">
                  <c:v>2.9100083287048051E-3</c:v>
                </c:pt>
                <c:pt idx="3435">
                  <c:v>2.9100081722521765E-3</c:v>
                </c:pt>
                <c:pt idx="3436">
                  <c:v>2.9100080158883657E-3</c:v>
                </c:pt>
                <c:pt idx="3437">
                  <c:v>2.9100078596355772E-3</c:v>
                </c:pt>
                <c:pt idx="3438">
                  <c:v>2.9100077034494021E-3</c:v>
                </c:pt>
                <c:pt idx="3439">
                  <c:v>2.9100075473520448E-3</c:v>
                </c:pt>
                <c:pt idx="3440">
                  <c:v>2.9100073913657099E-3</c:v>
                </c:pt>
                <c:pt idx="3441">
                  <c:v>2.9100072354459883E-3</c:v>
                </c:pt>
                <c:pt idx="3442">
                  <c:v>2.9100070796594935E-3</c:v>
                </c:pt>
                <c:pt idx="3443">
                  <c:v>2.9100069239174076E-3</c:v>
                </c:pt>
                <c:pt idx="3444">
                  <c:v>2.910006768286344E-3</c:v>
                </c:pt>
                <c:pt idx="3445">
                  <c:v>2.9100066127440982E-3</c:v>
                </c:pt>
                <c:pt idx="3446">
                  <c:v>2.9100064572906703E-3</c:v>
                </c:pt>
                <c:pt idx="3447">
                  <c:v>2.9100063019260602E-3</c:v>
                </c:pt>
                <c:pt idx="3448">
                  <c:v>2.910006146650268E-3</c:v>
                </c:pt>
                <c:pt idx="3449">
                  <c:v>2.9100059914854981E-3</c:v>
                </c:pt>
                <c:pt idx="3450">
                  <c:v>2.9100058363873416E-3</c:v>
                </c:pt>
                <c:pt idx="3451">
                  <c:v>2.9100056813780029E-3</c:v>
                </c:pt>
                <c:pt idx="3452">
                  <c:v>2.910005526457482E-3</c:v>
                </c:pt>
                <c:pt idx="3453">
                  <c:v>2.9100053716479835E-3</c:v>
                </c:pt>
                <c:pt idx="3454">
                  <c:v>2.9100052169273027E-3</c:v>
                </c:pt>
                <c:pt idx="3455">
                  <c:v>2.9100050622732354E-3</c:v>
                </c:pt>
                <c:pt idx="3456">
                  <c:v>2.9100049077301904E-3</c:v>
                </c:pt>
                <c:pt idx="3457">
                  <c:v>2.9100047532537587E-3</c:v>
                </c:pt>
                <c:pt idx="3458">
                  <c:v>2.9100045988661449E-3</c:v>
                </c:pt>
                <c:pt idx="3459">
                  <c:v>2.9100044445895534E-3</c:v>
                </c:pt>
                <c:pt idx="3460">
                  <c:v>2.9100042904017798E-3</c:v>
                </c:pt>
                <c:pt idx="3461">
                  <c:v>2.9100041362806195E-3</c:v>
                </c:pt>
                <c:pt idx="3462">
                  <c:v>2.9100039822704815E-3</c:v>
                </c:pt>
                <c:pt idx="3463">
                  <c:v>2.9100038283269569E-3</c:v>
                </c:pt>
                <c:pt idx="3464">
                  <c:v>2.9100036744944546E-3</c:v>
                </c:pt>
                <c:pt idx="3465">
                  <c:v>2.9100035207285657E-3</c:v>
                </c:pt>
                <c:pt idx="3466">
                  <c:v>2.9100033670736991E-3</c:v>
                </c:pt>
                <c:pt idx="3467">
                  <c:v>2.9100032135076503E-3</c:v>
                </c:pt>
                <c:pt idx="3468">
                  <c:v>2.910003060008215E-3</c:v>
                </c:pt>
                <c:pt idx="3469">
                  <c:v>2.9100029066198019E-3</c:v>
                </c:pt>
                <c:pt idx="3470">
                  <c:v>2.9100027532980022E-3</c:v>
                </c:pt>
                <c:pt idx="3471">
                  <c:v>2.9100026000872248E-3</c:v>
                </c:pt>
                <c:pt idx="3472">
                  <c:v>2.9100024469430608E-3</c:v>
                </c:pt>
                <c:pt idx="3473">
                  <c:v>2.910002293909919E-3</c:v>
                </c:pt>
                <c:pt idx="3474">
                  <c:v>2.9100021409655952E-3</c:v>
                </c:pt>
                <c:pt idx="3475">
                  <c:v>2.9100019880878847E-3</c:v>
                </c:pt>
                <c:pt idx="3476">
                  <c:v>2.910001835298992E-3</c:v>
                </c:pt>
                <c:pt idx="3477">
                  <c:v>2.9100016825989172E-3</c:v>
                </c:pt>
                <c:pt idx="3478">
                  <c:v>2.9100015299876603E-3</c:v>
                </c:pt>
                <c:pt idx="3479">
                  <c:v>2.9100013774874256E-3</c:v>
                </c:pt>
                <c:pt idx="3480">
                  <c:v>2.9100012250538043E-3</c:v>
                </c:pt>
                <c:pt idx="3481">
                  <c:v>2.9100010727090009E-3</c:v>
                </c:pt>
                <c:pt idx="3482">
                  <c:v>2.9100009204530153E-3</c:v>
                </c:pt>
                <c:pt idx="3483">
                  <c:v>2.910000768308052E-3</c:v>
                </c:pt>
                <c:pt idx="3484">
                  <c:v>2.9100006161852932E-3</c:v>
                </c:pt>
                <c:pt idx="3485">
                  <c:v>2.9100004641957611E-3</c:v>
                </c:pt>
                <c:pt idx="3486">
                  <c:v>2.9100003123172513E-3</c:v>
                </c:pt>
                <c:pt idx="3487">
                  <c:v>2.9100001604831505E-3</c:v>
                </c:pt>
                <c:pt idx="3488">
                  <c:v>2.9100000087600719E-3</c:v>
                </c:pt>
                <c:pt idx="3489">
                  <c:v>2.9099998571258112E-3</c:v>
                </c:pt>
                <c:pt idx="3490">
                  <c:v>2.9099997055581639E-3</c:v>
                </c:pt>
                <c:pt idx="3491">
                  <c:v>2.9099995540793344E-3</c:v>
                </c:pt>
                <c:pt idx="3492">
                  <c:v>2.9099994026893228E-3</c:v>
                </c:pt>
                <c:pt idx="3493">
                  <c:v>2.909999251388129E-3</c:v>
                </c:pt>
                <c:pt idx="3494">
                  <c:v>2.9099991001979575E-3</c:v>
                </c:pt>
                <c:pt idx="3495">
                  <c:v>2.9099989490743994E-3</c:v>
                </c:pt>
                <c:pt idx="3496">
                  <c:v>2.9099987980174546E-3</c:v>
                </c:pt>
                <c:pt idx="3497">
                  <c:v>2.9099986470715322E-3</c:v>
                </c:pt>
                <c:pt idx="3498">
                  <c:v>2.9099984962144276E-3</c:v>
                </c:pt>
                <c:pt idx="3499">
                  <c:v>2.9099983454239364E-3</c:v>
                </c:pt>
                <c:pt idx="3500">
                  <c:v>2.9099981947222631E-3</c:v>
                </c:pt>
                <c:pt idx="3501">
                  <c:v>2.909998044131612E-3</c:v>
                </c:pt>
                <c:pt idx="3502">
                  <c:v>2.9099978936075743E-3</c:v>
                </c:pt>
                <c:pt idx="3503">
                  <c:v>2.9099977431723545E-3</c:v>
                </c:pt>
                <c:pt idx="3504">
                  <c:v>2.9099975928259525E-3</c:v>
                </c:pt>
                <c:pt idx="3505">
                  <c:v>2.9099974425461639E-3</c:v>
                </c:pt>
                <c:pt idx="3506">
                  <c:v>2.9099972923773976E-3</c:v>
                </c:pt>
                <c:pt idx="3507">
                  <c:v>2.9099971422752446E-3</c:v>
                </c:pt>
                <c:pt idx="3508">
                  <c:v>2.909996992284114E-3</c:v>
                </c:pt>
                <c:pt idx="3509">
                  <c:v>2.9099968423595968E-3</c:v>
                </c:pt>
                <c:pt idx="3510">
                  <c:v>2.9099966925238974E-3</c:v>
                </c:pt>
                <c:pt idx="3511">
                  <c:v>2.9099965427770158E-3</c:v>
                </c:pt>
                <c:pt idx="3512">
                  <c:v>2.9099963931189521E-3</c:v>
                </c:pt>
                <c:pt idx="3513">
                  <c:v>2.9099962435275017E-3</c:v>
                </c:pt>
                <c:pt idx="3514">
                  <c:v>2.9099960940248693E-3</c:v>
                </c:pt>
                <c:pt idx="3515">
                  <c:v>2.9099959446110546E-3</c:v>
                </c:pt>
                <c:pt idx="3516">
                  <c:v>2.9099957953082622E-3</c:v>
                </c:pt>
                <c:pt idx="3517">
                  <c:v>2.9099956460720833E-3</c:v>
                </c:pt>
                <c:pt idx="3518">
                  <c:v>2.9099954969025177E-3</c:v>
                </c:pt>
                <c:pt idx="3519">
                  <c:v>2.9099953478217699E-3</c:v>
                </c:pt>
                <c:pt idx="3520">
                  <c:v>2.90999519882984E-3</c:v>
                </c:pt>
                <c:pt idx="3521">
                  <c:v>2.9099950499489324E-3</c:v>
                </c:pt>
                <c:pt idx="3522">
                  <c:v>2.9099949011346382E-3</c:v>
                </c:pt>
                <c:pt idx="3523">
                  <c:v>2.9099947524091618E-3</c:v>
                </c:pt>
                <c:pt idx="3524">
                  <c:v>2.9099946037502988E-3</c:v>
                </c:pt>
                <c:pt idx="3525">
                  <c:v>2.9099944551802537E-3</c:v>
                </c:pt>
                <c:pt idx="3526">
                  <c:v>2.9099943066990264E-3</c:v>
                </c:pt>
                <c:pt idx="3527">
                  <c:v>2.9099941583066169E-3</c:v>
                </c:pt>
                <c:pt idx="3528">
                  <c:v>2.9099940100030253E-3</c:v>
                </c:pt>
                <c:pt idx="3529">
                  <c:v>2.909993861766047E-3</c:v>
                </c:pt>
                <c:pt idx="3530">
                  <c:v>2.9099937136400911E-3</c:v>
                </c:pt>
                <c:pt idx="3531">
                  <c:v>2.909993565558544E-3</c:v>
                </c:pt>
                <c:pt idx="3532">
                  <c:v>2.9099934175880193E-3</c:v>
                </c:pt>
                <c:pt idx="3533">
                  <c:v>2.9099932697063124E-3</c:v>
                </c:pt>
                <c:pt idx="3534">
                  <c:v>2.9099931218912189E-3</c:v>
                </c:pt>
                <c:pt idx="3535">
                  <c:v>2.9099929741649433E-3</c:v>
                </c:pt>
                <c:pt idx="3536">
                  <c:v>2.9099928265274855E-3</c:v>
                </c:pt>
                <c:pt idx="3537">
                  <c:v>2.909992678956641E-3</c:v>
                </c:pt>
                <c:pt idx="3538">
                  <c:v>2.9099925314968189E-3</c:v>
                </c:pt>
                <c:pt idx="3539">
                  <c:v>2.9099923841036102E-3</c:v>
                </c:pt>
                <c:pt idx="3540">
                  <c:v>2.9099922367992193E-3</c:v>
                </c:pt>
                <c:pt idx="3541">
                  <c:v>2.9099920895614417E-3</c:v>
                </c:pt>
                <c:pt idx="3542">
                  <c:v>2.9099919424346865E-3</c:v>
                </c:pt>
                <c:pt idx="3543">
                  <c:v>2.9099917953745447E-3</c:v>
                </c:pt>
                <c:pt idx="3544">
                  <c:v>2.9099916483810162E-3</c:v>
                </c:pt>
                <c:pt idx="3545">
                  <c:v>2.90999150149851E-3</c:v>
                </c:pt>
                <c:pt idx="3546">
                  <c:v>2.9099913547048217E-3</c:v>
                </c:pt>
                <c:pt idx="3547">
                  <c:v>2.9099912079777468E-3</c:v>
                </c:pt>
                <c:pt idx="3548">
                  <c:v>2.9099910613394897E-3</c:v>
                </c:pt>
                <c:pt idx="3549">
                  <c:v>2.909990914767846E-3</c:v>
                </c:pt>
                <c:pt idx="3550">
                  <c:v>2.9099907682628157E-3</c:v>
                </c:pt>
                <c:pt idx="3551">
                  <c:v>2.9099906218688076E-3</c:v>
                </c:pt>
                <c:pt idx="3552">
                  <c:v>2.9099904755636175E-3</c:v>
                </c:pt>
                <c:pt idx="3553">
                  <c:v>2.9099903293472451E-3</c:v>
                </c:pt>
                <c:pt idx="3554">
                  <c:v>2.9099901831752817E-3</c:v>
                </c:pt>
                <c:pt idx="3555">
                  <c:v>2.9099900371143406E-3</c:v>
                </c:pt>
                <c:pt idx="3556">
                  <c:v>2.9099898911422173E-3</c:v>
                </c:pt>
                <c:pt idx="3557">
                  <c:v>2.9099897452367074E-3</c:v>
                </c:pt>
                <c:pt idx="3558">
                  <c:v>2.9099895994200153E-3</c:v>
                </c:pt>
                <c:pt idx="3559">
                  <c:v>2.9099894536699367E-3</c:v>
                </c:pt>
                <c:pt idx="3560">
                  <c:v>2.9099893080086758E-3</c:v>
                </c:pt>
                <c:pt idx="3561">
                  <c:v>2.9099891624362328E-3</c:v>
                </c:pt>
                <c:pt idx="3562">
                  <c:v>2.9099890169526077E-3</c:v>
                </c:pt>
                <c:pt idx="3563">
                  <c:v>2.9099888715355959E-3</c:v>
                </c:pt>
                <c:pt idx="3564">
                  <c:v>2.909988726207402E-3</c:v>
                </c:pt>
                <c:pt idx="3565">
                  <c:v>2.9099885809458215E-3</c:v>
                </c:pt>
                <c:pt idx="3566">
                  <c:v>2.9099884357730588E-3</c:v>
                </c:pt>
                <c:pt idx="3567">
                  <c:v>2.9099882907113184E-3</c:v>
                </c:pt>
                <c:pt idx="3568">
                  <c:v>2.9099881456939869E-3</c:v>
                </c:pt>
                <c:pt idx="3569">
                  <c:v>2.9099880007654733E-3</c:v>
                </c:pt>
                <c:pt idx="3570">
                  <c:v>2.9099878559257775E-3</c:v>
                </c:pt>
                <c:pt idx="3571">
                  <c:v>2.9099877111748995E-3</c:v>
                </c:pt>
                <c:pt idx="3572">
                  <c:v>2.9099875664906349E-3</c:v>
                </c:pt>
                <c:pt idx="3573">
                  <c:v>2.9099874218729838E-3</c:v>
                </c:pt>
                <c:pt idx="3574">
                  <c:v>2.9099872773663549E-3</c:v>
                </c:pt>
                <c:pt idx="3575">
                  <c:v>2.9099871329265614E-3</c:v>
                </c:pt>
                <c:pt idx="3576">
                  <c:v>2.9099870191064969E-3</c:v>
                </c:pt>
                <c:pt idx="3577">
                  <c:v>2.9099869053308414E-3</c:v>
                </c:pt>
                <c:pt idx="3578">
                  <c:v>2.9099867916217992E-3</c:v>
                </c:pt>
                <c:pt idx="3579">
                  <c:v>2.9099866779793704E-3</c:v>
                </c:pt>
                <c:pt idx="3580">
                  <c:v>2.9099865643813505E-3</c:v>
                </c:pt>
                <c:pt idx="3581">
                  <c:v>2.9099864508721485E-3</c:v>
                </c:pt>
                <c:pt idx="3582">
                  <c:v>2.9099863374073554E-3</c:v>
                </c:pt>
                <c:pt idx="3583">
                  <c:v>2.9099862240313801E-3</c:v>
                </c:pt>
                <c:pt idx="3584">
                  <c:v>2.9099861106998137E-3</c:v>
                </c:pt>
                <c:pt idx="3585">
                  <c:v>2.9099859974348607E-3</c:v>
                </c:pt>
                <c:pt idx="3586">
                  <c:v>2.9099858842143167E-3</c:v>
                </c:pt>
                <c:pt idx="3587">
                  <c:v>2.9099857710825905E-3</c:v>
                </c:pt>
                <c:pt idx="3588">
                  <c:v>2.9099856579952732E-3</c:v>
                </c:pt>
                <c:pt idx="3589">
                  <c:v>2.9099855449967738E-3</c:v>
                </c:pt>
                <c:pt idx="3590">
                  <c:v>2.9099854320446816E-3</c:v>
                </c:pt>
                <c:pt idx="3591">
                  <c:v>2.9099854320446816E-3</c:v>
                </c:pt>
                <c:pt idx="3592">
                  <c:v>2.9099854320446816E-3</c:v>
                </c:pt>
                <c:pt idx="3593">
                  <c:v>2.9099854320446816E-3</c:v>
                </c:pt>
                <c:pt idx="3594">
                  <c:v>2.9099854320446816E-3</c:v>
                </c:pt>
                <c:pt idx="3595">
                  <c:v>2.9099854320446816E-3</c:v>
                </c:pt>
                <c:pt idx="3596">
                  <c:v>2.9099854320446816E-3</c:v>
                </c:pt>
                <c:pt idx="3597">
                  <c:v>2.9099854320446816E-3</c:v>
                </c:pt>
                <c:pt idx="3598">
                  <c:v>2.9099854320446816E-3</c:v>
                </c:pt>
                <c:pt idx="3599">
                  <c:v>2.9099854320446816E-3</c:v>
                </c:pt>
                <c:pt idx="3600">
                  <c:v>2.9099854320446816E-3</c:v>
                </c:pt>
                <c:pt idx="3601">
                  <c:v>2.9099854320446816E-3</c:v>
                </c:pt>
                <c:pt idx="3602">
                  <c:v>2.9099854320446816E-3</c:v>
                </c:pt>
                <c:pt idx="3603">
                  <c:v>2.9099854320446816E-3</c:v>
                </c:pt>
                <c:pt idx="3604">
                  <c:v>2.9099854320446816E-3</c:v>
                </c:pt>
                <c:pt idx="3605">
                  <c:v>2.9099854320446816E-3</c:v>
                </c:pt>
                <c:pt idx="3606">
                  <c:v>2.9099854320446816E-3</c:v>
                </c:pt>
                <c:pt idx="3607">
                  <c:v>2.9099854320446816E-3</c:v>
                </c:pt>
                <c:pt idx="3608">
                  <c:v>2.9099854320446816E-3</c:v>
                </c:pt>
                <c:pt idx="3609">
                  <c:v>2.9099854320446816E-3</c:v>
                </c:pt>
                <c:pt idx="3610">
                  <c:v>2.9099854320446816E-3</c:v>
                </c:pt>
                <c:pt idx="3611">
                  <c:v>2.9099854320446816E-3</c:v>
                </c:pt>
                <c:pt idx="3612">
                  <c:v>2.9099854320446816E-3</c:v>
                </c:pt>
                <c:pt idx="3613">
                  <c:v>2.9099854320446816E-3</c:v>
                </c:pt>
                <c:pt idx="3614">
                  <c:v>2.9099854320446816E-3</c:v>
                </c:pt>
                <c:pt idx="3615">
                  <c:v>2.9099854320446816E-3</c:v>
                </c:pt>
                <c:pt idx="3616">
                  <c:v>2.9099854320446816E-3</c:v>
                </c:pt>
                <c:pt idx="3617">
                  <c:v>2.9099854320446816E-3</c:v>
                </c:pt>
                <c:pt idx="3618">
                  <c:v>2.9099854320446816E-3</c:v>
                </c:pt>
                <c:pt idx="3619">
                  <c:v>2.9099854320446816E-3</c:v>
                </c:pt>
                <c:pt idx="3620">
                  <c:v>2.9099854320446816E-3</c:v>
                </c:pt>
                <c:pt idx="3621">
                  <c:v>2.9099854320446816E-3</c:v>
                </c:pt>
                <c:pt idx="3622">
                  <c:v>2.9099854320446816E-3</c:v>
                </c:pt>
                <c:pt idx="3623">
                  <c:v>2.9099854320446816E-3</c:v>
                </c:pt>
                <c:pt idx="3624">
                  <c:v>2.9099854320446816E-3</c:v>
                </c:pt>
                <c:pt idx="3625">
                  <c:v>2.9099854320446816E-3</c:v>
                </c:pt>
                <c:pt idx="3626">
                  <c:v>2.9099854320446816E-3</c:v>
                </c:pt>
                <c:pt idx="3627">
                  <c:v>2.9099854320446816E-3</c:v>
                </c:pt>
                <c:pt idx="3628">
                  <c:v>2.9099854320446816E-3</c:v>
                </c:pt>
                <c:pt idx="3629">
                  <c:v>2.9099854320446816E-3</c:v>
                </c:pt>
                <c:pt idx="3630">
                  <c:v>2.9099854320446816E-3</c:v>
                </c:pt>
                <c:pt idx="3631">
                  <c:v>2.9099854320446816E-3</c:v>
                </c:pt>
                <c:pt idx="3632">
                  <c:v>2.9099854320446816E-3</c:v>
                </c:pt>
                <c:pt idx="3633">
                  <c:v>2.9099854320446816E-3</c:v>
                </c:pt>
                <c:pt idx="3634">
                  <c:v>2.9099854320446816E-3</c:v>
                </c:pt>
                <c:pt idx="3635">
                  <c:v>2.9099854320446816E-3</c:v>
                </c:pt>
                <c:pt idx="3636">
                  <c:v>2.9099854320446816E-3</c:v>
                </c:pt>
                <c:pt idx="3637">
                  <c:v>2.9099854320446816E-3</c:v>
                </c:pt>
                <c:pt idx="3638">
                  <c:v>2.9099854320446816E-3</c:v>
                </c:pt>
                <c:pt idx="3639">
                  <c:v>2.9099854320446816E-3</c:v>
                </c:pt>
                <c:pt idx="3640">
                  <c:v>2.9099854320446816E-3</c:v>
                </c:pt>
                <c:pt idx="3641">
                  <c:v>2.9099854320446816E-3</c:v>
                </c:pt>
                <c:pt idx="3642">
                  <c:v>2.9099854320446816E-3</c:v>
                </c:pt>
                <c:pt idx="3643">
                  <c:v>2.9099854320446816E-3</c:v>
                </c:pt>
                <c:pt idx="3644">
                  <c:v>2.9099854320446816E-3</c:v>
                </c:pt>
                <c:pt idx="3645">
                  <c:v>2.9099854320446816E-3</c:v>
                </c:pt>
                <c:pt idx="3646">
                  <c:v>2.9099854320446816E-3</c:v>
                </c:pt>
                <c:pt idx="3647">
                  <c:v>2.9099854320446816E-3</c:v>
                </c:pt>
                <c:pt idx="3648">
                  <c:v>2.9099854320446816E-3</c:v>
                </c:pt>
                <c:pt idx="3649">
                  <c:v>2.9099854320446816E-3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09-4EFA-B23B-6A21D7420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018783"/>
        <c:axId val="188028383"/>
      </c:barChart>
      <c:lineChart>
        <c:grouping val="standard"/>
        <c:varyColors val="0"/>
        <c:ser>
          <c:idx val="1"/>
          <c:order val="0"/>
          <c:tx>
            <c:strRef>
              <c:f>Interpolações!$E$1</c:f>
              <c:strCache>
                <c:ptCount val="1"/>
                <c:pt idx="0">
                  <c:v>DI (30/08)</c:v>
                </c:pt>
              </c:strCache>
            </c:strRef>
          </c:tx>
          <c:spPr>
            <a:ln w="28575" cap="rnd">
              <a:solidFill>
                <a:schemeClr val="accent2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Interpolações!$E$2:$E$3651</c:f>
              <c:numCache>
                <c:formatCode>0.00%</c:formatCode>
                <c:ptCount val="3650"/>
                <c:pt idx="0">
                  <c:v>0.10398837307910247</c:v>
                </c:pt>
                <c:pt idx="1">
                  <c:v>0.10468565646342132</c:v>
                </c:pt>
                <c:pt idx="2">
                  <c:v>0.10491808533583669</c:v>
                </c:pt>
                <c:pt idx="3">
                  <c:v>0.10503429997454905</c:v>
                </c:pt>
                <c:pt idx="4">
                  <c:v>0.1051040288222671</c:v>
                </c:pt>
                <c:pt idx="5">
                  <c:v>0.10515051474719872</c:v>
                </c:pt>
                <c:pt idx="6">
                  <c:v>0.10518371899417289</c:v>
                </c:pt>
                <c:pt idx="7">
                  <c:v>0.10520862218510452</c:v>
                </c:pt>
                <c:pt idx="8">
                  <c:v>0.10522799133876326</c:v>
                </c:pt>
                <c:pt idx="9">
                  <c:v>0.10524348666389738</c:v>
                </c:pt>
                <c:pt idx="10">
                  <c:v>0.10525616465937304</c:v>
                </c:pt>
                <c:pt idx="11">
                  <c:v>0.10526672965658346</c:v>
                </c:pt>
                <c:pt idx="12">
                  <c:v>0.10527566927054366</c:v>
                </c:pt>
                <c:pt idx="13">
                  <c:v>0.10528333179773419</c:v>
                </c:pt>
                <c:pt idx="14">
                  <c:v>0.10528997265453199</c:v>
                </c:pt>
                <c:pt idx="15">
                  <c:v>0.10529578340501278</c:v>
                </c:pt>
                <c:pt idx="16">
                  <c:v>0.10530091053766455</c:v>
                </c:pt>
                <c:pt idx="17">
                  <c:v>0.10530546798959151</c:v>
                </c:pt>
                <c:pt idx="18">
                  <c:v>0.10530954570966422</c:v>
                </c:pt>
                <c:pt idx="19">
                  <c:v>0.1053132156578318</c:v>
                </c:pt>
                <c:pt idx="20">
                  <c:v>0.10531653608736313</c:v>
                </c:pt>
                <c:pt idx="21">
                  <c:v>0.10531955465983445</c:v>
                </c:pt>
                <c:pt idx="22">
                  <c:v>0.10540974677033521</c:v>
                </c:pt>
                <c:pt idx="23">
                  <c:v>0.1054924229431542</c:v>
                </c:pt>
                <c:pt idx="24">
                  <c:v>0.10556848508245231</c:v>
                </c:pt>
                <c:pt idx="25">
                  <c:v>0.1056386963391942</c:v>
                </c:pt>
                <c:pt idx="26">
                  <c:v>0.10570370680589303</c:v>
                </c:pt>
                <c:pt idx="27">
                  <c:v>0.10576407370583851</c:v>
                </c:pt>
                <c:pt idx="28">
                  <c:v>0.10582027740375644</c:v>
                </c:pt>
                <c:pt idx="29">
                  <c:v>0.105872734217205</c:v>
                </c:pt>
                <c:pt idx="30">
                  <c:v>0.10592180674482421</c:v>
                </c:pt>
                <c:pt idx="31">
                  <c:v>0.10596781226142049</c:v>
                </c:pt>
                <c:pt idx="32">
                  <c:v>0.1060110295841854</c:v>
                </c:pt>
                <c:pt idx="33">
                  <c:v>0.10605170472837155</c:v>
                </c:pt>
                <c:pt idx="34">
                  <c:v>0.1060900555939881</c:v>
                </c:pt>
                <c:pt idx="35">
                  <c:v>0.10612627586934487</c:v>
                </c:pt>
                <c:pt idx="36">
                  <c:v>0.10616053830385663</c:v>
                </c:pt>
                <c:pt idx="37">
                  <c:v>0.10619299746339461</c:v>
                </c:pt>
                <c:pt idx="38">
                  <c:v>0.10622379206026711</c:v>
                </c:pt>
                <c:pt idx="39">
                  <c:v>0.10625304693618887</c:v>
                </c:pt>
                <c:pt idx="40">
                  <c:v>0.10628087475286208</c:v>
                </c:pt>
                <c:pt idx="41">
                  <c:v>0.10630737744248275</c:v>
                </c:pt>
                <c:pt idx="42">
                  <c:v>0.1063326474554982</c:v>
                </c:pt>
                <c:pt idx="43">
                  <c:v>0.10635676883756773</c:v>
                </c:pt>
                <c:pt idx="44">
                  <c:v>0.1063798181635629</c:v>
                </c:pt>
                <c:pt idx="45">
                  <c:v>0.10649991889575272</c:v>
                </c:pt>
                <c:pt idx="46">
                  <c:v>0.10661490909347204</c:v>
                </c:pt>
                <c:pt idx="47">
                  <c:v>0.10672510815701308</c:v>
                </c:pt>
                <c:pt idx="48">
                  <c:v>0.10683080941344958</c:v>
                </c:pt>
                <c:pt idx="49">
                  <c:v>0.10693228272478095</c:v>
                </c:pt>
                <c:pt idx="50">
                  <c:v>0.10702977678733738</c:v>
                </c:pt>
                <c:pt idx="51">
                  <c:v>0.10712352116775126</c:v>
                </c:pt>
                <c:pt idx="52">
                  <c:v>0.10721372810738039</c:v>
                </c:pt>
                <c:pt idx="53">
                  <c:v>0.1073005941259364</c:v>
                </c:pt>
                <c:pt idx="54">
                  <c:v>0.10738430145165179</c:v>
                </c:pt>
                <c:pt idx="55">
                  <c:v>0.10746501929619345</c:v>
                </c:pt>
                <c:pt idx="56">
                  <c:v>0.10754290499734864</c:v>
                </c:pt>
                <c:pt idx="57">
                  <c:v>0.10761810504236191</c:v>
                </c:pt>
                <c:pt idx="58">
                  <c:v>0.1076907559867335</c:v>
                </c:pt>
                <c:pt idx="59">
                  <c:v>0.10776098528313405</c:v>
                </c:pt>
                <c:pt idx="60">
                  <c:v>0.1078289120266307</c:v>
                </c:pt>
                <c:pt idx="61">
                  <c:v>0.10789464762868128</c:v>
                </c:pt>
                <c:pt idx="62">
                  <c:v>0.10795829642729071</c:v>
                </c:pt>
                <c:pt idx="63">
                  <c:v>0.10801995623950322</c:v>
                </c:pt>
                <c:pt idx="64">
                  <c:v>0.10813827581725999</c:v>
                </c:pt>
                <c:pt idx="65">
                  <c:v>0.10825301008692279</c:v>
                </c:pt>
                <c:pt idx="66">
                  <c:v>0.10836431957859105</c:v>
                </c:pt>
                <c:pt idx="67">
                  <c:v>0.10847235538007372</c:v>
                </c:pt>
                <c:pt idx="68">
                  <c:v>0.10857725982065247</c:v>
                </c:pt>
                <c:pt idx="69">
                  <c:v>0.10867916709671466</c:v>
                </c:pt>
                <c:pt idx="70">
                  <c:v>0.10877820384471715</c:v>
                </c:pt>
                <c:pt idx="71">
                  <c:v>0.10887448966576674</c:v>
                </c:pt>
                <c:pt idx="72">
                  <c:v>0.10896813760807866</c:v>
                </c:pt>
                <c:pt idx="73">
                  <c:v>0.10905925460900079</c:v>
                </c:pt>
                <c:pt idx="74">
                  <c:v>0.10914794190275412</c:v>
                </c:pt>
                <c:pt idx="75">
                  <c:v>0.10923429539602125</c:v>
                </c:pt>
                <c:pt idx="76">
                  <c:v>0.10931840601282605</c:v>
                </c:pt>
                <c:pt idx="77">
                  <c:v>0.10940036001529929</c:v>
                </c:pt>
                <c:pt idx="78">
                  <c:v>0.10948023929737705</c:v>
                </c:pt>
                <c:pt idx="79">
                  <c:v>0.10955812165878154</c:v>
                </c:pt>
                <c:pt idx="80">
                  <c:v>0.109634081057286</c:v>
                </c:pt>
                <c:pt idx="81">
                  <c:v>0.10970818784310499</c:v>
                </c:pt>
                <c:pt idx="82">
                  <c:v>0.10978050897607616</c:v>
                </c:pt>
                <c:pt idx="83">
                  <c:v>0.10985110822778754</c:v>
                </c:pt>
                <c:pt idx="84">
                  <c:v>0.10992004636865071</c:v>
                </c:pt>
                <c:pt idx="85">
                  <c:v>0.11000883048968291</c:v>
                </c:pt>
                <c:pt idx="86">
                  <c:v>0.11009557367254175</c:v>
                </c:pt>
                <c:pt idx="87">
                  <c:v>0.11018034549197253</c:v>
                </c:pt>
                <c:pt idx="88">
                  <c:v>0.11026321239608894</c:v>
                </c:pt>
                <c:pt idx="89">
                  <c:v>0.11034423787985581</c:v>
                </c:pt>
                <c:pt idx="90">
                  <c:v>0.11042348264704849</c:v>
                </c:pt>
                <c:pt idx="91">
                  <c:v>0.11050100476270863</c:v>
                </c:pt>
                <c:pt idx="92">
                  <c:v>0.11057685979420917</c:v>
                </c:pt>
                <c:pt idx="93">
                  <c:v>0.11065110094448105</c:v>
                </c:pt>
                <c:pt idx="94">
                  <c:v>0.11072377917649145</c:v>
                </c:pt>
                <c:pt idx="95">
                  <c:v>0.110794943329795</c:v>
                </c:pt>
                <c:pt idx="96">
                  <c:v>0.11086464023006837</c:v>
                </c:pt>
                <c:pt idx="97">
                  <c:v>0.11093291479165046</c:v>
                </c:pt>
                <c:pt idx="98">
                  <c:v>0.11099981011430948</c:v>
                </c:pt>
                <c:pt idx="99">
                  <c:v>0.11106536757383711</c:v>
                </c:pt>
                <c:pt idx="100">
                  <c:v>0.1111296269075801</c:v>
                </c:pt>
                <c:pt idx="101">
                  <c:v>0.11119262629437632</c:v>
                </c:pt>
                <c:pt idx="102">
                  <c:v>0.11125440243062723</c:v>
                </c:pt>
                <c:pt idx="103">
                  <c:v>0.11131499060128558</c:v>
                </c:pt>
                <c:pt idx="104">
                  <c:v>0.11137442474720149</c:v>
                </c:pt>
                <c:pt idx="105">
                  <c:v>0.11143273752838301</c:v>
                </c:pt>
                <c:pt idx="106">
                  <c:v>0.11148996038408132</c:v>
                </c:pt>
                <c:pt idx="107">
                  <c:v>0.11157874932499201</c:v>
                </c:pt>
                <c:pt idx="108">
                  <c:v>0.11166590918763042</c:v>
                </c:pt>
                <c:pt idx="109">
                  <c:v>0.11175148439932503</c:v>
                </c:pt>
                <c:pt idx="110">
                  <c:v>0.11183551778655154</c:v>
                </c:pt>
                <c:pt idx="111">
                  <c:v>0.11191805064614258</c:v>
                </c:pt>
                <c:pt idx="112">
                  <c:v>0.11199912281345537</c:v>
                </c:pt>
                <c:pt idx="113">
                  <c:v>0.11207877272598754</c:v>
                </c:pt>
                <c:pt idx="114">
                  <c:v>0.11215703748437278</c:v>
                </c:pt>
                <c:pt idx="115">
                  <c:v>0.11223395290995697</c:v>
                </c:pt>
                <c:pt idx="116">
                  <c:v>0.11230955359955441</c:v>
                </c:pt>
                <c:pt idx="117">
                  <c:v>0.1123838729771176</c:v>
                </c:pt>
                <c:pt idx="118">
                  <c:v>0.11245694334338641</c:v>
                </c:pt>
                <c:pt idx="119">
                  <c:v>0.11252879592218434</c:v>
                </c:pt>
                <c:pt idx="120">
                  <c:v>0.11259946090533823</c:v>
                </c:pt>
                <c:pt idx="121">
                  <c:v>0.11266896749482225</c:v>
                </c:pt>
                <c:pt idx="122">
                  <c:v>0.11273734394294799</c:v>
                </c:pt>
                <c:pt idx="123">
                  <c:v>0.11280461759073379</c:v>
                </c:pt>
                <c:pt idx="124">
                  <c:v>0.11287081490423123</c:v>
                </c:pt>
                <c:pt idx="125">
                  <c:v>0.11293596150949714</c:v>
                </c:pt>
                <c:pt idx="126">
                  <c:v>0.11300008222532298</c:v>
                </c:pt>
                <c:pt idx="127">
                  <c:v>0.1130661178373904</c:v>
                </c:pt>
                <c:pt idx="128">
                  <c:v>0.11313112968407424</c:v>
                </c:pt>
                <c:pt idx="129">
                  <c:v>0.11319514138972142</c:v>
                </c:pt>
                <c:pt idx="130">
                  <c:v>0.11325817585743359</c:v>
                </c:pt>
                <c:pt idx="131">
                  <c:v>0.11332025529626755</c:v>
                </c:pt>
                <c:pt idx="132">
                  <c:v>0.11338140124732554</c:v>
                </c:pt>
                <c:pt idx="133">
                  <c:v>0.11344163460871304</c:v>
                </c:pt>
                <c:pt idx="134">
                  <c:v>0.11350097565951955</c:v>
                </c:pt>
                <c:pt idx="135">
                  <c:v>0.11355944408217855</c:v>
                </c:pt>
                <c:pt idx="136">
                  <c:v>0.11361705898462748</c:v>
                </c:pt>
                <c:pt idx="137">
                  <c:v>0.11367383892091354</c:v>
                </c:pt>
                <c:pt idx="138">
                  <c:v>0.11372980191119986</c:v>
                </c:pt>
                <c:pt idx="139">
                  <c:v>0.11378496546088357</c:v>
                </c:pt>
                <c:pt idx="140">
                  <c:v>0.11383934657855921</c:v>
                </c:pt>
                <c:pt idx="141">
                  <c:v>0.1138929617939155</c:v>
                </c:pt>
                <c:pt idx="142">
                  <c:v>0.1139458271742777</c:v>
                </c:pt>
                <c:pt idx="143">
                  <c:v>0.11399795834052817</c:v>
                </c:pt>
                <c:pt idx="144">
                  <c:v>0.11404937048282715</c:v>
                </c:pt>
                <c:pt idx="145">
                  <c:v>0.11410007837511227</c:v>
                </c:pt>
                <c:pt idx="146">
                  <c:v>0.1141514558576473</c:v>
                </c:pt>
                <c:pt idx="147">
                  <c:v>0.11420213907571419</c:v>
                </c:pt>
                <c:pt idx="148">
                  <c:v>0.11425214200733169</c:v>
                </c:pt>
                <c:pt idx="149">
                  <c:v>0.11430147825761683</c:v>
                </c:pt>
                <c:pt idx="150">
                  <c:v>0.11435016107146367</c:v>
                </c:pt>
                <c:pt idx="151">
                  <c:v>0.11439820334517847</c:v>
                </c:pt>
                <c:pt idx="152">
                  <c:v>0.11444561763793715</c:v>
                </c:pt>
                <c:pt idx="153">
                  <c:v>0.11449241618268768</c:v>
                </c:pt>
                <c:pt idx="154">
                  <c:v>0.11453861089667505</c:v>
                </c:pt>
                <c:pt idx="155">
                  <c:v>0.11458421339163305</c:v>
                </c:pt>
                <c:pt idx="156">
                  <c:v>0.11462923498350985</c:v>
                </c:pt>
                <c:pt idx="157">
                  <c:v>0.11467368670166067</c:v>
                </c:pt>
                <c:pt idx="158">
                  <c:v>0.11471757929808479</c:v>
                </c:pt>
                <c:pt idx="159">
                  <c:v>0.1147609232559077</c:v>
                </c:pt>
                <c:pt idx="160">
                  <c:v>0.11480372879790757</c:v>
                </c:pt>
                <c:pt idx="161">
                  <c:v>0.11484600589437566</c:v>
                </c:pt>
                <c:pt idx="162">
                  <c:v>0.1148877642710211</c:v>
                </c:pt>
                <c:pt idx="163">
                  <c:v>0.11492901341627615</c:v>
                </c:pt>
                <c:pt idx="164">
                  <c:v>0.11496976258853486</c:v>
                </c:pt>
                <c:pt idx="165">
                  <c:v>0.11501002082320433</c:v>
                </c:pt>
                <c:pt idx="166">
                  <c:v>0.11505108072160652</c:v>
                </c:pt>
                <c:pt idx="167">
                  <c:v>0.11509165182821413</c:v>
                </c:pt>
                <c:pt idx="168">
                  <c:v>0.11513174281949645</c:v>
                </c:pt>
                <c:pt idx="169">
                  <c:v>0.11517136216787627</c:v>
                </c:pt>
                <c:pt idx="170">
                  <c:v>0.1152105181474905</c:v>
                </c:pt>
                <c:pt idx="171">
                  <c:v>0.11524921884003003</c:v>
                </c:pt>
                <c:pt idx="172">
                  <c:v>0.1152874721404018</c:v>
                </c:pt>
                <c:pt idx="173">
                  <c:v>0.11532528576205792</c:v>
                </c:pt>
                <c:pt idx="174">
                  <c:v>0.11536266724205824</c:v>
                </c:pt>
                <c:pt idx="175">
                  <c:v>0.11539962394622183</c:v>
                </c:pt>
                <c:pt idx="176">
                  <c:v>0.11543616307394533</c:v>
                </c:pt>
                <c:pt idx="177">
                  <c:v>0.11547229166282147</c:v>
                </c:pt>
                <c:pt idx="178">
                  <c:v>0.11550801659307997</c:v>
                </c:pt>
                <c:pt idx="179">
                  <c:v>0.11554334459218385</c:v>
                </c:pt>
                <c:pt idx="180">
                  <c:v>0.1155782822389817</c:v>
                </c:pt>
                <c:pt idx="181">
                  <c:v>0.11561283596754901</c:v>
                </c:pt>
                <c:pt idx="182">
                  <c:v>0.11564701207149586</c:v>
                </c:pt>
                <c:pt idx="183">
                  <c:v>0.11568081670749741</c:v>
                </c:pt>
                <c:pt idx="184">
                  <c:v>0.11571425589920192</c:v>
                </c:pt>
                <c:pt idx="185">
                  <c:v>0.11574733554076122</c:v>
                </c:pt>
                <c:pt idx="186">
                  <c:v>0.11578006140005637</c:v>
                </c:pt>
                <c:pt idx="187">
                  <c:v>0.11582355195662863</c:v>
                </c:pt>
                <c:pt idx="188">
                  <c:v>0.11586658231426128</c:v>
                </c:pt>
                <c:pt idx="189">
                  <c:v>0.11590915973900273</c:v>
                </c:pt>
                <c:pt idx="190">
                  <c:v>0.11595129134460702</c:v>
                </c:pt>
                <c:pt idx="191">
                  <c:v>0.11599298409679104</c:v>
                </c:pt>
                <c:pt idx="192">
                  <c:v>0.11603424481687608</c:v>
                </c:pt>
                <c:pt idx="193">
                  <c:v>0.11607508018540713</c:v>
                </c:pt>
                <c:pt idx="194">
                  <c:v>0.11611549674603872</c:v>
                </c:pt>
                <c:pt idx="195">
                  <c:v>0.11615550090886551</c:v>
                </c:pt>
                <c:pt idx="196">
                  <c:v>0.11619509895381963</c:v>
                </c:pt>
                <c:pt idx="197">
                  <c:v>0.11623429703391253</c:v>
                </c:pt>
                <c:pt idx="198">
                  <c:v>0.1162731011785878</c:v>
                </c:pt>
                <c:pt idx="199">
                  <c:v>0.11631151729663003</c:v>
                </c:pt>
                <c:pt idx="200">
                  <c:v>0.11634955117927337</c:v>
                </c:pt>
                <c:pt idx="201">
                  <c:v>0.11638720850304374</c:v>
                </c:pt>
                <c:pt idx="202">
                  <c:v>0.11642449483266759</c:v>
                </c:pt>
                <c:pt idx="203">
                  <c:v>0.11646141562369206</c:v>
                </c:pt>
                <c:pt idx="204">
                  <c:v>0.1164979762253493</c:v>
                </c:pt>
                <c:pt idx="205">
                  <c:v>0.11653418188282139</c:v>
                </c:pt>
                <c:pt idx="206">
                  <c:v>0.11657003774009356</c:v>
                </c:pt>
                <c:pt idx="207">
                  <c:v>0.1165921521581792</c:v>
                </c:pt>
                <c:pt idx="208">
                  <c:v>0.11661405495981825</c:v>
                </c:pt>
                <c:pt idx="209">
                  <c:v>0.11663574916815911</c:v>
                </c:pt>
                <c:pt idx="210">
                  <c:v>0.11665723774876291</c:v>
                </c:pt>
                <c:pt idx="211">
                  <c:v>0.11667852361145759</c:v>
                </c:pt>
                <c:pt idx="212">
                  <c:v>0.11669960961138148</c:v>
                </c:pt>
                <c:pt idx="213">
                  <c:v>0.11672049855027122</c:v>
                </c:pt>
                <c:pt idx="214">
                  <c:v>0.11674119317774956</c:v>
                </c:pt>
                <c:pt idx="215">
                  <c:v>0.11676169619250221</c:v>
                </c:pt>
                <c:pt idx="216">
                  <c:v>0.11678201024352131</c:v>
                </c:pt>
                <c:pt idx="217">
                  <c:v>0.11680213793117122</c:v>
                </c:pt>
                <c:pt idx="218">
                  <c:v>0.11682208180829878</c:v>
                </c:pt>
                <c:pt idx="219">
                  <c:v>0.11684184438138789</c:v>
                </c:pt>
                <c:pt idx="220">
                  <c:v>0.11686142811151434</c:v>
                </c:pt>
                <c:pt idx="221">
                  <c:v>0.11688083541538941</c:v>
                </c:pt>
                <c:pt idx="222">
                  <c:v>0.11690006866647007</c:v>
                </c:pt>
                <c:pt idx="223">
                  <c:v>0.11691913019573619</c:v>
                </c:pt>
                <c:pt idx="224">
                  <c:v>0.11693802229275629</c:v>
                </c:pt>
                <c:pt idx="225">
                  <c:v>0.11695674720662019</c:v>
                </c:pt>
                <c:pt idx="226">
                  <c:v>0.11697530714669391</c:v>
                </c:pt>
                <c:pt idx="227">
                  <c:v>0.11699370428366329</c:v>
                </c:pt>
                <c:pt idx="228">
                  <c:v>0.11701194075031118</c:v>
                </c:pt>
                <c:pt idx="229">
                  <c:v>0.11703001864227236</c:v>
                </c:pt>
                <c:pt idx="230">
                  <c:v>0.1170542052569834</c:v>
                </c:pt>
                <c:pt idx="231">
                  <c:v>0.11707818337214349</c:v>
                </c:pt>
                <c:pt idx="232">
                  <c:v>0.11710195567222748</c:v>
                </c:pt>
                <c:pt idx="233">
                  <c:v>0.11712552479585803</c:v>
                </c:pt>
                <c:pt idx="234">
                  <c:v>0.11714889333667156</c:v>
                </c:pt>
                <c:pt idx="235">
                  <c:v>0.11717206384440626</c:v>
                </c:pt>
                <c:pt idx="236">
                  <c:v>0.11719503882570148</c:v>
                </c:pt>
                <c:pt idx="237">
                  <c:v>0.11721782074514131</c:v>
                </c:pt>
                <c:pt idx="238">
                  <c:v>0.11724041202600954</c:v>
                </c:pt>
                <c:pt idx="239">
                  <c:v>0.11726281505126668</c:v>
                </c:pt>
                <c:pt idx="240">
                  <c:v>0.11728503216421604</c:v>
                </c:pt>
                <c:pt idx="241">
                  <c:v>0.11730706566954741</c:v>
                </c:pt>
                <c:pt idx="242">
                  <c:v>0.11732891783398092</c:v>
                </c:pt>
                <c:pt idx="243">
                  <c:v>0.11735059088699984</c:v>
                </c:pt>
                <c:pt idx="244">
                  <c:v>0.11737208702176094</c:v>
                </c:pt>
                <c:pt idx="245">
                  <c:v>0.11739340839576062</c:v>
                </c:pt>
                <c:pt idx="246">
                  <c:v>0.11741455713154547</c:v>
                </c:pt>
                <c:pt idx="247">
                  <c:v>0.11743553531740059</c:v>
                </c:pt>
                <c:pt idx="248">
                  <c:v>0.11745634500814894</c:v>
                </c:pt>
                <c:pt idx="249">
                  <c:v>0.1174769882256399</c:v>
                </c:pt>
                <c:pt idx="250">
                  <c:v>0.11749746695954855</c:v>
                </c:pt>
                <c:pt idx="251">
                  <c:v>0.11751778316793082</c:v>
                </c:pt>
                <c:pt idx="252">
                  <c:v>0.11753793877797847</c:v>
                </c:pt>
                <c:pt idx="253">
                  <c:v>0.11755793568644091</c:v>
                </c:pt>
                <c:pt idx="254">
                  <c:v>0.11757777576031359</c:v>
                </c:pt>
                <c:pt idx="255">
                  <c:v>0.11759746083757072</c:v>
                </c:pt>
                <c:pt idx="256">
                  <c:v>0.11761699272734294</c:v>
                </c:pt>
                <c:pt idx="257">
                  <c:v>0.11763637321087206</c:v>
                </c:pt>
                <c:pt idx="258">
                  <c:v>0.11765560404188857</c:v>
                </c:pt>
                <c:pt idx="259">
                  <c:v>0.11767468694707794</c:v>
                </c:pt>
                <c:pt idx="260">
                  <c:v>0.11769362362670233</c:v>
                </c:pt>
                <c:pt idx="261">
                  <c:v>0.11771241575508906</c:v>
                </c:pt>
                <c:pt idx="262">
                  <c:v>0.11773106498103036</c:v>
                </c:pt>
                <c:pt idx="263">
                  <c:v>0.11774957292836064</c:v>
                </c:pt>
                <c:pt idx="264">
                  <c:v>0.11776794119648937</c:v>
                </c:pt>
                <c:pt idx="265">
                  <c:v>0.1177861713606454</c:v>
                </c:pt>
                <c:pt idx="266">
                  <c:v>0.11780426497256524</c:v>
                </c:pt>
                <c:pt idx="267">
                  <c:v>0.11782222356075955</c:v>
                </c:pt>
                <c:pt idx="268">
                  <c:v>0.11784004863102382</c:v>
                </c:pt>
                <c:pt idx="269">
                  <c:v>0.11785774166688245</c:v>
                </c:pt>
                <c:pt idx="270">
                  <c:v>0.11787530412992187</c:v>
                </c:pt>
                <c:pt idx="271">
                  <c:v>0.11789273746025675</c:v>
                </c:pt>
                <c:pt idx="272">
                  <c:v>0.11791004307688535</c:v>
                </c:pt>
                <c:pt idx="273">
                  <c:v>0.11792080379011693</c:v>
                </c:pt>
                <c:pt idx="274">
                  <c:v>0.11793148624479333</c:v>
                </c:pt>
                <c:pt idx="275">
                  <c:v>0.11794209129147859</c:v>
                </c:pt>
                <c:pt idx="276">
                  <c:v>0.11795261976856874</c:v>
                </c:pt>
                <c:pt idx="277">
                  <c:v>0.11796307250231397</c:v>
                </c:pt>
                <c:pt idx="278">
                  <c:v>0.11797345030712947</c:v>
                </c:pt>
                <c:pt idx="279">
                  <c:v>0.11798375398581751</c:v>
                </c:pt>
                <c:pt idx="280">
                  <c:v>0.11799398432976727</c:v>
                </c:pt>
                <c:pt idx="281">
                  <c:v>0.11800414211913246</c:v>
                </c:pt>
                <c:pt idx="282">
                  <c:v>0.1180142281230312</c:v>
                </c:pt>
                <c:pt idx="283">
                  <c:v>0.11802424309970139</c:v>
                </c:pt>
                <c:pt idx="284">
                  <c:v>0.11803418779690045</c:v>
                </c:pt>
                <c:pt idx="285">
                  <c:v>0.11804406295168324</c:v>
                </c:pt>
                <c:pt idx="286">
                  <c:v>0.11805386929100159</c:v>
                </c:pt>
                <c:pt idx="287">
                  <c:v>0.11806360753172651</c:v>
                </c:pt>
                <c:pt idx="288">
                  <c:v>0.118073278380737</c:v>
                </c:pt>
                <c:pt idx="289">
                  <c:v>0.11808288253511989</c:v>
                </c:pt>
                <c:pt idx="290">
                  <c:v>0.11809242068250292</c:v>
                </c:pt>
                <c:pt idx="291">
                  <c:v>0.1181018935009881</c:v>
                </c:pt>
                <c:pt idx="292">
                  <c:v>0.11811130165950701</c:v>
                </c:pt>
                <c:pt idx="293">
                  <c:v>0.11812064581782078</c:v>
                </c:pt>
                <c:pt idx="294">
                  <c:v>0.11812992662676436</c:v>
                </c:pt>
                <c:pt idx="295">
                  <c:v>0.11813914472837972</c:v>
                </c:pt>
                <c:pt idx="296">
                  <c:v>0.11814830075609351</c:v>
                </c:pt>
                <c:pt idx="297">
                  <c:v>0.11815739533478364</c:v>
                </c:pt>
                <c:pt idx="298">
                  <c:v>0.11816642908100139</c:v>
                </c:pt>
                <c:pt idx="299">
                  <c:v>0.11817540260303794</c:v>
                </c:pt>
                <c:pt idx="300">
                  <c:v>0.11818431650114647</c:v>
                </c:pt>
                <c:pt idx="301">
                  <c:v>0.11819317136758656</c:v>
                </c:pt>
                <c:pt idx="302">
                  <c:v>0.11820196778684622</c:v>
                </c:pt>
                <c:pt idx="303">
                  <c:v>0.11821070633568631</c:v>
                </c:pt>
                <c:pt idx="304">
                  <c:v>0.11821938758334039</c:v>
                </c:pt>
                <c:pt idx="305">
                  <c:v>0.11822801209153688</c:v>
                </c:pt>
                <c:pt idx="306">
                  <c:v>0.11823658041474339</c:v>
                </c:pt>
                <c:pt idx="307">
                  <c:v>0.11824509310023323</c:v>
                </c:pt>
                <c:pt idx="308">
                  <c:v>0.11825355068815213</c:v>
                </c:pt>
                <c:pt idx="309">
                  <c:v>0.11826195371169579</c:v>
                </c:pt>
                <c:pt idx="310">
                  <c:v>0.11827030269719874</c:v>
                </c:pt>
                <c:pt idx="311">
                  <c:v>0.11827859816424535</c:v>
                </c:pt>
                <c:pt idx="312">
                  <c:v>0.11828684062580308</c:v>
                </c:pt>
                <c:pt idx="313">
                  <c:v>0.11829503058826685</c:v>
                </c:pt>
                <c:pt idx="314">
                  <c:v>0.11830316855163669</c:v>
                </c:pt>
                <c:pt idx="315">
                  <c:v>0.11831125500958439</c:v>
                </c:pt>
                <c:pt idx="316">
                  <c:v>0.11831929044949785</c:v>
                </c:pt>
                <c:pt idx="317">
                  <c:v>0.11832727535270315</c:v>
                </c:pt>
                <c:pt idx="318">
                  <c:v>0.11833521019442017</c:v>
                </c:pt>
                <c:pt idx="319">
                  <c:v>0.11834309544405119</c:v>
                </c:pt>
                <c:pt idx="320">
                  <c:v>0.11835093156495891</c:v>
                </c:pt>
                <c:pt idx="321">
                  <c:v>0.11835871901495487</c:v>
                </c:pt>
                <c:pt idx="322">
                  <c:v>0.11836645824603309</c:v>
                </c:pt>
                <c:pt idx="323">
                  <c:v>0.11837414970468085</c:v>
                </c:pt>
                <c:pt idx="324">
                  <c:v>0.11838179383183434</c:v>
                </c:pt>
                <c:pt idx="325">
                  <c:v>0.11838939106310065</c:v>
                </c:pt>
                <c:pt idx="326">
                  <c:v>0.1183969418286912</c:v>
                </c:pt>
                <c:pt idx="327">
                  <c:v>0.11840444655359939</c:v>
                </c:pt>
                <c:pt idx="328">
                  <c:v>0.11841190565762272</c:v>
                </c:pt>
                <c:pt idx="329">
                  <c:v>0.11841931955551832</c:v>
                </c:pt>
                <c:pt idx="330">
                  <c:v>0.11842668865698069</c:v>
                </c:pt>
                <c:pt idx="331">
                  <c:v>0.11843401336681936</c:v>
                </c:pt>
                <c:pt idx="332">
                  <c:v>0.11844129408491444</c:v>
                </c:pt>
                <c:pt idx="333">
                  <c:v>0.11844853120643872</c:v>
                </c:pt>
                <c:pt idx="334">
                  <c:v>0.11845572512179103</c:v>
                </c:pt>
                <c:pt idx="335">
                  <c:v>0.11846287621670726</c:v>
                </c:pt>
                <c:pt idx="336">
                  <c:v>0.11846998487241578</c:v>
                </c:pt>
                <c:pt idx="337">
                  <c:v>0.1184794445291848</c:v>
                </c:pt>
                <c:pt idx="338">
                  <c:v>0.11848884837764029</c:v>
                </c:pt>
                <c:pt idx="339">
                  <c:v>0.11849819691023278</c:v>
                </c:pt>
                <c:pt idx="340">
                  <c:v>0.11850749061359522</c:v>
                </c:pt>
                <c:pt idx="341">
                  <c:v>0.11851672996865403</c:v>
                </c:pt>
                <c:pt idx="342">
                  <c:v>0.11852591545074009</c:v>
                </c:pt>
                <c:pt idx="343">
                  <c:v>0.1185350475297442</c:v>
                </c:pt>
                <c:pt idx="344">
                  <c:v>0.11854412666996161</c:v>
                </c:pt>
                <c:pt idx="345">
                  <c:v>0.11855315333042515</c:v>
                </c:pt>
                <c:pt idx="346">
                  <c:v>0.11856212796481636</c:v>
                </c:pt>
                <c:pt idx="347">
                  <c:v>0.11857105102166532</c:v>
                </c:pt>
                <c:pt idx="348">
                  <c:v>0.1185799229443063</c:v>
                </c:pt>
                <c:pt idx="349">
                  <c:v>0.11858874417103316</c:v>
                </c:pt>
                <c:pt idx="350">
                  <c:v>0.11859751513509931</c:v>
                </c:pt>
                <c:pt idx="351">
                  <c:v>0.11860623626493982</c:v>
                </c:pt>
                <c:pt idx="352">
                  <c:v>0.11861490798401597</c:v>
                </c:pt>
                <c:pt idx="353">
                  <c:v>0.11862353071105947</c:v>
                </c:pt>
                <c:pt idx="354">
                  <c:v>0.11863210486011688</c:v>
                </c:pt>
                <c:pt idx="355">
                  <c:v>0.11864063084052745</c:v>
                </c:pt>
                <c:pt idx="356">
                  <c:v>0.11864910905705628</c:v>
                </c:pt>
                <c:pt idx="357">
                  <c:v>0.11865753990993877</c:v>
                </c:pt>
                <c:pt idx="358">
                  <c:v>0.11866592379501384</c:v>
                </c:pt>
                <c:pt idx="359">
                  <c:v>0.1186742611036351</c:v>
                </c:pt>
                <c:pt idx="360">
                  <c:v>0.11868255222287072</c:v>
                </c:pt>
                <c:pt idx="361">
                  <c:v>0.11869079753548117</c:v>
                </c:pt>
                <c:pt idx="362">
                  <c:v>0.11869899742007473</c:v>
                </c:pt>
                <c:pt idx="363">
                  <c:v>0.11870715225101858</c:v>
                </c:pt>
                <c:pt idx="364">
                  <c:v>0.11871526239859431</c:v>
                </c:pt>
                <c:pt idx="365">
                  <c:v>0.11872332822908671</c:v>
                </c:pt>
                <c:pt idx="366">
                  <c:v>0.11873135010473934</c:v>
                </c:pt>
                <c:pt idx="367">
                  <c:v>0.11873932838388779</c:v>
                </c:pt>
                <c:pt idx="368">
                  <c:v>0.11874726342095965</c:v>
                </c:pt>
                <c:pt idx="369">
                  <c:v>0.11875515556658556</c:v>
                </c:pt>
                <c:pt idx="370">
                  <c:v>0.11876300516753258</c:v>
                </c:pt>
                <c:pt idx="371">
                  <c:v>0.11877081256694844</c:v>
                </c:pt>
                <c:pt idx="372">
                  <c:v>0.11877857810422832</c:v>
                </c:pt>
                <c:pt idx="373">
                  <c:v>0.11878630211517027</c:v>
                </c:pt>
                <c:pt idx="374">
                  <c:v>0.11879398493199744</c:v>
                </c:pt>
                <c:pt idx="375">
                  <c:v>0.11880162688335805</c:v>
                </c:pt>
                <c:pt idx="376">
                  <c:v>0.1188092282944142</c:v>
                </c:pt>
                <c:pt idx="377">
                  <c:v>0.11881678948695296</c:v>
                </c:pt>
                <c:pt idx="378">
                  <c:v>0.11882431077931965</c:v>
                </c:pt>
                <c:pt idx="379">
                  <c:v>0.11883179248648457</c:v>
                </c:pt>
                <c:pt idx="380">
                  <c:v>0.11883923492015391</c:v>
                </c:pt>
                <c:pt idx="381">
                  <c:v>0.11884663838874765</c:v>
                </c:pt>
                <c:pt idx="382">
                  <c:v>0.11885400319746608</c:v>
                </c:pt>
                <c:pt idx="383">
                  <c:v>0.1188613296483565</c:v>
                </c:pt>
                <c:pt idx="384">
                  <c:v>0.11886861804029092</c:v>
                </c:pt>
                <c:pt idx="385">
                  <c:v>0.11887586866905497</c:v>
                </c:pt>
                <c:pt idx="386">
                  <c:v>0.11888308182741447</c:v>
                </c:pt>
                <c:pt idx="387">
                  <c:v>0.1188902578050488</c:v>
                </c:pt>
                <c:pt idx="388">
                  <c:v>0.11889739688870637</c:v>
                </c:pt>
                <c:pt idx="389">
                  <c:v>0.11890449936216019</c:v>
                </c:pt>
                <c:pt idx="390">
                  <c:v>0.11891156550636328</c:v>
                </c:pt>
                <c:pt idx="391">
                  <c:v>0.1189185955992933</c:v>
                </c:pt>
                <c:pt idx="392">
                  <c:v>0.11892558991615232</c:v>
                </c:pt>
                <c:pt idx="393">
                  <c:v>0.11893254872934467</c:v>
                </c:pt>
                <c:pt idx="394">
                  <c:v>0.11893947230852131</c:v>
                </c:pt>
                <c:pt idx="395">
                  <c:v>0.11894636092062427</c:v>
                </c:pt>
                <c:pt idx="396">
                  <c:v>0.11895321482982002</c:v>
                </c:pt>
                <c:pt idx="397">
                  <c:v>0.11896003429776592</c:v>
                </c:pt>
                <c:pt idx="398">
                  <c:v>0.11896455955267005</c:v>
                </c:pt>
                <c:pt idx="399">
                  <c:v>0.11896906218149539</c:v>
                </c:pt>
                <c:pt idx="400">
                  <c:v>0.11897354235352875</c:v>
                </c:pt>
                <c:pt idx="401">
                  <c:v>0.11897800023634719</c:v>
                </c:pt>
                <c:pt idx="402">
                  <c:v>0.11898243599586245</c:v>
                </c:pt>
                <c:pt idx="403">
                  <c:v>0.11898684979638752</c:v>
                </c:pt>
                <c:pt idx="404">
                  <c:v>0.11899124180052567</c:v>
                </c:pt>
                <c:pt idx="405">
                  <c:v>0.11899561216941468</c:v>
                </c:pt>
                <c:pt idx="406">
                  <c:v>0.11899996106243815</c:v>
                </c:pt>
                <c:pt idx="407">
                  <c:v>0.11900428863755863</c:v>
                </c:pt>
                <c:pt idx="408">
                  <c:v>0.11900859505113992</c:v>
                </c:pt>
                <c:pt idx="409">
                  <c:v>0.11901288045799152</c:v>
                </c:pt>
                <c:pt idx="410">
                  <c:v>0.11901714501147964</c:v>
                </c:pt>
                <c:pt idx="411">
                  <c:v>0.11902138886343838</c:v>
                </c:pt>
                <c:pt idx="412">
                  <c:v>0.11902561216423635</c:v>
                </c:pt>
                <c:pt idx="413">
                  <c:v>0.11902981506275445</c:v>
                </c:pt>
                <c:pt idx="414">
                  <c:v>0.11903399770654133</c:v>
                </c:pt>
                <c:pt idx="415">
                  <c:v>0.11903816024163572</c:v>
                </c:pt>
                <c:pt idx="416">
                  <c:v>0.11904230281269967</c:v>
                </c:pt>
                <c:pt idx="417">
                  <c:v>0.11904642556304079</c:v>
                </c:pt>
                <c:pt idx="418">
                  <c:v>0.11905052863452337</c:v>
                </c:pt>
                <c:pt idx="419">
                  <c:v>0.11905461216774604</c:v>
                </c:pt>
                <c:pt idx="420">
                  <c:v>0.11905867630193079</c:v>
                </c:pt>
                <c:pt idx="421">
                  <c:v>0.11906272117498951</c:v>
                </c:pt>
                <c:pt idx="422">
                  <c:v>0.11906674692350183</c:v>
                </c:pt>
                <c:pt idx="423">
                  <c:v>0.11907075368278175</c:v>
                </c:pt>
                <c:pt idx="424">
                  <c:v>0.11907474158689979</c:v>
                </c:pt>
                <c:pt idx="425">
                  <c:v>0.11907871076861642</c:v>
                </c:pt>
                <c:pt idx="426">
                  <c:v>0.11908266135949308</c:v>
                </c:pt>
                <c:pt idx="427">
                  <c:v>0.11908659348980333</c:v>
                </c:pt>
                <c:pt idx="428">
                  <c:v>0.1190905072886439</c:v>
                </c:pt>
                <c:pt idx="429">
                  <c:v>0.11909440288393469</c:v>
                </c:pt>
                <c:pt idx="430">
                  <c:v>0.11909828040237436</c:v>
                </c:pt>
                <c:pt idx="431">
                  <c:v>0.11910213996948471</c:v>
                </c:pt>
                <c:pt idx="432">
                  <c:v>0.11910598170963294</c:v>
                </c:pt>
                <c:pt idx="433">
                  <c:v>0.11910980574605379</c:v>
                </c:pt>
                <c:pt idx="434">
                  <c:v>0.11911361220084959</c:v>
                </c:pt>
                <c:pt idx="435">
                  <c:v>0.11911740119499026</c:v>
                </c:pt>
                <c:pt idx="436">
                  <c:v>0.11912117284833545</c:v>
                </c:pt>
                <c:pt idx="437">
                  <c:v>0.11912492727967905</c:v>
                </c:pt>
                <c:pt idx="438">
                  <c:v>0.11912866460668248</c:v>
                </c:pt>
                <c:pt idx="439">
                  <c:v>0.11913238494596357</c:v>
                </c:pt>
                <c:pt idx="440">
                  <c:v>0.11913608841309653</c:v>
                </c:pt>
                <c:pt idx="441">
                  <c:v>0.11913977512258977</c:v>
                </c:pt>
                <c:pt idx="442">
                  <c:v>0.1191434451879525</c:v>
                </c:pt>
                <c:pt idx="443">
                  <c:v>0.11914709872160589</c:v>
                </c:pt>
                <c:pt idx="444">
                  <c:v>0.11915073583501634</c:v>
                </c:pt>
                <c:pt idx="445">
                  <c:v>0.11915435663865104</c:v>
                </c:pt>
                <c:pt idx="446">
                  <c:v>0.11915796124193356</c:v>
                </c:pt>
                <c:pt idx="447">
                  <c:v>0.11916154975337712</c:v>
                </c:pt>
                <c:pt idx="448">
                  <c:v>0.11916512228047349</c:v>
                </c:pt>
                <c:pt idx="449">
                  <c:v>0.11916867892980409</c:v>
                </c:pt>
                <c:pt idx="450">
                  <c:v>0.11917221980699555</c:v>
                </c:pt>
                <c:pt idx="451">
                  <c:v>0.11917574501667527</c:v>
                </c:pt>
                <c:pt idx="452">
                  <c:v>0.11917925466267132</c:v>
                </c:pt>
                <c:pt idx="453">
                  <c:v>0.11918274884779034</c:v>
                </c:pt>
                <c:pt idx="454">
                  <c:v>0.11918622767397302</c:v>
                </c:pt>
                <c:pt idx="455">
                  <c:v>0.11918969124224965</c:v>
                </c:pt>
                <c:pt idx="456">
                  <c:v>0.11919313965280676</c:v>
                </c:pt>
                <c:pt idx="457">
                  <c:v>0.11919657300492048</c:v>
                </c:pt>
                <c:pt idx="458">
                  <c:v>0.11919999139703008</c:v>
                </c:pt>
                <c:pt idx="459">
                  <c:v>0.119201043411854</c:v>
                </c:pt>
                <c:pt idx="460">
                  <c:v>0.11920209086262457</c:v>
                </c:pt>
                <c:pt idx="461">
                  <c:v>0.11920313377900005</c:v>
                </c:pt>
                <c:pt idx="462">
                  <c:v>0.11920417219033475</c:v>
                </c:pt>
                <c:pt idx="463">
                  <c:v>0.11920520612578311</c:v>
                </c:pt>
                <c:pt idx="464">
                  <c:v>0.11920623561421095</c:v>
                </c:pt>
                <c:pt idx="465">
                  <c:v>0.11920726068423981</c:v>
                </c:pt>
                <c:pt idx="466">
                  <c:v>0.11920828136424699</c:v>
                </c:pt>
                <c:pt idx="467">
                  <c:v>0.11920929768238775</c:v>
                </c:pt>
                <c:pt idx="468">
                  <c:v>0.11921030966657309</c:v>
                </c:pt>
                <c:pt idx="469">
                  <c:v>0.11921131734444756</c:v>
                </c:pt>
                <c:pt idx="470">
                  <c:v>0.11921232074343369</c:v>
                </c:pt>
                <c:pt idx="471">
                  <c:v>0.11921331989073192</c:v>
                </c:pt>
                <c:pt idx="472">
                  <c:v>0.11921431481334288</c:v>
                </c:pt>
                <c:pt idx="473">
                  <c:v>0.11921530553797854</c:v>
                </c:pt>
                <c:pt idx="474">
                  <c:v>0.11921629209112883</c:v>
                </c:pt>
                <c:pt idx="475">
                  <c:v>0.11921727449910602</c:v>
                </c:pt>
                <c:pt idx="476">
                  <c:v>0.11921825278800036</c:v>
                </c:pt>
                <c:pt idx="477">
                  <c:v>0.11921922698363563</c:v>
                </c:pt>
                <c:pt idx="478">
                  <c:v>0.11922019711165799</c:v>
                </c:pt>
                <c:pt idx="479">
                  <c:v>0.11922116319749154</c:v>
                </c:pt>
                <c:pt idx="480">
                  <c:v>0.11922212526636056</c:v>
                </c:pt>
                <c:pt idx="481">
                  <c:v>0.11922308334324505</c:v>
                </c:pt>
                <c:pt idx="482">
                  <c:v>0.1192240374529252</c:v>
                </c:pt>
                <c:pt idx="483">
                  <c:v>0.11922498762002576</c:v>
                </c:pt>
                <c:pt idx="484">
                  <c:v>0.11922593386892721</c:v>
                </c:pt>
                <c:pt idx="485">
                  <c:v>0.11922687622378803</c:v>
                </c:pt>
                <c:pt idx="486">
                  <c:v>0.11922781470863342</c:v>
                </c:pt>
                <c:pt idx="487">
                  <c:v>0.11922874934724437</c:v>
                </c:pt>
                <c:pt idx="488">
                  <c:v>0.11922968016320201</c:v>
                </c:pt>
                <c:pt idx="489">
                  <c:v>0.11923060717993206</c:v>
                </c:pt>
                <c:pt idx="490">
                  <c:v>0.11923153042061596</c:v>
                </c:pt>
                <c:pt idx="491">
                  <c:v>0.11923244990830195</c:v>
                </c:pt>
                <c:pt idx="492">
                  <c:v>0.11923336566581622</c:v>
                </c:pt>
                <c:pt idx="493">
                  <c:v>0.11923427771582951</c:v>
                </c:pt>
                <c:pt idx="494">
                  <c:v>0.11923518608079053</c:v>
                </c:pt>
                <c:pt idx="495">
                  <c:v>0.11923609078301478</c:v>
                </c:pt>
                <c:pt idx="496">
                  <c:v>0.11923699184459569</c:v>
                </c:pt>
                <c:pt idx="497">
                  <c:v>0.11923788928744905</c:v>
                </c:pt>
                <c:pt idx="498">
                  <c:v>0.11923878313335745</c:v>
                </c:pt>
                <c:pt idx="499">
                  <c:v>0.11923967340388142</c:v>
                </c:pt>
                <c:pt idx="500">
                  <c:v>0.11924056012042605</c:v>
                </c:pt>
                <c:pt idx="501">
                  <c:v>0.11924144330426323</c:v>
                </c:pt>
                <c:pt idx="502">
                  <c:v>0.11924232297644277</c:v>
                </c:pt>
                <c:pt idx="503">
                  <c:v>0.11924319915785908</c:v>
                </c:pt>
                <c:pt idx="504">
                  <c:v>0.11924407186927333</c:v>
                </c:pt>
                <c:pt idx="505">
                  <c:v>0.11924494113122464</c:v>
                </c:pt>
                <c:pt idx="506">
                  <c:v>0.11924580696414111</c:v>
                </c:pt>
                <c:pt idx="507">
                  <c:v>0.11924666938827322</c:v>
                </c:pt>
                <c:pt idx="508">
                  <c:v>0.119247528423716</c:v>
                </c:pt>
                <c:pt idx="509">
                  <c:v>0.11924838409043126</c:v>
                </c:pt>
                <c:pt idx="510">
                  <c:v>0.11924923640811436</c:v>
                </c:pt>
                <c:pt idx="511">
                  <c:v>0.11925008539646065</c:v>
                </c:pt>
                <c:pt idx="512">
                  <c:v>0.11925093107492124</c:v>
                </c:pt>
                <c:pt idx="513">
                  <c:v>0.11925177346281401</c:v>
                </c:pt>
                <c:pt idx="514">
                  <c:v>0.11925261257930142</c:v>
                </c:pt>
                <c:pt idx="515">
                  <c:v>0.11925344844339048</c:v>
                </c:pt>
                <c:pt idx="516">
                  <c:v>0.11925428107397718</c:v>
                </c:pt>
                <c:pt idx="517">
                  <c:v>0.11925511048980209</c:v>
                </c:pt>
                <c:pt idx="518">
                  <c:v>0.11925593670940593</c:v>
                </c:pt>
                <c:pt idx="519">
                  <c:v>0.11925675975126282</c:v>
                </c:pt>
                <c:pt idx="520">
                  <c:v>0.11925757963364703</c:v>
                </c:pt>
                <c:pt idx="521">
                  <c:v>0.1192583963747218</c:v>
                </c:pt>
                <c:pt idx="522">
                  <c:v>0.11925920999251716</c:v>
                </c:pt>
                <c:pt idx="523">
                  <c:v>0.11926002050490991</c:v>
                </c:pt>
                <c:pt idx="524">
                  <c:v>0.11925966038932589</c:v>
                </c:pt>
                <c:pt idx="525">
                  <c:v>0.11925930164300436</c:v>
                </c:pt>
                <c:pt idx="526">
                  <c:v>0.11925894425814931</c:v>
                </c:pt>
                <c:pt idx="527">
                  <c:v>0.11925858822701141</c:v>
                </c:pt>
                <c:pt idx="528">
                  <c:v>0.11925823354195231</c:v>
                </c:pt>
                <c:pt idx="529">
                  <c:v>0.11925788019531147</c:v>
                </c:pt>
                <c:pt idx="530">
                  <c:v>0.11925752817953938</c:v>
                </c:pt>
                <c:pt idx="531">
                  <c:v>0.11925717748715314</c:v>
                </c:pt>
                <c:pt idx="532">
                  <c:v>0.11925682811069205</c:v>
                </c:pt>
                <c:pt idx="533">
                  <c:v>0.11925648004273981</c:v>
                </c:pt>
                <c:pt idx="534">
                  <c:v>0.11925613327599116</c:v>
                </c:pt>
                <c:pt idx="535">
                  <c:v>0.11925578780314083</c:v>
                </c:pt>
                <c:pt idx="536">
                  <c:v>0.11925544361697238</c:v>
                </c:pt>
                <c:pt idx="537">
                  <c:v>0.11925510071031376</c:v>
                </c:pt>
                <c:pt idx="538">
                  <c:v>0.11925475907603733</c:v>
                </c:pt>
                <c:pt idx="539">
                  <c:v>0.11925441870705988</c:v>
                </c:pt>
                <c:pt idx="540">
                  <c:v>0.11925407959638701</c:v>
                </c:pt>
                <c:pt idx="541">
                  <c:v>0.1192537417370243</c:v>
                </c:pt>
                <c:pt idx="542">
                  <c:v>0.11925340512211058</c:v>
                </c:pt>
                <c:pt idx="543">
                  <c:v>0.11925306974474026</c:v>
                </c:pt>
                <c:pt idx="544">
                  <c:v>0.11925273559811878</c:v>
                </c:pt>
                <c:pt idx="545">
                  <c:v>0.11925240267547377</c:v>
                </c:pt>
                <c:pt idx="546">
                  <c:v>0.11925207097012169</c:v>
                </c:pt>
                <c:pt idx="547">
                  <c:v>0.1192517404753346</c:v>
                </c:pt>
                <c:pt idx="548">
                  <c:v>0.11925141118456217</c:v>
                </c:pt>
                <c:pt idx="549">
                  <c:v>0.11925108309120969</c:v>
                </c:pt>
                <c:pt idx="550">
                  <c:v>0.11925075618874903</c:v>
                </c:pt>
                <c:pt idx="551">
                  <c:v>0.1192504304707187</c:v>
                </c:pt>
                <c:pt idx="552">
                  <c:v>0.11925010593070162</c:v>
                </c:pt>
                <c:pt idx="553">
                  <c:v>0.1192497825623251</c:v>
                </c:pt>
                <c:pt idx="554">
                  <c:v>0.11924946035921646</c:v>
                </c:pt>
                <c:pt idx="555">
                  <c:v>0.11924913931511405</c:v>
                </c:pt>
                <c:pt idx="556">
                  <c:v>0.11924881942377841</c:v>
                </c:pt>
                <c:pt idx="557">
                  <c:v>0.11924850067901449</c:v>
                </c:pt>
                <c:pt idx="558">
                  <c:v>0.11924818307464946</c:v>
                </c:pt>
                <c:pt idx="559">
                  <c:v>0.1192478666045993</c:v>
                </c:pt>
                <c:pt idx="560">
                  <c:v>0.11924755126280218</c:v>
                </c:pt>
                <c:pt idx="561">
                  <c:v>0.11924723704319629</c:v>
                </c:pt>
                <c:pt idx="562">
                  <c:v>0.11924692393980862</c:v>
                </c:pt>
                <c:pt idx="563">
                  <c:v>0.11924661194673281</c:v>
                </c:pt>
                <c:pt idx="564">
                  <c:v>0.11924630105806244</c:v>
                </c:pt>
                <c:pt idx="565">
                  <c:v>0.11924599126793556</c:v>
                </c:pt>
                <c:pt idx="566">
                  <c:v>0.11924568257055679</c:v>
                </c:pt>
                <c:pt idx="567">
                  <c:v>0.11924537496010856</c:v>
                </c:pt>
                <c:pt idx="568">
                  <c:v>0.11924506843092875</c:v>
                </c:pt>
                <c:pt idx="569">
                  <c:v>0.11924476297726638</c:v>
                </c:pt>
                <c:pt idx="570">
                  <c:v>0.11924445859350374</c:v>
                </c:pt>
                <c:pt idx="571">
                  <c:v>0.1192441552740453</c:v>
                </c:pt>
                <c:pt idx="572">
                  <c:v>0.11924385301327334</c:v>
                </c:pt>
                <c:pt idx="573">
                  <c:v>0.11924355180565893</c:v>
                </c:pt>
                <c:pt idx="574">
                  <c:v>0.11924325164573979</c:v>
                </c:pt>
                <c:pt idx="575">
                  <c:v>0.11924295252805361</c:v>
                </c:pt>
                <c:pt idx="576">
                  <c:v>0.11924265444716031</c:v>
                </c:pt>
                <c:pt idx="577">
                  <c:v>0.1192423573976864</c:v>
                </c:pt>
                <c:pt idx="578">
                  <c:v>0.11924206137428062</c:v>
                </c:pt>
                <c:pt idx="579">
                  <c:v>0.11924176637168049</c:v>
                </c:pt>
                <c:pt idx="580">
                  <c:v>0.11924147238455696</c:v>
                </c:pt>
                <c:pt idx="581">
                  <c:v>0.11924117940769197</c:v>
                </c:pt>
                <c:pt idx="582">
                  <c:v>0.11924088743591188</c:v>
                </c:pt>
                <c:pt idx="583">
                  <c:v>0.11924059646402085</c:v>
                </c:pt>
                <c:pt idx="584">
                  <c:v>0.11924030648693407</c:v>
                </c:pt>
                <c:pt idx="585">
                  <c:v>0.11924001749950808</c:v>
                </c:pt>
                <c:pt idx="586">
                  <c:v>0.11924588635254807</c:v>
                </c:pt>
                <c:pt idx="587">
                  <c:v>0.11925173524385269</c:v>
                </c:pt>
                <c:pt idx="588">
                  <c:v>0.11925756427508816</c:v>
                </c:pt>
                <c:pt idx="589">
                  <c:v>0.11926337354721817</c:v>
                </c:pt>
                <c:pt idx="590">
                  <c:v>0.11926916316058467</c:v>
                </c:pt>
                <c:pt idx="591">
                  <c:v>0.11927493321477467</c:v>
                </c:pt>
                <c:pt idx="592">
                  <c:v>0.11928068380873125</c:v>
                </c:pt>
                <c:pt idx="593">
                  <c:v>0.11928641504075355</c:v>
                </c:pt>
                <c:pt idx="594">
                  <c:v>0.11929212700843017</c:v>
                </c:pt>
                <c:pt idx="595">
                  <c:v>0.11929781980879461</c:v>
                </c:pt>
                <c:pt idx="596">
                  <c:v>0.11930349353808101</c:v>
                </c:pt>
                <c:pt idx="597">
                  <c:v>0.11930914829203498</c:v>
                </c:pt>
                <c:pt idx="598">
                  <c:v>0.11931478416564723</c:v>
                </c:pt>
                <c:pt idx="599">
                  <c:v>0.1193204012533533</c:v>
                </c:pt>
                <c:pt idx="600">
                  <c:v>0.11932599964887824</c:v>
                </c:pt>
                <c:pt idx="601">
                  <c:v>0.11933157944539197</c:v>
                </c:pt>
                <c:pt idx="602">
                  <c:v>0.11933714073542045</c:v>
                </c:pt>
                <c:pt idx="603">
                  <c:v>0.11934268361091238</c:v>
                </c:pt>
                <c:pt idx="604">
                  <c:v>0.11934820816315028</c:v>
                </c:pt>
                <c:pt idx="605">
                  <c:v>0.11935371448283938</c:v>
                </c:pt>
                <c:pt idx="606">
                  <c:v>0.11935920266008537</c:v>
                </c:pt>
                <c:pt idx="607">
                  <c:v>0.11936467278443885</c:v>
                </c:pt>
                <c:pt idx="608">
                  <c:v>0.11937012494478427</c:v>
                </c:pt>
                <c:pt idx="609">
                  <c:v>0.11937555922949539</c:v>
                </c:pt>
                <c:pt idx="610">
                  <c:v>0.11938097572634643</c:v>
                </c:pt>
                <c:pt idx="611">
                  <c:v>0.11938637452251211</c:v>
                </c:pt>
                <c:pt idx="612">
                  <c:v>0.11939175570461202</c:v>
                </c:pt>
                <c:pt idx="613">
                  <c:v>0.11939711935873287</c:v>
                </c:pt>
                <c:pt idx="614">
                  <c:v>0.11940246557036183</c:v>
                </c:pt>
                <c:pt idx="615">
                  <c:v>0.11940779442443095</c:v>
                </c:pt>
                <c:pt idx="616">
                  <c:v>0.11941310600536159</c:v>
                </c:pt>
                <c:pt idx="617">
                  <c:v>0.1194184003969978</c:v>
                </c:pt>
                <c:pt idx="618">
                  <c:v>0.11942367768262852</c:v>
                </c:pt>
                <c:pt idx="619">
                  <c:v>0.11942893794503195</c:v>
                </c:pt>
                <c:pt idx="620">
                  <c:v>0.11943418126645344</c:v>
                </c:pt>
                <c:pt idx="621">
                  <c:v>0.1194394077286054</c:v>
                </c:pt>
                <c:pt idx="622">
                  <c:v>0.11944461741264512</c:v>
                </c:pt>
                <c:pt idx="623">
                  <c:v>0.11944981039924141</c:v>
                </c:pt>
                <c:pt idx="624">
                  <c:v>0.11945498676855237</c:v>
                </c:pt>
                <c:pt idx="625">
                  <c:v>0.11946014660020321</c:v>
                </c:pt>
                <c:pt idx="626">
                  <c:v>0.11946528997335282</c:v>
                </c:pt>
                <c:pt idx="627">
                  <c:v>0.11947041696656058</c:v>
                </c:pt>
                <c:pt idx="628">
                  <c:v>0.1194755276580084</c:v>
                </c:pt>
                <c:pt idx="629">
                  <c:v>0.11948062212530086</c:v>
                </c:pt>
                <c:pt idx="630">
                  <c:v>0.11948570044555407</c:v>
                </c:pt>
                <c:pt idx="631">
                  <c:v>0.11949076269544001</c:v>
                </c:pt>
                <c:pt idx="632">
                  <c:v>0.11949580895109779</c:v>
                </c:pt>
                <c:pt idx="633">
                  <c:v>0.11950083928822242</c:v>
                </c:pt>
                <c:pt idx="634">
                  <c:v>0.11950585378204259</c:v>
                </c:pt>
                <c:pt idx="635">
                  <c:v>0.11951085250725413</c:v>
                </c:pt>
                <c:pt idx="636">
                  <c:v>0.11951583553810874</c:v>
                </c:pt>
                <c:pt idx="637">
                  <c:v>0.11952080294843626</c:v>
                </c:pt>
                <c:pt idx="638">
                  <c:v>0.11952575481155581</c:v>
                </c:pt>
                <c:pt idx="639">
                  <c:v>0.11953069120036464</c:v>
                </c:pt>
                <c:pt idx="640">
                  <c:v>0.11953561218724928</c:v>
                </c:pt>
                <c:pt idx="641">
                  <c:v>0.11954051784419661</c:v>
                </c:pt>
                <c:pt idx="642">
                  <c:v>0.11954540824272719</c:v>
                </c:pt>
                <c:pt idx="643">
                  <c:v>0.1195502834539397</c:v>
                </c:pt>
                <c:pt idx="644">
                  <c:v>0.11955514354844432</c:v>
                </c:pt>
                <c:pt idx="645">
                  <c:v>0.11955998859645156</c:v>
                </c:pt>
                <c:pt idx="646">
                  <c:v>0.11956503268468754</c:v>
                </c:pt>
                <c:pt idx="647">
                  <c:v>0.1195700612049988</c:v>
                </c:pt>
                <c:pt idx="648">
                  <c:v>0.11957507422937219</c:v>
                </c:pt>
                <c:pt idx="649">
                  <c:v>0.11958007182928387</c:v>
                </c:pt>
                <c:pt idx="650">
                  <c:v>0.11958505407585474</c:v>
                </c:pt>
                <c:pt idx="651">
                  <c:v>0.11959002103969496</c:v>
                </c:pt>
                <c:pt idx="652">
                  <c:v>0.11959497279101505</c:v>
                </c:pt>
                <c:pt idx="653">
                  <c:v>0.11959990939962584</c:v>
                </c:pt>
                <c:pt idx="654">
                  <c:v>0.11960483093487184</c:v>
                </c:pt>
                <c:pt idx="655">
                  <c:v>0.11960973746567571</c:v>
                </c:pt>
                <c:pt idx="656">
                  <c:v>0.11961462906053821</c:v>
                </c:pt>
                <c:pt idx="657">
                  <c:v>0.11961950578756042</c:v>
                </c:pt>
                <c:pt idx="658">
                  <c:v>0.11962436771446594</c:v>
                </c:pt>
                <c:pt idx="659">
                  <c:v>0.11962921490846767</c:v>
                </c:pt>
                <c:pt idx="660">
                  <c:v>0.11963404743646766</c:v>
                </c:pt>
                <c:pt idx="661">
                  <c:v>0.11963886536490165</c:v>
                </c:pt>
                <c:pt idx="662">
                  <c:v>0.11964366875987231</c:v>
                </c:pt>
                <c:pt idx="663">
                  <c:v>0.11964845768701604</c:v>
                </c:pt>
                <c:pt idx="664">
                  <c:v>0.11965323221156954</c:v>
                </c:pt>
                <c:pt idx="665">
                  <c:v>0.11965799239845865</c:v>
                </c:pt>
                <c:pt idx="666">
                  <c:v>0.11966273831216512</c:v>
                </c:pt>
                <c:pt idx="667">
                  <c:v>0.11966747001674882</c:v>
                </c:pt>
                <c:pt idx="668">
                  <c:v>0.11967218757593656</c:v>
                </c:pt>
                <c:pt idx="669">
                  <c:v>0.11967689105309987</c:v>
                </c:pt>
                <c:pt idx="670">
                  <c:v>0.11968158051118838</c:v>
                </c:pt>
                <c:pt idx="671">
                  <c:v>0.11968625601275207</c:v>
                </c:pt>
                <c:pt idx="672">
                  <c:v>0.11969091762005224</c:v>
                </c:pt>
                <c:pt idx="673">
                  <c:v>0.11969556539488391</c:v>
                </c:pt>
                <c:pt idx="674">
                  <c:v>0.11970019939875343</c:v>
                </c:pt>
                <c:pt idx="675">
                  <c:v>0.11970481969276747</c:v>
                </c:pt>
                <c:pt idx="676">
                  <c:v>0.11970942633765524</c:v>
                </c:pt>
                <c:pt idx="677">
                  <c:v>0.11971401939385728</c:v>
                </c:pt>
                <c:pt idx="678">
                  <c:v>0.11971859892137005</c:v>
                </c:pt>
                <c:pt idx="679">
                  <c:v>0.11972316497990132</c:v>
                </c:pt>
                <c:pt idx="680">
                  <c:v>0.11972771762878143</c:v>
                </c:pt>
                <c:pt idx="681">
                  <c:v>0.11973225692698541</c:v>
                </c:pt>
                <c:pt idx="682">
                  <c:v>0.11973678293315526</c:v>
                </c:pt>
                <c:pt idx="683">
                  <c:v>0.11974129570559988</c:v>
                </c:pt>
                <c:pt idx="684">
                  <c:v>0.11974579530227292</c:v>
                </c:pt>
                <c:pt idx="685">
                  <c:v>0.11975028178077274</c:v>
                </c:pt>
                <c:pt idx="686">
                  <c:v>0.11975475519840906</c:v>
                </c:pt>
                <c:pt idx="687">
                  <c:v>0.11975921561211411</c:v>
                </c:pt>
                <c:pt idx="688">
                  <c:v>0.11976366307853148</c:v>
                </c:pt>
                <c:pt idx="689">
                  <c:v>0.11976809765392726</c:v>
                </c:pt>
                <c:pt idx="690">
                  <c:v>0.11977251939427891</c:v>
                </c:pt>
                <c:pt idx="691">
                  <c:v>0.119776928355253</c:v>
                </c:pt>
                <c:pt idx="692">
                  <c:v>0.11978132459211643</c:v>
                </c:pt>
                <c:pt idx="693">
                  <c:v>0.11978570815991407</c:v>
                </c:pt>
                <c:pt idx="694">
                  <c:v>0.1197900791133133</c:v>
                </c:pt>
                <c:pt idx="695">
                  <c:v>0.11979443750669283</c:v>
                </c:pt>
                <c:pt idx="696">
                  <c:v>0.11979878339412053</c:v>
                </c:pt>
                <c:pt idx="697">
                  <c:v>0.1198031168293312</c:v>
                </c:pt>
                <c:pt idx="698">
                  <c:v>0.11980743786577097</c:v>
                </c:pt>
                <c:pt idx="699">
                  <c:v>0.11981174655657512</c:v>
                </c:pt>
                <c:pt idx="700">
                  <c:v>0.11981604295459025</c:v>
                </c:pt>
                <c:pt idx="701">
                  <c:v>0.11982032711232993</c:v>
                </c:pt>
                <c:pt idx="702">
                  <c:v>0.11982459908204124</c:v>
                </c:pt>
                <c:pt idx="703">
                  <c:v>0.11982885891566042</c:v>
                </c:pt>
                <c:pt idx="704">
                  <c:v>0.11983310666481284</c:v>
                </c:pt>
                <c:pt idx="705">
                  <c:v>0.11983734238087962</c:v>
                </c:pt>
                <c:pt idx="706">
                  <c:v>0.11984156611488661</c:v>
                </c:pt>
                <c:pt idx="707">
                  <c:v>0.11984577791761541</c:v>
                </c:pt>
                <c:pt idx="708">
                  <c:v>0.11984997783955897</c:v>
                </c:pt>
                <c:pt idx="709">
                  <c:v>0.11985534467815473</c:v>
                </c:pt>
                <c:pt idx="710">
                  <c:v>0.1198606964204707</c:v>
                </c:pt>
                <c:pt idx="711">
                  <c:v>0.11986603313007826</c:v>
                </c:pt>
                <c:pt idx="712">
                  <c:v>0.11987135487021572</c:v>
                </c:pt>
                <c:pt idx="713">
                  <c:v>0.11987666170381051</c:v>
                </c:pt>
                <c:pt idx="714">
                  <c:v>0.11988195369341259</c:v>
                </c:pt>
                <c:pt idx="715">
                  <c:v>0.11988723090117226</c:v>
                </c:pt>
                <c:pt idx="716">
                  <c:v>0.11989249338899555</c:v>
                </c:pt>
                <c:pt idx="717">
                  <c:v>0.1198977412183222</c:v>
                </c:pt>
                <c:pt idx="718">
                  <c:v>0.1199029744503477</c:v>
                </c:pt>
                <c:pt idx="719">
                  <c:v>0.11990819314591228</c:v>
                </c:pt>
                <c:pt idx="720">
                  <c:v>0.11991339736547868</c:v>
                </c:pt>
                <c:pt idx="721">
                  <c:v>0.11991858716917658</c:v>
                </c:pt>
                <c:pt idx="722">
                  <c:v>0.1199237626168248</c:v>
                </c:pt>
                <c:pt idx="723">
                  <c:v>0.1199289237679535</c:v>
                </c:pt>
                <c:pt idx="724">
                  <c:v>0.11993407068167095</c:v>
                </c:pt>
                <c:pt idx="725">
                  <c:v>0.11993920341684117</c:v>
                </c:pt>
                <c:pt idx="726">
                  <c:v>0.11994432203195071</c:v>
                </c:pt>
                <c:pt idx="727">
                  <c:v>0.11994942658517527</c:v>
                </c:pt>
                <c:pt idx="728">
                  <c:v>0.11995451713442407</c:v>
                </c:pt>
                <c:pt idx="729">
                  <c:v>0.11995959373720666</c:v>
                </c:pt>
                <c:pt idx="730">
                  <c:v>0.11996465645076615</c:v>
                </c:pt>
                <c:pt idx="731">
                  <c:v>0.11996970533203477</c:v>
                </c:pt>
                <c:pt idx="732">
                  <c:v>0.11997474043761169</c:v>
                </c:pt>
                <c:pt idx="733">
                  <c:v>0.11997976182380743</c:v>
                </c:pt>
                <c:pt idx="734">
                  <c:v>0.11998476954664383</c:v>
                </c:pt>
                <c:pt idx="735">
                  <c:v>0.11998976366176528</c:v>
                </c:pt>
                <c:pt idx="736">
                  <c:v>0.11999474422459411</c:v>
                </c:pt>
                <c:pt idx="737">
                  <c:v>0.11999971129019738</c:v>
                </c:pt>
                <c:pt idx="738">
                  <c:v>0.12000466491337569</c:v>
                </c:pt>
                <c:pt idx="739">
                  <c:v>0.12000960514864101</c:v>
                </c:pt>
                <c:pt idx="740">
                  <c:v>0.12001453205017221</c:v>
                </c:pt>
                <c:pt idx="741">
                  <c:v>0.12001944567188172</c:v>
                </c:pt>
                <c:pt idx="742">
                  <c:v>0.12002434606741552</c:v>
                </c:pt>
                <c:pt idx="743">
                  <c:v>0.12002923329006432</c:v>
                </c:pt>
                <c:pt idx="744">
                  <c:v>0.12003410739289677</c:v>
                </c:pt>
                <c:pt idx="745">
                  <c:v>0.12003896842867068</c:v>
                </c:pt>
                <c:pt idx="746">
                  <c:v>0.12004381644983297</c:v>
                </c:pt>
                <c:pt idx="747">
                  <c:v>0.12004865150863075</c:v>
                </c:pt>
                <c:pt idx="748">
                  <c:v>0.12005347365695584</c:v>
                </c:pt>
                <c:pt idx="749">
                  <c:v>0.12005828294643361</c:v>
                </c:pt>
                <c:pt idx="750">
                  <c:v>0.12006307942846739</c:v>
                </c:pt>
                <c:pt idx="751">
                  <c:v>0.12006786315410523</c:v>
                </c:pt>
                <c:pt idx="752">
                  <c:v>0.12007263417421754</c:v>
                </c:pt>
                <c:pt idx="753">
                  <c:v>0.12007739253931948</c:v>
                </c:pt>
                <c:pt idx="754">
                  <c:v>0.12008213829968195</c:v>
                </c:pt>
                <c:pt idx="755">
                  <c:v>0.120086871505376</c:v>
                </c:pt>
                <c:pt idx="756">
                  <c:v>0.12009159220611743</c:v>
                </c:pt>
                <c:pt idx="757">
                  <c:v>0.12009630045142217</c:v>
                </c:pt>
                <c:pt idx="758">
                  <c:v>0.12010099629047311</c:v>
                </c:pt>
                <c:pt idx="759">
                  <c:v>0.12010567977229769</c:v>
                </c:pt>
                <c:pt idx="760">
                  <c:v>0.1201103509455681</c:v>
                </c:pt>
                <c:pt idx="761">
                  <c:v>0.12011500985877888</c:v>
                </c:pt>
                <c:pt idx="762">
                  <c:v>0.12011965656009149</c:v>
                </c:pt>
                <c:pt idx="763">
                  <c:v>0.12012429109748979</c:v>
                </c:pt>
                <c:pt idx="764">
                  <c:v>0.12012891351866894</c:v>
                </c:pt>
                <c:pt idx="765">
                  <c:v>0.12013352387105769</c:v>
                </c:pt>
                <c:pt idx="766">
                  <c:v>0.12013812220188491</c:v>
                </c:pt>
                <c:pt idx="767">
                  <c:v>0.12014270855811304</c:v>
                </c:pt>
                <c:pt idx="768">
                  <c:v>0.12014728298643806</c:v>
                </c:pt>
                <c:pt idx="769">
                  <c:v>0.12015184553333391</c:v>
                </c:pt>
                <c:pt idx="770">
                  <c:v>0.12015639624505248</c:v>
                </c:pt>
                <c:pt idx="771">
                  <c:v>0.12016093516755699</c:v>
                </c:pt>
                <c:pt idx="772">
                  <c:v>0.12016546234661085</c:v>
                </c:pt>
                <c:pt idx="773">
                  <c:v>0.1201699778277332</c:v>
                </c:pt>
                <c:pt idx="774">
                  <c:v>0.12017066383067654</c:v>
                </c:pt>
                <c:pt idx="775">
                  <c:v>0.12017134806558971</c:v>
                </c:pt>
                <c:pt idx="776">
                  <c:v>0.12017203053928949</c:v>
                </c:pt>
                <c:pt idx="777">
                  <c:v>0.12017271125854823</c:v>
                </c:pt>
                <c:pt idx="778">
                  <c:v>0.12017339023013829</c:v>
                </c:pt>
                <c:pt idx="779">
                  <c:v>0.12017406746078763</c:v>
                </c:pt>
                <c:pt idx="780">
                  <c:v>0.12017474295715758</c:v>
                </c:pt>
                <c:pt idx="781">
                  <c:v>0.12017541672593168</c:v>
                </c:pt>
                <c:pt idx="782">
                  <c:v>0.12017608877372687</c:v>
                </c:pt>
                <c:pt idx="783">
                  <c:v>0.12017675910711567</c:v>
                </c:pt>
                <c:pt idx="784">
                  <c:v>0.12017742773264839</c:v>
                </c:pt>
                <c:pt idx="785">
                  <c:v>0.12017809465685314</c:v>
                </c:pt>
                <c:pt idx="786">
                  <c:v>0.12017875988619142</c:v>
                </c:pt>
                <c:pt idx="787">
                  <c:v>0.12017942342714694</c:v>
                </c:pt>
                <c:pt idx="788">
                  <c:v>0.12018008528613677</c:v>
                </c:pt>
                <c:pt idx="789">
                  <c:v>0.12018074546953361</c:v>
                </c:pt>
                <c:pt idx="790">
                  <c:v>0.12018140398368793</c:v>
                </c:pt>
                <c:pt idx="791">
                  <c:v>0.1201820608349502</c:v>
                </c:pt>
                <c:pt idx="792">
                  <c:v>0.12018271602958208</c:v>
                </c:pt>
                <c:pt idx="793">
                  <c:v>0.12018336957386744</c:v>
                </c:pt>
                <c:pt idx="794">
                  <c:v>0.12018402147400131</c:v>
                </c:pt>
                <c:pt idx="795">
                  <c:v>0.12018467173620095</c:v>
                </c:pt>
                <c:pt idx="796">
                  <c:v>0.1201853203666392</c:v>
                </c:pt>
                <c:pt idx="797">
                  <c:v>0.12018596737142229</c:v>
                </c:pt>
                <c:pt idx="798">
                  <c:v>0.12018661275670084</c:v>
                </c:pt>
                <c:pt idx="799">
                  <c:v>0.12018725652849227</c:v>
                </c:pt>
                <c:pt idx="800">
                  <c:v>0.1201878986928806</c:v>
                </c:pt>
                <c:pt idx="801">
                  <c:v>0.12018853925588324</c:v>
                </c:pt>
                <c:pt idx="802">
                  <c:v>0.12018917822345099</c:v>
                </c:pt>
                <c:pt idx="803">
                  <c:v>0.12018981560153463</c:v>
                </c:pt>
                <c:pt idx="804">
                  <c:v>0.12019045139608497</c:v>
                </c:pt>
                <c:pt idx="805">
                  <c:v>0.12019108561298619</c:v>
                </c:pt>
                <c:pt idx="806">
                  <c:v>0.12019171825812247</c:v>
                </c:pt>
                <c:pt idx="807">
                  <c:v>0.12019234933728917</c:v>
                </c:pt>
                <c:pt idx="808">
                  <c:v>0.12019297885632607</c:v>
                </c:pt>
                <c:pt idx="809">
                  <c:v>0.12019360682098412</c:v>
                </c:pt>
                <c:pt idx="810">
                  <c:v>0.12019423323703649</c:v>
                </c:pt>
                <c:pt idx="811">
                  <c:v>0.12019485811018971</c:v>
                </c:pt>
                <c:pt idx="812">
                  <c:v>0.12019548144615033</c:v>
                </c:pt>
                <c:pt idx="813">
                  <c:v>0.12019610325055829</c:v>
                </c:pt>
                <c:pt idx="814">
                  <c:v>0.12019672352909794</c:v>
                </c:pt>
                <c:pt idx="815">
                  <c:v>0.12019734228734258</c:v>
                </c:pt>
                <c:pt idx="816">
                  <c:v>0.12019795953086554</c:v>
                </c:pt>
                <c:pt idx="817">
                  <c:v>0.12019857526526234</c:v>
                </c:pt>
                <c:pt idx="818">
                  <c:v>0.12019918949601749</c:v>
                </c:pt>
                <c:pt idx="819">
                  <c:v>0.1201998022286821</c:v>
                </c:pt>
                <c:pt idx="820">
                  <c:v>0.12020041346867405</c:v>
                </c:pt>
                <c:pt idx="821">
                  <c:v>0.12020102322147785</c:v>
                </c:pt>
                <c:pt idx="822">
                  <c:v>0.12020163149248919</c:v>
                </c:pt>
                <c:pt idx="823">
                  <c:v>0.12020223828712595</c:v>
                </c:pt>
                <c:pt idx="824">
                  <c:v>0.12020284361076161</c:v>
                </c:pt>
                <c:pt idx="825">
                  <c:v>0.12020344746872524</c:v>
                </c:pt>
                <c:pt idx="826">
                  <c:v>0.12020404986632371</c:v>
                </c:pt>
                <c:pt idx="827">
                  <c:v>0.12020465080886389</c:v>
                </c:pt>
                <c:pt idx="828">
                  <c:v>0.12020525030160822</c:v>
                </c:pt>
                <c:pt idx="829">
                  <c:v>0.12020584834979697</c:v>
                </c:pt>
                <c:pt idx="830">
                  <c:v>0.12020644495864818</c:v>
                </c:pt>
                <c:pt idx="831">
                  <c:v>0.1202070401333355</c:v>
                </c:pt>
                <c:pt idx="832">
                  <c:v>0.12020763387903255</c:v>
                </c:pt>
                <c:pt idx="833">
                  <c:v>0.12020822620089078</c:v>
                </c:pt>
                <c:pt idx="834">
                  <c:v>0.12020881710401721</c:v>
                </c:pt>
                <c:pt idx="835">
                  <c:v>0.12020940659349666</c:v>
                </c:pt>
                <c:pt idx="836">
                  <c:v>0.12020999467441396</c:v>
                </c:pt>
                <c:pt idx="837">
                  <c:v>0.12021374548192298</c:v>
                </c:pt>
                <c:pt idx="838">
                  <c:v>0.12021748734840632</c:v>
                </c:pt>
                <c:pt idx="839">
                  <c:v>0.12022122030583837</c:v>
                </c:pt>
                <c:pt idx="840">
                  <c:v>0.12022494438597153</c:v>
                </c:pt>
                <c:pt idx="841">
                  <c:v>0.12022865962046936</c:v>
                </c:pt>
                <c:pt idx="842">
                  <c:v>0.12023236604077336</c:v>
                </c:pt>
                <c:pt idx="843">
                  <c:v>0.12023606367821404</c:v>
                </c:pt>
                <c:pt idx="844">
                  <c:v>0.12023975256401087</c:v>
                </c:pt>
                <c:pt idx="845">
                  <c:v>0.12024343272916127</c:v>
                </c:pt>
                <c:pt idx="846">
                  <c:v>0.12024710420457385</c:v>
                </c:pt>
                <c:pt idx="847">
                  <c:v>0.12025076702095738</c:v>
                </c:pt>
                <c:pt idx="848">
                  <c:v>0.12025442120895402</c:v>
                </c:pt>
                <c:pt idx="849">
                  <c:v>0.12025806679898388</c:v>
                </c:pt>
                <c:pt idx="850">
                  <c:v>0.12026170382137824</c:v>
                </c:pt>
                <c:pt idx="851">
                  <c:v>0.12026533230626857</c:v>
                </c:pt>
                <c:pt idx="852">
                  <c:v>0.1202689522837197</c:v>
                </c:pt>
                <c:pt idx="853">
                  <c:v>0.12027256378361884</c:v>
                </c:pt>
                <c:pt idx="854">
                  <c:v>0.12027616683567555</c:v>
                </c:pt>
                <c:pt idx="855">
                  <c:v>0.12027976146951058</c:v>
                </c:pt>
                <c:pt idx="856">
                  <c:v>0.12028334771461147</c:v>
                </c:pt>
                <c:pt idx="857">
                  <c:v>0.12028692560028809</c:v>
                </c:pt>
                <c:pt idx="858">
                  <c:v>0.12029049515573931</c:v>
                </c:pt>
                <c:pt idx="859">
                  <c:v>0.12029405641003077</c:v>
                </c:pt>
                <c:pt idx="860">
                  <c:v>0.12029760939209488</c:v>
                </c:pt>
                <c:pt idx="861">
                  <c:v>0.12030115413068643</c:v>
                </c:pt>
                <c:pt idx="862">
                  <c:v>0.12030469065447136</c:v>
                </c:pt>
                <c:pt idx="863">
                  <c:v>0.12030821899200461</c:v>
                </c:pt>
                <c:pt idx="864">
                  <c:v>0.12031173917166349</c:v>
                </c:pt>
                <c:pt idx="865">
                  <c:v>0.12031525122166986</c:v>
                </c:pt>
                <c:pt idx="866">
                  <c:v>0.12031875517020119</c:v>
                </c:pt>
                <c:pt idx="867">
                  <c:v>0.12032225104525729</c:v>
                </c:pt>
                <c:pt idx="868">
                  <c:v>0.12032573887466036</c:v>
                </c:pt>
                <c:pt idx="869">
                  <c:v>0.12032921868621038</c:v>
                </c:pt>
                <c:pt idx="870">
                  <c:v>0.1203326905074853</c:v>
                </c:pt>
                <c:pt idx="871">
                  <c:v>0.12033615436599643</c:v>
                </c:pt>
                <c:pt idx="872">
                  <c:v>0.12033961028907747</c:v>
                </c:pt>
                <c:pt idx="873">
                  <c:v>0.1203430583040177</c:v>
                </c:pt>
                <c:pt idx="874">
                  <c:v>0.12034649843788436</c:v>
                </c:pt>
                <c:pt idx="875">
                  <c:v>0.12034993071767808</c:v>
                </c:pt>
                <c:pt idx="876">
                  <c:v>0.12035335517026624</c:v>
                </c:pt>
                <c:pt idx="877">
                  <c:v>0.12035677182240523</c:v>
                </c:pt>
                <c:pt idx="878">
                  <c:v>0.12036018070069598</c:v>
                </c:pt>
                <c:pt idx="879">
                  <c:v>0.12036358183167284</c:v>
                </c:pt>
                <c:pt idx="880">
                  <c:v>0.12036697524167028</c:v>
                </c:pt>
                <c:pt idx="881">
                  <c:v>0.12037036095697839</c:v>
                </c:pt>
                <c:pt idx="882">
                  <c:v>0.12037373900375403</c:v>
                </c:pt>
                <c:pt idx="883">
                  <c:v>0.12037710940799862</c:v>
                </c:pt>
                <c:pt idx="884">
                  <c:v>0.12038047219562475</c:v>
                </c:pt>
                <c:pt idx="885">
                  <c:v>0.12038382739241182</c:v>
                </c:pt>
                <c:pt idx="886">
                  <c:v>0.12038717502405039</c:v>
                </c:pt>
                <c:pt idx="887">
                  <c:v>0.12039051511607557</c:v>
                </c:pt>
                <c:pt idx="888">
                  <c:v>0.12039384769395589</c:v>
                </c:pt>
                <c:pt idx="889">
                  <c:v>0.12039717278300444</c:v>
                </c:pt>
                <c:pt idx="890">
                  <c:v>0.12040049040844547</c:v>
                </c:pt>
                <c:pt idx="891">
                  <c:v>0.12040380059537004</c:v>
                </c:pt>
                <c:pt idx="892">
                  <c:v>0.12040710336875815</c:v>
                </c:pt>
                <c:pt idx="893">
                  <c:v>0.12041039875352322</c:v>
                </c:pt>
                <c:pt idx="894">
                  <c:v>0.12041368677440101</c:v>
                </c:pt>
                <c:pt idx="895">
                  <c:v>0.12041696745603847</c:v>
                </c:pt>
                <c:pt idx="896">
                  <c:v>0.12042024082301594</c:v>
                </c:pt>
                <c:pt idx="897">
                  <c:v>0.12042350689973613</c:v>
                </c:pt>
                <c:pt idx="898">
                  <c:v>0.12042676571053512</c:v>
                </c:pt>
                <c:pt idx="899">
                  <c:v>0.12043001727966018</c:v>
                </c:pt>
                <c:pt idx="900">
                  <c:v>0.12043561214596377</c:v>
                </c:pt>
                <c:pt idx="901">
                  <c:v>0.12044119460712377</c:v>
                </c:pt>
                <c:pt idx="902">
                  <c:v>0.12044676470432947</c:v>
                </c:pt>
                <c:pt idx="903">
                  <c:v>0.12045232247863691</c:v>
                </c:pt>
                <c:pt idx="904">
                  <c:v>0.12045786797085789</c:v>
                </c:pt>
                <c:pt idx="905">
                  <c:v>0.12046340122169319</c:v>
                </c:pt>
                <c:pt idx="906">
                  <c:v>0.12046892227159933</c:v>
                </c:pt>
                <c:pt idx="907">
                  <c:v>0.12047443116092182</c:v>
                </c:pt>
                <c:pt idx="908">
                  <c:v>0.12047992792978413</c:v>
                </c:pt>
                <c:pt idx="909">
                  <c:v>0.12048541261810986</c:v>
                </c:pt>
                <c:pt idx="910">
                  <c:v>0.12049088526573382</c:v>
                </c:pt>
                <c:pt idx="911">
                  <c:v>0.12049634591222436</c:v>
                </c:pt>
                <c:pt idx="912">
                  <c:v>0.1205017945970388</c:v>
                </c:pt>
                <c:pt idx="913">
                  <c:v>0.12050723135941244</c:v>
                </c:pt>
                <c:pt idx="914">
                  <c:v>0.12051265623844731</c:v>
                </c:pt>
                <c:pt idx="915">
                  <c:v>0.12051806927304565</c:v>
                </c:pt>
                <c:pt idx="916">
                  <c:v>0.12052347050199863</c:v>
                </c:pt>
                <c:pt idx="917">
                  <c:v>0.12052885996385321</c:v>
                </c:pt>
                <c:pt idx="918">
                  <c:v>0.12053423769702309</c:v>
                </c:pt>
                <c:pt idx="919">
                  <c:v>0.12053960373974437</c:v>
                </c:pt>
                <c:pt idx="920">
                  <c:v>0.12054495813011989</c:v>
                </c:pt>
                <c:pt idx="921">
                  <c:v>0.12055030090605268</c:v>
                </c:pt>
                <c:pt idx="922">
                  <c:v>0.1205556321052903</c:v>
                </c:pt>
                <c:pt idx="923">
                  <c:v>0.12056095176540271</c:v>
                </c:pt>
                <c:pt idx="924">
                  <c:v>0.12056625992384884</c:v>
                </c:pt>
                <c:pt idx="925">
                  <c:v>0.12057155661786556</c:v>
                </c:pt>
                <c:pt idx="926">
                  <c:v>0.12057684188455653</c:v>
                </c:pt>
                <c:pt idx="927">
                  <c:v>0.12058211576086997</c:v>
                </c:pt>
                <c:pt idx="928">
                  <c:v>0.12058737828357646</c:v>
                </c:pt>
                <c:pt idx="929">
                  <c:v>0.12059262948929117</c:v>
                </c:pt>
                <c:pt idx="930">
                  <c:v>0.12059786941451822</c:v>
                </c:pt>
                <c:pt idx="931">
                  <c:v>0.12060309809553971</c:v>
                </c:pt>
                <c:pt idx="932">
                  <c:v>0.12060831556850449</c:v>
                </c:pt>
                <c:pt idx="933">
                  <c:v>0.1206135218694282</c:v>
                </c:pt>
                <c:pt idx="934">
                  <c:v>0.12061871703414884</c:v>
                </c:pt>
                <c:pt idx="935">
                  <c:v>0.12062390109834897</c:v>
                </c:pt>
                <c:pt idx="936">
                  <c:v>0.12062907409760015</c:v>
                </c:pt>
                <c:pt idx="937">
                  <c:v>0.12063423606725188</c:v>
                </c:pt>
                <c:pt idx="938">
                  <c:v>0.12063938704256483</c:v>
                </c:pt>
                <c:pt idx="939">
                  <c:v>0.12064452705859985</c:v>
                </c:pt>
                <c:pt idx="940">
                  <c:v>0.12064965615035117</c:v>
                </c:pt>
                <c:pt idx="941">
                  <c:v>0.12065477435254657</c:v>
                </c:pt>
                <c:pt idx="942">
                  <c:v>0.12065988169986941</c:v>
                </c:pt>
                <c:pt idx="943">
                  <c:v>0.12066497822680322</c:v>
                </c:pt>
                <c:pt idx="944">
                  <c:v>0.1206700639676761</c:v>
                </c:pt>
                <c:pt idx="945">
                  <c:v>0.12067513895672732</c:v>
                </c:pt>
                <c:pt idx="946">
                  <c:v>0.12068020322799633</c:v>
                </c:pt>
                <c:pt idx="947">
                  <c:v>0.12068525681538933</c:v>
                </c:pt>
                <c:pt idx="948">
                  <c:v>0.12069029975272372</c:v>
                </c:pt>
                <c:pt idx="949">
                  <c:v>0.12069533207357264</c:v>
                </c:pt>
                <c:pt idx="950">
                  <c:v>0.12070035381146482</c:v>
                </c:pt>
                <c:pt idx="951">
                  <c:v>0.12070536499975137</c:v>
                </c:pt>
                <c:pt idx="952">
                  <c:v>0.12071036567162796</c:v>
                </c:pt>
                <c:pt idx="953">
                  <c:v>0.12071535586013482</c:v>
                </c:pt>
                <c:pt idx="954">
                  <c:v>0.12072033559826778</c:v>
                </c:pt>
                <c:pt idx="955">
                  <c:v>0.12072530491875622</c:v>
                </c:pt>
                <c:pt idx="956">
                  <c:v>0.1207302638543073</c:v>
                </c:pt>
                <c:pt idx="957">
                  <c:v>0.12073521243740615</c:v>
                </c:pt>
                <c:pt idx="958">
                  <c:v>0.12074015070047128</c:v>
                </c:pt>
                <c:pt idx="959">
                  <c:v>0.12074507867569917</c:v>
                </c:pt>
                <c:pt idx="960">
                  <c:v>0.12074999639526562</c:v>
                </c:pt>
                <c:pt idx="961">
                  <c:v>0.12075249347700545</c:v>
                </c:pt>
                <c:pt idx="962">
                  <c:v>0.12075498537273965</c:v>
                </c:pt>
                <c:pt idx="963">
                  <c:v>0.12075747209863152</c:v>
                </c:pt>
                <c:pt idx="964">
                  <c:v>0.12075995367075709</c:v>
                </c:pt>
                <c:pt idx="965">
                  <c:v>0.12076243010510357</c:v>
                </c:pt>
                <c:pt idx="966">
                  <c:v>0.12076490141763596</c:v>
                </c:pt>
                <c:pt idx="967">
                  <c:v>0.12076736762418605</c:v>
                </c:pt>
                <c:pt idx="968">
                  <c:v>0.12076982874060782</c:v>
                </c:pt>
                <c:pt idx="969">
                  <c:v>0.12077228478262203</c:v>
                </c:pt>
                <c:pt idx="970">
                  <c:v>0.12077473576590503</c:v>
                </c:pt>
                <c:pt idx="971">
                  <c:v>0.12077718170606655</c:v>
                </c:pt>
                <c:pt idx="972">
                  <c:v>0.12077962261867192</c:v>
                </c:pt>
                <c:pt idx="973">
                  <c:v>0.12078205851919765</c:v>
                </c:pt>
                <c:pt idx="974">
                  <c:v>0.12078448942305364</c:v>
                </c:pt>
                <c:pt idx="975">
                  <c:v>0.12078691534560537</c:v>
                </c:pt>
                <c:pt idx="976">
                  <c:v>0.12078933630215172</c:v>
                </c:pt>
                <c:pt idx="977">
                  <c:v>0.12079175230792494</c:v>
                </c:pt>
                <c:pt idx="978">
                  <c:v>0.12079416337811288</c:v>
                </c:pt>
                <c:pt idx="979">
                  <c:v>0.12079656952777018</c:v>
                </c:pt>
                <c:pt idx="980">
                  <c:v>0.12079897077201807</c:v>
                </c:pt>
                <c:pt idx="981">
                  <c:v>0.12080136712580014</c:v>
                </c:pt>
                <c:pt idx="982">
                  <c:v>0.1208037586040378</c:v>
                </c:pt>
                <c:pt idx="983">
                  <c:v>0.12080614522160804</c:v>
                </c:pt>
                <c:pt idx="984">
                  <c:v>0.12080852699329903</c:v>
                </c:pt>
                <c:pt idx="985">
                  <c:v>0.12081090393387672</c:v>
                </c:pt>
                <c:pt idx="986">
                  <c:v>0.12081327605801828</c:v>
                </c:pt>
                <c:pt idx="987">
                  <c:v>0.12081564338033424</c:v>
                </c:pt>
                <c:pt idx="988">
                  <c:v>0.12081800591541292</c:v>
                </c:pt>
                <c:pt idx="989">
                  <c:v>0.12082036367773163</c:v>
                </c:pt>
                <c:pt idx="990">
                  <c:v>0.1208227166817899</c:v>
                </c:pt>
                <c:pt idx="991">
                  <c:v>0.12082506494190959</c:v>
                </c:pt>
                <c:pt idx="992">
                  <c:v>0.12082740847247919</c:v>
                </c:pt>
                <c:pt idx="993">
                  <c:v>0.12082974728773177</c:v>
                </c:pt>
                <c:pt idx="994">
                  <c:v>0.12083208140192259</c:v>
                </c:pt>
                <c:pt idx="995">
                  <c:v>0.12083441082917368</c:v>
                </c:pt>
                <c:pt idx="996">
                  <c:v>0.12083673558360708</c:v>
                </c:pt>
                <c:pt idx="997">
                  <c:v>0.12083905567927822</c:v>
                </c:pt>
                <c:pt idx="998">
                  <c:v>0.1208413711301537</c:v>
                </c:pt>
                <c:pt idx="999">
                  <c:v>0.12084368195020012</c:v>
                </c:pt>
                <c:pt idx="1000">
                  <c:v>0.12084598815325087</c:v>
                </c:pt>
                <c:pt idx="1001">
                  <c:v>0.12084828975318374</c:v>
                </c:pt>
                <c:pt idx="1002">
                  <c:v>0.12085058676372107</c:v>
                </c:pt>
                <c:pt idx="1003">
                  <c:v>0.12085287919858523</c:v>
                </c:pt>
                <c:pt idx="1004">
                  <c:v>0.12085516707145416</c:v>
                </c:pt>
                <c:pt idx="1005">
                  <c:v>0.120857450395917</c:v>
                </c:pt>
                <c:pt idx="1006">
                  <c:v>0.12085972918554067</c:v>
                </c:pt>
                <c:pt idx="1007">
                  <c:v>0.12086200345378106</c:v>
                </c:pt>
                <c:pt idx="1008">
                  <c:v>0.12086427321413851</c:v>
                </c:pt>
                <c:pt idx="1009">
                  <c:v>0.12086653847995787</c:v>
                </c:pt>
                <c:pt idx="1010">
                  <c:v>0.12086879926458405</c:v>
                </c:pt>
                <c:pt idx="1011">
                  <c:v>0.1208710555813175</c:v>
                </c:pt>
                <c:pt idx="1012">
                  <c:v>0.12087330744336988</c:v>
                </c:pt>
                <c:pt idx="1013">
                  <c:v>0.12087555486393065</c:v>
                </c:pt>
                <c:pt idx="1014">
                  <c:v>0.12087779785612263</c:v>
                </c:pt>
                <c:pt idx="1015">
                  <c:v>0.12088003643304646</c:v>
                </c:pt>
                <c:pt idx="1016">
                  <c:v>0.12088227060769174</c:v>
                </c:pt>
                <c:pt idx="1017">
                  <c:v>0.1208845003930481</c:v>
                </c:pt>
                <c:pt idx="1018">
                  <c:v>0.12088672580201631</c:v>
                </c:pt>
                <c:pt idx="1019">
                  <c:v>0.12088894684751939</c:v>
                </c:pt>
                <c:pt idx="1020">
                  <c:v>0.12089116354232488</c:v>
                </c:pt>
                <c:pt idx="1021">
                  <c:v>0.12089337589922255</c:v>
                </c:pt>
                <c:pt idx="1022">
                  <c:v>0.12089558393095778</c:v>
                </c:pt>
                <c:pt idx="1023">
                  <c:v>0.1208977876501649</c:v>
                </c:pt>
                <c:pt idx="1024">
                  <c:v>0.12089998706947047</c:v>
                </c:pt>
                <c:pt idx="1025">
                  <c:v>0.12089945834574678</c:v>
                </c:pt>
                <c:pt idx="1026">
                  <c:v>0.12089893065168056</c:v>
                </c:pt>
                <c:pt idx="1027">
                  <c:v>0.12089840398423757</c:v>
                </c:pt>
                <c:pt idx="1028">
                  <c:v>0.12089787834046462</c:v>
                </c:pt>
                <c:pt idx="1029">
                  <c:v>0.1208973537173641</c:v>
                </c:pt>
                <c:pt idx="1030">
                  <c:v>0.12089683011196062</c:v>
                </c:pt>
                <c:pt idx="1031">
                  <c:v>0.12089630752130098</c:v>
                </c:pt>
                <c:pt idx="1032">
                  <c:v>0.12089578594240979</c:v>
                </c:pt>
                <c:pt idx="1033">
                  <c:v>0.12089526537240047</c:v>
                </c:pt>
                <c:pt idx="1034">
                  <c:v>0.12089474580831983</c:v>
                </c:pt>
                <c:pt idx="1035">
                  <c:v>0.12089422724728127</c:v>
                </c:pt>
                <c:pt idx="1036">
                  <c:v>0.12089370968635382</c:v>
                </c:pt>
                <c:pt idx="1037">
                  <c:v>0.1208931931226509</c:v>
                </c:pt>
                <c:pt idx="1038">
                  <c:v>0.12089267755328592</c:v>
                </c:pt>
                <c:pt idx="1039">
                  <c:v>0.12089216297541672</c:v>
                </c:pt>
                <c:pt idx="1040">
                  <c:v>0.12089164938615671</c:v>
                </c:pt>
                <c:pt idx="1041">
                  <c:v>0.12089113678270813</c:v>
                </c:pt>
                <c:pt idx="1042">
                  <c:v>0.12089062516218441</c:v>
                </c:pt>
                <c:pt idx="1043">
                  <c:v>0.12089011452176557</c:v>
                </c:pt>
                <c:pt idx="1044">
                  <c:v>0.12088960485867606</c:v>
                </c:pt>
                <c:pt idx="1045">
                  <c:v>0.12088909617007371</c:v>
                </c:pt>
                <c:pt idx="1046">
                  <c:v>0.12088858845318295</c:v>
                </c:pt>
                <c:pt idx="1047">
                  <c:v>0.12088808170520604</c:v>
                </c:pt>
                <c:pt idx="1048">
                  <c:v>0.12088757592341182</c:v>
                </c:pt>
                <c:pt idx="1049">
                  <c:v>0.12088707110500252</c:v>
                </c:pt>
                <c:pt idx="1050">
                  <c:v>0.120886567247247</c:v>
                </c:pt>
                <c:pt idx="1051">
                  <c:v>0.12088606434739191</c:v>
                </c:pt>
                <c:pt idx="1052">
                  <c:v>0.12088556240270609</c:v>
                </c:pt>
                <c:pt idx="1053">
                  <c:v>0.12088506141050281</c:v>
                </c:pt>
                <c:pt idx="1054">
                  <c:v>0.12088456136802872</c:v>
                </c:pt>
                <c:pt idx="1055">
                  <c:v>0.12088406227261927</c:v>
                </c:pt>
                <c:pt idx="1056">
                  <c:v>0.12088356412156553</c:v>
                </c:pt>
                <c:pt idx="1057">
                  <c:v>0.12088306691220296</c:v>
                </c:pt>
                <c:pt idx="1058">
                  <c:v>0.12088257064184482</c:v>
                </c:pt>
                <c:pt idx="1059">
                  <c:v>0.12088207530787098</c:v>
                </c:pt>
                <c:pt idx="1060">
                  <c:v>0.12088158090759471</c:v>
                </c:pt>
                <c:pt idx="1061">
                  <c:v>0.12088108743841808</c:v>
                </c:pt>
                <c:pt idx="1062">
                  <c:v>0.12088059489767655</c:v>
                </c:pt>
                <c:pt idx="1063">
                  <c:v>0.12088010328275001</c:v>
                </c:pt>
                <c:pt idx="1064">
                  <c:v>0.12087961259106272</c:v>
                </c:pt>
                <c:pt idx="1065">
                  <c:v>0.12087912281999458</c:v>
                </c:pt>
                <c:pt idx="1066">
                  <c:v>0.12087863396696985</c:v>
                </c:pt>
                <c:pt idx="1067">
                  <c:v>0.12087814602939062</c:v>
                </c:pt>
                <c:pt idx="1068">
                  <c:v>0.12087765900472558</c:v>
                </c:pt>
                <c:pt idx="1069">
                  <c:v>0.1208771728903546</c:v>
                </c:pt>
                <c:pt idx="1070">
                  <c:v>0.12087668768379078</c:v>
                </c:pt>
                <c:pt idx="1071">
                  <c:v>0.12087620338245841</c:v>
                </c:pt>
                <c:pt idx="1072">
                  <c:v>0.12087571998382618</c:v>
                </c:pt>
                <c:pt idx="1073">
                  <c:v>0.12087523748538498</c:v>
                </c:pt>
                <c:pt idx="1074">
                  <c:v>0.1208747558846035</c:v>
                </c:pt>
                <c:pt idx="1075">
                  <c:v>0.12087427517901705</c:v>
                </c:pt>
                <c:pt idx="1076">
                  <c:v>0.12087379536609433</c:v>
                </c:pt>
                <c:pt idx="1077">
                  <c:v>0.12087331644337063</c:v>
                </c:pt>
                <c:pt idx="1078">
                  <c:v>0.12087283840835905</c:v>
                </c:pt>
                <c:pt idx="1079">
                  <c:v>0.12087236125859491</c:v>
                </c:pt>
                <c:pt idx="1080">
                  <c:v>0.1208718849916357</c:v>
                </c:pt>
                <c:pt idx="1081">
                  <c:v>0.12087140960501674</c:v>
                </c:pt>
                <c:pt idx="1082">
                  <c:v>0.12087093509631774</c:v>
                </c:pt>
                <c:pt idx="1083">
                  <c:v>0.12087046146309621</c:v>
                </c:pt>
                <c:pt idx="1084">
                  <c:v>0.12086998870293963</c:v>
                </c:pt>
                <c:pt idx="1085">
                  <c:v>0.12087154603603878</c:v>
                </c:pt>
                <c:pt idx="1086">
                  <c:v>0.12087310050377109</c:v>
                </c:pt>
                <c:pt idx="1087">
                  <c:v>0.12087465211405579</c:v>
                </c:pt>
                <c:pt idx="1088">
                  <c:v>0.12087620087475326</c:v>
                </c:pt>
                <c:pt idx="1089">
                  <c:v>0.12087774679372387</c:v>
                </c:pt>
                <c:pt idx="1090">
                  <c:v>0.1208792898787614</c:v>
                </c:pt>
                <c:pt idx="1091">
                  <c:v>0.1208808301376596</c:v>
                </c:pt>
                <c:pt idx="1092">
                  <c:v>0.12088236757819004</c:v>
                </c:pt>
                <c:pt idx="1093">
                  <c:v>0.12088390220803547</c:v>
                </c:pt>
                <c:pt idx="1094">
                  <c:v>0.12088543403496743</c:v>
                </c:pt>
                <c:pt idx="1095">
                  <c:v>0.12088696306657987</c:v>
                </c:pt>
                <c:pt idx="1096">
                  <c:v>0.12088848931057772</c:v>
                </c:pt>
                <c:pt idx="1097">
                  <c:v>0.12089001277455491</c:v>
                </c:pt>
                <c:pt idx="1098">
                  <c:v>0.12089153346608317</c:v>
                </c:pt>
                <c:pt idx="1099">
                  <c:v>0.12089305139275641</c:v>
                </c:pt>
                <c:pt idx="1100">
                  <c:v>0.12089456656210196</c:v>
                </c:pt>
                <c:pt idx="1101">
                  <c:v>0.12089607898160271</c:v>
                </c:pt>
                <c:pt idx="1102">
                  <c:v>0.12089758865874156</c:v>
                </c:pt>
                <c:pt idx="1103">
                  <c:v>0.12089909560100143</c:v>
                </c:pt>
                <c:pt idx="1104">
                  <c:v>0.12090059981577639</c:v>
                </c:pt>
                <c:pt idx="1105">
                  <c:v>0.12090210131048273</c:v>
                </c:pt>
                <c:pt idx="1106">
                  <c:v>0.12090360009247014</c:v>
                </c:pt>
                <c:pt idx="1107">
                  <c:v>0.12090509616911049</c:v>
                </c:pt>
                <c:pt idx="1108">
                  <c:v>0.12090658954768685</c:v>
                </c:pt>
                <c:pt idx="1109">
                  <c:v>0.12090808023552668</c:v>
                </c:pt>
                <c:pt idx="1110">
                  <c:v>0.12090956823989085</c:v>
                </c:pt>
                <c:pt idx="1111">
                  <c:v>0.12091105356801801</c:v>
                </c:pt>
                <c:pt idx="1112">
                  <c:v>0.12091253622710241</c:v>
                </c:pt>
                <c:pt idx="1113">
                  <c:v>0.12091401622433828</c:v>
                </c:pt>
                <c:pt idx="1114">
                  <c:v>0.12091549356687548</c:v>
                </c:pt>
                <c:pt idx="1115">
                  <c:v>0.12091696826188603</c:v>
                </c:pt>
                <c:pt idx="1116">
                  <c:v>0.12091844031647536</c:v>
                </c:pt>
                <c:pt idx="1117">
                  <c:v>0.1209199097377045</c:v>
                </c:pt>
                <c:pt idx="1118">
                  <c:v>0.12092137653263446</c:v>
                </c:pt>
                <c:pt idx="1119">
                  <c:v>0.12092284070832626</c:v>
                </c:pt>
                <c:pt idx="1120">
                  <c:v>0.1209243022717521</c:v>
                </c:pt>
                <c:pt idx="1121">
                  <c:v>0.1209257612299286</c:v>
                </c:pt>
                <c:pt idx="1122">
                  <c:v>0.12092721758980574</c:v>
                </c:pt>
                <c:pt idx="1123">
                  <c:v>0.12092867135831131</c:v>
                </c:pt>
                <c:pt idx="1124">
                  <c:v>0.12093012254235092</c:v>
                </c:pt>
                <c:pt idx="1125">
                  <c:v>0.12093157114885233</c:v>
                </c:pt>
                <c:pt idx="1126">
                  <c:v>0.12093301718461014</c:v>
                </c:pt>
                <c:pt idx="1127">
                  <c:v>0.1209344606565077</c:v>
                </c:pt>
                <c:pt idx="1128">
                  <c:v>0.1209359015713396</c:v>
                </c:pt>
                <c:pt idx="1129">
                  <c:v>0.12093733993590039</c:v>
                </c:pt>
                <c:pt idx="1130">
                  <c:v>0.12093877575698464</c:v>
                </c:pt>
                <c:pt idx="1131">
                  <c:v>0.12094020904127589</c:v>
                </c:pt>
                <c:pt idx="1132">
                  <c:v>0.1209416397955243</c:v>
                </c:pt>
                <c:pt idx="1133">
                  <c:v>0.12094306802641341</c:v>
                </c:pt>
                <c:pt idx="1134">
                  <c:v>0.12094449374060456</c:v>
                </c:pt>
                <c:pt idx="1135">
                  <c:v>0.1209459169447813</c:v>
                </c:pt>
                <c:pt idx="1136">
                  <c:v>0.12094733764551613</c:v>
                </c:pt>
                <c:pt idx="1137">
                  <c:v>0.1209487558494482</c:v>
                </c:pt>
                <c:pt idx="1138">
                  <c:v>0.12095017156315002</c:v>
                </c:pt>
                <c:pt idx="1139">
                  <c:v>0.12095158479314971</c:v>
                </c:pt>
                <c:pt idx="1140">
                  <c:v>0.12095299554597538</c:v>
                </c:pt>
                <c:pt idx="1141">
                  <c:v>0.12095440382817735</c:v>
                </c:pt>
                <c:pt idx="1142">
                  <c:v>0.1209558096461949</c:v>
                </c:pt>
                <c:pt idx="1143">
                  <c:v>0.12095721300651174</c:v>
                </c:pt>
                <c:pt idx="1144">
                  <c:v>0.12095861391556717</c:v>
                </c:pt>
                <c:pt idx="1145">
                  <c:v>0.12096001237978293</c:v>
                </c:pt>
                <c:pt idx="1146">
                  <c:v>0.12095934285785148</c:v>
                </c:pt>
                <c:pt idx="1147">
                  <c:v>0.120958674502325</c:v>
                </c:pt>
                <c:pt idx="1148">
                  <c:v>0.12095800731017903</c:v>
                </c:pt>
                <c:pt idx="1149">
                  <c:v>0.12095734127839375</c:v>
                </c:pt>
                <c:pt idx="1150">
                  <c:v>0.12095667640390495</c:v>
                </c:pt>
                <c:pt idx="1151">
                  <c:v>0.12095601268371503</c:v>
                </c:pt>
                <c:pt idx="1152">
                  <c:v>0.12095535011482639</c:v>
                </c:pt>
                <c:pt idx="1153">
                  <c:v>0.12095468869424142</c:v>
                </c:pt>
                <c:pt idx="1154">
                  <c:v>0.12095402841896252</c:v>
                </c:pt>
                <c:pt idx="1155">
                  <c:v>0.12095336928605871</c:v>
                </c:pt>
                <c:pt idx="1156">
                  <c:v>0.12095271129253238</c:v>
                </c:pt>
                <c:pt idx="1157">
                  <c:v>0.12095205443543033</c:v>
                </c:pt>
                <c:pt idx="1158">
                  <c:v>0.12095139871184379</c:v>
                </c:pt>
                <c:pt idx="1159">
                  <c:v>0.12095074411879736</c:v>
                </c:pt>
                <c:pt idx="1160">
                  <c:v>0.12095009065340445</c:v>
                </c:pt>
                <c:pt idx="1161">
                  <c:v>0.12094943831273408</c:v>
                </c:pt>
                <c:pt idx="1162">
                  <c:v>0.12094878709389967</c:v>
                </c:pt>
                <c:pt idx="1163">
                  <c:v>0.12094813699399243</c:v>
                </c:pt>
                <c:pt idx="1164">
                  <c:v>0.12094748801014799</c:v>
                </c:pt>
                <c:pt idx="1165">
                  <c:v>0.12094684013947976</c:v>
                </c:pt>
                <c:pt idx="1166">
                  <c:v>0.12094619337914558</c:v>
                </c:pt>
                <c:pt idx="1167">
                  <c:v>0.12094554772625887</c:v>
                </c:pt>
                <c:pt idx="1168">
                  <c:v>0.12094490317802187</c:v>
                </c:pt>
                <c:pt idx="1169">
                  <c:v>0.12094425973157019</c:v>
                </c:pt>
                <c:pt idx="1170">
                  <c:v>0.12094361738410608</c:v>
                </c:pt>
                <c:pt idx="1171">
                  <c:v>0.12094297613278737</c:v>
                </c:pt>
                <c:pt idx="1172">
                  <c:v>0.1209423359748385</c:v>
                </c:pt>
                <c:pt idx="1173">
                  <c:v>0.1209416969074395</c:v>
                </c:pt>
                <c:pt idx="1174">
                  <c:v>0.12094105892783702</c:v>
                </c:pt>
                <c:pt idx="1175">
                  <c:v>0.1209404220332333</c:v>
                </c:pt>
                <c:pt idx="1176">
                  <c:v>0.12093978622085277</c:v>
                </c:pt>
                <c:pt idx="1177">
                  <c:v>0.1209391514879643</c:v>
                </c:pt>
                <c:pt idx="1178">
                  <c:v>0.12093851783181453</c:v>
                </c:pt>
                <c:pt idx="1179">
                  <c:v>0.1209378852496501</c:v>
                </c:pt>
                <c:pt idx="1180">
                  <c:v>0.12093725373876207</c:v>
                </c:pt>
                <c:pt idx="1181">
                  <c:v>0.1209366232964193</c:v>
                </c:pt>
                <c:pt idx="1182">
                  <c:v>0.12093599391991283</c:v>
                </c:pt>
                <c:pt idx="1183">
                  <c:v>0.12093536560655593</c:v>
                </c:pt>
                <c:pt idx="1184">
                  <c:v>0.12093473835366186</c:v>
                </c:pt>
                <c:pt idx="1185">
                  <c:v>0.12093411215849947</c:v>
                </c:pt>
                <c:pt idx="1186">
                  <c:v>0.12093348701844864</c:v>
                </c:pt>
                <c:pt idx="1187">
                  <c:v>0.12093286293082262</c:v>
                </c:pt>
                <c:pt idx="1188">
                  <c:v>0.12093223989297908</c:v>
                </c:pt>
                <c:pt idx="1189">
                  <c:v>0.12093161790225349</c:v>
                </c:pt>
                <c:pt idx="1190">
                  <c:v>0.12093099695602572</c:v>
                </c:pt>
                <c:pt idx="1191">
                  <c:v>0.12093037705165344</c:v>
                </c:pt>
                <c:pt idx="1192">
                  <c:v>0.12092975818651652</c:v>
                </c:pt>
                <c:pt idx="1193">
                  <c:v>0.12092914035799485</c:v>
                </c:pt>
                <c:pt idx="1194">
                  <c:v>0.1209285235635349</c:v>
                </c:pt>
                <c:pt idx="1195">
                  <c:v>0.12092790780047213</c:v>
                </c:pt>
                <c:pt idx="1196">
                  <c:v>0.12092729306627525</c:v>
                </c:pt>
                <c:pt idx="1197">
                  <c:v>0.12092667935834633</c:v>
                </c:pt>
                <c:pt idx="1198">
                  <c:v>0.12092606667413186</c:v>
                </c:pt>
                <c:pt idx="1199">
                  <c:v>0.12092545501103391</c:v>
                </c:pt>
                <c:pt idx="1200">
                  <c:v>0.12092484436654338</c:v>
                </c:pt>
                <c:pt idx="1201">
                  <c:v>0.12092423473812897</c:v>
                </c:pt>
                <c:pt idx="1202">
                  <c:v>0.12092362612319274</c:v>
                </c:pt>
                <c:pt idx="1203">
                  <c:v>0.12092301851927001</c:v>
                </c:pt>
                <c:pt idx="1204">
                  <c:v>0.12092241192380726</c:v>
                </c:pt>
                <c:pt idx="1205">
                  <c:v>0.1209218063343398</c:v>
                </c:pt>
                <c:pt idx="1206">
                  <c:v>0.12092120174831411</c:v>
                </c:pt>
                <c:pt idx="1207">
                  <c:v>0.1209205981632655</c:v>
                </c:pt>
                <c:pt idx="1208">
                  <c:v>0.12091999557670707</c:v>
                </c:pt>
                <c:pt idx="1209">
                  <c:v>0.12092184770806647</c:v>
                </c:pt>
                <c:pt idx="1210">
                  <c:v>0.1209236967806282</c:v>
                </c:pt>
                <c:pt idx="1211">
                  <c:v>0.12092554280194179</c:v>
                </c:pt>
                <c:pt idx="1212">
                  <c:v>0.12092738577955675</c:v>
                </c:pt>
                <c:pt idx="1213">
                  <c:v>0.1209292257210004</c:v>
                </c:pt>
                <c:pt idx="1214">
                  <c:v>0.12093106263375564</c:v>
                </c:pt>
                <c:pt idx="1215">
                  <c:v>0.12093289652532757</c:v>
                </c:pt>
                <c:pt idx="1216">
                  <c:v>0.12093472740313249</c:v>
                </c:pt>
                <c:pt idx="1217">
                  <c:v>0.12093655527460889</c:v>
                </c:pt>
                <c:pt idx="1218">
                  <c:v>0.12093838014715086</c:v>
                </c:pt>
                <c:pt idx="1219">
                  <c:v>0.12094020202810807</c:v>
                </c:pt>
                <c:pt idx="1220">
                  <c:v>0.1209420209248746</c:v>
                </c:pt>
                <c:pt idx="1221">
                  <c:v>0.12094383684475574</c:v>
                </c:pt>
                <c:pt idx="1222">
                  <c:v>0.12094564979505673</c:v>
                </c:pt>
                <c:pt idx="1223">
                  <c:v>0.12094745978306065</c:v>
                </c:pt>
                <c:pt idx="1224">
                  <c:v>0.12094926681598395</c:v>
                </c:pt>
                <c:pt idx="1225">
                  <c:v>0.12095107090110968</c:v>
                </c:pt>
                <c:pt idx="1226">
                  <c:v>0.1209528720456321</c:v>
                </c:pt>
                <c:pt idx="1227">
                  <c:v>0.12095467025670104</c:v>
                </c:pt>
                <c:pt idx="1228">
                  <c:v>0.12095646554153294</c:v>
                </c:pt>
                <c:pt idx="1229">
                  <c:v>0.12095825790721104</c:v>
                </c:pt>
                <c:pt idx="1230">
                  <c:v>0.12096004736088517</c:v>
                </c:pt>
                <c:pt idx="1231">
                  <c:v>0.12096183390963855</c:v>
                </c:pt>
                <c:pt idx="1232">
                  <c:v>0.1209636175605322</c:v>
                </c:pt>
                <c:pt idx="1233">
                  <c:v>0.12096539832060493</c:v>
                </c:pt>
                <c:pt idx="1234">
                  <c:v>0.12096717619687336</c:v>
                </c:pt>
                <c:pt idx="1235">
                  <c:v>0.1209689511963763</c:v>
                </c:pt>
                <c:pt idx="1236">
                  <c:v>0.12097072332604153</c:v>
                </c:pt>
                <c:pt idx="1237">
                  <c:v>0.12097249259286347</c:v>
                </c:pt>
                <c:pt idx="1238">
                  <c:v>0.1209742590037699</c:v>
                </c:pt>
                <c:pt idx="1239">
                  <c:v>0.12097602256564421</c:v>
                </c:pt>
                <c:pt idx="1240">
                  <c:v>0.12097778328536979</c:v>
                </c:pt>
                <c:pt idx="1241">
                  <c:v>0.12097954116985221</c:v>
                </c:pt>
                <c:pt idx="1242">
                  <c:v>0.12098129622590825</c:v>
                </c:pt>
                <c:pt idx="1243">
                  <c:v>0.12098304846035468</c:v>
                </c:pt>
                <c:pt idx="1244">
                  <c:v>0.12098479787998606</c:v>
                </c:pt>
                <c:pt idx="1245">
                  <c:v>0.12098654449161916</c:v>
                </c:pt>
                <c:pt idx="1246">
                  <c:v>0.12098828830195973</c:v>
                </c:pt>
                <c:pt idx="1247">
                  <c:v>0.12099002931775793</c:v>
                </c:pt>
                <c:pt idx="1248">
                  <c:v>0.1209917675457417</c:v>
                </c:pt>
                <c:pt idx="1249">
                  <c:v>0.12099350299259459</c:v>
                </c:pt>
                <c:pt idx="1250">
                  <c:v>0.12099523566497794</c:v>
                </c:pt>
                <c:pt idx="1251">
                  <c:v>0.12099696556955308</c:v>
                </c:pt>
                <c:pt idx="1252">
                  <c:v>0.12099869271291475</c:v>
                </c:pt>
                <c:pt idx="1253">
                  <c:v>0.12100041710170206</c:v>
                </c:pt>
                <c:pt idx="1254">
                  <c:v>0.12100213874250976</c:v>
                </c:pt>
                <c:pt idx="1255">
                  <c:v>0.12100385764186594</c:v>
                </c:pt>
                <c:pt idx="1256">
                  <c:v>0.12100557380632093</c:v>
                </c:pt>
                <c:pt idx="1257">
                  <c:v>0.12100728724240284</c:v>
                </c:pt>
                <c:pt idx="1258">
                  <c:v>0.12100899795661757</c:v>
                </c:pt>
                <c:pt idx="1259">
                  <c:v>0.12101070595544883</c:v>
                </c:pt>
                <c:pt idx="1260">
                  <c:v>0.1210124112453359</c:v>
                </c:pt>
                <c:pt idx="1261">
                  <c:v>0.1210141138327403</c:v>
                </c:pt>
                <c:pt idx="1262">
                  <c:v>0.1210158137240791</c:v>
                </c:pt>
                <c:pt idx="1263">
                  <c:v>0.1210175109257472</c:v>
                </c:pt>
                <c:pt idx="1264">
                  <c:v>0.12101920544411726</c:v>
                </c:pt>
                <c:pt idx="1265">
                  <c:v>0.12102089728553977</c:v>
                </c:pt>
                <c:pt idx="1266">
                  <c:v>0.12102258645636521</c:v>
                </c:pt>
                <c:pt idx="1267">
                  <c:v>0.12102427296294405</c:v>
                </c:pt>
                <c:pt idx="1268">
                  <c:v>0.12102595681151573</c:v>
                </c:pt>
                <c:pt idx="1269">
                  <c:v>0.12102763800838634</c:v>
                </c:pt>
                <c:pt idx="1270">
                  <c:v>0.12102931655981752</c:v>
                </c:pt>
                <c:pt idx="1271">
                  <c:v>0.12103099247202653</c:v>
                </c:pt>
                <c:pt idx="1272">
                  <c:v>0.12103266575127503</c:v>
                </c:pt>
                <c:pt idx="1273">
                  <c:v>0.12103433640373584</c:v>
                </c:pt>
                <c:pt idx="1274">
                  <c:v>0.12103600443558182</c:v>
                </c:pt>
                <c:pt idx="1275">
                  <c:v>0.12103766985300801</c:v>
                </c:pt>
                <c:pt idx="1276">
                  <c:v>0.12103933266212064</c:v>
                </c:pt>
                <c:pt idx="1277">
                  <c:v>0.12104099286904813</c:v>
                </c:pt>
                <c:pt idx="1278">
                  <c:v>0.12104265047989671</c:v>
                </c:pt>
                <c:pt idx="1279">
                  <c:v>0.12104430550077261</c:v>
                </c:pt>
                <c:pt idx="1280">
                  <c:v>0.12104595793773765</c:v>
                </c:pt>
                <c:pt idx="1281">
                  <c:v>0.12104760779678703</c:v>
                </c:pt>
                <c:pt idx="1282">
                  <c:v>0.12104925508402697</c:v>
                </c:pt>
                <c:pt idx="1283">
                  <c:v>0.12105089980538608</c:v>
                </c:pt>
                <c:pt idx="1284">
                  <c:v>0.12105254196692616</c:v>
                </c:pt>
                <c:pt idx="1285">
                  <c:v>0.12105418157457581</c:v>
                </c:pt>
                <c:pt idx="1286">
                  <c:v>0.12105581863428583</c:v>
                </c:pt>
                <c:pt idx="1287">
                  <c:v>0.1210574531520292</c:v>
                </c:pt>
                <c:pt idx="1288">
                  <c:v>0.12105908513369013</c:v>
                </c:pt>
                <c:pt idx="1289">
                  <c:v>0.12106071458515277</c:v>
                </c:pt>
                <c:pt idx="1290">
                  <c:v>0.12106234151234574</c:v>
                </c:pt>
                <c:pt idx="1291">
                  <c:v>0.12106396592108659</c:v>
                </c:pt>
                <c:pt idx="1292">
                  <c:v>0.12106558781723731</c:v>
                </c:pt>
                <c:pt idx="1293">
                  <c:v>0.12106720720661546</c:v>
                </c:pt>
                <c:pt idx="1294">
                  <c:v>0.12106882409503861</c:v>
                </c:pt>
                <c:pt idx="1295">
                  <c:v>0.12107043848827992</c:v>
                </c:pt>
                <c:pt idx="1296">
                  <c:v>0.12107205039213476</c:v>
                </c:pt>
                <c:pt idx="1297">
                  <c:v>0.12107365981233187</c:v>
                </c:pt>
                <c:pt idx="1298">
                  <c:v>0.12107526675462221</c:v>
                </c:pt>
                <c:pt idx="1299">
                  <c:v>0.12107687122471233</c:v>
                </c:pt>
                <c:pt idx="1300">
                  <c:v>0.12107847322830878</c:v>
                </c:pt>
                <c:pt idx="1301">
                  <c:v>0.1210800727711181</c:v>
                </c:pt>
                <c:pt idx="1302">
                  <c:v>0.12108166985875801</c:v>
                </c:pt>
                <c:pt idx="1303">
                  <c:v>0.12108326449691287</c:v>
                </c:pt>
                <c:pt idx="1304">
                  <c:v>0.12108485669120039</c:v>
                </c:pt>
                <c:pt idx="1305">
                  <c:v>0.12108644644723832</c:v>
                </c:pt>
                <c:pt idx="1306">
                  <c:v>0.12108803377062216</c:v>
                </c:pt>
                <c:pt idx="1307">
                  <c:v>0.12108961866692525</c:v>
                </c:pt>
                <c:pt idx="1308">
                  <c:v>0.1210912011417431</c:v>
                </c:pt>
                <c:pt idx="1309">
                  <c:v>0.12109278120056022</c:v>
                </c:pt>
                <c:pt idx="1310">
                  <c:v>0.12109435884894992</c:v>
                </c:pt>
                <c:pt idx="1311">
                  <c:v>0.12109593409241892</c:v>
                </c:pt>
                <c:pt idx="1312">
                  <c:v>0.12109750693645172</c:v>
                </c:pt>
                <c:pt idx="1313">
                  <c:v>0.12109907738653281</c:v>
                </c:pt>
                <c:pt idx="1314">
                  <c:v>0.12110064544810228</c:v>
                </c:pt>
                <c:pt idx="1315">
                  <c:v>0.12110221112664465</c:v>
                </c:pt>
                <c:pt idx="1316">
                  <c:v>0.1211037744275778</c:v>
                </c:pt>
                <c:pt idx="1317">
                  <c:v>0.12110533535627521</c:v>
                </c:pt>
                <c:pt idx="1318">
                  <c:v>0.12110689391817697</c:v>
                </c:pt>
                <c:pt idx="1319">
                  <c:v>0.12110845011863436</c:v>
                </c:pt>
                <c:pt idx="1320">
                  <c:v>0.12111000396304306</c:v>
                </c:pt>
                <c:pt idx="1321">
                  <c:v>0.12111155545670993</c:v>
                </c:pt>
                <c:pt idx="1322">
                  <c:v>0.12111310460498625</c:v>
                </c:pt>
                <c:pt idx="1323">
                  <c:v>0.1211146514131789</c:v>
                </c:pt>
                <c:pt idx="1324">
                  <c:v>0.12111619588659472</c:v>
                </c:pt>
                <c:pt idx="1325">
                  <c:v>0.1211177380305184</c:v>
                </c:pt>
                <c:pt idx="1326">
                  <c:v>0.12111927785021237</c:v>
                </c:pt>
                <c:pt idx="1327">
                  <c:v>0.12112081535089469</c:v>
                </c:pt>
                <c:pt idx="1328">
                  <c:v>0.12112235053787224</c:v>
                </c:pt>
                <c:pt idx="1329">
                  <c:v>0.12112388341629643</c:v>
                </c:pt>
                <c:pt idx="1330">
                  <c:v>0.12112541399138532</c:v>
                </c:pt>
                <c:pt idx="1331">
                  <c:v>0.12112694226835696</c:v>
                </c:pt>
                <c:pt idx="1332">
                  <c:v>0.12112846825236279</c:v>
                </c:pt>
                <c:pt idx="1333">
                  <c:v>0.12112999194855423</c:v>
                </c:pt>
                <c:pt idx="1334">
                  <c:v>0.12112914338719971</c:v>
                </c:pt>
                <c:pt idx="1335">
                  <c:v>0.12112829609616238</c:v>
                </c:pt>
                <c:pt idx="1336">
                  <c:v>0.12112745007257786</c:v>
                </c:pt>
                <c:pt idx="1337">
                  <c:v>0.12112660531362618</c:v>
                </c:pt>
                <c:pt idx="1338">
                  <c:v>0.12112576181644297</c:v>
                </c:pt>
                <c:pt idx="1339">
                  <c:v>0.12112491957820826</c:v>
                </c:pt>
                <c:pt idx="1340">
                  <c:v>0.12112407859612428</c:v>
                </c:pt>
                <c:pt idx="1341">
                  <c:v>0.12112323886739329</c:v>
                </c:pt>
                <c:pt idx="1342">
                  <c:v>0.1211224003891731</c:v>
                </c:pt>
                <c:pt idx="1343">
                  <c:v>0.12112156315871037</c:v>
                </c:pt>
                <c:pt idx="1344">
                  <c:v>0.12112072717318512</c:v>
                </c:pt>
                <c:pt idx="1345">
                  <c:v>0.1211198924298662</c:v>
                </c:pt>
                <c:pt idx="1346">
                  <c:v>0.12111905892595587</c:v>
                </c:pt>
                <c:pt idx="1347">
                  <c:v>0.12111822665870076</c:v>
                </c:pt>
                <c:pt idx="1348">
                  <c:v>0.12111739562536972</c:v>
                </c:pt>
                <c:pt idx="1349">
                  <c:v>0.12111656582318719</c:v>
                </c:pt>
                <c:pt idx="1350">
                  <c:v>0.12111573724944424</c:v>
                </c:pt>
                <c:pt idx="1351">
                  <c:v>0.12111490990140972</c:v>
                </c:pt>
                <c:pt idx="1352">
                  <c:v>0.12111408377637467</c:v>
                </c:pt>
                <c:pt idx="1353">
                  <c:v>0.12111325887160795</c:v>
                </c:pt>
                <c:pt idx="1354">
                  <c:v>0.12111243518442283</c:v>
                </c:pt>
                <c:pt idx="1355">
                  <c:v>0.12111161271213255</c:v>
                </c:pt>
                <c:pt idx="1356">
                  <c:v>0.12111079145202819</c:v>
                </c:pt>
                <c:pt idx="1357">
                  <c:v>0.12110997140144519</c:v>
                </c:pt>
                <c:pt idx="1358">
                  <c:v>0.12110915255771904</c:v>
                </c:pt>
                <c:pt idx="1359">
                  <c:v>0.12110833491818518</c:v>
                </c:pt>
                <c:pt idx="1360">
                  <c:v>0.12110751848017909</c:v>
                </c:pt>
                <c:pt idx="1361">
                  <c:v>0.12110670324105843</c:v>
                </c:pt>
                <c:pt idx="1362">
                  <c:v>0.12110588919818088</c:v>
                </c:pt>
                <c:pt idx="1363">
                  <c:v>0.12110507634892631</c:v>
                </c:pt>
                <c:pt idx="1364">
                  <c:v>0.12110426469067459</c:v>
                </c:pt>
                <c:pt idx="1365">
                  <c:v>0.1211034542208056</c:v>
                </c:pt>
                <c:pt idx="1366">
                  <c:v>0.1211026449366992</c:v>
                </c:pt>
                <c:pt idx="1367">
                  <c:v>0.12110183683575748</c:v>
                </c:pt>
                <c:pt idx="1368">
                  <c:v>0.12110102991540472</c:v>
                </c:pt>
                <c:pt idx="1369">
                  <c:v>0.1211002241730208</c:v>
                </c:pt>
                <c:pt idx="1370">
                  <c:v>0.1210994196060744</c:v>
                </c:pt>
                <c:pt idx="1371">
                  <c:v>0.1210986162119676</c:v>
                </c:pt>
                <c:pt idx="1372">
                  <c:v>0.1210978139881469</c:v>
                </c:pt>
                <c:pt idx="1373">
                  <c:v>0.12109701293203656</c:v>
                </c:pt>
                <c:pt idx="1374">
                  <c:v>0.1210962130411275</c:v>
                </c:pt>
                <c:pt idx="1375">
                  <c:v>0.12109541431284399</c:v>
                </c:pt>
                <c:pt idx="1376">
                  <c:v>0.12109461674467692</c:v>
                </c:pt>
                <c:pt idx="1377">
                  <c:v>0.12109382033407279</c:v>
                </c:pt>
                <c:pt idx="1378">
                  <c:v>0.12109302507854469</c:v>
                </c:pt>
                <c:pt idx="1379">
                  <c:v>0.12109223097553912</c:v>
                </c:pt>
                <c:pt idx="1380">
                  <c:v>0.12109143802261357</c:v>
                </c:pt>
                <c:pt idx="1381">
                  <c:v>0.12109064621723675</c:v>
                </c:pt>
                <c:pt idx="1382">
                  <c:v>0.12108985555689955</c:v>
                </c:pt>
                <c:pt idx="1383">
                  <c:v>0.12108906603915948</c:v>
                </c:pt>
                <c:pt idx="1384">
                  <c:v>0.12108827766150743</c:v>
                </c:pt>
                <c:pt idx="1385">
                  <c:v>0.12108749042150091</c:v>
                </c:pt>
                <c:pt idx="1386">
                  <c:v>0.12108670431667523</c:v>
                </c:pt>
                <c:pt idx="1387">
                  <c:v>0.1210859193445657</c:v>
                </c:pt>
                <c:pt idx="1388">
                  <c:v>0.12108513550272981</c:v>
                </c:pt>
                <c:pt idx="1389">
                  <c:v>0.1210843527887473</c:v>
                </c:pt>
                <c:pt idx="1390">
                  <c:v>0.12108357120015345</c:v>
                </c:pt>
                <c:pt idx="1391">
                  <c:v>0.12108279073452799</c:v>
                </c:pt>
                <c:pt idx="1392">
                  <c:v>0.12108201138947283</c:v>
                </c:pt>
                <c:pt idx="1393">
                  <c:v>0.12108123316256769</c:v>
                </c:pt>
                <c:pt idx="1394">
                  <c:v>0.12108045605139228</c:v>
                </c:pt>
                <c:pt idx="1395">
                  <c:v>0.12107968005357073</c:v>
                </c:pt>
                <c:pt idx="1396">
                  <c:v>0.12107890516670494</c:v>
                </c:pt>
                <c:pt idx="1397">
                  <c:v>0.12107813138841905</c:v>
                </c:pt>
                <c:pt idx="1398">
                  <c:v>0.12107735871633718</c:v>
                </c:pt>
                <c:pt idx="1399">
                  <c:v>0.12107658714803904</c:v>
                </c:pt>
                <c:pt idx="1400">
                  <c:v>0.12107581668123757</c:v>
                </c:pt>
                <c:pt idx="1401">
                  <c:v>0.12107504731353469</c:v>
                </c:pt>
                <c:pt idx="1402">
                  <c:v>0.12107427904255452</c:v>
                </c:pt>
                <c:pt idx="1403">
                  <c:v>0.12107351186601001</c:v>
                </c:pt>
                <c:pt idx="1404">
                  <c:v>0.12107274578152527</c:v>
                </c:pt>
                <c:pt idx="1405">
                  <c:v>0.12107198078679104</c:v>
                </c:pt>
                <c:pt idx="1406">
                  <c:v>0.12107121687947586</c:v>
                </c:pt>
                <c:pt idx="1407">
                  <c:v>0.12107045405724826</c:v>
                </c:pt>
                <c:pt idx="1408">
                  <c:v>0.12106969231782116</c:v>
                </c:pt>
                <c:pt idx="1409">
                  <c:v>0.12106893165888533</c:v>
                </c:pt>
                <c:pt idx="1410">
                  <c:v>0.12106817207813148</c:v>
                </c:pt>
                <c:pt idx="1411">
                  <c:v>0.12106741357329476</c:v>
                </c:pt>
                <c:pt idx="1412">
                  <c:v>0.12106665614206591</c:v>
                </c:pt>
                <c:pt idx="1413">
                  <c:v>0.12106589978215787</c:v>
                </c:pt>
                <c:pt idx="1414">
                  <c:v>0.12106514449132799</c:v>
                </c:pt>
                <c:pt idx="1415">
                  <c:v>0.12106439026728921</c:v>
                </c:pt>
                <c:pt idx="1416">
                  <c:v>0.12106363710779888</c:v>
                </c:pt>
                <c:pt idx="1417">
                  <c:v>0.12106288501059215</c:v>
                </c:pt>
                <c:pt idx="1418">
                  <c:v>0.12106213397344856</c:v>
                </c:pt>
                <c:pt idx="1419">
                  <c:v>0.12106138399408106</c:v>
                </c:pt>
                <c:pt idx="1420">
                  <c:v>0.12106063507031362</c:v>
                </c:pt>
                <c:pt idx="1421">
                  <c:v>0.12105988719988137</c:v>
                </c:pt>
                <c:pt idx="1422">
                  <c:v>0.12105914038056387</c:v>
                </c:pt>
                <c:pt idx="1423">
                  <c:v>0.12105839461016288</c:v>
                </c:pt>
                <c:pt idx="1424">
                  <c:v>0.12105764988645795</c:v>
                </c:pt>
                <c:pt idx="1425">
                  <c:v>0.12105690620725085</c:v>
                </c:pt>
                <c:pt idx="1426">
                  <c:v>0.12105616357034332</c:v>
                </c:pt>
                <c:pt idx="1427">
                  <c:v>0.12105542197355934</c:v>
                </c:pt>
                <c:pt idx="1428">
                  <c:v>0.12105468141470066</c:v>
                </c:pt>
                <c:pt idx="1429">
                  <c:v>0.12105394189159124</c:v>
                </c:pt>
                <c:pt idx="1430">
                  <c:v>0.12105320340207726</c:v>
                </c:pt>
                <c:pt idx="1431">
                  <c:v>0.12105246594396046</c:v>
                </c:pt>
                <c:pt idx="1432">
                  <c:v>0.12105172951510923</c:v>
                </c:pt>
                <c:pt idx="1433">
                  <c:v>0.12105099411334752</c:v>
                </c:pt>
                <c:pt idx="1434">
                  <c:v>0.12105025973656591</c:v>
                </c:pt>
                <c:pt idx="1435">
                  <c:v>0.12104952638258837</c:v>
                </c:pt>
                <c:pt idx="1436">
                  <c:v>0.12104879404928326</c:v>
                </c:pt>
                <c:pt idx="1437">
                  <c:v>0.12104806273451896</c:v>
                </c:pt>
                <c:pt idx="1438">
                  <c:v>0.12104733243620824</c:v>
                </c:pt>
                <c:pt idx="1439">
                  <c:v>0.12104660315217508</c:v>
                </c:pt>
                <c:pt idx="1440">
                  <c:v>0.12104587488035445</c:v>
                </c:pt>
                <c:pt idx="1441">
                  <c:v>0.12104514761863694</c:v>
                </c:pt>
                <c:pt idx="1442">
                  <c:v>0.12104442136489091</c:v>
                </c:pt>
                <c:pt idx="1443">
                  <c:v>0.12104369611705135</c:v>
                </c:pt>
                <c:pt idx="1444">
                  <c:v>0.12104297187300883</c:v>
                </c:pt>
                <c:pt idx="1445">
                  <c:v>0.12104224863069835</c:v>
                </c:pt>
                <c:pt idx="1446">
                  <c:v>0.12104152638803267</c:v>
                </c:pt>
                <c:pt idx="1447">
                  <c:v>0.121040805142969</c:v>
                </c:pt>
                <c:pt idx="1448">
                  <c:v>0.1210400848933979</c:v>
                </c:pt>
                <c:pt idx="1449">
                  <c:v>0.12103936563727657</c:v>
                </c:pt>
                <c:pt idx="1450">
                  <c:v>0.1210386473725622</c:v>
                </c:pt>
                <c:pt idx="1451">
                  <c:v>0.12103793009718977</c:v>
                </c:pt>
                <c:pt idx="1452">
                  <c:v>0.12103721380913868</c:v>
                </c:pt>
                <c:pt idx="1453">
                  <c:v>0.1210364985063439</c:v>
                </c:pt>
                <c:pt idx="1454">
                  <c:v>0.12103578418680705</c:v>
                </c:pt>
                <c:pt idx="1455">
                  <c:v>0.1210350708484631</c:v>
                </c:pt>
                <c:pt idx="1456">
                  <c:v>0.12103435848931365</c:v>
                </c:pt>
                <c:pt idx="1457">
                  <c:v>0.12103364710736031</c:v>
                </c:pt>
                <c:pt idx="1458">
                  <c:v>0.12103293670056026</c:v>
                </c:pt>
                <c:pt idx="1459">
                  <c:v>0.1210322272669373</c:v>
                </c:pt>
                <c:pt idx="1460">
                  <c:v>0.12103151880447083</c:v>
                </c:pt>
                <c:pt idx="1461">
                  <c:v>0.12103081131118465</c:v>
                </c:pt>
                <c:pt idx="1462">
                  <c:v>0.12103010478505816</c:v>
                </c:pt>
                <c:pt idx="1463">
                  <c:v>0.12102939922418177</c:v>
                </c:pt>
                <c:pt idx="1464">
                  <c:v>0.12102869462651267</c:v>
                </c:pt>
                <c:pt idx="1465">
                  <c:v>0.12102799099009687</c:v>
                </c:pt>
                <c:pt idx="1466">
                  <c:v>0.12102728831295817</c:v>
                </c:pt>
                <c:pt idx="1467">
                  <c:v>0.12102658659316479</c:v>
                </c:pt>
                <c:pt idx="1468">
                  <c:v>0.12102588582876272</c:v>
                </c:pt>
                <c:pt idx="1469">
                  <c:v>0.12102518601775358</c:v>
                </c:pt>
                <c:pt idx="1470">
                  <c:v>0.12102448715824998</c:v>
                </c:pt>
                <c:pt idx="1471">
                  <c:v>0.12102378924829793</c:v>
                </c:pt>
                <c:pt idx="1472">
                  <c:v>0.12102309228592123</c:v>
                </c:pt>
                <c:pt idx="1473">
                  <c:v>0.12102239626925471</c:v>
                </c:pt>
                <c:pt idx="1474">
                  <c:v>0.12102170119632216</c:v>
                </c:pt>
                <c:pt idx="1475">
                  <c:v>0.12102100706523622</c:v>
                </c:pt>
                <c:pt idx="1476">
                  <c:v>0.12102031387408729</c:v>
                </c:pt>
                <c:pt idx="1477">
                  <c:v>0.1210196216209436</c:v>
                </c:pt>
                <c:pt idx="1478">
                  <c:v>0.12101893030391775</c:v>
                </c:pt>
                <c:pt idx="1479">
                  <c:v>0.12101823992110017</c:v>
                </c:pt>
                <c:pt idx="1480">
                  <c:v>0.12101755047060347</c:v>
                </c:pt>
                <c:pt idx="1481">
                  <c:v>0.12101686195056249</c:v>
                </c:pt>
                <c:pt idx="1482">
                  <c:v>0.12101617435906764</c:v>
                </c:pt>
                <c:pt idx="1483">
                  <c:v>0.12101548769425374</c:v>
                </c:pt>
                <c:pt idx="1484">
                  <c:v>0.12101480195425562</c:v>
                </c:pt>
                <c:pt idx="1485">
                  <c:v>0.1210141171371637</c:v>
                </c:pt>
                <c:pt idx="1486">
                  <c:v>0.12101343324117941</c:v>
                </c:pt>
                <c:pt idx="1487">
                  <c:v>0.12101275026439318</c:v>
                </c:pt>
                <c:pt idx="1488">
                  <c:v>0.12101206820498422</c:v>
                </c:pt>
                <c:pt idx="1489">
                  <c:v>0.12101138706110959</c:v>
                </c:pt>
                <c:pt idx="1490">
                  <c:v>0.12101070683090409</c:v>
                </c:pt>
                <c:pt idx="1491">
                  <c:v>0.12101002751252476</c:v>
                </c:pt>
                <c:pt idx="1492">
                  <c:v>0.12100934910417305</c:v>
                </c:pt>
                <c:pt idx="1493">
                  <c:v>0.12100867160400597</c:v>
                </c:pt>
                <c:pt idx="1494">
                  <c:v>0.12100799501018056</c:v>
                </c:pt>
                <c:pt idx="1495">
                  <c:v>0.12100731932089825</c:v>
                </c:pt>
                <c:pt idx="1496">
                  <c:v>0.1210066445343605</c:v>
                </c:pt>
                <c:pt idx="1497">
                  <c:v>0.12100597064872431</c:v>
                </c:pt>
                <c:pt idx="1498">
                  <c:v>0.12100529766221335</c:v>
                </c:pt>
                <c:pt idx="1499">
                  <c:v>0.12100462557302905</c:v>
                </c:pt>
                <c:pt idx="1500">
                  <c:v>0.12100395437937284</c:v>
                </c:pt>
                <c:pt idx="1501">
                  <c:v>0.12100328407944616</c:v>
                </c:pt>
                <c:pt idx="1502">
                  <c:v>0.12100261467149487</c:v>
                </c:pt>
                <c:pt idx="1503">
                  <c:v>0.12100194615369819</c:v>
                </c:pt>
                <c:pt idx="1504">
                  <c:v>0.12100127852430198</c:v>
                </c:pt>
                <c:pt idx="1505">
                  <c:v>0.12100061178152988</c:v>
                </c:pt>
                <c:pt idx="1506">
                  <c:v>0.12099994592362773</c:v>
                </c:pt>
                <c:pt idx="1507">
                  <c:v>0.12099928094884138</c:v>
                </c:pt>
                <c:pt idx="1508">
                  <c:v>0.12099861685539448</c:v>
                </c:pt>
                <c:pt idx="1509">
                  <c:v>0.12099795364155508</c:v>
                </c:pt>
                <c:pt idx="1510">
                  <c:v>0.12099729130554682</c:v>
                </c:pt>
                <c:pt idx="1511">
                  <c:v>0.12099662984568216</c:v>
                </c:pt>
                <c:pt idx="1512">
                  <c:v>0.12099596926016254</c:v>
                </c:pt>
                <c:pt idx="1513">
                  <c:v>0.12099530954730042</c:v>
                </c:pt>
                <c:pt idx="1514">
                  <c:v>0.12099465070534166</c:v>
                </c:pt>
                <c:pt idx="1515">
                  <c:v>0.12099399273257649</c:v>
                </c:pt>
                <c:pt idx="1516">
                  <c:v>0.12099333562727299</c:v>
                </c:pt>
                <c:pt idx="1517">
                  <c:v>0.1209926793877214</c:v>
                </c:pt>
                <c:pt idx="1518">
                  <c:v>0.12099202401223419</c:v>
                </c:pt>
                <c:pt idx="1519">
                  <c:v>0.1209913694990794</c:v>
                </c:pt>
                <c:pt idx="1520">
                  <c:v>0.1209907158465473</c:v>
                </c:pt>
                <c:pt idx="1521">
                  <c:v>0.12099006305297255</c:v>
                </c:pt>
                <c:pt idx="1522">
                  <c:v>0.12098941111666761</c:v>
                </c:pt>
                <c:pt idx="1523">
                  <c:v>0.12098876003590053</c:v>
                </c:pt>
                <c:pt idx="1524">
                  <c:v>0.12098810980902819</c:v>
                </c:pt>
                <c:pt idx="1525">
                  <c:v>0.12098746043434083</c:v>
                </c:pt>
                <c:pt idx="1526">
                  <c:v>0.12098681191019534</c:v>
                </c:pt>
                <c:pt idx="1527">
                  <c:v>0.12098616423490416</c:v>
                </c:pt>
                <c:pt idx="1528">
                  <c:v>0.12098551740680197</c:v>
                </c:pt>
                <c:pt idx="1529">
                  <c:v>0.12098487142424563</c:v>
                </c:pt>
                <c:pt idx="1530">
                  <c:v>0.12098422628554761</c:v>
                </c:pt>
                <c:pt idx="1531">
                  <c:v>0.12098358198906478</c:v>
                </c:pt>
                <c:pt idx="1532">
                  <c:v>0.12098293853317621</c:v>
                </c:pt>
                <c:pt idx="1533">
                  <c:v>0.12098229591619436</c:v>
                </c:pt>
                <c:pt idx="1534">
                  <c:v>0.12098165413652051</c:v>
                </c:pt>
                <c:pt idx="1535">
                  <c:v>0.12098101319251153</c:v>
                </c:pt>
                <c:pt idx="1536">
                  <c:v>0.12098037308250209</c:v>
                </c:pt>
                <c:pt idx="1537">
                  <c:v>0.12097973380489346</c:v>
                </c:pt>
                <c:pt idx="1538">
                  <c:v>0.12097909535806473</c:v>
                </c:pt>
                <c:pt idx="1539">
                  <c:v>0.12097845774039495</c:v>
                </c:pt>
                <c:pt idx="1540">
                  <c:v>0.12097782095026322</c:v>
                </c:pt>
                <c:pt idx="1541">
                  <c:v>0.1209771849860708</c:v>
                </c:pt>
                <c:pt idx="1542">
                  <c:v>0.12097654984619677</c:v>
                </c:pt>
                <c:pt idx="1543">
                  <c:v>0.12097591552904241</c:v>
                </c:pt>
                <c:pt idx="1544">
                  <c:v>0.12097528203303121</c:v>
                </c:pt>
                <c:pt idx="1545">
                  <c:v>0.12097464935652003</c:v>
                </c:pt>
                <c:pt idx="1546">
                  <c:v>0.12097401749797676</c:v>
                </c:pt>
                <c:pt idx="1547">
                  <c:v>0.12097338645580269</c:v>
                </c:pt>
                <c:pt idx="1548">
                  <c:v>0.12097275622837689</c:v>
                </c:pt>
                <c:pt idx="1549">
                  <c:v>0.12097212681416725</c:v>
                </c:pt>
                <c:pt idx="1550">
                  <c:v>0.12097149821159725</c:v>
                </c:pt>
                <c:pt idx="1551">
                  <c:v>0.12097087041906818</c:v>
                </c:pt>
                <c:pt idx="1552">
                  <c:v>0.12097024343504792</c:v>
                </c:pt>
                <c:pt idx="1553">
                  <c:v>0.12096961725793776</c:v>
                </c:pt>
                <c:pt idx="1554">
                  <c:v>0.12096899188622778</c:v>
                </c:pt>
                <c:pt idx="1555">
                  <c:v>0.12096836731834149</c:v>
                </c:pt>
                <c:pt idx="1556">
                  <c:v>0.12096774355270234</c:v>
                </c:pt>
                <c:pt idx="1557">
                  <c:v>0.12096712058782266</c:v>
                </c:pt>
                <c:pt idx="1558">
                  <c:v>0.12096649842212592</c:v>
                </c:pt>
                <c:pt idx="1559">
                  <c:v>0.12096587705408002</c:v>
                </c:pt>
                <c:pt idx="1560">
                  <c:v>0.12096525648213063</c:v>
                </c:pt>
                <c:pt idx="1561">
                  <c:v>0.12096463670479007</c:v>
                </c:pt>
                <c:pt idx="1562">
                  <c:v>0.12096401772052623</c:v>
                </c:pt>
                <c:pt idx="1563">
                  <c:v>0.12096339952778479</c:v>
                </c:pt>
                <c:pt idx="1564">
                  <c:v>0.12096278212507805</c:v>
                </c:pt>
                <c:pt idx="1565">
                  <c:v>0.12096216551089611</c:v>
                </c:pt>
                <c:pt idx="1566">
                  <c:v>0.12096154968370687</c:v>
                </c:pt>
                <c:pt idx="1567">
                  <c:v>0.12096093464202262</c:v>
                </c:pt>
                <c:pt idx="1568">
                  <c:v>0.12096032038431126</c:v>
                </c:pt>
                <c:pt idx="1569">
                  <c:v>0.12095970690912949</c:v>
                </c:pt>
                <c:pt idx="1570">
                  <c:v>0.12095909421492301</c:v>
                </c:pt>
                <c:pt idx="1571">
                  <c:v>0.12095848230024853</c:v>
                </c:pt>
                <c:pt idx="1572">
                  <c:v>0.12095787116359613</c:v>
                </c:pt>
                <c:pt idx="1573">
                  <c:v>0.12095726080347813</c:v>
                </c:pt>
                <c:pt idx="1574">
                  <c:v>0.12095665121842902</c:v>
                </c:pt>
                <c:pt idx="1575">
                  <c:v>0.12095604240696112</c:v>
                </c:pt>
                <c:pt idx="1576">
                  <c:v>0.12095543436763112</c:v>
                </c:pt>
                <c:pt idx="1577">
                  <c:v>0.12095482709892913</c:v>
                </c:pt>
                <c:pt idx="1578">
                  <c:v>0.12095422059943406</c:v>
                </c:pt>
                <c:pt idx="1579">
                  <c:v>0.12095361486763601</c:v>
                </c:pt>
                <c:pt idx="1580">
                  <c:v>0.12095300990213609</c:v>
                </c:pt>
                <c:pt idx="1581">
                  <c:v>0.1209524057014244</c:v>
                </c:pt>
                <c:pt idx="1582">
                  <c:v>0.12095180226410207</c:v>
                </c:pt>
                <c:pt idx="1583">
                  <c:v>0.12095119958868139</c:v>
                </c:pt>
                <c:pt idx="1584">
                  <c:v>0.12095059767374128</c:v>
                </c:pt>
                <c:pt idx="1585">
                  <c:v>0.12094999651783844</c:v>
                </c:pt>
                <c:pt idx="1586">
                  <c:v>0.12094912324502882</c:v>
                </c:pt>
                <c:pt idx="1587">
                  <c:v>0.12094825107205054</c:v>
                </c:pt>
                <c:pt idx="1588">
                  <c:v>0.12094737999683858</c:v>
                </c:pt>
                <c:pt idx="1589">
                  <c:v>0.12094651001735013</c:v>
                </c:pt>
                <c:pt idx="1590">
                  <c:v>0.12094564113147577</c:v>
                </c:pt>
                <c:pt idx="1591">
                  <c:v>0.12094477333717268</c:v>
                </c:pt>
                <c:pt idx="1592">
                  <c:v>0.12094390663239807</c:v>
                </c:pt>
                <c:pt idx="1593">
                  <c:v>0.12094304101508691</c:v>
                </c:pt>
                <c:pt idx="1594">
                  <c:v>0.12094217648319638</c:v>
                </c:pt>
                <c:pt idx="1595">
                  <c:v>0.1209413130346837</c:v>
                </c:pt>
                <c:pt idx="1596">
                  <c:v>0.12094045066752823</c:v>
                </c:pt>
                <c:pt idx="1597">
                  <c:v>0.12093958937966498</c:v>
                </c:pt>
                <c:pt idx="1598">
                  <c:v>0.12093872916911774</c:v>
                </c:pt>
                <c:pt idx="1599">
                  <c:v>0.1209378700338215</c:v>
                </c:pt>
                <c:pt idx="1600">
                  <c:v>0.12093701197177786</c:v>
                </c:pt>
                <c:pt idx="1601">
                  <c:v>0.12093615498101062</c:v>
                </c:pt>
                <c:pt idx="1602">
                  <c:v>0.12093529905945477</c:v>
                </c:pt>
                <c:pt idx="1603">
                  <c:v>0.12093444420515631</c:v>
                </c:pt>
                <c:pt idx="1604">
                  <c:v>0.12093359041609464</c:v>
                </c:pt>
                <c:pt idx="1605">
                  <c:v>0.12093273769029356</c:v>
                </c:pt>
                <c:pt idx="1606">
                  <c:v>0.12093188602575466</c:v>
                </c:pt>
                <c:pt idx="1607">
                  <c:v>0.12093103542052397</c:v>
                </c:pt>
                <c:pt idx="1608">
                  <c:v>0.12093018587260307</c:v>
                </c:pt>
                <c:pt idx="1609">
                  <c:v>0.12092933738001577</c:v>
                </c:pt>
                <c:pt idx="1610">
                  <c:v>0.12092848994083027</c:v>
                </c:pt>
                <c:pt idx="1611">
                  <c:v>0.12092764355304819</c:v>
                </c:pt>
                <c:pt idx="1612">
                  <c:v>0.12092679821473773</c:v>
                </c:pt>
                <c:pt idx="1613">
                  <c:v>0.1209259539239449</c:v>
                </c:pt>
                <c:pt idx="1614">
                  <c:v>0.1209251106787157</c:v>
                </c:pt>
                <c:pt idx="1615">
                  <c:v>0.12092426847711835</c:v>
                </c:pt>
                <c:pt idx="1616">
                  <c:v>0.12092342731719885</c:v>
                </c:pt>
                <c:pt idx="1617">
                  <c:v>0.12092258719704763</c:v>
                </c:pt>
                <c:pt idx="1618">
                  <c:v>0.12092174811473289</c:v>
                </c:pt>
                <c:pt idx="1619">
                  <c:v>0.12092091006834504</c:v>
                </c:pt>
                <c:pt idx="1620">
                  <c:v>0.12092007305593011</c:v>
                </c:pt>
                <c:pt idx="1621">
                  <c:v>0.12091923707560071</c:v>
                </c:pt>
                <c:pt idx="1622">
                  <c:v>0.12091840212544724</c:v>
                </c:pt>
                <c:pt idx="1623">
                  <c:v>0.12091756820356014</c:v>
                </c:pt>
                <c:pt idx="1624">
                  <c:v>0.12091673530805203</c:v>
                </c:pt>
                <c:pt idx="1625">
                  <c:v>0.12091590343701331</c:v>
                </c:pt>
                <c:pt idx="1626">
                  <c:v>0.1209150725885566</c:v>
                </c:pt>
                <c:pt idx="1627">
                  <c:v>0.12091424276083895</c:v>
                </c:pt>
                <c:pt idx="1628">
                  <c:v>0.12091341395190636</c:v>
                </c:pt>
                <c:pt idx="1629">
                  <c:v>0.12091258615993805</c:v>
                </c:pt>
                <c:pt idx="1630">
                  <c:v>0.12091175938306886</c:v>
                </c:pt>
                <c:pt idx="1631">
                  <c:v>0.1209109336193892</c:v>
                </c:pt>
                <c:pt idx="1632">
                  <c:v>0.12091010886707831</c:v>
                </c:pt>
                <c:pt idx="1633">
                  <c:v>0.12090928512424881</c:v>
                </c:pt>
                <c:pt idx="1634">
                  <c:v>0.12090846238907993</c:v>
                </c:pt>
                <c:pt idx="1635">
                  <c:v>0.12090764065968429</c:v>
                </c:pt>
                <c:pt idx="1636">
                  <c:v>0.12090681993426333</c:v>
                </c:pt>
                <c:pt idx="1637">
                  <c:v>0.12090600021095188</c:v>
                </c:pt>
                <c:pt idx="1638">
                  <c:v>0.12090518148790697</c:v>
                </c:pt>
                <c:pt idx="1639">
                  <c:v>0.12090436376330782</c:v>
                </c:pt>
                <c:pt idx="1640">
                  <c:v>0.12090354703535588</c:v>
                </c:pt>
                <c:pt idx="1641">
                  <c:v>0.12090273130218598</c:v>
                </c:pt>
                <c:pt idx="1642">
                  <c:v>0.12090191656202176</c:v>
                </c:pt>
                <c:pt idx="1643">
                  <c:v>0.12090110281302024</c:v>
                </c:pt>
                <c:pt idx="1644">
                  <c:v>0.12090029005338288</c:v>
                </c:pt>
                <c:pt idx="1645">
                  <c:v>0.12089947828131109</c:v>
                </c:pt>
                <c:pt idx="1646">
                  <c:v>0.12089866749500633</c:v>
                </c:pt>
                <c:pt idx="1647">
                  <c:v>0.12089785769267003</c:v>
                </c:pt>
                <c:pt idx="1648">
                  <c:v>0.12089704887252584</c:v>
                </c:pt>
                <c:pt idx="1649">
                  <c:v>0.12089624103275298</c:v>
                </c:pt>
                <c:pt idx="1650">
                  <c:v>0.12089543417161952</c:v>
                </c:pt>
                <c:pt idx="1651">
                  <c:v>0.12089462828730468</c:v>
                </c:pt>
                <c:pt idx="1652">
                  <c:v>0.12089382337805432</c:v>
                </c:pt>
                <c:pt idx="1653">
                  <c:v>0.12089301944211428</c:v>
                </c:pt>
                <c:pt idx="1654">
                  <c:v>0.120892216477686</c:v>
                </c:pt>
                <c:pt idx="1655">
                  <c:v>0.12089141448303753</c:v>
                </c:pt>
                <c:pt idx="1656">
                  <c:v>0.12089061345639251</c:v>
                </c:pt>
                <c:pt idx="1657">
                  <c:v>0.12088981339601901</c:v>
                </c:pt>
                <c:pt idx="1658">
                  <c:v>0.12088901430016286</c:v>
                </c:pt>
                <c:pt idx="1659">
                  <c:v>0.12088821616706991</c:v>
                </c:pt>
                <c:pt idx="1660">
                  <c:v>0.12088741899503042</c:v>
                </c:pt>
                <c:pt idx="1661">
                  <c:v>0.12088662278226803</c:v>
                </c:pt>
                <c:pt idx="1662">
                  <c:v>0.1208858275270952</c:v>
                </c:pt>
                <c:pt idx="1663">
                  <c:v>0.12088503322773558</c:v>
                </c:pt>
                <c:pt idx="1664">
                  <c:v>0.12088423988252384</c:v>
                </c:pt>
                <c:pt idx="1665">
                  <c:v>0.1208834474896836</c:v>
                </c:pt>
                <c:pt idx="1666">
                  <c:v>0.12088265604754955</c:v>
                </c:pt>
                <c:pt idx="1667">
                  <c:v>0.12088186555438973</c:v>
                </c:pt>
                <c:pt idx="1668">
                  <c:v>0.12088107600851661</c:v>
                </c:pt>
                <c:pt idx="1669">
                  <c:v>0.12088028740819823</c:v>
                </c:pt>
                <c:pt idx="1670">
                  <c:v>0.12087949975174705</c:v>
                </c:pt>
                <c:pt idx="1671">
                  <c:v>0.12087871303749775</c:v>
                </c:pt>
                <c:pt idx="1672">
                  <c:v>0.12087792726371838</c:v>
                </c:pt>
                <c:pt idx="1673">
                  <c:v>0.12087714242874359</c:v>
                </c:pt>
                <c:pt idx="1674">
                  <c:v>0.12087635853090806</c:v>
                </c:pt>
                <c:pt idx="1675">
                  <c:v>0.12087557556850204</c:v>
                </c:pt>
                <c:pt idx="1676">
                  <c:v>0.12087479353986019</c:v>
                </c:pt>
                <c:pt idx="1677">
                  <c:v>0.1208740124433394</c:v>
                </c:pt>
                <c:pt idx="1678">
                  <c:v>0.12087323227725211</c:v>
                </c:pt>
                <c:pt idx="1679">
                  <c:v>0.12087245303993299</c:v>
                </c:pt>
                <c:pt idx="1680">
                  <c:v>0.12087167472973892</c:v>
                </c:pt>
                <c:pt idx="1681">
                  <c:v>0.12087089734498235</c:v>
                </c:pt>
                <c:pt idx="1682">
                  <c:v>0.12087012088406457</c:v>
                </c:pt>
                <c:pt idx="1683">
                  <c:v>0.12086934534532023</c:v>
                </c:pt>
                <c:pt idx="1684">
                  <c:v>0.12086857072708401</c:v>
                </c:pt>
                <c:pt idx="1685">
                  <c:v>0.12086779702775718</c:v>
                </c:pt>
                <c:pt idx="1686">
                  <c:v>0.12086702424567441</c:v>
                </c:pt>
                <c:pt idx="1687">
                  <c:v>0.12086625237921478</c:v>
                </c:pt>
                <c:pt idx="1688">
                  <c:v>0.12086548142675735</c:v>
                </c:pt>
                <c:pt idx="1689">
                  <c:v>0.1208647113866812</c:v>
                </c:pt>
                <c:pt idx="1690">
                  <c:v>0.1208639422573432</c:v>
                </c:pt>
                <c:pt idx="1691">
                  <c:v>0.12086317403716684</c:v>
                </c:pt>
                <c:pt idx="1692">
                  <c:v>0.12086240672450899</c:v>
                </c:pt>
                <c:pt idx="1693">
                  <c:v>0.12086164031777091</c:v>
                </c:pt>
                <c:pt idx="1694">
                  <c:v>0.12086087481537611</c:v>
                </c:pt>
                <c:pt idx="1695">
                  <c:v>0.12086011021568144</c:v>
                </c:pt>
                <c:pt idx="1696">
                  <c:v>0.12085934651711039</c:v>
                </c:pt>
                <c:pt idx="1697">
                  <c:v>0.12085858371808644</c:v>
                </c:pt>
                <c:pt idx="1698">
                  <c:v>0.12085782181701088</c:v>
                </c:pt>
                <c:pt idx="1699">
                  <c:v>0.12085706081228498</c:v>
                </c:pt>
                <c:pt idx="1700">
                  <c:v>0.12085630070233222</c:v>
                </c:pt>
                <c:pt idx="1701">
                  <c:v>0.12085554148559829</c:v>
                </c:pt>
                <c:pt idx="1702">
                  <c:v>0.12085478316048448</c:v>
                </c:pt>
                <c:pt idx="1703">
                  <c:v>0.12085402572541426</c:v>
                </c:pt>
                <c:pt idx="1704">
                  <c:v>0.12085326917885553</c:v>
                </c:pt>
                <c:pt idx="1705">
                  <c:v>0.12085251351923176</c:v>
                </c:pt>
                <c:pt idx="1706">
                  <c:v>0.12085175874496645</c:v>
                </c:pt>
                <c:pt idx="1707">
                  <c:v>0.12085100485450528</c:v>
                </c:pt>
                <c:pt idx="1708">
                  <c:v>0.12085025184633835</c:v>
                </c:pt>
                <c:pt idx="1709">
                  <c:v>0.12084949971886694</c:v>
                </c:pt>
                <c:pt idx="1710">
                  <c:v>0.12084874847058114</c:v>
                </c:pt>
                <c:pt idx="1711">
                  <c:v>0.12084799809990443</c:v>
                </c:pt>
                <c:pt idx="1712">
                  <c:v>0.12084724860534912</c:v>
                </c:pt>
                <c:pt idx="1713">
                  <c:v>0.1208464999853387</c:v>
                </c:pt>
                <c:pt idx="1714">
                  <c:v>0.12084575223838545</c:v>
                </c:pt>
                <c:pt idx="1715">
                  <c:v>0.12084500536291287</c:v>
                </c:pt>
                <c:pt idx="1716">
                  <c:v>0.12084425935743326</c:v>
                </c:pt>
                <c:pt idx="1717">
                  <c:v>0.12084351422041451</c:v>
                </c:pt>
                <c:pt idx="1718">
                  <c:v>0.12084276995034671</c:v>
                </c:pt>
                <c:pt idx="1719">
                  <c:v>0.12084202654569776</c:v>
                </c:pt>
                <c:pt idx="1720">
                  <c:v>0.12084128400500216</c:v>
                </c:pt>
                <c:pt idx="1721">
                  <c:v>0.1208405423267056</c:v>
                </c:pt>
                <c:pt idx="1722">
                  <c:v>0.12083980150934259</c:v>
                </c:pt>
                <c:pt idx="1723">
                  <c:v>0.12083906155140323</c:v>
                </c:pt>
                <c:pt idx="1724">
                  <c:v>0.1208383224513776</c:v>
                </c:pt>
                <c:pt idx="1725">
                  <c:v>0.12083758420780022</c:v>
                </c:pt>
                <c:pt idx="1726">
                  <c:v>0.12083684681918339</c:v>
                </c:pt>
                <c:pt idx="1727">
                  <c:v>0.1208361102840172</c:v>
                </c:pt>
                <c:pt idx="1728">
                  <c:v>0.12083537460083615</c:v>
                </c:pt>
                <c:pt idx="1729">
                  <c:v>0.12083463976815256</c:v>
                </c:pt>
                <c:pt idx="1730">
                  <c:v>0.12083390578450093</c:v>
                </c:pt>
                <c:pt idx="1731">
                  <c:v>0.12083317264843796</c:v>
                </c:pt>
                <c:pt idx="1732">
                  <c:v>0.12083244035843155</c:v>
                </c:pt>
                <c:pt idx="1733">
                  <c:v>0.12083170891308281</c:v>
                </c:pt>
                <c:pt idx="1734">
                  <c:v>0.12083097831088185</c:v>
                </c:pt>
                <c:pt idx="1735">
                  <c:v>0.12083024855042979</c:v>
                </c:pt>
                <c:pt idx="1736">
                  <c:v>0.12082951963021671</c:v>
                </c:pt>
                <c:pt idx="1737">
                  <c:v>0.12082879154879933</c:v>
                </c:pt>
                <c:pt idx="1738">
                  <c:v>0.12082806430475657</c:v>
                </c:pt>
                <c:pt idx="1739">
                  <c:v>0.12082733789662292</c:v>
                </c:pt>
                <c:pt idx="1740">
                  <c:v>0.12082661232297731</c:v>
                </c:pt>
                <c:pt idx="1741">
                  <c:v>0.12082588758237645</c:v>
                </c:pt>
                <c:pt idx="1742">
                  <c:v>0.12082516367337703</c:v>
                </c:pt>
                <c:pt idx="1743">
                  <c:v>0.12082444059453579</c:v>
                </c:pt>
                <c:pt idx="1744">
                  <c:v>0.12082371834445382</c:v>
                </c:pt>
                <c:pt idx="1745">
                  <c:v>0.12082299692171006</c:v>
                </c:pt>
                <c:pt idx="1746">
                  <c:v>0.1208222763248612</c:v>
                </c:pt>
                <c:pt idx="1747">
                  <c:v>0.12082155655250837</c:v>
                </c:pt>
                <c:pt idx="1748">
                  <c:v>0.12082083760320828</c:v>
                </c:pt>
                <c:pt idx="1749">
                  <c:v>0.12082011947558424</c:v>
                </c:pt>
                <c:pt idx="1750">
                  <c:v>0.12081940216821518</c:v>
                </c:pt>
                <c:pt idx="1751">
                  <c:v>0.12081868567968002</c:v>
                </c:pt>
                <c:pt idx="1752">
                  <c:v>0.12081797000860206</c:v>
                </c:pt>
                <c:pt idx="1753">
                  <c:v>0.12081725515358244</c:v>
                </c:pt>
                <c:pt idx="1754">
                  <c:v>0.12081654111322226</c:v>
                </c:pt>
                <c:pt idx="1755">
                  <c:v>0.12081582788610046</c:v>
                </c:pt>
                <c:pt idx="1756">
                  <c:v>0.12081511547086254</c:v>
                </c:pt>
                <c:pt idx="1757">
                  <c:v>0.12081440386610964</c:v>
                </c:pt>
                <c:pt idx="1758">
                  <c:v>0.12081369307048728</c:v>
                </c:pt>
                <c:pt idx="1759">
                  <c:v>0.12081298308257438</c:v>
                </c:pt>
                <c:pt idx="1760">
                  <c:v>0.12081227390101645</c:v>
                </c:pt>
                <c:pt idx="1761">
                  <c:v>0.12081156552441463</c:v>
                </c:pt>
                <c:pt idx="1762">
                  <c:v>0.12081085795145885</c:v>
                </c:pt>
                <c:pt idx="1763">
                  <c:v>0.12081015118070582</c:v>
                </c:pt>
                <c:pt idx="1764">
                  <c:v>0.12080944521086767</c:v>
                </c:pt>
                <c:pt idx="1765">
                  <c:v>0.12080874004052333</c:v>
                </c:pt>
                <c:pt idx="1766">
                  <c:v>0.12080803566836273</c:v>
                </c:pt>
                <c:pt idx="1767">
                  <c:v>0.120807332092987</c:v>
                </c:pt>
                <c:pt idx="1768">
                  <c:v>0.12080662931306385</c:v>
                </c:pt>
                <c:pt idx="1769">
                  <c:v>0.12080592732726103</c:v>
                </c:pt>
                <c:pt idx="1770">
                  <c:v>0.12080522613422406</c:v>
                </c:pt>
                <c:pt idx="1771">
                  <c:v>0.12080452573257627</c:v>
                </c:pt>
                <c:pt idx="1772">
                  <c:v>0.1208038261210298</c:v>
                </c:pt>
                <c:pt idx="1773">
                  <c:v>0.12080312729823017</c:v>
                </c:pt>
                <c:pt idx="1774">
                  <c:v>0.12080242926284512</c:v>
                </c:pt>
                <c:pt idx="1775">
                  <c:v>0.12080173201352018</c:v>
                </c:pt>
                <c:pt idx="1776">
                  <c:v>0.12080103554896748</c:v>
                </c:pt>
                <c:pt idx="1777">
                  <c:v>0.12080033986783256</c:v>
                </c:pt>
                <c:pt idx="1778">
                  <c:v>0.12079964496882756</c:v>
                </c:pt>
                <c:pt idx="1779">
                  <c:v>0.120798950850598</c:v>
                </c:pt>
                <c:pt idx="1780">
                  <c:v>0.12079825751183382</c:v>
                </c:pt>
                <c:pt idx="1781">
                  <c:v>0.12079756495124716</c:v>
                </c:pt>
                <c:pt idx="1782">
                  <c:v>0.12079687316750576</c:v>
                </c:pt>
                <c:pt idx="1783">
                  <c:v>0.12079618215929955</c:v>
                </c:pt>
                <c:pt idx="1784">
                  <c:v>0.12079549192536287</c:v>
                </c:pt>
                <c:pt idx="1785">
                  <c:v>0.12079480246436347</c:v>
                </c:pt>
                <c:pt idx="1786">
                  <c:v>0.12079411377499127</c:v>
                </c:pt>
                <c:pt idx="1787">
                  <c:v>0.12079342585598063</c:v>
                </c:pt>
                <c:pt idx="1788">
                  <c:v>0.12079273870604368</c:v>
                </c:pt>
                <c:pt idx="1789">
                  <c:v>0.12079205232384815</c:v>
                </c:pt>
                <c:pt idx="1790">
                  <c:v>0.1207913667081506</c:v>
                </c:pt>
                <c:pt idx="1791">
                  <c:v>0.12079068185766317</c:v>
                </c:pt>
                <c:pt idx="1792">
                  <c:v>0.120789997771098</c:v>
                </c:pt>
                <c:pt idx="1793">
                  <c:v>0.12078931444716723</c:v>
                </c:pt>
                <c:pt idx="1794">
                  <c:v>0.1207886318846052</c:v>
                </c:pt>
                <c:pt idx="1795">
                  <c:v>0.12078795008212406</c:v>
                </c:pt>
                <c:pt idx="1796">
                  <c:v>0.12078726903848036</c:v>
                </c:pt>
                <c:pt idx="1797">
                  <c:v>0.12078658875240844</c:v>
                </c:pt>
                <c:pt idx="1798">
                  <c:v>0.12078590922262045</c:v>
                </c:pt>
                <c:pt idx="1799">
                  <c:v>0.12078523044789513</c:v>
                </c:pt>
                <c:pt idx="1800">
                  <c:v>0.12078455242692243</c:v>
                </c:pt>
                <c:pt idx="1801">
                  <c:v>0.1207838751584811</c:v>
                </c:pt>
                <c:pt idx="1802">
                  <c:v>0.12078319864132769</c:v>
                </c:pt>
                <c:pt idx="1803">
                  <c:v>0.12078252287419655</c:v>
                </c:pt>
                <c:pt idx="1804">
                  <c:v>0.12078184785582202</c:v>
                </c:pt>
                <c:pt idx="1805">
                  <c:v>0.12078117358498286</c:v>
                </c:pt>
                <c:pt idx="1806">
                  <c:v>0.12078050006045782</c:v>
                </c:pt>
                <c:pt idx="1807">
                  <c:v>0.12077982728095904</c:v>
                </c:pt>
                <c:pt idx="1808">
                  <c:v>0.12077915524530969</c:v>
                </c:pt>
                <c:pt idx="1809">
                  <c:v>0.1207784839522219</c:v>
                </c:pt>
                <c:pt idx="1810">
                  <c:v>0.12077781340049665</c:v>
                </c:pt>
                <c:pt idx="1811">
                  <c:v>0.12077714358889047</c:v>
                </c:pt>
                <c:pt idx="1812">
                  <c:v>0.12077647451620432</c:v>
                </c:pt>
                <c:pt idx="1813">
                  <c:v>0.12077580618119477</c:v>
                </c:pt>
                <c:pt idx="1814">
                  <c:v>0.12077513858264055</c:v>
                </c:pt>
                <c:pt idx="1815">
                  <c:v>0.12077447171934264</c:v>
                </c:pt>
                <c:pt idx="1816">
                  <c:v>0.12077380559005757</c:v>
                </c:pt>
                <c:pt idx="1817">
                  <c:v>0.12077314019360852</c:v>
                </c:pt>
                <c:pt idx="1818">
                  <c:v>0.12077247552875203</c:v>
                </c:pt>
                <c:pt idx="1819">
                  <c:v>0.12077181159431127</c:v>
                </c:pt>
                <c:pt idx="1820">
                  <c:v>0.1207711483890872</c:v>
                </c:pt>
                <c:pt idx="1821">
                  <c:v>0.12077048591183637</c:v>
                </c:pt>
                <c:pt idx="1822">
                  <c:v>0.12076982416142634</c:v>
                </c:pt>
                <c:pt idx="1823">
                  <c:v>0.12076916313659147</c:v>
                </c:pt>
                <c:pt idx="1824">
                  <c:v>0.12076850283617713</c:v>
                </c:pt>
                <c:pt idx="1825">
                  <c:v>0.12076784325900647</c:v>
                </c:pt>
                <c:pt idx="1826">
                  <c:v>0.12076718440385825</c:v>
                </c:pt>
                <c:pt idx="1827">
                  <c:v>0.12076652626955564</c:v>
                </c:pt>
                <c:pt idx="1828">
                  <c:v>0.120765868854944</c:v>
                </c:pt>
                <c:pt idx="1829">
                  <c:v>0.12076521215880209</c:v>
                </c:pt>
                <c:pt idx="1830">
                  <c:v>0.12076455617997528</c:v>
                </c:pt>
                <c:pt idx="1831">
                  <c:v>0.12076390091728673</c:v>
                </c:pt>
                <c:pt idx="1832">
                  <c:v>0.1207632463695818</c:v>
                </c:pt>
                <c:pt idx="1833">
                  <c:v>0.12076259253566146</c:v>
                </c:pt>
                <c:pt idx="1834">
                  <c:v>0.12076193941437108</c:v>
                </c:pt>
                <c:pt idx="1835">
                  <c:v>0.12076128700453381</c:v>
                </c:pt>
                <c:pt idx="1836">
                  <c:v>0.12076063530501724</c:v>
                </c:pt>
                <c:pt idx="1837">
                  <c:v>0.12075998431465274</c:v>
                </c:pt>
                <c:pt idx="1838">
                  <c:v>0.12075993934679286</c:v>
                </c:pt>
                <c:pt idx="1839">
                  <c:v>0.120759894427791</c:v>
                </c:pt>
                <c:pt idx="1840">
                  <c:v>0.12075984955761676</c:v>
                </c:pt>
                <c:pt idx="1841">
                  <c:v>0.1207598047361369</c:v>
                </c:pt>
                <c:pt idx="1842">
                  <c:v>0.12075975996332922</c:v>
                </c:pt>
                <c:pt idx="1843">
                  <c:v>0.12075971523906048</c:v>
                </c:pt>
                <c:pt idx="1844">
                  <c:v>0.12075967056326409</c:v>
                </c:pt>
                <c:pt idx="1845">
                  <c:v>0.12075962593589562</c:v>
                </c:pt>
                <c:pt idx="1846">
                  <c:v>0.12075958135682185</c:v>
                </c:pt>
                <c:pt idx="1847">
                  <c:v>0.12075953682602059</c:v>
                </c:pt>
                <c:pt idx="1848">
                  <c:v>0.12075949234338079</c:v>
                </c:pt>
                <c:pt idx="1849">
                  <c:v>0.12075944790881366</c:v>
                </c:pt>
                <c:pt idx="1850">
                  <c:v>0.12075940352227477</c:v>
                </c:pt>
                <c:pt idx="1851">
                  <c:v>0.12075935918367531</c:v>
                </c:pt>
                <c:pt idx="1852">
                  <c:v>0.12075931489290426</c:v>
                </c:pt>
                <c:pt idx="1853">
                  <c:v>0.12075927064993941</c:v>
                </c:pt>
                <c:pt idx="1854">
                  <c:v>0.12075922645466974</c:v>
                </c:pt>
                <c:pt idx="1855">
                  <c:v>0.12075918230700644</c:v>
                </c:pt>
                <c:pt idx="1856">
                  <c:v>0.12075913820690509</c:v>
                </c:pt>
                <c:pt idx="1857">
                  <c:v>0.12075909415427688</c:v>
                </c:pt>
                <c:pt idx="1858">
                  <c:v>0.12075905014903299</c:v>
                </c:pt>
                <c:pt idx="1859">
                  <c:v>0.120759006191129</c:v>
                </c:pt>
                <c:pt idx="1860">
                  <c:v>0.1207589622804317</c:v>
                </c:pt>
                <c:pt idx="1861">
                  <c:v>0.12075891841691888</c:v>
                </c:pt>
                <c:pt idx="1862">
                  <c:v>0.12075887460050172</c:v>
                </c:pt>
                <c:pt idx="1863">
                  <c:v>0.1207588308310914</c:v>
                </c:pt>
                <c:pt idx="1864">
                  <c:v>0.12075878710862131</c:v>
                </c:pt>
                <c:pt idx="1865">
                  <c:v>0.12075874343300264</c:v>
                </c:pt>
                <c:pt idx="1866">
                  <c:v>0.12075869980416876</c:v>
                </c:pt>
                <c:pt idx="1867">
                  <c:v>0.12075865622207527</c:v>
                </c:pt>
                <c:pt idx="1868">
                  <c:v>0.12075861268658894</c:v>
                </c:pt>
                <c:pt idx="1869">
                  <c:v>0.12075856919768757</c:v>
                </c:pt>
                <c:pt idx="1870">
                  <c:v>0.12075852575523793</c:v>
                </c:pt>
                <c:pt idx="1871">
                  <c:v>0.12075848235924003</c:v>
                </c:pt>
                <c:pt idx="1872">
                  <c:v>0.12075843900956063</c:v>
                </c:pt>
                <c:pt idx="1873">
                  <c:v>0.12075839570615532</c:v>
                </c:pt>
                <c:pt idx="1874">
                  <c:v>0.12075835244893529</c:v>
                </c:pt>
                <c:pt idx="1875">
                  <c:v>0.12075830923783393</c:v>
                </c:pt>
                <c:pt idx="1876">
                  <c:v>0.12075826607276241</c:v>
                </c:pt>
                <c:pt idx="1877">
                  <c:v>0.12075822295367633</c:v>
                </c:pt>
                <c:pt idx="1878">
                  <c:v>0.12075817988046467</c:v>
                </c:pt>
                <c:pt idx="1879">
                  <c:v>0.12075813685310521</c:v>
                </c:pt>
                <c:pt idx="1880">
                  <c:v>0.12075809387148695</c:v>
                </c:pt>
                <c:pt idx="1881">
                  <c:v>0.12075805093552106</c:v>
                </c:pt>
                <c:pt idx="1882">
                  <c:v>0.12075800804518533</c:v>
                </c:pt>
                <c:pt idx="1883">
                  <c:v>0.12075796520036874</c:v>
                </c:pt>
                <c:pt idx="1884">
                  <c:v>0.1207579224010269</c:v>
                </c:pt>
                <c:pt idx="1885">
                  <c:v>0.12075787964704876</c:v>
                </c:pt>
                <c:pt idx="1886">
                  <c:v>0.12075783693838993</c:v>
                </c:pt>
                <c:pt idx="1887">
                  <c:v>0.12075779427498379</c:v>
                </c:pt>
                <c:pt idx="1888">
                  <c:v>0.12075775165674152</c:v>
                </c:pt>
                <c:pt idx="1889">
                  <c:v>0.12075770908359651</c:v>
                </c:pt>
                <c:pt idx="1890">
                  <c:v>0.12075766655548215</c:v>
                </c:pt>
                <c:pt idx="1891">
                  <c:v>0.12075762407233182</c:v>
                </c:pt>
                <c:pt idx="1892">
                  <c:v>0.1207575816340567</c:v>
                </c:pt>
                <c:pt idx="1893">
                  <c:v>0.12075753924059018</c:v>
                </c:pt>
                <c:pt idx="1894">
                  <c:v>0.12075749689186566</c:v>
                </c:pt>
                <c:pt idx="1895">
                  <c:v>0.1207574545878165</c:v>
                </c:pt>
                <c:pt idx="1896">
                  <c:v>0.12075741232837611</c:v>
                </c:pt>
                <c:pt idx="1897">
                  <c:v>0.12075737011345566</c:v>
                </c:pt>
                <c:pt idx="1898">
                  <c:v>0.12075732794301075</c:v>
                </c:pt>
                <c:pt idx="1899">
                  <c:v>0.12075728581693035</c:v>
                </c:pt>
                <c:pt idx="1900">
                  <c:v>0.12075724373519225</c:v>
                </c:pt>
                <c:pt idx="1901">
                  <c:v>0.12075720169770765</c:v>
                </c:pt>
                <c:pt idx="1902">
                  <c:v>0.12075715970438772</c:v>
                </c:pt>
                <c:pt idx="1903">
                  <c:v>0.12075711775518805</c:v>
                </c:pt>
                <c:pt idx="1904">
                  <c:v>0.12075707585001982</c:v>
                </c:pt>
                <c:pt idx="1905">
                  <c:v>0.12075703398881643</c:v>
                </c:pt>
                <c:pt idx="1906">
                  <c:v>0.12075699217153346</c:v>
                </c:pt>
                <c:pt idx="1907">
                  <c:v>0.1207569503980821</c:v>
                </c:pt>
                <c:pt idx="1908">
                  <c:v>0.12075690866839572</c:v>
                </c:pt>
                <c:pt idx="1909">
                  <c:v>0.12075686698238552</c:v>
                </c:pt>
                <c:pt idx="1910">
                  <c:v>0.12075682534002929</c:v>
                </c:pt>
                <c:pt idx="1911">
                  <c:v>0.12075678374121601</c:v>
                </c:pt>
                <c:pt idx="1912">
                  <c:v>0.12075674218590127</c:v>
                </c:pt>
                <c:pt idx="1913">
                  <c:v>0.12075670067401845</c:v>
                </c:pt>
                <c:pt idx="1914">
                  <c:v>0.12075665920545653</c:v>
                </c:pt>
                <c:pt idx="1915">
                  <c:v>0.12075661778021551</c:v>
                </c:pt>
                <c:pt idx="1916">
                  <c:v>0.12075657639818438</c:v>
                </c:pt>
                <c:pt idx="1917">
                  <c:v>0.12075653505929651</c:v>
                </c:pt>
                <c:pt idx="1918">
                  <c:v>0.1207564937634853</c:v>
                </c:pt>
                <c:pt idx="1919">
                  <c:v>0.12075645251070632</c:v>
                </c:pt>
                <c:pt idx="1920">
                  <c:v>0.12075641130087078</c:v>
                </c:pt>
                <c:pt idx="1921">
                  <c:v>0.12075637013393425</c:v>
                </c:pt>
                <c:pt idx="1922">
                  <c:v>0.12075632900978572</c:v>
                </c:pt>
                <c:pt idx="1923">
                  <c:v>0.12075628792840298</c:v>
                </c:pt>
                <c:pt idx="1924">
                  <c:v>0.12075624688969722</c:v>
                </c:pt>
                <c:pt idx="1925">
                  <c:v>0.12075620589360181</c:v>
                </c:pt>
                <c:pt idx="1926">
                  <c:v>0.12075616494007235</c:v>
                </c:pt>
                <c:pt idx="1927">
                  <c:v>0.12075612402899782</c:v>
                </c:pt>
                <c:pt idx="1928">
                  <c:v>0.12075608316035602</c:v>
                </c:pt>
                <c:pt idx="1929">
                  <c:v>0.12075604233408033</c:v>
                </c:pt>
                <c:pt idx="1930">
                  <c:v>0.12075600155005972</c:v>
                </c:pt>
                <c:pt idx="1931">
                  <c:v>0.120755960808272</c:v>
                </c:pt>
                <c:pt idx="1932">
                  <c:v>0.12075592010865055</c:v>
                </c:pt>
                <c:pt idx="1933">
                  <c:v>0.12075587945110655</c:v>
                </c:pt>
                <c:pt idx="1934">
                  <c:v>0.1207558388355956</c:v>
                </c:pt>
                <c:pt idx="1935">
                  <c:v>0.12075579826202887</c:v>
                </c:pt>
                <c:pt idx="1936">
                  <c:v>0.12075575773036196</c:v>
                </c:pt>
                <c:pt idx="1937">
                  <c:v>0.12075571724050604</c:v>
                </c:pt>
                <c:pt idx="1938">
                  <c:v>0.12075567679243893</c:v>
                </c:pt>
                <c:pt idx="1939">
                  <c:v>0.12075563638604958</c:v>
                </c:pt>
                <c:pt idx="1940">
                  <c:v>0.1207555960213158</c:v>
                </c:pt>
                <c:pt idx="1941">
                  <c:v>0.12075555569814878</c:v>
                </c:pt>
                <c:pt idx="1942">
                  <c:v>0.12075551541648188</c:v>
                </c:pt>
                <c:pt idx="1943">
                  <c:v>0.12075547517624852</c:v>
                </c:pt>
                <c:pt idx="1944">
                  <c:v>0.12075543497740426</c:v>
                </c:pt>
                <c:pt idx="1945">
                  <c:v>0.12075539481988251</c:v>
                </c:pt>
                <c:pt idx="1946">
                  <c:v>0.12075535470359444</c:v>
                </c:pt>
                <c:pt idx="1947">
                  <c:v>0.12075531462849565</c:v>
                </c:pt>
                <c:pt idx="1948">
                  <c:v>0.12075527459451951</c:v>
                </c:pt>
                <c:pt idx="1949">
                  <c:v>0.12075523460162163</c:v>
                </c:pt>
                <c:pt idx="1950">
                  <c:v>0.12075519464971318</c:v>
                </c:pt>
                <c:pt idx="1951">
                  <c:v>0.12075515473872755</c:v>
                </c:pt>
                <c:pt idx="1952">
                  <c:v>0.12075511486862034</c:v>
                </c:pt>
                <c:pt idx="1953">
                  <c:v>0.12075507503932492</c:v>
                </c:pt>
                <c:pt idx="1954">
                  <c:v>0.12075503525077469</c:v>
                </c:pt>
                <c:pt idx="1955">
                  <c:v>0.12075499550290303</c:v>
                </c:pt>
                <c:pt idx="1956">
                  <c:v>0.12075495579564333</c:v>
                </c:pt>
                <c:pt idx="1957">
                  <c:v>0.12075491612897338</c:v>
                </c:pt>
                <c:pt idx="1958">
                  <c:v>0.12075487650278216</c:v>
                </c:pt>
                <c:pt idx="1959">
                  <c:v>0.12075483691702527</c:v>
                </c:pt>
                <c:pt idx="1960">
                  <c:v>0.12075479737163608</c:v>
                </c:pt>
                <c:pt idx="1961">
                  <c:v>0.12075475786657019</c:v>
                </c:pt>
                <c:pt idx="1962">
                  <c:v>0.12075471840173879</c:v>
                </c:pt>
                <c:pt idx="1963">
                  <c:v>0.12075467897709746</c:v>
                </c:pt>
                <c:pt idx="1964">
                  <c:v>0.1207546395926018</c:v>
                </c:pt>
                <c:pt idx="1965">
                  <c:v>0.12075460024816298</c:v>
                </c:pt>
                <c:pt idx="1966">
                  <c:v>0.1207545609437144</c:v>
                </c:pt>
                <c:pt idx="1967">
                  <c:v>0.12075452167923384</c:v>
                </c:pt>
                <c:pt idx="1968">
                  <c:v>0.12075448245461029</c:v>
                </c:pt>
                <c:pt idx="1969">
                  <c:v>0.12075444326982154</c:v>
                </c:pt>
                <c:pt idx="1970">
                  <c:v>0.12075440412480098</c:v>
                </c:pt>
                <c:pt idx="1971">
                  <c:v>0.120754365019482</c:v>
                </c:pt>
                <c:pt idx="1972">
                  <c:v>0.12075432595377578</c:v>
                </c:pt>
                <c:pt idx="1973">
                  <c:v>0.12075428692768231</c:v>
                </c:pt>
                <c:pt idx="1974">
                  <c:v>0.12075424794109058</c:v>
                </c:pt>
                <c:pt idx="1975">
                  <c:v>0.12075420899397837</c:v>
                </c:pt>
                <c:pt idx="1976">
                  <c:v>0.12075417008623468</c:v>
                </c:pt>
                <c:pt idx="1977">
                  <c:v>0.12075413121785949</c:v>
                </c:pt>
                <c:pt idx="1978">
                  <c:v>0.120754092388764</c:v>
                </c:pt>
                <c:pt idx="1979">
                  <c:v>0.12075405359888158</c:v>
                </c:pt>
                <c:pt idx="1980">
                  <c:v>0.12075401484814563</c:v>
                </c:pt>
                <c:pt idx="1981">
                  <c:v>0.12075397613653394</c:v>
                </c:pt>
                <c:pt idx="1982">
                  <c:v>0.12075393746395768</c:v>
                </c:pt>
                <c:pt idx="1983">
                  <c:v>0.12075389883037246</c:v>
                </c:pt>
                <c:pt idx="1984">
                  <c:v>0.12075386023571166</c:v>
                </c:pt>
                <c:pt idx="1985">
                  <c:v>0.12075382167990867</c:v>
                </c:pt>
                <c:pt idx="1986">
                  <c:v>0.12075378316291907</c:v>
                </c:pt>
                <c:pt idx="1987">
                  <c:v>0.12075374468467626</c:v>
                </c:pt>
                <c:pt idx="1988">
                  <c:v>0.12075370624513582</c:v>
                </c:pt>
                <c:pt idx="1989">
                  <c:v>0.12075366784420893</c:v>
                </c:pt>
                <c:pt idx="1990">
                  <c:v>0.1207536294818734</c:v>
                </c:pt>
                <c:pt idx="1991">
                  <c:v>0.12075359115804041</c:v>
                </c:pt>
                <c:pt idx="1992">
                  <c:v>0.12075355287266554</c:v>
                </c:pt>
                <c:pt idx="1993">
                  <c:v>0.12075351462570438</c:v>
                </c:pt>
                <c:pt idx="1994">
                  <c:v>0.12075347641709033</c:v>
                </c:pt>
                <c:pt idx="1995">
                  <c:v>0.12075343824673457</c:v>
                </c:pt>
                <c:pt idx="1996">
                  <c:v>0.12075340011463709</c:v>
                </c:pt>
                <c:pt idx="1997">
                  <c:v>0.12075336202068687</c:v>
                </c:pt>
                <c:pt idx="1998">
                  <c:v>0.12075332396486171</c:v>
                </c:pt>
                <c:pt idx="1999">
                  <c:v>0.120753285947095</c:v>
                </c:pt>
                <c:pt idx="2000">
                  <c:v>0.12075324796732012</c:v>
                </c:pt>
                <c:pt idx="2001">
                  <c:v>0.12075321002549266</c:v>
                </c:pt>
                <c:pt idx="2002">
                  <c:v>0.12075317212154602</c:v>
                </c:pt>
                <c:pt idx="2003">
                  <c:v>0.12075313425543577</c:v>
                </c:pt>
                <c:pt idx="2004">
                  <c:v>0.1207530964270731</c:v>
                </c:pt>
                <c:pt idx="2005">
                  <c:v>0.12075305863645802</c:v>
                </c:pt>
                <c:pt idx="2006">
                  <c:v>0.1207530208834795</c:v>
                </c:pt>
                <c:pt idx="2007">
                  <c:v>0.12075298316811534</c:v>
                </c:pt>
                <c:pt idx="2008">
                  <c:v>0.12075294549027671</c:v>
                </c:pt>
                <c:pt idx="2009">
                  <c:v>0.12075290784996362</c:v>
                </c:pt>
                <c:pt idx="2010">
                  <c:v>0.12075287024706505</c:v>
                </c:pt>
                <c:pt idx="2011">
                  <c:v>0.12075283268153658</c:v>
                </c:pt>
                <c:pt idx="2012">
                  <c:v>0.12075279515333381</c:v>
                </c:pt>
                <c:pt idx="2013">
                  <c:v>0.12075275766241234</c:v>
                </c:pt>
                <c:pt idx="2014">
                  <c:v>0.12075272020868333</c:v>
                </c:pt>
                <c:pt idx="2015">
                  <c:v>0.12075268279212459</c:v>
                </c:pt>
                <c:pt idx="2016">
                  <c:v>0.1207526454126695</c:v>
                </c:pt>
                <c:pt idx="2017">
                  <c:v>0.12075260807025145</c:v>
                </c:pt>
                <c:pt idx="2018">
                  <c:v>0.12075257076484824</c:v>
                </c:pt>
                <c:pt idx="2019">
                  <c:v>0.12075253349634885</c:v>
                </c:pt>
                <c:pt idx="2020">
                  <c:v>0.12075249626475326</c:v>
                </c:pt>
                <c:pt idx="2021">
                  <c:v>0.12075245906997267</c:v>
                </c:pt>
                <c:pt idx="2022">
                  <c:v>0.12075242191196267</c:v>
                </c:pt>
                <c:pt idx="2023">
                  <c:v>0.12075238479067885</c:v>
                </c:pt>
                <c:pt idx="2024">
                  <c:v>0.12075234770605459</c:v>
                </c:pt>
                <c:pt idx="2025">
                  <c:v>0.12075231065802328</c:v>
                </c:pt>
                <c:pt idx="2026">
                  <c:v>0.12075227364656271</c:v>
                </c:pt>
                <c:pt idx="2027">
                  <c:v>0.12075223667160628</c:v>
                </c:pt>
                <c:pt idx="2028">
                  <c:v>0.12075219973308737</c:v>
                </c:pt>
                <c:pt idx="2029">
                  <c:v>0.12075216283096157</c:v>
                </c:pt>
                <c:pt idx="2030">
                  <c:v>0.12075212596518448</c:v>
                </c:pt>
                <c:pt idx="2031">
                  <c:v>0.12075208913566726</c:v>
                </c:pt>
                <c:pt idx="2032">
                  <c:v>0.12075205234240993</c:v>
                </c:pt>
                <c:pt idx="2033">
                  <c:v>0.12075201558532367</c:v>
                </c:pt>
                <c:pt idx="2034">
                  <c:v>0.12075197886436406</c:v>
                </c:pt>
                <c:pt idx="2035">
                  <c:v>0.1207519421794645</c:v>
                </c:pt>
                <c:pt idx="2036">
                  <c:v>0.12075190553058057</c:v>
                </c:pt>
                <c:pt idx="2037">
                  <c:v>0.12075186891769008</c:v>
                </c:pt>
                <c:pt idx="2038">
                  <c:v>0.12075183234068199</c:v>
                </c:pt>
                <c:pt idx="2039">
                  <c:v>0.12075179579955631</c:v>
                </c:pt>
                <c:pt idx="2040">
                  <c:v>0.12075175929422421</c:v>
                </c:pt>
                <c:pt idx="2041">
                  <c:v>0.12075172282464131</c:v>
                </c:pt>
                <c:pt idx="2042">
                  <c:v>0.12075168639076317</c:v>
                </c:pt>
                <c:pt idx="2043">
                  <c:v>0.1207516499925454</c:v>
                </c:pt>
                <c:pt idx="2044">
                  <c:v>0.12075161362992137</c:v>
                </c:pt>
                <c:pt idx="2045">
                  <c:v>0.12075157730284669</c:v>
                </c:pt>
                <c:pt idx="2046">
                  <c:v>0.12075154101125474</c:v>
                </c:pt>
                <c:pt idx="2047">
                  <c:v>0.1207515047551011</c:v>
                </c:pt>
                <c:pt idx="2048">
                  <c:v>0.12075146853434138</c:v>
                </c:pt>
                <c:pt idx="2049">
                  <c:v>0.12075143234893115</c:v>
                </c:pt>
                <c:pt idx="2050">
                  <c:v>0.12075139619880382</c:v>
                </c:pt>
                <c:pt idx="2051">
                  <c:v>0.12075136008389276</c:v>
                </c:pt>
                <c:pt idx="2052">
                  <c:v>0.12075132400417576</c:v>
                </c:pt>
                <c:pt idx="2053">
                  <c:v>0.12075128795958623</c:v>
                </c:pt>
                <c:pt idx="2054">
                  <c:v>0.12075125195007974</c:v>
                </c:pt>
                <c:pt idx="2055">
                  <c:v>0.12075121597561189</c:v>
                </c:pt>
                <c:pt idx="2056">
                  <c:v>0.12075118003609386</c:v>
                </c:pt>
                <c:pt idx="2057">
                  <c:v>0.12075114413152566</c:v>
                </c:pt>
                <c:pt idx="2058">
                  <c:v>0.12075110826184066</c:v>
                </c:pt>
                <c:pt idx="2059">
                  <c:v>0.12075107242695005</c:v>
                </c:pt>
                <c:pt idx="2060">
                  <c:v>0.12075103662685382</c:v>
                </c:pt>
                <c:pt idx="2061">
                  <c:v>0.12075100086148538</c:v>
                </c:pt>
                <c:pt idx="2062">
                  <c:v>0.1207509651307781</c:v>
                </c:pt>
                <c:pt idx="2063">
                  <c:v>0.12075092943470978</c:v>
                </c:pt>
                <c:pt idx="2064">
                  <c:v>0.12075089377319159</c:v>
                </c:pt>
                <c:pt idx="2065">
                  <c:v>0.12075085814620135</c:v>
                </c:pt>
                <c:pt idx="2066">
                  <c:v>0.12075082255369463</c:v>
                </c:pt>
                <c:pt idx="2067">
                  <c:v>0.12075078699560482</c:v>
                </c:pt>
                <c:pt idx="2068">
                  <c:v>0.12075075147188752</c:v>
                </c:pt>
                <c:pt idx="2069">
                  <c:v>0.12075071598249831</c:v>
                </c:pt>
                <c:pt idx="2070">
                  <c:v>0.12075068052737059</c:v>
                </c:pt>
                <c:pt idx="2071">
                  <c:v>0.12075064510648215</c:v>
                </c:pt>
                <c:pt idx="2072">
                  <c:v>0.12075060971974416</c:v>
                </c:pt>
                <c:pt idx="2073">
                  <c:v>0.12075057436715664</c:v>
                </c:pt>
                <c:pt idx="2074">
                  <c:v>0.12075053904863076</c:v>
                </c:pt>
                <c:pt idx="2075">
                  <c:v>0.12075050376412211</c:v>
                </c:pt>
                <c:pt idx="2076">
                  <c:v>0.12075046851358628</c:v>
                </c:pt>
                <c:pt idx="2077">
                  <c:v>0.12075043329700108</c:v>
                </c:pt>
                <c:pt idx="2078">
                  <c:v>0.12075039811427768</c:v>
                </c:pt>
                <c:pt idx="2079">
                  <c:v>0.12075036296539388</c:v>
                </c:pt>
                <c:pt idx="2080">
                  <c:v>0.12075032785028306</c:v>
                </c:pt>
                <c:pt idx="2081">
                  <c:v>0.12075029276890081</c:v>
                </c:pt>
                <c:pt idx="2082">
                  <c:v>0.12075025772120274</c:v>
                </c:pt>
                <c:pt idx="2083">
                  <c:v>0.12075022270714442</c:v>
                </c:pt>
                <c:pt idx="2084">
                  <c:v>0.12075018772668145</c:v>
                </c:pt>
                <c:pt idx="2085">
                  <c:v>0.12075015277974721</c:v>
                </c:pt>
                <c:pt idx="2086">
                  <c:v>0.1207501178662973</c:v>
                </c:pt>
                <c:pt idx="2087">
                  <c:v>0.12075008298630951</c:v>
                </c:pt>
                <c:pt idx="2088">
                  <c:v>0.12075004813969503</c:v>
                </c:pt>
                <c:pt idx="2089">
                  <c:v>0.1207500133264352</c:v>
                </c:pt>
                <c:pt idx="2090">
                  <c:v>0.12074845213287944</c:v>
                </c:pt>
                <c:pt idx="2091">
                  <c:v>0.12074689243188885</c:v>
                </c:pt>
                <c:pt idx="2092">
                  <c:v>0.12074533422132827</c:v>
                </c:pt>
                <c:pt idx="2093">
                  <c:v>0.12074377749904386</c:v>
                </c:pt>
                <c:pt idx="2094">
                  <c:v>0.12074222226290399</c:v>
                </c:pt>
                <c:pt idx="2095">
                  <c:v>0.12074066851079923</c:v>
                </c:pt>
                <c:pt idx="2096">
                  <c:v>0.12073911624062017</c:v>
                </c:pt>
                <c:pt idx="2097">
                  <c:v>0.12073756545021297</c:v>
                </c:pt>
                <c:pt idx="2098">
                  <c:v>0.12073601613746821</c:v>
                </c:pt>
                <c:pt idx="2099">
                  <c:v>0.12073446830027645</c:v>
                </c:pt>
                <c:pt idx="2100">
                  <c:v>0.1207329219365505</c:v>
                </c:pt>
                <c:pt idx="2101">
                  <c:v>0.12073137704418091</c:v>
                </c:pt>
                <c:pt idx="2102">
                  <c:v>0.12072983362105827</c:v>
                </c:pt>
                <c:pt idx="2103">
                  <c:v>0.12072829166509536</c:v>
                </c:pt>
                <c:pt idx="2104">
                  <c:v>0.12072675117418274</c:v>
                </c:pt>
                <c:pt idx="2105">
                  <c:v>0.12072521214625542</c:v>
                </c:pt>
                <c:pt idx="2106">
                  <c:v>0.12072367457922617</c:v>
                </c:pt>
                <c:pt idx="2107">
                  <c:v>0.12072213847100777</c:v>
                </c:pt>
                <c:pt idx="2108">
                  <c:v>0.1207206038195352</c:v>
                </c:pt>
                <c:pt idx="2109">
                  <c:v>0.12071907062274345</c:v>
                </c:pt>
                <c:pt idx="2110">
                  <c:v>0.1207175388785231</c:v>
                </c:pt>
                <c:pt idx="2111">
                  <c:v>0.12071600858487574</c:v>
                </c:pt>
                <c:pt idx="2112">
                  <c:v>0.12071447973969196</c:v>
                </c:pt>
                <c:pt idx="2113">
                  <c:v>0.12071295234092894</c:v>
                </c:pt>
                <c:pt idx="2114">
                  <c:v>0.12071142638654386</c:v>
                </c:pt>
                <c:pt idx="2115">
                  <c:v>0.12070990187447173</c:v>
                </c:pt>
                <c:pt idx="2116">
                  <c:v>0.12070837880269192</c:v>
                </c:pt>
                <c:pt idx="2117">
                  <c:v>0.12070685716913943</c:v>
                </c:pt>
                <c:pt idx="2118">
                  <c:v>0.12070533697179364</c:v>
                </c:pt>
                <c:pt idx="2119">
                  <c:v>0.12070381820863396</c:v>
                </c:pt>
                <c:pt idx="2120">
                  <c:v>0.12070230087759537</c:v>
                </c:pt>
                <c:pt idx="2121">
                  <c:v>0.12070078497670167</c:v>
                </c:pt>
                <c:pt idx="2122">
                  <c:v>0.12069927050388785</c:v>
                </c:pt>
                <c:pt idx="2123">
                  <c:v>0.1206977574571555</c:v>
                </c:pt>
                <c:pt idx="2124">
                  <c:v>0.12069624583448402</c:v>
                </c:pt>
                <c:pt idx="2125">
                  <c:v>0.12069473563389721</c:v>
                </c:pt>
                <c:pt idx="2126">
                  <c:v>0.12069322685333006</c:v>
                </c:pt>
                <c:pt idx="2127">
                  <c:v>0.12069171949082858</c:v>
                </c:pt>
                <c:pt idx="2128">
                  <c:v>0.12069021354437215</c:v>
                </c:pt>
                <c:pt idx="2129">
                  <c:v>0.12068870901196238</c:v>
                </c:pt>
                <c:pt idx="2130">
                  <c:v>0.12068720589164528</c:v>
                </c:pt>
                <c:pt idx="2131">
                  <c:v>0.12068570418137803</c:v>
                </c:pt>
                <c:pt idx="2132">
                  <c:v>0.12068420387922885</c:v>
                </c:pt>
                <c:pt idx="2133">
                  <c:v>0.12068270498319933</c:v>
                </c:pt>
                <c:pt idx="2134">
                  <c:v>0.12068120749129108</c:v>
                </c:pt>
                <c:pt idx="2135">
                  <c:v>0.1206797114015723</c:v>
                </c:pt>
                <c:pt idx="2136">
                  <c:v>0.12067821671204459</c:v>
                </c:pt>
                <c:pt idx="2137">
                  <c:v>0.12067672342073177</c:v>
                </c:pt>
                <c:pt idx="2138">
                  <c:v>0.12067523152572424</c:v>
                </c:pt>
                <c:pt idx="2139">
                  <c:v>0.12067374102500139</c:v>
                </c:pt>
                <c:pt idx="2140">
                  <c:v>0.12067225191667585</c:v>
                </c:pt>
                <c:pt idx="2141">
                  <c:v>0.12067076419872702</c:v>
                </c:pt>
                <c:pt idx="2142">
                  <c:v>0.12066927786926751</c:v>
                </c:pt>
                <c:pt idx="2143">
                  <c:v>0.12066779292632113</c:v>
                </c:pt>
                <c:pt idx="2144">
                  <c:v>0.12066630936797829</c:v>
                </c:pt>
                <c:pt idx="2145">
                  <c:v>0.12066482719226279</c:v>
                </c:pt>
                <c:pt idx="2146">
                  <c:v>0.12066334639728726</c:v>
                </c:pt>
                <c:pt idx="2147">
                  <c:v>0.12066186698107551</c:v>
                </c:pt>
                <c:pt idx="2148">
                  <c:v>0.12066038894174014</c:v>
                </c:pt>
                <c:pt idx="2149">
                  <c:v>0.12065891227732717</c:v>
                </c:pt>
                <c:pt idx="2150">
                  <c:v>0.12065743698597142</c:v>
                </c:pt>
                <c:pt idx="2151">
                  <c:v>0.1206559630656967</c:v>
                </c:pt>
                <c:pt idx="2152">
                  <c:v>0.12065449051463784</c:v>
                </c:pt>
                <c:pt idx="2153">
                  <c:v>0.12065301933086303</c:v>
                </c:pt>
                <c:pt idx="2154">
                  <c:v>0.12065154951248491</c:v>
                </c:pt>
                <c:pt idx="2155">
                  <c:v>0.12065008105759389</c:v>
                </c:pt>
                <c:pt idx="2156">
                  <c:v>0.1206486139643026</c:v>
                </c:pt>
                <c:pt idx="2157">
                  <c:v>0.12064714823070144</c:v>
                </c:pt>
                <c:pt idx="2158">
                  <c:v>0.12064568385490304</c:v>
                </c:pt>
                <c:pt idx="2159">
                  <c:v>0.12064422083504223</c:v>
                </c:pt>
                <c:pt idx="2160">
                  <c:v>0.12064275916923162</c:v>
                </c:pt>
                <c:pt idx="2161">
                  <c:v>0.12064129885558383</c:v>
                </c:pt>
                <c:pt idx="2162">
                  <c:v>0.1206398398922115</c:v>
                </c:pt>
                <c:pt idx="2163">
                  <c:v>0.12063838227724943</c:v>
                </c:pt>
                <c:pt idx="2164">
                  <c:v>0.12063692600885467</c:v>
                </c:pt>
                <c:pt idx="2165">
                  <c:v>0.12063547108513983</c:v>
                </c:pt>
                <c:pt idx="2166">
                  <c:v>0.12063401750423974</c:v>
                </c:pt>
                <c:pt idx="2167">
                  <c:v>0.12063256526428923</c:v>
                </c:pt>
                <c:pt idx="2168">
                  <c:v>0.12063111436346752</c:v>
                </c:pt>
                <c:pt idx="2169">
                  <c:v>0.12062966479988724</c:v>
                </c:pt>
                <c:pt idx="2170">
                  <c:v>0.12062821657172762</c:v>
                </c:pt>
                <c:pt idx="2171">
                  <c:v>0.12062676967712349</c:v>
                </c:pt>
                <c:pt idx="2172">
                  <c:v>0.12062532411425408</c:v>
                </c:pt>
                <c:pt idx="2173">
                  <c:v>0.12062387988125423</c:v>
                </c:pt>
                <c:pt idx="2174">
                  <c:v>0.12062243697632535</c:v>
                </c:pt>
                <c:pt idx="2175">
                  <c:v>0.12062099539760229</c:v>
                </c:pt>
                <c:pt idx="2176">
                  <c:v>0.12061955514326428</c:v>
                </c:pt>
                <c:pt idx="2177">
                  <c:v>0.12061811621151275</c:v>
                </c:pt>
                <c:pt idx="2178">
                  <c:v>0.12061667860050473</c:v>
                </c:pt>
                <c:pt idx="2179">
                  <c:v>0.12061524230841947</c:v>
                </c:pt>
                <c:pt idx="2180">
                  <c:v>0.12061380733345839</c:v>
                </c:pt>
                <c:pt idx="2181">
                  <c:v>0.12061237367380073</c:v>
                </c:pt>
                <c:pt idx="2182">
                  <c:v>0.12061094132762573</c:v>
                </c:pt>
                <c:pt idx="2183">
                  <c:v>0.12060951029315703</c:v>
                </c:pt>
                <c:pt idx="2184">
                  <c:v>0.12060808056857386</c:v>
                </c:pt>
                <c:pt idx="2185">
                  <c:v>0.12060665215209987</c:v>
                </c:pt>
                <c:pt idx="2186">
                  <c:v>0.12060522504191429</c:v>
                </c:pt>
                <c:pt idx="2187">
                  <c:v>0.12060379923624076</c:v>
                </c:pt>
                <c:pt idx="2188">
                  <c:v>0.12060237473328073</c:v>
                </c:pt>
                <c:pt idx="2189">
                  <c:v>0.12060095153125783</c:v>
                </c:pt>
                <c:pt idx="2190">
                  <c:v>0.12059952962839571</c:v>
                </c:pt>
                <c:pt idx="2191">
                  <c:v>0.12059810902289581</c:v>
                </c:pt>
                <c:pt idx="2192">
                  <c:v>0.12059668971302617</c:v>
                </c:pt>
                <c:pt idx="2193">
                  <c:v>0.12059527169696604</c:v>
                </c:pt>
                <c:pt idx="2194">
                  <c:v>0.12059385497296127</c:v>
                </c:pt>
                <c:pt idx="2195">
                  <c:v>0.12059243953927989</c:v>
                </c:pt>
                <c:pt idx="2196">
                  <c:v>0.12059102539410116</c:v>
                </c:pt>
                <c:pt idx="2197">
                  <c:v>0.12058961253571532</c:v>
                </c:pt>
                <c:pt idx="2198">
                  <c:v>0.12058820096236822</c:v>
                </c:pt>
                <c:pt idx="2199">
                  <c:v>0.1205867906722613</c:v>
                </c:pt>
                <c:pt idx="2200">
                  <c:v>0.12058538166368482</c:v>
                </c:pt>
                <c:pt idx="2201">
                  <c:v>0.12058397393488463</c:v>
                </c:pt>
                <c:pt idx="2202">
                  <c:v>0.12058256748410656</c:v>
                </c:pt>
                <c:pt idx="2203">
                  <c:v>0.12058116230961868</c:v>
                </c:pt>
                <c:pt idx="2204">
                  <c:v>0.12057975840968904</c:v>
                </c:pt>
                <c:pt idx="2205">
                  <c:v>0.12057835578258569</c:v>
                </c:pt>
                <c:pt idx="2206">
                  <c:v>0.12057695442657668</c:v>
                </c:pt>
                <c:pt idx="2207">
                  <c:v>0.12057555433990785</c:v>
                </c:pt>
                <c:pt idx="2208">
                  <c:v>0.12057415552089168</c:v>
                </c:pt>
                <c:pt idx="2209">
                  <c:v>0.12057275796781841</c:v>
                </c:pt>
                <c:pt idx="2210">
                  <c:v>0.12057136167891169</c:v>
                </c:pt>
                <c:pt idx="2211">
                  <c:v>0.12056996665250619</c:v>
                </c:pt>
                <c:pt idx="2212">
                  <c:v>0.12056857288686995</c:v>
                </c:pt>
                <c:pt idx="2213">
                  <c:v>0.12056718038031544</c:v>
                </c:pt>
                <c:pt idx="2214">
                  <c:v>0.12056578913111071</c:v>
                </c:pt>
                <c:pt idx="2215">
                  <c:v>0.12056439913756822</c:v>
                </c:pt>
                <c:pt idx="2216">
                  <c:v>0.12056301039797823</c:v>
                </c:pt>
                <c:pt idx="2217">
                  <c:v>0.1205616229106754</c:v>
                </c:pt>
                <c:pt idx="2218">
                  <c:v>0.12056023667392779</c:v>
                </c:pt>
                <c:pt idx="2219">
                  <c:v>0.12055885168604785</c:v>
                </c:pt>
                <c:pt idx="2220">
                  <c:v>0.12055746794539246</c:v>
                </c:pt>
                <c:pt idx="2221">
                  <c:v>0.12055608545022967</c:v>
                </c:pt>
                <c:pt idx="2222">
                  <c:v>0.12055470419889414</c:v>
                </c:pt>
                <c:pt idx="2223">
                  <c:v>0.12055332418969833</c:v>
                </c:pt>
                <c:pt idx="2224">
                  <c:v>0.12055194542099912</c:v>
                </c:pt>
                <c:pt idx="2225">
                  <c:v>0.12055056789110896</c:v>
                </c:pt>
                <c:pt idx="2226">
                  <c:v>0.12054919159834032</c:v>
                </c:pt>
                <c:pt idx="2227">
                  <c:v>0.12054781654105007</c:v>
                </c:pt>
                <c:pt idx="2228">
                  <c:v>0.12054644271757287</c:v>
                </c:pt>
                <c:pt idx="2229">
                  <c:v>0.12054507012622118</c:v>
                </c:pt>
                <c:pt idx="2230">
                  <c:v>0.12054369876537407</c:v>
                </c:pt>
                <c:pt idx="2231">
                  <c:v>0.12054232863336622</c:v>
                </c:pt>
                <c:pt idx="2232">
                  <c:v>0.12054095972853229</c:v>
                </c:pt>
                <c:pt idx="2233">
                  <c:v>0.12053959204925135</c:v>
                </c:pt>
                <c:pt idx="2234">
                  <c:v>0.12053822559385807</c:v>
                </c:pt>
                <c:pt idx="2235">
                  <c:v>0.12053686036070932</c:v>
                </c:pt>
                <c:pt idx="2236">
                  <c:v>0.12053549634818417</c:v>
                </c:pt>
                <c:pt idx="2237">
                  <c:v>0.12053413355461728</c:v>
                </c:pt>
                <c:pt idx="2238">
                  <c:v>0.12053277197840995</c:v>
                </c:pt>
                <c:pt idx="2239">
                  <c:v>0.12053141161791903</c:v>
                </c:pt>
                <c:pt idx="2240">
                  <c:v>0.12053005247147919</c:v>
                </c:pt>
                <c:pt idx="2241">
                  <c:v>0.12052869453753612</c:v>
                </c:pt>
                <c:pt idx="2242">
                  <c:v>0.12052733781440228</c:v>
                </c:pt>
                <c:pt idx="2243">
                  <c:v>0.12052598230050116</c:v>
                </c:pt>
                <c:pt idx="2244">
                  <c:v>0.12052462799421182</c:v>
                </c:pt>
                <c:pt idx="2245">
                  <c:v>0.12052327489389114</c:v>
                </c:pt>
                <c:pt idx="2246">
                  <c:v>0.1205219229979626</c:v>
                </c:pt>
                <c:pt idx="2247">
                  <c:v>0.12052057230480528</c:v>
                </c:pt>
                <c:pt idx="2248">
                  <c:v>0.12051922281282046</c:v>
                </c:pt>
                <c:pt idx="2249">
                  <c:v>0.1205178745203872</c:v>
                </c:pt>
                <c:pt idx="2250">
                  <c:v>0.120516527425929</c:v>
                </c:pt>
                <c:pt idx="2251">
                  <c:v>0.12051518152784713</c:v>
                </c:pt>
                <c:pt idx="2252">
                  <c:v>0.12051383682454286</c:v>
                </c:pt>
                <c:pt idx="2253">
                  <c:v>0.12051249331443969</c:v>
                </c:pt>
                <c:pt idx="2254">
                  <c:v>0.12051115099591669</c:v>
                </c:pt>
                <c:pt idx="2255">
                  <c:v>0.12050980986741955</c:v>
                </c:pt>
                <c:pt idx="2256">
                  <c:v>0.12050846992737174</c:v>
                </c:pt>
                <c:pt idx="2257">
                  <c:v>0.12050713117415235</c:v>
                </c:pt>
                <c:pt idx="2258">
                  <c:v>0.12050579360622926</c:v>
                </c:pt>
                <c:pt idx="2259">
                  <c:v>0.12050445722200376</c:v>
                </c:pt>
                <c:pt idx="2260">
                  <c:v>0.12050312201992153</c:v>
                </c:pt>
                <c:pt idx="2261">
                  <c:v>0.12050178799840605</c:v>
                </c:pt>
                <c:pt idx="2262">
                  <c:v>0.12050045515588081</c:v>
                </c:pt>
                <c:pt idx="2263">
                  <c:v>0.12049912349081371</c:v>
                </c:pt>
                <c:pt idx="2264">
                  <c:v>0.12049779300162822</c:v>
                </c:pt>
                <c:pt idx="2265">
                  <c:v>0.12049646368674782</c:v>
                </c:pt>
                <c:pt idx="2266">
                  <c:v>0.12049513554466262</c:v>
                </c:pt>
                <c:pt idx="2267">
                  <c:v>0.1204938085737739</c:v>
                </c:pt>
                <c:pt idx="2268">
                  <c:v>0.12049248277257174</c:v>
                </c:pt>
                <c:pt idx="2269">
                  <c:v>0.12049115813947964</c:v>
                </c:pt>
                <c:pt idx="2270">
                  <c:v>0.12048983467296548</c:v>
                </c:pt>
                <c:pt idx="2271">
                  <c:v>0.12048851237149716</c:v>
                </c:pt>
                <c:pt idx="2272">
                  <c:v>0.12048719123354257</c:v>
                </c:pt>
                <c:pt idx="2273">
                  <c:v>0.12048587125754739</c:v>
                </c:pt>
                <c:pt idx="2274">
                  <c:v>0.12048455244200174</c:v>
                </c:pt>
                <c:pt idx="2275">
                  <c:v>0.12048323478535128</c:v>
                </c:pt>
                <c:pt idx="2276">
                  <c:v>0.12048191828606392</c:v>
                </c:pt>
                <c:pt idx="2277">
                  <c:v>0.12048060294265195</c:v>
                </c:pt>
                <c:pt idx="2278">
                  <c:v>0.12047928875358327</c:v>
                </c:pt>
                <c:pt idx="2279">
                  <c:v>0.12047797571730356</c:v>
                </c:pt>
                <c:pt idx="2280">
                  <c:v>0.12047666383234734</c:v>
                </c:pt>
                <c:pt idx="2281">
                  <c:v>0.12047535309716029</c:v>
                </c:pt>
                <c:pt idx="2282">
                  <c:v>0.1204740435102547</c:v>
                </c:pt>
                <c:pt idx="2283">
                  <c:v>0.12047273507009848</c:v>
                </c:pt>
                <c:pt idx="2284">
                  <c:v>0.12047142777520392</c:v>
                </c:pt>
                <c:pt idx="2285">
                  <c:v>0.12047012162408333</c:v>
                </c:pt>
                <c:pt idx="2286">
                  <c:v>0.12046881661522679</c:v>
                </c:pt>
                <c:pt idx="2287">
                  <c:v>0.12046751274710221</c:v>
                </c:pt>
                <c:pt idx="2288">
                  <c:v>0.12046621001824409</c:v>
                </c:pt>
                <c:pt idx="2289">
                  <c:v>0.12046490842718693</c:v>
                </c:pt>
                <c:pt idx="2290">
                  <c:v>0.12046360797237643</c:v>
                </c:pt>
                <c:pt idx="2291">
                  <c:v>0.12046230865239149</c:v>
                </c:pt>
                <c:pt idx="2292">
                  <c:v>0.12046101046570001</c:v>
                </c:pt>
                <c:pt idx="2293">
                  <c:v>0.1204597134108365</c:v>
                </c:pt>
                <c:pt idx="2294">
                  <c:v>0.12045841748631325</c:v>
                </c:pt>
                <c:pt idx="2295">
                  <c:v>0.12045712269066478</c:v>
                </c:pt>
                <c:pt idx="2296">
                  <c:v>0.12045582902242558</c:v>
                </c:pt>
                <c:pt idx="2297">
                  <c:v>0.12045453648008575</c:v>
                </c:pt>
                <c:pt idx="2298">
                  <c:v>0.12045324506222421</c:v>
                </c:pt>
                <c:pt idx="2299">
                  <c:v>0.12045195476733106</c:v>
                </c:pt>
                <c:pt idx="2300">
                  <c:v>0.12045066559398521</c:v>
                </c:pt>
                <c:pt idx="2301">
                  <c:v>0.12044937754069895</c:v>
                </c:pt>
                <c:pt idx="2302">
                  <c:v>0.12044809060600681</c:v>
                </c:pt>
                <c:pt idx="2303">
                  <c:v>0.12044680478846548</c:v>
                </c:pt>
                <c:pt idx="2304">
                  <c:v>0.12044552008660947</c:v>
                </c:pt>
                <c:pt idx="2305">
                  <c:v>0.1204442364990177</c:v>
                </c:pt>
                <c:pt idx="2306">
                  <c:v>0.12044295402420246</c:v>
                </c:pt>
                <c:pt idx="2307">
                  <c:v>0.12044167266072048</c:v>
                </c:pt>
                <c:pt idx="2308">
                  <c:v>0.12044039240715065</c:v>
                </c:pt>
                <c:pt idx="2309">
                  <c:v>0.1204391132620497</c:v>
                </c:pt>
                <c:pt idx="2310">
                  <c:v>0.12043783522397433</c:v>
                </c:pt>
                <c:pt idx="2311">
                  <c:v>0.12043655829148125</c:v>
                </c:pt>
                <c:pt idx="2312">
                  <c:v>0.12043528246312718</c:v>
                </c:pt>
                <c:pt idx="2313">
                  <c:v>0.12043400773751323</c:v>
                </c:pt>
                <c:pt idx="2314">
                  <c:v>0.1204327341131739</c:v>
                </c:pt>
                <c:pt idx="2315">
                  <c:v>0.12043146158871032</c:v>
                </c:pt>
                <c:pt idx="2316">
                  <c:v>0.1204301901626792</c:v>
                </c:pt>
                <c:pt idx="2317">
                  <c:v>0.12042891983365944</c:v>
                </c:pt>
                <c:pt idx="2318">
                  <c:v>0.12042765060025218</c:v>
                </c:pt>
                <c:pt idx="2319">
                  <c:v>0.12042638246103632</c:v>
                </c:pt>
                <c:pt idx="2320">
                  <c:v>0.12042511541456857</c:v>
                </c:pt>
                <c:pt idx="2321">
                  <c:v>0.12042384945947227</c:v>
                </c:pt>
                <c:pt idx="2322">
                  <c:v>0.12042258459430411</c:v>
                </c:pt>
                <c:pt idx="2323">
                  <c:v>0.12042132081770962</c:v>
                </c:pt>
                <c:pt idx="2324">
                  <c:v>0.12042005812822332</c:v>
                </c:pt>
                <c:pt idx="2325">
                  <c:v>0.12041879652446852</c:v>
                </c:pt>
                <c:pt idx="2326">
                  <c:v>0.12041753600506855</c:v>
                </c:pt>
                <c:pt idx="2327">
                  <c:v>0.12041627656858012</c:v>
                </c:pt>
                <c:pt idx="2328">
                  <c:v>0.12041501821364875</c:v>
                </c:pt>
                <c:pt idx="2329">
                  <c:v>0.12041376093887557</c:v>
                </c:pt>
                <c:pt idx="2330">
                  <c:v>0.12041250474283949</c:v>
                </c:pt>
                <c:pt idx="2331">
                  <c:v>0.12041124962418603</c:v>
                </c:pt>
                <c:pt idx="2332">
                  <c:v>0.12040999558151633</c:v>
                </c:pt>
                <c:pt idx="2333">
                  <c:v>0.12040874261345369</c:v>
                </c:pt>
                <c:pt idx="2334">
                  <c:v>0.12040749071859924</c:v>
                </c:pt>
                <c:pt idx="2335">
                  <c:v>0.12040623989559851</c:v>
                </c:pt>
                <c:pt idx="2336">
                  <c:v>0.12040499014305261</c:v>
                </c:pt>
                <c:pt idx="2337">
                  <c:v>0.12040374145960708</c:v>
                </c:pt>
                <c:pt idx="2338">
                  <c:v>0.12040249384388524</c:v>
                </c:pt>
                <c:pt idx="2339">
                  <c:v>0.12040124729453261</c:v>
                </c:pt>
                <c:pt idx="2340">
                  <c:v>0.12040000181016075</c:v>
                </c:pt>
                <c:pt idx="2341">
                  <c:v>0.12039968973822646</c:v>
                </c:pt>
                <c:pt idx="2342">
                  <c:v>0.12039937793266731</c:v>
                </c:pt>
                <c:pt idx="2343">
                  <c:v>0.12039906639318421</c:v>
                </c:pt>
                <c:pt idx="2344">
                  <c:v>0.12039875511939968</c:v>
                </c:pt>
                <c:pt idx="2345">
                  <c:v>0.12039844411098066</c:v>
                </c:pt>
                <c:pt idx="2346">
                  <c:v>0.12039813336757188</c:v>
                </c:pt>
                <c:pt idx="2347">
                  <c:v>0.12039782288886247</c:v>
                </c:pt>
                <c:pt idx="2348">
                  <c:v>0.12039751267451937</c:v>
                </c:pt>
                <c:pt idx="2349">
                  <c:v>0.1203972027241651</c:v>
                </c:pt>
                <c:pt idx="2350">
                  <c:v>0.120396893037511</c:v>
                </c:pt>
                <c:pt idx="2351">
                  <c:v>0.1203965836141796</c:v>
                </c:pt>
                <c:pt idx="2352">
                  <c:v>0.12039627445386003</c:v>
                </c:pt>
                <c:pt idx="2353">
                  <c:v>0.12039596555619703</c:v>
                </c:pt>
                <c:pt idx="2354">
                  <c:v>0.12039565692087972</c:v>
                </c:pt>
                <c:pt idx="2355">
                  <c:v>0.12039534854757505</c:v>
                </c:pt>
                <c:pt idx="2356">
                  <c:v>0.12039504043590554</c:v>
                </c:pt>
                <c:pt idx="2357">
                  <c:v>0.12039473258560474</c:v>
                </c:pt>
                <c:pt idx="2358">
                  <c:v>0.12039442499627295</c:v>
                </c:pt>
                <c:pt idx="2359">
                  <c:v>0.12039411766764374</c:v>
                </c:pt>
                <c:pt idx="2360">
                  <c:v>0.12039381059931742</c:v>
                </c:pt>
                <c:pt idx="2361">
                  <c:v>0.12039350379102753</c:v>
                </c:pt>
                <c:pt idx="2362">
                  <c:v>0.12039319724239661</c:v>
                </c:pt>
                <c:pt idx="2363">
                  <c:v>0.12039289095313599</c:v>
                </c:pt>
                <c:pt idx="2364">
                  <c:v>0.1203925849228904</c:v>
                </c:pt>
                <c:pt idx="2365">
                  <c:v>0.12039227915132678</c:v>
                </c:pt>
                <c:pt idx="2366">
                  <c:v>0.12039197363811205</c:v>
                </c:pt>
                <c:pt idx="2367">
                  <c:v>0.12039166838295756</c:v>
                </c:pt>
                <c:pt idx="2368">
                  <c:v>0.12039136338548584</c:v>
                </c:pt>
                <c:pt idx="2369">
                  <c:v>0.12039105864543043</c:v>
                </c:pt>
                <c:pt idx="2370">
                  <c:v>0.12039075416241385</c:v>
                </c:pt>
                <c:pt idx="2371">
                  <c:v>0.12039044993612524</c:v>
                </c:pt>
                <c:pt idx="2372">
                  <c:v>0.12039014596625375</c:v>
                </c:pt>
                <c:pt idx="2373">
                  <c:v>0.12038984225246629</c:v>
                </c:pt>
                <c:pt idx="2374">
                  <c:v>0.12038953879442982</c:v>
                </c:pt>
                <c:pt idx="2375">
                  <c:v>0.12038923559183345</c:v>
                </c:pt>
                <c:pt idx="2376">
                  <c:v>0.12038893264434414</c:v>
                </c:pt>
                <c:pt idx="2377">
                  <c:v>0.12038862995165101</c:v>
                </c:pt>
                <c:pt idx="2378">
                  <c:v>0.12038832751344319</c:v>
                </c:pt>
                <c:pt idx="2379">
                  <c:v>0.12038802532936543</c:v>
                </c:pt>
                <c:pt idx="2380">
                  <c:v>0.12038772339912907</c:v>
                </c:pt>
                <c:pt idx="2381">
                  <c:v>0.12038742172242323</c:v>
                </c:pt>
                <c:pt idx="2382">
                  <c:v>0.12038712029887044</c:v>
                </c:pt>
                <c:pt idx="2383">
                  <c:v>0.12038681912822646</c:v>
                </c:pt>
                <c:pt idx="2384">
                  <c:v>0.12038651821011381</c:v>
                </c:pt>
                <c:pt idx="2385">
                  <c:v>0.12038621754424383</c:v>
                </c:pt>
                <c:pt idx="2386">
                  <c:v>0.12038591713030566</c:v>
                </c:pt>
                <c:pt idx="2387">
                  <c:v>0.12038561696794403</c:v>
                </c:pt>
                <c:pt idx="2388">
                  <c:v>0.12038531705689248</c:v>
                </c:pt>
                <c:pt idx="2389">
                  <c:v>0.12038501739681795</c:v>
                </c:pt>
                <c:pt idx="2390">
                  <c:v>0.12038471798738737</c:v>
                </c:pt>
                <c:pt idx="2391">
                  <c:v>0.12038441882831208</c:v>
                </c:pt>
                <c:pt idx="2392">
                  <c:v>0.12038411991925901</c:v>
                </c:pt>
                <c:pt idx="2393">
                  <c:v>0.12038382125991731</c:v>
                </c:pt>
                <c:pt idx="2394">
                  <c:v>0.12038352284997611</c:v>
                </c:pt>
                <c:pt idx="2395">
                  <c:v>0.12038322468914675</c:v>
                </c:pt>
                <c:pt idx="2396">
                  <c:v>0.12038292677707396</c:v>
                </c:pt>
                <c:pt idx="2397">
                  <c:v>0.12038262911346909</c:v>
                </c:pt>
                <c:pt idx="2398">
                  <c:v>0.12038233169804347</c:v>
                </c:pt>
                <c:pt idx="2399">
                  <c:v>0.12038203453044183</c:v>
                </c:pt>
                <c:pt idx="2400">
                  <c:v>0.12038173761039772</c:v>
                </c:pt>
                <c:pt idx="2401">
                  <c:v>0.12038144093757808</c:v>
                </c:pt>
                <c:pt idx="2402">
                  <c:v>0.12038114451167203</c:v>
                </c:pt>
                <c:pt idx="2403">
                  <c:v>0.12038084833236873</c:v>
                </c:pt>
                <c:pt idx="2404">
                  <c:v>0.1203805523993795</c:v>
                </c:pt>
                <c:pt idx="2405">
                  <c:v>0.12038025671237129</c:v>
                </c:pt>
                <c:pt idx="2406">
                  <c:v>0.12037996127107764</c:v>
                </c:pt>
                <c:pt idx="2407">
                  <c:v>0.12037966607516548</c:v>
                </c:pt>
                <c:pt idx="2408">
                  <c:v>0.12037937112432395</c:v>
                </c:pt>
                <c:pt idx="2409">
                  <c:v>0.12037907641824219</c:v>
                </c:pt>
                <c:pt idx="2410">
                  <c:v>0.12037878195665375</c:v>
                </c:pt>
                <c:pt idx="2411">
                  <c:v>0.12037848773920334</c:v>
                </c:pt>
                <c:pt idx="2412">
                  <c:v>0.12037819376564673</c:v>
                </c:pt>
                <c:pt idx="2413">
                  <c:v>0.12037790003562865</c:v>
                </c:pt>
                <c:pt idx="2414">
                  <c:v>0.12037760654886043</c:v>
                </c:pt>
                <c:pt idx="2415">
                  <c:v>0.12037731330505341</c:v>
                </c:pt>
                <c:pt idx="2416">
                  <c:v>0.12037702030389674</c:v>
                </c:pt>
                <c:pt idx="2417">
                  <c:v>0.12037672754510176</c:v>
                </c:pt>
                <c:pt idx="2418">
                  <c:v>0.12037643502833539</c:v>
                </c:pt>
                <c:pt idx="2419">
                  <c:v>0.12037614275333119</c:v>
                </c:pt>
                <c:pt idx="2420">
                  <c:v>0.1203758507197783</c:v>
                </c:pt>
                <c:pt idx="2421">
                  <c:v>0.12037555892738805</c:v>
                </c:pt>
                <c:pt idx="2422">
                  <c:v>0.12037526737582738</c:v>
                </c:pt>
                <c:pt idx="2423">
                  <c:v>0.12037497606485204</c:v>
                </c:pt>
                <c:pt idx="2424">
                  <c:v>0.12037468499410675</c:v>
                </c:pt>
                <c:pt idx="2425">
                  <c:v>0.12037439416332507</c:v>
                </c:pt>
                <c:pt idx="2426">
                  <c:v>0.12037410357221834</c:v>
                </c:pt>
                <c:pt idx="2427">
                  <c:v>0.12037381322047569</c:v>
                </c:pt>
                <c:pt idx="2428">
                  <c:v>0.12037352310780847</c:v>
                </c:pt>
                <c:pt idx="2429">
                  <c:v>0.12037323323390581</c:v>
                </c:pt>
                <c:pt idx="2430">
                  <c:v>0.12037294359850126</c:v>
                </c:pt>
                <c:pt idx="2431">
                  <c:v>0.12037265420126175</c:v>
                </c:pt>
                <c:pt idx="2432">
                  <c:v>0.12037236504194304</c:v>
                </c:pt>
                <c:pt idx="2433">
                  <c:v>0.12037207612021206</c:v>
                </c:pt>
                <c:pt idx="2434">
                  <c:v>0.12037178743578014</c:v>
                </c:pt>
                <c:pt idx="2435">
                  <c:v>0.12037149898838084</c:v>
                </c:pt>
                <c:pt idx="2436">
                  <c:v>0.1203712107777033</c:v>
                </c:pt>
                <c:pt idx="2437">
                  <c:v>0.12037092280343664</c:v>
                </c:pt>
                <c:pt idx="2438">
                  <c:v>0.12037063506533663</c:v>
                </c:pt>
                <c:pt idx="2439">
                  <c:v>0.12037034756307019</c:v>
                </c:pt>
                <c:pt idx="2440">
                  <c:v>0.12037006029639308</c:v>
                </c:pt>
                <c:pt idx="2441">
                  <c:v>0.12036977326497222</c:v>
                </c:pt>
                <c:pt idx="2442">
                  <c:v>0.12036948646851897</c:v>
                </c:pt>
                <c:pt idx="2443">
                  <c:v>0.12036919990678907</c:v>
                </c:pt>
                <c:pt idx="2444">
                  <c:v>0.12036891357944945</c:v>
                </c:pt>
                <c:pt idx="2445">
                  <c:v>0.12036862748623367</c:v>
                </c:pt>
                <c:pt idx="2446">
                  <c:v>0.12036834162685306</c:v>
                </c:pt>
                <c:pt idx="2447">
                  <c:v>0.12036805600101896</c:v>
                </c:pt>
                <c:pt idx="2448">
                  <c:v>0.12036777060844273</c:v>
                </c:pt>
                <c:pt idx="2449">
                  <c:v>0.12036748544883569</c:v>
                </c:pt>
                <c:pt idx="2450">
                  <c:v>0.12036720052190919</c:v>
                </c:pt>
                <c:pt idx="2451">
                  <c:v>0.12036691582739678</c:v>
                </c:pt>
                <c:pt idx="2452">
                  <c:v>0.1203666313650098</c:v>
                </c:pt>
                <c:pt idx="2453">
                  <c:v>0.12036634713445959</c:v>
                </c:pt>
                <c:pt idx="2454">
                  <c:v>0.1203660631354575</c:v>
                </c:pt>
                <c:pt idx="2455">
                  <c:v>0.12036577936773707</c:v>
                </c:pt>
                <c:pt idx="2456">
                  <c:v>0.12036549583098743</c:v>
                </c:pt>
                <c:pt idx="2457">
                  <c:v>0.12036521252496435</c:v>
                </c:pt>
                <c:pt idx="2458">
                  <c:v>0.12036492944935695</c:v>
                </c:pt>
                <c:pt idx="2459">
                  <c:v>0.12036464660387658</c:v>
                </c:pt>
                <c:pt idx="2460">
                  <c:v>0.12036436398827899</c:v>
                </c:pt>
                <c:pt idx="2461">
                  <c:v>0.12036408160225331</c:v>
                </c:pt>
                <c:pt idx="2462">
                  <c:v>0.1203637994455331</c:v>
                </c:pt>
                <c:pt idx="2463">
                  <c:v>0.1203635175178519</c:v>
                </c:pt>
                <c:pt idx="2464">
                  <c:v>0.12036323581889885</c:v>
                </c:pt>
                <c:pt idx="2465">
                  <c:v>0.12036295434840749</c:v>
                </c:pt>
                <c:pt idx="2466">
                  <c:v>0.12036267310613358</c:v>
                </c:pt>
                <c:pt idx="2467">
                  <c:v>0.12036239209174404</c:v>
                </c:pt>
                <c:pt idx="2468">
                  <c:v>0.12036211130499463</c:v>
                </c:pt>
                <c:pt idx="2469">
                  <c:v>0.1203618307456189</c:v>
                </c:pt>
                <c:pt idx="2470">
                  <c:v>0.12036155041330598</c:v>
                </c:pt>
                <c:pt idx="2471">
                  <c:v>0.12036127030781163</c:v>
                </c:pt>
                <c:pt idx="2472">
                  <c:v>0.12036099042884718</c:v>
                </c:pt>
                <c:pt idx="2473">
                  <c:v>0.12036071077614618</c:v>
                </c:pt>
                <c:pt idx="2474">
                  <c:v>0.12036043134941998</c:v>
                </c:pt>
                <c:pt idx="2475">
                  <c:v>0.12036015214840212</c:v>
                </c:pt>
                <c:pt idx="2476">
                  <c:v>0.12035987317282615</c:v>
                </c:pt>
                <c:pt idx="2477">
                  <c:v>0.1203595944224034</c:v>
                </c:pt>
                <c:pt idx="2478">
                  <c:v>0.12035931589686744</c:v>
                </c:pt>
                <c:pt idx="2479">
                  <c:v>0.12035903759595179</c:v>
                </c:pt>
                <c:pt idx="2480">
                  <c:v>0.12035875951939001</c:v>
                </c:pt>
                <c:pt idx="2481">
                  <c:v>0.12035848166689345</c:v>
                </c:pt>
                <c:pt idx="2482">
                  <c:v>0.12035820403821784</c:v>
                </c:pt>
                <c:pt idx="2483">
                  <c:v>0.12035792663307454</c:v>
                </c:pt>
                <c:pt idx="2484">
                  <c:v>0.12035764945119709</c:v>
                </c:pt>
                <c:pt idx="2485">
                  <c:v>0.12035737249229683</c:v>
                </c:pt>
                <c:pt idx="2486">
                  <c:v>0.12035709575612952</c:v>
                </c:pt>
                <c:pt idx="2487">
                  <c:v>0.12035681924242869</c:v>
                </c:pt>
                <c:pt idx="2488">
                  <c:v>0.1203565429509057</c:v>
                </c:pt>
                <c:pt idx="2489">
                  <c:v>0.12035626688131629</c:v>
                </c:pt>
                <c:pt idx="2490">
                  <c:v>0.1203559910333718</c:v>
                </c:pt>
                <c:pt idx="2491">
                  <c:v>0.12035571540682799</c:v>
                </c:pt>
                <c:pt idx="2492">
                  <c:v>0.1203554400013962</c:v>
                </c:pt>
                <c:pt idx="2493">
                  <c:v>0.12035516481680997</c:v>
                </c:pt>
                <c:pt idx="2494">
                  <c:v>0.12035488985282505</c:v>
                </c:pt>
                <c:pt idx="2495">
                  <c:v>0.1203546151091528</c:v>
                </c:pt>
                <c:pt idx="2496">
                  <c:v>0.12035434058554895</c:v>
                </c:pt>
                <c:pt idx="2497">
                  <c:v>0.12035406628174705</c:v>
                </c:pt>
                <c:pt idx="2498">
                  <c:v>0.12035379219748066</c:v>
                </c:pt>
                <c:pt idx="2499">
                  <c:v>0.12035351833246111</c:v>
                </c:pt>
                <c:pt idx="2500">
                  <c:v>0.12035324468646635</c:v>
                </c:pt>
                <c:pt idx="2501">
                  <c:v>0.12035297125920774</c:v>
                </c:pt>
                <c:pt idx="2502">
                  <c:v>0.12035269805041882</c:v>
                </c:pt>
                <c:pt idx="2503">
                  <c:v>0.12035242505985533</c:v>
                </c:pt>
                <c:pt idx="2504">
                  <c:v>0.12035215228725082</c:v>
                </c:pt>
                <c:pt idx="2505">
                  <c:v>0.12035187973236106</c:v>
                </c:pt>
                <c:pt idx="2506">
                  <c:v>0.12035160739487516</c:v>
                </c:pt>
                <c:pt idx="2507">
                  <c:v>0.1203513352745933</c:v>
                </c:pt>
                <c:pt idx="2508">
                  <c:v>0.1203510633712046</c:v>
                </c:pt>
                <c:pt idx="2509">
                  <c:v>0.12035079168448704</c:v>
                </c:pt>
                <c:pt idx="2510">
                  <c:v>0.12035052021415193</c:v>
                </c:pt>
                <c:pt idx="2511">
                  <c:v>0.12035024895997726</c:v>
                </c:pt>
                <c:pt idx="2512">
                  <c:v>0.12034997792167434</c:v>
                </c:pt>
                <c:pt idx="2513">
                  <c:v>0.12034970709897674</c:v>
                </c:pt>
                <c:pt idx="2514">
                  <c:v>0.12034943649166241</c:v>
                </c:pt>
                <c:pt idx="2515">
                  <c:v>0.12034916609946489</c:v>
                </c:pt>
                <c:pt idx="2516">
                  <c:v>0.12034889592211773</c:v>
                </c:pt>
                <c:pt idx="2517">
                  <c:v>0.12034862595935447</c:v>
                </c:pt>
                <c:pt idx="2518">
                  <c:v>0.12034835621095308</c:v>
                </c:pt>
                <c:pt idx="2519">
                  <c:v>0.12034808667662489</c:v>
                </c:pt>
                <c:pt idx="2520">
                  <c:v>0.12034781735612565</c:v>
                </c:pt>
                <c:pt idx="2521">
                  <c:v>0.12034754824923333</c:v>
                </c:pt>
                <c:pt idx="2522">
                  <c:v>0.12034727935563705</c:v>
                </c:pt>
                <c:pt idx="2523">
                  <c:v>0.12034701067511477</c:v>
                </c:pt>
                <c:pt idx="2524">
                  <c:v>0.12034674220740005</c:v>
                </c:pt>
                <c:pt idx="2525">
                  <c:v>0.12034647395227083</c:v>
                </c:pt>
                <c:pt idx="2526">
                  <c:v>0.12034620590943845</c:v>
                </c:pt>
                <c:pt idx="2527">
                  <c:v>0.12034593807868088</c:v>
                </c:pt>
                <c:pt idx="2528">
                  <c:v>0.12034567045970945</c:v>
                </c:pt>
                <c:pt idx="2529">
                  <c:v>0.12034540305232433</c:v>
                </c:pt>
                <c:pt idx="2530">
                  <c:v>0.12034513585621465</c:v>
                </c:pt>
                <c:pt idx="2531">
                  <c:v>0.12034486887118057</c:v>
                </c:pt>
                <c:pt idx="2532">
                  <c:v>0.12034460209693343</c:v>
                </c:pt>
                <c:pt idx="2533">
                  <c:v>0.12034433553327339</c:v>
                </c:pt>
                <c:pt idx="2534">
                  <c:v>0.1203440691798896</c:v>
                </c:pt>
                <c:pt idx="2535">
                  <c:v>0.12034380303658221</c:v>
                </c:pt>
                <c:pt idx="2536">
                  <c:v>0.12034353710308476</c:v>
                </c:pt>
                <c:pt idx="2537">
                  <c:v>0.12034327137915302</c:v>
                </c:pt>
                <c:pt idx="2538">
                  <c:v>0.12034300586452051</c:v>
                </c:pt>
                <c:pt idx="2539">
                  <c:v>0.12034274055896521</c:v>
                </c:pt>
                <c:pt idx="2540">
                  <c:v>0.12034247546222065</c:v>
                </c:pt>
                <c:pt idx="2541">
                  <c:v>0.1203422105740648</c:v>
                </c:pt>
                <c:pt idx="2542">
                  <c:v>0.12034194589423119</c:v>
                </c:pt>
                <c:pt idx="2543">
                  <c:v>0.12034168142247559</c:v>
                </c:pt>
                <c:pt idx="2544">
                  <c:v>0.12034141715857594</c:v>
                </c:pt>
                <c:pt idx="2545">
                  <c:v>0.12034115310224358</c:v>
                </c:pt>
                <c:pt idx="2546">
                  <c:v>0.12034088925327868</c:v>
                </c:pt>
                <c:pt idx="2547">
                  <c:v>0.12034062561139258</c:v>
                </c:pt>
                <c:pt idx="2548">
                  <c:v>0.12034036217638544</c:v>
                </c:pt>
                <c:pt idx="2549">
                  <c:v>0.1203400989479908</c:v>
                </c:pt>
                <c:pt idx="2550">
                  <c:v>0.12033983592596442</c:v>
                </c:pt>
                <c:pt idx="2551">
                  <c:v>0.12033957311008425</c:v>
                </c:pt>
                <c:pt idx="2552">
                  <c:v>0.12033931050008384</c:v>
                </c:pt>
                <c:pt idx="2553">
                  <c:v>0.12033904809571894</c:v>
                </c:pt>
                <c:pt idx="2554">
                  <c:v>0.1203387858967675</c:v>
                </c:pt>
                <c:pt idx="2555">
                  <c:v>0.12033852390298527</c:v>
                </c:pt>
                <c:pt idx="2556">
                  <c:v>0.12033826211412801</c:v>
                </c:pt>
                <c:pt idx="2557">
                  <c:v>0.12033800052995147</c:v>
                </c:pt>
                <c:pt idx="2558">
                  <c:v>0.1203377391502114</c:v>
                </c:pt>
                <c:pt idx="2559">
                  <c:v>0.12033747797466354</c:v>
                </c:pt>
                <c:pt idx="2560">
                  <c:v>0.12033721700310807</c:v>
                </c:pt>
                <c:pt idx="2561">
                  <c:v>0.12033695623525631</c:v>
                </c:pt>
                <c:pt idx="2562">
                  <c:v>0.12033669567090843</c:v>
                </c:pt>
                <c:pt idx="2563">
                  <c:v>0.12033643530979798</c:v>
                </c:pt>
                <c:pt idx="2564">
                  <c:v>0.12033617515170292</c:v>
                </c:pt>
                <c:pt idx="2565">
                  <c:v>0.12033591519637898</c:v>
                </c:pt>
                <c:pt idx="2566">
                  <c:v>0.12033565544360414</c:v>
                </c:pt>
                <c:pt idx="2567">
                  <c:v>0.12033539589311193</c:v>
                </c:pt>
                <c:pt idx="2568">
                  <c:v>0.12033513654470251</c:v>
                </c:pt>
                <c:pt idx="2569">
                  <c:v>0.12033487739810944</c:v>
                </c:pt>
                <c:pt idx="2570">
                  <c:v>0.12033461845308846</c:v>
                </c:pt>
                <c:pt idx="2571">
                  <c:v>0.12033435970946194</c:v>
                </c:pt>
                <c:pt idx="2572">
                  <c:v>0.12033410116694121</c:v>
                </c:pt>
                <c:pt idx="2573">
                  <c:v>0.12033384282530424</c:v>
                </c:pt>
                <c:pt idx="2574">
                  <c:v>0.12033358468432898</c:v>
                </c:pt>
                <c:pt idx="2575">
                  <c:v>0.12033332674377117</c:v>
                </c:pt>
                <c:pt idx="2576">
                  <c:v>0.12033306900340879</c:v>
                </c:pt>
                <c:pt idx="2577">
                  <c:v>0.12033281146299757</c:v>
                </c:pt>
                <c:pt idx="2578">
                  <c:v>0.12033255412231547</c:v>
                </c:pt>
                <c:pt idx="2579">
                  <c:v>0.12033229698109604</c:v>
                </c:pt>
                <c:pt idx="2580">
                  <c:v>0.12033204003916165</c:v>
                </c:pt>
                <c:pt idx="2581">
                  <c:v>0.12033178329624583</c:v>
                </c:pt>
                <c:pt idx="2582">
                  <c:v>0.12033152675212655</c:v>
                </c:pt>
                <c:pt idx="2583">
                  <c:v>0.12033127040655955</c:v>
                </c:pt>
                <c:pt idx="2584">
                  <c:v>0.1203310142593228</c:v>
                </c:pt>
                <c:pt idx="2585">
                  <c:v>0.12033075831021645</c:v>
                </c:pt>
                <c:pt idx="2586">
                  <c:v>0.12033050255895184</c:v>
                </c:pt>
                <c:pt idx="2587">
                  <c:v>0.12033024700535133</c:v>
                </c:pt>
                <c:pt idx="2588">
                  <c:v>0.12032999164917069</c:v>
                </c:pt>
                <c:pt idx="2589">
                  <c:v>0.12032911153843084</c:v>
                </c:pt>
                <c:pt idx="2590">
                  <c:v>0.12032823210705867</c:v>
                </c:pt>
                <c:pt idx="2591">
                  <c:v>0.12032735335425482</c:v>
                </c:pt>
                <c:pt idx="2592">
                  <c:v>0.12032647527926432</c:v>
                </c:pt>
                <c:pt idx="2593">
                  <c:v>0.12032559788126562</c:v>
                </c:pt>
                <c:pt idx="2594">
                  <c:v>0.12032472115950377</c:v>
                </c:pt>
                <c:pt idx="2595">
                  <c:v>0.1203238451132016</c:v>
                </c:pt>
                <c:pt idx="2596">
                  <c:v>0.12032296974155976</c:v>
                </c:pt>
                <c:pt idx="2597">
                  <c:v>0.12032209504380109</c:v>
                </c:pt>
                <c:pt idx="2598">
                  <c:v>0.12032122101917064</c:v>
                </c:pt>
                <c:pt idx="2599">
                  <c:v>0.12032034766684685</c:v>
                </c:pt>
                <c:pt idx="2600">
                  <c:v>0.12031947498611917</c:v>
                </c:pt>
                <c:pt idx="2601">
                  <c:v>0.12031860297614383</c:v>
                </c:pt>
                <c:pt idx="2602">
                  <c:v>0.12031773163618809</c:v>
                </c:pt>
                <c:pt idx="2603">
                  <c:v>0.12031686096547478</c:v>
                </c:pt>
                <c:pt idx="2604">
                  <c:v>0.12031599096322676</c:v>
                </c:pt>
                <c:pt idx="2605">
                  <c:v>0.12031512162868907</c:v>
                </c:pt>
                <c:pt idx="2606">
                  <c:v>0.12031425296108456</c:v>
                </c:pt>
                <c:pt idx="2607">
                  <c:v>0.12031338495963606</c:v>
                </c:pt>
                <c:pt idx="2608">
                  <c:v>0.12031251762356643</c:v>
                </c:pt>
                <c:pt idx="2609">
                  <c:v>0.12031165095216512</c:v>
                </c:pt>
                <c:pt idx="2610">
                  <c:v>0.12031078494461056</c:v>
                </c:pt>
                <c:pt idx="2611">
                  <c:v>0.12030991960017001</c:v>
                </c:pt>
                <c:pt idx="2612">
                  <c:v>0.12030905491806632</c:v>
                </c:pt>
                <c:pt idx="2613">
                  <c:v>0.12030819089754452</c:v>
                </c:pt>
                <c:pt idx="2614">
                  <c:v>0.12030732753784967</c:v>
                </c:pt>
                <c:pt idx="2615">
                  <c:v>0.12030646483824903</c:v>
                </c:pt>
                <c:pt idx="2616">
                  <c:v>0.12030560279794322</c:v>
                </c:pt>
                <c:pt idx="2617">
                  <c:v>0.12030474141617731</c:v>
                </c:pt>
                <c:pt idx="2618">
                  <c:v>0.12030388069224074</c:v>
                </c:pt>
                <c:pt idx="2619">
                  <c:v>0.12030302062533416</c:v>
                </c:pt>
                <c:pt idx="2620">
                  <c:v>0.12030216121472481</c:v>
                </c:pt>
                <c:pt idx="2621">
                  <c:v>0.12030130245965776</c:v>
                </c:pt>
                <c:pt idx="2622">
                  <c:v>0.12030044435940024</c:v>
                </c:pt>
                <c:pt idx="2623">
                  <c:v>0.12029958691319731</c:v>
                </c:pt>
                <c:pt idx="2624">
                  <c:v>0.12029873012027181</c:v>
                </c:pt>
                <c:pt idx="2625">
                  <c:v>0.12029787397991321</c:v>
                </c:pt>
                <c:pt idx="2626">
                  <c:v>0.12029701849136654</c:v>
                </c:pt>
                <c:pt idx="2627">
                  <c:v>0.12029616365385465</c:v>
                </c:pt>
                <c:pt idx="2628">
                  <c:v>0.1202953094666892</c:v>
                </c:pt>
                <c:pt idx="2629">
                  <c:v>0.12029445592911525</c:v>
                </c:pt>
                <c:pt idx="2630">
                  <c:v>0.12029360304035563</c:v>
                </c:pt>
                <c:pt idx="2631">
                  <c:v>0.12029275079969981</c:v>
                </c:pt>
                <c:pt idx="2632">
                  <c:v>0.12029189920641503</c:v>
                </c:pt>
                <c:pt idx="2633">
                  <c:v>0.12029104825974635</c:v>
                </c:pt>
                <c:pt idx="2634">
                  <c:v>0.12029019795896101</c:v>
                </c:pt>
                <c:pt idx="2635">
                  <c:v>0.12028934830332627</c:v>
                </c:pt>
                <c:pt idx="2636">
                  <c:v>0.12028849929210939</c:v>
                </c:pt>
                <c:pt idx="2637">
                  <c:v>0.12028765092459981</c:v>
                </c:pt>
                <c:pt idx="2638">
                  <c:v>0.12028680320002039</c:v>
                </c:pt>
                <c:pt idx="2639">
                  <c:v>0.12028595611766058</c:v>
                </c:pt>
                <c:pt idx="2640">
                  <c:v>0.12028510967680983</c:v>
                </c:pt>
                <c:pt idx="2641">
                  <c:v>0.1202842638767132</c:v>
                </c:pt>
                <c:pt idx="2642">
                  <c:v>0.12028341871666015</c:v>
                </c:pt>
                <c:pt idx="2643">
                  <c:v>0.12028257419591792</c:v>
                </c:pt>
                <c:pt idx="2644">
                  <c:v>0.12028173031375378</c:v>
                </c:pt>
                <c:pt idx="2645">
                  <c:v>0.12028088706945717</c:v>
                </c:pt>
                <c:pt idx="2646">
                  <c:v>0.12028004446231755</c:v>
                </c:pt>
                <c:pt idx="2647">
                  <c:v>0.12027920249157997</c:v>
                </c:pt>
                <c:pt idx="2648">
                  <c:v>0.1202783611565339</c:v>
                </c:pt>
                <c:pt idx="2649">
                  <c:v>0.12027752045646878</c:v>
                </c:pt>
                <c:pt idx="2650">
                  <c:v>0.12027668039065187</c:v>
                </c:pt>
                <c:pt idx="2651">
                  <c:v>0.12027584095839483</c:v>
                </c:pt>
                <c:pt idx="2652">
                  <c:v>0.12027500215894271</c:v>
                </c:pt>
                <c:pt idx="2653">
                  <c:v>0.12027416399160717</c:v>
                </c:pt>
                <c:pt idx="2654">
                  <c:v>0.12027332645567768</c:v>
                </c:pt>
                <c:pt idx="2655">
                  <c:v>0.12027248955042147</c:v>
                </c:pt>
                <c:pt idx="2656">
                  <c:v>0.12027165327512801</c:v>
                </c:pt>
                <c:pt idx="2657">
                  <c:v>0.12027081762910896</c:v>
                </c:pt>
                <c:pt idx="2658">
                  <c:v>0.12026998261163158</c:v>
                </c:pt>
                <c:pt idx="2659">
                  <c:v>0.12026914822198531</c:v>
                </c:pt>
                <c:pt idx="2660">
                  <c:v>0.12026831445948183</c:v>
                </c:pt>
                <c:pt idx="2661">
                  <c:v>0.12026748132338838</c:v>
                </c:pt>
                <c:pt idx="2662">
                  <c:v>0.12026664881303883</c:v>
                </c:pt>
                <c:pt idx="2663">
                  <c:v>0.12026581692767824</c:v>
                </c:pt>
                <c:pt idx="2664">
                  <c:v>0.12026498566664046</c:v>
                </c:pt>
                <c:pt idx="2665">
                  <c:v>0.12026415502921495</c:v>
                </c:pt>
                <c:pt idx="2666">
                  <c:v>0.12026332501469117</c:v>
                </c:pt>
                <c:pt idx="2667">
                  <c:v>0.12026249562238078</c:v>
                </c:pt>
                <c:pt idx="2668">
                  <c:v>0.12026166685157325</c:v>
                </c:pt>
                <c:pt idx="2669">
                  <c:v>0.12026083870155801</c:v>
                </c:pt>
                <c:pt idx="2670">
                  <c:v>0.12026001117166896</c:v>
                </c:pt>
                <c:pt idx="2671">
                  <c:v>0.12025918426119553</c:v>
                </c:pt>
                <c:pt idx="2672">
                  <c:v>0.12025835796944939</c:v>
                </c:pt>
                <c:pt idx="2673">
                  <c:v>0.12025753229572</c:v>
                </c:pt>
                <c:pt idx="2674">
                  <c:v>0.12025670723934123</c:v>
                </c:pt>
                <c:pt idx="2675">
                  <c:v>0.12025588279958033</c:v>
                </c:pt>
                <c:pt idx="2676">
                  <c:v>0.12025505897577116</c:v>
                </c:pt>
                <c:pt idx="2677">
                  <c:v>0.12025423576724759</c:v>
                </c:pt>
                <c:pt idx="2678">
                  <c:v>0.12025341317325466</c:v>
                </c:pt>
                <c:pt idx="2679">
                  <c:v>0.12025259119317067</c:v>
                </c:pt>
                <c:pt idx="2680">
                  <c:v>0.12025176982628505</c:v>
                </c:pt>
                <c:pt idx="2681">
                  <c:v>0.12025094907190947</c:v>
                </c:pt>
                <c:pt idx="2682">
                  <c:v>0.1202501289293334</c:v>
                </c:pt>
                <c:pt idx="2683">
                  <c:v>0.1202493093979351</c:v>
                </c:pt>
                <c:pt idx="2684">
                  <c:v>0.12024849047695962</c:v>
                </c:pt>
                <c:pt idx="2685">
                  <c:v>0.12024767216578525</c:v>
                </c:pt>
                <c:pt idx="2686">
                  <c:v>0.12024685446370142</c:v>
                </c:pt>
                <c:pt idx="2687">
                  <c:v>0.12024603737001982</c:v>
                </c:pt>
                <c:pt idx="2688">
                  <c:v>0.1202452208840965</c:v>
                </c:pt>
                <c:pt idx="2689">
                  <c:v>0.12024440500522093</c:v>
                </c:pt>
                <c:pt idx="2690">
                  <c:v>0.12024358973272697</c:v>
                </c:pt>
                <c:pt idx="2691">
                  <c:v>0.12024277506594849</c:v>
                </c:pt>
                <c:pt idx="2692">
                  <c:v>0.12024196100419715</c:v>
                </c:pt>
                <c:pt idx="2693">
                  <c:v>0.12024114754680681</c:v>
                </c:pt>
                <c:pt idx="2694">
                  <c:v>0.12024033469308915</c:v>
                </c:pt>
                <c:pt idx="2695">
                  <c:v>0.12023952244240022</c:v>
                </c:pt>
                <c:pt idx="2696">
                  <c:v>0.12023871079405168</c:v>
                </c:pt>
                <c:pt idx="2697">
                  <c:v>0.12023789974737742</c:v>
                </c:pt>
                <c:pt idx="2698">
                  <c:v>0.12023708930168908</c:v>
                </c:pt>
                <c:pt idx="2699">
                  <c:v>0.12023627945636495</c:v>
                </c:pt>
                <c:pt idx="2700">
                  <c:v>0.12023547021069447</c:v>
                </c:pt>
                <c:pt idx="2701">
                  <c:v>0.12023466156403373</c:v>
                </c:pt>
                <c:pt idx="2702">
                  <c:v>0.12023385351571658</c:v>
                </c:pt>
                <c:pt idx="2703">
                  <c:v>0.12023304606505469</c:v>
                </c:pt>
                <c:pt idx="2704">
                  <c:v>0.12023223921142634</c:v>
                </c:pt>
                <c:pt idx="2705">
                  <c:v>0.12023143295414318</c:v>
                </c:pt>
                <c:pt idx="2706">
                  <c:v>0.12023062729253908</c:v>
                </c:pt>
                <c:pt idx="2707">
                  <c:v>0.12022982222597012</c:v>
                </c:pt>
                <c:pt idx="2708">
                  <c:v>0.12022901775379236</c:v>
                </c:pt>
                <c:pt idx="2709">
                  <c:v>0.12022821387529525</c:v>
                </c:pt>
                <c:pt idx="2710">
                  <c:v>0.12022741058987929</c:v>
                </c:pt>
                <c:pt idx="2711">
                  <c:v>0.12022660789685613</c:v>
                </c:pt>
                <c:pt idx="2712">
                  <c:v>0.12022580579555964</c:v>
                </c:pt>
                <c:pt idx="2713">
                  <c:v>0.12022500428536809</c:v>
                </c:pt>
                <c:pt idx="2714">
                  <c:v>0.12022420336561535</c:v>
                </c:pt>
                <c:pt idx="2715">
                  <c:v>0.12022340303565748</c:v>
                </c:pt>
                <c:pt idx="2716">
                  <c:v>0.12022260329482837</c:v>
                </c:pt>
                <c:pt idx="2717">
                  <c:v>0.12022180414246186</c:v>
                </c:pt>
                <c:pt idx="2718">
                  <c:v>0.12022100557795845</c:v>
                </c:pt>
                <c:pt idx="2719">
                  <c:v>0.12022020760062979</c:v>
                </c:pt>
                <c:pt idx="2720">
                  <c:v>0.12021941020983196</c:v>
                </c:pt>
                <c:pt idx="2721">
                  <c:v>0.12021861340494322</c:v>
                </c:pt>
                <c:pt idx="2722">
                  <c:v>0.12021781718527524</c:v>
                </c:pt>
                <c:pt idx="2723">
                  <c:v>0.12021702155022851</c:v>
                </c:pt>
                <c:pt idx="2724">
                  <c:v>0.12021622649913688</c:v>
                </c:pt>
                <c:pt idx="2725">
                  <c:v>0.12021543203137863</c:v>
                </c:pt>
                <c:pt idx="2726">
                  <c:v>0.12021463814626543</c:v>
                </c:pt>
                <c:pt idx="2727">
                  <c:v>0.12021384484319775</c:v>
                </c:pt>
                <c:pt idx="2728">
                  <c:v>0.12021305212153166</c:v>
                </c:pt>
                <c:pt idx="2729">
                  <c:v>0.12021225998060103</c:v>
                </c:pt>
                <c:pt idx="2730">
                  <c:v>0.12021146841980634</c:v>
                </c:pt>
                <c:pt idx="2731">
                  <c:v>0.12021067743848146</c:v>
                </c:pt>
                <c:pt idx="2732">
                  <c:v>0.12020988703600466</c:v>
                </c:pt>
                <c:pt idx="2733">
                  <c:v>0.12020909721173201</c:v>
                </c:pt>
                <c:pt idx="2734">
                  <c:v>0.12020830796504178</c:v>
                </c:pt>
                <c:pt idx="2735">
                  <c:v>0.12020751929529006</c:v>
                </c:pt>
                <c:pt idx="2736">
                  <c:v>0.12020673120183289</c:v>
                </c:pt>
                <c:pt idx="2737">
                  <c:v>0.12020594368407078</c:v>
                </c:pt>
                <c:pt idx="2738">
                  <c:v>0.12020515674135979</c:v>
                </c:pt>
                <c:pt idx="2739">
                  <c:v>0.12020437037305598</c:v>
                </c:pt>
                <c:pt idx="2740">
                  <c:v>0.12020358457853764</c:v>
                </c:pt>
                <c:pt idx="2741">
                  <c:v>0.12020279935718303</c:v>
                </c:pt>
                <c:pt idx="2742">
                  <c:v>0.12020201470834824</c:v>
                </c:pt>
                <c:pt idx="2743">
                  <c:v>0.12020123063143373</c:v>
                </c:pt>
                <c:pt idx="2744">
                  <c:v>0.12020044712579558</c:v>
                </c:pt>
                <c:pt idx="2745">
                  <c:v>0.12019966419083428</c:v>
                </c:pt>
                <c:pt idx="2746">
                  <c:v>0.12019888182588367</c:v>
                </c:pt>
                <c:pt idx="2747">
                  <c:v>0.12019810003036646</c:v>
                </c:pt>
                <c:pt idx="2748">
                  <c:v>0.1201973188036165</c:v>
                </c:pt>
                <c:pt idx="2749">
                  <c:v>0.12019653814505649</c:v>
                </c:pt>
                <c:pt idx="2750">
                  <c:v>0.12019575805404248</c:v>
                </c:pt>
                <c:pt idx="2751">
                  <c:v>0.12019497852997496</c:v>
                </c:pt>
                <c:pt idx="2752">
                  <c:v>0.12019419957221</c:v>
                </c:pt>
                <c:pt idx="2753">
                  <c:v>0.12019342118012588</c:v>
                </c:pt>
                <c:pt idx="2754">
                  <c:v>0.12019264335314528</c:v>
                </c:pt>
                <c:pt idx="2755">
                  <c:v>0.12019186609062427</c:v>
                </c:pt>
                <c:pt idx="2756">
                  <c:v>0.12019108939196332</c:v>
                </c:pt>
                <c:pt idx="2757">
                  <c:v>0.12019031325654073</c:v>
                </c:pt>
                <c:pt idx="2758">
                  <c:v>0.12018953768373475</c:v>
                </c:pt>
                <c:pt idx="2759">
                  <c:v>0.12018876267294587</c:v>
                </c:pt>
                <c:pt idx="2760">
                  <c:v>0.12018798822357457</c:v>
                </c:pt>
                <c:pt idx="2761">
                  <c:v>0.12018721433499913</c:v>
                </c:pt>
                <c:pt idx="2762">
                  <c:v>0.12018644100659781</c:v>
                </c:pt>
                <c:pt idx="2763">
                  <c:v>0.1201856682377711</c:v>
                </c:pt>
                <c:pt idx="2764">
                  <c:v>0.12018489602791949</c:v>
                </c:pt>
                <c:pt idx="2765">
                  <c:v>0.12018412437644344</c:v>
                </c:pt>
                <c:pt idx="2766">
                  <c:v>0.12018335328269902</c:v>
                </c:pt>
                <c:pt idx="2767">
                  <c:v>0.12018258274613114</c:v>
                </c:pt>
                <c:pt idx="2768">
                  <c:v>0.12018181276611806</c:v>
                </c:pt>
                <c:pt idx="2769">
                  <c:v>0.12018104334203805</c:v>
                </c:pt>
                <c:pt idx="2770">
                  <c:v>0.12018027447331381</c:v>
                </c:pt>
                <c:pt idx="2771">
                  <c:v>0.1201795061593236</c:v>
                </c:pt>
                <c:pt idx="2772">
                  <c:v>0.12017873839949011</c:v>
                </c:pt>
                <c:pt idx="2773">
                  <c:v>0.12017797119321383</c:v>
                </c:pt>
                <c:pt idx="2774">
                  <c:v>0.12017720453987302</c:v>
                </c:pt>
                <c:pt idx="2775">
                  <c:v>0.12017643843886816</c:v>
                </c:pt>
                <c:pt idx="2776">
                  <c:v>0.12017567288962194</c:v>
                </c:pt>
                <c:pt idx="2777">
                  <c:v>0.12017490789153484</c:v>
                </c:pt>
                <c:pt idx="2778">
                  <c:v>0.12017414344402955</c:v>
                </c:pt>
                <c:pt idx="2779">
                  <c:v>0.12017337954646212</c:v>
                </c:pt>
                <c:pt idx="2780">
                  <c:v>0.12017261619829966</c:v>
                </c:pt>
                <c:pt idx="2781">
                  <c:v>0.12017185339889824</c:v>
                </c:pt>
                <c:pt idx="2782">
                  <c:v>0.12017109114768054</c:v>
                </c:pt>
                <c:pt idx="2783">
                  <c:v>0.12017032944409145</c:v>
                </c:pt>
                <c:pt idx="2784">
                  <c:v>0.12016956828748704</c:v>
                </c:pt>
                <c:pt idx="2785">
                  <c:v>0.12016880767731219</c:v>
                </c:pt>
                <c:pt idx="2786">
                  <c:v>0.1201680476129674</c:v>
                </c:pt>
                <c:pt idx="2787">
                  <c:v>0.12016728809387534</c:v>
                </c:pt>
                <c:pt idx="2788">
                  <c:v>0.12016652911943648</c:v>
                </c:pt>
                <c:pt idx="2789">
                  <c:v>0.12016577068907353</c:v>
                </c:pt>
                <c:pt idx="2790">
                  <c:v>0.12016501280220915</c:v>
                </c:pt>
                <c:pt idx="2791">
                  <c:v>0.12016425545824383</c:v>
                </c:pt>
                <c:pt idx="2792">
                  <c:v>0.12016349865660025</c:v>
                </c:pt>
                <c:pt idx="2793">
                  <c:v>0.1201627423966789</c:v>
                </c:pt>
                <c:pt idx="2794">
                  <c:v>0.12016198667792466</c:v>
                </c:pt>
                <c:pt idx="2795">
                  <c:v>0.12016123149976021</c:v>
                </c:pt>
                <c:pt idx="2796">
                  <c:v>0.12016047686158604</c:v>
                </c:pt>
                <c:pt idx="2797">
                  <c:v>0.12015972276282483</c:v>
                </c:pt>
                <c:pt idx="2798">
                  <c:v>0.12015896920289926</c:v>
                </c:pt>
                <c:pt idx="2799">
                  <c:v>0.12015821618125422</c:v>
                </c:pt>
                <c:pt idx="2800">
                  <c:v>0.12015746369729019</c:v>
                </c:pt>
                <c:pt idx="2801">
                  <c:v>0.12015671175042986</c:v>
                </c:pt>
                <c:pt idx="2802">
                  <c:v>0.1201559603400959</c:v>
                </c:pt>
                <c:pt idx="2803">
                  <c:v>0.12015520946573321</c:v>
                </c:pt>
                <c:pt idx="2804">
                  <c:v>0.12015445912676448</c:v>
                </c:pt>
                <c:pt idx="2805">
                  <c:v>0.12015370932261238</c:v>
                </c:pt>
                <c:pt idx="2806">
                  <c:v>0.1201529600526996</c:v>
                </c:pt>
                <c:pt idx="2807">
                  <c:v>0.12015221131644882</c:v>
                </c:pt>
                <c:pt idx="2808">
                  <c:v>0.12015146311332714</c:v>
                </c:pt>
                <c:pt idx="2809">
                  <c:v>0.12015071544271283</c:v>
                </c:pt>
                <c:pt idx="2810">
                  <c:v>0.12014996830407298</c:v>
                </c:pt>
                <c:pt idx="2811">
                  <c:v>0.12014922169685249</c:v>
                </c:pt>
                <c:pt idx="2812">
                  <c:v>0.12014847562045183</c:v>
                </c:pt>
                <c:pt idx="2813">
                  <c:v>0.12014773007429369</c:v>
                </c:pt>
                <c:pt idx="2814">
                  <c:v>0.12014698505786736</c:v>
                </c:pt>
                <c:pt idx="2815">
                  <c:v>0.12014624057057333</c:v>
                </c:pt>
                <c:pt idx="2816">
                  <c:v>0.12014549661183427</c:v>
                </c:pt>
                <c:pt idx="2817">
                  <c:v>0.12014475318111728</c:v>
                </c:pt>
                <c:pt idx="2818">
                  <c:v>0.12014401027784505</c:v>
                </c:pt>
                <c:pt idx="2819">
                  <c:v>0.12014326790146246</c:v>
                </c:pt>
                <c:pt idx="2820">
                  <c:v>0.1201425260514144</c:v>
                </c:pt>
                <c:pt idx="2821">
                  <c:v>0.12014178472712356</c:v>
                </c:pt>
                <c:pt idx="2822">
                  <c:v>0.12014104392805702</c:v>
                </c:pt>
                <c:pt idx="2823">
                  <c:v>0.12014030365361528</c:v>
                </c:pt>
                <c:pt idx="2824">
                  <c:v>0.12013956390328762</c:v>
                </c:pt>
                <c:pt idx="2825">
                  <c:v>0.12013882467649672</c:v>
                </c:pt>
                <c:pt idx="2826">
                  <c:v>0.12013808597266529</c:v>
                </c:pt>
                <c:pt idx="2827">
                  <c:v>0.1201373477912826</c:v>
                </c:pt>
                <c:pt idx="2828">
                  <c:v>0.12013661013177135</c:v>
                </c:pt>
                <c:pt idx="2829">
                  <c:v>0.12013587299357642</c:v>
                </c:pt>
                <c:pt idx="2830">
                  <c:v>0.1201351363761427</c:v>
                </c:pt>
                <c:pt idx="2831">
                  <c:v>0.12013440027891509</c:v>
                </c:pt>
                <c:pt idx="2832">
                  <c:v>0.12013366470138287</c:v>
                </c:pt>
                <c:pt idx="2833">
                  <c:v>0.12013292964294653</c:v>
                </c:pt>
                <c:pt idx="2834">
                  <c:v>0.12013219510307316</c:v>
                </c:pt>
                <c:pt idx="2835">
                  <c:v>0.12013146108120765</c:v>
                </c:pt>
                <c:pt idx="2836">
                  <c:v>0.12013072757683929</c:v>
                </c:pt>
                <c:pt idx="2837">
                  <c:v>0.12012999458936857</c:v>
                </c:pt>
                <c:pt idx="2838">
                  <c:v>0.12012999468511421</c:v>
                </c:pt>
                <c:pt idx="2839">
                  <c:v>0.12012999478079323</c:v>
                </c:pt>
                <c:pt idx="2840">
                  <c:v>0.12012999487642784</c:v>
                </c:pt>
                <c:pt idx="2841">
                  <c:v>0.12012999497197363</c:v>
                </c:pt>
                <c:pt idx="2842">
                  <c:v>0.12012999506745281</c:v>
                </c:pt>
                <c:pt idx="2843">
                  <c:v>0.12012999516286538</c:v>
                </c:pt>
                <c:pt idx="2844">
                  <c:v>0.12012999525821133</c:v>
                </c:pt>
                <c:pt idx="2845">
                  <c:v>0.12012999535349067</c:v>
                </c:pt>
                <c:pt idx="2846">
                  <c:v>0.1201299954487034</c:v>
                </c:pt>
                <c:pt idx="2847">
                  <c:v>0.12012999554384951</c:v>
                </c:pt>
                <c:pt idx="2848">
                  <c:v>0.12012999563892901</c:v>
                </c:pt>
                <c:pt idx="2849">
                  <c:v>0.1201299957339419</c:v>
                </c:pt>
                <c:pt idx="2850">
                  <c:v>0.12012999582888817</c:v>
                </c:pt>
                <c:pt idx="2851">
                  <c:v>0.12012999592376783</c:v>
                </c:pt>
                <c:pt idx="2852">
                  <c:v>0.12012999601858088</c:v>
                </c:pt>
                <c:pt idx="2853">
                  <c:v>0.12012999611332731</c:v>
                </c:pt>
                <c:pt idx="2854">
                  <c:v>0.12012999620800713</c:v>
                </c:pt>
                <c:pt idx="2855">
                  <c:v>0.12012999630262033</c:v>
                </c:pt>
                <c:pt idx="2856">
                  <c:v>0.12012999639716693</c:v>
                </c:pt>
                <c:pt idx="2857">
                  <c:v>0.12012999649164691</c:v>
                </c:pt>
                <c:pt idx="2858">
                  <c:v>0.12012999658606027</c:v>
                </c:pt>
                <c:pt idx="2859">
                  <c:v>0.12012999668042923</c:v>
                </c:pt>
                <c:pt idx="2860">
                  <c:v>0.12012999677470937</c:v>
                </c:pt>
                <c:pt idx="2861">
                  <c:v>0.12012999686892289</c:v>
                </c:pt>
                <c:pt idx="2862">
                  <c:v>0.12012999696306981</c:v>
                </c:pt>
                <c:pt idx="2863">
                  <c:v>0.12012999705715011</c:v>
                </c:pt>
                <c:pt idx="2864">
                  <c:v>0.120129997151186</c:v>
                </c:pt>
                <c:pt idx="2865">
                  <c:v>0.12012999724513307</c:v>
                </c:pt>
                <c:pt idx="2866">
                  <c:v>0.12012999733903573</c:v>
                </c:pt>
                <c:pt idx="2867">
                  <c:v>0.12012999743284958</c:v>
                </c:pt>
                <c:pt idx="2868">
                  <c:v>0.12012999752661901</c:v>
                </c:pt>
                <c:pt idx="2869">
                  <c:v>0.12012999762029963</c:v>
                </c:pt>
                <c:pt idx="2870">
                  <c:v>0.12012999771393584</c:v>
                </c:pt>
                <c:pt idx="2871">
                  <c:v>0.12012999780748324</c:v>
                </c:pt>
                <c:pt idx="2872">
                  <c:v>0.12012999790098622</c:v>
                </c:pt>
                <c:pt idx="2873">
                  <c:v>0.12012999799442259</c:v>
                </c:pt>
                <c:pt idx="2874">
                  <c:v>0.12012999808779234</c:v>
                </c:pt>
                <c:pt idx="2875">
                  <c:v>0.12012999818109549</c:v>
                </c:pt>
                <c:pt idx="2876">
                  <c:v>0.12012999827433202</c:v>
                </c:pt>
                <c:pt idx="2877">
                  <c:v>0.12012999836750193</c:v>
                </c:pt>
                <c:pt idx="2878">
                  <c:v>0.12012999846060524</c:v>
                </c:pt>
                <c:pt idx="2879">
                  <c:v>0.12012999855364193</c:v>
                </c:pt>
                <c:pt idx="2880">
                  <c:v>0.12012999864663421</c:v>
                </c:pt>
                <c:pt idx="2881">
                  <c:v>0.12012999873955987</c:v>
                </c:pt>
                <c:pt idx="2882">
                  <c:v>0.12012999883239672</c:v>
                </c:pt>
                <c:pt idx="2883">
                  <c:v>0.12012999892518916</c:v>
                </c:pt>
                <c:pt idx="2884">
                  <c:v>0.12012999901791499</c:v>
                </c:pt>
                <c:pt idx="2885">
                  <c:v>0.120129999110552</c:v>
                </c:pt>
                <c:pt idx="2886">
                  <c:v>0.1201299992031446</c:v>
                </c:pt>
                <c:pt idx="2887">
                  <c:v>0.12012999929569279</c:v>
                </c:pt>
                <c:pt idx="2888">
                  <c:v>0.12012999938815216</c:v>
                </c:pt>
                <c:pt idx="2889">
                  <c:v>0.12012999948054492</c:v>
                </c:pt>
                <c:pt idx="2890">
                  <c:v>0.12012999957289328</c:v>
                </c:pt>
                <c:pt idx="2891">
                  <c:v>0.12012999966515281</c:v>
                </c:pt>
                <c:pt idx="2892">
                  <c:v>0.12012999975736793</c:v>
                </c:pt>
                <c:pt idx="2893">
                  <c:v>0.12012999984951644</c:v>
                </c:pt>
                <c:pt idx="2894">
                  <c:v>0.12012999994159834</c:v>
                </c:pt>
                <c:pt idx="2895">
                  <c:v>0.12013000003361363</c:v>
                </c:pt>
                <c:pt idx="2896">
                  <c:v>0.1201300001255623</c:v>
                </c:pt>
                <c:pt idx="2897">
                  <c:v>0.12013000021746656</c:v>
                </c:pt>
                <c:pt idx="2898">
                  <c:v>0.120130000309282</c:v>
                </c:pt>
                <c:pt idx="2899">
                  <c:v>0.12013000040105304</c:v>
                </c:pt>
                <c:pt idx="2900">
                  <c:v>0.12013000049275746</c:v>
                </c:pt>
                <c:pt idx="2901">
                  <c:v>0.12013000058439527</c:v>
                </c:pt>
                <c:pt idx="2902">
                  <c:v>0.12013000067596646</c:v>
                </c:pt>
                <c:pt idx="2903">
                  <c:v>0.12013000076747105</c:v>
                </c:pt>
                <c:pt idx="2904">
                  <c:v>0.12013000085893122</c:v>
                </c:pt>
                <c:pt idx="2905">
                  <c:v>0.12013000095030257</c:v>
                </c:pt>
                <c:pt idx="2906">
                  <c:v>0.12013000104162952</c:v>
                </c:pt>
                <c:pt idx="2907">
                  <c:v>0.12013000113288985</c:v>
                </c:pt>
                <c:pt idx="2908">
                  <c:v>0.12013000122408357</c:v>
                </c:pt>
                <c:pt idx="2909">
                  <c:v>0.12013000131523288</c:v>
                </c:pt>
                <c:pt idx="2910">
                  <c:v>0.12013000140629337</c:v>
                </c:pt>
                <c:pt idx="2911">
                  <c:v>0.12013000149730946</c:v>
                </c:pt>
                <c:pt idx="2912">
                  <c:v>0.12013000158825893</c:v>
                </c:pt>
                <c:pt idx="2913">
                  <c:v>0.12013000167914178</c:v>
                </c:pt>
                <c:pt idx="2914">
                  <c:v>0.12013000176995803</c:v>
                </c:pt>
                <c:pt idx="2915">
                  <c:v>0.12013000186072986</c:v>
                </c:pt>
                <c:pt idx="2916">
                  <c:v>0.12013000195141288</c:v>
                </c:pt>
                <c:pt idx="2917">
                  <c:v>0.12013000204205149</c:v>
                </c:pt>
                <c:pt idx="2918">
                  <c:v>0.12013000213262348</c:v>
                </c:pt>
                <c:pt idx="2919">
                  <c:v>0.12013000222312886</c:v>
                </c:pt>
                <c:pt idx="2920">
                  <c:v>0.12013000231358983</c:v>
                </c:pt>
                <c:pt idx="2921">
                  <c:v>0.12013000240398419</c:v>
                </c:pt>
                <c:pt idx="2922">
                  <c:v>0.12013000249431194</c:v>
                </c:pt>
                <c:pt idx="2923">
                  <c:v>0.12013000258457307</c:v>
                </c:pt>
                <c:pt idx="2924">
                  <c:v>0.12013000267476759</c:v>
                </c:pt>
                <c:pt idx="2925">
                  <c:v>0.1201300027649177</c:v>
                </c:pt>
                <c:pt idx="2926">
                  <c:v>0.12013000285497899</c:v>
                </c:pt>
                <c:pt idx="2927">
                  <c:v>0.12013000294499587</c:v>
                </c:pt>
                <c:pt idx="2928">
                  <c:v>0.12013000303496835</c:v>
                </c:pt>
                <c:pt idx="2929">
                  <c:v>0.120130003124852</c:v>
                </c:pt>
                <c:pt idx="2930">
                  <c:v>0.12013000321469125</c:v>
                </c:pt>
                <c:pt idx="2931">
                  <c:v>0.12013000330446388</c:v>
                </c:pt>
                <c:pt idx="2932">
                  <c:v>0.1201300033941699</c:v>
                </c:pt>
                <c:pt idx="2933">
                  <c:v>0.12013000348383152</c:v>
                </c:pt>
                <c:pt idx="2934">
                  <c:v>0.12013000357340431</c:v>
                </c:pt>
                <c:pt idx="2935">
                  <c:v>0.12013000366293269</c:v>
                </c:pt>
                <c:pt idx="2936">
                  <c:v>0.12013000375239447</c:v>
                </c:pt>
                <c:pt idx="2937">
                  <c:v>0.12013000384181183</c:v>
                </c:pt>
                <c:pt idx="2938">
                  <c:v>0.12013000393116258</c:v>
                </c:pt>
                <c:pt idx="2939">
                  <c:v>0.12013000402044671</c:v>
                </c:pt>
                <c:pt idx="2940">
                  <c:v>0.12013000410966423</c:v>
                </c:pt>
                <c:pt idx="2941">
                  <c:v>0.12013000419881514</c:v>
                </c:pt>
                <c:pt idx="2942">
                  <c:v>0.12013000428792164</c:v>
                </c:pt>
                <c:pt idx="2943">
                  <c:v>0.12013000437696153</c:v>
                </c:pt>
                <c:pt idx="2944">
                  <c:v>0.12013000446595701</c:v>
                </c:pt>
                <c:pt idx="2945">
                  <c:v>0.12013000455486367</c:v>
                </c:pt>
                <c:pt idx="2946">
                  <c:v>0.12013000464372592</c:v>
                </c:pt>
                <c:pt idx="2947">
                  <c:v>0.12013000473252156</c:v>
                </c:pt>
                <c:pt idx="2948">
                  <c:v>0.12013000482127278</c:v>
                </c:pt>
                <c:pt idx="2949">
                  <c:v>0.1201300049099574</c:v>
                </c:pt>
                <c:pt idx="2950">
                  <c:v>0.1201300049985754</c:v>
                </c:pt>
                <c:pt idx="2951">
                  <c:v>0.12013000508712679</c:v>
                </c:pt>
                <c:pt idx="2952">
                  <c:v>0.12013000517563377</c:v>
                </c:pt>
                <c:pt idx="2953">
                  <c:v>0.12013000526407414</c:v>
                </c:pt>
                <c:pt idx="2954">
                  <c:v>0.12013000535244789</c:v>
                </c:pt>
                <c:pt idx="2955">
                  <c:v>0.12013000544077723</c:v>
                </c:pt>
                <c:pt idx="2956">
                  <c:v>0.12013000552901776</c:v>
                </c:pt>
                <c:pt idx="2957">
                  <c:v>0.12013000561723608</c:v>
                </c:pt>
                <c:pt idx="2958">
                  <c:v>0.12013000570536558</c:v>
                </c:pt>
                <c:pt idx="2959">
                  <c:v>0.12013000579345068</c:v>
                </c:pt>
                <c:pt idx="2960">
                  <c:v>0.12013000588146916</c:v>
                </c:pt>
                <c:pt idx="2961">
                  <c:v>0.12013000596944323</c:v>
                </c:pt>
                <c:pt idx="2962">
                  <c:v>0.12013000605732849</c:v>
                </c:pt>
                <c:pt idx="2963">
                  <c:v>0.12013000614516933</c:v>
                </c:pt>
                <c:pt idx="2964">
                  <c:v>0.12013000623296577</c:v>
                </c:pt>
                <c:pt idx="2965">
                  <c:v>0.12013000632069559</c:v>
                </c:pt>
                <c:pt idx="2966">
                  <c:v>0.1201300064083588</c:v>
                </c:pt>
                <c:pt idx="2967">
                  <c:v>0.1201300064959554</c:v>
                </c:pt>
                <c:pt idx="2968">
                  <c:v>0.12013000658350759</c:v>
                </c:pt>
                <c:pt idx="2969">
                  <c:v>0.12013000667099316</c:v>
                </c:pt>
                <c:pt idx="2970">
                  <c:v>0.12013000675843433</c:v>
                </c:pt>
                <c:pt idx="2971">
                  <c:v>0.12013000684580888</c:v>
                </c:pt>
                <c:pt idx="2972">
                  <c:v>0.12013000693311682</c:v>
                </c:pt>
                <c:pt idx="2973">
                  <c:v>0.12013000702035814</c:v>
                </c:pt>
                <c:pt idx="2974">
                  <c:v>0.12013000710755506</c:v>
                </c:pt>
                <c:pt idx="2975">
                  <c:v>0.12013000719470757</c:v>
                </c:pt>
                <c:pt idx="2976">
                  <c:v>0.12013000728177126</c:v>
                </c:pt>
                <c:pt idx="2977">
                  <c:v>0.12013000736879054</c:v>
                </c:pt>
                <c:pt idx="2978">
                  <c:v>0.12013000745576541</c:v>
                </c:pt>
                <c:pt idx="2979">
                  <c:v>0.12013000754267367</c:v>
                </c:pt>
                <c:pt idx="2980">
                  <c:v>0.12013000762951531</c:v>
                </c:pt>
                <c:pt idx="2981">
                  <c:v>0.12013000771629034</c:v>
                </c:pt>
                <c:pt idx="2982">
                  <c:v>0.12013000780302097</c:v>
                </c:pt>
                <c:pt idx="2983">
                  <c:v>0.12013000788968498</c:v>
                </c:pt>
                <c:pt idx="2984">
                  <c:v>0.12013000797630458</c:v>
                </c:pt>
                <c:pt idx="2985">
                  <c:v>0.12013000806285756</c:v>
                </c:pt>
                <c:pt idx="2986">
                  <c:v>0.12013000814934394</c:v>
                </c:pt>
                <c:pt idx="2987">
                  <c:v>0.1201300082357859</c:v>
                </c:pt>
                <c:pt idx="2988">
                  <c:v>0.12013000832216125</c:v>
                </c:pt>
                <c:pt idx="2989">
                  <c:v>0.12013000840849219</c:v>
                </c:pt>
                <c:pt idx="2990">
                  <c:v>0.12013000849475652</c:v>
                </c:pt>
                <c:pt idx="2991">
                  <c:v>0.12013000858095424</c:v>
                </c:pt>
                <c:pt idx="2992">
                  <c:v>0.12013000866710755</c:v>
                </c:pt>
                <c:pt idx="2993">
                  <c:v>0.12013000875319424</c:v>
                </c:pt>
                <c:pt idx="2994">
                  <c:v>0.12013000883923652</c:v>
                </c:pt>
                <c:pt idx="2995">
                  <c:v>0.12013000892521219</c:v>
                </c:pt>
                <c:pt idx="2996">
                  <c:v>0.12013000901114346</c:v>
                </c:pt>
                <c:pt idx="2997">
                  <c:v>0.12013000909700811</c:v>
                </c:pt>
                <c:pt idx="2998">
                  <c:v>0.12013000918280614</c:v>
                </c:pt>
                <c:pt idx="2999">
                  <c:v>0.12013000926855977</c:v>
                </c:pt>
                <c:pt idx="3000">
                  <c:v>0.12013000935424678</c:v>
                </c:pt>
                <c:pt idx="3001">
                  <c:v>0.12013000943986718</c:v>
                </c:pt>
                <c:pt idx="3002">
                  <c:v>0.12013000952544317</c:v>
                </c:pt>
                <c:pt idx="3003">
                  <c:v>0.12013000961097475</c:v>
                </c:pt>
                <c:pt idx="3004">
                  <c:v>0.12013000969643972</c:v>
                </c:pt>
                <c:pt idx="3005">
                  <c:v>0.12013000978183808</c:v>
                </c:pt>
                <c:pt idx="3006">
                  <c:v>0.12013000986719202</c:v>
                </c:pt>
                <c:pt idx="3007">
                  <c:v>0.12013000995247936</c:v>
                </c:pt>
                <c:pt idx="3008">
                  <c:v>0.12013001003772228</c:v>
                </c:pt>
                <c:pt idx="3009">
                  <c:v>0.12013001012289859</c:v>
                </c:pt>
                <c:pt idx="3010">
                  <c:v>0.12013001020800829</c:v>
                </c:pt>
                <c:pt idx="3011">
                  <c:v>0.12013001029309578</c:v>
                </c:pt>
                <c:pt idx="3012">
                  <c:v>0.12013001037809445</c:v>
                </c:pt>
                <c:pt idx="3013">
                  <c:v>0.12013001046304872</c:v>
                </c:pt>
                <c:pt idx="3014">
                  <c:v>0.12013001054793637</c:v>
                </c:pt>
                <c:pt idx="3015">
                  <c:v>0.12013001063277962</c:v>
                </c:pt>
                <c:pt idx="3016">
                  <c:v>0.12013001071755625</c:v>
                </c:pt>
                <c:pt idx="3017">
                  <c:v>0.12013001080228847</c:v>
                </c:pt>
                <c:pt idx="3018">
                  <c:v>0.12013001088697628</c:v>
                </c:pt>
                <c:pt idx="3019">
                  <c:v>0.12013001097157527</c:v>
                </c:pt>
                <c:pt idx="3020">
                  <c:v>0.12013001105615206</c:v>
                </c:pt>
                <c:pt idx="3021">
                  <c:v>0.12013001114064004</c:v>
                </c:pt>
                <c:pt idx="3022">
                  <c:v>0.1201300112250836</c:v>
                </c:pt>
                <c:pt idx="3023">
                  <c:v>0.12013001130948275</c:v>
                </c:pt>
                <c:pt idx="3024">
                  <c:v>0.12013001139381529</c:v>
                </c:pt>
                <c:pt idx="3025">
                  <c:v>0.12013001147810343</c:v>
                </c:pt>
                <c:pt idx="3026">
                  <c:v>0.12013001156232495</c:v>
                </c:pt>
                <c:pt idx="3027">
                  <c:v>0.12013001164650206</c:v>
                </c:pt>
                <c:pt idx="3028">
                  <c:v>0.12013001173061255</c:v>
                </c:pt>
                <c:pt idx="3029">
                  <c:v>0.12013001181465643</c:v>
                </c:pt>
                <c:pt idx="3030">
                  <c:v>0.12013001189867811</c:v>
                </c:pt>
                <c:pt idx="3031">
                  <c:v>0.12013001198261097</c:v>
                </c:pt>
                <c:pt idx="3032">
                  <c:v>0.12013001206649943</c:v>
                </c:pt>
                <c:pt idx="3033">
                  <c:v>0.12013001215034347</c:v>
                </c:pt>
                <c:pt idx="3034">
                  <c:v>0.1201300122341209</c:v>
                </c:pt>
                <c:pt idx="3035">
                  <c:v>0.12013001231785392</c:v>
                </c:pt>
                <c:pt idx="3036">
                  <c:v>0.12013001240152033</c:v>
                </c:pt>
                <c:pt idx="3037">
                  <c:v>0.12013001248514232</c:v>
                </c:pt>
                <c:pt idx="3038">
                  <c:v>0.12013001256869771</c:v>
                </c:pt>
                <c:pt idx="3039">
                  <c:v>0.12013001265220868</c:v>
                </c:pt>
                <c:pt idx="3040">
                  <c:v>0.12013001273565305</c:v>
                </c:pt>
                <c:pt idx="3041">
                  <c:v>0.120130012819053</c:v>
                </c:pt>
                <c:pt idx="3042">
                  <c:v>0.12013001290238634</c:v>
                </c:pt>
                <c:pt idx="3043">
                  <c:v>0.12013001298567527</c:v>
                </c:pt>
                <c:pt idx="3044">
                  <c:v>0.12013001306891979</c:v>
                </c:pt>
                <c:pt idx="3045">
                  <c:v>0.1201300131520977</c:v>
                </c:pt>
                <c:pt idx="3046">
                  <c:v>0.120130013235209</c:v>
                </c:pt>
                <c:pt idx="3047">
                  <c:v>0.12013001331827589</c:v>
                </c:pt>
                <c:pt idx="3048">
                  <c:v>0.12013001340129836</c:v>
                </c:pt>
                <c:pt idx="3049">
                  <c:v>0.12013001348425423</c:v>
                </c:pt>
                <c:pt idx="3050">
                  <c:v>0.12013001356714348</c:v>
                </c:pt>
                <c:pt idx="3051">
                  <c:v>0.12013001365001053</c:v>
                </c:pt>
                <c:pt idx="3052">
                  <c:v>0.12013001373278875</c:v>
                </c:pt>
                <c:pt idx="3053">
                  <c:v>0.12013001381554478</c:v>
                </c:pt>
                <c:pt idx="3054">
                  <c:v>0.12013001389823419</c:v>
                </c:pt>
                <c:pt idx="3055">
                  <c:v>0.12013001398085699</c:v>
                </c:pt>
                <c:pt idx="3056">
                  <c:v>0.12013001406343538</c:v>
                </c:pt>
                <c:pt idx="3057">
                  <c:v>0.12013001414596935</c:v>
                </c:pt>
                <c:pt idx="3058">
                  <c:v>0.12013001422843672</c:v>
                </c:pt>
                <c:pt idx="3059">
                  <c:v>0.12013001431085968</c:v>
                </c:pt>
                <c:pt idx="3060">
                  <c:v>0.12013001439321602</c:v>
                </c:pt>
                <c:pt idx="3061">
                  <c:v>0.12013001447552796</c:v>
                </c:pt>
                <c:pt idx="3062">
                  <c:v>0.12013001455779548</c:v>
                </c:pt>
                <c:pt idx="3063">
                  <c:v>0.1201300146399964</c:v>
                </c:pt>
                <c:pt idx="3064">
                  <c:v>0.1201300147221307</c:v>
                </c:pt>
                <c:pt idx="3065">
                  <c:v>0.12013001480424279</c:v>
                </c:pt>
                <c:pt idx="3066">
                  <c:v>0.12013001488626607</c:v>
                </c:pt>
                <c:pt idx="3067">
                  <c:v>0.12013001496826714</c:v>
                </c:pt>
                <c:pt idx="3068">
                  <c:v>0.1201300150502016</c:v>
                </c:pt>
                <c:pt idx="3069">
                  <c:v>0.12013001513206945</c:v>
                </c:pt>
                <c:pt idx="3070">
                  <c:v>0.12013001521391509</c:v>
                </c:pt>
                <c:pt idx="3071">
                  <c:v>0.12013001529567191</c:v>
                </c:pt>
                <c:pt idx="3072">
                  <c:v>0.12013001537740653</c:v>
                </c:pt>
                <c:pt idx="3073">
                  <c:v>0.12013001545907454</c:v>
                </c:pt>
                <c:pt idx="3074">
                  <c:v>0.12013001554067593</c:v>
                </c:pt>
                <c:pt idx="3075">
                  <c:v>0.12013001562225512</c:v>
                </c:pt>
                <c:pt idx="3076">
                  <c:v>0.12013001570376769</c:v>
                </c:pt>
                <c:pt idx="3077">
                  <c:v>0.12013001578521365</c:v>
                </c:pt>
                <c:pt idx="3078">
                  <c:v>0.1201300158666152</c:v>
                </c:pt>
                <c:pt idx="3079">
                  <c:v>0.12013001594797235</c:v>
                </c:pt>
                <c:pt idx="3080">
                  <c:v>0.12013001602926288</c:v>
                </c:pt>
                <c:pt idx="3081">
                  <c:v>0.120130016110509</c:v>
                </c:pt>
                <c:pt idx="3082">
                  <c:v>0.12013001619171071</c:v>
                </c:pt>
                <c:pt idx="3083">
                  <c:v>0.12013001627284581</c:v>
                </c:pt>
                <c:pt idx="3084">
                  <c:v>0.1201300163539365</c:v>
                </c:pt>
                <c:pt idx="3085">
                  <c:v>0.12013001643496057</c:v>
                </c:pt>
                <c:pt idx="3086">
                  <c:v>0.12013001651594024</c:v>
                </c:pt>
                <c:pt idx="3087">
                  <c:v>0.1201300165968755</c:v>
                </c:pt>
                <c:pt idx="3088">
                  <c:v>0.12013001667774414</c:v>
                </c:pt>
                <c:pt idx="3089">
                  <c:v>0.12013001675856838</c:v>
                </c:pt>
                <c:pt idx="3090">
                  <c:v>0.12013001683934821</c:v>
                </c:pt>
                <c:pt idx="3091">
                  <c:v>0.12013001671096202</c:v>
                </c:pt>
                <c:pt idx="3092">
                  <c:v>0.12013001658264244</c:v>
                </c:pt>
                <c:pt idx="3093">
                  <c:v>0.12013001645441168</c:v>
                </c:pt>
                <c:pt idx="3094">
                  <c:v>0.12013001632626974</c:v>
                </c:pt>
                <c:pt idx="3095">
                  <c:v>0.12013001619821662</c:v>
                </c:pt>
                <c:pt idx="3096">
                  <c:v>0.12013001607023011</c:v>
                </c:pt>
                <c:pt idx="3097">
                  <c:v>0.12013001594233241</c:v>
                </c:pt>
                <c:pt idx="3098">
                  <c:v>0.12013001581452354</c:v>
                </c:pt>
                <c:pt idx="3099">
                  <c:v>0.12013001568680348</c:v>
                </c:pt>
                <c:pt idx="3100">
                  <c:v>0.12013001555915004</c:v>
                </c:pt>
                <c:pt idx="3101">
                  <c:v>0.12013001543158541</c:v>
                </c:pt>
                <c:pt idx="3102">
                  <c:v>0.1201300153040874</c:v>
                </c:pt>
                <c:pt idx="3103">
                  <c:v>0.12013001517670041</c:v>
                </c:pt>
                <c:pt idx="3104">
                  <c:v>0.12013001504938003</c:v>
                </c:pt>
                <c:pt idx="3105">
                  <c:v>0.12013001492212627</c:v>
                </c:pt>
                <c:pt idx="3106">
                  <c:v>0.12013001479498353</c:v>
                </c:pt>
                <c:pt idx="3107">
                  <c:v>0.1201300146679074</c:v>
                </c:pt>
                <c:pt idx="3108">
                  <c:v>0.12013001454092009</c:v>
                </c:pt>
                <c:pt idx="3109">
                  <c:v>0.1201300144139994</c:v>
                </c:pt>
                <c:pt idx="3110">
                  <c:v>0.12013001428716752</c:v>
                </c:pt>
                <c:pt idx="3111">
                  <c:v>0.12013001416042446</c:v>
                </c:pt>
                <c:pt idx="3112">
                  <c:v>0.12013001403374801</c:v>
                </c:pt>
                <c:pt idx="3113">
                  <c:v>0.12013001390716038</c:v>
                </c:pt>
                <c:pt idx="3114">
                  <c:v>0.12013001378066157</c:v>
                </c:pt>
                <c:pt idx="3115">
                  <c:v>0.12013001365425158</c:v>
                </c:pt>
                <c:pt idx="3116">
                  <c:v>0.1201300135279082</c:v>
                </c:pt>
                <c:pt idx="3117">
                  <c:v>0.12013001340165363</c:v>
                </c:pt>
                <c:pt idx="3118">
                  <c:v>0.12013001327546569</c:v>
                </c:pt>
                <c:pt idx="3119">
                  <c:v>0.12013001314936655</c:v>
                </c:pt>
                <c:pt idx="3120">
                  <c:v>0.12013001302335624</c:v>
                </c:pt>
                <c:pt idx="3121">
                  <c:v>0.12013001289741254</c:v>
                </c:pt>
                <c:pt idx="3122">
                  <c:v>0.12013001277155766</c:v>
                </c:pt>
                <c:pt idx="3123">
                  <c:v>0.12013001264576939</c:v>
                </c:pt>
                <c:pt idx="3124">
                  <c:v>0.12013001252009214</c:v>
                </c:pt>
                <c:pt idx="3125">
                  <c:v>0.12013001239445931</c:v>
                </c:pt>
                <c:pt idx="3126">
                  <c:v>0.12013001226893749</c:v>
                </c:pt>
                <c:pt idx="3127">
                  <c:v>0.12013001214348229</c:v>
                </c:pt>
                <c:pt idx="3128">
                  <c:v>0.12013001201811591</c:v>
                </c:pt>
                <c:pt idx="3129">
                  <c:v>0.12013001189281614</c:v>
                </c:pt>
                <c:pt idx="3130">
                  <c:v>0.12013001176760518</c:v>
                </c:pt>
                <c:pt idx="3131">
                  <c:v>0.12013001164246084</c:v>
                </c:pt>
                <c:pt idx="3132">
                  <c:v>0.12013001151740532</c:v>
                </c:pt>
                <c:pt idx="3133">
                  <c:v>0.12013001139243862</c:v>
                </c:pt>
                <c:pt idx="3134">
                  <c:v>0.12013001126753853</c:v>
                </c:pt>
                <c:pt idx="3135">
                  <c:v>0.12013001114272726</c:v>
                </c:pt>
                <c:pt idx="3136">
                  <c:v>0.1201300110179826</c:v>
                </c:pt>
                <c:pt idx="3137">
                  <c:v>0.12013001089332676</c:v>
                </c:pt>
                <c:pt idx="3138">
                  <c:v>0.12013001076875973</c:v>
                </c:pt>
                <c:pt idx="3139">
                  <c:v>0.12013001064425932</c:v>
                </c:pt>
                <c:pt idx="3140">
                  <c:v>0.12013001051984773</c:v>
                </c:pt>
                <c:pt idx="3141">
                  <c:v>0.12013001039550275</c:v>
                </c:pt>
                <c:pt idx="3142">
                  <c:v>0.12013001027124659</c:v>
                </c:pt>
                <c:pt idx="3143">
                  <c:v>0.12013001014705704</c:v>
                </c:pt>
                <c:pt idx="3144">
                  <c:v>0.12013001002295631</c:v>
                </c:pt>
                <c:pt idx="3145">
                  <c:v>0.1201300098989444</c:v>
                </c:pt>
                <c:pt idx="3146">
                  <c:v>0.1201300097749991</c:v>
                </c:pt>
                <c:pt idx="3147">
                  <c:v>0.12013000965112042</c:v>
                </c:pt>
                <c:pt idx="3148">
                  <c:v>0.12013000952735275</c:v>
                </c:pt>
                <c:pt idx="3149">
                  <c:v>0.1201300094036295</c:v>
                </c:pt>
                <c:pt idx="3150">
                  <c:v>0.12013000928001727</c:v>
                </c:pt>
                <c:pt idx="3151">
                  <c:v>0.12013000915644945</c:v>
                </c:pt>
                <c:pt idx="3152">
                  <c:v>0.12013000903299265</c:v>
                </c:pt>
                <c:pt idx="3153">
                  <c:v>0.12013000890958025</c:v>
                </c:pt>
                <c:pt idx="3154">
                  <c:v>0.12013000878627889</c:v>
                </c:pt>
                <c:pt idx="3155">
                  <c:v>0.12013000866304413</c:v>
                </c:pt>
                <c:pt idx="3156">
                  <c:v>0.12013000853987599</c:v>
                </c:pt>
                <c:pt idx="3157">
                  <c:v>0.12013000841679666</c:v>
                </c:pt>
                <c:pt idx="3158">
                  <c:v>0.12013000829378395</c:v>
                </c:pt>
                <c:pt idx="3159">
                  <c:v>0.12013000817086006</c:v>
                </c:pt>
                <c:pt idx="3160">
                  <c:v>0.12013000804802498</c:v>
                </c:pt>
                <c:pt idx="3161">
                  <c:v>0.12013000792525652</c:v>
                </c:pt>
                <c:pt idx="3162">
                  <c:v>0.12013000780255467</c:v>
                </c:pt>
                <c:pt idx="3163">
                  <c:v>0.12013000767994164</c:v>
                </c:pt>
                <c:pt idx="3164">
                  <c:v>0.12013000755739522</c:v>
                </c:pt>
                <c:pt idx="3165">
                  <c:v>0.12013000743493762</c:v>
                </c:pt>
                <c:pt idx="3166">
                  <c:v>0.12013000731256884</c:v>
                </c:pt>
                <c:pt idx="3167">
                  <c:v>0.12013000719024447</c:v>
                </c:pt>
                <c:pt idx="3168">
                  <c:v>0.12013000706803112</c:v>
                </c:pt>
                <c:pt idx="3169">
                  <c:v>0.12013000694586218</c:v>
                </c:pt>
                <c:pt idx="3170">
                  <c:v>0.12013000682380426</c:v>
                </c:pt>
                <c:pt idx="3171">
                  <c:v>0.12013000670179075</c:v>
                </c:pt>
                <c:pt idx="3172">
                  <c:v>0.12013000657988826</c:v>
                </c:pt>
                <c:pt idx="3173">
                  <c:v>0.12013000645803018</c:v>
                </c:pt>
                <c:pt idx="3174">
                  <c:v>0.12013000633626092</c:v>
                </c:pt>
                <c:pt idx="3175">
                  <c:v>0.12013000621458048</c:v>
                </c:pt>
                <c:pt idx="3176">
                  <c:v>0.12013000609296665</c:v>
                </c:pt>
                <c:pt idx="3177">
                  <c:v>0.12013000597144163</c:v>
                </c:pt>
                <c:pt idx="3178">
                  <c:v>0.12013000584996103</c:v>
                </c:pt>
                <c:pt idx="3179">
                  <c:v>0.12013000572859145</c:v>
                </c:pt>
                <c:pt idx="3180">
                  <c:v>0.12013000560726628</c:v>
                </c:pt>
                <c:pt idx="3181">
                  <c:v>0.12013000548605213</c:v>
                </c:pt>
                <c:pt idx="3182">
                  <c:v>0.12013000536488239</c:v>
                </c:pt>
                <c:pt idx="3183">
                  <c:v>0.12013000524380146</c:v>
                </c:pt>
                <c:pt idx="3184">
                  <c:v>0.12013000512280936</c:v>
                </c:pt>
                <c:pt idx="3185">
                  <c:v>0.12013000500188387</c:v>
                </c:pt>
                <c:pt idx="3186">
                  <c:v>0.12013000488102499</c:v>
                </c:pt>
                <c:pt idx="3187">
                  <c:v>0.12013000476025493</c:v>
                </c:pt>
                <c:pt idx="3188">
                  <c:v>0.12013000463955148</c:v>
                </c:pt>
                <c:pt idx="3189">
                  <c:v>0.12013000451893685</c:v>
                </c:pt>
                <c:pt idx="3190">
                  <c:v>0.12013000439838883</c:v>
                </c:pt>
                <c:pt idx="3191">
                  <c:v>0.12013000427790743</c:v>
                </c:pt>
                <c:pt idx="3192">
                  <c:v>0.12013000415751485</c:v>
                </c:pt>
                <c:pt idx="3193">
                  <c:v>0.12013000403718888</c:v>
                </c:pt>
                <c:pt idx="3194">
                  <c:v>0.12013000391692952</c:v>
                </c:pt>
                <c:pt idx="3195">
                  <c:v>0.12013000379675898</c:v>
                </c:pt>
                <c:pt idx="3196">
                  <c:v>0.12013000367667725</c:v>
                </c:pt>
                <c:pt idx="3197">
                  <c:v>0.12013000355663994</c:v>
                </c:pt>
                <c:pt idx="3198">
                  <c:v>0.12013000343669145</c:v>
                </c:pt>
                <c:pt idx="3199">
                  <c:v>0.12013000331683177</c:v>
                </c:pt>
                <c:pt idx="3200">
                  <c:v>0.1201300031970387</c:v>
                </c:pt>
                <c:pt idx="3201">
                  <c:v>0.12013000307731225</c:v>
                </c:pt>
                <c:pt idx="3202">
                  <c:v>0.12013000295767462</c:v>
                </c:pt>
                <c:pt idx="3203">
                  <c:v>0.1201300028381036</c:v>
                </c:pt>
                <c:pt idx="3204">
                  <c:v>0.12013000271859919</c:v>
                </c:pt>
                <c:pt idx="3205">
                  <c:v>0.1201300025991614</c:v>
                </c:pt>
                <c:pt idx="3206">
                  <c:v>0.12013000247983463</c:v>
                </c:pt>
                <c:pt idx="3207">
                  <c:v>0.12013000236055227</c:v>
                </c:pt>
                <c:pt idx="3208">
                  <c:v>0.12013000224135872</c:v>
                </c:pt>
                <c:pt idx="3209">
                  <c:v>0.12013000212223179</c:v>
                </c:pt>
                <c:pt idx="3210">
                  <c:v>0.12013000200317148</c:v>
                </c:pt>
                <c:pt idx="3211">
                  <c:v>0.12013000188419998</c:v>
                </c:pt>
                <c:pt idx="3212">
                  <c:v>0.12013000176529509</c:v>
                </c:pt>
                <c:pt idx="3213">
                  <c:v>0.12013000164645682</c:v>
                </c:pt>
                <c:pt idx="3214">
                  <c:v>0.12013000152770736</c:v>
                </c:pt>
                <c:pt idx="3215">
                  <c:v>0.12013000140902452</c:v>
                </c:pt>
                <c:pt idx="3216">
                  <c:v>0.1201300012904305</c:v>
                </c:pt>
                <c:pt idx="3217">
                  <c:v>0.12013000117188088</c:v>
                </c:pt>
                <c:pt idx="3218">
                  <c:v>0.12013000105342009</c:v>
                </c:pt>
                <c:pt idx="3219">
                  <c:v>0.12013000093504811</c:v>
                </c:pt>
                <c:pt idx="3220">
                  <c:v>0.12013000081672054</c:v>
                </c:pt>
                <c:pt idx="3221">
                  <c:v>0.12013000069848179</c:v>
                </c:pt>
                <c:pt idx="3222">
                  <c:v>0.12013000058030965</c:v>
                </c:pt>
                <c:pt idx="3223">
                  <c:v>0.12013000046222633</c:v>
                </c:pt>
                <c:pt idx="3224">
                  <c:v>0.12013000034420962</c:v>
                </c:pt>
                <c:pt idx="3225">
                  <c:v>0.12013000022625953</c:v>
                </c:pt>
                <c:pt idx="3226">
                  <c:v>0.12013000010837604</c:v>
                </c:pt>
                <c:pt idx="3227">
                  <c:v>0.12012999999058138</c:v>
                </c:pt>
                <c:pt idx="3228">
                  <c:v>0.12012999987285333</c:v>
                </c:pt>
                <c:pt idx="3229">
                  <c:v>0.1201299997551919</c:v>
                </c:pt>
                <c:pt idx="3230">
                  <c:v>0.12012999963761928</c:v>
                </c:pt>
                <c:pt idx="3231">
                  <c:v>0.12012999952011327</c:v>
                </c:pt>
                <c:pt idx="3232">
                  <c:v>0.12012999940267388</c:v>
                </c:pt>
                <c:pt idx="3233">
                  <c:v>0.1201299992853011</c:v>
                </c:pt>
                <c:pt idx="3234">
                  <c:v>0.12012999916801714</c:v>
                </c:pt>
                <c:pt idx="3235">
                  <c:v>0.1201299990507998</c:v>
                </c:pt>
                <c:pt idx="3236">
                  <c:v>0.12012999893364906</c:v>
                </c:pt>
                <c:pt idx="3237">
                  <c:v>0.12012999881658715</c:v>
                </c:pt>
                <c:pt idx="3238">
                  <c:v>0.12012999869956964</c:v>
                </c:pt>
                <c:pt idx="3239">
                  <c:v>0.12012999858264095</c:v>
                </c:pt>
                <c:pt idx="3240">
                  <c:v>0.12012999846580108</c:v>
                </c:pt>
                <c:pt idx="3241">
                  <c:v>0.12012999834900562</c:v>
                </c:pt>
                <c:pt idx="3242">
                  <c:v>0.12012999823229897</c:v>
                </c:pt>
                <c:pt idx="3243">
                  <c:v>0.12012999811565894</c:v>
                </c:pt>
                <c:pt idx="3244">
                  <c:v>0.12012999799908552</c:v>
                </c:pt>
                <c:pt idx="3245">
                  <c:v>0.12012999788257872</c:v>
                </c:pt>
                <c:pt idx="3246">
                  <c:v>0.12012999776616073</c:v>
                </c:pt>
                <c:pt idx="3247">
                  <c:v>0.12012999764980936</c:v>
                </c:pt>
                <c:pt idx="3248">
                  <c:v>0.1201299975335246</c:v>
                </c:pt>
                <c:pt idx="3249">
                  <c:v>0.12012999741730646</c:v>
                </c:pt>
                <c:pt idx="3250">
                  <c:v>0.12012999730117713</c:v>
                </c:pt>
                <c:pt idx="3251">
                  <c:v>0.12012999718511441</c:v>
                </c:pt>
                <c:pt idx="3252">
                  <c:v>0.12012999706909611</c:v>
                </c:pt>
                <c:pt idx="3253">
                  <c:v>0.12012999695318882</c:v>
                </c:pt>
                <c:pt idx="3254">
                  <c:v>0.12012999683732595</c:v>
                </c:pt>
                <c:pt idx="3255">
                  <c:v>0.12012999672155189</c:v>
                </c:pt>
                <c:pt idx="3256">
                  <c:v>0.12012999660584445</c:v>
                </c:pt>
                <c:pt idx="3257">
                  <c:v>0.12012999649020362</c:v>
                </c:pt>
                <c:pt idx="3258">
                  <c:v>0.1201299963746294</c:v>
                </c:pt>
                <c:pt idx="3259">
                  <c:v>0.1201299962591218</c:v>
                </c:pt>
                <c:pt idx="3260">
                  <c:v>0.12012999614370301</c:v>
                </c:pt>
                <c:pt idx="3261">
                  <c:v>0.12012999602832863</c:v>
                </c:pt>
                <c:pt idx="3262">
                  <c:v>0.12012999591304308</c:v>
                </c:pt>
                <c:pt idx="3263">
                  <c:v>0.12012999579784633</c:v>
                </c:pt>
                <c:pt idx="3264">
                  <c:v>0.120129995682694</c:v>
                </c:pt>
                <c:pt idx="3265">
                  <c:v>0.12012999556760828</c:v>
                </c:pt>
                <c:pt idx="3266">
                  <c:v>0.12012999545261138</c:v>
                </c:pt>
                <c:pt idx="3267">
                  <c:v>0.12012999533768109</c:v>
                </c:pt>
                <c:pt idx="3268">
                  <c:v>0.12012999522281742</c:v>
                </c:pt>
                <c:pt idx="3269">
                  <c:v>0.12012999510802036</c:v>
                </c:pt>
                <c:pt idx="3270">
                  <c:v>0.12012999499328991</c:v>
                </c:pt>
                <c:pt idx="3271">
                  <c:v>0.12012999487864828</c:v>
                </c:pt>
                <c:pt idx="3272">
                  <c:v>0.12012999476405106</c:v>
                </c:pt>
                <c:pt idx="3273">
                  <c:v>0.12012999464954266</c:v>
                </c:pt>
                <c:pt idx="3274">
                  <c:v>0.12012999453510087</c:v>
                </c:pt>
                <c:pt idx="3275">
                  <c:v>0.12012999442072569</c:v>
                </c:pt>
                <c:pt idx="3276">
                  <c:v>0.12012999430641713</c:v>
                </c:pt>
                <c:pt idx="3277">
                  <c:v>0.12012999419219739</c:v>
                </c:pt>
                <c:pt idx="3278">
                  <c:v>0.12012999407802205</c:v>
                </c:pt>
                <c:pt idx="3279">
                  <c:v>0.12012999396393553</c:v>
                </c:pt>
                <c:pt idx="3280">
                  <c:v>0.12012999384991563</c:v>
                </c:pt>
                <c:pt idx="3281">
                  <c:v>0.12012999373596234</c:v>
                </c:pt>
                <c:pt idx="3282">
                  <c:v>0.12012999362207566</c:v>
                </c:pt>
                <c:pt idx="3283">
                  <c:v>0.12012999350825559</c:v>
                </c:pt>
                <c:pt idx="3284">
                  <c:v>0.12012999339450214</c:v>
                </c:pt>
                <c:pt idx="3285">
                  <c:v>0.12012999328081531</c:v>
                </c:pt>
                <c:pt idx="3286">
                  <c:v>0.12012999316721729</c:v>
                </c:pt>
                <c:pt idx="3287">
                  <c:v>0.12012999305368588</c:v>
                </c:pt>
                <c:pt idx="3288">
                  <c:v>0.12012999294019888</c:v>
                </c:pt>
                <c:pt idx="3289">
                  <c:v>0.1201299928268007</c:v>
                </c:pt>
                <c:pt idx="3290">
                  <c:v>0.12012999271346914</c:v>
                </c:pt>
                <c:pt idx="3291">
                  <c:v>0.12012999260020418</c:v>
                </c:pt>
                <c:pt idx="3292">
                  <c:v>0.12012999248700584</c:v>
                </c:pt>
                <c:pt idx="3293">
                  <c:v>0.12012999237387412</c:v>
                </c:pt>
                <c:pt idx="3294">
                  <c:v>0.12012999226083121</c:v>
                </c:pt>
                <c:pt idx="3295">
                  <c:v>0.12012999214783271</c:v>
                </c:pt>
                <c:pt idx="3296">
                  <c:v>0.12012999203492303</c:v>
                </c:pt>
                <c:pt idx="3297">
                  <c:v>0.12012999192205776</c:v>
                </c:pt>
                <c:pt idx="3298">
                  <c:v>0.1201299918092813</c:v>
                </c:pt>
                <c:pt idx="3299">
                  <c:v>0.12012999169657146</c:v>
                </c:pt>
                <c:pt idx="3300">
                  <c:v>0.12012999158390603</c:v>
                </c:pt>
                <c:pt idx="3301">
                  <c:v>0.12012999147132941</c:v>
                </c:pt>
                <c:pt idx="3302">
                  <c:v>0.12012999135881941</c:v>
                </c:pt>
                <c:pt idx="3303">
                  <c:v>0.12012999124637602</c:v>
                </c:pt>
                <c:pt idx="3304">
                  <c:v>0.12012999113399925</c:v>
                </c:pt>
                <c:pt idx="3305">
                  <c:v>0.12012999102171129</c:v>
                </c:pt>
                <c:pt idx="3306">
                  <c:v>0.12012999090946774</c:v>
                </c:pt>
                <c:pt idx="3307">
                  <c:v>0.12012999079729081</c:v>
                </c:pt>
                <c:pt idx="3308">
                  <c:v>0.12012999068518049</c:v>
                </c:pt>
                <c:pt idx="3309">
                  <c:v>0.12012999057315898</c:v>
                </c:pt>
                <c:pt idx="3310">
                  <c:v>0.12012999046118189</c:v>
                </c:pt>
                <c:pt idx="3311">
                  <c:v>0.12012999034929361</c:v>
                </c:pt>
                <c:pt idx="3312">
                  <c:v>0.12012999023744975</c:v>
                </c:pt>
                <c:pt idx="3313">
                  <c:v>0.1201299901256947</c:v>
                </c:pt>
                <c:pt idx="3314">
                  <c:v>0.12012999001398406</c:v>
                </c:pt>
                <c:pt idx="3315">
                  <c:v>0.12012998990236223</c:v>
                </c:pt>
                <c:pt idx="3316">
                  <c:v>0.12012998979080702</c:v>
                </c:pt>
                <c:pt idx="3317">
                  <c:v>0.12012998967929622</c:v>
                </c:pt>
                <c:pt idx="3318">
                  <c:v>0.12012998956787424</c:v>
                </c:pt>
                <c:pt idx="3319">
                  <c:v>0.12012998945651887</c:v>
                </c:pt>
                <c:pt idx="3320">
                  <c:v>0.12012998934520791</c:v>
                </c:pt>
                <c:pt idx="3321">
                  <c:v>0.12012998923398577</c:v>
                </c:pt>
                <c:pt idx="3322">
                  <c:v>0.12012998912283024</c:v>
                </c:pt>
                <c:pt idx="3323">
                  <c:v>0.12012998901174132</c:v>
                </c:pt>
                <c:pt idx="3324">
                  <c:v>0.12012998890071902</c:v>
                </c:pt>
                <c:pt idx="3325">
                  <c:v>0.12012998878974113</c:v>
                </c:pt>
                <c:pt idx="3326">
                  <c:v>0.12012998867885205</c:v>
                </c:pt>
                <c:pt idx="3327">
                  <c:v>0.12012998856802959</c:v>
                </c:pt>
                <c:pt idx="3328">
                  <c:v>0.12012998845727374</c:v>
                </c:pt>
                <c:pt idx="3329">
                  <c:v>0.1201299883465845</c:v>
                </c:pt>
                <c:pt idx="3330">
                  <c:v>0.12012998823593968</c:v>
                </c:pt>
                <c:pt idx="3331">
                  <c:v>0.12012998812538367</c:v>
                </c:pt>
                <c:pt idx="3332">
                  <c:v>0.12012998801489427</c:v>
                </c:pt>
                <c:pt idx="3333">
                  <c:v>0.12012998790447149</c:v>
                </c:pt>
                <c:pt idx="3334">
                  <c:v>0.12012998779411532</c:v>
                </c:pt>
                <c:pt idx="3335">
                  <c:v>0.12012998768380356</c:v>
                </c:pt>
                <c:pt idx="3336">
                  <c:v>0.12012998757358062</c:v>
                </c:pt>
                <c:pt idx="3337">
                  <c:v>0.12012998746342429</c:v>
                </c:pt>
                <c:pt idx="3338">
                  <c:v>0.12012998735331237</c:v>
                </c:pt>
                <c:pt idx="3339">
                  <c:v>0.12012998724328927</c:v>
                </c:pt>
                <c:pt idx="3340">
                  <c:v>0.12012998737378489</c:v>
                </c:pt>
                <c:pt idx="3341">
                  <c:v>0.12012998750419168</c:v>
                </c:pt>
                <c:pt idx="3342">
                  <c:v>0.12012998763453187</c:v>
                </c:pt>
                <c:pt idx="3343">
                  <c:v>0.12012998776478323</c:v>
                </c:pt>
                <c:pt idx="3344">
                  <c:v>0.12012998789494578</c:v>
                </c:pt>
                <c:pt idx="3345">
                  <c:v>0.12012998802506392</c:v>
                </c:pt>
                <c:pt idx="3346">
                  <c:v>0.12012998815507103</c:v>
                </c:pt>
                <c:pt idx="3347">
                  <c:v>0.12012998828501154</c:v>
                </c:pt>
                <c:pt idx="3348">
                  <c:v>0.12012998841488542</c:v>
                </c:pt>
                <c:pt idx="3349">
                  <c:v>0.1201299885446705</c:v>
                </c:pt>
                <c:pt idx="3350">
                  <c:v>0.12012998867438895</c:v>
                </c:pt>
                <c:pt idx="3351">
                  <c:v>0.12012998880401859</c:v>
                </c:pt>
                <c:pt idx="3352">
                  <c:v>0.12012998893358162</c:v>
                </c:pt>
                <c:pt idx="3353">
                  <c:v>0.12012998906305583</c:v>
                </c:pt>
                <c:pt idx="3354">
                  <c:v>0.12012998919246343</c:v>
                </c:pt>
                <c:pt idx="3355">
                  <c:v>0.1201299893217822</c:v>
                </c:pt>
                <c:pt idx="3356">
                  <c:v>0.12012998945103437</c:v>
                </c:pt>
                <c:pt idx="3357">
                  <c:v>0.12012998958019772</c:v>
                </c:pt>
                <c:pt idx="3358">
                  <c:v>0.12012998970929445</c:v>
                </c:pt>
                <c:pt idx="3359">
                  <c:v>0.12012998983832457</c:v>
                </c:pt>
                <c:pt idx="3360">
                  <c:v>0.12012998996726587</c:v>
                </c:pt>
                <c:pt idx="3361">
                  <c:v>0.12012999009611836</c:v>
                </c:pt>
                <c:pt idx="3362">
                  <c:v>0.12012999022490423</c:v>
                </c:pt>
                <c:pt idx="3363">
                  <c:v>0.12012999035362348</c:v>
                </c:pt>
                <c:pt idx="3364">
                  <c:v>0.12012999048225392</c:v>
                </c:pt>
                <c:pt idx="3365">
                  <c:v>0.12012999061081775</c:v>
                </c:pt>
                <c:pt idx="3366">
                  <c:v>0.12012999073929276</c:v>
                </c:pt>
                <c:pt idx="3367">
                  <c:v>0.12012999086770115</c:v>
                </c:pt>
                <c:pt idx="3368">
                  <c:v>0.12012999099604293</c:v>
                </c:pt>
                <c:pt idx="3369">
                  <c:v>0.1201299911242959</c:v>
                </c:pt>
                <c:pt idx="3370">
                  <c:v>0.12012999125246004</c:v>
                </c:pt>
                <c:pt idx="3371">
                  <c:v>0.12012999138055758</c:v>
                </c:pt>
                <c:pt idx="3372">
                  <c:v>0.1201299915085885</c:v>
                </c:pt>
                <c:pt idx="3373">
                  <c:v>0.1201299916365306</c:v>
                </c:pt>
                <c:pt idx="3374">
                  <c:v>0.12012999176440609</c:v>
                </c:pt>
                <c:pt idx="3375">
                  <c:v>0.12012999189221496</c:v>
                </c:pt>
                <c:pt idx="3376">
                  <c:v>0.12012999201993502</c:v>
                </c:pt>
                <c:pt idx="3377">
                  <c:v>0.12012999214758846</c:v>
                </c:pt>
                <c:pt idx="3378">
                  <c:v>0.12012999227515309</c:v>
                </c:pt>
                <c:pt idx="3379">
                  <c:v>0.1201299924026511</c:v>
                </c:pt>
                <c:pt idx="3380">
                  <c:v>0.12012999253006029</c:v>
                </c:pt>
                <c:pt idx="3381">
                  <c:v>0.12012999265740287</c:v>
                </c:pt>
                <c:pt idx="3382">
                  <c:v>0.12012999278467884</c:v>
                </c:pt>
                <c:pt idx="3383">
                  <c:v>0.12012999291186599</c:v>
                </c:pt>
                <c:pt idx="3384">
                  <c:v>0.12012999303898653</c:v>
                </c:pt>
                <c:pt idx="3385">
                  <c:v>0.12012999316604045</c:v>
                </c:pt>
                <c:pt idx="3386">
                  <c:v>0.12012999329300555</c:v>
                </c:pt>
                <c:pt idx="3387">
                  <c:v>0.12012999341990405</c:v>
                </c:pt>
                <c:pt idx="3388">
                  <c:v>0.12012999354671372</c:v>
                </c:pt>
                <c:pt idx="3389">
                  <c:v>0.12012999367345678</c:v>
                </c:pt>
                <c:pt idx="3390">
                  <c:v>0.12012999380013323</c:v>
                </c:pt>
                <c:pt idx="3391">
                  <c:v>0.12012999392672086</c:v>
                </c:pt>
                <c:pt idx="3392">
                  <c:v>0.12012999405324187</c:v>
                </c:pt>
                <c:pt idx="3393">
                  <c:v>0.12012999417969628</c:v>
                </c:pt>
                <c:pt idx="3394">
                  <c:v>0.12012999430606186</c:v>
                </c:pt>
                <c:pt idx="3395">
                  <c:v>0.12012999443236083</c:v>
                </c:pt>
                <c:pt idx="3396">
                  <c:v>0.12012999455857098</c:v>
                </c:pt>
                <c:pt idx="3397">
                  <c:v>0.12012999468473673</c:v>
                </c:pt>
                <c:pt idx="3398">
                  <c:v>0.12012999481079145</c:v>
                </c:pt>
                <c:pt idx="3399">
                  <c:v>0.12012999493680176</c:v>
                </c:pt>
                <c:pt idx="3400">
                  <c:v>0.12012999506272326</c:v>
                </c:pt>
                <c:pt idx="3401">
                  <c:v>0.12012999518857814</c:v>
                </c:pt>
                <c:pt idx="3402">
                  <c:v>0.12012999531434421</c:v>
                </c:pt>
                <c:pt idx="3403">
                  <c:v>0.12012999544006586</c:v>
                </c:pt>
                <c:pt idx="3404">
                  <c:v>0.1201299955656765</c:v>
                </c:pt>
                <c:pt idx="3405">
                  <c:v>0.12012999569124272</c:v>
                </c:pt>
                <c:pt idx="3406">
                  <c:v>0.12012999581672013</c:v>
                </c:pt>
                <c:pt idx="3407">
                  <c:v>0.12012999594213092</c:v>
                </c:pt>
                <c:pt idx="3408">
                  <c:v>0.1201299960674751</c:v>
                </c:pt>
                <c:pt idx="3409">
                  <c:v>0.12012999619273046</c:v>
                </c:pt>
                <c:pt idx="3410">
                  <c:v>0.12012999631791921</c:v>
                </c:pt>
                <c:pt idx="3411">
                  <c:v>0.12012999644304134</c:v>
                </c:pt>
                <c:pt idx="3412">
                  <c:v>0.12012999656807466</c:v>
                </c:pt>
                <c:pt idx="3413">
                  <c:v>0.12012999669304136</c:v>
                </c:pt>
                <c:pt idx="3414">
                  <c:v>0.12012999681794145</c:v>
                </c:pt>
                <c:pt idx="3415">
                  <c:v>0.12012999694275273</c:v>
                </c:pt>
                <c:pt idx="3416">
                  <c:v>0.12012999706749738</c:v>
                </c:pt>
                <c:pt idx="3417">
                  <c:v>0.12012999719217543</c:v>
                </c:pt>
                <c:pt idx="3418">
                  <c:v>0.12012999731678686</c:v>
                </c:pt>
                <c:pt idx="3419">
                  <c:v>0.12012999744130948</c:v>
                </c:pt>
                <c:pt idx="3420">
                  <c:v>0.12012999756576548</c:v>
                </c:pt>
                <c:pt idx="3421">
                  <c:v>0.12012999769015487</c:v>
                </c:pt>
                <c:pt idx="3422">
                  <c:v>0.12012999781447764</c:v>
                </c:pt>
                <c:pt idx="3423">
                  <c:v>0.1201299979387116</c:v>
                </c:pt>
                <c:pt idx="3424">
                  <c:v>0.12012999806287894</c:v>
                </c:pt>
                <c:pt idx="3425">
                  <c:v>0.12012999818695747</c:v>
                </c:pt>
                <c:pt idx="3426">
                  <c:v>0.12012999831099158</c:v>
                </c:pt>
                <c:pt idx="3427">
                  <c:v>0.12012999843493688</c:v>
                </c:pt>
                <c:pt idx="3428">
                  <c:v>0.12012999855881556</c:v>
                </c:pt>
                <c:pt idx="3429">
                  <c:v>0.12012999868262764</c:v>
                </c:pt>
                <c:pt idx="3430">
                  <c:v>0.12012999880635089</c:v>
                </c:pt>
                <c:pt idx="3431">
                  <c:v>0.12012999893000753</c:v>
                </c:pt>
                <c:pt idx="3432">
                  <c:v>0.12012999905359756</c:v>
                </c:pt>
                <c:pt idx="3433">
                  <c:v>0.12012999917712097</c:v>
                </c:pt>
                <c:pt idx="3434">
                  <c:v>0.12012999930055557</c:v>
                </c:pt>
                <c:pt idx="3435">
                  <c:v>0.12012999942392355</c:v>
                </c:pt>
                <c:pt idx="3436">
                  <c:v>0.12012999954722492</c:v>
                </c:pt>
                <c:pt idx="3437">
                  <c:v>0.12012999967045968</c:v>
                </c:pt>
                <c:pt idx="3438">
                  <c:v>0.12012999979362782</c:v>
                </c:pt>
                <c:pt idx="3439">
                  <c:v>0.12012999991670714</c:v>
                </c:pt>
                <c:pt idx="3440">
                  <c:v>0.12013000003971985</c:v>
                </c:pt>
                <c:pt idx="3441">
                  <c:v>0.12013000016266595</c:v>
                </c:pt>
                <c:pt idx="3442">
                  <c:v>0.12013000028552323</c:v>
                </c:pt>
                <c:pt idx="3443">
                  <c:v>0.1201300004083361</c:v>
                </c:pt>
                <c:pt idx="3444">
                  <c:v>0.12013000053106015</c:v>
                </c:pt>
                <c:pt idx="3445">
                  <c:v>0.12013000065371759</c:v>
                </c:pt>
                <c:pt idx="3446">
                  <c:v>0.12013000077630842</c:v>
                </c:pt>
                <c:pt idx="3447">
                  <c:v>0.12013000089883263</c:v>
                </c:pt>
                <c:pt idx="3448">
                  <c:v>0.12013000102126803</c:v>
                </c:pt>
                <c:pt idx="3449">
                  <c:v>0.12013000114363681</c:v>
                </c:pt>
                <c:pt idx="3450">
                  <c:v>0.12013000126593898</c:v>
                </c:pt>
                <c:pt idx="3451">
                  <c:v>0.12013000138817453</c:v>
                </c:pt>
                <c:pt idx="3452">
                  <c:v>0.12013000151034348</c:v>
                </c:pt>
                <c:pt idx="3453">
                  <c:v>0.1201300016324236</c:v>
                </c:pt>
                <c:pt idx="3454">
                  <c:v>0.12013000175443711</c:v>
                </c:pt>
                <c:pt idx="3455">
                  <c:v>0.12013000187638401</c:v>
                </c:pt>
                <c:pt idx="3456">
                  <c:v>0.12013000199826429</c:v>
                </c:pt>
                <c:pt idx="3457">
                  <c:v>0.12013000212007796</c:v>
                </c:pt>
                <c:pt idx="3458">
                  <c:v>0.12013000224182502</c:v>
                </c:pt>
                <c:pt idx="3459">
                  <c:v>0.12013000236348326</c:v>
                </c:pt>
                <c:pt idx="3460">
                  <c:v>0.12013000248507488</c:v>
                </c:pt>
                <c:pt idx="3461">
                  <c:v>0.12013000260659989</c:v>
                </c:pt>
                <c:pt idx="3462">
                  <c:v>0.12013000272805829</c:v>
                </c:pt>
                <c:pt idx="3463">
                  <c:v>0.12013000284945008</c:v>
                </c:pt>
                <c:pt idx="3464">
                  <c:v>0.12013000297075305</c:v>
                </c:pt>
                <c:pt idx="3465">
                  <c:v>0.12013000309201161</c:v>
                </c:pt>
                <c:pt idx="3466">
                  <c:v>0.12013000321318135</c:v>
                </c:pt>
                <c:pt idx="3467">
                  <c:v>0.12013000333428447</c:v>
                </c:pt>
                <c:pt idx="3468">
                  <c:v>0.12013000345532099</c:v>
                </c:pt>
                <c:pt idx="3469">
                  <c:v>0.12013000357629089</c:v>
                </c:pt>
                <c:pt idx="3470">
                  <c:v>0.12013000369719418</c:v>
                </c:pt>
                <c:pt idx="3471">
                  <c:v>0.12013000381800865</c:v>
                </c:pt>
                <c:pt idx="3472">
                  <c:v>0.12013000393877871</c:v>
                </c:pt>
                <c:pt idx="3473">
                  <c:v>0.12013000405945995</c:v>
                </c:pt>
                <c:pt idx="3474">
                  <c:v>0.12013000418007458</c:v>
                </c:pt>
                <c:pt idx="3475">
                  <c:v>0.12013000430062259</c:v>
                </c:pt>
                <c:pt idx="3476">
                  <c:v>0.120130004421104</c:v>
                </c:pt>
                <c:pt idx="3477">
                  <c:v>0.12013000454151879</c:v>
                </c:pt>
                <c:pt idx="3478">
                  <c:v>0.12013000466186696</c:v>
                </c:pt>
                <c:pt idx="3479">
                  <c:v>0.12013000478212632</c:v>
                </c:pt>
                <c:pt idx="3480">
                  <c:v>0.12013000490234127</c:v>
                </c:pt>
                <c:pt idx="3481">
                  <c:v>0.1201300050224674</c:v>
                </c:pt>
                <c:pt idx="3482">
                  <c:v>0.12013000514252692</c:v>
                </c:pt>
                <c:pt idx="3483">
                  <c:v>0.12013000526251982</c:v>
                </c:pt>
                <c:pt idx="3484">
                  <c:v>0.12013000538246832</c:v>
                </c:pt>
                <c:pt idx="3485">
                  <c:v>0.120130005502328</c:v>
                </c:pt>
                <c:pt idx="3486">
                  <c:v>0.12013000562209886</c:v>
                </c:pt>
                <c:pt idx="3487">
                  <c:v>0.12013000574182531</c:v>
                </c:pt>
                <c:pt idx="3488">
                  <c:v>0.12013000586148515</c:v>
                </c:pt>
                <c:pt idx="3489">
                  <c:v>0.12013000598105616</c:v>
                </c:pt>
                <c:pt idx="3490">
                  <c:v>0.12013000610058278</c:v>
                </c:pt>
                <c:pt idx="3491">
                  <c:v>0.12013000622002057</c:v>
                </c:pt>
                <c:pt idx="3492">
                  <c:v>0.12013000633941395</c:v>
                </c:pt>
                <c:pt idx="3493">
                  <c:v>0.12013000645871852</c:v>
                </c:pt>
                <c:pt idx="3494">
                  <c:v>0.12013000657795647</c:v>
                </c:pt>
                <c:pt idx="3495">
                  <c:v>0.12013000669712781</c:v>
                </c:pt>
                <c:pt idx="3496">
                  <c:v>0.12013000681623254</c:v>
                </c:pt>
                <c:pt idx="3497">
                  <c:v>0.12013000693527065</c:v>
                </c:pt>
                <c:pt idx="3498">
                  <c:v>0.12013000705424215</c:v>
                </c:pt>
                <c:pt idx="3499">
                  <c:v>0.12013000717314704</c:v>
                </c:pt>
                <c:pt idx="3500">
                  <c:v>0.12013000729198531</c:v>
                </c:pt>
                <c:pt idx="3501">
                  <c:v>0.12013000741073476</c:v>
                </c:pt>
                <c:pt idx="3502">
                  <c:v>0.12013000752943981</c:v>
                </c:pt>
                <c:pt idx="3503">
                  <c:v>0.12013000764807824</c:v>
                </c:pt>
                <c:pt idx="3504">
                  <c:v>0.12013000776662786</c:v>
                </c:pt>
                <c:pt idx="3505">
                  <c:v>0.12013000788513306</c:v>
                </c:pt>
                <c:pt idx="3506">
                  <c:v>0.12013000800354945</c:v>
                </c:pt>
                <c:pt idx="3507">
                  <c:v>0.12013000812192143</c:v>
                </c:pt>
                <c:pt idx="3508">
                  <c:v>0.12013000824020459</c:v>
                </c:pt>
                <c:pt idx="3509">
                  <c:v>0.12013000835842114</c:v>
                </c:pt>
                <c:pt idx="3510">
                  <c:v>0.12013000847659328</c:v>
                </c:pt>
                <c:pt idx="3511">
                  <c:v>0.1201300085946766</c:v>
                </c:pt>
                <c:pt idx="3512">
                  <c:v>0.1201300087126933</c:v>
                </c:pt>
                <c:pt idx="3513">
                  <c:v>0.1201300088306656</c:v>
                </c:pt>
                <c:pt idx="3514">
                  <c:v>0.12013000894854908</c:v>
                </c:pt>
                <c:pt idx="3515">
                  <c:v>0.12013000906636595</c:v>
                </c:pt>
                <c:pt idx="3516">
                  <c:v>0.1201300091841162</c:v>
                </c:pt>
                <c:pt idx="3517">
                  <c:v>0.12013000930179984</c:v>
                </c:pt>
                <c:pt idx="3518">
                  <c:v>0.12013000941941687</c:v>
                </c:pt>
                <c:pt idx="3519">
                  <c:v>0.12013000953698949</c:v>
                </c:pt>
                <c:pt idx="3520">
                  <c:v>0.12013000965447329</c:v>
                </c:pt>
                <c:pt idx="3521">
                  <c:v>0.12013000977189048</c:v>
                </c:pt>
                <c:pt idx="3522">
                  <c:v>0.12013000988924105</c:v>
                </c:pt>
                <c:pt idx="3523">
                  <c:v>0.12013001000652501</c:v>
                </c:pt>
                <c:pt idx="3524">
                  <c:v>0.12013001012374236</c:v>
                </c:pt>
                <c:pt idx="3525">
                  <c:v>0.1201300102409153</c:v>
                </c:pt>
                <c:pt idx="3526">
                  <c:v>0.12013001035799942</c:v>
                </c:pt>
                <c:pt idx="3527">
                  <c:v>0.12013001047501692</c:v>
                </c:pt>
                <c:pt idx="3528">
                  <c:v>0.12013001059196782</c:v>
                </c:pt>
                <c:pt idx="3529">
                  <c:v>0.1201300107088521</c:v>
                </c:pt>
                <c:pt idx="3530">
                  <c:v>0.12013001082566976</c:v>
                </c:pt>
                <c:pt idx="3531">
                  <c:v>0.12013001094244302</c:v>
                </c:pt>
                <c:pt idx="3532">
                  <c:v>0.12013001105912746</c:v>
                </c:pt>
                <c:pt idx="3533">
                  <c:v>0.12013001117574529</c:v>
                </c:pt>
                <c:pt idx="3534">
                  <c:v>0.12013001129231871</c:v>
                </c:pt>
                <c:pt idx="3535">
                  <c:v>0.12013001140880331</c:v>
                </c:pt>
                <c:pt idx="3536">
                  <c:v>0.12013001152522129</c:v>
                </c:pt>
                <c:pt idx="3537">
                  <c:v>0.12013001164159487</c:v>
                </c:pt>
                <c:pt idx="3538">
                  <c:v>0.12013001175787963</c:v>
                </c:pt>
                <c:pt idx="3539">
                  <c:v>0.12013001187411998</c:v>
                </c:pt>
                <c:pt idx="3540">
                  <c:v>0.12013001199027151</c:v>
                </c:pt>
                <c:pt idx="3541">
                  <c:v>0.12013001210637864</c:v>
                </c:pt>
                <c:pt idx="3542">
                  <c:v>0.12013001222239694</c:v>
                </c:pt>
                <c:pt idx="3543">
                  <c:v>0.12013001233837084</c:v>
                </c:pt>
                <c:pt idx="3544">
                  <c:v>0.12013001245427812</c:v>
                </c:pt>
                <c:pt idx="3545">
                  <c:v>0.12013001257011879</c:v>
                </c:pt>
                <c:pt idx="3546">
                  <c:v>0.12013001268587065</c:v>
                </c:pt>
                <c:pt idx="3547">
                  <c:v>0.12013001280157809</c:v>
                </c:pt>
                <c:pt idx="3548">
                  <c:v>0.12013001291721892</c:v>
                </c:pt>
                <c:pt idx="3549">
                  <c:v>0.12013001303279314</c:v>
                </c:pt>
                <c:pt idx="3550">
                  <c:v>0.12013001314832294</c:v>
                </c:pt>
                <c:pt idx="3551">
                  <c:v>0.12013001326376394</c:v>
                </c:pt>
                <c:pt idx="3552">
                  <c:v>0.12013001337913831</c:v>
                </c:pt>
                <c:pt idx="3553">
                  <c:v>0.12013001349444608</c:v>
                </c:pt>
                <c:pt idx="3554">
                  <c:v>0.12013001360970943</c:v>
                </c:pt>
                <c:pt idx="3555">
                  <c:v>0.12013001372488397</c:v>
                </c:pt>
                <c:pt idx="3556">
                  <c:v>0.12013001384001409</c:v>
                </c:pt>
                <c:pt idx="3557">
                  <c:v>0.1201300139550554</c:v>
                </c:pt>
                <c:pt idx="3558">
                  <c:v>0.1201300140700523</c:v>
                </c:pt>
                <c:pt idx="3559">
                  <c:v>0.12013001418498259</c:v>
                </c:pt>
                <c:pt idx="3560">
                  <c:v>0.12013001429984627</c:v>
                </c:pt>
                <c:pt idx="3561">
                  <c:v>0.12013001441464333</c:v>
                </c:pt>
                <c:pt idx="3562">
                  <c:v>0.12013001452937377</c:v>
                </c:pt>
                <c:pt idx="3563">
                  <c:v>0.12013001464403761</c:v>
                </c:pt>
                <c:pt idx="3564">
                  <c:v>0.12013001475865703</c:v>
                </c:pt>
                <c:pt idx="3565">
                  <c:v>0.12013001487318764</c:v>
                </c:pt>
                <c:pt idx="3566">
                  <c:v>0.12013001498767384</c:v>
                </c:pt>
                <c:pt idx="3567">
                  <c:v>0.12013001510207122</c:v>
                </c:pt>
                <c:pt idx="3568">
                  <c:v>0.12013001521642419</c:v>
                </c:pt>
                <c:pt idx="3569">
                  <c:v>0.12013001533071055</c:v>
                </c:pt>
                <c:pt idx="3570">
                  <c:v>0.12013001544493029</c:v>
                </c:pt>
                <c:pt idx="3571">
                  <c:v>0.12013001555908343</c:v>
                </c:pt>
                <c:pt idx="3572">
                  <c:v>0.12013001567316994</c:v>
                </c:pt>
                <c:pt idx="3573">
                  <c:v>0.12013001578721205</c:v>
                </c:pt>
                <c:pt idx="3574">
                  <c:v>0.12013001590116534</c:v>
                </c:pt>
                <c:pt idx="3575">
                  <c:v>0.12013001601507423</c:v>
                </c:pt>
                <c:pt idx="3576">
                  <c:v>0.12013001612889429</c:v>
                </c:pt>
                <c:pt idx="3577">
                  <c:v>0.12013001624266995</c:v>
                </c:pt>
                <c:pt idx="3578">
                  <c:v>0.12013001635637899</c:v>
                </c:pt>
                <c:pt idx="3579">
                  <c:v>0.12013001647002142</c:v>
                </c:pt>
                <c:pt idx="3580">
                  <c:v>0.12013001658361944</c:v>
                </c:pt>
                <c:pt idx="3581">
                  <c:v>0.12013001669712864</c:v>
                </c:pt>
                <c:pt idx="3582">
                  <c:v>0.12013001681059343</c:v>
                </c:pt>
                <c:pt idx="3583">
                  <c:v>0.12013001692396941</c:v>
                </c:pt>
                <c:pt idx="3584">
                  <c:v>0.12013001703730097</c:v>
                </c:pt>
                <c:pt idx="3585">
                  <c:v>0.12013001715056593</c:v>
                </c:pt>
                <c:pt idx="3586">
                  <c:v>0.12013001726378647</c:v>
                </c:pt>
                <c:pt idx="3587">
                  <c:v>0.1201300173769182</c:v>
                </c:pt>
                <c:pt idx="3588">
                  <c:v>0.12013001749000551</c:v>
                </c:pt>
                <c:pt idx="3589">
                  <c:v>0.12013001760300401</c:v>
                </c:pt>
                <c:pt idx="3590">
                  <c:v>0.12013001771595611</c:v>
                </c:pt>
                <c:pt idx="3591">
                  <c:v>0.12013001771595611</c:v>
                </c:pt>
                <c:pt idx="3592">
                  <c:v>0.12013001771595611</c:v>
                </c:pt>
                <c:pt idx="3593">
                  <c:v>0.12013001771595611</c:v>
                </c:pt>
                <c:pt idx="3594">
                  <c:v>0.12013001771595611</c:v>
                </c:pt>
                <c:pt idx="3595">
                  <c:v>0.12013001771595611</c:v>
                </c:pt>
                <c:pt idx="3596">
                  <c:v>0.12013001771595611</c:v>
                </c:pt>
                <c:pt idx="3597">
                  <c:v>0.12013001771595611</c:v>
                </c:pt>
                <c:pt idx="3598">
                  <c:v>0.12013001771595611</c:v>
                </c:pt>
                <c:pt idx="3599">
                  <c:v>0.12013001771595611</c:v>
                </c:pt>
                <c:pt idx="3600">
                  <c:v>0.12013001771595611</c:v>
                </c:pt>
                <c:pt idx="3601">
                  <c:v>0.12013001771595611</c:v>
                </c:pt>
                <c:pt idx="3602">
                  <c:v>0.12013001771595611</c:v>
                </c:pt>
                <c:pt idx="3603">
                  <c:v>0.12013001771595611</c:v>
                </c:pt>
                <c:pt idx="3604">
                  <c:v>0.12013001771595611</c:v>
                </c:pt>
                <c:pt idx="3605">
                  <c:v>0.12013001771595611</c:v>
                </c:pt>
                <c:pt idx="3606">
                  <c:v>0.12013001771595611</c:v>
                </c:pt>
                <c:pt idx="3607">
                  <c:v>0.12013001771595611</c:v>
                </c:pt>
                <c:pt idx="3608">
                  <c:v>0.12013001771595611</c:v>
                </c:pt>
                <c:pt idx="3609">
                  <c:v>0.12013001771595611</c:v>
                </c:pt>
                <c:pt idx="3610">
                  <c:v>0.12013001771595611</c:v>
                </c:pt>
                <c:pt idx="3611">
                  <c:v>0.12013001771595611</c:v>
                </c:pt>
                <c:pt idx="3612">
                  <c:v>0.12013001771595611</c:v>
                </c:pt>
                <c:pt idx="3613">
                  <c:v>0.12013001771595611</c:v>
                </c:pt>
                <c:pt idx="3614">
                  <c:v>0.12013001771595611</c:v>
                </c:pt>
                <c:pt idx="3615">
                  <c:v>0.12013001771595611</c:v>
                </c:pt>
                <c:pt idx="3616">
                  <c:v>0.12013001771595611</c:v>
                </c:pt>
                <c:pt idx="3617">
                  <c:v>0.12013001771595611</c:v>
                </c:pt>
                <c:pt idx="3618">
                  <c:v>0.12013001771595611</c:v>
                </c:pt>
                <c:pt idx="3619">
                  <c:v>0.12013001771595611</c:v>
                </c:pt>
                <c:pt idx="3620">
                  <c:v>0.12013001771595611</c:v>
                </c:pt>
                <c:pt idx="3621">
                  <c:v>0.12013001771595611</c:v>
                </c:pt>
                <c:pt idx="3622">
                  <c:v>0.12013001771595611</c:v>
                </c:pt>
                <c:pt idx="3623">
                  <c:v>0.12013001771595611</c:v>
                </c:pt>
                <c:pt idx="3624">
                  <c:v>0.12013001771595611</c:v>
                </c:pt>
                <c:pt idx="3625">
                  <c:v>0.12013001771595611</c:v>
                </c:pt>
                <c:pt idx="3626">
                  <c:v>0.12013001771595611</c:v>
                </c:pt>
                <c:pt idx="3627">
                  <c:v>0.12013001771595611</c:v>
                </c:pt>
                <c:pt idx="3628">
                  <c:v>0.12013001771595611</c:v>
                </c:pt>
                <c:pt idx="3629">
                  <c:v>0.12013001771595611</c:v>
                </c:pt>
                <c:pt idx="3630">
                  <c:v>0.12013001771595611</c:v>
                </c:pt>
                <c:pt idx="3631">
                  <c:v>0.12013001771595611</c:v>
                </c:pt>
                <c:pt idx="3632">
                  <c:v>0.12013001771595611</c:v>
                </c:pt>
                <c:pt idx="3633">
                  <c:v>0.12013001771595611</c:v>
                </c:pt>
                <c:pt idx="3634">
                  <c:v>0.12013001771595611</c:v>
                </c:pt>
                <c:pt idx="3635">
                  <c:v>0.12013001771595611</c:v>
                </c:pt>
                <c:pt idx="3636">
                  <c:v>0.12013001771595611</c:v>
                </c:pt>
                <c:pt idx="3637">
                  <c:v>0.12013001771595611</c:v>
                </c:pt>
                <c:pt idx="3638">
                  <c:v>0.12013001771595611</c:v>
                </c:pt>
                <c:pt idx="3639">
                  <c:v>0.12013001771595611</c:v>
                </c:pt>
                <c:pt idx="3640">
                  <c:v>0.12013001771595611</c:v>
                </c:pt>
                <c:pt idx="3641">
                  <c:v>0.12013001771595611</c:v>
                </c:pt>
                <c:pt idx="3642">
                  <c:v>0.12013001771595611</c:v>
                </c:pt>
                <c:pt idx="3643">
                  <c:v>0.12013001771595611</c:v>
                </c:pt>
                <c:pt idx="3644">
                  <c:v>0.12013001771595611</c:v>
                </c:pt>
                <c:pt idx="3645">
                  <c:v>0.12013001771595611</c:v>
                </c:pt>
                <c:pt idx="3646">
                  <c:v>0.12013001771595611</c:v>
                </c:pt>
                <c:pt idx="3647">
                  <c:v>0.12013001771595611</c:v>
                </c:pt>
                <c:pt idx="3648">
                  <c:v>0.12013001771595611</c:v>
                </c:pt>
                <c:pt idx="3649">
                  <c:v>0.12013001771595611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59-46D2-8FF4-7F0D875C6F98}"/>
            </c:ext>
          </c:extLst>
        </c:ser>
        <c:ser>
          <c:idx val="0"/>
          <c:order val="1"/>
          <c:tx>
            <c:strRef>
              <c:f>Interpolações!$B$1</c:f>
              <c:strCache>
                <c:ptCount val="1"/>
                <c:pt idx="0">
                  <c:v>DI (20/09)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Interpolações!$A$2:$A$3651</c:f>
              <c:numCache>
                <c:formatCode>General</c:formatCode>
                <c:ptCount val="36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</c:numCache>
            </c:numRef>
          </c:cat>
          <c:val>
            <c:numRef>
              <c:f>Interpolações!$B$2:$B$3651</c:f>
              <c:numCache>
                <c:formatCode>0.00%</c:formatCode>
                <c:ptCount val="3650"/>
                <c:pt idx="0">
                  <c:v>0.10653132910134944</c:v>
                </c:pt>
                <c:pt idx="1">
                  <c:v>0.10653132910134944</c:v>
                </c:pt>
                <c:pt idx="2">
                  <c:v>0.10653132910134944</c:v>
                </c:pt>
                <c:pt idx="3">
                  <c:v>0.10653132910134944</c:v>
                </c:pt>
                <c:pt idx="4">
                  <c:v>0.10653132910134944</c:v>
                </c:pt>
                <c:pt idx="5">
                  <c:v>0.10653132910134944</c:v>
                </c:pt>
                <c:pt idx="6">
                  <c:v>0.10653132910134944</c:v>
                </c:pt>
                <c:pt idx="7">
                  <c:v>0.10653763560848351</c:v>
                </c:pt>
                <c:pt idx="8">
                  <c:v>0.10654254067030688</c:v>
                </c:pt>
                <c:pt idx="9">
                  <c:v>0.10654646471979223</c:v>
                </c:pt>
                <c:pt idx="10">
                  <c:v>0.10654967530556725</c:v>
                </c:pt>
                <c:pt idx="11">
                  <c:v>0.10655235079426451</c:v>
                </c:pt>
                <c:pt idx="12">
                  <c:v>0.1065546146688634</c:v>
                </c:pt>
                <c:pt idx="13">
                  <c:v>0.1065565551333858</c:v>
                </c:pt>
                <c:pt idx="14">
                  <c:v>0.10655823686898103</c:v>
                </c:pt>
                <c:pt idx="15">
                  <c:v>0.10655970838755469</c:v>
                </c:pt>
                <c:pt idx="16">
                  <c:v>0.10656100678676506</c:v>
                </c:pt>
                <c:pt idx="17">
                  <c:v>0.1065621609191103</c:v>
                </c:pt>
                <c:pt idx="18">
                  <c:v>0.10656319356376898</c:v>
                </c:pt>
                <c:pt idx="19">
                  <c:v>0.10656412294407502</c:v>
                </c:pt>
                <c:pt idx="20">
                  <c:v>0.10656496381196146</c:v>
                </c:pt>
                <c:pt idx="21">
                  <c:v>0.10656572823726229</c:v>
                </c:pt>
                <c:pt idx="22">
                  <c:v>0.10656642619086831</c:v>
                </c:pt>
                <c:pt idx="23">
                  <c:v>0.10656706598166643</c:v>
                </c:pt>
                <c:pt idx="24">
                  <c:v>0.10656765458936235</c:v>
                </c:pt>
                <c:pt idx="25">
                  <c:v>0.10656819791940997</c:v>
                </c:pt>
                <c:pt idx="26">
                  <c:v>0.10656870100276272</c:v>
                </c:pt>
                <c:pt idx="27">
                  <c:v>0.10656916815172668</c:v>
                </c:pt>
                <c:pt idx="28">
                  <c:v>0.1065696030832175</c:v>
                </c:pt>
                <c:pt idx="29">
                  <c:v>0.10657000901947411</c:v>
                </c:pt>
                <c:pt idx="30">
                  <c:v>0.10670394479068701</c:v>
                </c:pt>
                <c:pt idx="31">
                  <c:v>0.10682950973937011</c:v>
                </c:pt>
                <c:pt idx="32">
                  <c:v>0.10694746483428386</c:v>
                </c:pt>
                <c:pt idx="33">
                  <c:v>0.10705848152139374</c:v>
                </c:pt>
                <c:pt idx="34">
                  <c:v>0.10716315451044789</c:v>
                </c:pt>
                <c:pt idx="35">
                  <c:v>0.10726201243402844</c:v>
                </c:pt>
                <c:pt idx="36">
                  <c:v>0.1073555267756765</c:v>
                </c:pt>
                <c:pt idx="37">
                  <c:v>0.10744411939072052</c:v>
                </c:pt>
                <c:pt idx="38">
                  <c:v>0.10752816886701044</c:v>
                </c:pt>
                <c:pt idx="39">
                  <c:v>0.10760801593503455</c:v>
                </c:pt>
                <c:pt idx="40">
                  <c:v>0.10768396808304992</c:v>
                </c:pt>
                <c:pt idx="41">
                  <c:v>0.10775630351587129</c:v>
                </c:pt>
                <c:pt idx="42">
                  <c:v>0.10782527455850399</c:v>
                </c:pt>
                <c:pt idx="43">
                  <c:v>0.10789111059816836</c:v>
                </c:pt>
                <c:pt idx="44">
                  <c:v>0.10795402063186188</c:v>
                </c:pt>
                <c:pt idx="45">
                  <c:v>0.10801419548391866</c:v>
                </c:pt>
                <c:pt idx="46">
                  <c:v>0.10807180973770869</c:v>
                </c:pt>
                <c:pt idx="47">
                  <c:v>0.10812702342892777</c:v>
                </c:pt>
                <c:pt idx="48">
                  <c:v>0.10817998352862013</c:v>
                </c:pt>
                <c:pt idx="49">
                  <c:v>0.10832064077435088</c:v>
                </c:pt>
                <c:pt idx="50">
                  <c:v>0.10845578223572794</c:v>
                </c:pt>
                <c:pt idx="51">
                  <c:v>0.10858572612064687</c:v>
                </c:pt>
                <c:pt idx="52">
                  <c:v>0.10871076662197776</c:v>
                </c:pt>
                <c:pt idx="53">
                  <c:v>0.10883117614137738</c:v>
                </c:pt>
                <c:pt idx="54">
                  <c:v>0.10894720726961626</c:v>
                </c:pt>
                <c:pt idx="55">
                  <c:v>0.10905909455651841</c:v>
                </c:pt>
                <c:pt idx="56">
                  <c:v>0.10916705609227417</c:v>
                </c:pt>
                <c:pt idx="57">
                  <c:v>0.10927129492679377</c:v>
                </c:pt>
                <c:pt idx="58">
                  <c:v>0.1093720003446208</c:v>
                </c:pt>
                <c:pt idx="59">
                  <c:v>0.10946934901145955</c:v>
                </c:pt>
                <c:pt idx="60">
                  <c:v>0.10956350600892506</c:v>
                </c:pt>
                <c:pt idx="61">
                  <c:v>0.10965462576810747</c:v>
                </c:pt>
                <c:pt idx="62">
                  <c:v>0.10974285291551755</c:v>
                </c:pt>
                <c:pt idx="63">
                  <c:v>0.10982832303882972</c:v>
                </c:pt>
                <c:pt idx="64">
                  <c:v>0.10991116338179285</c:v>
                </c:pt>
                <c:pt idx="65">
                  <c:v>0.10999149347674653</c:v>
                </c:pt>
                <c:pt idx="66">
                  <c:v>0.11006942572007183</c:v>
                </c:pt>
                <c:pt idx="67">
                  <c:v>0.11014506589657191</c:v>
                </c:pt>
                <c:pt idx="68">
                  <c:v>0.11021851365879964</c:v>
                </c:pt>
                <c:pt idx="69">
                  <c:v>0.11028986296528553</c:v>
                </c:pt>
                <c:pt idx="70">
                  <c:v>0.11039294491514973</c:v>
                </c:pt>
                <c:pt idx="71">
                  <c:v>0.11049316357940597</c:v>
                </c:pt>
                <c:pt idx="72">
                  <c:v>0.11059063662302027</c:v>
                </c:pt>
                <c:pt idx="73">
                  <c:v>0.11068547535115769</c:v>
                </c:pt>
                <c:pt idx="74">
                  <c:v>0.11077778513277625</c:v>
                </c:pt>
                <c:pt idx="75">
                  <c:v>0.11086766579151419</c:v>
                </c:pt>
                <c:pt idx="76">
                  <c:v>0.1109552119651358</c:v>
                </c:pt>
                <c:pt idx="77">
                  <c:v>0.11104051343877597</c:v>
                </c:pt>
                <c:pt idx="78">
                  <c:v>0.11112365545140612</c:v>
                </c:pt>
                <c:pt idx="79">
                  <c:v>0.11120471898016238</c:v>
                </c:pt>
                <c:pt idx="80">
                  <c:v>0.11128378100351277</c:v>
                </c:pt>
                <c:pt idx="81">
                  <c:v>0.11136091474506227</c:v>
                </c:pt>
                <c:pt idx="82">
                  <c:v>0.11143618989950532</c:v>
                </c:pt>
                <c:pt idx="83">
                  <c:v>0.11150967284301316</c:v>
                </c:pt>
                <c:pt idx="84">
                  <c:v>0.11158142682803351</c:v>
                </c:pt>
                <c:pt idx="85">
                  <c:v>0.11165151216545599</c:v>
                </c:pt>
                <c:pt idx="86">
                  <c:v>0.11171998639305514</c:v>
                </c:pt>
                <c:pt idx="87">
                  <c:v>0.11178690443347516</c:v>
                </c:pt>
                <c:pt idx="88">
                  <c:v>0.11185231874091262</c:v>
                </c:pt>
                <c:pt idx="89">
                  <c:v>0.11191627943840654</c:v>
                </c:pt>
                <c:pt idx="90">
                  <c:v>0.11197883444582502</c:v>
                </c:pt>
                <c:pt idx="91">
                  <c:v>0.11204002959959181</c:v>
                </c:pt>
                <c:pt idx="92">
                  <c:v>0.1121532257515101</c:v>
                </c:pt>
                <c:pt idx="93">
                  <c:v>0.11226401359856197</c:v>
                </c:pt>
                <c:pt idx="94">
                  <c:v>0.11237246918860411</c:v>
                </c:pt>
                <c:pt idx="95">
                  <c:v>0.11247866540111673</c:v>
                </c:pt>
                <c:pt idx="96">
                  <c:v>0.11258267211016193</c:v>
                </c:pt>
                <c:pt idx="97">
                  <c:v>0.11268455633810515</c:v>
                </c:pt>
                <c:pt idx="98">
                  <c:v>0.11278438239932242</c:v>
                </c:pt>
                <c:pt idx="99">
                  <c:v>0.11288221203591409</c:v>
                </c:pt>
                <c:pt idx="100">
                  <c:v>0.11297810454471424</c:v>
                </c:pt>
                <c:pt idx="101">
                  <c:v>0.11307211689750574</c:v>
                </c:pt>
                <c:pt idx="102">
                  <c:v>0.11316430385337473</c:v>
                </c:pt>
                <c:pt idx="103">
                  <c:v>0.11325471806566956</c:v>
                </c:pt>
                <c:pt idx="104">
                  <c:v>0.11334341018176541</c:v>
                </c:pt>
                <c:pt idx="105">
                  <c:v>0.11343042893814381</c:v>
                </c:pt>
                <c:pt idx="106">
                  <c:v>0.11351582124918824</c:v>
                </c:pt>
                <c:pt idx="107">
                  <c:v>0.11359963229204961</c:v>
                </c:pt>
                <c:pt idx="108">
                  <c:v>0.11368190558578295</c:v>
                </c:pt>
                <c:pt idx="109">
                  <c:v>0.11376268306719783</c:v>
                </c:pt>
                <c:pt idx="110">
                  <c:v>0.11384200516197929</c:v>
                </c:pt>
                <c:pt idx="111">
                  <c:v>0.11391991085192288</c:v>
                </c:pt>
                <c:pt idx="112">
                  <c:v>0.11399739944124576</c:v>
                </c:pt>
                <c:pt idx="113">
                  <c:v>0.11407352864010178</c:v>
                </c:pt>
                <c:pt idx="114">
                  <c:v>0.1141483339092586</c:v>
                </c:pt>
                <c:pt idx="115">
                  <c:v>0.11422184948686187</c:v>
                </c:pt>
                <c:pt idx="116">
                  <c:v>0.1142941084405269</c:v>
                </c:pt>
                <c:pt idx="117">
                  <c:v>0.11436514271698783</c:v>
                </c:pt>
                <c:pt idx="118">
                  <c:v>0.11443498318923773</c:v>
                </c:pt>
                <c:pt idx="119">
                  <c:v>0.11450365970104848</c:v>
                </c:pt>
                <c:pt idx="120">
                  <c:v>0.11457120110991426</c:v>
                </c:pt>
                <c:pt idx="121">
                  <c:v>0.11463763532701954</c:v>
                </c:pt>
                <c:pt idx="122">
                  <c:v>0.11470298935591927</c:v>
                </c:pt>
                <c:pt idx="123">
                  <c:v>0.11476728932928726</c:v>
                </c:pt>
                <c:pt idx="124">
                  <c:v>0.11483056054333307</c:v>
                </c:pt>
                <c:pt idx="125">
                  <c:v>0.11489282749150842</c:v>
                </c:pt>
                <c:pt idx="126">
                  <c:v>0.1149541138955712</c:v>
                </c:pt>
                <c:pt idx="127">
                  <c:v>0.11501444273622763</c:v>
                </c:pt>
                <c:pt idx="128">
                  <c:v>0.11507383628153178</c:v>
                </c:pt>
                <c:pt idx="129">
                  <c:v>0.11513231611439689</c:v>
                </c:pt>
                <c:pt idx="130">
                  <c:v>0.11518990315881883</c:v>
                </c:pt>
                <c:pt idx="131">
                  <c:v>0.11526540332724711</c:v>
                </c:pt>
                <c:pt idx="132">
                  <c:v>0.115339768210454</c:v>
                </c:pt>
                <c:pt idx="133">
                  <c:v>0.11541302322399805</c:v>
                </c:pt>
                <c:pt idx="134">
                  <c:v>0.11548519303055116</c:v>
                </c:pt>
                <c:pt idx="135">
                  <c:v>0.11555630156725449</c:v>
                </c:pt>
                <c:pt idx="136">
                  <c:v>0.11562637207258586</c:v>
                </c:pt>
                <c:pt idx="137">
                  <c:v>0.11569542711129532</c:v>
                </c:pt>
                <c:pt idx="138">
                  <c:v>0.11576348859896335</c:v>
                </c:pt>
                <c:pt idx="139">
                  <c:v>0.11583057782489359</c:v>
                </c:pt>
                <c:pt idx="140">
                  <c:v>0.11589671547469482</c:v>
                </c:pt>
                <c:pt idx="141">
                  <c:v>0.11596192165095331</c:v>
                </c:pt>
                <c:pt idx="142">
                  <c:v>0.11602621589434925</c:v>
                </c:pt>
                <c:pt idx="143">
                  <c:v>0.11608961720264155</c:v>
                </c:pt>
                <c:pt idx="144">
                  <c:v>0.11615214404936403</c:v>
                </c:pt>
                <c:pt idx="145">
                  <c:v>0.11621381440227729</c:v>
                </c:pt>
                <c:pt idx="146">
                  <c:v>0.11627464573991109</c:v>
                </c:pt>
                <c:pt idx="147">
                  <c:v>0.1163346550686839</c:v>
                </c:pt>
                <c:pt idx="148">
                  <c:v>0.1163938589383573</c:v>
                </c:pt>
                <c:pt idx="149">
                  <c:v>0.11645227345742359</c:v>
                </c:pt>
                <c:pt idx="150">
                  <c:v>0.11650991430764979</c:v>
                </c:pt>
                <c:pt idx="151">
                  <c:v>0.11656595780671353</c:v>
                </c:pt>
                <c:pt idx="152">
                  <c:v>0.11662126874174561</c:v>
                </c:pt>
                <c:pt idx="153">
                  <c:v>0.11667586138293107</c:v>
                </c:pt>
                <c:pt idx="154">
                  <c:v>0.11672974963214955</c:v>
                </c:pt>
                <c:pt idx="155">
                  <c:v>0.1167829470348325</c:v>
                </c:pt>
                <c:pt idx="156">
                  <c:v>0.11683546679128742</c:v>
                </c:pt>
                <c:pt idx="157">
                  <c:v>0.11688732176777794</c:v>
                </c:pt>
                <c:pt idx="158">
                  <c:v>0.1169385245067156</c:v>
                </c:pt>
                <c:pt idx="159">
                  <c:v>0.11698908723718482</c:v>
                </c:pt>
                <c:pt idx="160">
                  <c:v>0.11703902188420212</c:v>
                </c:pt>
                <c:pt idx="161">
                  <c:v>0.11708834007855273</c:v>
                </c:pt>
                <c:pt idx="162">
                  <c:v>0.11713705316553913</c:v>
                </c:pt>
                <c:pt idx="163">
                  <c:v>0.1171851722137518</c:v>
                </c:pt>
                <c:pt idx="164">
                  <c:v>0.11723270802348473</c:v>
                </c:pt>
                <c:pt idx="165">
                  <c:v>0.11727967113481785</c:v>
                </c:pt>
                <c:pt idx="166">
                  <c:v>0.11732607183525534</c:v>
                </c:pt>
                <c:pt idx="167">
                  <c:v>0.11737192016754161</c:v>
                </c:pt>
                <c:pt idx="168">
                  <c:v>0.11741722593667792</c:v>
                </c:pt>
                <c:pt idx="169">
                  <c:v>0.11746199871687235</c:v>
                </c:pt>
                <c:pt idx="170">
                  <c:v>0.11750624785851205</c:v>
                </c:pt>
                <c:pt idx="171">
                  <c:v>0.1175499824944799</c:v>
                </c:pt>
                <c:pt idx="172">
                  <c:v>0.11760658682156144</c:v>
                </c:pt>
                <c:pt idx="173">
                  <c:v>0.11766254055562975</c:v>
                </c:pt>
                <c:pt idx="174">
                  <c:v>0.1177178548491753</c:v>
                </c:pt>
                <c:pt idx="175">
                  <c:v>0.11777254060125752</c:v>
                </c:pt>
                <c:pt idx="176">
                  <c:v>0.11782660846462178</c:v>
                </c:pt>
                <c:pt idx="177">
                  <c:v>0.11788006885262714</c:v>
                </c:pt>
                <c:pt idx="178">
                  <c:v>0.1179329319458855</c:v>
                </c:pt>
                <c:pt idx="179">
                  <c:v>0.11798520769890075</c:v>
                </c:pt>
                <c:pt idx="180">
                  <c:v>0.11803690584617499</c:v>
                </c:pt>
                <c:pt idx="181">
                  <c:v>0.1180880359081371</c:v>
                </c:pt>
                <c:pt idx="182">
                  <c:v>0.11813860719733782</c:v>
                </c:pt>
                <c:pt idx="183">
                  <c:v>0.11818862882371217</c:v>
                </c:pt>
                <c:pt idx="184">
                  <c:v>0.11823810970030824</c:v>
                </c:pt>
                <c:pt idx="185">
                  <c:v>0.118287058548594</c:v>
                </c:pt>
                <c:pt idx="186">
                  <c:v>0.11833548390332016</c:v>
                </c:pt>
                <c:pt idx="187">
                  <c:v>0.11838339411776033</c:v>
                </c:pt>
                <c:pt idx="188">
                  <c:v>0.11843079736832962</c:v>
                </c:pt>
                <c:pt idx="189">
                  <c:v>0.11847770165940297</c:v>
                </c:pt>
                <c:pt idx="190">
                  <c:v>0.11852411482773384</c:v>
                </c:pt>
                <c:pt idx="191">
                  <c:v>0.11857004454669728</c:v>
                </c:pt>
                <c:pt idx="192">
                  <c:v>0.11861169798348392</c:v>
                </c:pt>
                <c:pt idx="193">
                  <c:v>0.11865292202046795</c:v>
                </c:pt>
                <c:pt idx="194">
                  <c:v>0.1186937232635632</c:v>
                </c:pt>
                <c:pt idx="195">
                  <c:v>0.11873410818379337</c:v>
                </c:pt>
                <c:pt idx="196">
                  <c:v>0.11877408312086501</c:v>
                </c:pt>
                <c:pt idx="197">
                  <c:v>0.11881365428640933</c:v>
                </c:pt>
                <c:pt idx="198">
                  <c:v>0.11885282776720185</c:v>
                </c:pt>
                <c:pt idx="199">
                  <c:v>0.11889160952829325</c:v>
                </c:pt>
                <c:pt idx="200">
                  <c:v>0.11893000541600696</c:v>
                </c:pt>
                <c:pt idx="201">
                  <c:v>0.11896802116098115</c:v>
                </c:pt>
                <c:pt idx="202">
                  <c:v>0.11900566238076671</c:v>
                </c:pt>
                <c:pt idx="203">
                  <c:v>0.1190429345829136</c:v>
                </c:pt>
                <c:pt idx="204">
                  <c:v>0.1190798431675244</c:v>
                </c:pt>
                <c:pt idx="205">
                  <c:v>0.11911639342976343</c:v>
                </c:pt>
                <c:pt idx="206">
                  <c:v>0.11915259056252125</c:v>
                </c:pt>
                <c:pt idx="207">
                  <c:v>0.11918843965881276</c:v>
                </c:pt>
                <c:pt idx="208">
                  <c:v>0.11922394571421968</c:v>
                </c:pt>
                <c:pt idx="209">
                  <c:v>0.11925911362913322</c:v>
                </c:pt>
                <c:pt idx="210">
                  <c:v>0.11929394821101891</c:v>
                </c:pt>
                <c:pt idx="211">
                  <c:v>0.11932845417674809</c:v>
                </c:pt>
                <c:pt idx="212">
                  <c:v>0.11936263615455189</c:v>
                </c:pt>
                <c:pt idx="213">
                  <c:v>0.11939649868610847</c:v>
                </c:pt>
                <c:pt idx="214">
                  <c:v>0.11943004622865261</c:v>
                </c:pt>
                <c:pt idx="215">
                  <c:v>0.1194607405019088</c:v>
                </c:pt>
                <c:pt idx="216">
                  <c:v>0.11949115188787385</c:v>
                </c:pt>
                <c:pt idx="217">
                  <c:v>0.11952128427945574</c:v>
                </c:pt>
                <c:pt idx="218">
                  <c:v>0.11955114149828638</c:v>
                </c:pt>
                <c:pt idx="219">
                  <c:v>0.11958072729667535</c:v>
                </c:pt>
                <c:pt idx="220">
                  <c:v>0.11961004535885333</c:v>
                </c:pt>
                <c:pt idx="221">
                  <c:v>0.11963909930285954</c:v>
                </c:pt>
                <c:pt idx="222">
                  <c:v>0.11966789268169631</c:v>
                </c:pt>
                <c:pt idx="223">
                  <c:v>0.11969642898495003</c:v>
                </c:pt>
                <c:pt idx="224">
                  <c:v>0.11972471164019005</c:v>
                </c:pt>
                <c:pt idx="225">
                  <c:v>0.11975274401434532</c:v>
                </c:pt>
                <c:pt idx="226">
                  <c:v>0.11978052941494788</c:v>
                </c:pt>
                <c:pt idx="227">
                  <c:v>0.1198080710916205</c:v>
                </c:pt>
                <c:pt idx="228">
                  <c:v>0.11983537223707597</c:v>
                </c:pt>
                <c:pt idx="229">
                  <c:v>0.11986243598862689</c:v>
                </c:pt>
                <c:pt idx="230">
                  <c:v>0.11988926542920719</c:v>
                </c:pt>
                <c:pt idx="231">
                  <c:v>0.1199158635885933</c:v>
                </c:pt>
                <c:pt idx="232">
                  <c:v>0.11994223344458099</c:v>
                </c:pt>
                <c:pt idx="233">
                  <c:v>0.11996837792405124</c:v>
                </c:pt>
                <c:pt idx="234">
                  <c:v>0.11999429990403598</c:v>
                </c:pt>
                <c:pt idx="235">
                  <c:v>0.12002000221285059</c:v>
                </c:pt>
                <c:pt idx="236">
                  <c:v>0.12005117690565559</c:v>
                </c:pt>
                <c:pt idx="237">
                  <c:v>0.12008208963578682</c:v>
                </c:pt>
                <c:pt idx="238">
                  <c:v>0.12011274369145841</c:v>
                </c:pt>
                <c:pt idx="239">
                  <c:v>0.12014314230592849</c:v>
                </c:pt>
                <c:pt idx="240">
                  <c:v>0.12017328865885357</c:v>
                </c:pt>
                <c:pt idx="241">
                  <c:v>0.12020318587731005</c:v>
                </c:pt>
                <c:pt idx="242">
                  <c:v>0.12023283703692655</c:v>
                </c:pt>
                <c:pt idx="243">
                  <c:v>0.12026224516297201</c:v>
                </c:pt>
                <c:pt idx="244">
                  <c:v>0.12029141323119941</c:v>
                </c:pt>
                <c:pt idx="245">
                  <c:v>0.12032034416906701</c:v>
                </c:pt>
                <c:pt idx="246">
                  <c:v>0.12034904085653775</c:v>
                </c:pt>
                <c:pt idx="247">
                  <c:v>0.12037750612727827</c:v>
                </c:pt>
                <c:pt idx="248">
                  <c:v>0.12040574276930283</c:v>
                </c:pt>
                <c:pt idx="249">
                  <c:v>0.12043375352603913</c:v>
                </c:pt>
                <c:pt idx="250">
                  <c:v>0.12046154109723872</c:v>
                </c:pt>
                <c:pt idx="251">
                  <c:v>0.12048910813977631</c:v>
                </c:pt>
                <c:pt idx="252">
                  <c:v>0.1205164572685602</c:v>
                </c:pt>
                <c:pt idx="253">
                  <c:v>0.12054359105722057</c:v>
                </c:pt>
                <c:pt idx="254">
                  <c:v>0.12057051203913094</c:v>
                </c:pt>
                <c:pt idx="255">
                  <c:v>0.12059722270805207</c:v>
                </c:pt>
                <c:pt idx="256">
                  <c:v>0.12062372551886469</c:v>
                </c:pt>
                <c:pt idx="257">
                  <c:v>0.12065002288847992</c:v>
                </c:pt>
                <c:pt idx="258">
                  <c:v>0.12067333285448179</c:v>
                </c:pt>
                <c:pt idx="259">
                  <c:v>0.12069646351844376</c:v>
                </c:pt>
                <c:pt idx="260">
                  <c:v>0.12071941694120625</c:v>
                </c:pt>
                <c:pt idx="261">
                  <c:v>0.12074219515221252</c:v>
                </c:pt>
                <c:pt idx="262">
                  <c:v>0.12076480015001945</c:v>
                </c:pt>
                <c:pt idx="263">
                  <c:v>0.12078723390285262</c:v>
                </c:pt>
                <c:pt idx="264">
                  <c:v>0.12080949834933907</c:v>
                </c:pt>
                <c:pt idx="265">
                  <c:v>0.12083159539886257</c:v>
                </c:pt>
                <c:pt idx="266">
                  <c:v>0.12085352693222973</c:v>
                </c:pt>
                <c:pt idx="267">
                  <c:v>0.12087529480220294</c:v>
                </c:pt>
                <c:pt idx="268">
                  <c:v>0.12089690083394444</c:v>
                </c:pt>
                <c:pt idx="269">
                  <c:v>0.12091834682561586</c:v>
                </c:pt>
                <c:pt idx="270">
                  <c:v>0.12093963454884449</c:v>
                </c:pt>
                <c:pt idx="271">
                  <c:v>0.12096076574916736</c:v>
                </c:pt>
                <c:pt idx="272">
                  <c:v>0.12098174214656421</c:v>
                </c:pt>
                <c:pt idx="273">
                  <c:v>0.12100256543592369</c:v>
                </c:pt>
                <c:pt idx="274">
                  <c:v>0.12102323728744313</c:v>
                </c:pt>
                <c:pt idx="275">
                  <c:v>0.12104375934718359</c:v>
                </c:pt>
                <c:pt idx="276">
                  <c:v>0.12106413323735854</c:v>
                </c:pt>
                <c:pt idx="277">
                  <c:v>0.12108436055691119</c:v>
                </c:pt>
                <c:pt idx="278">
                  <c:v>0.1211044428817587</c:v>
                </c:pt>
                <c:pt idx="279">
                  <c:v>0.12112438176543616</c:v>
                </c:pt>
                <c:pt idx="280">
                  <c:v>0.12114417873929639</c:v>
                </c:pt>
                <c:pt idx="281">
                  <c:v>0.12116383531290964</c:v>
                </c:pt>
                <c:pt idx="282">
                  <c:v>0.12118335297466309</c:v>
                </c:pt>
                <c:pt idx="283">
                  <c:v>0.12120273319187191</c:v>
                </c:pt>
                <c:pt idx="284">
                  <c:v>0.12122197741124552</c:v>
                </c:pt>
                <c:pt idx="285">
                  <c:v>0.12124108705933168</c:v>
                </c:pt>
                <c:pt idx="286">
                  <c:v>0.12126006354271635</c:v>
                </c:pt>
                <c:pt idx="287">
                  <c:v>0.12127890824855658</c:v>
                </c:pt>
                <c:pt idx="288">
                  <c:v>0.12129762254473597</c:v>
                </c:pt>
                <c:pt idx="289">
                  <c:v>0.12131620778019769</c:v>
                </c:pt>
                <c:pt idx="290">
                  <c:v>0.12133466528554404</c:v>
                </c:pt>
                <c:pt idx="291">
                  <c:v>0.12135299637299202</c:v>
                </c:pt>
                <c:pt idx="292">
                  <c:v>0.12137120233686183</c:v>
                </c:pt>
                <c:pt idx="293">
                  <c:v>0.12138928445393216</c:v>
                </c:pt>
                <c:pt idx="294">
                  <c:v>0.1214072439836178</c:v>
                </c:pt>
                <c:pt idx="295">
                  <c:v>0.12142508216832493</c:v>
                </c:pt>
                <c:pt idx="296">
                  <c:v>0.12144280023367315</c:v>
                </c:pt>
                <c:pt idx="297">
                  <c:v>0.12146039938898401</c:v>
                </c:pt>
                <c:pt idx="298">
                  <c:v>0.12147788082723654</c:v>
                </c:pt>
                <c:pt idx="299">
                  <c:v>0.12149524572560022</c:v>
                </c:pt>
                <c:pt idx="300">
                  <c:v>0.12151249524554597</c:v>
                </c:pt>
                <c:pt idx="301">
                  <c:v>0.12152963053320143</c:v>
                </c:pt>
                <c:pt idx="302">
                  <c:v>0.12154665271955079</c:v>
                </c:pt>
                <c:pt idx="303">
                  <c:v>0.12156356292070125</c:v>
                </c:pt>
                <c:pt idx="304">
                  <c:v>0.12158036223812729</c:v>
                </c:pt>
                <c:pt idx="305">
                  <c:v>0.12159705175887048</c:v>
                </c:pt>
                <c:pt idx="306">
                  <c:v>0.12161363255585034</c:v>
                </c:pt>
                <c:pt idx="307">
                  <c:v>0.121630105688042</c:v>
                </c:pt>
                <c:pt idx="308">
                  <c:v>0.12164647220069824</c:v>
                </c:pt>
                <c:pt idx="309">
                  <c:v>0.12166273312559372</c:v>
                </c:pt>
                <c:pt idx="310">
                  <c:v>0.12167888948126926</c:v>
                </c:pt>
                <c:pt idx="311">
                  <c:v>0.12169494227312061</c:v>
                </c:pt>
                <c:pt idx="312">
                  <c:v>0.12171089249377598</c:v>
                </c:pt>
                <c:pt idx="313">
                  <c:v>0.12172674112320703</c:v>
                </c:pt>
                <c:pt idx="314">
                  <c:v>0.12174248912883989</c:v>
                </c:pt>
                <c:pt idx="315">
                  <c:v>0.1217581374660659</c:v>
                </c:pt>
                <c:pt idx="316">
                  <c:v>0.1217736870780195</c:v>
                </c:pt>
                <c:pt idx="317">
                  <c:v>0.1217891388960668</c:v>
                </c:pt>
                <c:pt idx="318">
                  <c:v>0.12180449383984993</c:v>
                </c:pt>
                <c:pt idx="319">
                  <c:v>0.12181975281759794</c:v>
                </c:pt>
                <c:pt idx="320">
                  <c:v>0.12183491672612679</c:v>
                </c:pt>
                <c:pt idx="321">
                  <c:v>0.1218499864511724</c:v>
                </c:pt>
                <c:pt idx="322">
                  <c:v>0.12186437175945031</c:v>
                </c:pt>
                <c:pt idx="323">
                  <c:v>0.1218786682715578</c:v>
                </c:pt>
                <c:pt idx="324">
                  <c:v>0.12189287680719474</c:v>
                </c:pt>
                <c:pt idx="325">
                  <c:v>0.12190699817586914</c:v>
                </c:pt>
                <c:pt idx="326">
                  <c:v>0.12192103317731906</c:v>
                </c:pt>
                <c:pt idx="327">
                  <c:v>0.12193498260142377</c:v>
                </c:pt>
                <c:pt idx="328">
                  <c:v>0.12194884722851462</c:v>
                </c:pt>
                <c:pt idx="329">
                  <c:v>0.12196262782948608</c:v>
                </c:pt>
                <c:pt idx="330">
                  <c:v>0.12197632516586232</c:v>
                </c:pt>
                <c:pt idx="331">
                  <c:v>0.12198993998999708</c:v>
                </c:pt>
                <c:pt idx="332">
                  <c:v>0.12200347304527348</c:v>
                </c:pt>
                <c:pt idx="333">
                  <c:v>0.12201692506608186</c:v>
                </c:pt>
                <c:pt idx="334">
                  <c:v>0.12203029677810839</c:v>
                </c:pt>
                <c:pt idx="335">
                  <c:v>0.12204358889842393</c:v>
                </c:pt>
                <c:pt idx="336">
                  <c:v>0.12205680213548398</c:v>
                </c:pt>
                <c:pt idx="337">
                  <c:v>0.12206993718941739</c:v>
                </c:pt>
                <c:pt idx="338">
                  <c:v>0.12208299475211515</c:v>
                </c:pt>
                <c:pt idx="339">
                  <c:v>0.12209597550731921</c:v>
                </c:pt>
                <c:pt idx="340">
                  <c:v>0.12210888013075571</c:v>
                </c:pt>
                <c:pt idx="341">
                  <c:v>0.1221217092901572</c:v>
                </c:pt>
                <c:pt idx="342">
                  <c:v>0.12213446364561786</c:v>
                </c:pt>
                <c:pt idx="343">
                  <c:v>0.12214714384948255</c:v>
                </c:pt>
                <c:pt idx="344">
                  <c:v>0.12215975054647998</c:v>
                </c:pt>
                <c:pt idx="345">
                  <c:v>0.12217228437396699</c:v>
                </c:pt>
                <c:pt idx="346">
                  <c:v>0.12218474596192852</c:v>
                </c:pt>
                <c:pt idx="347">
                  <c:v>0.12219713593313308</c:v>
                </c:pt>
                <c:pt idx="348">
                  <c:v>0.12220945490315493</c:v>
                </c:pt>
                <c:pt idx="349">
                  <c:v>0.12222170348052952</c:v>
                </c:pt>
                <c:pt idx="350">
                  <c:v>0.1222338822669311</c:v>
                </c:pt>
                <c:pt idx="351">
                  <c:v>0.12224599185719498</c:v>
                </c:pt>
                <c:pt idx="352">
                  <c:v>0.12225803283929526</c:v>
                </c:pt>
                <c:pt idx="353">
                  <c:v>0.12227000579470015</c:v>
                </c:pt>
                <c:pt idx="354">
                  <c:v>0.12228191129826094</c:v>
                </c:pt>
                <c:pt idx="355">
                  <c:v>0.12229374991834518</c:v>
                </c:pt>
                <c:pt idx="356">
                  <c:v>0.12230552221705882</c:v>
                </c:pt>
                <c:pt idx="357">
                  <c:v>0.12231722875006845</c:v>
                </c:pt>
                <c:pt idx="358">
                  <c:v>0.12232887006702331</c:v>
                </c:pt>
                <c:pt idx="359">
                  <c:v>0.12234044671131095</c:v>
                </c:pt>
                <c:pt idx="360">
                  <c:v>0.12235195922041253</c:v>
                </c:pt>
                <c:pt idx="361">
                  <c:v>0.12236340812576962</c:v>
                </c:pt>
                <c:pt idx="362">
                  <c:v>0.12237479395309503</c:v>
                </c:pt>
                <c:pt idx="363">
                  <c:v>0.12238611722219517</c:v>
                </c:pt>
                <c:pt idx="364">
                  <c:v>0.12239737844723653</c:v>
                </c:pt>
                <c:pt idx="365">
                  <c:v>0.12240857813681227</c:v>
                </c:pt>
                <c:pt idx="366">
                  <c:v>0.12241971679389785</c:v>
                </c:pt>
                <c:pt idx="367">
                  <c:v>0.1224307949160286</c:v>
                </c:pt>
                <c:pt idx="368">
                  <c:v>0.12244181299534418</c:v>
                </c:pt>
                <c:pt idx="369">
                  <c:v>0.1224527715186996</c:v>
                </c:pt>
                <c:pt idx="370">
                  <c:v>0.12246367096762079</c:v>
                </c:pt>
                <c:pt idx="371">
                  <c:v>0.12247451181852664</c:v>
                </c:pt>
                <c:pt idx="372">
                  <c:v>0.12248529454272905</c:v>
                </c:pt>
                <c:pt idx="373">
                  <c:v>0.12249601960645506</c:v>
                </c:pt>
                <c:pt idx="374">
                  <c:v>0.12250668747098015</c:v>
                </c:pt>
                <c:pt idx="375">
                  <c:v>0.12251729859267257</c:v>
                </c:pt>
                <c:pt idx="376">
                  <c:v>0.12252785342306005</c:v>
                </c:pt>
                <c:pt idx="377">
                  <c:v>0.12253835240887412</c:v>
                </c:pt>
                <c:pt idx="378">
                  <c:v>0.12254879599218338</c:v>
                </c:pt>
                <c:pt idx="379">
                  <c:v>0.12255918461034909</c:v>
                </c:pt>
                <c:pt idx="380">
                  <c:v>0.12256951869613619</c:v>
                </c:pt>
                <c:pt idx="381">
                  <c:v>0.12257979867780211</c:v>
                </c:pt>
                <c:pt idx="382">
                  <c:v>0.12259002497918559</c:v>
                </c:pt>
                <c:pt idx="383">
                  <c:v>0.12259457306109667</c:v>
                </c:pt>
                <c:pt idx="384">
                  <c:v>0.12259909751686227</c:v>
                </c:pt>
                <c:pt idx="385">
                  <c:v>0.12260359853002445</c:v>
                </c:pt>
                <c:pt idx="386">
                  <c:v>0.12260807628232673</c:v>
                </c:pt>
                <c:pt idx="387">
                  <c:v>0.12261253095364744</c:v>
                </c:pt>
                <c:pt idx="388">
                  <c:v>0.12261696272195532</c:v>
                </c:pt>
                <c:pt idx="389">
                  <c:v>0.12262137176344279</c:v>
                </c:pt>
                <c:pt idx="390">
                  <c:v>0.12262575825248145</c:v>
                </c:pt>
                <c:pt idx="391">
                  <c:v>0.12263012236166659</c:v>
                </c:pt>
                <c:pt idx="392">
                  <c:v>0.12263446426183933</c:v>
                </c:pt>
                <c:pt idx="393">
                  <c:v>0.12263878412208662</c:v>
                </c:pt>
                <c:pt idx="394">
                  <c:v>0.1226430821098301</c:v>
                </c:pt>
                <c:pt idx="395">
                  <c:v>0.12264735839073726</c:v>
                </c:pt>
                <c:pt idx="396">
                  <c:v>0.12265161312885464</c:v>
                </c:pt>
                <c:pt idx="397">
                  <c:v>0.12265584648654126</c:v>
                </c:pt>
                <c:pt idx="398">
                  <c:v>0.12266005862457963</c:v>
                </c:pt>
                <c:pt idx="399">
                  <c:v>0.12266424970208689</c:v>
                </c:pt>
                <c:pt idx="400">
                  <c:v>0.12266841987667032</c:v>
                </c:pt>
                <c:pt idx="401">
                  <c:v>0.12267256930424963</c:v>
                </c:pt>
                <c:pt idx="402">
                  <c:v>0.12267669813932347</c:v>
                </c:pt>
                <c:pt idx="403">
                  <c:v>0.12268080653479174</c:v>
                </c:pt>
                <c:pt idx="404">
                  <c:v>0.12268489464206667</c:v>
                </c:pt>
                <c:pt idx="405">
                  <c:v>0.12268896261105056</c:v>
                </c:pt>
                <c:pt idx="406">
                  <c:v>0.12269301059013582</c:v>
                </c:pt>
                <c:pt idx="407">
                  <c:v>0.12269703872640481</c:v>
                </c:pt>
                <c:pt idx="408">
                  <c:v>0.12270104716531893</c:v>
                </c:pt>
                <c:pt idx="409">
                  <c:v>0.12270503605100735</c:v>
                </c:pt>
                <c:pt idx="410">
                  <c:v>0.12270900552626696</c:v>
                </c:pt>
                <c:pt idx="411">
                  <c:v>0.12271295573234031</c:v>
                </c:pt>
                <c:pt idx="412">
                  <c:v>0.12271688680927095</c:v>
                </c:pt>
                <c:pt idx="413">
                  <c:v>0.12272079889563692</c:v>
                </c:pt>
                <c:pt idx="414">
                  <c:v>0.12272469212872839</c:v>
                </c:pt>
                <c:pt idx="415">
                  <c:v>0.12272856664450327</c:v>
                </c:pt>
                <c:pt idx="416">
                  <c:v>0.12273242257763162</c:v>
                </c:pt>
                <c:pt idx="417">
                  <c:v>0.12273626006142901</c:v>
                </c:pt>
                <c:pt idx="418">
                  <c:v>0.1227400792280342</c:v>
                </c:pt>
                <c:pt idx="419">
                  <c:v>0.12274388020829807</c:v>
                </c:pt>
                <c:pt idx="420">
                  <c:v>0.12274766313178365</c:v>
                </c:pt>
                <c:pt idx="421">
                  <c:v>0.12275142812687712</c:v>
                </c:pt>
                <c:pt idx="422">
                  <c:v>0.12275517532069902</c:v>
                </c:pt>
                <c:pt idx="423">
                  <c:v>0.12275890483921525</c:v>
                </c:pt>
                <c:pt idx="424">
                  <c:v>0.1227626168072149</c:v>
                </c:pt>
                <c:pt idx="425">
                  <c:v>0.12276631134824356</c:v>
                </c:pt>
                <c:pt idx="426">
                  <c:v>0.12276998858478105</c:v>
                </c:pt>
                <c:pt idx="427">
                  <c:v>0.12277364863808593</c:v>
                </c:pt>
                <c:pt idx="428">
                  <c:v>0.12277729162837314</c:v>
                </c:pt>
                <c:pt idx="429">
                  <c:v>0.12278091767463639</c:v>
                </c:pt>
                <c:pt idx="430">
                  <c:v>0.12278452689482577</c:v>
                </c:pt>
                <c:pt idx="431">
                  <c:v>0.12278811940578116</c:v>
                </c:pt>
                <c:pt idx="432">
                  <c:v>0.12279169532329881</c:v>
                </c:pt>
                <c:pt idx="433">
                  <c:v>0.12279525476204256</c:v>
                </c:pt>
                <c:pt idx="434">
                  <c:v>0.12279879783569925</c:v>
                </c:pt>
                <c:pt idx="435">
                  <c:v>0.12280232465682328</c:v>
                </c:pt>
                <c:pt idx="436">
                  <c:v>0.12280583533703648</c:v>
                </c:pt>
                <c:pt idx="437">
                  <c:v>0.12280932998685046</c:v>
                </c:pt>
                <c:pt idx="438">
                  <c:v>0.12281280871584421</c:v>
                </c:pt>
                <c:pt idx="439">
                  <c:v>0.12281627163253095</c:v>
                </c:pt>
                <c:pt idx="440">
                  <c:v>0.12281971884453569</c:v>
                </c:pt>
                <c:pt idx="441">
                  <c:v>0.12282315045839542</c:v>
                </c:pt>
                <c:pt idx="442">
                  <c:v>0.12282656657975899</c:v>
                </c:pt>
                <c:pt idx="443">
                  <c:v>0.12282996731330909</c:v>
                </c:pt>
                <c:pt idx="444">
                  <c:v>0.12282926411910644</c:v>
                </c:pt>
                <c:pt idx="445">
                  <c:v>0.12282856407825893</c:v>
                </c:pt>
                <c:pt idx="446">
                  <c:v>0.12282786716959482</c:v>
                </c:pt>
                <c:pt idx="447">
                  <c:v>0.12282717337213089</c:v>
                </c:pt>
                <c:pt idx="448">
                  <c:v>0.12282648266508378</c:v>
                </c:pt>
                <c:pt idx="449">
                  <c:v>0.12282579502784774</c:v>
                </c:pt>
                <c:pt idx="450">
                  <c:v>0.12282511044001687</c:v>
                </c:pt>
                <c:pt idx="451">
                  <c:v>0.12282442888134071</c:v>
                </c:pt>
                <c:pt idx="452">
                  <c:v>0.12282375033174642</c:v>
                </c:pt>
                <c:pt idx="453">
                  <c:v>0.12282307477136101</c:v>
                </c:pt>
                <c:pt idx="454">
                  <c:v>0.12282240218048912</c:v>
                </c:pt>
                <c:pt idx="455">
                  <c:v>0.12282173253956863</c:v>
                </c:pt>
                <c:pt idx="456">
                  <c:v>0.12282106582925945</c:v>
                </c:pt>
                <c:pt idx="457">
                  <c:v>0.12282040203035471</c:v>
                </c:pt>
                <c:pt idx="458">
                  <c:v>0.12281974112380301</c:v>
                </c:pt>
                <c:pt idx="459">
                  <c:v>0.12281908309077494</c:v>
                </c:pt>
                <c:pt idx="460">
                  <c:v>0.12281842791257436</c:v>
                </c:pt>
                <c:pt idx="461">
                  <c:v>0.12281777557061613</c:v>
                </c:pt>
                <c:pt idx="462">
                  <c:v>0.12281712604658157</c:v>
                </c:pt>
                <c:pt idx="463">
                  <c:v>0.12281647932221862</c:v>
                </c:pt>
                <c:pt idx="464">
                  <c:v>0.12281583537947505</c:v>
                </c:pt>
                <c:pt idx="465">
                  <c:v>0.12281519420040965</c:v>
                </c:pt>
                <c:pt idx="466">
                  <c:v>0.12281455576732547</c:v>
                </c:pt>
                <c:pt idx="467">
                  <c:v>0.12281392006256997</c:v>
                </c:pt>
                <c:pt idx="468">
                  <c:v>0.12281328706873484</c:v>
                </c:pt>
                <c:pt idx="469">
                  <c:v>0.12281265676847841</c:v>
                </c:pt>
                <c:pt idx="470">
                  <c:v>0.12281202914465883</c:v>
                </c:pt>
                <c:pt idx="471">
                  <c:v>0.12281140418026748</c:v>
                </c:pt>
                <c:pt idx="472">
                  <c:v>0.12281078185845118</c:v>
                </c:pt>
                <c:pt idx="473">
                  <c:v>0.12281016216244556</c:v>
                </c:pt>
                <c:pt idx="474">
                  <c:v>0.12280954507570829</c:v>
                </c:pt>
                <c:pt idx="475">
                  <c:v>0.12280893058178588</c:v>
                </c:pt>
                <c:pt idx="476">
                  <c:v>0.12280831866435804</c:v>
                </c:pt>
                <c:pt idx="477">
                  <c:v>0.12280770930723772</c:v>
                </c:pt>
                <c:pt idx="478">
                  <c:v>0.12280710249439331</c:v>
                </c:pt>
                <c:pt idx="479">
                  <c:v>0.1228064982099708</c:v>
                </c:pt>
                <c:pt idx="480">
                  <c:v>0.12280589643818285</c:v>
                </c:pt>
                <c:pt idx="481">
                  <c:v>0.12280529716335309</c:v>
                </c:pt>
                <c:pt idx="482">
                  <c:v>0.12280470036998281</c:v>
                </c:pt>
                <c:pt idx="483">
                  <c:v>0.12280410604275094</c:v>
                </c:pt>
                <c:pt idx="484">
                  <c:v>0.12280351416631419</c:v>
                </c:pt>
                <c:pt idx="485">
                  <c:v>0.12280292472559573</c:v>
                </c:pt>
                <c:pt idx="486">
                  <c:v>0.12280233770558535</c:v>
                </c:pt>
                <c:pt idx="487">
                  <c:v>0.12280175309140606</c:v>
                </c:pt>
                <c:pt idx="488">
                  <c:v>0.12280117086826969</c:v>
                </c:pt>
                <c:pt idx="489">
                  <c:v>0.12280059102158791</c:v>
                </c:pt>
                <c:pt idx="490">
                  <c:v>0.12280001353679459</c:v>
                </c:pt>
                <c:pt idx="491">
                  <c:v>0.12279943839950125</c:v>
                </c:pt>
                <c:pt idx="492">
                  <c:v>0.1227988655954082</c:v>
                </c:pt>
                <c:pt idx="493">
                  <c:v>0.12279829511039342</c:v>
                </c:pt>
                <c:pt idx="494">
                  <c:v>0.12279772693035707</c:v>
                </c:pt>
                <c:pt idx="495">
                  <c:v>0.12279716104137695</c:v>
                </c:pt>
                <c:pt idx="496">
                  <c:v>0.12279659742961968</c:v>
                </c:pt>
                <c:pt idx="497">
                  <c:v>0.12279603608136291</c:v>
                </c:pt>
                <c:pt idx="498">
                  <c:v>0.12279547698299531</c:v>
                </c:pt>
                <c:pt idx="499">
                  <c:v>0.12279492012103876</c:v>
                </c:pt>
                <c:pt idx="500">
                  <c:v>0.12279436548208178</c:v>
                </c:pt>
                <c:pt idx="501">
                  <c:v>0.12279381305284609</c:v>
                </c:pt>
                <c:pt idx="502">
                  <c:v>0.12279326282014225</c:v>
                </c:pt>
                <c:pt idx="503">
                  <c:v>0.12279271477091402</c:v>
                </c:pt>
                <c:pt idx="504">
                  <c:v>0.12279216889217182</c:v>
                </c:pt>
                <c:pt idx="505">
                  <c:v>0.12279162517108144</c:v>
                </c:pt>
                <c:pt idx="506">
                  <c:v>0.12279108359483093</c:v>
                </c:pt>
                <c:pt idx="507">
                  <c:v>0.12279054415076374</c:v>
                </c:pt>
                <c:pt idx="508">
                  <c:v>0.12279000682632635</c:v>
                </c:pt>
                <c:pt idx="509">
                  <c:v>0.12278458908274725</c:v>
                </c:pt>
                <c:pt idx="510">
                  <c:v>0.12277919254395364</c:v>
                </c:pt>
                <c:pt idx="511">
                  <c:v>0.12277381708563073</c:v>
                </c:pt>
                <c:pt idx="512">
                  <c:v>0.12276846258458818</c:v>
                </c:pt>
                <c:pt idx="513">
                  <c:v>0.1227631289184572</c:v>
                </c:pt>
                <c:pt idx="514">
                  <c:v>0.12275781596586821</c:v>
                </c:pt>
                <c:pt idx="515">
                  <c:v>0.12275252360638422</c:v>
                </c:pt>
                <c:pt idx="516">
                  <c:v>0.12274725172054524</c:v>
                </c:pt>
                <c:pt idx="517">
                  <c:v>0.12274200018975723</c:v>
                </c:pt>
                <c:pt idx="518">
                  <c:v>0.12273676889633656</c:v>
                </c:pt>
                <c:pt idx="519">
                  <c:v>0.12273155772355437</c:v>
                </c:pt>
                <c:pt idx="520">
                  <c:v>0.12272636655554781</c:v>
                </c:pt>
                <c:pt idx="521">
                  <c:v>0.12272119527734215</c:v>
                </c:pt>
                <c:pt idx="522">
                  <c:v>0.1227160437748287</c:v>
                </c:pt>
                <c:pt idx="523">
                  <c:v>0.1227109119348091</c:v>
                </c:pt>
                <c:pt idx="524">
                  <c:v>0.12270579964492878</c:v>
                </c:pt>
                <c:pt idx="525">
                  <c:v>0.12270070679365475</c:v>
                </c:pt>
                <c:pt idx="526">
                  <c:v>0.12269563327036437</c:v>
                </c:pt>
                <c:pt idx="527">
                  <c:v>0.12269057896521218</c:v>
                </c:pt>
                <c:pt idx="528">
                  <c:v>0.1226855437692409</c:v>
                </c:pt>
                <c:pt idx="529">
                  <c:v>0.12268052757422598</c:v>
                </c:pt>
                <c:pt idx="530">
                  <c:v>0.12267553027287548</c:v>
                </c:pt>
                <c:pt idx="531">
                  <c:v>0.12267055175860797</c:v>
                </c:pt>
                <c:pt idx="532">
                  <c:v>0.12266559192568582</c:v>
                </c:pt>
                <c:pt idx="533">
                  <c:v>0.12266065066917076</c:v>
                </c:pt>
                <c:pt idx="534">
                  <c:v>0.12265572788487944</c:v>
                </c:pt>
                <c:pt idx="535">
                  <c:v>0.12265082346942791</c:v>
                </c:pt>
                <c:pt idx="536">
                  <c:v>0.12264593732020934</c:v>
                </c:pt>
                <c:pt idx="537">
                  <c:v>0.12264106933534968</c:v>
                </c:pt>
                <c:pt idx="538">
                  <c:v>0.12263621941372982</c:v>
                </c:pt>
                <c:pt idx="539">
                  <c:v>0.12263138745502999</c:v>
                </c:pt>
                <c:pt idx="540">
                  <c:v>0.1226265733596188</c:v>
                </c:pt>
                <c:pt idx="541">
                  <c:v>0.12262177702861976</c:v>
                </c:pt>
                <c:pt idx="542">
                  <c:v>0.12261699836391138</c:v>
                </c:pt>
                <c:pt idx="543">
                  <c:v>0.12261223726803827</c:v>
                </c:pt>
                <c:pt idx="544">
                  <c:v>0.12260749364432222</c:v>
                </c:pt>
                <c:pt idx="545">
                  <c:v>0.12260276739670672</c:v>
                </c:pt>
                <c:pt idx="546">
                  <c:v>0.12259805842995686</c:v>
                </c:pt>
                <c:pt idx="547">
                  <c:v>0.122593366649415</c:v>
                </c:pt>
                <c:pt idx="548">
                  <c:v>0.1225886919612007</c:v>
                </c:pt>
                <c:pt idx="549">
                  <c:v>0.12258403427205522</c:v>
                </c:pt>
                <c:pt idx="550">
                  <c:v>0.12257939348945257</c:v>
                </c:pt>
                <c:pt idx="551">
                  <c:v>0.12257476952148849</c:v>
                </c:pt>
                <c:pt idx="552">
                  <c:v>0.12257016227694706</c:v>
                </c:pt>
                <c:pt idx="553">
                  <c:v>0.12256557166527848</c:v>
                </c:pt>
                <c:pt idx="554">
                  <c:v>0.1225609975965547</c:v>
                </c:pt>
                <c:pt idx="555">
                  <c:v>0.12255643998153598</c:v>
                </c:pt>
                <c:pt idx="556">
                  <c:v>0.12255189873155992</c:v>
                </c:pt>
                <c:pt idx="557">
                  <c:v>0.12254737375869684</c:v>
                </c:pt>
                <c:pt idx="558">
                  <c:v>0.12254286497555</c:v>
                </c:pt>
                <c:pt idx="559">
                  <c:v>0.12253837229541098</c:v>
                </c:pt>
                <c:pt idx="560">
                  <c:v>0.12253389563214867</c:v>
                </c:pt>
                <c:pt idx="561">
                  <c:v>0.12252943490029811</c:v>
                </c:pt>
                <c:pt idx="562">
                  <c:v>0.12252499001490502</c:v>
                </c:pt>
                <c:pt idx="563">
                  <c:v>0.12252056089172569</c:v>
                </c:pt>
                <c:pt idx="564">
                  <c:v>0.12251614744707151</c:v>
                </c:pt>
                <c:pt idx="565">
                  <c:v>0.12251174959778677</c:v>
                </c:pt>
                <c:pt idx="566">
                  <c:v>0.1225073672614263</c:v>
                </c:pt>
                <c:pt idx="567">
                  <c:v>0.12250300035598904</c:v>
                </c:pt>
                <c:pt idx="568">
                  <c:v>0.12249864880016226</c:v>
                </c:pt>
                <c:pt idx="569">
                  <c:v>0.12249431251312171</c:v>
                </c:pt>
                <c:pt idx="570">
                  <c:v>0.12248999141469308</c:v>
                </c:pt>
                <c:pt idx="571">
                  <c:v>0.12249183004202635</c:v>
                </c:pt>
                <c:pt idx="572">
                  <c:v>0.12249366225183245</c:v>
                </c:pt>
                <c:pt idx="573">
                  <c:v>0.12249548807767852</c:v>
                </c:pt>
                <c:pt idx="574">
                  <c:v>0.12249730755287125</c:v>
                </c:pt>
                <c:pt idx="575">
                  <c:v>0.12249912071045088</c:v>
                </c:pt>
                <c:pt idx="576">
                  <c:v>0.12250092758330222</c:v>
                </c:pt>
                <c:pt idx="577">
                  <c:v>0.12250272820402142</c:v>
                </c:pt>
                <c:pt idx="578">
                  <c:v>0.12250452260502698</c:v>
                </c:pt>
                <c:pt idx="579">
                  <c:v>0.12250631081847096</c:v>
                </c:pt>
                <c:pt idx="580">
                  <c:v>0.12250809287628339</c:v>
                </c:pt>
                <c:pt idx="581">
                  <c:v>0.12250986881023884</c:v>
                </c:pt>
                <c:pt idx="582">
                  <c:v>0.12251163865184544</c:v>
                </c:pt>
                <c:pt idx="583">
                  <c:v>0.12251340243234488</c:v>
                </c:pt>
                <c:pt idx="584">
                  <c:v>0.12251516018288999</c:v>
                </c:pt>
                <c:pt idx="585">
                  <c:v>0.12251691193427838</c:v>
                </c:pt>
                <c:pt idx="586">
                  <c:v>0.12251865771724102</c:v>
                </c:pt>
                <c:pt idx="587">
                  <c:v>0.12252039756217581</c:v>
                </c:pt>
                <c:pt idx="588">
                  <c:v>0.12252213149936964</c:v>
                </c:pt>
                <c:pt idx="589">
                  <c:v>0.12252385955882072</c:v>
                </c:pt>
                <c:pt idx="590">
                  <c:v>0.12252558177039408</c:v>
                </c:pt>
                <c:pt idx="591">
                  <c:v>0.12252729816371044</c:v>
                </c:pt>
                <c:pt idx="592">
                  <c:v>0.12252900876821293</c:v>
                </c:pt>
                <c:pt idx="593">
                  <c:v>0.12253071361314483</c:v>
                </c:pt>
                <c:pt idx="594">
                  <c:v>0.12253241272750515</c:v>
                </c:pt>
                <c:pt idx="595">
                  <c:v>0.1225341061402041</c:v>
                </c:pt>
                <c:pt idx="596">
                  <c:v>0.12253579387981883</c:v>
                </c:pt>
                <c:pt idx="597">
                  <c:v>0.12253747597485987</c:v>
                </c:pt>
                <c:pt idx="598">
                  <c:v>0.12253915245359348</c:v>
                </c:pt>
                <c:pt idx="599">
                  <c:v>0.12254082334408611</c:v>
                </c:pt>
                <c:pt idx="600">
                  <c:v>0.12254248867424877</c:v>
                </c:pt>
                <c:pt idx="601">
                  <c:v>0.12254414847179262</c:v>
                </c:pt>
                <c:pt idx="602">
                  <c:v>0.12254580276420679</c:v>
                </c:pt>
                <c:pt idx="603">
                  <c:v>0.12254745157884717</c:v>
                </c:pt>
                <c:pt idx="604">
                  <c:v>0.12254909494291422</c:v>
                </c:pt>
                <c:pt idx="605">
                  <c:v>0.12255073288336416</c:v>
                </c:pt>
                <c:pt idx="606">
                  <c:v>0.12255236542699777</c:v>
                </c:pt>
                <c:pt idx="607">
                  <c:v>0.1225539926004382</c:v>
                </c:pt>
                <c:pt idx="608">
                  <c:v>0.12255561443015317</c:v>
                </c:pt>
                <c:pt idx="609">
                  <c:v>0.12255723094241056</c:v>
                </c:pt>
                <c:pt idx="610">
                  <c:v>0.12255884216334501</c:v>
                </c:pt>
                <c:pt idx="611">
                  <c:v>0.12256044811889133</c:v>
                </c:pt>
                <c:pt idx="612">
                  <c:v>0.12256204883476229</c:v>
                </c:pt>
                <c:pt idx="613">
                  <c:v>0.12256364433664846</c:v>
                </c:pt>
                <c:pt idx="614">
                  <c:v>0.12256523464990732</c:v>
                </c:pt>
                <c:pt idx="615">
                  <c:v>0.12256681979982975</c:v>
                </c:pt>
                <c:pt idx="616">
                  <c:v>0.12256839981155121</c:v>
                </c:pt>
                <c:pt idx="617">
                  <c:v>0.12256997470996289</c:v>
                </c:pt>
                <c:pt idx="618">
                  <c:v>0.12257154451988939</c:v>
                </c:pt>
                <c:pt idx="619">
                  <c:v>0.12257310926595544</c:v>
                </c:pt>
                <c:pt idx="620">
                  <c:v>0.12257466897258595</c:v>
                </c:pt>
                <c:pt idx="621">
                  <c:v>0.12257622366409482</c:v>
                </c:pt>
                <c:pt idx="622">
                  <c:v>0.12257777336466269</c:v>
                </c:pt>
                <c:pt idx="623">
                  <c:v>0.12257931809827038</c:v>
                </c:pt>
                <c:pt idx="624">
                  <c:v>0.12258085788874329</c:v>
                </c:pt>
                <c:pt idx="625">
                  <c:v>0.12258239275977356</c:v>
                </c:pt>
                <c:pt idx="626">
                  <c:v>0.12258392273492014</c:v>
                </c:pt>
                <c:pt idx="627">
                  <c:v>0.12258544783754211</c:v>
                </c:pt>
                <c:pt idx="628">
                  <c:v>0.12258696809090974</c:v>
                </c:pt>
                <c:pt idx="629">
                  <c:v>0.12258848351811569</c:v>
                </c:pt>
                <c:pt idx="630">
                  <c:v>0.12258999414205274</c:v>
                </c:pt>
                <c:pt idx="631">
                  <c:v>0.12259278296951059</c:v>
                </c:pt>
                <c:pt idx="632">
                  <c:v>0.1225955629855946</c:v>
                </c:pt>
                <c:pt idx="633">
                  <c:v>0.12259833423198252</c:v>
                </c:pt>
                <c:pt idx="634">
                  <c:v>0.12260109675010789</c:v>
                </c:pt>
                <c:pt idx="635">
                  <c:v>0.12260385058113776</c:v>
                </c:pt>
                <c:pt idx="636">
                  <c:v>0.12260659576599497</c:v>
                </c:pt>
                <c:pt idx="637">
                  <c:v>0.12260933234535809</c:v>
                </c:pt>
                <c:pt idx="638">
                  <c:v>0.12261206035957262</c:v>
                </c:pt>
                <c:pt idx="639">
                  <c:v>0.12261477984882863</c:v>
                </c:pt>
                <c:pt idx="640">
                  <c:v>0.12261749085300533</c:v>
                </c:pt>
                <c:pt idx="641">
                  <c:v>0.12262019341175989</c:v>
                </c:pt>
                <c:pt idx="642">
                  <c:v>0.12262288756450523</c:v>
                </c:pt>
                <c:pt idx="643">
                  <c:v>0.12262557335036561</c:v>
                </c:pt>
                <c:pt idx="644">
                  <c:v>0.12262825080830986</c:v>
                </c:pt>
                <c:pt idx="645">
                  <c:v>0.12263091997697373</c:v>
                </c:pt>
                <c:pt idx="646">
                  <c:v>0.12263358089479315</c:v>
                </c:pt>
                <c:pt idx="647">
                  <c:v>0.12263623359995979</c:v>
                </c:pt>
                <c:pt idx="648">
                  <c:v>0.12263887813046548</c:v>
                </c:pt>
                <c:pt idx="649">
                  <c:v>0.1226415145240356</c:v>
                </c:pt>
                <c:pt idx="650">
                  <c:v>0.12264414281812908</c:v>
                </c:pt>
                <c:pt idx="651">
                  <c:v>0.12264676305007161</c:v>
                </c:pt>
                <c:pt idx="652">
                  <c:v>0.12264937525683361</c:v>
                </c:pt>
                <c:pt idx="653">
                  <c:v>0.12265197947527451</c:v>
                </c:pt>
                <c:pt idx="654">
                  <c:v>0.12265457574198724</c:v>
                </c:pt>
                <c:pt idx="655">
                  <c:v>0.1226571640933205</c:v>
                </c:pt>
                <c:pt idx="656">
                  <c:v>0.12265974456540096</c:v>
                </c:pt>
                <c:pt idx="657">
                  <c:v>0.12266231719417764</c:v>
                </c:pt>
                <c:pt idx="658">
                  <c:v>0.1226648820153331</c:v>
                </c:pt>
                <c:pt idx="659">
                  <c:v>0.12266743906437227</c:v>
                </c:pt>
                <c:pt idx="660">
                  <c:v>0.12266998837657805</c:v>
                </c:pt>
                <c:pt idx="661">
                  <c:v>0.12267252998698908</c:v>
                </c:pt>
                <c:pt idx="662">
                  <c:v>0.12267506393046634</c:v>
                </c:pt>
                <c:pt idx="663">
                  <c:v>0.12267759024164882</c:v>
                </c:pt>
                <c:pt idx="664">
                  <c:v>0.1226801089549534</c:v>
                </c:pt>
                <c:pt idx="665">
                  <c:v>0.12268262010464159</c:v>
                </c:pt>
                <c:pt idx="666">
                  <c:v>0.12268512372468621</c:v>
                </c:pt>
                <c:pt idx="667">
                  <c:v>0.12268761984892684</c:v>
                </c:pt>
                <c:pt idx="668">
                  <c:v>0.12269010851098106</c:v>
                </c:pt>
                <c:pt idx="669">
                  <c:v>0.12269258974426656</c:v>
                </c:pt>
                <c:pt idx="670">
                  <c:v>0.12269506358197901</c:v>
                </c:pt>
                <c:pt idx="671">
                  <c:v>0.12269753005711426</c:v>
                </c:pt>
                <c:pt idx="672">
                  <c:v>0.12269998920255709</c:v>
                </c:pt>
                <c:pt idx="673">
                  <c:v>0.12270244105088146</c:v>
                </c:pt>
                <c:pt idx="674">
                  <c:v>0.12270488563450588</c:v>
                </c:pt>
                <c:pt idx="675">
                  <c:v>0.12270732298571563</c:v>
                </c:pt>
                <c:pt idx="676">
                  <c:v>0.12270975313652954</c:v>
                </c:pt>
                <c:pt idx="677">
                  <c:v>0.12271217611883323</c:v>
                </c:pt>
                <c:pt idx="678">
                  <c:v>0.12271459196424583</c:v>
                </c:pt>
                <c:pt idx="679">
                  <c:v>0.1227170007043199</c:v>
                </c:pt>
                <c:pt idx="680">
                  <c:v>0.12271940237031931</c:v>
                </c:pt>
                <c:pt idx="681">
                  <c:v>0.12272179699335251</c:v>
                </c:pt>
                <c:pt idx="682">
                  <c:v>0.12272418460437251</c:v>
                </c:pt>
                <c:pt idx="683">
                  <c:v>0.1227265652341325</c:v>
                </c:pt>
                <c:pt idx="684">
                  <c:v>0.12272893891323022</c:v>
                </c:pt>
                <c:pt idx="685">
                  <c:v>0.12273130567199697</c:v>
                </c:pt>
                <c:pt idx="686">
                  <c:v>0.12273366554071963</c:v>
                </c:pt>
                <c:pt idx="687">
                  <c:v>0.12273601854939642</c:v>
                </c:pt>
                <c:pt idx="688">
                  <c:v>0.12273836472793676</c:v>
                </c:pt>
                <c:pt idx="689">
                  <c:v>0.12274070410600579</c:v>
                </c:pt>
                <c:pt idx="690">
                  <c:v>0.12274303671313547</c:v>
                </c:pt>
                <c:pt idx="691">
                  <c:v>0.12274536257865787</c:v>
                </c:pt>
                <c:pt idx="692">
                  <c:v>0.12274768173179407</c:v>
                </c:pt>
                <c:pt idx="693">
                  <c:v>0.12274999420156529</c:v>
                </c:pt>
                <c:pt idx="694">
                  <c:v>0.12275318685113223</c:v>
                </c:pt>
                <c:pt idx="695">
                  <c:v>0.12275637032652664</c:v>
                </c:pt>
                <c:pt idx="696">
                  <c:v>0.12275954466722805</c:v>
                </c:pt>
                <c:pt idx="697">
                  <c:v>0.12276270991249394</c:v>
                </c:pt>
                <c:pt idx="698">
                  <c:v>0.12276586610135976</c:v>
                </c:pt>
                <c:pt idx="699">
                  <c:v>0.12276901327263889</c:v>
                </c:pt>
                <c:pt idx="700">
                  <c:v>0.12277215146494491</c:v>
                </c:pt>
                <c:pt idx="701">
                  <c:v>0.12277528071662491</c:v>
                </c:pt>
                <c:pt idx="702">
                  <c:v>0.12277840106582616</c:v>
                </c:pt>
                <c:pt idx="703">
                  <c:v>0.12278151255049607</c:v>
                </c:pt>
                <c:pt idx="704">
                  <c:v>0.12278461520836004</c:v>
                </c:pt>
                <c:pt idx="705">
                  <c:v>0.12278770907694359</c:v>
                </c:pt>
                <c:pt idx="706">
                  <c:v>0.1227907941934836</c:v>
                </c:pt>
                <c:pt idx="707">
                  <c:v>0.12279387059510594</c:v>
                </c:pt>
                <c:pt idx="708">
                  <c:v>0.12279693831869221</c:v>
                </c:pt>
                <c:pt idx="709">
                  <c:v>0.12279999740090197</c:v>
                </c:pt>
                <c:pt idx="710">
                  <c:v>0.12280304787817276</c:v>
                </c:pt>
                <c:pt idx="711">
                  <c:v>0.12280608978678664</c:v>
                </c:pt>
                <c:pt idx="712">
                  <c:v>0.12280912316278148</c:v>
                </c:pt>
                <c:pt idx="713">
                  <c:v>0.12281214804203966</c:v>
                </c:pt>
                <c:pt idx="714">
                  <c:v>0.12281516446017715</c:v>
                </c:pt>
                <c:pt idx="715">
                  <c:v>0.12281817245265447</c:v>
                </c:pt>
                <c:pt idx="716">
                  <c:v>0.1228211720547101</c:v>
                </c:pt>
                <c:pt idx="717">
                  <c:v>0.1228241633014493</c:v>
                </c:pt>
                <c:pt idx="718">
                  <c:v>0.12282714622766644</c:v>
                </c:pt>
                <c:pt idx="719">
                  <c:v>0.12283012086808931</c:v>
                </c:pt>
                <c:pt idx="720">
                  <c:v>0.12283308725715703</c:v>
                </c:pt>
                <c:pt idx="721">
                  <c:v>0.12283604542919768</c:v>
                </c:pt>
                <c:pt idx="722">
                  <c:v>0.12283899541825072</c:v>
                </c:pt>
                <c:pt idx="723">
                  <c:v>0.12284193725824455</c:v>
                </c:pt>
                <c:pt idx="724">
                  <c:v>0.12284487098292995</c:v>
                </c:pt>
                <c:pt idx="725">
                  <c:v>0.12284779662579126</c:v>
                </c:pt>
                <c:pt idx="726">
                  <c:v>0.12285071422020177</c:v>
                </c:pt>
                <c:pt idx="727">
                  <c:v>0.12285362379935716</c:v>
                </c:pt>
                <c:pt idx="728">
                  <c:v>0.12285652539618663</c:v>
                </c:pt>
                <c:pt idx="729">
                  <c:v>0.12285941904350839</c:v>
                </c:pt>
                <c:pt idx="730">
                  <c:v>0.12286230477398519</c:v>
                </c:pt>
                <c:pt idx="731">
                  <c:v>0.12286518262001334</c:v>
                </c:pt>
                <c:pt idx="732">
                  <c:v>0.12286805261390032</c:v>
                </c:pt>
                <c:pt idx="733">
                  <c:v>0.1228709147877094</c:v>
                </c:pt>
                <c:pt idx="734">
                  <c:v>0.12287376917339277</c:v>
                </c:pt>
                <c:pt idx="735">
                  <c:v>0.12287661580265841</c:v>
                </c:pt>
                <c:pt idx="736">
                  <c:v>0.12287945470708106</c:v>
                </c:pt>
                <c:pt idx="737">
                  <c:v>0.12288228591810224</c:v>
                </c:pt>
                <c:pt idx="738">
                  <c:v>0.12288510946691922</c:v>
                </c:pt>
                <c:pt idx="739">
                  <c:v>0.12288792538459603</c:v>
                </c:pt>
                <c:pt idx="740">
                  <c:v>0.12289073370204129</c:v>
                </c:pt>
                <c:pt idx="741">
                  <c:v>0.12289353444996376</c:v>
                </c:pt>
                <c:pt idx="742">
                  <c:v>0.12289632765896119</c:v>
                </c:pt>
                <c:pt idx="743">
                  <c:v>0.12289911335938708</c:v>
                </c:pt>
                <c:pt idx="744">
                  <c:v>0.12290189158150611</c:v>
                </c:pt>
                <c:pt idx="745">
                  <c:v>0.12290466235538311</c:v>
                </c:pt>
                <c:pt idx="746">
                  <c:v>0.1229074257109497</c:v>
                </c:pt>
                <c:pt idx="747">
                  <c:v>0.12291018167791545</c:v>
                </c:pt>
                <c:pt idx="748">
                  <c:v>0.12291293028592332</c:v>
                </c:pt>
                <c:pt idx="749">
                  <c:v>0.122915671564372</c:v>
                </c:pt>
                <c:pt idx="750">
                  <c:v>0.12291840554254918</c:v>
                </c:pt>
                <c:pt idx="751">
                  <c:v>0.12292113224958712</c:v>
                </c:pt>
                <c:pt idx="752">
                  <c:v>0.12292385171444042</c:v>
                </c:pt>
                <c:pt idx="753">
                  <c:v>0.1229265639659527</c:v>
                </c:pt>
                <c:pt idx="754">
                  <c:v>0.12292926903274548</c:v>
                </c:pt>
                <c:pt idx="755">
                  <c:v>0.12293196694337372</c:v>
                </c:pt>
                <c:pt idx="756">
                  <c:v>0.12293465772614809</c:v>
                </c:pt>
                <c:pt idx="757">
                  <c:v>0.12293734140933488</c:v>
                </c:pt>
                <c:pt idx="758">
                  <c:v>0.12294001802093391</c:v>
                </c:pt>
                <c:pt idx="759">
                  <c:v>0.12294139121140635</c:v>
                </c:pt>
                <c:pt idx="760">
                  <c:v>0.12294276079296562</c:v>
                </c:pt>
                <c:pt idx="761">
                  <c:v>0.12294412677986699</c:v>
                </c:pt>
                <c:pt idx="762">
                  <c:v>0.12294548918621029</c:v>
                </c:pt>
                <c:pt idx="763">
                  <c:v>0.12294684802605094</c:v>
                </c:pt>
                <c:pt idx="764">
                  <c:v>0.12294820331339995</c:v>
                </c:pt>
                <c:pt idx="765">
                  <c:v>0.12294955506215732</c:v>
                </c:pt>
                <c:pt idx="766">
                  <c:v>0.12295090328617864</c:v>
                </c:pt>
                <c:pt idx="767">
                  <c:v>0.12295224799920845</c:v>
                </c:pt>
                <c:pt idx="768">
                  <c:v>0.12295358921492472</c:v>
                </c:pt>
                <c:pt idx="769">
                  <c:v>0.12295492694700538</c:v>
                </c:pt>
                <c:pt idx="770">
                  <c:v>0.12295626120899517</c:v>
                </c:pt>
                <c:pt idx="771">
                  <c:v>0.12295759201434997</c:v>
                </c:pt>
                <c:pt idx="772">
                  <c:v>0.12295891937650349</c:v>
                </c:pt>
                <c:pt idx="773">
                  <c:v>0.12296024330880062</c:v>
                </c:pt>
                <c:pt idx="774">
                  <c:v>0.12296156382449741</c:v>
                </c:pt>
                <c:pt idx="775">
                  <c:v>0.12296288093684993</c:v>
                </c:pt>
                <c:pt idx="776">
                  <c:v>0.1229641946589366</c:v>
                </c:pt>
                <c:pt idx="777">
                  <c:v>0.12296550500388026</c:v>
                </c:pt>
                <c:pt idx="778">
                  <c:v>0.12296681198467052</c:v>
                </c:pt>
                <c:pt idx="779">
                  <c:v>0.12296811561425258</c:v>
                </c:pt>
                <c:pt idx="780">
                  <c:v>0.12296941590548283</c:v>
                </c:pt>
                <c:pt idx="781">
                  <c:v>0.12297071287117323</c:v>
                </c:pt>
                <c:pt idx="782">
                  <c:v>0.12297200652406914</c:v>
                </c:pt>
                <c:pt idx="783">
                  <c:v>0.12297329687684933</c:v>
                </c:pt>
                <c:pt idx="784">
                  <c:v>0.1229745839421259</c:v>
                </c:pt>
                <c:pt idx="785">
                  <c:v>0.1229758677324444</c:v>
                </c:pt>
                <c:pt idx="786">
                  <c:v>0.12297714826028372</c:v>
                </c:pt>
                <c:pt idx="787">
                  <c:v>0.12297842553805616</c:v>
                </c:pt>
                <c:pt idx="788">
                  <c:v>0.1229796995781518</c:v>
                </c:pt>
                <c:pt idx="789">
                  <c:v>0.12298097039284972</c:v>
                </c:pt>
                <c:pt idx="790">
                  <c:v>0.12298223799436236</c:v>
                </c:pt>
                <c:pt idx="791">
                  <c:v>0.12298350239487998</c:v>
                </c:pt>
                <c:pt idx="792">
                  <c:v>0.12298476360650401</c:v>
                </c:pt>
                <c:pt idx="793">
                  <c:v>0.12298602164131367</c:v>
                </c:pt>
                <c:pt idx="794">
                  <c:v>0.12298727651123276</c:v>
                </c:pt>
                <c:pt idx="795">
                  <c:v>0.12298852822827389</c:v>
                </c:pt>
                <c:pt idx="796">
                  <c:v>0.12298977680422762</c:v>
                </c:pt>
                <c:pt idx="797">
                  <c:v>0.12299102225095115</c:v>
                </c:pt>
                <c:pt idx="798">
                  <c:v>0.12299226458014623</c:v>
                </c:pt>
                <c:pt idx="799">
                  <c:v>0.122993503803559</c:v>
                </c:pt>
                <c:pt idx="800">
                  <c:v>0.12299473993280241</c:v>
                </c:pt>
                <c:pt idx="801">
                  <c:v>0.12299597297942277</c:v>
                </c:pt>
                <c:pt idx="802">
                  <c:v>0.12299720295496641</c:v>
                </c:pt>
                <c:pt idx="803">
                  <c:v>0.12299842987089082</c:v>
                </c:pt>
                <c:pt idx="804">
                  <c:v>0.1229996537385869</c:v>
                </c:pt>
                <c:pt idx="805">
                  <c:v>0.12300087456940112</c:v>
                </c:pt>
                <c:pt idx="806">
                  <c:v>0.12300209237463555</c:v>
                </c:pt>
                <c:pt idx="807">
                  <c:v>0.12300330716550345</c:v>
                </c:pt>
                <c:pt idx="808">
                  <c:v>0.12300451895321807</c:v>
                </c:pt>
                <c:pt idx="809">
                  <c:v>0.12300572774885943</c:v>
                </c:pt>
                <c:pt idx="810">
                  <c:v>0.12300693356350756</c:v>
                </c:pt>
                <c:pt idx="811">
                  <c:v>0.12300813640819808</c:v>
                </c:pt>
                <c:pt idx="812">
                  <c:v>0.12300933629387778</c:v>
                </c:pt>
                <c:pt idx="813">
                  <c:v>0.12301053323144906</c:v>
                </c:pt>
                <c:pt idx="814">
                  <c:v>0.12301172723174769</c:v>
                </c:pt>
                <c:pt idx="815">
                  <c:v>0.12301291830560945</c:v>
                </c:pt>
                <c:pt idx="816">
                  <c:v>0.1230141064637591</c:v>
                </c:pt>
                <c:pt idx="817">
                  <c:v>0.12301529171687697</c:v>
                </c:pt>
                <c:pt idx="818">
                  <c:v>0.12301647407562122</c:v>
                </c:pt>
                <c:pt idx="819">
                  <c:v>0.12301765355058336</c:v>
                </c:pt>
                <c:pt idx="820">
                  <c:v>0.12301883015228832</c:v>
                </c:pt>
                <c:pt idx="821">
                  <c:v>0.12302000389123879</c:v>
                </c:pt>
                <c:pt idx="822">
                  <c:v>0.12302375907768948</c:v>
                </c:pt>
                <c:pt idx="823">
                  <c:v>0.12302750514976424</c:v>
                </c:pt>
                <c:pt idx="824">
                  <c:v>0.12303124214056993</c:v>
                </c:pt>
                <c:pt idx="825">
                  <c:v>0.12303497008312458</c:v>
                </c:pt>
                <c:pt idx="826">
                  <c:v>0.12303868901024639</c:v>
                </c:pt>
                <c:pt idx="827">
                  <c:v>0.12304239895457592</c:v>
                </c:pt>
                <c:pt idx="828">
                  <c:v>0.12304609994864268</c:v>
                </c:pt>
                <c:pt idx="829">
                  <c:v>0.12304979202477639</c:v>
                </c:pt>
                <c:pt idx="830">
                  <c:v>0.12305347521519572</c:v>
                </c:pt>
                <c:pt idx="831">
                  <c:v>0.12305714955191949</c:v>
                </c:pt>
                <c:pt idx="832">
                  <c:v>0.12306081506685551</c:v>
                </c:pt>
                <c:pt idx="833">
                  <c:v>0.12306447179168956</c:v>
                </c:pt>
                <c:pt idx="834">
                  <c:v>0.12306811975806298</c:v>
                </c:pt>
                <c:pt idx="835">
                  <c:v>0.12307175899737288</c:v>
                </c:pt>
                <c:pt idx="836">
                  <c:v>0.12307538954088315</c:v>
                </c:pt>
                <c:pt idx="837">
                  <c:v>0.12307901141976885</c:v>
                </c:pt>
                <c:pt idx="838">
                  <c:v>0.12308262466496078</c:v>
                </c:pt>
                <c:pt idx="839">
                  <c:v>0.12308622930734536</c:v>
                </c:pt>
                <c:pt idx="840">
                  <c:v>0.12308982537754254</c:v>
                </c:pt>
                <c:pt idx="841">
                  <c:v>0.12309341290617226</c:v>
                </c:pt>
                <c:pt idx="842">
                  <c:v>0.12309699192358803</c:v>
                </c:pt>
                <c:pt idx="843">
                  <c:v>0.12310056246003231</c:v>
                </c:pt>
                <c:pt idx="844">
                  <c:v>0.12310412454563657</c:v>
                </c:pt>
                <c:pt idx="845">
                  <c:v>0.12310767821035462</c:v>
                </c:pt>
                <c:pt idx="846">
                  <c:v>0.12311122348402925</c:v>
                </c:pt>
                <c:pt idx="847">
                  <c:v>0.12311476039632563</c:v>
                </c:pt>
                <c:pt idx="848">
                  <c:v>0.12311828897679788</c:v>
                </c:pt>
                <c:pt idx="849">
                  <c:v>0.12312180925484473</c:v>
                </c:pt>
                <c:pt idx="850">
                  <c:v>0.12312532125975384</c:v>
                </c:pt>
                <c:pt idx="851">
                  <c:v>0.12312882502063527</c:v>
                </c:pt>
                <c:pt idx="852">
                  <c:v>0.12313232056651024</c:v>
                </c:pt>
                <c:pt idx="853">
                  <c:v>0.12313580792620016</c:v>
                </c:pt>
                <c:pt idx="854">
                  <c:v>0.12313928712843758</c:v>
                </c:pt>
                <c:pt idx="855">
                  <c:v>0.12314275820182186</c:v>
                </c:pt>
                <c:pt idx="856">
                  <c:v>0.1231462211748191</c:v>
                </c:pt>
                <c:pt idx="857">
                  <c:v>0.12314967607574001</c:v>
                </c:pt>
                <c:pt idx="858">
                  <c:v>0.12315312293276204</c:v>
                </c:pt>
                <c:pt idx="859">
                  <c:v>0.12315656177395162</c:v>
                </c:pt>
                <c:pt idx="860">
                  <c:v>0.12315999262724198</c:v>
                </c:pt>
                <c:pt idx="861">
                  <c:v>0.12316341552043308</c:v>
                </c:pt>
                <c:pt idx="862">
                  <c:v>0.1231668304811917</c:v>
                </c:pt>
                <c:pt idx="863">
                  <c:v>0.12317023753707357</c:v>
                </c:pt>
                <c:pt idx="864">
                  <c:v>0.12317363671547898</c:v>
                </c:pt>
                <c:pt idx="865">
                  <c:v>0.12317702804371944</c:v>
                </c:pt>
                <c:pt idx="866">
                  <c:v>0.12318041154892878</c:v>
                </c:pt>
                <c:pt idx="867">
                  <c:v>0.12318378725815204</c:v>
                </c:pt>
                <c:pt idx="868">
                  <c:v>0.12318715519830103</c:v>
                </c:pt>
                <c:pt idx="869">
                  <c:v>0.12319051539619874</c:v>
                </c:pt>
                <c:pt idx="870">
                  <c:v>0.12319386787846831</c:v>
                </c:pt>
                <c:pt idx="871">
                  <c:v>0.12319721267166628</c:v>
                </c:pt>
                <c:pt idx="872">
                  <c:v>0.12320054980223816</c:v>
                </c:pt>
                <c:pt idx="873">
                  <c:v>0.12320387929645182</c:v>
                </c:pt>
                <c:pt idx="874">
                  <c:v>0.12320720118048634</c:v>
                </c:pt>
                <c:pt idx="875">
                  <c:v>0.12321051548043194</c:v>
                </c:pt>
                <c:pt idx="876">
                  <c:v>0.12321382222224564</c:v>
                </c:pt>
                <c:pt idx="877">
                  <c:v>0.12321712143168462</c:v>
                </c:pt>
                <c:pt idx="878">
                  <c:v>0.12322041313452825</c:v>
                </c:pt>
                <c:pt idx="879">
                  <c:v>0.12322369735633387</c:v>
                </c:pt>
                <c:pt idx="880">
                  <c:v>0.12322697412257</c:v>
                </c:pt>
                <c:pt idx="881">
                  <c:v>0.12323024345861633</c:v>
                </c:pt>
                <c:pt idx="882">
                  <c:v>0.12323350538969713</c:v>
                </c:pt>
                <c:pt idx="883">
                  <c:v>0.12323675994094785</c:v>
                </c:pt>
                <c:pt idx="884">
                  <c:v>0.12324000713739292</c:v>
                </c:pt>
                <c:pt idx="885">
                  <c:v>0.12324595791155524</c:v>
                </c:pt>
                <c:pt idx="886">
                  <c:v>0.12325189526833924</c:v>
                </c:pt>
                <c:pt idx="887">
                  <c:v>0.12325781925301982</c:v>
                </c:pt>
                <c:pt idx="888">
                  <c:v>0.12326372991078305</c:v>
                </c:pt>
                <c:pt idx="889">
                  <c:v>0.12326962728648194</c:v>
                </c:pt>
                <c:pt idx="890">
                  <c:v>0.12327551142490289</c:v>
                </c:pt>
                <c:pt idx="891">
                  <c:v>0.12328138237052144</c:v>
                </c:pt>
                <c:pt idx="892">
                  <c:v>0.12328724016765769</c:v>
                </c:pt>
                <c:pt idx="893">
                  <c:v>0.12329308486045409</c:v>
                </c:pt>
                <c:pt idx="894">
                  <c:v>0.12329891649283109</c:v>
                </c:pt>
                <c:pt idx="895">
                  <c:v>0.12330473510848705</c:v>
                </c:pt>
                <c:pt idx="896">
                  <c:v>0.12331054075098713</c:v>
                </c:pt>
                <c:pt idx="897">
                  <c:v>0.12331633346367443</c:v>
                </c:pt>
                <c:pt idx="898">
                  <c:v>0.12332211328967002</c:v>
                </c:pt>
                <c:pt idx="899">
                  <c:v>0.12332788027193953</c:v>
                </c:pt>
                <c:pt idx="900">
                  <c:v>0.12333363445327095</c:v>
                </c:pt>
                <c:pt idx="901">
                  <c:v>0.12333937587618582</c:v>
                </c:pt>
                <c:pt idx="902">
                  <c:v>0.12334510458311687</c:v>
                </c:pt>
                <c:pt idx="903">
                  <c:v>0.12335082061623037</c:v>
                </c:pt>
                <c:pt idx="904">
                  <c:v>0.12335652401755937</c:v>
                </c:pt>
                <c:pt idx="905">
                  <c:v>0.12336221482893706</c:v>
                </c:pt>
                <c:pt idx="906">
                  <c:v>0.1233678930919524</c:v>
                </c:pt>
                <c:pt idx="907">
                  <c:v>0.12337355884812773</c:v>
                </c:pt>
                <c:pt idx="908">
                  <c:v>0.12337921213871894</c:v>
                </c:pt>
                <c:pt idx="909">
                  <c:v>0.12338485300480428</c:v>
                </c:pt>
                <c:pt idx="910">
                  <c:v>0.12339048148730658</c:v>
                </c:pt>
                <c:pt idx="911">
                  <c:v>0.12339609762694881</c:v>
                </c:pt>
                <c:pt idx="912">
                  <c:v>0.12340170146432072</c:v>
                </c:pt>
                <c:pt idx="913">
                  <c:v>0.12340729303976783</c:v>
                </c:pt>
                <c:pt idx="914">
                  <c:v>0.1234128723935024</c:v>
                </c:pt>
                <c:pt idx="915">
                  <c:v>0.12341843956555909</c:v>
                </c:pt>
                <c:pt idx="916">
                  <c:v>0.12342399459577269</c:v>
                </c:pt>
                <c:pt idx="917">
                  <c:v>0.12342953752384478</c:v>
                </c:pt>
                <c:pt idx="918">
                  <c:v>0.12343506838925489</c:v>
                </c:pt>
                <c:pt idx="919">
                  <c:v>0.12344058723134932</c:v>
                </c:pt>
                <c:pt idx="920">
                  <c:v>0.12344609408929674</c:v>
                </c:pt>
                <c:pt idx="921">
                  <c:v>0.12345158900208819</c:v>
                </c:pt>
                <c:pt idx="922">
                  <c:v>0.12345707200851486</c:v>
                </c:pt>
                <c:pt idx="923">
                  <c:v>0.12346254314727911</c:v>
                </c:pt>
                <c:pt idx="924">
                  <c:v>0.12346800245686129</c:v>
                </c:pt>
                <c:pt idx="925">
                  <c:v>0.12347344997558629</c:v>
                </c:pt>
                <c:pt idx="926">
                  <c:v>0.12347888574157917</c:v>
                </c:pt>
                <c:pt idx="927">
                  <c:v>0.12348430979285396</c:v>
                </c:pt>
                <c:pt idx="928">
                  <c:v>0.12348972216724707</c:v>
                </c:pt>
                <c:pt idx="929">
                  <c:v>0.12349512290241726</c:v>
                </c:pt>
                <c:pt idx="930">
                  <c:v>0.12350051203584567</c:v>
                </c:pt>
                <c:pt idx="931">
                  <c:v>0.12350588960492459</c:v>
                </c:pt>
                <c:pt idx="932">
                  <c:v>0.1235112556468021</c:v>
                </c:pt>
                <c:pt idx="933">
                  <c:v>0.12351661019851523</c:v>
                </c:pt>
                <c:pt idx="934">
                  <c:v>0.12352195329692339</c:v>
                </c:pt>
                <c:pt idx="935">
                  <c:v>0.12352728497875276</c:v>
                </c:pt>
                <c:pt idx="936">
                  <c:v>0.12353260528052967</c:v>
                </c:pt>
                <c:pt idx="937">
                  <c:v>0.12353791423866944</c:v>
                </c:pt>
                <c:pt idx="938">
                  <c:v>0.12354321188938755</c:v>
                </c:pt>
                <c:pt idx="939">
                  <c:v>0.12354849826881065</c:v>
                </c:pt>
                <c:pt idx="940">
                  <c:v>0.12355377341284335</c:v>
                </c:pt>
                <c:pt idx="941">
                  <c:v>0.12355903735725704</c:v>
                </c:pt>
                <c:pt idx="942">
                  <c:v>0.12356429013771209</c:v>
                </c:pt>
                <c:pt idx="943">
                  <c:v>0.1235695317896468</c:v>
                </c:pt>
                <c:pt idx="944">
                  <c:v>0.1235747623484329</c:v>
                </c:pt>
                <c:pt idx="945">
                  <c:v>0.12357998184921848</c:v>
                </c:pt>
                <c:pt idx="946">
                  <c:v>0.12358281484505795</c:v>
                </c:pt>
                <c:pt idx="947">
                  <c:v>0.12358564186418786</c:v>
                </c:pt>
                <c:pt idx="948">
                  <c:v>0.12358846292550574</c:v>
                </c:pt>
                <c:pt idx="949">
                  <c:v>0.12359127804784098</c:v>
                </c:pt>
                <c:pt idx="950">
                  <c:v>0.12359408724988974</c:v>
                </c:pt>
                <c:pt idx="951">
                  <c:v>0.12359689055034817</c:v>
                </c:pt>
                <c:pt idx="952">
                  <c:v>0.1235996879677792</c:v>
                </c:pt>
                <c:pt idx="953">
                  <c:v>0.12360247952067915</c:v>
                </c:pt>
                <c:pt idx="954">
                  <c:v>0.12360526522747772</c:v>
                </c:pt>
                <c:pt idx="955">
                  <c:v>0.12360804510649359</c:v>
                </c:pt>
                <c:pt idx="956">
                  <c:v>0.12361081917604544</c:v>
                </c:pt>
                <c:pt idx="957">
                  <c:v>0.12361358745427431</c:v>
                </c:pt>
                <c:pt idx="958">
                  <c:v>0.12361634995932125</c:v>
                </c:pt>
                <c:pt idx="959">
                  <c:v>0.12361910670923848</c:v>
                </c:pt>
                <c:pt idx="960">
                  <c:v>0.12362185772196721</c:v>
                </c:pt>
                <c:pt idx="961">
                  <c:v>0.12362460301542644</c:v>
                </c:pt>
                <c:pt idx="962">
                  <c:v>0.12362734260740194</c:v>
                </c:pt>
                <c:pt idx="963">
                  <c:v>0.12363007651565727</c:v>
                </c:pt>
                <c:pt idx="964">
                  <c:v>0.12363280475784499</c:v>
                </c:pt>
                <c:pt idx="965">
                  <c:v>0.12363552735157324</c:v>
                </c:pt>
                <c:pt idx="966">
                  <c:v>0.12363824431438353</c:v>
                </c:pt>
                <c:pt idx="967">
                  <c:v>0.12364095566368416</c:v>
                </c:pt>
                <c:pt idx="968">
                  <c:v>0.12364366141690564</c:v>
                </c:pt>
                <c:pt idx="969">
                  <c:v>0.12364636159130082</c:v>
                </c:pt>
                <c:pt idx="970">
                  <c:v>0.12364905620414479</c:v>
                </c:pt>
                <c:pt idx="971">
                  <c:v>0.12365174527257938</c:v>
                </c:pt>
                <c:pt idx="972">
                  <c:v>0.12365442881372424</c:v>
                </c:pt>
                <c:pt idx="973">
                  <c:v>0.12365710684458797</c:v>
                </c:pt>
                <c:pt idx="974">
                  <c:v>0.12365977938211259</c:v>
                </c:pt>
                <c:pt idx="975">
                  <c:v>0.12366244644321789</c:v>
                </c:pt>
                <c:pt idx="976">
                  <c:v>0.12366510804469044</c:v>
                </c:pt>
                <c:pt idx="977">
                  <c:v>0.12366776420327241</c:v>
                </c:pt>
                <c:pt idx="978">
                  <c:v>0.12367041493566155</c:v>
                </c:pt>
                <c:pt idx="979">
                  <c:v>0.12367306025848901</c:v>
                </c:pt>
                <c:pt idx="980">
                  <c:v>0.12367570018825269</c:v>
                </c:pt>
                <c:pt idx="981">
                  <c:v>0.12367833474142831</c:v>
                </c:pt>
                <c:pt idx="982">
                  <c:v>0.12368096393444716</c:v>
                </c:pt>
                <c:pt idx="983">
                  <c:v>0.12368358778367394</c:v>
                </c:pt>
                <c:pt idx="984">
                  <c:v>0.12368620630534011</c:v>
                </c:pt>
                <c:pt idx="985">
                  <c:v>0.12368881951565491</c:v>
                </c:pt>
                <c:pt idx="986">
                  <c:v>0.12369142743080541</c:v>
                </c:pt>
                <c:pt idx="987">
                  <c:v>0.12369403006684543</c:v>
                </c:pt>
                <c:pt idx="988">
                  <c:v>0.12369662743976217</c:v>
                </c:pt>
                <c:pt idx="989">
                  <c:v>0.12369921956554286</c:v>
                </c:pt>
                <c:pt idx="990">
                  <c:v>0.12370180646006368</c:v>
                </c:pt>
                <c:pt idx="991">
                  <c:v>0.123704388139112</c:v>
                </c:pt>
                <c:pt idx="992">
                  <c:v>0.12370696461849739</c:v>
                </c:pt>
                <c:pt idx="993">
                  <c:v>0.12370953591387401</c:v>
                </c:pt>
                <c:pt idx="994">
                  <c:v>0.123712102040896</c:v>
                </c:pt>
                <c:pt idx="995">
                  <c:v>0.12371466301508427</c:v>
                </c:pt>
                <c:pt idx="996">
                  <c:v>0.12371721885200415</c:v>
                </c:pt>
                <c:pt idx="997">
                  <c:v>0.12371976956706554</c:v>
                </c:pt>
                <c:pt idx="998">
                  <c:v>0.12372231517565613</c:v>
                </c:pt>
                <c:pt idx="999">
                  <c:v>0.12372485569309699</c:v>
                </c:pt>
                <c:pt idx="1000">
                  <c:v>0.12372739113464259</c:v>
                </c:pt>
                <c:pt idx="1001">
                  <c:v>0.12372992151550299</c:v>
                </c:pt>
                <c:pt idx="1002">
                  <c:v>0.12373244685077722</c:v>
                </c:pt>
                <c:pt idx="1003">
                  <c:v>0.12373496715558652</c:v>
                </c:pt>
                <c:pt idx="1004">
                  <c:v>0.12373748244491889</c:v>
                </c:pt>
                <c:pt idx="1005">
                  <c:v>0.12373999273371794</c:v>
                </c:pt>
                <c:pt idx="1006">
                  <c:v>0.12374249803692727</c:v>
                </c:pt>
                <c:pt idx="1007">
                  <c:v>0.12374499836935726</c:v>
                </c:pt>
                <c:pt idx="1008">
                  <c:v>0.12374749374579608</c:v>
                </c:pt>
                <c:pt idx="1009">
                  <c:v>0.12374998418095173</c:v>
                </c:pt>
                <c:pt idx="1010">
                  <c:v>0.12374945491053779</c:v>
                </c:pt>
                <c:pt idx="1011">
                  <c:v>0.12374892668609583</c:v>
                </c:pt>
                <c:pt idx="1012">
                  <c:v>0.12374839950457517</c:v>
                </c:pt>
                <c:pt idx="1013">
                  <c:v>0.12374787336286719</c:v>
                </c:pt>
                <c:pt idx="1014">
                  <c:v>0.12374734825788547</c:v>
                </c:pt>
                <c:pt idx="1015">
                  <c:v>0.1237468241865658</c:v>
                </c:pt>
                <c:pt idx="1016">
                  <c:v>0.12374630114588836</c:v>
                </c:pt>
                <c:pt idx="1017">
                  <c:v>0.12374577913278895</c:v>
                </c:pt>
                <c:pt idx="1018">
                  <c:v>0.12374525814426995</c:v>
                </c:pt>
                <c:pt idx="1019">
                  <c:v>0.12374473817726717</c:v>
                </c:pt>
                <c:pt idx="1020">
                  <c:v>0.12374421922882739</c:v>
                </c:pt>
                <c:pt idx="1021">
                  <c:v>0.12374370129595302</c:v>
                </c:pt>
                <c:pt idx="1022">
                  <c:v>0.12374318437564646</c:v>
                </c:pt>
                <c:pt idx="1023">
                  <c:v>0.12374266846495452</c:v>
                </c:pt>
                <c:pt idx="1024">
                  <c:v>0.1237421535609462</c:v>
                </c:pt>
                <c:pt idx="1025">
                  <c:v>0.1237416396606239</c:v>
                </c:pt>
                <c:pt idx="1026">
                  <c:v>0.12374112676107885</c:v>
                </c:pt>
                <c:pt idx="1027">
                  <c:v>0.12374061485940224</c:v>
                </c:pt>
                <c:pt idx="1028">
                  <c:v>0.12374010395268531</c:v>
                </c:pt>
                <c:pt idx="1029">
                  <c:v>0.12373959403801926</c:v>
                </c:pt>
                <c:pt idx="1030">
                  <c:v>0.12373908511251752</c:v>
                </c:pt>
                <c:pt idx="1031">
                  <c:v>0.12373857717331571</c:v>
                </c:pt>
                <c:pt idx="1032">
                  <c:v>0.12373807021754946</c:v>
                </c:pt>
                <c:pt idx="1033">
                  <c:v>0.12373756424233218</c:v>
                </c:pt>
                <c:pt idx="1034">
                  <c:v>0.12373705924486611</c:v>
                </c:pt>
                <c:pt idx="1035">
                  <c:v>0.12373655522228688</c:v>
                </c:pt>
                <c:pt idx="1036">
                  <c:v>0.12373605217179673</c:v>
                </c:pt>
                <c:pt idx="1037">
                  <c:v>0.12373555009059789</c:v>
                </c:pt>
                <c:pt idx="1038">
                  <c:v>0.12373504897584819</c:v>
                </c:pt>
                <c:pt idx="1039">
                  <c:v>0.12373454882479429</c:v>
                </c:pt>
                <c:pt idx="1040">
                  <c:v>0.12373404963463841</c:v>
                </c:pt>
                <c:pt idx="1041">
                  <c:v>0.12373355140262721</c:v>
                </c:pt>
                <c:pt idx="1042">
                  <c:v>0.12373305412598512</c:v>
                </c:pt>
                <c:pt idx="1043">
                  <c:v>0.12373255780200321</c:v>
                </c:pt>
                <c:pt idx="1044">
                  <c:v>0.12373206242792811</c:v>
                </c:pt>
                <c:pt idx="1045">
                  <c:v>0.12373156800100649</c:v>
                </c:pt>
                <c:pt idx="1046">
                  <c:v>0.123731074518596</c:v>
                </c:pt>
                <c:pt idx="1047">
                  <c:v>0.12373058197792108</c:v>
                </c:pt>
                <c:pt idx="1048">
                  <c:v>0.12373009037631721</c:v>
                </c:pt>
                <c:pt idx="1049">
                  <c:v>0.12372959971109765</c:v>
                </c:pt>
                <c:pt idx="1050">
                  <c:v>0.12372910997959785</c:v>
                </c:pt>
                <c:pt idx="1051">
                  <c:v>0.12372862117913108</c:v>
                </c:pt>
                <c:pt idx="1052">
                  <c:v>0.12372813330707721</c:v>
                </c:pt>
                <c:pt idx="1053">
                  <c:v>0.12372764636077171</c:v>
                </c:pt>
                <c:pt idx="1054">
                  <c:v>0.12372716033761666</c:v>
                </c:pt>
                <c:pt idx="1055">
                  <c:v>0.12372667523492531</c:v>
                </c:pt>
                <c:pt idx="1056">
                  <c:v>0.12372619105014415</c:v>
                </c:pt>
                <c:pt idx="1057">
                  <c:v>0.12372570778065306</c:v>
                </c:pt>
                <c:pt idx="1058">
                  <c:v>0.12372522542383191</c:v>
                </c:pt>
                <c:pt idx="1059">
                  <c:v>0.12372474397714939</c:v>
                </c:pt>
                <c:pt idx="1060">
                  <c:v>0.12372426343798537</c:v>
                </c:pt>
                <c:pt idx="1061">
                  <c:v>0.12372378380378635</c:v>
                </c:pt>
                <c:pt idx="1062">
                  <c:v>0.12372330507202101</c:v>
                </c:pt>
                <c:pt idx="1063">
                  <c:v>0.12372282724011363</c:v>
                </c:pt>
                <c:pt idx="1064">
                  <c:v>0.12372235030555512</c:v>
                </c:pt>
                <c:pt idx="1065">
                  <c:v>0.12372187426581416</c:v>
                </c:pt>
                <c:pt idx="1066">
                  <c:v>0.12372139911835944</c:v>
                </c:pt>
                <c:pt idx="1067">
                  <c:v>0.12372092486072628</c:v>
                </c:pt>
                <c:pt idx="1068">
                  <c:v>0.12372045149036115</c:v>
                </c:pt>
                <c:pt idx="1069">
                  <c:v>0.12371997900480958</c:v>
                </c:pt>
                <c:pt idx="1070">
                  <c:v>0.12372015264938696</c:v>
                </c:pt>
                <c:pt idx="1071">
                  <c:v>0.12372032597003368</c:v>
                </c:pt>
                <c:pt idx="1072">
                  <c:v>0.12372049896760551</c:v>
                </c:pt>
                <c:pt idx="1073">
                  <c:v>0.12372067164303502</c:v>
                </c:pt>
                <c:pt idx="1074">
                  <c:v>0.12372084399718819</c:v>
                </c:pt>
                <c:pt idx="1075">
                  <c:v>0.12372101603099761</c:v>
                </c:pt>
                <c:pt idx="1076">
                  <c:v>0.12372118774532925</c:v>
                </c:pt>
                <c:pt idx="1077">
                  <c:v>0.1237213591410935</c:v>
                </c:pt>
                <c:pt idx="1078">
                  <c:v>0.12372153021915633</c:v>
                </c:pt>
                <c:pt idx="1079">
                  <c:v>0.12372170098038371</c:v>
                </c:pt>
                <c:pt idx="1080">
                  <c:v>0.12372187142570823</c:v>
                </c:pt>
                <c:pt idx="1081">
                  <c:v>0.12372204155597366</c:v>
                </c:pt>
                <c:pt idx="1082">
                  <c:v>0.12372221137206818</c:v>
                </c:pt>
                <c:pt idx="1083">
                  <c:v>0.12372238087483556</c:v>
                </c:pt>
                <c:pt idx="1084">
                  <c:v>0.12372255006514177</c:v>
                </c:pt>
                <c:pt idx="1085">
                  <c:v>0.12372271894387499</c:v>
                </c:pt>
                <c:pt idx="1086">
                  <c:v>0.12372288751190119</c:v>
                </c:pt>
                <c:pt idx="1087">
                  <c:v>0.12372305577004195</c:v>
                </c:pt>
                <c:pt idx="1088">
                  <c:v>0.12372322371916322</c:v>
                </c:pt>
                <c:pt idx="1089">
                  <c:v>0.123723391360131</c:v>
                </c:pt>
                <c:pt idx="1090">
                  <c:v>0.12372355869378904</c:v>
                </c:pt>
                <c:pt idx="1091">
                  <c:v>0.12372372572095891</c:v>
                </c:pt>
                <c:pt idx="1092">
                  <c:v>0.12372389244250659</c:v>
                </c:pt>
                <c:pt idx="1093">
                  <c:v>0.12372405885927584</c:v>
                </c:pt>
                <c:pt idx="1094">
                  <c:v>0.12372422497206603</c:v>
                </c:pt>
                <c:pt idx="1095">
                  <c:v>0.12372439078174313</c:v>
                </c:pt>
                <c:pt idx="1096">
                  <c:v>0.12372455628912871</c:v>
                </c:pt>
                <c:pt idx="1097">
                  <c:v>0.12372472149504432</c:v>
                </c:pt>
                <c:pt idx="1098">
                  <c:v>0.12372488640028934</c:v>
                </c:pt>
                <c:pt idx="1099">
                  <c:v>0.12372505100572972</c:v>
                </c:pt>
                <c:pt idx="1100">
                  <c:v>0.12372521531214264</c:v>
                </c:pt>
                <c:pt idx="1101">
                  <c:v>0.12372537932037186</c:v>
                </c:pt>
                <c:pt idx="1102">
                  <c:v>0.12372554303121674</c:v>
                </c:pt>
                <c:pt idx="1103">
                  <c:v>0.12372570644547665</c:v>
                </c:pt>
                <c:pt idx="1104">
                  <c:v>0.12372586956397313</c:v>
                </c:pt>
                <c:pt idx="1105">
                  <c:v>0.12372603238748336</c:v>
                </c:pt>
                <c:pt idx="1106">
                  <c:v>0.12372619491685111</c:v>
                </c:pt>
                <c:pt idx="1107">
                  <c:v>0.12372635715283131</c:v>
                </c:pt>
                <c:pt idx="1108">
                  <c:v>0.12372651909622334</c:v>
                </c:pt>
                <c:pt idx="1109">
                  <c:v>0.12372668074782656</c:v>
                </c:pt>
                <c:pt idx="1110">
                  <c:v>0.12372684210841811</c:v>
                </c:pt>
                <c:pt idx="1111">
                  <c:v>0.12372700317881957</c:v>
                </c:pt>
                <c:pt idx="1112">
                  <c:v>0.12372716395976369</c:v>
                </c:pt>
                <c:pt idx="1113">
                  <c:v>0.12372732445207202</c:v>
                </c:pt>
                <c:pt idx="1114">
                  <c:v>0.12372748465649952</c:v>
                </c:pt>
                <c:pt idx="1115">
                  <c:v>0.12372764457380114</c:v>
                </c:pt>
                <c:pt idx="1116">
                  <c:v>0.12372780420477625</c:v>
                </c:pt>
                <c:pt idx="1117">
                  <c:v>0.12372796355020199</c:v>
                </c:pt>
                <c:pt idx="1118">
                  <c:v>0.12372812261083332</c:v>
                </c:pt>
                <c:pt idx="1119">
                  <c:v>0.12372828138740299</c:v>
                </c:pt>
                <c:pt idx="1120">
                  <c:v>0.12372843988071036</c:v>
                </c:pt>
                <c:pt idx="1121">
                  <c:v>0.12372859809148817</c:v>
                </c:pt>
                <c:pt idx="1122">
                  <c:v>0.12372875602051359</c:v>
                </c:pt>
                <c:pt idx="1123">
                  <c:v>0.12372891366851935</c:v>
                </c:pt>
                <c:pt idx="1124">
                  <c:v>0.12372907103628261</c:v>
                </c:pt>
                <c:pt idx="1125">
                  <c:v>0.12372922812451392</c:v>
                </c:pt>
                <c:pt idx="1126">
                  <c:v>0.12372938493396823</c:v>
                </c:pt>
                <c:pt idx="1127">
                  <c:v>0.12372954146540049</c:v>
                </c:pt>
                <c:pt idx="1128">
                  <c:v>0.12372969771952125</c:v>
                </c:pt>
                <c:pt idx="1129">
                  <c:v>0.12372985369710765</c:v>
                </c:pt>
                <c:pt idx="1130">
                  <c:v>0.12373000939886047</c:v>
                </c:pt>
                <c:pt idx="1131">
                  <c:v>0.12373118101369762</c:v>
                </c:pt>
                <c:pt idx="1132">
                  <c:v>0.12373235056037934</c:v>
                </c:pt>
                <c:pt idx="1133">
                  <c:v>0.12373351804439991</c:v>
                </c:pt>
                <c:pt idx="1134">
                  <c:v>0.12373468347117722</c:v>
                </c:pt>
                <c:pt idx="1135">
                  <c:v>0.12373584684615135</c:v>
                </c:pt>
                <c:pt idx="1136">
                  <c:v>0.12373700817476241</c:v>
                </c:pt>
                <c:pt idx="1137">
                  <c:v>0.12373816746238386</c:v>
                </c:pt>
                <c:pt idx="1138">
                  <c:v>0.1237393247143892</c:v>
                </c:pt>
                <c:pt idx="1139">
                  <c:v>0.12374047993615189</c:v>
                </c:pt>
                <c:pt idx="1140">
                  <c:v>0.12374163313297881</c:v>
                </c:pt>
                <c:pt idx="1141">
                  <c:v>0.12374278431022123</c:v>
                </c:pt>
                <c:pt idx="1142">
                  <c:v>0.12374393347318602</c:v>
                </c:pt>
                <c:pt idx="1143">
                  <c:v>0.12374508062711342</c:v>
                </c:pt>
                <c:pt idx="1144">
                  <c:v>0.12374622577731031</c:v>
                </c:pt>
                <c:pt idx="1145">
                  <c:v>0.12374736892897253</c:v>
                </c:pt>
                <c:pt idx="1146">
                  <c:v>0.12374851008738474</c:v>
                </c:pt>
                <c:pt idx="1147">
                  <c:v>0.12374964925772058</c:v>
                </c:pt>
                <c:pt idx="1148">
                  <c:v>0.1237507864451759</c:v>
                </c:pt>
                <c:pt idx="1149">
                  <c:v>0.12375192165494653</c:v>
                </c:pt>
                <c:pt idx="1150">
                  <c:v>0.1237530548921395</c:v>
                </c:pt>
                <c:pt idx="1151">
                  <c:v>0.12375418616195066</c:v>
                </c:pt>
                <c:pt idx="1152">
                  <c:v>0.12375531546944263</c:v>
                </c:pt>
                <c:pt idx="1153">
                  <c:v>0.12375644281974463</c:v>
                </c:pt>
                <c:pt idx="1154">
                  <c:v>0.12375756821794148</c:v>
                </c:pt>
                <c:pt idx="1155">
                  <c:v>0.12375869166909581</c:v>
                </c:pt>
                <c:pt idx="1156">
                  <c:v>0.12375981317827023</c:v>
                </c:pt>
                <c:pt idx="1157">
                  <c:v>0.12376093275046074</c:v>
                </c:pt>
                <c:pt idx="1158">
                  <c:v>0.12376205039070776</c:v>
                </c:pt>
                <c:pt idx="1159">
                  <c:v>0.12376316610400728</c:v>
                </c:pt>
                <c:pt idx="1160">
                  <c:v>0.12376427989531091</c:v>
                </c:pt>
                <c:pt idx="1161">
                  <c:v>0.12376539176963686</c:v>
                </c:pt>
                <c:pt idx="1162">
                  <c:v>0.12376650173187009</c:v>
                </c:pt>
                <c:pt idx="1163">
                  <c:v>0.12376760978696222</c:v>
                </c:pt>
                <c:pt idx="1164">
                  <c:v>0.12376871593984262</c:v>
                </c:pt>
                <c:pt idx="1165">
                  <c:v>0.12376982019537408</c:v>
                </c:pt>
                <c:pt idx="1166">
                  <c:v>0.12377092255844158</c:v>
                </c:pt>
                <c:pt idx="1167">
                  <c:v>0.12377202303395229</c:v>
                </c:pt>
                <c:pt idx="1168">
                  <c:v>0.12377312162668019</c:v>
                </c:pt>
                <c:pt idx="1169">
                  <c:v>0.12377421834148805</c:v>
                </c:pt>
                <c:pt idx="1170">
                  <c:v>0.12377531318317203</c:v>
                </c:pt>
                <c:pt idx="1171">
                  <c:v>0.1237764061565505</c:v>
                </c:pt>
                <c:pt idx="1172">
                  <c:v>0.12377749726639742</c:v>
                </c:pt>
                <c:pt idx="1173">
                  <c:v>0.12377858651744233</c:v>
                </c:pt>
                <c:pt idx="1174">
                  <c:v>0.12377967391448141</c:v>
                </c:pt>
                <c:pt idx="1175">
                  <c:v>0.1237807594621998</c:v>
                </c:pt>
                <c:pt idx="1176">
                  <c:v>0.12378184316532703</c:v>
                </c:pt>
                <c:pt idx="1177">
                  <c:v>0.12378292502857047</c:v>
                </c:pt>
                <c:pt idx="1178">
                  <c:v>0.12378400505661524</c:v>
                </c:pt>
                <c:pt idx="1179">
                  <c:v>0.12378508325410209</c:v>
                </c:pt>
                <c:pt idx="1180">
                  <c:v>0.12378615962569395</c:v>
                </c:pt>
                <c:pt idx="1181">
                  <c:v>0.12378723417600934</c:v>
                </c:pt>
                <c:pt idx="1182">
                  <c:v>0.12378830690971121</c:v>
                </c:pt>
                <c:pt idx="1183">
                  <c:v>0.12378937783135147</c:v>
                </c:pt>
                <c:pt idx="1184">
                  <c:v>0.12379044694557084</c:v>
                </c:pt>
                <c:pt idx="1185">
                  <c:v>0.12379151425687684</c:v>
                </c:pt>
                <c:pt idx="1186">
                  <c:v>0.123792579769888</c:v>
                </c:pt>
                <c:pt idx="1187">
                  <c:v>0.12379364348911182</c:v>
                </c:pt>
                <c:pt idx="1188">
                  <c:v>0.12379470541905579</c:v>
                </c:pt>
                <c:pt idx="1189">
                  <c:v>0.12379576556427185</c:v>
                </c:pt>
                <c:pt idx="1190">
                  <c:v>0.12379682392924529</c:v>
                </c:pt>
                <c:pt idx="1191">
                  <c:v>0.12379788051843921</c:v>
                </c:pt>
                <c:pt idx="1192">
                  <c:v>0.1237989353363389</c:v>
                </c:pt>
                <c:pt idx="1193">
                  <c:v>0.12379998838738526</c:v>
                </c:pt>
                <c:pt idx="1194">
                  <c:v>0.12380210764588728</c:v>
                </c:pt>
                <c:pt idx="1195">
                  <c:v>0.123804223360513</c:v>
                </c:pt>
                <c:pt idx="1196">
                  <c:v>0.1238063355401664</c:v>
                </c:pt>
                <c:pt idx="1197">
                  <c:v>0.12380844419368486</c:v>
                </c:pt>
                <c:pt idx="1198">
                  <c:v>0.12381054932988356</c:v>
                </c:pt>
                <c:pt idx="1199">
                  <c:v>0.12381265095757765</c:v>
                </c:pt>
                <c:pt idx="1200">
                  <c:v>0.12381474908551571</c:v>
                </c:pt>
                <c:pt idx="1201">
                  <c:v>0.12381684372244628</c:v>
                </c:pt>
                <c:pt idx="1202">
                  <c:v>0.12381893487705131</c:v>
                </c:pt>
                <c:pt idx="1203">
                  <c:v>0.12382102255803495</c:v>
                </c:pt>
                <c:pt idx="1204">
                  <c:v>0.12382310677401254</c:v>
                </c:pt>
                <c:pt idx="1205">
                  <c:v>0.1238251875336438</c:v>
                </c:pt>
                <c:pt idx="1206">
                  <c:v>0.12382726484547746</c:v>
                </c:pt>
                <c:pt idx="1207">
                  <c:v>0.12382933871810664</c:v>
                </c:pt>
                <c:pt idx="1208">
                  <c:v>0.12383140916005786</c:v>
                </c:pt>
                <c:pt idx="1209">
                  <c:v>0.12383347617983542</c:v>
                </c:pt>
                <c:pt idx="1210">
                  <c:v>0.12383553978589923</c:v>
                </c:pt>
                <c:pt idx="1211">
                  <c:v>0.12383759998673138</c:v>
                </c:pt>
                <c:pt idx="1212">
                  <c:v>0.12383965679072517</c:v>
                </c:pt>
                <c:pt idx="1213">
                  <c:v>0.12384171020629609</c:v>
                </c:pt>
                <c:pt idx="1214">
                  <c:v>0.123843760241793</c:v>
                </c:pt>
                <c:pt idx="1215">
                  <c:v>0.12384580690556479</c:v>
                </c:pt>
                <c:pt idx="1216">
                  <c:v>0.12384785020591593</c:v>
                </c:pt>
                <c:pt idx="1217">
                  <c:v>0.12384989015115089</c:v>
                </c:pt>
                <c:pt idx="1218">
                  <c:v>0.12385192674950751</c:v>
                </c:pt>
                <c:pt idx="1219">
                  <c:v>0.12385396000920146</c:v>
                </c:pt>
                <c:pt idx="1220">
                  <c:v>0.12385598993847058</c:v>
                </c:pt>
                <c:pt idx="1221">
                  <c:v>0.12385801654546391</c:v>
                </c:pt>
                <c:pt idx="1222">
                  <c:v>0.1238600398383527</c:v>
                </c:pt>
                <c:pt idx="1223">
                  <c:v>0.12386205982524157</c:v>
                </c:pt>
                <c:pt idx="1224">
                  <c:v>0.12386407651423514</c:v>
                </c:pt>
                <c:pt idx="1225">
                  <c:v>0.12386608991339365</c:v>
                </c:pt>
                <c:pt idx="1226">
                  <c:v>0.12386810003077731</c:v>
                </c:pt>
                <c:pt idx="1227">
                  <c:v>0.12387010687440192</c:v>
                </c:pt>
                <c:pt idx="1228">
                  <c:v>0.12387211045223889</c:v>
                </c:pt>
                <c:pt idx="1229">
                  <c:v>0.12387411077228183</c:v>
                </c:pt>
                <c:pt idx="1230">
                  <c:v>0.12387610784243552</c:v>
                </c:pt>
                <c:pt idx="1231">
                  <c:v>0.12387810167062696</c:v>
                </c:pt>
                <c:pt idx="1232">
                  <c:v>0.12388009226478314</c:v>
                </c:pt>
                <c:pt idx="1233">
                  <c:v>0.12388207963269782</c:v>
                </c:pt>
                <c:pt idx="1234">
                  <c:v>0.12388406378225358</c:v>
                </c:pt>
                <c:pt idx="1235">
                  <c:v>0.1238860447212442</c:v>
                </c:pt>
                <c:pt idx="1236">
                  <c:v>0.12388802245746344</c:v>
                </c:pt>
                <c:pt idx="1237">
                  <c:v>0.12388999699868286</c:v>
                </c:pt>
                <c:pt idx="1238">
                  <c:v>0.12389196835262961</c:v>
                </c:pt>
                <c:pt idx="1239">
                  <c:v>0.12389393652698644</c:v>
                </c:pt>
                <c:pt idx="1240">
                  <c:v>0.12389590152948049</c:v>
                </c:pt>
                <c:pt idx="1241">
                  <c:v>0.12389786336777231</c:v>
                </c:pt>
                <c:pt idx="1242">
                  <c:v>0.12389982204947803</c:v>
                </c:pt>
                <c:pt idx="1243">
                  <c:v>0.12390177758219156</c:v>
                </c:pt>
                <c:pt idx="1244">
                  <c:v>0.12390372997355126</c:v>
                </c:pt>
                <c:pt idx="1245">
                  <c:v>0.12390567923108442</c:v>
                </c:pt>
                <c:pt idx="1246">
                  <c:v>0.12390762536234057</c:v>
                </c:pt>
                <c:pt idx="1247">
                  <c:v>0.12390956837484701</c:v>
                </c:pt>
                <c:pt idx="1248">
                  <c:v>0.12391150827606445</c:v>
                </c:pt>
                <c:pt idx="1249">
                  <c:v>0.12391344507347579</c:v>
                </c:pt>
                <c:pt idx="1250">
                  <c:v>0.12391537877454173</c:v>
                </c:pt>
                <c:pt idx="1251">
                  <c:v>0.12391730938665635</c:v>
                </c:pt>
                <c:pt idx="1252">
                  <c:v>0.12391923691721374</c:v>
                </c:pt>
                <c:pt idx="1253">
                  <c:v>0.12392116137360798</c:v>
                </c:pt>
                <c:pt idx="1254">
                  <c:v>0.12392308276318875</c:v>
                </c:pt>
                <c:pt idx="1255">
                  <c:v>0.12392500109323912</c:v>
                </c:pt>
                <c:pt idx="1256">
                  <c:v>0.12392691637110875</c:v>
                </c:pt>
                <c:pt idx="1257">
                  <c:v>0.12392882860405852</c:v>
                </c:pt>
                <c:pt idx="1258">
                  <c:v>0.12393073779934927</c:v>
                </c:pt>
                <c:pt idx="1259">
                  <c:v>0.12393264396419745</c:v>
                </c:pt>
                <c:pt idx="1260">
                  <c:v>0.12393454710581953</c:v>
                </c:pt>
                <c:pt idx="1261">
                  <c:v>0.12393644723140973</c:v>
                </c:pt>
                <c:pt idx="1262">
                  <c:v>0.12393834434814011</c:v>
                </c:pt>
                <c:pt idx="1263">
                  <c:v>0.12394023846311608</c:v>
                </c:pt>
                <c:pt idx="1264">
                  <c:v>0.1239421295835097</c:v>
                </c:pt>
                <c:pt idx="1265">
                  <c:v>0.12394401771635977</c:v>
                </c:pt>
                <c:pt idx="1266">
                  <c:v>0.12394590286877172</c:v>
                </c:pt>
                <c:pt idx="1267">
                  <c:v>0.12394778504780657</c:v>
                </c:pt>
                <c:pt idx="1268">
                  <c:v>0.12394966426045873</c:v>
                </c:pt>
                <c:pt idx="1269">
                  <c:v>0.123951540513767</c:v>
                </c:pt>
                <c:pt idx="1270">
                  <c:v>0.1239534138147258</c:v>
                </c:pt>
                <c:pt idx="1271">
                  <c:v>0.12395528417024071</c:v>
                </c:pt>
                <c:pt idx="1272">
                  <c:v>0.12395715158732834</c:v>
                </c:pt>
                <c:pt idx="1273">
                  <c:v>0.12395901607282767</c:v>
                </c:pt>
                <c:pt idx="1274">
                  <c:v>0.12396087763371089</c:v>
                </c:pt>
                <c:pt idx="1275">
                  <c:v>0.12396273627681698</c:v>
                </c:pt>
                <c:pt idx="1276">
                  <c:v>0.12396459200898491</c:v>
                </c:pt>
                <c:pt idx="1277">
                  <c:v>0.12396644483709807</c:v>
                </c:pt>
                <c:pt idx="1278">
                  <c:v>0.12396829476790661</c:v>
                </c:pt>
                <c:pt idx="1279">
                  <c:v>0.1239701418082495</c:v>
                </c:pt>
                <c:pt idx="1280">
                  <c:v>0.12397198596487691</c:v>
                </c:pt>
                <c:pt idx="1281">
                  <c:v>0.12397382724453898</c:v>
                </c:pt>
                <c:pt idx="1282">
                  <c:v>0.12397566565396367</c:v>
                </c:pt>
                <c:pt idx="1283">
                  <c:v>0.12397750119985673</c:v>
                </c:pt>
                <c:pt idx="1284">
                  <c:v>0.1239793338889017</c:v>
                </c:pt>
                <c:pt idx="1285">
                  <c:v>0.12398116372775991</c:v>
                </c:pt>
                <c:pt idx="1286">
                  <c:v>0.12398299072309271</c:v>
                </c:pt>
                <c:pt idx="1287">
                  <c:v>0.12398481488149482</c:v>
                </c:pt>
                <c:pt idx="1288">
                  <c:v>0.12398663620958317</c:v>
                </c:pt>
                <c:pt idx="1289">
                  <c:v>0.12398845471395248</c:v>
                </c:pt>
                <c:pt idx="1290">
                  <c:v>0.12399027040113086</c:v>
                </c:pt>
                <c:pt idx="1291">
                  <c:v>0.12399208327769085</c:v>
                </c:pt>
                <c:pt idx="1292">
                  <c:v>0.12399389335016053</c:v>
                </c:pt>
                <c:pt idx="1293">
                  <c:v>0.12399570062500143</c:v>
                </c:pt>
                <c:pt idx="1294">
                  <c:v>0.12399750510871943</c:v>
                </c:pt>
                <c:pt idx="1295">
                  <c:v>0.12399930680777604</c:v>
                </c:pt>
                <c:pt idx="1296">
                  <c:v>0.12400110572861056</c:v>
                </c:pt>
                <c:pt idx="1297">
                  <c:v>0.12400290187766227</c:v>
                </c:pt>
                <c:pt idx="1298">
                  <c:v>0.12400469526128166</c:v>
                </c:pt>
                <c:pt idx="1299">
                  <c:v>0.12400648588590801</c:v>
                </c:pt>
                <c:pt idx="1300">
                  <c:v>0.1240082737578474</c:v>
                </c:pt>
                <c:pt idx="1301">
                  <c:v>0.1240100588834947</c:v>
                </c:pt>
                <c:pt idx="1302">
                  <c:v>0.12401184126913378</c:v>
                </c:pt>
                <c:pt idx="1303">
                  <c:v>0.12401362092109292</c:v>
                </c:pt>
                <c:pt idx="1304">
                  <c:v>0.12401539784565596</c:v>
                </c:pt>
                <c:pt idx="1305">
                  <c:v>0.12401717204906237</c:v>
                </c:pt>
                <c:pt idx="1306">
                  <c:v>0.12401894353757381</c:v>
                </c:pt>
                <c:pt idx="1307">
                  <c:v>0.12402071231742973</c:v>
                </c:pt>
                <c:pt idx="1308">
                  <c:v>0.12402247839482516</c:v>
                </c:pt>
                <c:pt idx="1309">
                  <c:v>0.12402424177595517</c:v>
                </c:pt>
                <c:pt idx="1310">
                  <c:v>0.12402600246697038</c:v>
                </c:pt>
                <c:pt idx="1311">
                  <c:v>0.12402776047406583</c:v>
                </c:pt>
                <c:pt idx="1312">
                  <c:v>0.12402951580330335</c:v>
                </c:pt>
                <c:pt idx="1313">
                  <c:v>0.12403126846087797</c:v>
                </c:pt>
                <c:pt idx="1314">
                  <c:v>0.12403301845280712</c:v>
                </c:pt>
                <c:pt idx="1315">
                  <c:v>0.12403476578521921</c:v>
                </c:pt>
                <c:pt idx="1316">
                  <c:v>0.12403651046417608</c:v>
                </c:pt>
                <c:pt idx="1317">
                  <c:v>0.12403825249567291</c:v>
                </c:pt>
                <c:pt idx="1318">
                  <c:v>0.12403999188577153</c:v>
                </c:pt>
                <c:pt idx="1319">
                  <c:v>0.12403890561021313</c:v>
                </c:pt>
                <c:pt idx="1320">
                  <c:v>0.12403782097927252</c:v>
                </c:pt>
                <c:pt idx="1321">
                  <c:v>0.12403673798926373</c:v>
                </c:pt>
                <c:pt idx="1322">
                  <c:v>0.12403565663641203</c:v>
                </c:pt>
                <c:pt idx="1323">
                  <c:v>0.12403457691705366</c:v>
                </c:pt>
                <c:pt idx="1324">
                  <c:v>0.12403349882748049</c:v>
                </c:pt>
                <c:pt idx="1325">
                  <c:v>0.12403242236398437</c:v>
                </c:pt>
                <c:pt idx="1326">
                  <c:v>0.12403134752287936</c:v>
                </c:pt>
                <c:pt idx="1327">
                  <c:v>0.12403027430056834</c:v>
                </c:pt>
                <c:pt idx="1328">
                  <c:v>0.12402920269332096</c:v>
                </c:pt>
                <c:pt idx="1329">
                  <c:v>0.12402813269754009</c:v>
                </c:pt>
                <c:pt idx="1330">
                  <c:v>0.12402706430956201</c:v>
                </c:pt>
                <c:pt idx="1331">
                  <c:v>0.12402599752578958</c:v>
                </c:pt>
                <c:pt idx="1332">
                  <c:v>0.12402493234260348</c:v>
                </c:pt>
                <c:pt idx="1333">
                  <c:v>0.12402386875640659</c:v>
                </c:pt>
                <c:pt idx="1334">
                  <c:v>0.12402280676360178</c:v>
                </c:pt>
                <c:pt idx="1335">
                  <c:v>0.12402174636061414</c:v>
                </c:pt>
                <c:pt idx="1336">
                  <c:v>0.12402068754389095</c:v>
                </c:pt>
                <c:pt idx="1337">
                  <c:v>0.1240196303098573</c:v>
                </c:pt>
                <c:pt idx="1338">
                  <c:v>0.12401857465498267</c:v>
                </c:pt>
                <c:pt idx="1339">
                  <c:v>0.12401752057573656</c:v>
                </c:pt>
                <c:pt idx="1340">
                  <c:v>0.12401646806854405</c:v>
                </c:pt>
                <c:pt idx="1341">
                  <c:v>0.12401541712996345</c:v>
                </c:pt>
                <c:pt idx="1342">
                  <c:v>0.12401436775641983</c:v>
                </c:pt>
                <c:pt idx="1343">
                  <c:v>0.12401331994449372</c:v>
                </c:pt>
                <c:pt idx="1344">
                  <c:v>0.12401227369063239</c:v>
                </c:pt>
                <c:pt idx="1345">
                  <c:v>0.12401122899141637</c:v>
                </c:pt>
                <c:pt idx="1346">
                  <c:v>0.12401018584333734</c:v>
                </c:pt>
                <c:pt idx="1347">
                  <c:v>0.12400914424297582</c:v>
                </c:pt>
                <c:pt idx="1348">
                  <c:v>0.12400810418689012</c:v>
                </c:pt>
                <c:pt idx="1349">
                  <c:v>0.12400706567163855</c:v>
                </c:pt>
                <c:pt idx="1350">
                  <c:v>0.12400602869380162</c:v>
                </c:pt>
                <c:pt idx="1351">
                  <c:v>0.12400499324995984</c:v>
                </c:pt>
                <c:pt idx="1352">
                  <c:v>0.12400395933671593</c:v>
                </c:pt>
                <c:pt idx="1353">
                  <c:v>0.12400292695067261</c:v>
                </c:pt>
                <c:pt idx="1354">
                  <c:v>0.124001896088477</c:v>
                </c:pt>
                <c:pt idx="1355">
                  <c:v>0.12400086674673183</c:v>
                </c:pt>
                <c:pt idx="1356">
                  <c:v>0.12399983892206201</c:v>
                </c:pt>
                <c:pt idx="1357">
                  <c:v>0.12399881261115908</c:v>
                </c:pt>
                <c:pt idx="1358">
                  <c:v>0.12399778781064796</c:v>
                </c:pt>
                <c:pt idx="1359">
                  <c:v>0.12399676451722019</c:v>
                </c:pt>
                <c:pt idx="1360">
                  <c:v>0.1239957427275229</c:v>
                </c:pt>
                <c:pt idx="1361">
                  <c:v>0.12399472243826981</c:v>
                </c:pt>
                <c:pt idx="1362">
                  <c:v>0.12399370364615248</c:v>
                </c:pt>
                <c:pt idx="1363">
                  <c:v>0.12399268634786242</c:v>
                </c:pt>
                <c:pt idx="1364">
                  <c:v>0.1239916705401356</c:v>
                </c:pt>
                <c:pt idx="1365">
                  <c:v>0.12399065621970795</c:v>
                </c:pt>
                <c:pt idx="1366">
                  <c:v>0.12398964338327101</c:v>
                </c:pt>
                <c:pt idx="1367">
                  <c:v>0.12398863202762733</c:v>
                </c:pt>
                <c:pt idx="1368">
                  <c:v>0.12398762214949066</c:v>
                </c:pt>
                <c:pt idx="1369">
                  <c:v>0.12398661374564135</c:v>
                </c:pt>
                <c:pt idx="1370">
                  <c:v>0.12398560681283755</c:v>
                </c:pt>
                <c:pt idx="1371">
                  <c:v>0.12398460134790401</c:v>
                </c:pt>
                <c:pt idx="1372">
                  <c:v>0.12398359734757669</c:v>
                </c:pt>
                <c:pt idx="1373">
                  <c:v>0.12398259480870255</c:v>
                </c:pt>
                <c:pt idx="1374">
                  <c:v>0.12398159372808415</c:v>
                </c:pt>
                <c:pt idx="1375">
                  <c:v>0.12398059410252404</c:v>
                </c:pt>
                <c:pt idx="1376">
                  <c:v>0.123979595928847</c:v>
                </c:pt>
                <c:pt idx="1377">
                  <c:v>0.12397859920392218</c:v>
                </c:pt>
                <c:pt idx="1378">
                  <c:v>0.12397760392459656</c:v>
                </c:pt>
                <c:pt idx="1379">
                  <c:v>0.12397661008769489</c:v>
                </c:pt>
                <c:pt idx="1380">
                  <c:v>0.12397561769010856</c:v>
                </c:pt>
                <c:pt idx="1381">
                  <c:v>0.12397462672872894</c:v>
                </c:pt>
                <c:pt idx="1382">
                  <c:v>0.123973637200403</c:v>
                </c:pt>
                <c:pt idx="1383">
                  <c:v>0.12397264910204431</c:v>
                </c:pt>
                <c:pt idx="1384">
                  <c:v>0.12397166243054425</c:v>
                </c:pt>
                <c:pt idx="1385">
                  <c:v>0.1239706771828164</c:v>
                </c:pt>
                <c:pt idx="1386">
                  <c:v>0.12396969335579655</c:v>
                </c:pt>
                <c:pt idx="1387">
                  <c:v>0.12396871094639828</c:v>
                </c:pt>
                <c:pt idx="1388">
                  <c:v>0.12396772995157956</c:v>
                </c:pt>
                <c:pt idx="1389">
                  <c:v>0.1239667503682762</c:v>
                </c:pt>
                <c:pt idx="1390">
                  <c:v>0.12396577219342397</c:v>
                </c:pt>
                <c:pt idx="1391">
                  <c:v>0.12396479542400307</c:v>
                </c:pt>
                <c:pt idx="1392">
                  <c:v>0.12396382005701589</c:v>
                </c:pt>
                <c:pt idx="1393">
                  <c:v>0.12396284608939823</c:v>
                </c:pt>
                <c:pt idx="1394">
                  <c:v>0.12396187351815247</c:v>
                </c:pt>
                <c:pt idx="1395">
                  <c:v>0.12396090234030321</c:v>
                </c:pt>
                <c:pt idx="1396">
                  <c:v>0.12395993255283067</c:v>
                </c:pt>
                <c:pt idx="1397">
                  <c:v>0.12395896415275942</c:v>
                </c:pt>
                <c:pt idx="1398">
                  <c:v>0.12395799713709188</c:v>
                </c:pt>
                <c:pt idx="1399">
                  <c:v>0.12395703150291926</c:v>
                </c:pt>
                <c:pt idx="1400">
                  <c:v>0.12395606724724395</c:v>
                </c:pt>
                <c:pt idx="1401">
                  <c:v>0.12395510436711277</c:v>
                </c:pt>
                <c:pt idx="1402">
                  <c:v>0.12395414285959472</c:v>
                </c:pt>
                <c:pt idx="1403">
                  <c:v>0.12395318272173661</c:v>
                </c:pt>
                <c:pt idx="1404">
                  <c:v>0.12395222395065186</c:v>
                </c:pt>
                <c:pt idx="1405">
                  <c:v>0.12395126654340949</c:v>
                </c:pt>
                <c:pt idx="1406">
                  <c:v>0.1239503104970785</c:v>
                </c:pt>
                <c:pt idx="1407">
                  <c:v>0.12394935580879451</c:v>
                </c:pt>
                <c:pt idx="1408">
                  <c:v>0.12394840247564876</c:v>
                </c:pt>
                <c:pt idx="1409">
                  <c:v>0.12394745049473244</c:v>
                </c:pt>
                <c:pt idx="1410">
                  <c:v>0.12394649986322559</c:v>
                </c:pt>
                <c:pt idx="1411">
                  <c:v>0.12394555057821943</c:v>
                </c:pt>
                <c:pt idx="1412">
                  <c:v>0.12394460263684959</c:v>
                </c:pt>
                <c:pt idx="1413">
                  <c:v>0.12394365603629609</c:v>
                </c:pt>
                <c:pt idx="1414">
                  <c:v>0.12394271077371677</c:v>
                </c:pt>
                <c:pt idx="1415">
                  <c:v>0.12394176684624725</c:v>
                </c:pt>
                <c:pt idx="1416">
                  <c:v>0.12394082425108977</c:v>
                </c:pt>
                <c:pt idx="1417">
                  <c:v>0.12393988298540215</c:v>
                </c:pt>
                <c:pt idx="1418">
                  <c:v>0.12393894304638664</c:v>
                </c:pt>
                <c:pt idx="1419">
                  <c:v>0.12393800443124547</c:v>
                </c:pt>
                <c:pt idx="1420">
                  <c:v>0.12393706713715869</c:v>
                </c:pt>
                <c:pt idx="1421">
                  <c:v>0.12393613116137292</c:v>
                </c:pt>
                <c:pt idx="1422">
                  <c:v>0.12393519650106821</c:v>
                </c:pt>
                <c:pt idx="1423">
                  <c:v>0.12393426315351341</c:v>
                </c:pt>
                <c:pt idx="1424">
                  <c:v>0.12393333111593297</c:v>
                </c:pt>
                <c:pt idx="1425">
                  <c:v>0.12393240038557352</c:v>
                </c:pt>
                <c:pt idx="1426">
                  <c:v>0.12393147095965951</c:v>
                </c:pt>
                <c:pt idx="1427">
                  <c:v>0.12393054283548199</c:v>
                </c:pt>
                <c:pt idx="1428">
                  <c:v>0.12392961601030983</c:v>
                </c:pt>
                <c:pt idx="1429">
                  <c:v>0.12392869048138966</c:v>
                </c:pt>
                <c:pt idx="1430">
                  <c:v>0.12392776624601254</c:v>
                </c:pt>
                <c:pt idx="1431">
                  <c:v>0.12392684330149173</c:v>
                </c:pt>
                <c:pt idx="1432">
                  <c:v>0.12392592164509608</c:v>
                </c:pt>
                <c:pt idx="1433">
                  <c:v>0.12392500127416106</c:v>
                </c:pt>
                <c:pt idx="1434">
                  <c:v>0.12392408218595552</c:v>
                </c:pt>
                <c:pt idx="1435">
                  <c:v>0.12392316437783713</c:v>
                </c:pt>
                <c:pt idx="1436">
                  <c:v>0.12392224784711914</c:v>
                </c:pt>
                <c:pt idx="1437">
                  <c:v>0.12392133259115923</c:v>
                </c:pt>
                <c:pt idx="1438">
                  <c:v>0.12392041860724845</c:v>
                </c:pt>
                <c:pt idx="1439">
                  <c:v>0.12391950589278888</c:v>
                </c:pt>
                <c:pt idx="1440">
                  <c:v>0.12391859444511599</c:v>
                </c:pt>
                <c:pt idx="1441">
                  <c:v>0.12391768426158745</c:v>
                </c:pt>
                <c:pt idx="1442">
                  <c:v>0.12391677533958312</c:v>
                </c:pt>
                <c:pt idx="1443">
                  <c:v>0.12391586767648288</c:v>
                </c:pt>
                <c:pt idx="1444">
                  <c:v>0.12391496126968882</c:v>
                </c:pt>
                <c:pt idx="1445">
                  <c:v>0.12391405611655859</c:v>
                </c:pt>
                <c:pt idx="1446">
                  <c:v>0.12391315221451649</c:v>
                </c:pt>
                <c:pt idx="1447">
                  <c:v>0.12391224956096458</c:v>
                </c:pt>
                <c:pt idx="1448">
                  <c:v>0.12391134815332716</c:v>
                </c:pt>
                <c:pt idx="1449">
                  <c:v>0.1239104479890063</c:v>
                </c:pt>
                <c:pt idx="1450">
                  <c:v>0.12390954906544849</c:v>
                </c:pt>
                <c:pt idx="1451">
                  <c:v>0.12390865138007801</c:v>
                </c:pt>
                <c:pt idx="1452">
                  <c:v>0.12390775493036355</c:v>
                </c:pt>
                <c:pt idx="1453">
                  <c:v>0.12390685971372939</c:v>
                </c:pt>
                <c:pt idx="1454">
                  <c:v>0.12390596572764423</c:v>
                </c:pt>
                <c:pt idx="1455">
                  <c:v>0.12390507296955455</c:v>
                </c:pt>
                <c:pt idx="1456">
                  <c:v>0.12390418143697346</c:v>
                </c:pt>
                <c:pt idx="1457">
                  <c:v>0.12390329112732523</c:v>
                </c:pt>
                <c:pt idx="1458">
                  <c:v>0.12390240203814518</c:v>
                </c:pt>
                <c:pt idx="1459">
                  <c:v>0.12390151416690198</c:v>
                </c:pt>
                <c:pt idx="1460">
                  <c:v>0.12390062751108655</c:v>
                </c:pt>
                <c:pt idx="1461">
                  <c:v>0.12389974206821197</c:v>
                </c:pt>
                <c:pt idx="1462">
                  <c:v>0.12389885783579135</c:v>
                </c:pt>
                <c:pt idx="1463">
                  <c:v>0.12389797481136</c:v>
                </c:pt>
                <c:pt idx="1464">
                  <c:v>0.12389709299243101</c:v>
                </c:pt>
                <c:pt idx="1465">
                  <c:v>0.12389621237651749</c:v>
                </c:pt>
                <c:pt idx="1466">
                  <c:v>0.12389533296119914</c:v>
                </c:pt>
                <c:pt idx="1467">
                  <c:v>0.12389445474398908</c:v>
                </c:pt>
                <c:pt idx="1468">
                  <c:v>0.12389357772246701</c:v>
                </c:pt>
                <c:pt idx="1469">
                  <c:v>0.12389270189416823</c:v>
                </c:pt>
                <c:pt idx="1470">
                  <c:v>0.12389182725667247</c:v>
                </c:pt>
                <c:pt idx="1471">
                  <c:v>0.12389095380753723</c:v>
                </c:pt>
                <c:pt idx="1472">
                  <c:v>0.12389008154438663</c:v>
                </c:pt>
                <c:pt idx="1473">
                  <c:v>0.12388921046475598</c:v>
                </c:pt>
                <c:pt idx="1474">
                  <c:v>0.1238883405662472</c:v>
                </c:pt>
                <c:pt idx="1475">
                  <c:v>0.12388747184648441</c:v>
                </c:pt>
                <c:pt idx="1476">
                  <c:v>0.12388660430306953</c:v>
                </c:pt>
                <c:pt idx="1477">
                  <c:v>0.12388573793358226</c:v>
                </c:pt>
                <c:pt idx="1478">
                  <c:v>0.12388487273566895</c:v>
                </c:pt>
                <c:pt idx="1479">
                  <c:v>0.12388400870697591</c:v>
                </c:pt>
                <c:pt idx="1480">
                  <c:v>0.12388314584508286</c:v>
                </c:pt>
                <c:pt idx="1481">
                  <c:v>0.12388228414763613</c:v>
                </c:pt>
                <c:pt idx="1482">
                  <c:v>0.12388142361232646</c:v>
                </c:pt>
                <c:pt idx="1483">
                  <c:v>0.12388056423677796</c:v>
                </c:pt>
                <c:pt idx="1484">
                  <c:v>0.12387970601863696</c:v>
                </c:pt>
                <c:pt idx="1485">
                  <c:v>0.123878848955572</c:v>
                </c:pt>
                <c:pt idx="1486">
                  <c:v>0.1238779930452516</c:v>
                </c:pt>
                <c:pt idx="1487">
                  <c:v>0.1238771382853443</c:v>
                </c:pt>
                <c:pt idx="1488">
                  <c:v>0.12387628467356304</c:v>
                </c:pt>
                <c:pt idx="1489">
                  <c:v>0.12387543220757635</c:v>
                </c:pt>
                <c:pt idx="1490">
                  <c:v>0.12387458088507497</c:v>
                </c:pt>
                <c:pt idx="1491">
                  <c:v>0.12387373070377183</c:v>
                </c:pt>
                <c:pt idx="1492">
                  <c:v>0.12387288166135768</c:v>
                </c:pt>
                <c:pt idx="1493">
                  <c:v>0.12387203375554545</c:v>
                </c:pt>
                <c:pt idx="1494">
                  <c:v>0.12387118698407029</c:v>
                </c:pt>
                <c:pt idx="1495">
                  <c:v>0.12387034134464514</c:v>
                </c:pt>
                <c:pt idx="1496">
                  <c:v>0.12386949683500514</c:v>
                </c:pt>
                <c:pt idx="1497">
                  <c:v>0.12386865345290765</c:v>
                </c:pt>
                <c:pt idx="1498">
                  <c:v>0.1238678111960656</c:v>
                </c:pt>
                <c:pt idx="1499">
                  <c:v>0.12386697006223635</c:v>
                </c:pt>
                <c:pt idx="1500">
                  <c:v>0.12386613004917724</c:v>
                </c:pt>
                <c:pt idx="1501">
                  <c:v>0.12386529115464562</c:v>
                </c:pt>
                <c:pt idx="1502">
                  <c:v>0.12386445337644325</c:v>
                </c:pt>
                <c:pt idx="1503">
                  <c:v>0.12386361671228308</c:v>
                </c:pt>
                <c:pt idx="1504">
                  <c:v>0.12386278115998905</c:v>
                </c:pt>
                <c:pt idx="1505">
                  <c:v>0.12386194671734074</c:v>
                </c:pt>
                <c:pt idx="1506">
                  <c:v>0.12386111338209549</c:v>
                </c:pt>
                <c:pt idx="1507">
                  <c:v>0.12386028115209946</c:v>
                </c:pt>
                <c:pt idx="1508">
                  <c:v>0.12385945002513221</c:v>
                </c:pt>
                <c:pt idx="1509">
                  <c:v>0.1238586199989955</c:v>
                </c:pt>
                <c:pt idx="1510">
                  <c:v>0.12385779107151329</c:v>
                </c:pt>
                <c:pt idx="1511">
                  <c:v>0.12385696324048734</c:v>
                </c:pt>
                <c:pt idx="1512">
                  <c:v>0.12385613650378602</c:v>
                </c:pt>
                <c:pt idx="1513">
                  <c:v>0.12385531085918888</c:v>
                </c:pt>
                <c:pt idx="1514">
                  <c:v>0.12385448630458651</c:v>
                </c:pt>
                <c:pt idx="1515">
                  <c:v>0.12385366283775845</c:v>
                </c:pt>
                <c:pt idx="1516">
                  <c:v>0.12385284045661749</c:v>
                </c:pt>
                <c:pt idx="1517">
                  <c:v>0.12385201915896538</c:v>
                </c:pt>
                <c:pt idx="1518">
                  <c:v>0.1238511989427149</c:v>
                </c:pt>
                <c:pt idx="1519">
                  <c:v>0.12385037980569003</c:v>
                </c:pt>
                <c:pt idx="1520">
                  <c:v>0.12384956174575912</c:v>
                </c:pt>
                <c:pt idx="1521">
                  <c:v>0.12384874476083496</c:v>
                </c:pt>
                <c:pt idx="1522">
                  <c:v>0.12384792884878593</c:v>
                </c:pt>
                <c:pt idx="1523">
                  <c:v>0.12384711400748039</c:v>
                </c:pt>
                <c:pt idx="1524">
                  <c:v>0.12384630023483112</c:v>
                </c:pt>
                <c:pt idx="1525">
                  <c:v>0.1238454875287287</c:v>
                </c:pt>
                <c:pt idx="1526">
                  <c:v>0.12384467588706372</c:v>
                </c:pt>
                <c:pt idx="1527">
                  <c:v>0.12384386530779334</c:v>
                </c:pt>
                <c:pt idx="1528">
                  <c:v>0.12384305578878596</c:v>
                </c:pt>
                <c:pt idx="1529">
                  <c:v>0.12384224732797655</c:v>
                </c:pt>
                <c:pt idx="1530">
                  <c:v>0.1238414399233001</c:v>
                </c:pt>
                <c:pt idx="1531">
                  <c:v>0.12384063357269159</c:v>
                </c:pt>
                <c:pt idx="1532">
                  <c:v>0.12383982827408602</c:v>
                </c:pt>
                <c:pt idx="1533">
                  <c:v>0.12383902402539615</c:v>
                </c:pt>
                <c:pt idx="1534">
                  <c:v>0.12383822082462359</c:v>
                </c:pt>
                <c:pt idx="1535">
                  <c:v>0.12383741866965892</c:v>
                </c:pt>
                <c:pt idx="1536">
                  <c:v>0.12383661755850373</c:v>
                </c:pt>
                <c:pt idx="1537">
                  <c:v>0.12383581748911521</c:v>
                </c:pt>
                <c:pt idx="1538">
                  <c:v>0.12383501845947276</c:v>
                </c:pt>
                <c:pt idx="1539">
                  <c:v>0.12383422046753356</c:v>
                </c:pt>
                <c:pt idx="1540">
                  <c:v>0.12383342351127702</c:v>
                </c:pt>
                <c:pt idx="1541">
                  <c:v>0.12383262758868252</c:v>
                </c:pt>
                <c:pt idx="1542">
                  <c:v>0.12383183269775166</c:v>
                </c:pt>
                <c:pt idx="1543">
                  <c:v>0.12383103883648605</c:v>
                </c:pt>
                <c:pt idx="1544">
                  <c:v>0.12383024600288728</c:v>
                </c:pt>
                <c:pt idx="1545">
                  <c:v>0.12382945419493474</c:v>
                </c:pt>
                <c:pt idx="1546">
                  <c:v>0.12382866341065224</c:v>
                </c:pt>
                <c:pt idx="1547">
                  <c:v>0.12382787364808578</c:v>
                </c:pt>
                <c:pt idx="1548">
                  <c:v>0.12382708490521477</c:v>
                </c:pt>
                <c:pt idx="1549">
                  <c:v>0.1238262971800852</c:v>
                </c:pt>
                <c:pt idx="1550">
                  <c:v>0.12382551047074308</c:v>
                </c:pt>
                <c:pt idx="1551">
                  <c:v>0.12382472477519002</c:v>
                </c:pt>
                <c:pt idx="1552">
                  <c:v>0.12382394009149422</c:v>
                </c:pt>
                <c:pt idx="1553">
                  <c:v>0.12382315641767949</c:v>
                </c:pt>
                <c:pt idx="1554">
                  <c:v>0.12382237375181404</c:v>
                </c:pt>
                <c:pt idx="1555">
                  <c:v>0.12382159209196608</c:v>
                </c:pt>
                <c:pt idx="1556">
                  <c:v>0.12382081143618162</c:v>
                </c:pt>
                <c:pt idx="1557">
                  <c:v>0.12382003178252887</c:v>
                </c:pt>
                <c:pt idx="1558">
                  <c:v>0.12381925312905384</c:v>
                </c:pt>
                <c:pt idx="1559">
                  <c:v>0.12381847547389135</c:v>
                </c:pt>
                <c:pt idx="1560">
                  <c:v>0.12381769881506521</c:v>
                </c:pt>
                <c:pt idx="1561">
                  <c:v>0.12381692315071025</c:v>
                </c:pt>
                <c:pt idx="1562">
                  <c:v>0.12381614847887246</c:v>
                </c:pt>
                <c:pt idx="1563">
                  <c:v>0.12381537479768667</c:v>
                </c:pt>
                <c:pt idx="1564">
                  <c:v>0.12381460210522111</c:v>
                </c:pt>
                <c:pt idx="1565">
                  <c:v>0.12381383039961058</c:v>
                </c:pt>
                <c:pt idx="1566">
                  <c:v>0.12381305967894551</c:v>
                </c:pt>
                <c:pt idx="1567">
                  <c:v>0.12381228994133853</c:v>
                </c:pt>
                <c:pt idx="1568">
                  <c:v>0.12381152118494665</c:v>
                </c:pt>
                <c:pt idx="1569">
                  <c:v>0.12381075340783809</c:v>
                </c:pt>
                <c:pt idx="1570">
                  <c:v>0.12380998660819209</c:v>
                </c:pt>
                <c:pt idx="1571">
                  <c:v>0.12380952647625953</c:v>
                </c:pt>
                <c:pt idx="1572">
                  <c:v>0.1238090669293701</c:v>
                </c:pt>
                <c:pt idx="1573">
                  <c:v>0.12380860796641358</c:v>
                </c:pt>
                <c:pt idx="1574">
                  <c:v>0.12380814958625752</c:v>
                </c:pt>
                <c:pt idx="1575">
                  <c:v>0.12380769178779172</c:v>
                </c:pt>
                <c:pt idx="1576">
                  <c:v>0.12380723456992815</c:v>
                </c:pt>
                <c:pt idx="1577">
                  <c:v>0.12380677793157879</c:v>
                </c:pt>
                <c:pt idx="1578">
                  <c:v>0.12380632187158902</c:v>
                </c:pt>
                <c:pt idx="1579">
                  <c:v>0.12380586638891522</c:v>
                </c:pt>
                <c:pt idx="1580">
                  <c:v>0.12380541148244717</c:v>
                </c:pt>
                <c:pt idx="1581">
                  <c:v>0.12380495715105244</c:v>
                </c:pt>
                <c:pt idx="1582">
                  <c:v>0.12380450339368743</c:v>
                </c:pt>
                <c:pt idx="1583">
                  <c:v>0.1238040502092641</c:v>
                </c:pt>
                <c:pt idx="1584">
                  <c:v>0.12380359759667225</c:v>
                </c:pt>
                <c:pt idx="1585">
                  <c:v>0.12380314555484606</c:v>
                </c:pt>
                <c:pt idx="1586">
                  <c:v>0.12380269408269751</c:v>
                </c:pt>
                <c:pt idx="1587">
                  <c:v>0.12380224317916078</c:v>
                </c:pt>
                <c:pt idx="1588">
                  <c:v>0.12380179284314785</c:v>
                </c:pt>
                <c:pt idx="1589">
                  <c:v>0.12380134307361512</c:v>
                </c:pt>
                <c:pt idx="1590">
                  <c:v>0.12380089386947457</c:v>
                </c:pt>
                <c:pt idx="1591">
                  <c:v>0.12380044522963818</c:v>
                </c:pt>
                <c:pt idx="1592">
                  <c:v>0.12379999715308454</c:v>
                </c:pt>
                <c:pt idx="1593">
                  <c:v>0.12379954963874784</c:v>
                </c:pt>
                <c:pt idx="1594">
                  <c:v>0.12379910268554006</c:v>
                </c:pt>
                <c:pt idx="1595">
                  <c:v>0.1237986562924398</c:v>
                </c:pt>
                <c:pt idx="1596">
                  <c:v>0.12379821045838124</c:v>
                </c:pt>
                <c:pt idx="1597">
                  <c:v>0.12379776518229857</c:v>
                </c:pt>
                <c:pt idx="1598">
                  <c:v>0.12379732046317038</c:v>
                </c:pt>
                <c:pt idx="1599">
                  <c:v>0.12379687629995306</c:v>
                </c:pt>
                <c:pt idx="1600">
                  <c:v>0.1237964326915808</c:v>
                </c:pt>
                <c:pt idx="1601">
                  <c:v>0.1237959896370322</c:v>
                </c:pt>
                <c:pt idx="1602">
                  <c:v>0.12379554713526364</c:v>
                </c:pt>
                <c:pt idx="1603">
                  <c:v>0.12379510518525372</c:v>
                </c:pt>
                <c:pt idx="1604">
                  <c:v>0.12379466378595883</c:v>
                </c:pt>
                <c:pt idx="1605">
                  <c:v>0.12379422293635756</c:v>
                </c:pt>
                <c:pt idx="1606">
                  <c:v>0.12379378263542851</c:v>
                </c:pt>
                <c:pt idx="1607">
                  <c:v>0.12379334288212807</c:v>
                </c:pt>
                <c:pt idx="1608">
                  <c:v>0.12379290367543483</c:v>
                </c:pt>
                <c:pt idx="1609">
                  <c:v>0.1237924650143496</c:v>
                </c:pt>
                <c:pt idx="1610">
                  <c:v>0.12379202689785096</c:v>
                </c:pt>
                <c:pt idx="1611">
                  <c:v>0.12379158932493972</c:v>
                </c:pt>
                <c:pt idx="1612">
                  <c:v>0.12379115229457227</c:v>
                </c:pt>
                <c:pt idx="1613">
                  <c:v>0.12379071580574941</c:v>
                </c:pt>
                <c:pt idx="1614">
                  <c:v>0.12379027985747193</c:v>
                </c:pt>
                <c:pt idx="1615">
                  <c:v>0.12378984444874064</c:v>
                </c:pt>
                <c:pt idx="1616">
                  <c:v>0.12378940957855633</c:v>
                </c:pt>
                <c:pt idx="1617">
                  <c:v>0.12378897524591981</c:v>
                </c:pt>
                <c:pt idx="1618">
                  <c:v>0.12378854144980966</c:v>
                </c:pt>
                <c:pt idx="1619">
                  <c:v>0.12378810818927111</c:v>
                </c:pt>
                <c:pt idx="1620">
                  <c:v>0.12378767546328273</c:v>
                </c:pt>
                <c:pt idx="1621">
                  <c:v>0.12378724327086754</c:v>
                </c:pt>
                <c:pt idx="1622">
                  <c:v>0.12378681161104854</c:v>
                </c:pt>
                <c:pt idx="1623">
                  <c:v>0.12378638048282653</c:v>
                </c:pt>
                <c:pt idx="1624">
                  <c:v>0.12378594988522451</c:v>
                </c:pt>
                <c:pt idx="1625">
                  <c:v>0.12378551981726549</c:v>
                </c:pt>
                <c:pt idx="1626">
                  <c:v>0.12378509027795026</c:v>
                </c:pt>
                <c:pt idx="1627">
                  <c:v>0.12378466126634624</c:v>
                </c:pt>
                <c:pt idx="1628">
                  <c:v>0.12378423278147643</c:v>
                </c:pt>
                <c:pt idx="1629">
                  <c:v>0.12378380482234164</c:v>
                </c:pt>
                <c:pt idx="1630">
                  <c:v>0.12378337738798706</c:v>
                </c:pt>
                <c:pt idx="1631">
                  <c:v>0.12378295047745791</c:v>
                </c:pt>
                <c:pt idx="1632">
                  <c:v>0.12378252408977719</c:v>
                </c:pt>
                <c:pt idx="1633">
                  <c:v>0.12378209822401232</c:v>
                </c:pt>
                <c:pt idx="1634">
                  <c:v>0.12378167287916408</c:v>
                </c:pt>
                <c:pt idx="1635">
                  <c:v>0.12378124805429991</c:v>
                </c:pt>
                <c:pt idx="1636">
                  <c:v>0.123780823748465</c:v>
                </c:pt>
                <c:pt idx="1637">
                  <c:v>0.12378039996072676</c:v>
                </c:pt>
                <c:pt idx="1638">
                  <c:v>0.12377997669010821</c:v>
                </c:pt>
                <c:pt idx="1639">
                  <c:v>0.12377955393567674</c:v>
                </c:pt>
                <c:pt idx="1640">
                  <c:v>0.12377913169649979</c:v>
                </c:pt>
                <c:pt idx="1641">
                  <c:v>0.12377870997160034</c:v>
                </c:pt>
                <c:pt idx="1642">
                  <c:v>0.12377828876006802</c:v>
                </c:pt>
                <c:pt idx="1643">
                  <c:v>0.12377786806097024</c:v>
                </c:pt>
                <c:pt idx="1644">
                  <c:v>0.12377744787335221</c:v>
                </c:pt>
                <c:pt idx="1645">
                  <c:v>0.12377702819630354</c:v>
                </c:pt>
                <c:pt idx="1646">
                  <c:v>0.12377660902886944</c:v>
                </c:pt>
                <c:pt idx="1647">
                  <c:v>0.12377619037013954</c:v>
                </c:pt>
                <c:pt idx="1648">
                  <c:v>0.12377577221920344</c:v>
                </c:pt>
                <c:pt idx="1649">
                  <c:v>0.12377535457508415</c:v>
                </c:pt>
                <c:pt idx="1650">
                  <c:v>0.1237749374369157</c:v>
                </c:pt>
                <c:pt idx="1651">
                  <c:v>0.1237745208037655</c:v>
                </c:pt>
                <c:pt idx="1652">
                  <c:v>0.12377410467470096</c:v>
                </c:pt>
                <c:pt idx="1653">
                  <c:v>0.1237736890488117</c:v>
                </c:pt>
                <c:pt idx="1654">
                  <c:v>0.12377327392520954</c:v>
                </c:pt>
                <c:pt idx="1655">
                  <c:v>0.12377285930293969</c:v>
                </c:pt>
                <c:pt idx="1656">
                  <c:v>0.12377244518113617</c:v>
                </c:pt>
                <c:pt idx="1657">
                  <c:v>0.12377203155888861</c:v>
                </c:pt>
                <c:pt idx="1658">
                  <c:v>0.12377161843526441</c:v>
                </c:pt>
                <c:pt idx="1659">
                  <c:v>0.1237712058093976</c:v>
                </c:pt>
                <c:pt idx="1660">
                  <c:v>0.1237707936803556</c:v>
                </c:pt>
                <c:pt idx="1661">
                  <c:v>0.12377038204727242</c:v>
                </c:pt>
                <c:pt idx="1662">
                  <c:v>0.12376997090923769</c:v>
                </c:pt>
                <c:pt idx="1663">
                  <c:v>0.12376956026534103</c:v>
                </c:pt>
                <c:pt idx="1664">
                  <c:v>0.12376915011473866</c:v>
                </c:pt>
                <c:pt idx="1665">
                  <c:v>0.12376874045649799</c:v>
                </c:pt>
                <c:pt idx="1666">
                  <c:v>0.12376833128975306</c:v>
                </c:pt>
                <c:pt idx="1667">
                  <c:v>0.12376792261363789</c:v>
                </c:pt>
                <c:pt idx="1668">
                  <c:v>0.12376751442721989</c:v>
                </c:pt>
                <c:pt idx="1669">
                  <c:v>0.1237671067296775</c:v>
                </c:pt>
                <c:pt idx="1670">
                  <c:v>0.12376669952007813</c:v>
                </c:pt>
                <c:pt idx="1671">
                  <c:v>0.12376629279760021</c:v>
                </c:pt>
                <c:pt idx="1672">
                  <c:v>0.12376588656131116</c:v>
                </c:pt>
                <c:pt idx="1673">
                  <c:v>0.12376548081038941</c:v>
                </c:pt>
                <c:pt idx="1674">
                  <c:v>0.12376507554396898</c:v>
                </c:pt>
                <c:pt idx="1675">
                  <c:v>0.12376467076113951</c:v>
                </c:pt>
                <c:pt idx="1676">
                  <c:v>0.1237642664610572</c:v>
                </c:pt>
                <c:pt idx="1677">
                  <c:v>0.1237638626428561</c:v>
                </c:pt>
                <c:pt idx="1678">
                  <c:v>0.12376345930569244</c:v>
                </c:pt>
                <c:pt idx="1679">
                  <c:v>0.12376305644867802</c:v>
                </c:pt>
                <c:pt idx="1680">
                  <c:v>0.1237626540709913</c:v>
                </c:pt>
                <c:pt idx="1681">
                  <c:v>0.12376225217174408</c:v>
                </c:pt>
                <c:pt idx="1682">
                  <c:v>0.12376185075009261</c:v>
                </c:pt>
                <c:pt idx="1683">
                  <c:v>0.1237614498051931</c:v>
                </c:pt>
                <c:pt idx="1684">
                  <c:v>0.1237610493362018</c:v>
                </c:pt>
                <c:pt idx="1685">
                  <c:v>0.12376064934227493</c:v>
                </c:pt>
                <c:pt idx="1686">
                  <c:v>0.12376024982252432</c:v>
                </c:pt>
                <c:pt idx="1687">
                  <c:v>0.1237598507761728</c:v>
                </c:pt>
                <c:pt idx="1688">
                  <c:v>0.1237594522023322</c:v>
                </c:pt>
                <c:pt idx="1689">
                  <c:v>0.12375905410018095</c:v>
                </c:pt>
                <c:pt idx="1690">
                  <c:v>0.12375865646887529</c:v>
                </c:pt>
                <c:pt idx="1691">
                  <c:v>0.12375825930759365</c:v>
                </c:pt>
                <c:pt idx="1692">
                  <c:v>0.12375786261547006</c:v>
                </c:pt>
                <c:pt idx="1693">
                  <c:v>0.12375746639172736</c:v>
                </c:pt>
                <c:pt idx="1694">
                  <c:v>0.12375707063549957</c:v>
                </c:pt>
                <c:pt idx="1695">
                  <c:v>0.12375667534594292</c:v>
                </c:pt>
                <c:pt idx="1696">
                  <c:v>0.12375628052228027</c:v>
                </c:pt>
                <c:pt idx="1697">
                  <c:v>0.12375588616366784</c:v>
                </c:pt>
                <c:pt idx="1698">
                  <c:v>0.12375549226926186</c:v>
                </c:pt>
                <c:pt idx="1699">
                  <c:v>0.12375509883828517</c:v>
                </c:pt>
                <c:pt idx="1700">
                  <c:v>0.12375470586987181</c:v>
                </c:pt>
                <c:pt idx="1701">
                  <c:v>0.12375431336326681</c:v>
                </c:pt>
                <c:pt idx="1702">
                  <c:v>0.12375392131760421</c:v>
                </c:pt>
                <c:pt idx="1703">
                  <c:v>0.12375352973208464</c:v>
                </c:pt>
                <c:pt idx="1704">
                  <c:v>0.12375313860590875</c:v>
                </c:pt>
                <c:pt idx="1705">
                  <c:v>0.12375274793825497</c:v>
                </c:pt>
                <c:pt idx="1706">
                  <c:v>0.12375235772834614</c:v>
                </c:pt>
                <c:pt idx="1707">
                  <c:v>0.12375196797533849</c:v>
                </c:pt>
                <c:pt idx="1708">
                  <c:v>0.12375157867847708</c:v>
                </c:pt>
                <c:pt idx="1709">
                  <c:v>0.12375118983691813</c:v>
                </c:pt>
                <c:pt idx="1710">
                  <c:v>0.12375080144988448</c:v>
                </c:pt>
                <c:pt idx="1711">
                  <c:v>0.12375041351655458</c:v>
                </c:pt>
                <c:pt idx="1712">
                  <c:v>0.12375002603617347</c:v>
                </c:pt>
                <c:pt idx="1713">
                  <c:v>0.12374963900794178</c:v>
                </c:pt>
                <c:pt idx="1714">
                  <c:v>0.12374925243103796</c:v>
                </c:pt>
                <c:pt idx="1715">
                  <c:v>0.12374886630470705</c:v>
                </c:pt>
                <c:pt idx="1716">
                  <c:v>0.12374848062812749</c:v>
                </c:pt>
                <c:pt idx="1717">
                  <c:v>0.12374809540054432</c:v>
                </c:pt>
                <c:pt idx="1718">
                  <c:v>0.12374771062115819</c:v>
                </c:pt>
                <c:pt idx="1719">
                  <c:v>0.12374732628919194</c:v>
                </c:pt>
                <c:pt idx="1720">
                  <c:v>0.12374694240386841</c:v>
                </c:pt>
                <c:pt idx="1721">
                  <c:v>0.12374655896441045</c:v>
                </c:pt>
                <c:pt idx="1722">
                  <c:v>0.12374617597001869</c:v>
                </c:pt>
                <c:pt idx="1723">
                  <c:v>0.12374579341996039</c:v>
                </c:pt>
                <c:pt idx="1724">
                  <c:v>0.12374541131343619</c:v>
                </c:pt>
                <c:pt idx="1725">
                  <c:v>0.12374502964966894</c:v>
                </c:pt>
                <c:pt idx="1726">
                  <c:v>0.12374464842790367</c:v>
                </c:pt>
                <c:pt idx="1727">
                  <c:v>0.12374426764736324</c:v>
                </c:pt>
                <c:pt idx="1728">
                  <c:v>0.12374388730729269</c:v>
                </c:pt>
                <c:pt idx="1729">
                  <c:v>0.12374350740691487</c:v>
                </c:pt>
                <c:pt idx="1730">
                  <c:v>0.12374312794549702</c:v>
                </c:pt>
                <c:pt idx="1731">
                  <c:v>0.1237427489222398</c:v>
                </c:pt>
                <c:pt idx="1732">
                  <c:v>0.12374237033641045</c:v>
                </c:pt>
                <c:pt idx="1733">
                  <c:v>0.12374199218723181</c:v>
                </c:pt>
                <c:pt idx="1734">
                  <c:v>0.12374161447397114</c:v>
                </c:pt>
                <c:pt idx="1735">
                  <c:v>0.12374123719587349</c:v>
                </c:pt>
                <c:pt idx="1736">
                  <c:v>0.1237408603521617</c:v>
                </c:pt>
                <c:pt idx="1737">
                  <c:v>0.12374048394210302</c:v>
                </c:pt>
                <c:pt idx="1738">
                  <c:v>0.12374010796496471</c:v>
                </c:pt>
                <c:pt idx="1739">
                  <c:v>0.12373973241999181</c:v>
                </c:pt>
                <c:pt idx="1740">
                  <c:v>0.12373935730640717</c:v>
                </c:pt>
                <c:pt idx="1741">
                  <c:v>0.12373898262352245</c:v>
                </c:pt>
                <c:pt idx="1742">
                  <c:v>0.12373860837053829</c:v>
                </c:pt>
                <c:pt idx="1743">
                  <c:v>0.12373823454676636</c:v>
                </c:pt>
                <c:pt idx="1744">
                  <c:v>0.12373786115142948</c:v>
                </c:pt>
                <c:pt idx="1745">
                  <c:v>0.12373748818383934</c:v>
                </c:pt>
                <c:pt idx="1746">
                  <c:v>0.12373711564319656</c:v>
                </c:pt>
                <c:pt idx="1747">
                  <c:v>0.12373674352883501</c:v>
                </c:pt>
                <c:pt idx="1748">
                  <c:v>0.12373637183997754</c:v>
                </c:pt>
                <c:pt idx="1749">
                  <c:v>0.1237360005758914</c:v>
                </c:pt>
                <c:pt idx="1750">
                  <c:v>0.12373562973588825</c:v>
                </c:pt>
                <c:pt idx="1751">
                  <c:v>0.12373525931921314</c:v>
                </c:pt>
                <c:pt idx="1752">
                  <c:v>0.12373488932513332</c:v>
                </c:pt>
                <c:pt idx="1753">
                  <c:v>0.12373451975296046</c:v>
                </c:pt>
                <c:pt idx="1754">
                  <c:v>0.1237341506019618</c:v>
                </c:pt>
                <c:pt idx="1755">
                  <c:v>0.1237337818713824</c:v>
                </c:pt>
                <c:pt idx="1756">
                  <c:v>0.12373341356055612</c:v>
                </c:pt>
                <c:pt idx="1757">
                  <c:v>0.123733045668728</c:v>
                </c:pt>
                <c:pt idx="1758">
                  <c:v>0.12373267819520972</c:v>
                </c:pt>
                <c:pt idx="1759">
                  <c:v>0.12373231113926852</c:v>
                </c:pt>
                <c:pt idx="1760">
                  <c:v>0.12373194450019387</c:v>
                </c:pt>
                <c:pt idx="1761">
                  <c:v>0.12373157827729742</c:v>
                </c:pt>
                <c:pt idx="1762">
                  <c:v>0.12373121246984642</c:v>
                </c:pt>
                <c:pt idx="1763">
                  <c:v>0.12373084707715254</c:v>
                </c:pt>
                <c:pt idx="1764">
                  <c:v>0.12373048209848303</c:v>
                </c:pt>
                <c:pt idx="1765">
                  <c:v>0.12373011753317176</c:v>
                </c:pt>
                <c:pt idx="1766">
                  <c:v>0.12372975338050818</c:v>
                </c:pt>
                <c:pt idx="1767">
                  <c:v>0.12372938963975955</c:v>
                </c:pt>
                <c:pt idx="1768">
                  <c:v>0.12372902631025973</c:v>
                </c:pt>
                <c:pt idx="1769">
                  <c:v>0.12372866339132038</c:v>
                </c:pt>
                <c:pt idx="1770">
                  <c:v>0.12372830088220876</c:v>
                </c:pt>
                <c:pt idx="1771">
                  <c:v>0.12372793878225874</c:v>
                </c:pt>
                <c:pt idx="1772">
                  <c:v>0.12372757709075977</c:v>
                </c:pt>
                <c:pt idx="1773">
                  <c:v>0.12372721580704571</c:v>
                </c:pt>
                <c:pt idx="1774">
                  <c:v>0.12372685493040603</c:v>
                </c:pt>
                <c:pt idx="1775">
                  <c:v>0.12372649446015238</c:v>
                </c:pt>
                <c:pt idx="1776">
                  <c:v>0.12372613439561864</c:v>
                </c:pt>
                <c:pt idx="1777">
                  <c:v>0.12372577473611646</c:v>
                </c:pt>
                <c:pt idx="1778">
                  <c:v>0.1237254154809353</c:v>
                </c:pt>
                <c:pt idx="1779">
                  <c:v>0.12372505662943123</c:v>
                </c:pt>
                <c:pt idx="1780">
                  <c:v>0.12372469818089371</c:v>
                </c:pt>
                <c:pt idx="1781">
                  <c:v>0.12372434013465661</c:v>
                </c:pt>
                <c:pt idx="1782">
                  <c:v>0.12372398249005379</c:v>
                </c:pt>
                <c:pt idx="1783">
                  <c:v>0.1237236252463747</c:v>
                </c:pt>
                <c:pt idx="1784">
                  <c:v>0.12372326840299763</c:v>
                </c:pt>
                <c:pt idx="1785">
                  <c:v>0.12372291195921203</c:v>
                </c:pt>
                <c:pt idx="1786">
                  <c:v>0.12372255591435177</c:v>
                </c:pt>
                <c:pt idx="1787">
                  <c:v>0.12372220026775071</c:v>
                </c:pt>
                <c:pt idx="1788">
                  <c:v>0.12372184501876493</c:v>
                </c:pt>
                <c:pt idx="1789">
                  <c:v>0.12372149016668388</c:v>
                </c:pt>
                <c:pt idx="1790">
                  <c:v>0.12372113571088583</c:v>
                </c:pt>
                <c:pt idx="1791">
                  <c:v>0.12372078165066025</c:v>
                </c:pt>
                <c:pt idx="1792">
                  <c:v>0.12372042798538541</c:v>
                </c:pt>
                <c:pt idx="1793">
                  <c:v>0.12372007471439517</c:v>
                </c:pt>
                <c:pt idx="1794">
                  <c:v>0.1237197218370012</c:v>
                </c:pt>
                <c:pt idx="1795">
                  <c:v>0.12371936935260397</c:v>
                </c:pt>
                <c:pt idx="1796">
                  <c:v>0.12371901726049295</c:v>
                </c:pt>
                <c:pt idx="1797">
                  <c:v>0.1237186655600242</c:v>
                </c:pt>
                <c:pt idx="1798">
                  <c:v>0.1237183142505538</c:v>
                </c:pt>
                <c:pt idx="1799">
                  <c:v>0.12371796333143781</c:v>
                </c:pt>
                <c:pt idx="1800">
                  <c:v>0.1237176128020101</c:v>
                </c:pt>
                <c:pt idx="1801">
                  <c:v>0.12371726266162675</c:v>
                </c:pt>
                <c:pt idx="1802">
                  <c:v>0.12371691290964382</c:v>
                </c:pt>
                <c:pt idx="1803">
                  <c:v>0.12371656354541738</c:v>
                </c:pt>
                <c:pt idx="1804">
                  <c:v>0.1237162145682813</c:v>
                </c:pt>
                <c:pt idx="1805">
                  <c:v>0.12371586597763606</c:v>
                </c:pt>
                <c:pt idx="1806">
                  <c:v>0.12371551777279333</c:v>
                </c:pt>
                <c:pt idx="1807">
                  <c:v>0.12371516995315357</c:v>
                </c:pt>
                <c:pt idx="1808">
                  <c:v>0.12371482251805066</c:v>
                </c:pt>
                <c:pt idx="1809">
                  <c:v>0.12371447546686287</c:v>
                </c:pt>
                <c:pt idx="1810">
                  <c:v>0.12371412879892407</c:v>
                </c:pt>
                <c:pt idx="1811">
                  <c:v>0.12371378251363474</c:v>
                </c:pt>
                <c:pt idx="1812">
                  <c:v>0.12371343661035095</c:v>
                </c:pt>
                <c:pt idx="1813">
                  <c:v>0.12371309108845097</c:v>
                </c:pt>
                <c:pt idx="1814">
                  <c:v>0.12371274594726867</c:v>
                </c:pt>
                <c:pt idx="1815">
                  <c:v>0.12371240118620452</c:v>
                </c:pt>
                <c:pt idx="1816">
                  <c:v>0.12371205680463682</c:v>
                </c:pt>
                <c:pt idx="1817">
                  <c:v>0.12371171280192161</c:v>
                </c:pt>
                <c:pt idx="1818">
                  <c:v>0.12371136917743719</c:v>
                </c:pt>
                <c:pt idx="1819">
                  <c:v>0.12371102593058403</c:v>
                </c:pt>
                <c:pt idx="1820">
                  <c:v>0.12371068306069599</c:v>
                </c:pt>
                <c:pt idx="1821">
                  <c:v>0.12371034056717356</c:v>
                </c:pt>
                <c:pt idx="1822">
                  <c:v>0.12370999844941033</c:v>
                </c:pt>
                <c:pt idx="1823">
                  <c:v>0.12370896017213084</c:v>
                </c:pt>
                <c:pt idx="1824">
                  <c:v>0.12370792303268985</c:v>
                </c:pt>
                <c:pt idx="1825">
                  <c:v>0.12370688702920685</c:v>
                </c:pt>
                <c:pt idx="1826">
                  <c:v>0.12370585215986107</c:v>
                </c:pt>
                <c:pt idx="1827">
                  <c:v>0.12370481842276515</c:v>
                </c:pt>
                <c:pt idx="1828">
                  <c:v>0.12370378581607611</c:v>
                </c:pt>
                <c:pt idx="1829">
                  <c:v>0.12370275433790656</c:v>
                </c:pt>
                <c:pt idx="1830">
                  <c:v>0.12370172398643575</c:v>
                </c:pt>
                <c:pt idx="1831">
                  <c:v>0.12370069475982071</c:v>
                </c:pt>
                <c:pt idx="1832">
                  <c:v>0.12369966665621845</c:v>
                </c:pt>
                <c:pt idx="1833">
                  <c:v>0.12369863967378603</c:v>
                </c:pt>
                <c:pt idx="1834">
                  <c:v>0.12369761381068045</c:v>
                </c:pt>
                <c:pt idx="1835">
                  <c:v>0.12369658906508096</c:v>
                </c:pt>
                <c:pt idx="1836">
                  <c:v>0.1236955654351668</c:v>
                </c:pt>
                <c:pt idx="1837">
                  <c:v>0.12369454291911719</c:v>
                </c:pt>
                <c:pt idx="1838">
                  <c:v>0.12369352151513358</c:v>
                </c:pt>
                <c:pt idx="1839">
                  <c:v>0.12369250122135078</c:v>
                </c:pt>
                <c:pt idx="1840">
                  <c:v>0.12369148203601465</c:v>
                </c:pt>
                <c:pt idx="1841">
                  <c:v>0.12369046395728223</c:v>
                </c:pt>
                <c:pt idx="1842">
                  <c:v>0.12368944698335493</c:v>
                </c:pt>
                <c:pt idx="1843">
                  <c:v>0.12368843111247863</c:v>
                </c:pt>
                <c:pt idx="1844">
                  <c:v>0.12368741634278813</c:v>
                </c:pt>
                <c:pt idx="1845">
                  <c:v>0.12368640267257369</c:v>
                </c:pt>
                <c:pt idx="1846">
                  <c:v>0.12368539009999235</c:v>
                </c:pt>
                <c:pt idx="1847">
                  <c:v>0.12368437862326775</c:v>
                </c:pt>
                <c:pt idx="1848">
                  <c:v>0.12368336824064574</c:v>
                </c:pt>
                <c:pt idx="1849">
                  <c:v>0.12368235895032775</c:v>
                </c:pt>
                <c:pt idx="1850">
                  <c:v>0.12368135075055964</c:v>
                </c:pt>
                <c:pt idx="1851">
                  <c:v>0.12368034363958724</c:v>
                </c:pt>
                <c:pt idx="1852">
                  <c:v>0.12367933761561201</c:v>
                </c:pt>
                <c:pt idx="1853">
                  <c:v>0.12367833267690198</c:v>
                </c:pt>
                <c:pt idx="1854">
                  <c:v>0.12367732882168081</c:v>
                </c:pt>
                <c:pt idx="1855">
                  <c:v>0.12367632604823875</c:v>
                </c:pt>
                <c:pt idx="1856">
                  <c:v>0.12367532435477724</c:v>
                </c:pt>
                <c:pt idx="1857">
                  <c:v>0.12367432373956433</c:v>
                </c:pt>
                <c:pt idx="1858">
                  <c:v>0.12367332420089028</c:v>
                </c:pt>
                <c:pt idx="1859">
                  <c:v>0.12367232573700093</c:v>
                </c:pt>
                <c:pt idx="1860">
                  <c:v>0.12367132834614214</c:v>
                </c:pt>
                <c:pt idx="1861">
                  <c:v>0.12367033202662636</c:v>
                </c:pt>
                <c:pt idx="1862">
                  <c:v>0.12366933677669945</c:v>
                </c:pt>
                <c:pt idx="1863">
                  <c:v>0.12366834259465165</c:v>
                </c:pt>
                <c:pt idx="1864">
                  <c:v>0.12366734947875102</c:v>
                </c:pt>
                <c:pt idx="1865">
                  <c:v>0.12366635742728782</c:v>
                </c:pt>
                <c:pt idx="1866">
                  <c:v>0.12366536643857451</c:v>
                </c:pt>
                <c:pt idx="1867">
                  <c:v>0.12366437651087914</c:v>
                </c:pt>
                <c:pt idx="1868">
                  <c:v>0.12366338764249196</c:v>
                </c:pt>
                <c:pt idx="1869">
                  <c:v>0.12366239983174765</c:v>
                </c:pt>
                <c:pt idx="1870">
                  <c:v>0.12366141307691425</c:v>
                </c:pt>
                <c:pt idx="1871">
                  <c:v>0.12366042737632643</c:v>
                </c:pt>
                <c:pt idx="1872">
                  <c:v>0.12365944272829665</c:v>
                </c:pt>
                <c:pt idx="1873">
                  <c:v>0.12365845913111517</c:v>
                </c:pt>
                <c:pt idx="1874">
                  <c:v>0.12365747658311665</c:v>
                </c:pt>
                <c:pt idx="1875">
                  <c:v>0.12365649508261356</c:v>
                </c:pt>
                <c:pt idx="1876">
                  <c:v>0.12365551462794055</c:v>
                </c:pt>
                <c:pt idx="1877">
                  <c:v>0.1236545352174323</c:v>
                </c:pt>
                <c:pt idx="1878">
                  <c:v>0.12365355684940127</c:v>
                </c:pt>
                <c:pt idx="1879">
                  <c:v>0.12365257952220432</c:v>
                </c:pt>
                <c:pt idx="1880">
                  <c:v>0.12365160323417612</c:v>
                </c:pt>
                <c:pt idx="1881">
                  <c:v>0.12365062798365134</c:v>
                </c:pt>
                <c:pt idx="1882">
                  <c:v>0.12364965376898684</c:v>
                </c:pt>
                <c:pt idx="1883">
                  <c:v>0.12364868058853951</c:v>
                </c:pt>
                <c:pt idx="1884">
                  <c:v>0.12364770844064399</c:v>
                </c:pt>
                <c:pt idx="1885">
                  <c:v>0.12364673732365716</c:v>
                </c:pt>
                <c:pt idx="1886">
                  <c:v>0.12364576723598031</c:v>
                </c:pt>
                <c:pt idx="1887">
                  <c:v>0.12364479817592589</c:v>
                </c:pt>
                <c:pt idx="1888">
                  <c:v>0.12364383014189517</c:v>
                </c:pt>
                <c:pt idx="1889">
                  <c:v>0.12364286313222284</c:v>
                </c:pt>
                <c:pt idx="1890">
                  <c:v>0.12364189714533236</c:v>
                </c:pt>
                <c:pt idx="1891">
                  <c:v>0.12364093217958061</c:v>
                </c:pt>
                <c:pt idx="1892">
                  <c:v>0.12363996823334666</c:v>
                </c:pt>
                <c:pt idx="1893">
                  <c:v>0.1236390053050096</c:v>
                </c:pt>
                <c:pt idx="1894">
                  <c:v>0.12363804339297069</c:v>
                </c:pt>
                <c:pt idx="1895">
                  <c:v>0.12363708249560901</c:v>
                </c:pt>
                <c:pt idx="1896">
                  <c:v>0.12363612261132584</c:v>
                </c:pt>
                <c:pt idx="1897">
                  <c:v>0.12363516373852246</c:v>
                </c:pt>
                <c:pt idx="1898">
                  <c:v>0.12363420587560014</c:v>
                </c:pt>
                <c:pt idx="1899">
                  <c:v>0.12363324902098238</c:v>
                </c:pt>
                <c:pt idx="1900">
                  <c:v>0.12363229317302604</c:v>
                </c:pt>
                <c:pt idx="1901">
                  <c:v>0.12363133833019901</c:v>
                </c:pt>
                <c:pt idx="1902">
                  <c:v>0.12363038449090258</c:v>
                </c:pt>
                <c:pt idx="1903">
                  <c:v>0.12362943165351581</c:v>
                </c:pt>
                <c:pt idx="1904">
                  <c:v>0.1236284798165066</c:v>
                </c:pt>
                <c:pt idx="1905">
                  <c:v>0.12362752897829843</c:v>
                </c:pt>
                <c:pt idx="1906">
                  <c:v>0.12362657913729258</c:v>
                </c:pt>
                <c:pt idx="1907">
                  <c:v>0.12362563029195694</c:v>
                </c:pt>
                <c:pt idx="1908">
                  <c:v>0.1236246824406928</c:v>
                </c:pt>
                <c:pt idx="1909">
                  <c:v>0.12362373558194584</c:v>
                </c:pt>
                <c:pt idx="1910">
                  <c:v>0.12362278971416174</c:v>
                </c:pt>
                <c:pt idx="1911">
                  <c:v>0.1236218448358084</c:v>
                </c:pt>
                <c:pt idx="1912">
                  <c:v>0.1236209009452871</c:v>
                </c:pt>
                <c:pt idx="1913">
                  <c:v>0.12361995804108794</c:v>
                </c:pt>
                <c:pt idx="1914">
                  <c:v>0.1236190161216566</c:v>
                </c:pt>
                <c:pt idx="1915">
                  <c:v>0.12361807518546097</c:v>
                </c:pt>
                <c:pt idx="1916">
                  <c:v>0.12361713523092455</c:v>
                </c:pt>
                <c:pt idx="1917">
                  <c:v>0.12361619625655962</c:v>
                </c:pt>
                <c:pt idx="1918">
                  <c:v>0.12361525826078967</c:v>
                </c:pt>
                <c:pt idx="1919">
                  <c:v>0.12361432124212701</c:v>
                </c:pt>
                <c:pt idx="1920">
                  <c:v>0.12361338519901732</c:v>
                </c:pt>
                <c:pt idx="1921">
                  <c:v>0.1236124501299507</c:v>
                </c:pt>
                <c:pt idx="1922">
                  <c:v>0.12361151603339504</c:v>
                </c:pt>
                <c:pt idx="1923">
                  <c:v>0.12361058290786264</c:v>
                </c:pt>
                <c:pt idx="1924">
                  <c:v>0.12360965075179919</c:v>
                </c:pt>
                <c:pt idx="1925">
                  <c:v>0.123608719563717</c:v>
                </c:pt>
                <c:pt idx="1926">
                  <c:v>0.12360778934210614</c:v>
                </c:pt>
                <c:pt idx="1927">
                  <c:v>0.12360686008547894</c:v>
                </c:pt>
                <c:pt idx="1928">
                  <c:v>0.12360593179230328</c:v>
                </c:pt>
                <c:pt idx="1929">
                  <c:v>0.12360500446111367</c:v>
                </c:pt>
                <c:pt idx="1930">
                  <c:v>0.12360407809040019</c:v>
                </c:pt>
                <c:pt idx="1931">
                  <c:v>0.12360315267865296</c:v>
                </c:pt>
                <c:pt idx="1932">
                  <c:v>0.12360222822440647</c:v>
                </c:pt>
                <c:pt idx="1933">
                  <c:v>0.12360130472617303</c:v>
                </c:pt>
                <c:pt idx="1934">
                  <c:v>0.12360038218248715</c:v>
                </c:pt>
                <c:pt idx="1935">
                  <c:v>0.12359946059183891</c:v>
                </c:pt>
                <c:pt idx="1936">
                  <c:v>0.12359853995274062</c:v>
                </c:pt>
                <c:pt idx="1937">
                  <c:v>0.12359762026377119</c:v>
                </c:pt>
                <c:pt idx="1938">
                  <c:v>0.12359670152342073</c:v>
                </c:pt>
                <c:pt idx="1939">
                  <c:v>0.12359578373022373</c:v>
                </c:pt>
                <c:pt idx="1940">
                  <c:v>0.12359486688275911</c:v>
                </c:pt>
                <c:pt idx="1941">
                  <c:v>0.12359395097949477</c:v>
                </c:pt>
                <c:pt idx="1942">
                  <c:v>0.12359303601903182</c:v>
                </c:pt>
                <c:pt idx="1943">
                  <c:v>0.12359212199990477</c:v>
                </c:pt>
                <c:pt idx="1944">
                  <c:v>0.12359120892062592</c:v>
                </c:pt>
                <c:pt idx="1945">
                  <c:v>0.12359029677979638</c:v>
                </c:pt>
                <c:pt idx="1946">
                  <c:v>0.12358938557592847</c:v>
                </c:pt>
                <c:pt idx="1947">
                  <c:v>0.12358847530760109</c:v>
                </c:pt>
                <c:pt idx="1948">
                  <c:v>0.12358756597337095</c:v>
                </c:pt>
                <c:pt idx="1949">
                  <c:v>0.12358665757179477</c:v>
                </c:pt>
                <c:pt idx="1950">
                  <c:v>0.12358575010145145</c:v>
                </c:pt>
                <c:pt idx="1951">
                  <c:v>0.12358484356089772</c:v>
                </c:pt>
                <c:pt idx="1952">
                  <c:v>0.12358393794871247</c:v>
                </c:pt>
                <c:pt idx="1953">
                  <c:v>0.12358303326345244</c:v>
                </c:pt>
                <c:pt idx="1954">
                  <c:v>0.12358212950371872</c:v>
                </c:pt>
                <c:pt idx="1955">
                  <c:v>0.12358122666809024</c:v>
                </c:pt>
                <c:pt idx="1956">
                  <c:v>0.1235803247551237</c:v>
                </c:pt>
                <c:pt idx="1957">
                  <c:v>0.12357942376344244</c:v>
                </c:pt>
                <c:pt idx="1958">
                  <c:v>0.12357852369162536</c:v>
                </c:pt>
                <c:pt idx="1959">
                  <c:v>0.12357762453822918</c:v>
                </c:pt>
                <c:pt idx="1960">
                  <c:v>0.12357672630189942</c:v>
                </c:pt>
                <c:pt idx="1961">
                  <c:v>0.123575828981215</c:v>
                </c:pt>
                <c:pt idx="1962">
                  <c:v>0.12357493257475483</c:v>
                </c:pt>
                <c:pt idx="1963">
                  <c:v>0.12357403708114223</c:v>
                </c:pt>
                <c:pt idx="1964">
                  <c:v>0.12357314249900053</c:v>
                </c:pt>
                <c:pt idx="1965">
                  <c:v>0.12357224882688644</c:v>
                </c:pt>
                <c:pt idx="1966">
                  <c:v>0.1235713560634677</c:v>
                </c:pt>
                <c:pt idx="1967">
                  <c:v>0.12357046420734541</c:v>
                </c:pt>
                <c:pt idx="1968">
                  <c:v>0.1235695732571207</c:v>
                </c:pt>
                <c:pt idx="1969">
                  <c:v>0.1235686832114169</c:v>
                </c:pt>
                <c:pt idx="1970">
                  <c:v>0.12356779406885732</c:v>
                </c:pt>
                <c:pt idx="1971">
                  <c:v>0.12356690582808749</c:v>
                </c:pt>
                <c:pt idx="1972">
                  <c:v>0.12356601848770854</c:v>
                </c:pt>
                <c:pt idx="1973">
                  <c:v>0.12356513204636599</c:v>
                </c:pt>
                <c:pt idx="1974">
                  <c:v>0.12356424650270537</c:v>
                </c:pt>
                <c:pt idx="1975">
                  <c:v>0.12356336185532779</c:v>
                </c:pt>
                <c:pt idx="1976">
                  <c:v>0.1235624781029232</c:v>
                </c:pt>
                <c:pt idx="1977">
                  <c:v>0.12356159524409271</c:v>
                </c:pt>
                <c:pt idx="1978">
                  <c:v>0.12356071327750406</c:v>
                </c:pt>
                <c:pt idx="1979">
                  <c:v>0.12355983220180278</c:v>
                </c:pt>
                <c:pt idx="1980">
                  <c:v>0.12355895201563438</c:v>
                </c:pt>
                <c:pt idx="1981">
                  <c:v>0.12355807271764441</c:v>
                </c:pt>
                <c:pt idx="1982">
                  <c:v>0.12355719430650058</c:v>
                </c:pt>
                <c:pt idx="1983">
                  <c:v>0.12355631678087065</c:v>
                </c:pt>
                <c:pt idx="1984">
                  <c:v>0.12355544013937791</c:v>
                </c:pt>
                <c:pt idx="1985">
                  <c:v>0.12355456438073453</c:v>
                </c:pt>
                <c:pt idx="1986">
                  <c:v>0.12355368950358603</c:v>
                </c:pt>
                <c:pt idx="1987">
                  <c:v>0.12355281550662234</c:v>
                </c:pt>
                <c:pt idx="1988">
                  <c:v>0.12355194238846678</c:v>
                </c:pt>
                <c:pt idx="1989">
                  <c:v>0.12355107014783151</c:v>
                </c:pt>
                <c:pt idx="1990">
                  <c:v>0.12355019878338425</c:v>
                </c:pt>
                <c:pt idx="1991">
                  <c:v>0.12354932829381493</c:v>
                </c:pt>
                <c:pt idx="1992">
                  <c:v>0.1235484586778135</c:v>
                </c:pt>
                <c:pt idx="1993">
                  <c:v>0.12354758993402548</c:v>
                </c:pt>
                <c:pt idx="1994">
                  <c:v>0.12354672206118522</c:v>
                </c:pt>
                <c:pt idx="1995">
                  <c:v>0.12354585505796045</c:v>
                </c:pt>
                <c:pt idx="1996">
                  <c:v>0.12354498892304111</c:v>
                </c:pt>
                <c:pt idx="1997">
                  <c:v>0.12354412365513934</c:v>
                </c:pt>
                <c:pt idx="1998">
                  <c:v>0.12354325925294507</c:v>
                </c:pt>
                <c:pt idx="1999">
                  <c:v>0.12354239571514825</c:v>
                </c:pt>
                <c:pt idx="2000">
                  <c:v>0.12354153304048321</c:v>
                </c:pt>
                <c:pt idx="2001">
                  <c:v>0.1235406712276399</c:v>
                </c:pt>
                <c:pt idx="2002">
                  <c:v>0.12353981027530825</c:v>
                </c:pt>
                <c:pt idx="2003">
                  <c:v>0.12353895018222261</c:v>
                </c:pt>
                <c:pt idx="2004">
                  <c:v>0.12353809094709511</c:v>
                </c:pt>
                <c:pt idx="2005">
                  <c:v>0.12353723256863791</c:v>
                </c:pt>
                <c:pt idx="2006">
                  <c:v>0.12353637504558534</c:v>
                </c:pt>
                <c:pt idx="2007">
                  <c:v>0.12353551837664956</c:v>
                </c:pt>
                <c:pt idx="2008">
                  <c:v>0.12353466256052048</c:v>
                </c:pt>
                <c:pt idx="2009">
                  <c:v>0.12353380759599908</c:v>
                </c:pt>
                <c:pt idx="2010">
                  <c:v>0.12353295348173088</c:v>
                </c:pt>
                <c:pt idx="2011">
                  <c:v>0.12353210021651684</c:v>
                </c:pt>
                <c:pt idx="2012">
                  <c:v>0.1235312477990691</c:v>
                </c:pt>
                <c:pt idx="2013">
                  <c:v>0.1235303962280998</c:v>
                </c:pt>
                <c:pt idx="2014">
                  <c:v>0.12352954550238771</c:v>
                </c:pt>
                <c:pt idx="2015">
                  <c:v>0.12352869562064495</c:v>
                </c:pt>
                <c:pt idx="2016">
                  <c:v>0.12352784658162808</c:v>
                </c:pt>
                <c:pt idx="2017">
                  <c:v>0.12352699838409364</c:v>
                </c:pt>
                <c:pt idx="2018">
                  <c:v>0.123526151026776</c:v>
                </c:pt>
                <c:pt idx="2019">
                  <c:v>0.12352530450843169</c:v>
                </c:pt>
                <c:pt idx="2020">
                  <c:v>0.12352445882781726</c:v>
                </c:pt>
                <c:pt idx="2021">
                  <c:v>0.12352361398368927</c:v>
                </c:pt>
                <c:pt idx="2022">
                  <c:v>0.12352276997480427</c:v>
                </c:pt>
                <c:pt idx="2023">
                  <c:v>0.12352192679994101</c:v>
                </c:pt>
                <c:pt idx="2024">
                  <c:v>0.12352108445783383</c:v>
                </c:pt>
                <c:pt idx="2025">
                  <c:v>0.12352024294726149</c:v>
                </c:pt>
                <c:pt idx="2026">
                  <c:v>0.12351940226702496</c:v>
                </c:pt>
                <c:pt idx="2027">
                  <c:v>0.12351856241583636</c:v>
                </c:pt>
                <c:pt idx="2028">
                  <c:v>0.12351772339251887</c:v>
                </c:pt>
                <c:pt idx="2029">
                  <c:v>0.12351688519585124</c:v>
                </c:pt>
                <c:pt idx="2030">
                  <c:v>0.12351604782456782</c:v>
                </c:pt>
                <c:pt idx="2031">
                  <c:v>0.12351521127746956</c:v>
                </c:pt>
                <c:pt idx="2032">
                  <c:v>0.12351437555335743</c:v>
                </c:pt>
                <c:pt idx="2033">
                  <c:v>0.12351354065101017</c:v>
                </c:pt>
                <c:pt idx="2034">
                  <c:v>0.12351270656920654</c:v>
                </c:pt>
                <c:pt idx="2035">
                  <c:v>0.12351187330674751</c:v>
                </c:pt>
                <c:pt idx="2036">
                  <c:v>0.12351104086243403</c:v>
                </c:pt>
                <c:pt idx="2037">
                  <c:v>0.12351020923504485</c:v>
                </c:pt>
                <c:pt idx="2038">
                  <c:v>0.12350937842335874</c:v>
                </c:pt>
                <c:pt idx="2039">
                  <c:v>0.12350854842622105</c:v>
                </c:pt>
                <c:pt idx="2040">
                  <c:v>0.12350771924241055</c:v>
                </c:pt>
                <c:pt idx="2041">
                  <c:v>0.1235068908707504</c:v>
                </c:pt>
                <c:pt idx="2042">
                  <c:v>0.12350606331001934</c:v>
                </c:pt>
                <c:pt idx="2043">
                  <c:v>0.12350523655904055</c:v>
                </c:pt>
                <c:pt idx="2044">
                  <c:v>0.12350441061663719</c:v>
                </c:pt>
                <c:pt idx="2045">
                  <c:v>0.12350358548161022</c:v>
                </c:pt>
                <c:pt idx="2046">
                  <c:v>0.1235027611527606</c:v>
                </c:pt>
                <c:pt idx="2047">
                  <c:v>0.12350193762893369</c:v>
                </c:pt>
                <c:pt idx="2048">
                  <c:v>0.12350111490895266</c:v>
                </c:pt>
                <c:pt idx="2049">
                  <c:v>0.12350029299164067</c:v>
                </c:pt>
                <c:pt idx="2050">
                  <c:v>0.12349947187579868</c:v>
                </c:pt>
                <c:pt idx="2051">
                  <c:v>0.12349865156027207</c:v>
                </c:pt>
                <c:pt idx="2052">
                  <c:v>0.12349783204390619</c:v>
                </c:pt>
                <c:pt idx="2053">
                  <c:v>0.123497013325502</c:v>
                </c:pt>
                <c:pt idx="2054">
                  <c:v>0.12349619540392709</c:v>
                </c:pt>
                <c:pt idx="2055">
                  <c:v>0.1234953782779824</c:v>
                </c:pt>
                <c:pt idx="2056">
                  <c:v>0.12349456194653552</c:v>
                </c:pt>
                <c:pt idx="2057">
                  <c:v>0.1234937464084318</c:v>
                </c:pt>
                <c:pt idx="2058">
                  <c:v>0.12349293166249442</c:v>
                </c:pt>
                <c:pt idx="2059">
                  <c:v>0.12349211770756874</c:v>
                </c:pt>
                <c:pt idx="2060">
                  <c:v>0.12349130454252233</c:v>
                </c:pt>
                <c:pt idx="2061">
                  <c:v>0.12349049216620056</c:v>
                </c:pt>
                <c:pt idx="2062">
                  <c:v>0.1234896805774488</c:v>
                </c:pt>
                <c:pt idx="2063">
                  <c:v>0.12348886977513462</c:v>
                </c:pt>
                <c:pt idx="2064">
                  <c:v>0.1234880597581034</c:v>
                </c:pt>
                <c:pt idx="2065">
                  <c:v>0.12348725052522269</c:v>
                </c:pt>
                <c:pt idx="2066">
                  <c:v>0.12348644207533788</c:v>
                </c:pt>
                <c:pt idx="2067">
                  <c:v>0.12348563440733873</c:v>
                </c:pt>
                <c:pt idx="2068">
                  <c:v>0.12348482752007062</c:v>
                </c:pt>
                <c:pt idx="2069">
                  <c:v>0.12348402141242332</c:v>
                </c:pt>
                <c:pt idx="2070">
                  <c:v>0.1234832160832422</c:v>
                </c:pt>
                <c:pt idx="2071">
                  <c:v>0.12348241153141704</c:v>
                </c:pt>
                <c:pt idx="2072">
                  <c:v>0.1234816077558154</c:v>
                </c:pt>
                <c:pt idx="2073">
                  <c:v>0.12348080475530487</c:v>
                </c:pt>
                <c:pt idx="2074">
                  <c:v>0.12348000252880675</c:v>
                </c:pt>
                <c:pt idx="2075">
                  <c:v>0.12347875261686792</c:v>
                </c:pt>
                <c:pt idx="2076">
                  <c:v>0.12347750390853118</c:v>
                </c:pt>
                <c:pt idx="2077">
                  <c:v>0.12347625640205528</c:v>
                </c:pt>
                <c:pt idx="2078">
                  <c:v>0.12347501009570827</c:v>
                </c:pt>
                <c:pt idx="2079">
                  <c:v>0.12347376498771379</c:v>
                </c:pt>
                <c:pt idx="2080">
                  <c:v>0.12347252107640649</c:v>
                </c:pt>
                <c:pt idx="2081">
                  <c:v>0.12347127836001004</c:v>
                </c:pt>
                <c:pt idx="2082">
                  <c:v>0.12347003683685909</c:v>
                </c:pt>
                <c:pt idx="2083">
                  <c:v>0.12346879650517728</c:v>
                </c:pt>
                <c:pt idx="2084">
                  <c:v>0.12346755736329929</c:v>
                </c:pt>
                <c:pt idx="2085">
                  <c:v>0.12346631940947095</c:v>
                </c:pt>
                <c:pt idx="2086">
                  <c:v>0.12346508264202694</c:v>
                </c:pt>
                <c:pt idx="2087">
                  <c:v>0.1234638470592353</c:v>
                </c:pt>
                <c:pt idx="2088">
                  <c:v>0.12346261265938629</c:v>
                </c:pt>
                <c:pt idx="2089">
                  <c:v>0.12346137944081459</c:v>
                </c:pt>
                <c:pt idx="2090">
                  <c:v>0.12346014740178823</c:v>
                </c:pt>
                <c:pt idx="2091">
                  <c:v>0.12345891654064189</c:v>
                </c:pt>
                <c:pt idx="2092">
                  <c:v>0.12345768685568803</c:v>
                </c:pt>
                <c:pt idx="2093">
                  <c:v>0.1234564583452169</c:v>
                </c:pt>
                <c:pt idx="2094">
                  <c:v>0.12345523100758538</c:v>
                </c:pt>
                <c:pt idx="2095">
                  <c:v>0.12345400484108371</c:v>
                </c:pt>
                <c:pt idx="2096">
                  <c:v>0.12345277984404657</c:v>
                </c:pt>
                <c:pt idx="2097">
                  <c:v>0.12345155601478641</c:v>
                </c:pt>
                <c:pt idx="2098">
                  <c:v>0.12345033335166011</c:v>
                </c:pt>
                <c:pt idx="2099">
                  <c:v>0.12344911185298013</c:v>
                </c:pt>
                <c:pt idx="2100">
                  <c:v>0.12344789151710334</c:v>
                </c:pt>
                <c:pt idx="2101">
                  <c:v>0.12344667234236439</c:v>
                </c:pt>
                <c:pt idx="2102">
                  <c:v>0.12344545432709797</c:v>
                </c:pt>
                <c:pt idx="2103">
                  <c:v>0.12344423746966093</c:v>
                </c:pt>
                <c:pt idx="2104">
                  <c:v>0.12344302176838795</c:v>
                </c:pt>
                <c:pt idx="2105">
                  <c:v>0.12344180722163589</c:v>
                </c:pt>
                <c:pt idx="2106">
                  <c:v>0.12344059382778383</c:v>
                </c:pt>
                <c:pt idx="2107">
                  <c:v>0.12343938158516643</c:v>
                </c:pt>
                <c:pt idx="2108">
                  <c:v>0.12343817049214056</c:v>
                </c:pt>
                <c:pt idx="2109">
                  <c:v>0.12343696054710751</c:v>
                </c:pt>
                <c:pt idx="2110">
                  <c:v>0.12343575174840193</c:v>
                </c:pt>
                <c:pt idx="2111">
                  <c:v>0.12343454409440291</c:v>
                </c:pt>
                <c:pt idx="2112">
                  <c:v>0.12343333758348951</c:v>
                </c:pt>
                <c:pt idx="2113">
                  <c:v>0.12343213221406302</c:v>
                </c:pt>
                <c:pt idx="2114">
                  <c:v>0.12343092798445809</c:v>
                </c:pt>
                <c:pt idx="2115">
                  <c:v>0.12342972489307602</c:v>
                </c:pt>
                <c:pt idx="2116">
                  <c:v>0.12342852293831807</c:v>
                </c:pt>
                <c:pt idx="2117">
                  <c:v>0.12342732211856333</c:v>
                </c:pt>
                <c:pt idx="2118">
                  <c:v>0.12342612243221307</c:v>
                </c:pt>
                <c:pt idx="2119">
                  <c:v>0.12342492387764636</c:v>
                </c:pt>
                <c:pt idx="2120">
                  <c:v>0.12342372645326449</c:v>
                </c:pt>
                <c:pt idx="2121">
                  <c:v>0.12342253015749094</c:v>
                </c:pt>
                <c:pt idx="2122">
                  <c:v>0.12342133498872698</c:v>
                </c:pt>
                <c:pt idx="2123">
                  <c:v>0.1234201409453517</c:v>
                </c:pt>
                <c:pt idx="2124">
                  <c:v>0.12341894802581077</c:v>
                </c:pt>
                <c:pt idx="2125">
                  <c:v>0.12341775622850548</c:v>
                </c:pt>
                <c:pt idx="2126">
                  <c:v>0.12341656555183711</c:v>
                </c:pt>
                <c:pt idx="2127">
                  <c:v>0.12341537599425134</c:v>
                </c:pt>
                <c:pt idx="2128">
                  <c:v>0.12341418755414946</c:v>
                </c:pt>
                <c:pt idx="2129">
                  <c:v>0.12341300022997714</c:v>
                </c:pt>
                <c:pt idx="2130">
                  <c:v>0.12341181402013568</c:v>
                </c:pt>
                <c:pt idx="2131">
                  <c:v>0.12341062892309296</c:v>
                </c:pt>
                <c:pt idx="2132">
                  <c:v>0.12340944493727246</c:v>
                </c:pt>
                <c:pt idx="2133">
                  <c:v>0.12340826206109767</c:v>
                </c:pt>
                <c:pt idx="2134">
                  <c:v>0.12340708029301428</c:v>
                </c:pt>
                <c:pt idx="2135">
                  <c:v>0.12340589963146797</c:v>
                </c:pt>
                <c:pt idx="2136">
                  <c:v>0.12340472007490444</c:v>
                </c:pt>
                <c:pt idx="2137">
                  <c:v>0.12340354162179157</c:v>
                </c:pt>
                <c:pt idx="2138">
                  <c:v>0.12340236427055284</c:v>
                </c:pt>
                <c:pt idx="2139">
                  <c:v>0.12340118801965616</c:v>
                </c:pt>
                <c:pt idx="2140">
                  <c:v>0.12340001286756941</c:v>
                </c:pt>
                <c:pt idx="2141">
                  <c:v>0.12339883881273828</c:v>
                </c:pt>
                <c:pt idx="2142">
                  <c:v>0.12339766585363066</c:v>
                </c:pt>
                <c:pt idx="2143">
                  <c:v>0.12339649398871444</c:v>
                </c:pt>
                <c:pt idx="2144">
                  <c:v>0.12339532321645752</c:v>
                </c:pt>
                <c:pt idx="2145">
                  <c:v>0.12339415353532779</c:v>
                </c:pt>
                <c:pt idx="2146">
                  <c:v>0.12339298494383755</c:v>
                </c:pt>
                <c:pt idx="2147">
                  <c:v>0.12339181744041028</c:v>
                </c:pt>
                <c:pt idx="2148">
                  <c:v>0.12339065102355828</c:v>
                </c:pt>
                <c:pt idx="2149">
                  <c:v>0.12338948569174946</c:v>
                </c:pt>
                <c:pt idx="2150">
                  <c:v>0.1233883214434961</c:v>
                </c:pt>
                <c:pt idx="2151">
                  <c:v>0.1233871582772661</c:v>
                </c:pt>
                <c:pt idx="2152">
                  <c:v>0.12338599619154955</c:v>
                </c:pt>
                <c:pt idx="2153">
                  <c:v>0.12338483518483656</c:v>
                </c:pt>
                <c:pt idx="2154">
                  <c:v>0.12338367525566163</c:v>
                </c:pt>
                <c:pt idx="2155">
                  <c:v>0.12338251640249265</c:v>
                </c:pt>
                <c:pt idx="2156">
                  <c:v>0.12338135862384192</c:v>
                </c:pt>
                <c:pt idx="2157">
                  <c:v>0.12338020191822174</c:v>
                </c:pt>
                <c:pt idx="2158">
                  <c:v>0.12337904628412222</c:v>
                </c:pt>
                <c:pt idx="2159">
                  <c:v>0.12337789172007785</c:v>
                </c:pt>
                <c:pt idx="2160">
                  <c:v>0.12337673822457873</c:v>
                </c:pt>
                <c:pt idx="2161">
                  <c:v>0.12337558579618157</c:v>
                </c:pt>
                <c:pt idx="2162">
                  <c:v>0.12337443443335427</c:v>
                </c:pt>
                <c:pt idx="2163">
                  <c:v>0.12337328413467574</c:v>
                </c:pt>
                <c:pt idx="2164">
                  <c:v>0.12337213489861387</c:v>
                </c:pt>
                <c:pt idx="2165">
                  <c:v>0.12337098672374758</c:v>
                </c:pt>
                <c:pt idx="2166">
                  <c:v>0.12336983960856696</c:v>
                </c:pt>
                <c:pt idx="2167">
                  <c:v>0.12336869355162872</c:v>
                </c:pt>
                <c:pt idx="2168">
                  <c:v>0.12336754855146737</c:v>
                </c:pt>
                <c:pt idx="2169">
                  <c:v>0.12336640460661741</c:v>
                </c:pt>
                <c:pt idx="2170">
                  <c:v>0.12336526171561335</c:v>
                </c:pt>
                <c:pt idx="2171">
                  <c:v>0.1233641198770119</c:v>
                </c:pt>
                <c:pt idx="2172">
                  <c:v>0.12336297908936977</c:v>
                </c:pt>
                <c:pt idx="2173">
                  <c:v>0.12336183935122147</c:v>
                </c:pt>
                <c:pt idx="2174">
                  <c:v>0.1233607006611015</c:v>
                </c:pt>
                <c:pt idx="2175">
                  <c:v>0.12335956301758877</c:v>
                </c:pt>
                <c:pt idx="2176">
                  <c:v>0.1233584264192622</c:v>
                </c:pt>
                <c:pt idx="2177">
                  <c:v>0.12335729086463409</c:v>
                </c:pt>
                <c:pt idx="2178">
                  <c:v>0.12335615635230557</c:v>
                </c:pt>
                <c:pt idx="2179">
                  <c:v>0.12335502288081113</c:v>
                </c:pt>
                <c:pt idx="2180">
                  <c:v>0.12335389044872969</c:v>
                </c:pt>
                <c:pt idx="2181">
                  <c:v>0.12335275905466236</c:v>
                </c:pt>
                <c:pt idx="2182">
                  <c:v>0.12335162869714367</c:v>
                </c:pt>
                <c:pt idx="2183">
                  <c:v>0.12335049937475251</c:v>
                </c:pt>
                <c:pt idx="2184">
                  <c:v>0.12334937108609001</c:v>
                </c:pt>
                <c:pt idx="2185">
                  <c:v>0.12334824382973508</c:v>
                </c:pt>
                <c:pt idx="2186">
                  <c:v>0.12334711760424444</c:v>
                </c:pt>
                <c:pt idx="2187">
                  <c:v>0.1233459924082414</c:v>
                </c:pt>
                <c:pt idx="2188">
                  <c:v>0.12334486824028268</c:v>
                </c:pt>
                <c:pt idx="2189">
                  <c:v>0.12334374509896939</c:v>
                </c:pt>
                <c:pt idx="2190">
                  <c:v>0.12334262298292487</c:v>
                </c:pt>
                <c:pt idx="2191">
                  <c:v>0.12334150189070581</c:v>
                </c:pt>
                <c:pt idx="2192">
                  <c:v>0.12334038182093554</c:v>
                </c:pt>
                <c:pt idx="2193">
                  <c:v>0.12333926277219298</c:v>
                </c:pt>
                <c:pt idx="2194">
                  <c:v>0.12333814474310145</c:v>
                </c:pt>
                <c:pt idx="2195">
                  <c:v>0.12333702773226207</c:v>
                </c:pt>
                <c:pt idx="2196">
                  <c:v>0.12333591173829817</c:v>
                </c:pt>
                <c:pt idx="2197">
                  <c:v>0.12333479675981085</c:v>
                </c:pt>
                <c:pt idx="2198">
                  <c:v>0.12333368279540124</c:v>
                </c:pt>
                <c:pt idx="2199">
                  <c:v>0.12333256984369267</c:v>
                </c:pt>
                <c:pt idx="2200">
                  <c:v>0.12333145790333067</c:v>
                </c:pt>
                <c:pt idx="2201">
                  <c:v>0.12333034697289413</c:v>
                </c:pt>
                <c:pt idx="2202">
                  <c:v>0.12332923705105081</c:v>
                </c:pt>
                <c:pt idx="2203">
                  <c:v>0.12332812813640182</c:v>
                </c:pt>
                <c:pt idx="2204">
                  <c:v>0.12332702022759268</c:v>
                </c:pt>
                <c:pt idx="2205">
                  <c:v>0.12332591332322451</c:v>
                </c:pt>
                <c:pt idx="2206">
                  <c:v>0.12332480742198726</c:v>
                </c:pt>
                <c:pt idx="2207">
                  <c:v>0.12332370252245983</c:v>
                </c:pt>
                <c:pt idx="2208">
                  <c:v>0.12332259862330996</c:v>
                </c:pt>
                <c:pt idx="2209">
                  <c:v>0.12332149572318318</c:v>
                </c:pt>
                <c:pt idx="2210">
                  <c:v>0.12332039382070281</c:v>
                </c:pt>
                <c:pt idx="2211">
                  <c:v>0.12331929291453658</c:v>
                </c:pt>
                <c:pt idx="2212">
                  <c:v>0.12331819300333002</c:v>
                </c:pt>
                <c:pt idx="2213">
                  <c:v>0.12331709408572866</c:v>
                </c:pt>
                <c:pt idx="2214">
                  <c:v>0.12331599616037803</c:v>
                </c:pt>
                <c:pt idx="2215">
                  <c:v>0.12331489922596806</c:v>
                </c:pt>
                <c:pt idx="2216">
                  <c:v>0.12331380328112207</c:v>
                </c:pt>
                <c:pt idx="2217">
                  <c:v>0.12331270832453001</c:v>
                </c:pt>
                <c:pt idx="2218">
                  <c:v>0.1233116143548374</c:v>
                </c:pt>
                <c:pt idx="2219">
                  <c:v>0.12331052137071197</c:v>
                </c:pt>
                <c:pt idx="2220">
                  <c:v>0.12330942937082146</c:v>
                </c:pt>
                <c:pt idx="2221">
                  <c:v>0.1233083383538558</c:v>
                </c:pt>
                <c:pt idx="2222">
                  <c:v>0.12330724831846052</c:v>
                </c:pt>
                <c:pt idx="2223">
                  <c:v>0.12330615926332555</c:v>
                </c:pt>
                <c:pt idx="2224">
                  <c:v>0.12330507118711864</c:v>
                </c:pt>
                <c:pt idx="2225">
                  <c:v>0.12330398408855192</c:v>
                </c:pt>
                <c:pt idx="2226">
                  <c:v>0.12330289796627092</c:v>
                </c:pt>
                <c:pt idx="2227">
                  <c:v>0.12330181281898778</c:v>
                </c:pt>
                <c:pt idx="2228">
                  <c:v>0.12330072864537023</c:v>
                </c:pt>
                <c:pt idx="2229">
                  <c:v>0.12329964544413041</c:v>
                </c:pt>
                <c:pt idx="2230">
                  <c:v>0.12329856321393606</c:v>
                </c:pt>
                <c:pt idx="2231">
                  <c:v>0.12329748195349932</c:v>
                </c:pt>
                <c:pt idx="2232">
                  <c:v>0.12329640166148792</c:v>
                </c:pt>
                <c:pt idx="2233">
                  <c:v>0.12329532233665841</c:v>
                </c:pt>
                <c:pt idx="2234">
                  <c:v>0.12329424397765631</c:v>
                </c:pt>
                <c:pt idx="2235">
                  <c:v>0.12329316658321599</c:v>
                </c:pt>
                <c:pt idx="2236">
                  <c:v>0.12329209015204956</c:v>
                </c:pt>
                <c:pt idx="2237">
                  <c:v>0.12329101468284698</c:v>
                </c:pt>
                <c:pt idx="2238">
                  <c:v>0.12328994017432038</c:v>
                </c:pt>
                <c:pt idx="2239">
                  <c:v>0.1232888666251819</c:v>
                </c:pt>
                <c:pt idx="2240">
                  <c:v>0.1232877940341659</c:v>
                </c:pt>
                <c:pt idx="2241">
                  <c:v>0.1232867223999623</c:v>
                </c:pt>
                <c:pt idx="2242">
                  <c:v>0.12328565172132766</c:v>
                </c:pt>
                <c:pt idx="2243">
                  <c:v>0.12328458199695191</c:v>
                </c:pt>
                <c:pt idx="2244">
                  <c:v>0.12328351322556941</c:v>
                </c:pt>
                <c:pt idx="2245">
                  <c:v>0.12328244540591449</c:v>
                </c:pt>
                <c:pt idx="2246">
                  <c:v>0.12328137853669929</c:v>
                </c:pt>
                <c:pt idx="2247">
                  <c:v>0.12328031261668038</c:v>
                </c:pt>
                <c:pt idx="2248">
                  <c:v>0.12327924764456988</c:v>
                </c:pt>
                <c:pt idx="2249">
                  <c:v>0.12327818361912435</c:v>
                </c:pt>
                <c:pt idx="2250">
                  <c:v>0.12327712053905593</c:v>
                </c:pt>
                <c:pt idx="2251">
                  <c:v>0.12327605840312117</c:v>
                </c:pt>
                <c:pt idx="2252">
                  <c:v>0.12327499721007662</c:v>
                </c:pt>
                <c:pt idx="2253">
                  <c:v>0.12327393695863442</c:v>
                </c:pt>
                <c:pt idx="2254">
                  <c:v>0.12327287764757333</c:v>
                </c:pt>
                <c:pt idx="2255">
                  <c:v>0.12327181927562769</c:v>
                </c:pt>
                <c:pt idx="2256">
                  <c:v>0.12327076184153185</c:v>
                </c:pt>
                <c:pt idx="2257">
                  <c:v>0.12326970534408677</c:v>
                </c:pt>
                <c:pt idx="2258">
                  <c:v>0.12326864978198238</c:v>
                </c:pt>
                <c:pt idx="2259">
                  <c:v>0.12326759515404184</c:v>
                </c:pt>
                <c:pt idx="2260">
                  <c:v>0.12326654145899951</c:v>
                </c:pt>
                <c:pt idx="2261">
                  <c:v>0.12326548869561194</c:v>
                </c:pt>
                <c:pt idx="2262">
                  <c:v>0.12326443686265787</c:v>
                </c:pt>
                <c:pt idx="2263">
                  <c:v>0.12326338595889386</c:v>
                </c:pt>
                <c:pt idx="2264">
                  <c:v>0.12326233598307645</c:v>
                </c:pt>
                <c:pt idx="2265">
                  <c:v>0.12326128693400662</c:v>
                </c:pt>
                <c:pt idx="2266">
                  <c:v>0.1232602388104187</c:v>
                </c:pt>
                <c:pt idx="2267">
                  <c:v>0.12325919161113585</c:v>
                </c:pt>
                <c:pt idx="2268">
                  <c:v>0.12325814533491464</c:v>
                </c:pt>
                <c:pt idx="2269">
                  <c:v>0.1232570999805338</c:v>
                </c:pt>
                <c:pt idx="2270">
                  <c:v>0.1232560555467721</c:v>
                </c:pt>
                <c:pt idx="2271">
                  <c:v>0.1232550120324083</c:v>
                </c:pt>
                <c:pt idx="2272">
                  <c:v>0.12325396943624334</c:v>
                </c:pt>
                <c:pt idx="2273">
                  <c:v>0.12325292775705599</c:v>
                </c:pt>
                <c:pt idx="2274">
                  <c:v>0.1232518869936472</c:v>
                </c:pt>
                <c:pt idx="2275">
                  <c:v>0.12325084714481793</c:v>
                </c:pt>
                <c:pt idx="2276">
                  <c:v>0.12324980820932474</c:v>
                </c:pt>
                <c:pt idx="2277">
                  <c:v>0.12324877018599079</c:v>
                </c:pt>
                <c:pt idx="2278">
                  <c:v>0.12324773307363923</c:v>
                </c:pt>
                <c:pt idx="2279">
                  <c:v>0.12324669687102663</c:v>
                </c:pt>
                <c:pt idx="2280">
                  <c:v>0.12324566157697614</c:v>
                </c:pt>
                <c:pt idx="2281">
                  <c:v>0.12324462719028872</c:v>
                </c:pt>
                <c:pt idx="2282">
                  <c:v>0.12324359370978755</c:v>
                </c:pt>
                <c:pt idx="2283">
                  <c:v>0.12324256113427356</c:v>
                </c:pt>
                <c:pt idx="2284">
                  <c:v>0.12324152946254774</c:v>
                </c:pt>
                <c:pt idx="2285">
                  <c:v>0.12324049869343323</c:v>
                </c:pt>
                <c:pt idx="2286">
                  <c:v>0.123239468825731</c:v>
                </c:pt>
                <c:pt idx="2287">
                  <c:v>0.12323843985830862</c:v>
                </c:pt>
                <c:pt idx="2288">
                  <c:v>0.12323741178992265</c:v>
                </c:pt>
                <c:pt idx="2289">
                  <c:v>0.12323638461941844</c:v>
                </c:pt>
                <c:pt idx="2290">
                  <c:v>0.12323535834564137</c:v>
                </c:pt>
                <c:pt idx="2291">
                  <c:v>0.12323433296741459</c:v>
                </c:pt>
                <c:pt idx="2292">
                  <c:v>0.12323330848353908</c:v>
                </c:pt>
                <c:pt idx="2293">
                  <c:v>0.123232284892838</c:v>
                </c:pt>
                <c:pt idx="2294">
                  <c:v>0.12323126219420111</c:v>
                </c:pt>
                <c:pt idx="2295">
                  <c:v>0.12323024038640717</c:v>
                </c:pt>
                <c:pt idx="2296">
                  <c:v>0.12322921946832377</c:v>
                </c:pt>
                <c:pt idx="2297">
                  <c:v>0.12322819943877406</c:v>
                </c:pt>
                <c:pt idx="2298">
                  <c:v>0.1232271802965812</c:v>
                </c:pt>
                <c:pt idx="2299">
                  <c:v>0.12322616204063497</c:v>
                </c:pt>
                <c:pt idx="2300">
                  <c:v>0.12322514466975854</c:v>
                </c:pt>
                <c:pt idx="2301">
                  <c:v>0.12322412818277506</c:v>
                </c:pt>
                <c:pt idx="2302">
                  <c:v>0.12322311257857432</c:v>
                </c:pt>
                <c:pt idx="2303">
                  <c:v>0.12322209785595728</c:v>
                </c:pt>
                <c:pt idx="2304">
                  <c:v>0.12322108401381371</c:v>
                </c:pt>
                <c:pt idx="2305">
                  <c:v>0.12322007105098898</c:v>
                </c:pt>
                <c:pt idx="2306">
                  <c:v>0.12321905896635066</c:v>
                </c:pt>
                <c:pt idx="2307">
                  <c:v>0.12321804775874412</c:v>
                </c:pt>
                <c:pt idx="2308">
                  <c:v>0.12321703742701473</c:v>
                </c:pt>
                <c:pt idx="2309">
                  <c:v>0.12321602797005227</c:v>
                </c:pt>
                <c:pt idx="2310">
                  <c:v>0.1232150193867021</c:v>
                </c:pt>
                <c:pt idx="2311">
                  <c:v>0.123214011675854</c:v>
                </c:pt>
                <c:pt idx="2312">
                  <c:v>0.12321300483635333</c:v>
                </c:pt>
                <c:pt idx="2313">
                  <c:v>0.12321199886708989</c:v>
                </c:pt>
                <c:pt idx="2314">
                  <c:v>0.12321099376690903</c:v>
                </c:pt>
                <c:pt idx="2315">
                  <c:v>0.12320998953470053</c:v>
                </c:pt>
                <c:pt idx="2316">
                  <c:v>0.12320898616935416</c:v>
                </c:pt>
                <c:pt idx="2317">
                  <c:v>0.1232079836697153</c:v>
                </c:pt>
                <c:pt idx="2318">
                  <c:v>0.12320698203469593</c:v>
                </c:pt>
                <c:pt idx="2319">
                  <c:v>0.12320598126316362</c:v>
                </c:pt>
                <c:pt idx="2320">
                  <c:v>0.12320498135400815</c:v>
                </c:pt>
                <c:pt idx="2321">
                  <c:v>0.12320398230609708</c:v>
                </c:pt>
                <c:pt idx="2322">
                  <c:v>0.12320298411834241</c:v>
                </c:pt>
                <c:pt idx="2323">
                  <c:v>0.12320198678961169</c:v>
                </c:pt>
                <c:pt idx="2324">
                  <c:v>0.12320099031881693</c:v>
                </c:pt>
                <c:pt idx="2325">
                  <c:v>0.12319999470485343</c:v>
                </c:pt>
                <c:pt idx="2326">
                  <c:v>0.12320017311771014</c:v>
                </c:pt>
                <c:pt idx="2327">
                  <c:v>0.12320035137729501</c:v>
                </c:pt>
                <c:pt idx="2328">
                  <c:v>0.12320052948380233</c:v>
                </c:pt>
                <c:pt idx="2329">
                  <c:v>0.12320070743740974</c:v>
                </c:pt>
                <c:pt idx="2330">
                  <c:v>0.12320088523836148</c:v>
                </c:pt>
                <c:pt idx="2331">
                  <c:v>0.12320106288681298</c:v>
                </c:pt>
                <c:pt idx="2332">
                  <c:v>0.12320124038296409</c:v>
                </c:pt>
                <c:pt idx="2333">
                  <c:v>0.12320141772703685</c:v>
                </c:pt>
                <c:pt idx="2334">
                  <c:v>0.1232015949191867</c:v>
                </c:pt>
                <c:pt idx="2335">
                  <c:v>0.12320177195965787</c:v>
                </c:pt>
                <c:pt idx="2336">
                  <c:v>0.1232019488486058</c:v>
                </c:pt>
                <c:pt idx="2337">
                  <c:v>0.12320212558623034</c:v>
                </c:pt>
                <c:pt idx="2338">
                  <c:v>0.12320230217273132</c:v>
                </c:pt>
                <c:pt idx="2339">
                  <c:v>0.12320247860833078</c:v>
                </c:pt>
                <c:pt idx="2340">
                  <c:v>0.12320265489316196</c:v>
                </c:pt>
                <c:pt idx="2341">
                  <c:v>0.1232028310274691</c:v>
                </c:pt>
                <c:pt idx="2342">
                  <c:v>0.12320300701142983</c:v>
                </c:pt>
                <c:pt idx="2343">
                  <c:v>0.1232031828452218</c:v>
                </c:pt>
                <c:pt idx="2344">
                  <c:v>0.12320335852906705</c:v>
                </c:pt>
                <c:pt idx="2345">
                  <c:v>0.12320353406312101</c:v>
                </c:pt>
                <c:pt idx="2346">
                  <c:v>0.12320370944760572</c:v>
                </c:pt>
                <c:pt idx="2347">
                  <c:v>0.12320388468269883</c:v>
                </c:pt>
                <c:pt idx="2348">
                  <c:v>0.12320405976857796</c:v>
                </c:pt>
                <c:pt idx="2349">
                  <c:v>0.12320423470546515</c:v>
                </c:pt>
                <c:pt idx="2350">
                  <c:v>0.12320440949353806</c:v>
                </c:pt>
                <c:pt idx="2351">
                  <c:v>0.1232045841329521</c:v>
                </c:pt>
                <c:pt idx="2352">
                  <c:v>0.12320475862395153</c:v>
                </c:pt>
                <c:pt idx="2353">
                  <c:v>0.12320493296671398</c:v>
                </c:pt>
                <c:pt idx="2354">
                  <c:v>0.12320510716139488</c:v>
                </c:pt>
                <c:pt idx="2355">
                  <c:v>0.12320528120819407</c:v>
                </c:pt>
                <c:pt idx="2356">
                  <c:v>0.1232054551073114</c:v>
                </c:pt>
                <c:pt idx="2357">
                  <c:v>0.1232056288589467</c:v>
                </c:pt>
                <c:pt idx="2358">
                  <c:v>0.12320580246325541</c:v>
                </c:pt>
                <c:pt idx="2359">
                  <c:v>0.12320597592045957</c:v>
                </c:pt>
                <c:pt idx="2360">
                  <c:v>0.1232061492307146</c:v>
                </c:pt>
                <c:pt idx="2361">
                  <c:v>0.12320632239424256</c:v>
                </c:pt>
                <c:pt idx="2362">
                  <c:v>0.12320649541119888</c:v>
                </c:pt>
                <c:pt idx="2363">
                  <c:v>0.12320666828176119</c:v>
                </c:pt>
                <c:pt idx="2364">
                  <c:v>0.12320684100615154</c:v>
                </c:pt>
                <c:pt idx="2365">
                  <c:v>0.12320701358452535</c:v>
                </c:pt>
                <c:pt idx="2366">
                  <c:v>0.12320718601708247</c:v>
                </c:pt>
                <c:pt idx="2367">
                  <c:v>0.12320735830400054</c:v>
                </c:pt>
                <c:pt idx="2368">
                  <c:v>0.12320753044547939</c:v>
                </c:pt>
                <c:pt idx="2369">
                  <c:v>0.12320770244169665</c:v>
                </c:pt>
                <c:pt idx="2370">
                  <c:v>0.12320787429280777</c:v>
                </c:pt>
                <c:pt idx="2371">
                  <c:v>0.12320804599903479</c:v>
                </c:pt>
                <c:pt idx="2372">
                  <c:v>0.12320821756053313</c:v>
                </c:pt>
                <c:pt idx="2373">
                  <c:v>0.12320838897752484</c:v>
                </c:pt>
                <c:pt idx="2374">
                  <c:v>0.12320856025014315</c:v>
                </c:pt>
                <c:pt idx="2375">
                  <c:v>0.1232087313785879</c:v>
                </c:pt>
                <c:pt idx="2376">
                  <c:v>0.12320890236305893</c:v>
                </c:pt>
                <c:pt idx="2377">
                  <c:v>0.12320907320373387</c:v>
                </c:pt>
                <c:pt idx="2378">
                  <c:v>0.12320924390076815</c:v>
                </c:pt>
                <c:pt idx="2379">
                  <c:v>0.12320941445436162</c:v>
                </c:pt>
                <c:pt idx="2380">
                  <c:v>0.12320958486469191</c:v>
                </c:pt>
                <c:pt idx="2381">
                  <c:v>0.12320975513195886</c:v>
                </c:pt>
                <c:pt idx="2382">
                  <c:v>0.1232099252562957</c:v>
                </c:pt>
                <c:pt idx="2383">
                  <c:v>0.12321009523794668</c:v>
                </c:pt>
                <c:pt idx="2384">
                  <c:v>0.12321026507702282</c:v>
                </c:pt>
                <c:pt idx="2385">
                  <c:v>0.12321043477374616</c:v>
                </c:pt>
                <c:pt idx="2386">
                  <c:v>0.12321060432829434</c:v>
                </c:pt>
                <c:pt idx="2387">
                  <c:v>0.12321077374082279</c:v>
                </c:pt>
                <c:pt idx="2388">
                  <c:v>0.12321094301153135</c:v>
                </c:pt>
                <c:pt idx="2389">
                  <c:v>0.12321111214059766</c:v>
                </c:pt>
                <c:pt idx="2390">
                  <c:v>0.12321128112819935</c:v>
                </c:pt>
                <c:pt idx="2391">
                  <c:v>0.12321144997449185</c:v>
                </c:pt>
                <c:pt idx="2392">
                  <c:v>0.12321161867967501</c:v>
                </c:pt>
                <c:pt idx="2393">
                  <c:v>0.12321178724390425</c:v>
                </c:pt>
                <c:pt idx="2394">
                  <c:v>0.12321195566737941</c:v>
                </c:pt>
                <c:pt idx="2395">
                  <c:v>0.12321212395027814</c:v>
                </c:pt>
                <c:pt idx="2396">
                  <c:v>0.12321229209275586</c:v>
                </c:pt>
                <c:pt idx="2397">
                  <c:v>0.12321246009501241</c:v>
                </c:pt>
                <c:pt idx="2398">
                  <c:v>0.12321262795718102</c:v>
                </c:pt>
                <c:pt idx="2399">
                  <c:v>0.12321279567948373</c:v>
                </c:pt>
                <c:pt idx="2400">
                  <c:v>0.12321296326207598</c:v>
                </c:pt>
                <c:pt idx="2401">
                  <c:v>0.1232131307051354</c:v>
                </c:pt>
                <c:pt idx="2402">
                  <c:v>0.12321329800881742</c:v>
                </c:pt>
                <c:pt idx="2403">
                  <c:v>0.12321346517332188</c:v>
                </c:pt>
                <c:pt idx="2404">
                  <c:v>0.12321363219880421</c:v>
                </c:pt>
                <c:pt idx="2405">
                  <c:v>0.12321379908546426</c:v>
                </c:pt>
                <c:pt idx="2406">
                  <c:v>0.12321396583345745</c:v>
                </c:pt>
                <c:pt idx="2407">
                  <c:v>0.12321413244293922</c:v>
                </c:pt>
                <c:pt idx="2408">
                  <c:v>0.1232142989141094</c:v>
                </c:pt>
                <c:pt idx="2409">
                  <c:v>0.12321446524712343</c:v>
                </c:pt>
                <c:pt idx="2410">
                  <c:v>0.12321463144215894</c:v>
                </c:pt>
                <c:pt idx="2411">
                  <c:v>0.12321479749939357</c:v>
                </c:pt>
                <c:pt idx="2412">
                  <c:v>0.12321496341898275</c:v>
                </c:pt>
                <c:pt idx="2413">
                  <c:v>0.12321512920110411</c:v>
                </c:pt>
                <c:pt idx="2414">
                  <c:v>0.1232152948459575</c:v>
                </c:pt>
                <c:pt idx="2415">
                  <c:v>0.12321546035367614</c:v>
                </c:pt>
                <c:pt idx="2416">
                  <c:v>0.12321562572443767</c:v>
                </c:pt>
                <c:pt idx="2417">
                  <c:v>0.12321579095841972</c:v>
                </c:pt>
                <c:pt idx="2418">
                  <c:v>0.12321595605577773</c:v>
                </c:pt>
                <c:pt idx="2419">
                  <c:v>0.12321612101668933</c:v>
                </c:pt>
                <c:pt idx="2420">
                  <c:v>0.12321628584135436</c:v>
                </c:pt>
                <c:pt idx="2421">
                  <c:v>0.12321645052988384</c:v>
                </c:pt>
                <c:pt idx="2422">
                  <c:v>0.12321661508249981</c:v>
                </c:pt>
                <c:pt idx="2423">
                  <c:v>0.12321677949933552</c:v>
                </c:pt>
                <c:pt idx="2424">
                  <c:v>0.12321694378056858</c:v>
                </c:pt>
                <c:pt idx="2425">
                  <c:v>0.12321710792635443</c:v>
                </c:pt>
                <c:pt idx="2426">
                  <c:v>0.12321727193689291</c:v>
                </c:pt>
                <c:pt idx="2427">
                  <c:v>0.12321743581233946</c:v>
                </c:pt>
                <c:pt idx="2428">
                  <c:v>0.12321759955282729</c:v>
                </c:pt>
                <c:pt idx="2429">
                  <c:v>0.12321776315857846</c:v>
                </c:pt>
                <c:pt idx="2430">
                  <c:v>0.12321792662970399</c:v>
                </c:pt>
                <c:pt idx="2431">
                  <c:v>0.12321808996640371</c:v>
                </c:pt>
                <c:pt idx="2432">
                  <c:v>0.12321825316885526</c:v>
                </c:pt>
                <c:pt idx="2433">
                  <c:v>0.12321841623719187</c:v>
                </c:pt>
                <c:pt idx="2434">
                  <c:v>0.12321857917159118</c:v>
                </c:pt>
                <c:pt idx="2435">
                  <c:v>0.12321874197220861</c:v>
                </c:pt>
                <c:pt idx="2436">
                  <c:v>0.1232189046392218</c:v>
                </c:pt>
                <c:pt idx="2437">
                  <c:v>0.12321906717280839</c:v>
                </c:pt>
                <c:pt idx="2438">
                  <c:v>0.12321922957310161</c:v>
                </c:pt>
                <c:pt idx="2439">
                  <c:v>0.12321939184030128</c:v>
                </c:pt>
                <c:pt idx="2440">
                  <c:v>0.12321955397451845</c:v>
                </c:pt>
                <c:pt idx="2441">
                  <c:v>0.12321971597597514</c:v>
                </c:pt>
                <c:pt idx="2442">
                  <c:v>0.12321987784478239</c:v>
                </c:pt>
                <c:pt idx="2443">
                  <c:v>0.12322003958114003</c:v>
                </c:pt>
                <c:pt idx="2444">
                  <c:v>0.12322020118520349</c:v>
                </c:pt>
                <c:pt idx="2445">
                  <c:v>0.12322036265712821</c:v>
                </c:pt>
                <c:pt idx="2446">
                  <c:v>0.12322052399706962</c:v>
                </c:pt>
                <c:pt idx="2447">
                  <c:v>0.12322068520520535</c:v>
                </c:pt>
                <c:pt idx="2448">
                  <c:v>0.12322084628169083</c:v>
                </c:pt>
                <c:pt idx="2449">
                  <c:v>0.1232210072266815</c:v>
                </c:pt>
                <c:pt idx="2450">
                  <c:v>0.12322116804033278</c:v>
                </c:pt>
                <c:pt idx="2451">
                  <c:v>0.12322132872282232</c:v>
                </c:pt>
                <c:pt idx="2452">
                  <c:v>0.12322148927430554</c:v>
                </c:pt>
                <c:pt idx="2453">
                  <c:v>0.12322164969493787</c:v>
                </c:pt>
                <c:pt idx="2454">
                  <c:v>0.12322180998489696</c:v>
                </c:pt>
                <c:pt idx="2455">
                  <c:v>0.12322197014431602</c:v>
                </c:pt>
                <c:pt idx="2456">
                  <c:v>0.12322213017335049</c:v>
                </c:pt>
                <c:pt idx="2457">
                  <c:v>0.1232222900722002</c:v>
                </c:pt>
                <c:pt idx="2458">
                  <c:v>0.12322244984097619</c:v>
                </c:pt>
                <c:pt idx="2459">
                  <c:v>0.12322260947987829</c:v>
                </c:pt>
                <c:pt idx="2460">
                  <c:v>0.12322276898901752</c:v>
                </c:pt>
                <c:pt idx="2461">
                  <c:v>0.12322292836861592</c:v>
                </c:pt>
                <c:pt idx="2462">
                  <c:v>0.12322308761876233</c:v>
                </c:pt>
                <c:pt idx="2463">
                  <c:v>0.12322324673965657</c:v>
                </c:pt>
                <c:pt idx="2464">
                  <c:v>0.12322340573145407</c:v>
                </c:pt>
                <c:pt idx="2465">
                  <c:v>0.12322356459431028</c:v>
                </c:pt>
                <c:pt idx="2466">
                  <c:v>0.12322372332838061</c:v>
                </c:pt>
                <c:pt idx="2467">
                  <c:v>0.1232238819337983</c:v>
                </c:pt>
                <c:pt idx="2468">
                  <c:v>0.12322404041074098</c:v>
                </c:pt>
                <c:pt idx="2469">
                  <c:v>0.12322419875936408</c:v>
                </c:pt>
                <c:pt idx="2470">
                  <c:v>0.12322435697982304</c:v>
                </c:pt>
                <c:pt idx="2471">
                  <c:v>0.12322451507229548</c:v>
                </c:pt>
                <c:pt idx="2472">
                  <c:v>0.12322467303689244</c:v>
                </c:pt>
                <c:pt idx="2473">
                  <c:v>0.12322483087379155</c:v>
                </c:pt>
                <c:pt idx="2474">
                  <c:v>0.12322498858314823</c:v>
                </c:pt>
                <c:pt idx="2475">
                  <c:v>0.12322514616509572</c:v>
                </c:pt>
                <c:pt idx="2476">
                  <c:v>0.12322530361983386</c:v>
                </c:pt>
                <c:pt idx="2477">
                  <c:v>0.12322546094747366</c:v>
                </c:pt>
                <c:pt idx="2478">
                  <c:v>0.12322561814819277</c:v>
                </c:pt>
                <c:pt idx="2479">
                  <c:v>0.12322577522212441</c:v>
                </c:pt>
                <c:pt idx="2480">
                  <c:v>0.12322593216944622</c:v>
                </c:pt>
                <c:pt idx="2481">
                  <c:v>0.12322608899031362</c:v>
                </c:pt>
                <c:pt idx="2482">
                  <c:v>0.12322624568483764</c:v>
                </c:pt>
                <c:pt idx="2483">
                  <c:v>0.12322640225321813</c:v>
                </c:pt>
                <c:pt idx="2484">
                  <c:v>0.1232265586955883</c:v>
                </c:pt>
                <c:pt idx="2485">
                  <c:v>0.12322671501208138</c:v>
                </c:pt>
                <c:pt idx="2486">
                  <c:v>0.12322687120289721</c:v>
                </c:pt>
                <c:pt idx="2487">
                  <c:v>0.12322702726814683</c:v>
                </c:pt>
                <c:pt idx="2488">
                  <c:v>0.12322718320798565</c:v>
                </c:pt>
                <c:pt idx="2489">
                  <c:v>0.1232273390225691</c:v>
                </c:pt>
                <c:pt idx="2490">
                  <c:v>0.12322749471205263</c:v>
                </c:pt>
                <c:pt idx="2491">
                  <c:v>0.12322765027659166</c:v>
                </c:pt>
                <c:pt idx="2492">
                  <c:v>0.12322780571631942</c:v>
                </c:pt>
                <c:pt idx="2493">
                  <c:v>0.12322796103141354</c:v>
                </c:pt>
                <c:pt idx="2494">
                  <c:v>0.12322811622198504</c:v>
                </c:pt>
                <c:pt idx="2495">
                  <c:v>0.12322827128821157</c:v>
                </c:pt>
                <c:pt idx="2496">
                  <c:v>0.12322842623024854</c:v>
                </c:pt>
                <c:pt idx="2497">
                  <c:v>0.1232285810482292</c:v>
                </c:pt>
                <c:pt idx="2498">
                  <c:v>0.12322873574230897</c:v>
                </c:pt>
                <c:pt idx="2499">
                  <c:v>0.12322889031262108</c:v>
                </c:pt>
                <c:pt idx="2500">
                  <c:v>0.12322904475932095</c:v>
                </c:pt>
                <c:pt idx="2501">
                  <c:v>0.12322919908258623</c:v>
                </c:pt>
                <c:pt idx="2502">
                  <c:v>0.12322935328252793</c:v>
                </c:pt>
                <c:pt idx="2503">
                  <c:v>0.12322950735930149</c:v>
                </c:pt>
                <c:pt idx="2504">
                  <c:v>0.12322966131306234</c:v>
                </c:pt>
                <c:pt idx="2505">
                  <c:v>0.12322981514396592</c:v>
                </c:pt>
                <c:pt idx="2506">
                  <c:v>0.12322996885214543</c:v>
                </c:pt>
                <c:pt idx="2507">
                  <c:v>0.12323012243775633</c:v>
                </c:pt>
                <c:pt idx="2508">
                  <c:v>0.12323027590093183</c:v>
                </c:pt>
                <c:pt idx="2509">
                  <c:v>0.12323042924182737</c:v>
                </c:pt>
                <c:pt idx="2510">
                  <c:v>0.12323058246057617</c:v>
                </c:pt>
                <c:pt idx="2511">
                  <c:v>0.12323073555735586</c:v>
                </c:pt>
                <c:pt idx="2512">
                  <c:v>0.12323088853227748</c:v>
                </c:pt>
                <c:pt idx="2513">
                  <c:v>0.12323104138549645</c:v>
                </c:pt>
                <c:pt idx="2514">
                  <c:v>0.12323119411716821</c:v>
                </c:pt>
                <c:pt idx="2515">
                  <c:v>0.12323134672744818</c:v>
                </c:pt>
                <c:pt idx="2516">
                  <c:v>0.12323149921644738</c:v>
                </c:pt>
                <c:pt idx="2517">
                  <c:v>0.12323165158432126</c:v>
                </c:pt>
                <c:pt idx="2518">
                  <c:v>0.12323180383124743</c:v>
                </c:pt>
                <c:pt idx="2519">
                  <c:v>0.12323195595731473</c:v>
                </c:pt>
                <c:pt idx="2520">
                  <c:v>0.12323210796270079</c:v>
                </c:pt>
                <c:pt idx="2521">
                  <c:v>0.12323225984756103</c:v>
                </c:pt>
                <c:pt idx="2522">
                  <c:v>0.12323241161200649</c:v>
                </c:pt>
                <c:pt idx="2523">
                  <c:v>0.12323256325619258</c:v>
                </c:pt>
                <c:pt idx="2524">
                  <c:v>0.12323271478027475</c:v>
                </c:pt>
                <c:pt idx="2525">
                  <c:v>0.12323286618438622</c:v>
                </c:pt>
                <c:pt idx="2526">
                  <c:v>0.12323301746866022</c:v>
                </c:pt>
                <c:pt idx="2527">
                  <c:v>0.12323316863325218</c:v>
                </c:pt>
                <c:pt idx="2528">
                  <c:v>0.12323331967829532</c:v>
                </c:pt>
                <c:pt idx="2529">
                  <c:v>0.12323347060394507</c:v>
                </c:pt>
                <c:pt idx="2530">
                  <c:v>0.12323362141033467</c:v>
                </c:pt>
                <c:pt idx="2531">
                  <c:v>0.12323377209759734</c:v>
                </c:pt>
                <c:pt idx="2532">
                  <c:v>0.1232339226658663</c:v>
                </c:pt>
                <c:pt idx="2533">
                  <c:v>0.1232340731153192</c:v>
                </c:pt>
                <c:pt idx="2534">
                  <c:v>0.12323422344606705</c:v>
                </c:pt>
                <c:pt idx="2535">
                  <c:v>0.12323437365824308</c:v>
                </c:pt>
                <c:pt idx="2536">
                  <c:v>0.12323452375202493</c:v>
                </c:pt>
                <c:pt idx="2537">
                  <c:v>0.12323467372752361</c:v>
                </c:pt>
                <c:pt idx="2538">
                  <c:v>0.12323482358487237</c:v>
                </c:pt>
                <c:pt idx="2539">
                  <c:v>0.12323497332424882</c:v>
                </c:pt>
                <c:pt idx="2540">
                  <c:v>0.12323512294574179</c:v>
                </c:pt>
                <c:pt idx="2541">
                  <c:v>0.12323527244952892</c:v>
                </c:pt>
                <c:pt idx="2542">
                  <c:v>0.12323542183572123</c:v>
                </c:pt>
                <c:pt idx="2543">
                  <c:v>0.12323557110449634</c:v>
                </c:pt>
                <c:pt idx="2544">
                  <c:v>0.12323572025594309</c:v>
                </c:pt>
                <c:pt idx="2545">
                  <c:v>0.12323586929023911</c:v>
                </c:pt>
                <c:pt idx="2546">
                  <c:v>0.12323601820751762</c:v>
                </c:pt>
                <c:pt idx="2547">
                  <c:v>0.12323616700788964</c:v>
                </c:pt>
                <c:pt idx="2548">
                  <c:v>0.12323631569151061</c:v>
                </c:pt>
                <c:pt idx="2549">
                  <c:v>0.12323646425851376</c:v>
                </c:pt>
                <c:pt idx="2550">
                  <c:v>0.1232366127090545</c:v>
                </c:pt>
                <c:pt idx="2551">
                  <c:v>0.12323676104324388</c:v>
                </c:pt>
                <c:pt idx="2552">
                  <c:v>0.12323690926123732</c:v>
                </c:pt>
                <c:pt idx="2553">
                  <c:v>0.12323705736314583</c:v>
                </c:pt>
                <c:pt idx="2554">
                  <c:v>0.12323720534914706</c:v>
                </c:pt>
                <c:pt idx="2555">
                  <c:v>0.12323735321935203</c:v>
                </c:pt>
                <c:pt idx="2556">
                  <c:v>0.12323750097387176</c:v>
                </c:pt>
                <c:pt idx="2557">
                  <c:v>0.12323764861288389</c:v>
                </c:pt>
                <c:pt idx="2558">
                  <c:v>0.12323779613652164</c:v>
                </c:pt>
                <c:pt idx="2559">
                  <c:v>0.12323794354489603</c:v>
                </c:pt>
                <c:pt idx="2560">
                  <c:v>0.1232380908381403</c:v>
                </c:pt>
                <c:pt idx="2561">
                  <c:v>0.12323823801643208</c:v>
                </c:pt>
                <c:pt idx="2562">
                  <c:v>0.12323838507983798</c:v>
                </c:pt>
                <c:pt idx="2563">
                  <c:v>0.12323853202855783</c:v>
                </c:pt>
                <c:pt idx="2564">
                  <c:v>0.12323867886268047</c:v>
                </c:pt>
                <c:pt idx="2565">
                  <c:v>0.12323882558238353</c:v>
                </c:pt>
                <c:pt idx="2566">
                  <c:v>0.12323897218775581</c:v>
                </c:pt>
                <c:pt idx="2567">
                  <c:v>0.12323911867895276</c:v>
                </c:pt>
                <c:pt idx="2568">
                  <c:v>0.12323926505610761</c:v>
                </c:pt>
                <c:pt idx="2569">
                  <c:v>0.12323941131933136</c:v>
                </c:pt>
                <c:pt idx="2570">
                  <c:v>0.12323955746880166</c:v>
                </c:pt>
                <c:pt idx="2571">
                  <c:v>0.12323970350460733</c:v>
                </c:pt>
                <c:pt idx="2572">
                  <c:v>0.1232398494269038</c:v>
                </c:pt>
                <c:pt idx="2573">
                  <c:v>0.1232399952358243</c:v>
                </c:pt>
                <c:pt idx="2574">
                  <c:v>0.12323911465912385</c:v>
                </c:pt>
                <c:pt idx="2575">
                  <c:v>0.12323823476609874</c:v>
                </c:pt>
                <c:pt idx="2576">
                  <c:v>0.12323735555597182</c:v>
                </c:pt>
                <c:pt idx="2577">
                  <c:v>0.12323647702794371</c:v>
                </c:pt>
                <c:pt idx="2578">
                  <c:v>0.12323559918119287</c:v>
                </c:pt>
                <c:pt idx="2579">
                  <c:v>0.12323472201496433</c:v>
                </c:pt>
                <c:pt idx="2580">
                  <c:v>0.12323384552845873</c:v>
                </c:pt>
                <c:pt idx="2581">
                  <c:v>0.12323296972089892</c:v>
                </c:pt>
                <c:pt idx="2582">
                  <c:v>0.12323209459144113</c:v>
                </c:pt>
                <c:pt idx="2583">
                  <c:v>0.12323122013935262</c:v>
                </c:pt>
                <c:pt idx="2584">
                  <c:v>0.12323034636383401</c:v>
                </c:pt>
                <c:pt idx="2585">
                  <c:v>0.12322947326410816</c:v>
                </c:pt>
                <c:pt idx="2586">
                  <c:v>0.1232286008393535</c:v>
                </c:pt>
                <c:pt idx="2587">
                  <c:v>0.12322772908883728</c:v>
                </c:pt>
                <c:pt idx="2588">
                  <c:v>0.12322685801173794</c:v>
                </c:pt>
                <c:pt idx="2589">
                  <c:v>0.12322598760730052</c:v>
                </c:pt>
                <c:pt idx="2590">
                  <c:v>0.12322511787474788</c:v>
                </c:pt>
                <c:pt idx="2591">
                  <c:v>0.12322424881328065</c:v>
                </c:pt>
                <c:pt idx="2592">
                  <c:v>0.12322338042214387</c:v>
                </c:pt>
                <c:pt idx="2593">
                  <c:v>0.12322251270053819</c:v>
                </c:pt>
                <c:pt idx="2594">
                  <c:v>0.12322164564770866</c:v>
                </c:pt>
                <c:pt idx="2595">
                  <c:v>0.12322077926287811</c:v>
                </c:pt>
                <c:pt idx="2596">
                  <c:v>0.1232199135452694</c:v>
                </c:pt>
                <c:pt idx="2597">
                  <c:v>0.12321904849412757</c:v>
                </c:pt>
                <c:pt idx="2598">
                  <c:v>0.12321818410867547</c:v>
                </c:pt>
                <c:pt idx="2599">
                  <c:v>0.12321732038813593</c:v>
                </c:pt>
                <c:pt idx="2600">
                  <c:v>0.12321645733175401</c:v>
                </c:pt>
                <c:pt idx="2601">
                  <c:v>0.12321559493875256</c:v>
                </c:pt>
                <c:pt idx="2602">
                  <c:v>0.12321473320837661</c:v>
                </c:pt>
                <c:pt idx="2603">
                  <c:v>0.12321387213987123</c:v>
                </c:pt>
                <c:pt idx="2604">
                  <c:v>0.12321301173243704</c:v>
                </c:pt>
                <c:pt idx="2605">
                  <c:v>0.1232121519853635</c:v>
                </c:pt>
                <c:pt idx="2606">
                  <c:v>0.12321129289785127</c:v>
                </c:pt>
                <c:pt idx="2607">
                  <c:v>0.12321043446916757</c:v>
                </c:pt>
                <c:pt idx="2608">
                  <c:v>0.12320957669851307</c:v>
                </c:pt>
                <c:pt idx="2609">
                  <c:v>0.12320871958519941</c:v>
                </c:pt>
                <c:pt idx="2610">
                  <c:v>0.12320786312840504</c:v>
                </c:pt>
                <c:pt idx="2611">
                  <c:v>0.1232070073274194</c:v>
                </c:pt>
                <c:pt idx="2612">
                  <c:v>0.12320615218146536</c:v>
                </c:pt>
                <c:pt idx="2613">
                  <c:v>0.12320529768981014</c:v>
                </c:pt>
                <c:pt idx="2614">
                  <c:v>0.12320444385167661</c:v>
                </c:pt>
                <c:pt idx="2615">
                  <c:v>0.12320359066635422</c:v>
                </c:pt>
                <c:pt idx="2616">
                  <c:v>0.12320273813306581</c:v>
                </c:pt>
                <c:pt idx="2617">
                  <c:v>0.12320188625105644</c:v>
                </c:pt>
                <c:pt idx="2618">
                  <c:v>0.12320103501961555</c:v>
                </c:pt>
                <c:pt idx="2619">
                  <c:v>0.12320018443796599</c:v>
                </c:pt>
                <c:pt idx="2620">
                  <c:v>0.12319933450537501</c:v>
                </c:pt>
                <c:pt idx="2621">
                  <c:v>0.12319848522108767</c:v>
                </c:pt>
                <c:pt idx="2622">
                  <c:v>0.12319763658439342</c:v>
                </c:pt>
                <c:pt idx="2623">
                  <c:v>0.12319678859451511</c:v>
                </c:pt>
                <c:pt idx="2624">
                  <c:v>0.12319594125074218</c:v>
                </c:pt>
                <c:pt idx="2625">
                  <c:v>0.12319509455231969</c:v>
                </c:pt>
                <c:pt idx="2626">
                  <c:v>0.12319424849853711</c:v>
                </c:pt>
                <c:pt idx="2627">
                  <c:v>0.12319340308861726</c:v>
                </c:pt>
                <c:pt idx="2628">
                  <c:v>0.12319255832184961</c:v>
                </c:pt>
                <c:pt idx="2629">
                  <c:v>0.12319171419750141</c:v>
                </c:pt>
                <c:pt idx="2630">
                  <c:v>0.12319087071483992</c:v>
                </c:pt>
                <c:pt idx="2631">
                  <c:v>0.12319002787311017</c:v>
                </c:pt>
                <c:pt idx="2632">
                  <c:v>0.12318918567162385</c:v>
                </c:pt>
                <c:pt idx="2633">
                  <c:v>0.12318834410962598</c:v>
                </c:pt>
                <c:pt idx="2634">
                  <c:v>0.12318750318638383</c:v>
                </c:pt>
                <c:pt idx="2635">
                  <c:v>0.12318666290118685</c:v>
                </c:pt>
                <c:pt idx="2636">
                  <c:v>0.1231858232533023</c:v>
                </c:pt>
                <c:pt idx="2637">
                  <c:v>0.12318498424199742</c:v>
                </c:pt>
                <c:pt idx="2638">
                  <c:v>0.12318414586653947</c:v>
                </c:pt>
                <c:pt idx="2639">
                  <c:v>0.12318330812624012</c:v>
                </c:pt>
                <c:pt idx="2640">
                  <c:v>0.12318247102036661</c:v>
                </c:pt>
                <c:pt idx="2641">
                  <c:v>0.1231816345481862</c:v>
                </c:pt>
                <c:pt idx="2642">
                  <c:v>0.12318079870896614</c:v>
                </c:pt>
                <c:pt idx="2643">
                  <c:v>0.1231799635020181</c:v>
                </c:pt>
                <c:pt idx="2644">
                  <c:v>0.12317912892663152</c:v>
                </c:pt>
                <c:pt idx="2645">
                  <c:v>0.12317829498205146</c:v>
                </c:pt>
                <c:pt idx="2646">
                  <c:v>0.12317746166758958</c:v>
                </c:pt>
                <c:pt idx="2647">
                  <c:v>0.12317662898251314</c:v>
                </c:pt>
                <c:pt idx="2648">
                  <c:v>0.12317579692613378</c:v>
                </c:pt>
                <c:pt idx="2649">
                  <c:v>0.12317496549774098</c:v>
                </c:pt>
                <c:pt idx="2650">
                  <c:v>0.12317413469660199</c:v>
                </c:pt>
                <c:pt idx="2651">
                  <c:v>0.12317330452200626</c:v>
                </c:pt>
                <c:pt idx="2652">
                  <c:v>0.12317247497326544</c:v>
                </c:pt>
                <c:pt idx="2653">
                  <c:v>0.12317164604964681</c:v>
                </c:pt>
                <c:pt idx="2654">
                  <c:v>0.12317081775048422</c:v>
                </c:pt>
                <c:pt idx="2655">
                  <c:v>0.12316999007504492</c:v>
                </c:pt>
                <c:pt idx="2656">
                  <c:v>0.12316916302261838</c:v>
                </c:pt>
                <c:pt idx="2657">
                  <c:v>0.12316833659249404</c:v>
                </c:pt>
                <c:pt idx="2658">
                  <c:v>0.12316751078400578</c:v>
                </c:pt>
                <c:pt idx="2659">
                  <c:v>0.12316668559644306</c:v>
                </c:pt>
                <c:pt idx="2660">
                  <c:v>0.12316586102907312</c:v>
                </c:pt>
                <c:pt idx="2661">
                  <c:v>0.12316503708122983</c:v>
                </c:pt>
                <c:pt idx="2662">
                  <c:v>0.12316421375220266</c:v>
                </c:pt>
                <c:pt idx="2663">
                  <c:v>0.12316339104130325</c:v>
                </c:pt>
                <c:pt idx="2664">
                  <c:v>0.12316256894784328</c:v>
                </c:pt>
                <c:pt idx="2665">
                  <c:v>0.12316174747108999</c:v>
                </c:pt>
                <c:pt idx="2666">
                  <c:v>0.12316092661037725</c:v>
                </c:pt>
                <c:pt idx="2667">
                  <c:v>0.12316010636501673</c:v>
                </c:pt>
                <c:pt idx="2668">
                  <c:v>0.12315928673429788</c:v>
                </c:pt>
                <c:pt idx="2669">
                  <c:v>0.12315846771755457</c:v>
                </c:pt>
                <c:pt idx="2670">
                  <c:v>0.12315764931407625</c:v>
                </c:pt>
                <c:pt idx="2671">
                  <c:v>0.12315683152319679</c:v>
                </c:pt>
                <c:pt idx="2672">
                  <c:v>0.12315601434418344</c:v>
                </c:pt>
                <c:pt idx="2673">
                  <c:v>0.12315519777641448</c:v>
                </c:pt>
                <c:pt idx="2674">
                  <c:v>0.12315438181913496</c:v>
                </c:pt>
                <c:pt idx="2675">
                  <c:v>0.12315356647172315</c:v>
                </c:pt>
                <c:pt idx="2676">
                  <c:v>0.12315275173346851</c:v>
                </c:pt>
                <c:pt idx="2677">
                  <c:v>0.1231519376036605</c:v>
                </c:pt>
                <c:pt idx="2678">
                  <c:v>0.12315112408167739</c:v>
                </c:pt>
                <c:pt idx="2679">
                  <c:v>0.12315031116678643</c:v>
                </c:pt>
                <c:pt idx="2680">
                  <c:v>0.1231494988583437</c:v>
                </c:pt>
                <c:pt idx="2681">
                  <c:v>0.12314868715563865</c:v>
                </c:pt>
                <c:pt idx="2682">
                  <c:v>0.12314787605802735</c:v>
                </c:pt>
                <c:pt idx="2683">
                  <c:v>0.12314706556479926</c:v>
                </c:pt>
                <c:pt idx="2684">
                  <c:v>0.12314625567531046</c:v>
                </c:pt>
                <c:pt idx="2685">
                  <c:v>0.12314544638887259</c:v>
                </c:pt>
                <c:pt idx="2686">
                  <c:v>0.12314463770481954</c:v>
                </c:pt>
                <c:pt idx="2687">
                  <c:v>0.12314382962246295</c:v>
                </c:pt>
                <c:pt idx="2688">
                  <c:v>0.1231430221411367</c:v>
                </c:pt>
                <c:pt idx="2689">
                  <c:v>0.12314221526017466</c:v>
                </c:pt>
                <c:pt idx="2690">
                  <c:v>0.12314140897893289</c:v>
                </c:pt>
                <c:pt idx="2691">
                  <c:v>0.12314060329667864</c:v>
                </c:pt>
                <c:pt idx="2692">
                  <c:v>0.1231397982128124</c:v>
                </c:pt>
                <c:pt idx="2693">
                  <c:v>0.12313899372662362</c:v>
                </c:pt>
                <c:pt idx="2694">
                  <c:v>0.12313818983746838</c:v>
                </c:pt>
                <c:pt idx="2695">
                  <c:v>0.12313738654468054</c:v>
                </c:pt>
                <c:pt idx="2696">
                  <c:v>0.12313658384759396</c:v>
                </c:pt>
                <c:pt idx="2697">
                  <c:v>0.12313578174554252</c:v>
                </c:pt>
                <c:pt idx="2698">
                  <c:v>0.12313498023786007</c:v>
                </c:pt>
                <c:pt idx="2699">
                  <c:v>0.12313417932390269</c:v>
                </c:pt>
                <c:pt idx="2700">
                  <c:v>0.12313337900300425</c:v>
                </c:pt>
                <c:pt idx="2701">
                  <c:v>0.12313257927449861</c:v>
                </c:pt>
                <c:pt idx="2702">
                  <c:v>0.12313178013771964</c:v>
                </c:pt>
                <c:pt idx="2703">
                  <c:v>0.12313098159204561</c:v>
                </c:pt>
                <c:pt idx="2704">
                  <c:v>0.12313018363678818</c:v>
                </c:pt>
                <c:pt idx="2705">
                  <c:v>0.12312938627130343</c:v>
                </c:pt>
                <c:pt idx="2706">
                  <c:v>0.12312858949494743</c:v>
                </c:pt>
                <c:pt idx="2707">
                  <c:v>0.12312779330705403</c:v>
                </c:pt>
                <c:pt idx="2708">
                  <c:v>0.12312699770697932</c:v>
                </c:pt>
                <c:pt idx="2709">
                  <c:v>0.12312620269405716</c:v>
                </c:pt>
                <c:pt idx="2710">
                  <c:v>0.12312540826766583</c:v>
                </c:pt>
                <c:pt idx="2711">
                  <c:v>0.12312461442713918</c:v>
                </c:pt>
                <c:pt idx="2712">
                  <c:v>0.12312382117183329</c:v>
                </c:pt>
                <c:pt idx="2713">
                  <c:v>0.12312302850108203</c:v>
                </c:pt>
                <c:pt idx="2714">
                  <c:v>0.12312223641426367</c:v>
                </c:pt>
                <c:pt idx="2715">
                  <c:v>0.12312144491073429</c:v>
                </c:pt>
                <c:pt idx="2716">
                  <c:v>0.12312065398984995</c:v>
                </c:pt>
                <c:pt idx="2717">
                  <c:v>0.12311986365094452</c:v>
                </c:pt>
                <c:pt idx="2718">
                  <c:v>0.12311907389339627</c:v>
                </c:pt>
                <c:pt idx="2719">
                  <c:v>0.12311828471653907</c:v>
                </c:pt>
                <c:pt idx="2720">
                  <c:v>0.12311749611977341</c:v>
                </c:pt>
                <c:pt idx="2721">
                  <c:v>0.12311670810243314</c:v>
                </c:pt>
                <c:pt idx="2722">
                  <c:v>0.12311592066387433</c:v>
                </c:pt>
                <c:pt idx="2723">
                  <c:v>0.12311513380349748</c:v>
                </c:pt>
                <c:pt idx="2724">
                  <c:v>0.12311434752061423</c:v>
                </c:pt>
                <c:pt idx="2725">
                  <c:v>0.12311356181462507</c:v>
                </c:pt>
                <c:pt idx="2726">
                  <c:v>0.12311277668488607</c:v>
                </c:pt>
                <c:pt idx="2727">
                  <c:v>0.1231119921307533</c:v>
                </c:pt>
                <c:pt idx="2728">
                  <c:v>0.12311120815160503</c:v>
                </c:pt>
                <c:pt idx="2729">
                  <c:v>0.12311042474679734</c:v>
                </c:pt>
                <c:pt idx="2730">
                  <c:v>0.12310964191573071</c:v>
                </c:pt>
                <c:pt idx="2731">
                  <c:v>0.12310885965773899</c:v>
                </c:pt>
                <c:pt idx="2732">
                  <c:v>0.12310807797220047</c:v>
                </c:pt>
                <c:pt idx="2733">
                  <c:v>0.12310729685851562</c:v>
                </c:pt>
                <c:pt idx="2734">
                  <c:v>0.12310651631601832</c:v>
                </c:pt>
                <c:pt idx="2735">
                  <c:v>0.12310573634408684</c:v>
                </c:pt>
                <c:pt idx="2736">
                  <c:v>0.12310495694212165</c:v>
                </c:pt>
                <c:pt idx="2737">
                  <c:v>0.12310417810950103</c:v>
                </c:pt>
                <c:pt idx="2738">
                  <c:v>0.12310339984555885</c:v>
                </c:pt>
                <c:pt idx="2739">
                  <c:v>0.12310262214971779</c:v>
                </c:pt>
                <c:pt idx="2740">
                  <c:v>0.12310184502133392</c:v>
                </c:pt>
                <c:pt idx="2741">
                  <c:v>0.12310106845978552</c:v>
                </c:pt>
                <c:pt idx="2742">
                  <c:v>0.12310029246445087</c:v>
                </c:pt>
                <c:pt idx="2743">
                  <c:v>0.12309951703470823</c:v>
                </c:pt>
                <c:pt idx="2744">
                  <c:v>0.12309874216995809</c:v>
                </c:pt>
                <c:pt idx="2745">
                  <c:v>0.12309796786957872</c:v>
                </c:pt>
                <c:pt idx="2746">
                  <c:v>0.1230971941329484</c:v>
                </c:pt>
                <c:pt idx="2747">
                  <c:v>0.1230964209594454</c:v>
                </c:pt>
                <c:pt idx="2748">
                  <c:v>0.1230956483484702</c:v>
                </c:pt>
                <c:pt idx="2749">
                  <c:v>0.12309487629937887</c:v>
                </c:pt>
                <c:pt idx="2750">
                  <c:v>0.12309410481159411</c:v>
                </c:pt>
                <c:pt idx="2751">
                  <c:v>0.12309333388449417</c:v>
                </c:pt>
                <c:pt idx="2752">
                  <c:v>0.12309256351745734</c:v>
                </c:pt>
                <c:pt idx="2753">
                  <c:v>0.1230917937098841</c:v>
                </c:pt>
                <c:pt idx="2754">
                  <c:v>0.12309102446115272</c:v>
                </c:pt>
                <c:pt idx="2755">
                  <c:v>0.12309025577066368</c:v>
                </c:pt>
                <c:pt idx="2756">
                  <c:v>0.12308948763781746</c:v>
                </c:pt>
                <c:pt idx="2757">
                  <c:v>0.12308872006199234</c:v>
                </c:pt>
                <c:pt idx="2758">
                  <c:v>0.12308795304258879</c:v>
                </c:pt>
                <c:pt idx="2759">
                  <c:v>0.1230871865790073</c:v>
                </c:pt>
                <c:pt idx="2760">
                  <c:v>0.12308642067062614</c:v>
                </c:pt>
                <c:pt idx="2761">
                  <c:v>0.12308565531686799</c:v>
                </c:pt>
                <c:pt idx="2762">
                  <c:v>0.12308489051711113</c:v>
                </c:pt>
                <c:pt idx="2763">
                  <c:v>0.12308412627077825</c:v>
                </c:pt>
                <c:pt idx="2764">
                  <c:v>0.12308336257722541</c:v>
                </c:pt>
                <c:pt idx="2765">
                  <c:v>0.1230825994358975</c:v>
                </c:pt>
                <c:pt idx="2766">
                  <c:v>0.1230818368461728</c:v>
                </c:pt>
                <c:pt idx="2767">
                  <c:v>0.12308107480745178</c:v>
                </c:pt>
                <c:pt idx="2768">
                  <c:v>0.12308031331913494</c:v>
                </c:pt>
                <c:pt idx="2769">
                  <c:v>0.12307955238064494</c:v>
                </c:pt>
                <c:pt idx="2770">
                  <c:v>0.12307879199138227</c:v>
                </c:pt>
                <c:pt idx="2771">
                  <c:v>0.12307803215074742</c:v>
                </c:pt>
                <c:pt idx="2772">
                  <c:v>0.12307727285814085</c:v>
                </c:pt>
                <c:pt idx="2773">
                  <c:v>0.12307651411298526</c:v>
                </c:pt>
                <c:pt idx="2774">
                  <c:v>0.12307575591465891</c:v>
                </c:pt>
                <c:pt idx="2775">
                  <c:v>0.12307499826260671</c:v>
                </c:pt>
                <c:pt idx="2776">
                  <c:v>0.12307424115620691</c:v>
                </c:pt>
                <c:pt idx="2777">
                  <c:v>0.12307348459490441</c:v>
                </c:pt>
                <c:pt idx="2778">
                  <c:v>0.12307272857807749</c:v>
                </c:pt>
                <c:pt idx="2779">
                  <c:v>0.12307197310517104</c:v>
                </c:pt>
                <c:pt idx="2780">
                  <c:v>0.12307121817556332</c:v>
                </c:pt>
                <c:pt idx="2781">
                  <c:v>0.12307046378869924</c:v>
                </c:pt>
                <c:pt idx="2782">
                  <c:v>0.12306970994395705</c:v>
                </c:pt>
                <c:pt idx="2783">
                  <c:v>0.12306895664080386</c:v>
                </c:pt>
                <c:pt idx="2784">
                  <c:v>0.12306820387861794</c:v>
                </c:pt>
                <c:pt idx="2785">
                  <c:v>0.12306745165682198</c:v>
                </c:pt>
                <c:pt idx="2786">
                  <c:v>0.12306669997483866</c:v>
                </c:pt>
                <c:pt idx="2787">
                  <c:v>0.12306594883209065</c:v>
                </c:pt>
                <c:pt idx="2788">
                  <c:v>0.12306519822800066</c:v>
                </c:pt>
                <c:pt idx="2789">
                  <c:v>0.12306444816196915</c:v>
                </c:pt>
                <c:pt idx="2790">
                  <c:v>0.12306369863344102</c:v>
                </c:pt>
                <c:pt idx="2791">
                  <c:v>0.12306294964183895</c:v>
                </c:pt>
                <c:pt idx="2792">
                  <c:v>0.12306220118656341</c:v>
                </c:pt>
                <c:pt idx="2793">
                  <c:v>0.12306145326705931</c:v>
                </c:pt>
                <c:pt idx="2794">
                  <c:v>0.12306070588274931</c:v>
                </c:pt>
                <c:pt idx="2795">
                  <c:v>0.12305995903303391</c:v>
                </c:pt>
                <c:pt idx="2796">
                  <c:v>0.12305921271738018</c:v>
                </c:pt>
                <c:pt idx="2797">
                  <c:v>0.12305846693518863</c:v>
                </c:pt>
                <c:pt idx="2798">
                  <c:v>0.12305772168590412</c:v>
                </c:pt>
                <c:pt idx="2799">
                  <c:v>0.12305697696892715</c:v>
                </c:pt>
                <c:pt idx="2800">
                  <c:v>0.12305623278372479</c:v>
                </c:pt>
                <c:pt idx="2801">
                  <c:v>0.12305548912969755</c:v>
                </c:pt>
                <c:pt idx="2802">
                  <c:v>0.12305474600629029</c:v>
                </c:pt>
                <c:pt idx="2803">
                  <c:v>0.12305400341294792</c:v>
                </c:pt>
                <c:pt idx="2804">
                  <c:v>0.12305326134907091</c:v>
                </c:pt>
                <c:pt idx="2805">
                  <c:v>0.12305251981412635</c:v>
                </c:pt>
                <c:pt idx="2806">
                  <c:v>0.12305177880751472</c:v>
                </c:pt>
                <c:pt idx="2807">
                  <c:v>0.12305103832870312</c:v>
                </c:pt>
                <c:pt idx="2808">
                  <c:v>0.12305029837711423</c:v>
                </c:pt>
                <c:pt idx="2809">
                  <c:v>0.12304955895219294</c:v>
                </c:pt>
                <c:pt idx="2810">
                  <c:v>0.12304882005336193</c:v>
                </c:pt>
                <c:pt idx="2811">
                  <c:v>0.12304808168008829</c:v>
                </c:pt>
                <c:pt idx="2812">
                  <c:v>0.12304734383177252</c:v>
                </c:pt>
                <c:pt idx="2813">
                  <c:v>0.12304660650788168</c:v>
                </c:pt>
                <c:pt idx="2814">
                  <c:v>0.12304586970783848</c:v>
                </c:pt>
                <c:pt idx="2815">
                  <c:v>0.12304513343111001</c:v>
                </c:pt>
                <c:pt idx="2816">
                  <c:v>0.12304439767711894</c:v>
                </c:pt>
                <c:pt idx="2817">
                  <c:v>0.12304366244531018</c:v>
                </c:pt>
                <c:pt idx="2818">
                  <c:v>0.1230429277351508</c:v>
                </c:pt>
                <c:pt idx="2819">
                  <c:v>0.12304219354604129</c:v>
                </c:pt>
                <c:pt idx="2820">
                  <c:v>0.12304145987747095</c:v>
                </c:pt>
                <c:pt idx="2821">
                  <c:v>0.12304072672886246</c:v>
                </c:pt>
                <c:pt idx="2822">
                  <c:v>0.12303999409968291</c:v>
                </c:pt>
                <c:pt idx="2823">
                  <c:v>0.12303999418912248</c:v>
                </c:pt>
                <c:pt idx="2824">
                  <c:v>0.12303999427849543</c:v>
                </c:pt>
                <c:pt idx="2825">
                  <c:v>0.12303999436782398</c:v>
                </c:pt>
                <c:pt idx="2826">
                  <c:v>0.12303999445706371</c:v>
                </c:pt>
                <c:pt idx="2827">
                  <c:v>0.12303999454625902</c:v>
                </c:pt>
                <c:pt idx="2828">
                  <c:v>0.12303999463538773</c:v>
                </c:pt>
                <c:pt idx="2829">
                  <c:v>0.12303999472444982</c:v>
                </c:pt>
                <c:pt idx="2830">
                  <c:v>0.1230399948134453</c:v>
                </c:pt>
                <c:pt idx="2831">
                  <c:v>0.12303999490239637</c:v>
                </c:pt>
                <c:pt idx="2832">
                  <c:v>0.12303999499128082</c:v>
                </c:pt>
                <c:pt idx="2833">
                  <c:v>0.12303999508007646</c:v>
                </c:pt>
                <c:pt idx="2834">
                  <c:v>0.12303999516882769</c:v>
                </c:pt>
                <c:pt idx="2835">
                  <c:v>0.1230399952575123</c:v>
                </c:pt>
                <c:pt idx="2836">
                  <c:v>0.12303999534615251</c:v>
                </c:pt>
                <c:pt idx="2837">
                  <c:v>0.1230399954347039</c:v>
                </c:pt>
                <c:pt idx="2838">
                  <c:v>0.12303999552321088</c:v>
                </c:pt>
                <c:pt idx="2839">
                  <c:v>0.12303999561165124</c:v>
                </c:pt>
                <c:pt idx="2840">
                  <c:v>0.123039995700025</c:v>
                </c:pt>
                <c:pt idx="2841">
                  <c:v>0.12303999578833213</c:v>
                </c:pt>
                <c:pt idx="2842">
                  <c:v>0.12303999587657266</c:v>
                </c:pt>
                <c:pt idx="2843">
                  <c:v>0.12303999596476878</c:v>
                </c:pt>
                <c:pt idx="2844">
                  <c:v>0.12303999605289828</c:v>
                </c:pt>
                <c:pt idx="2845">
                  <c:v>0.12303999614096117</c:v>
                </c:pt>
                <c:pt idx="2846">
                  <c:v>0.12303999622895745</c:v>
                </c:pt>
                <c:pt idx="2847">
                  <c:v>0.12303999631690932</c:v>
                </c:pt>
                <c:pt idx="2848">
                  <c:v>0.12303999640479457</c:v>
                </c:pt>
                <c:pt idx="2849">
                  <c:v>0.12303999649261321</c:v>
                </c:pt>
                <c:pt idx="2850">
                  <c:v>0.12303999658036524</c:v>
                </c:pt>
                <c:pt idx="2851">
                  <c:v>0.12303999666805066</c:v>
                </c:pt>
                <c:pt idx="2852">
                  <c:v>0.12303999675569166</c:v>
                </c:pt>
                <c:pt idx="2853">
                  <c:v>0.12303999684326605</c:v>
                </c:pt>
                <c:pt idx="2854">
                  <c:v>0.12303999693077383</c:v>
                </c:pt>
                <c:pt idx="2855">
                  <c:v>0.123039997018215</c:v>
                </c:pt>
                <c:pt idx="2856">
                  <c:v>0.12303999710561175</c:v>
                </c:pt>
                <c:pt idx="2857">
                  <c:v>0.1230399971929419</c:v>
                </c:pt>
                <c:pt idx="2858">
                  <c:v>0.12303999728020543</c:v>
                </c:pt>
                <c:pt idx="2859">
                  <c:v>0.12303999736740234</c:v>
                </c:pt>
                <c:pt idx="2860">
                  <c:v>0.12303999745455485</c:v>
                </c:pt>
                <c:pt idx="2861">
                  <c:v>0.12303999754161854</c:v>
                </c:pt>
                <c:pt idx="2862">
                  <c:v>0.12303999762866002</c:v>
                </c:pt>
                <c:pt idx="2863">
                  <c:v>0.12303999771561269</c:v>
                </c:pt>
                <c:pt idx="2864">
                  <c:v>0.12303999780252095</c:v>
                </c:pt>
                <c:pt idx="2865">
                  <c:v>0.1230399978893626</c:v>
                </c:pt>
                <c:pt idx="2866">
                  <c:v>0.12303999797613763</c:v>
                </c:pt>
                <c:pt idx="2867">
                  <c:v>0.12303999806284605</c:v>
                </c:pt>
                <c:pt idx="2868">
                  <c:v>0.12303999814951005</c:v>
                </c:pt>
                <c:pt idx="2869">
                  <c:v>0.12303999823610745</c:v>
                </c:pt>
                <c:pt idx="2870">
                  <c:v>0.12303999832263823</c:v>
                </c:pt>
                <c:pt idx="2871">
                  <c:v>0.12303999840912461</c:v>
                </c:pt>
                <c:pt idx="2872">
                  <c:v>0.12303999849554437</c:v>
                </c:pt>
                <c:pt idx="2873">
                  <c:v>0.12303999858189751</c:v>
                </c:pt>
                <c:pt idx="2874">
                  <c:v>0.12303999866818405</c:v>
                </c:pt>
                <c:pt idx="2875">
                  <c:v>0.12303999875442617</c:v>
                </c:pt>
                <c:pt idx="2876">
                  <c:v>0.12303999884060168</c:v>
                </c:pt>
                <c:pt idx="2877">
                  <c:v>0.12303999892673279</c:v>
                </c:pt>
                <c:pt idx="2878">
                  <c:v>0.12303999901277507</c:v>
                </c:pt>
                <c:pt idx="2879">
                  <c:v>0.12303999909877295</c:v>
                </c:pt>
                <c:pt idx="2880">
                  <c:v>0.12303999918472641</c:v>
                </c:pt>
                <c:pt idx="2881">
                  <c:v>0.12303999927059106</c:v>
                </c:pt>
                <c:pt idx="2882">
                  <c:v>0.1230399993564113</c:v>
                </c:pt>
                <c:pt idx="2883">
                  <c:v>0.12303999944216493</c:v>
                </c:pt>
                <c:pt idx="2884">
                  <c:v>0.12303999952787414</c:v>
                </c:pt>
                <c:pt idx="2885">
                  <c:v>0.12303999961351675</c:v>
                </c:pt>
                <c:pt idx="2886">
                  <c:v>0.12303999969909274</c:v>
                </c:pt>
                <c:pt idx="2887">
                  <c:v>0.12303999978462432</c:v>
                </c:pt>
                <c:pt idx="2888">
                  <c:v>0.12303999987008929</c:v>
                </c:pt>
                <c:pt idx="2889">
                  <c:v>0.12303999995548764</c:v>
                </c:pt>
                <c:pt idx="2890">
                  <c:v>0.12304000004081939</c:v>
                </c:pt>
                <c:pt idx="2891">
                  <c:v>0.12304000012610672</c:v>
                </c:pt>
                <c:pt idx="2892">
                  <c:v>0.12304000021134964</c:v>
                </c:pt>
                <c:pt idx="2893">
                  <c:v>0.12304000029650375</c:v>
                </c:pt>
                <c:pt idx="2894">
                  <c:v>0.12304000038161345</c:v>
                </c:pt>
                <c:pt idx="2895">
                  <c:v>0.12304000046665653</c:v>
                </c:pt>
                <c:pt idx="2896">
                  <c:v>0.1230400005516552</c:v>
                </c:pt>
                <c:pt idx="2897">
                  <c:v>0.12304000063658727</c:v>
                </c:pt>
                <c:pt idx="2898">
                  <c:v>0.12304000072145271</c:v>
                </c:pt>
                <c:pt idx="2899">
                  <c:v>0.12304000080627375</c:v>
                </c:pt>
                <c:pt idx="2900">
                  <c:v>0.12304000089102818</c:v>
                </c:pt>
                <c:pt idx="2901">
                  <c:v>0.1230400009757382</c:v>
                </c:pt>
                <c:pt idx="2902">
                  <c:v>0.1230400010603816</c:v>
                </c:pt>
                <c:pt idx="2903">
                  <c:v>0.12304000114495839</c:v>
                </c:pt>
                <c:pt idx="2904">
                  <c:v>0.12304000122946857</c:v>
                </c:pt>
                <c:pt idx="2905">
                  <c:v>0.12304000131393433</c:v>
                </c:pt>
                <c:pt idx="2906">
                  <c:v>0.12304000139835569</c:v>
                </c:pt>
                <c:pt idx="2907">
                  <c:v>0.12304000148268823</c:v>
                </c:pt>
                <c:pt idx="2908">
                  <c:v>0.12304000156699857</c:v>
                </c:pt>
                <c:pt idx="2909">
                  <c:v>0.12304000165122009</c:v>
                </c:pt>
                <c:pt idx="2910">
                  <c:v>0.1230400017353972</c:v>
                </c:pt>
                <c:pt idx="2911">
                  <c:v>0.12304000181950769</c:v>
                </c:pt>
                <c:pt idx="2912">
                  <c:v>0.12304000190357378</c:v>
                </c:pt>
                <c:pt idx="2913">
                  <c:v>0.12304000198757326</c:v>
                </c:pt>
                <c:pt idx="2914">
                  <c:v>0.12304000207152832</c:v>
                </c:pt>
                <c:pt idx="2915">
                  <c:v>0.12304000215541677</c:v>
                </c:pt>
                <c:pt idx="2916">
                  <c:v>0.12304000223923861</c:v>
                </c:pt>
                <c:pt idx="2917">
                  <c:v>0.12304000232301604</c:v>
                </c:pt>
                <c:pt idx="2918">
                  <c:v>0.12304000240672686</c:v>
                </c:pt>
                <c:pt idx="2919">
                  <c:v>0.12304000249037106</c:v>
                </c:pt>
                <c:pt idx="2920">
                  <c:v>0.12304000257397085</c:v>
                </c:pt>
                <c:pt idx="2921">
                  <c:v>0.12304000265752624</c:v>
                </c:pt>
                <c:pt idx="2922">
                  <c:v>0.12304000274101501</c:v>
                </c:pt>
                <c:pt idx="2923">
                  <c:v>0.12304000282443717</c:v>
                </c:pt>
                <c:pt idx="2924">
                  <c:v>0.12304000290781492</c:v>
                </c:pt>
                <c:pt idx="2925">
                  <c:v>0.12304000299112605</c:v>
                </c:pt>
                <c:pt idx="2926">
                  <c:v>0.12304000307437057</c:v>
                </c:pt>
                <c:pt idx="2927">
                  <c:v>0.12304000315757069</c:v>
                </c:pt>
                <c:pt idx="2928">
                  <c:v>0.12304000324072639</c:v>
                </c:pt>
                <c:pt idx="2929">
                  <c:v>0.12304000332381548</c:v>
                </c:pt>
                <c:pt idx="2930">
                  <c:v>0.12304000340683796</c:v>
                </c:pt>
                <c:pt idx="2931">
                  <c:v>0.12304000348981603</c:v>
                </c:pt>
                <c:pt idx="2932">
                  <c:v>0.12304000357272749</c:v>
                </c:pt>
                <c:pt idx="2933">
                  <c:v>0.12304000365559453</c:v>
                </c:pt>
                <c:pt idx="2934">
                  <c:v>0.12304000373839497</c:v>
                </c:pt>
                <c:pt idx="2935">
                  <c:v>0.12304000382115099</c:v>
                </c:pt>
                <c:pt idx="2936">
                  <c:v>0.1230400039038404</c:v>
                </c:pt>
                <c:pt idx="2937">
                  <c:v>0.1230400039864632</c:v>
                </c:pt>
                <c:pt idx="2938">
                  <c:v>0.12304000406904159</c:v>
                </c:pt>
                <c:pt idx="2939">
                  <c:v>0.12304000415157557</c:v>
                </c:pt>
                <c:pt idx="2940">
                  <c:v>0.12304000423404293</c:v>
                </c:pt>
                <c:pt idx="2941">
                  <c:v>0.12304000431644369</c:v>
                </c:pt>
                <c:pt idx="2942">
                  <c:v>0.12304000439880003</c:v>
                </c:pt>
                <c:pt idx="2943">
                  <c:v>0.12304000448111196</c:v>
                </c:pt>
                <c:pt idx="2944">
                  <c:v>0.12304000456335729</c:v>
                </c:pt>
                <c:pt idx="2945">
                  <c:v>0.12304000464553599</c:v>
                </c:pt>
                <c:pt idx="2946">
                  <c:v>0.12304000472767029</c:v>
                </c:pt>
                <c:pt idx="2947">
                  <c:v>0.12304000480973798</c:v>
                </c:pt>
                <c:pt idx="2948">
                  <c:v>0.12304000489176126</c:v>
                </c:pt>
                <c:pt idx="2949">
                  <c:v>0.12304000497371792</c:v>
                </c:pt>
                <c:pt idx="2950">
                  <c:v>0.12304000505563017</c:v>
                </c:pt>
                <c:pt idx="2951">
                  <c:v>0.12304000513747582</c:v>
                </c:pt>
                <c:pt idx="2952">
                  <c:v>0.12304000521927705</c:v>
                </c:pt>
                <c:pt idx="2953">
                  <c:v>0.12304000530103387</c:v>
                </c:pt>
                <c:pt idx="2954">
                  <c:v>0.12304000538270188</c:v>
                </c:pt>
                <c:pt idx="2955">
                  <c:v>0.12304000546434768</c:v>
                </c:pt>
                <c:pt idx="2956">
                  <c:v>0.12304000554592687</c:v>
                </c:pt>
                <c:pt idx="2957">
                  <c:v>0.12304000562743944</c:v>
                </c:pt>
                <c:pt idx="2958">
                  <c:v>0.12304000570890761</c:v>
                </c:pt>
                <c:pt idx="2959">
                  <c:v>0.12304000579030916</c:v>
                </c:pt>
                <c:pt idx="2960">
                  <c:v>0.1230400058716663</c:v>
                </c:pt>
                <c:pt idx="2961">
                  <c:v>0.12304000595297904</c:v>
                </c:pt>
                <c:pt idx="2962">
                  <c:v>0.12304000603422516</c:v>
                </c:pt>
                <c:pt idx="2963">
                  <c:v>0.12304000611540467</c:v>
                </c:pt>
                <c:pt idx="2964">
                  <c:v>0.12304000619653976</c:v>
                </c:pt>
                <c:pt idx="2965">
                  <c:v>0.12304000627763045</c:v>
                </c:pt>
                <c:pt idx="2966">
                  <c:v>0.12304000635865453</c:v>
                </c:pt>
                <c:pt idx="2967">
                  <c:v>0.1230400064396342</c:v>
                </c:pt>
                <c:pt idx="2968">
                  <c:v>0.12304000652054725</c:v>
                </c:pt>
                <c:pt idx="2969">
                  <c:v>0.1230400066014159</c:v>
                </c:pt>
                <c:pt idx="2970">
                  <c:v>0.12304000668221793</c:v>
                </c:pt>
                <c:pt idx="2971">
                  <c:v>0.12304000676297555</c:v>
                </c:pt>
                <c:pt idx="2972">
                  <c:v>0.12304000684366656</c:v>
                </c:pt>
                <c:pt idx="2973">
                  <c:v>0.12304000692433537</c:v>
                </c:pt>
                <c:pt idx="2974">
                  <c:v>0.12304000700491535</c:v>
                </c:pt>
                <c:pt idx="2975">
                  <c:v>0.12304000708545093</c:v>
                </c:pt>
                <c:pt idx="2976">
                  <c:v>0.1230400071659421</c:v>
                </c:pt>
                <c:pt idx="2977">
                  <c:v>0.12304000724636666</c:v>
                </c:pt>
                <c:pt idx="2978">
                  <c:v>0.1230400073267468</c:v>
                </c:pt>
                <c:pt idx="2979">
                  <c:v>0.12304000740706034</c:v>
                </c:pt>
                <c:pt idx="2980">
                  <c:v>0.12304000748732946</c:v>
                </c:pt>
                <c:pt idx="2981">
                  <c:v>0.12304000756755418</c:v>
                </c:pt>
                <c:pt idx="2982">
                  <c:v>0.12304000764771228</c:v>
                </c:pt>
                <c:pt idx="2983">
                  <c:v>0.12304000772780377</c:v>
                </c:pt>
                <c:pt idx="2984">
                  <c:v>0.12304000780787305</c:v>
                </c:pt>
                <c:pt idx="2985">
                  <c:v>0.12304000788787572</c:v>
                </c:pt>
                <c:pt idx="2986">
                  <c:v>0.12304000796781178</c:v>
                </c:pt>
                <c:pt idx="2987">
                  <c:v>0.12304000804770343</c:v>
                </c:pt>
                <c:pt idx="2988">
                  <c:v>0.12304000812755067</c:v>
                </c:pt>
                <c:pt idx="2989">
                  <c:v>0.1230400082073313</c:v>
                </c:pt>
                <c:pt idx="2990">
                  <c:v>0.12304000828706751</c:v>
                </c:pt>
                <c:pt idx="2991">
                  <c:v>0.12304000836673712</c:v>
                </c:pt>
                <c:pt idx="2992">
                  <c:v>0.12304000844636231</c:v>
                </c:pt>
                <c:pt idx="2993">
                  <c:v>0.1230400085259431</c:v>
                </c:pt>
                <c:pt idx="2994">
                  <c:v>0.12304000860545727</c:v>
                </c:pt>
                <c:pt idx="2995">
                  <c:v>0.12304000868492704</c:v>
                </c:pt>
                <c:pt idx="2996">
                  <c:v>0.12304000876433019</c:v>
                </c:pt>
                <c:pt idx="2997">
                  <c:v>0.12304000884368893</c:v>
                </c:pt>
                <c:pt idx="2998">
                  <c:v>0.12304000892300326</c:v>
                </c:pt>
                <c:pt idx="2999">
                  <c:v>0.12304000900225098</c:v>
                </c:pt>
                <c:pt idx="3000">
                  <c:v>0.12304000908145429</c:v>
                </c:pt>
                <c:pt idx="3001">
                  <c:v>0.1230400091606132</c:v>
                </c:pt>
                <c:pt idx="3002">
                  <c:v>0.12304000923970548</c:v>
                </c:pt>
                <c:pt idx="3003">
                  <c:v>0.12304000931875336</c:v>
                </c:pt>
                <c:pt idx="3004">
                  <c:v>0.12304000939773463</c:v>
                </c:pt>
                <c:pt idx="3005">
                  <c:v>0.12304000947667149</c:v>
                </c:pt>
                <c:pt idx="3006">
                  <c:v>0.12304000955556393</c:v>
                </c:pt>
                <c:pt idx="3007">
                  <c:v>0.12304000963438977</c:v>
                </c:pt>
                <c:pt idx="3008">
                  <c:v>0.12304000971317119</c:v>
                </c:pt>
                <c:pt idx="3009">
                  <c:v>0.12304000979190821</c:v>
                </c:pt>
                <c:pt idx="3010">
                  <c:v>0.12304000987057861</c:v>
                </c:pt>
                <c:pt idx="3011">
                  <c:v>0.12304000994920461</c:v>
                </c:pt>
                <c:pt idx="3012">
                  <c:v>0.12304001002776399</c:v>
                </c:pt>
                <c:pt idx="3013">
                  <c:v>0.12304001010630117</c:v>
                </c:pt>
                <c:pt idx="3014">
                  <c:v>0.12304001018474953</c:v>
                </c:pt>
                <c:pt idx="3015">
                  <c:v>0.12304001026317568</c:v>
                </c:pt>
                <c:pt idx="3016">
                  <c:v>0.12304001034153522</c:v>
                </c:pt>
                <c:pt idx="3017">
                  <c:v>0.12304001041985035</c:v>
                </c:pt>
                <c:pt idx="3018">
                  <c:v>0.12304001049812108</c:v>
                </c:pt>
                <c:pt idx="3019">
                  <c:v>0.12304001057632519</c:v>
                </c:pt>
                <c:pt idx="3020">
                  <c:v>0.12304001065446268</c:v>
                </c:pt>
                <c:pt idx="3021">
                  <c:v>0.12304001073257798</c:v>
                </c:pt>
                <c:pt idx="3022">
                  <c:v>0.12304001081062665</c:v>
                </c:pt>
                <c:pt idx="3023">
                  <c:v>0.12304001088863092</c:v>
                </c:pt>
                <c:pt idx="3024">
                  <c:v>0.12304001096659078</c:v>
                </c:pt>
                <c:pt idx="3025">
                  <c:v>0.12304001104448403</c:v>
                </c:pt>
                <c:pt idx="3026">
                  <c:v>0.12304001112233287</c:v>
                </c:pt>
                <c:pt idx="3027">
                  <c:v>0.1230400112001151</c:v>
                </c:pt>
                <c:pt idx="3028">
                  <c:v>0.12304001127787512</c:v>
                </c:pt>
                <c:pt idx="3029">
                  <c:v>0.12304001135554632</c:v>
                </c:pt>
                <c:pt idx="3030">
                  <c:v>0.12304001143319532</c:v>
                </c:pt>
                <c:pt idx="3031">
                  <c:v>0.1230400115107777</c:v>
                </c:pt>
                <c:pt idx="3032">
                  <c:v>0.12304001158831568</c:v>
                </c:pt>
                <c:pt idx="3033">
                  <c:v>0.12304001166580925</c:v>
                </c:pt>
                <c:pt idx="3034">
                  <c:v>0.1230400117432584</c:v>
                </c:pt>
                <c:pt idx="3035">
                  <c:v>0.12304001182064095</c:v>
                </c:pt>
                <c:pt idx="3036">
                  <c:v>0.12304001189797908</c:v>
                </c:pt>
                <c:pt idx="3037">
                  <c:v>0.12304001197525061</c:v>
                </c:pt>
                <c:pt idx="3038">
                  <c:v>0.12304001205247772</c:v>
                </c:pt>
                <c:pt idx="3039">
                  <c:v>0.12304001212966043</c:v>
                </c:pt>
                <c:pt idx="3040">
                  <c:v>0.12304001220679872</c:v>
                </c:pt>
                <c:pt idx="3041">
                  <c:v>0.1230400122838704</c:v>
                </c:pt>
                <c:pt idx="3042">
                  <c:v>0.12304001236091988</c:v>
                </c:pt>
                <c:pt idx="3043">
                  <c:v>0.12304001243788054</c:v>
                </c:pt>
                <c:pt idx="3044">
                  <c:v>0.123040012514819</c:v>
                </c:pt>
                <c:pt idx="3045">
                  <c:v>0.12304001259169084</c:v>
                </c:pt>
                <c:pt idx="3046">
                  <c:v>0.12304001266851827</c:v>
                </c:pt>
                <c:pt idx="3047">
                  <c:v>0.1230400127453013</c:v>
                </c:pt>
                <c:pt idx="3048">
                  <c:v>0.12304001282203991</c:v>
                </c:pt>
                <c:pt idx="3049">
                  <c:v>0.12304001289871191</c:v>
                </c:pt>
                <c:pt idx="3050">
                  <c:v>0.12304001297533951</c:v>
                </c:pt>
                <c:pt idx="3051">
                  <c:v>0.12304001305190049</c:v>
                </c:pt>
                <c:pt idx="3052">
                  <c:v>0.12304001312843926</c:v>
                </c:pt>
                <c:pt idx="3053">
                  <c:v>0.12304001320491142</c:v>
                </c:pt>
                <c:pt idx="3054">
                  <c:v>0.12304001328133918</c:v>
                </c:pt>
                <c:pt idx="3055">
                  <c:v>0.12304001335770032</c:v>
                </c:pt>
                <c:pt idx="3056">
                  <c:v>0.12304001343403925</c:v>
                </c:pt>
                <c:pt idx="3057">
                  <c:v>0.12304001351031157</c:v>
                </c:pt>
                <c:pt idx="3058">
                  <c:v>0.12304001358653949</c:v>
                </c:pt>
                <c:pt idx="3059">
                  <c:v>0.12304001366272299</c:v>
                </c:pt>
                <c:pt idx="3060">
                  <c:v>0.12304001373883988</c:v>
                </c:pt>
                <c:pt idx="3061">
                  <c:v>0.12304001381491236</c:v>
                </c:pt>
                <c:pt idx="3062">
                  <c:v>0.12304001389094044</c:v>
                </c:pt>
                <c:pt idx="3063">
                  <c:v>0.1230400139669241</c:v>
                </c:pt>
                <c:pt idx="3064">
                  <c:v>0.12304001404284115</c:v>
                </c:pt>
                <c:pt idx="3065">
                  <c:v>0.123040014118736</c:v>
                </c:pt>
                <c:pt idx="3066">
                  <c:v>0.12304001419456423</c:v>
                </c:pt>
                <c:pt idx="3067">
                  <c:v>0.12304001427032585</c:v>
                </c:pt>
                <c:pt idx="3068">
                  <c:v>0.12304001434606526</c:v>
                </c:pt>
                <c:pt idx="3069">
                  <c:v>0.12304001442173806</c:v>
                </c:pt>
                <c:pt idx="3070">
                  <c:v>0.12304001449738866</c:v>
                </c:pt>
                <c:pt idx="3071">
                  <c:v>0.12304001457295044</c:v>
                </c:pt>
                <c:pt idx="3072">
                  <c:v>0.12304001464849001</c:v>
                </c:pt>
                <c:pt idx="3073">
                  <c:v>0.12304001472398518</c:v>
                </c:pt>
                <c:pt idx="3074">
                  <c:v>0.12304001479941373</c:v>
                </c:pt>
                <c:pt idx="3075">
                  <c:v>0.12304001487479788</c:v>
                </c:pt>
                <c:pt idx="3076">
                  <c:v>0.12304001485967664</c:v>
                </c:pt>
                <c:pt idx="3077">
                  <c:v>0.1230400148445554</c:v>
                </c:pt>
                <c:pt idx="3078">
                  <c:v>0.12304001482945637</c:v>
                </c:pt>
                <c:pt idx="3079">
                  <c:v>0.12304001481435733</c:v>
                </c:pt>
                <c:pt idx="3080">
                  <c:v>0.1230400147992583</c:v>
                </c:pt>
                <c:pt idx="3081">
                  <c:v>0.12304001478418147</c:v>
                </c:pt>
                <c:pt idx="3082">
                  <c:v>0.12304001476912685</c:v>
                </c:pt>
                <c:pt idx="3083">
                  <c:v>0.12304001475405002</c:v>
                </c:pt>
                <c:pt idx="3084">
                  <c:v>0.1230400147390176</c:v>
                </c:pt>
                <c:pt idx="3085">
                  <c:v>0.12304001472396298</c:v>
                </c:pt>
                <c:pt idx="3086">
                  <c:v>0.12304001470895276</c:v>
                </c:pt>
                <c:pt idx="3087">
                  <c:v>0.12304001469392034</c:v>
                </c:pt>
                <c:pt idx="3088">
                  <c:v>0.12304001467891013</c:v>
                </c:pt>
                <c:pt idx="3089">
                  <c:v>0.12304001466392211</c:v>
                </c:pt>
                <c:pt idx="3090">
                  <c:v>0.1230400146489341</c:v>
                </c:pt>
                <c:pt idx="3091">
                  <c:v>0.12304001463394609</c:v>
                </c:pt>
                <c:pt idx="3092">
                  <c:v>0.12304001461898029</c:v>
                </c:pt>
                <c:pt idx="3093">
                  <c:v>0.12304001460401448</c:v>
                </c:pt>
                <c:pt idx="3094">
                  <c:v>0.12304001458907088</c:v>
                </c:pt>
                <c:pt idx="3095">
                  <c:v>0.12304001457412728</c:v>
                </c:pt>
                <c:pt idx="3096">
                  <c:v>0.12304001455918367</c:v>
                </c:pt>
                <c:pt idx="3097">
                  <c:v>0.12304001454426228</c:v>
                </c:pt>
                <c:pt idx="3098">
                  <c:v>0.12304001452936308</c:v>
                </c:pt>
                <c:pt idx="3099">
                  <c:v>0.12304001451444169</c:v>
                </c:pt>
                <c:pt idx="3100">
                  <c:v>0.1230400144995647</c:v>
                </c:pt>
                <c:pt idx="3101">
                  <c:v>0.12304001448466551</c:v>
                </c:pt>
                <c:pt idx="3102">
                  <c:v>0.12304001446978852</c:v>
                </c:pt>
                <c:pt idx="3103">
                  <c:v>0.12304001445493373</c:v>
                </c:pt>
                <c:pt idx="3104">
                  <c:v>0.12304001444007895</c:v>
                </c:pt>
                <c:pt idx="3105">
                  <c:v>0.12304001442522416</c:v>
                </c:pt>
                <c:pt idx="3106">
                  <c:v>0.12304001441039158</c:v>
                </c:pt>
                <c:pt idx="3107">
                  <c:v>0.12304001439558121</c:v>
                </c:pt>
                <c:pt idx="3108">
                  <c:v>0.12304001438074863</c:v>
                </c:pt>
                <c:pt idx="3109">
                  <c:v>0.12304001436593826</c:v>
                </c:pt>
                <c:pt idx="3110">
                  <c:v>0.12304001435115008</c:v>
                </c:pt>
                <c:pt idx="3111">
                  <c:v>0.12304001433636191</c:v>
                </c:pt>
                <c:pt idx="3112">
                  <c:v>0.12304001432157374</c:v>
                </c:pt>
                <c:pt idx="3113">
                  <c:v>0.12304001430680778</c:v>
                </c:pt>
                <c:pt idx="3114">
                  <c:v>0.12304001429206401</c:v>
                </c:pt>
                <c:pt idx="3115">
                  <c:v>0.12304001427729805</c:v>
                </c:pt>
                <c:pt idx="3116">
                  <c:v>0.12304001426255429</c:v>
                </c:pt>
                <c:pt idx="3117">
                  <c:v>0.12304001424783273</c:v>
                </c:pt>
                <c:pt idx="3118">
                  <c:v>0.12304001423311117</c:v>
                </c:pt>
                <c:pt idx="3119">
                  <c:v>0.12304001421838962</c:v>
                </c:pt>
                <c:pt idx="3120">
                  <c:v>0.12304001420369026</c:v>
                </c:pt>
                <c:pt idx="3121">
                  <c:v>0.12304001418899091</c:v>
                </c:pt>
                <c:pt idx="3122">
                  <c:v>0.12304001417431376</c:v>
                </c:pt>
                <c:pt idx="3123">
                  <c:v>0.12304001415963661</c:v>
                </c:pt>
                <c:pt idx="3124">
                  <c:v>0.12304001414498167</c:v>
                </c:pt>
                <c:pt idx="3125">
                  <c:v>0.12304001413032672</c:v>
                </c:pt>
                <c:pt idx="3126">
                  <c:v>0.12304001411567178</c:v>
                </c:pt>
                <c:pt idx="3127">
                  <c:v>0.12304001410103904</c:v>
                </c:pt>
                <c:pt idx="3128">
                  <c:v>0.1230400140864063</c:v>
                </c:pt>
                <c:pt idx="3129">
                  <c:v>0.12304001407179577</c:v>
                </c:pt>
                <c:pt idx="3130">
                  <c:v>0.12304001405718523</c:v>
                </c:pt>
                <c:pt idx="3131">
                  <c:v>0.1230400140425747</c:v>
                </c:pt>
                <c:pt idx="3132">
                  <c:v>0.12304001402798637</c:v>
                </c:pt>
                <c:pt idx="3133">
                  <c:v>0.12304001401339804</c:v>
                </c:pt>
                <c:pt idx="3134">
                  <c:v>0.12304001399883191</c:v>
                </c:pt>
                <c:pt idx="3135">
                  <c:v>0.12304001398426578</c:v>
                </c:pt>
                <c:pt idx="3136">
                  <c:v>0.12304001396972186</c:v>
                </c:pt>
                <c:pt idx="3137">
                  <c:v>0.12304001395517794</c:v>
                </c:pt>
                <c:pt idx="3138">
                  <c:v>0.12304001394063402</c:v>
                </c:pt>
                <c:pt idx="3139">
                  <c:v>0.1230400139261123</c:v>
                </c:pt>
                <c:pt idx="3140">
                  <c:v>0.12304001391159058</c:v>
                </c:pt>
                <c:pt idx="3141">
                  <c:v>0.12304001389709107</c:v>
                </c:pt>
                <c:pt idx="3142">
                  <c:v>0.12304001388259156</c:v>
                </c:pt>
                <c:pt idx="3143">
                  <c:v>0.12304001386811425</c:v>
                </c:pt>
                <c:pt idx="3144">
                  <c:v>0.12304001385361474</c:v>
                </c:pt>
                <c:pt idx="3145">
                  <c:v>0.12304001383915963</c:v>
                </c:pt>
                <c:pt idx="3146">
                  <c:v>0.12304001382468233</c:v>
                </c:pt>
                <c:pt idx="3147">
                  <c:v>0.12304001381024943</c:v>
                </c:pt>
                <c:pt idx="3148">
                  <c:v>0.12304001379579432</c:v>
                </c:pt>
                <c:pt idx="3149">
                  <c:v>0.12304001378136142</c:v>
                </c:pt>
                <c:pt idx="3150">
                  <c:v>0.12304001376692852</c:v>
                </c:pt>
                <c:pt idx="3151">
                  <c:v>0.12304001375251783</c:v>
                </c:pt>
                <c:pt idx="3152">
                  <c:v>0.12304001373812934</c:v>
                </c:pt>
                <c:pt idx="3153">
                  <c:v>0.12304001372371864</c:v>
                </c:pt>
                <c:pt idx="3154">
                  <c:v>0.12304001370933015</c:v>
                </c:pt>
                <c:pt idx="3155">
                  <c:v>0.12304001369496387</c:v>
                </c:pt>
                <c:pt idx="3156">
                  <c:v>0.12304001368057538</c:v>
                </c:pt>
                <c:pt idx="3157">
                  <c:v>0.1230400136662313</c:v>
                </c:pt>
                <c:pt idx="3158">
                  <c:v>0.12304001365186501</c:v>
                </c:pt>
                <c:pt idx="3159">
                  <c:v>0.12304001363752093</c:v>
                </c:pt>
                <c:pt idx="3160">
                  <c:v>0.12304001362319905</c:v>
                </c:pt>
                <c:pt idx="3161">
                  <c:v>0.12304001360887717</c:v>
                </c:pt>
                <c:pt idx="3162">
                  <c:v>0.1230400135945553</c:v>
                </c:pt>
                <c:pt idx="3163">
                  <c:v>0.12304001358025562</c:v>
                </c:pt>
                <c:pt idx="3164">
                  <c:v>0.12304001356595595</c:v>
                </c:pt>
                <c:pt idx="3165">
                  <c:v>0.12304001355165628</c:v>
                </c:pt>
                <c:pt idx="3166">
                  <c:v>0.12304001353737881</c:v>
                </c:pt>
                <c:pt idx="3167">
                  <c:v>0.12304001352312355</c:v>
                </c:pt>
                <c:pt idx="3168">
                  <c:v>0.12304001350884608</c:v>
                </c:pt>
                <c:pt idx="3169">
                  <c:v>0.12304001349461302</c:v>
                </c:pt>
                <c:pt idx="3170">
                  <c:v>0.12304001348035776</c:v>
                </c:pt>
                <c:pt idx="3171">
                  <c:v>0.1230400134661247</c:v>
                </c:pt>
                <c:pt idx="3172">
                  <c:v>0.12304001345191384</c:v>
                </c:pt>
                <c:pt idx="3173">
                  <c:v>0.12304001343768078</c:v>
                </c:pt>
                <c:pt idx="3174">
                  <c:v>0.12304001342346993</c:v>
                </c:pt>
                <c:pt idx="3175">
                  <c:v>0.12304001340928128</c:v>
                </c:pt>
                <c:pt idx="3176">
                  <c:v>0.12304001339509263</c:v>
                </c:pt>
                <c:pt idx="3177">
                  <c:v>0.12304001338090398</c:v>
                </c:pt>
                <c:pt idx="3178">
                  <c:v>0.12304001336673753</c:v>
                </c:pt>
                <c:pt idx="3179">
                  <c:v>0.12304001335257109</c:v>
                </c:pt>
                <c:pt idx="3180">
                  <c:v>0.12304001333842685</c:v>
                </c:pt>
                <c:pt idx="3181">
                  <c:v>0.1230400133242826</c:v>
                </c:pt>
                <c:pt idx="3182">
                  <c:v>0.12304001331013836</c:v>
                </c:pt>
                <c:pt idx="3183">
                  <c:v>0.12304001329601633</c:v>
                </c:pt>
                <c:pt idx="3184">
                  <c:v>0.12304001328189429</c:v>
                </c:pt>
                <c:pt idx="3185">
                  <c:v>0.12304001326779446</c:v>
                </c:pt>
                <c:pt idx="3186">
                  <c:v>0.12304001325369462</c:v>
                </c:pt>
                <c:pt idx="3187">
                  <c:v>0.12304001323959479</c:v>
                </c:pt>
                <c:pt idx="3188">
                  <c:v>0.12304001322551716</c:v>
                </c:pt>
                <c:pt idx="3189">
                  <c:v>0.12304001321143954</c:v>
                </c:pt>
                <c:pt idx="3190">
                  <c:v>0.12304001319738411</c:v>
                </c:pt>
                <c:pt idx="3191">
                  <c:v>0.12304001318332869</c:v>
                </c:pt>
                <c:pt idx="3192">
                  <c:v>0.12304001316927327</c:v>
                </c:pt>
                <c:pt idx="3193">
                  <c:v>0.12304001315524005</c:v>
                </c:pt>
                <c:pt idx="3194">
                  <c:v>0.12304001314120683</c:v>
                </c:pt>
                <c:pt idx="3195">
                  <c:v>0.12304001312717361</c:v>
                </c:pt>
                <c:pt idx="3196">
                  <c:v>0.12304001311316259</c:v>
                </c:pt>
                <c:pt idx="3197">
                  <c:v>0.12304001309917378</c:v>
                </c:pt>
                <c:pt idx="3198">
                  <c:v>0.12304001308516277</c:v>
                </c:pt>
                <c:pt idx="3199">
                  <c:v>0.12304001307119616</c:v>
                </c:pt>
                <c:pt idx="3200">
                  <c:v>0.12304001305720735</c:v>
                </c:pt>
                <c:pt idx="3201">
                  <c:v>0.12304001304324075</c:v>
                </c:pt>
                <c:pt idx="3202">
                  <c:v>0.12304001302927414</c:v>
                </c:pt>
                <c:pt idx="3203">
                  <c:v>0.12304001301532974</c:v>
                </c:pt>
                <c:pt idx="3204">
                  <c:v>0.12304001300138534</c:v>
                </c:pt>
                <c:pt idx="3205">
                  <c:v>0.12304001298746314</c:v>
                </c:pt>
                <c:pt idx="3206">
                  <c:v>0.12304001297351874</c:v>
                </c:pt>
                <c:pt idx="3207">
                  <c:v>0.12304001295961875</c:v>
                </c:pt>
                <c:pt idx="3208">
                  <c:v>0.12304001294569655</c:v>
                </c:pt>
                <c:pt idx="3209">
                  <c:v>0.12304001293179656</c:v>
                </c:pt>
                <c:pt idx="3210">
                  <c:v>0.12304001291791877</c:v>
                </c:pt>
                <c:pt idx="3211">
                  <c:v>0.12304001290404099</c:v>
                </c:pt>
                <c:pt idx="3212">
                  <c:v>0.1230400128901632</c:v>
                </c:pt>
                <c:pt idx="3213">
                  <c:v>0.12304001287628541</c:v>
                </c:pt>
                <c:pt idx="3214">
                  <c:v>0.12304001286242983</c:v>
                </c:pt>
                <c:pt idx="3215">
                  <c:v>0.12304001284859645</c:v>
                </c:pt>
                <c:pt idx="3216">
                  <c:v>0.12304001283476307</c:v>
                </c:pt>
                <c:pt idx="3217">
                  <c:v>0.12304001282092969</c:v>
                </c:pt>
                <c:pt idx="3218">
                  <c:v>0.12304001280709631</c:v>
                </c:pt>
                <c:pt idx="3219">
                  <c:v>0.12304001279328514</c:v>
                </c:pt>
                <c:pt idx="3220">
                  <c:v>0.12304001277949617</c:v>
                </c:pt>
                <c:pt idx="3221">
                  <c:v>0.12304001276568499</c:v>
                </c:pt>
                <c:pt idx="3222">
                  <c:v>0.12304001275189602</c:v>
                </c:pt>
                <c:pt idx="3223">
                  <c:v>0.12304001273812926</c:v>
                </c:pt>
                <c:pt idx="3224">
                  <c:v>0.12304001272436249</c:v>
                </c:pt>
                <c:pt idx="3225">
                  <c:v>0.12304001271059573</c:v>
                </c:pt>
                <c:pt idx="3226">
                  <c:v>0.12304001269682896</c:v>
                </c:pt>
                <c:pt idx="3227">
                  <c:v>0.1230400126831066</c:v>
                </c:pt>
                <c:pt idx="3228">
                  <c:v>0.12304001266936204</c:v>
                </c:pt>
                <c:pt idx="3229">
                  <c:v>0.12304001265563969</c:v>
                </c:pt>
                <c:pt idx="3230">
                  <c:v>0.12304001264191733</c:v>
                </c:pt>
                <c:pt idx="3231">
                  <c:v>0.12304001262819497</c:v>
                </c:pt>
                <c:pt idx="3232">
                  <c:v>0.12304001261449482</c:v>
                </c:pt>
                <c:pt idx="3233">
                  <c:v>0.12304001260081687</c:v>
                </c:pt>
                <c:pt idx="3234">
                  <c:v>0.12304001258711672</c:v>
                </c:pt>
                <c:pt idx="3235">
                  <c:v>0.12304001257343877</c:v>
                </c:pt>
                <c:pt idx="3236">
                  <c:v>0.12304001255978303</c:v>
                </c:pt>
                <c:pt idx="3237">
                  <c:v>0.12304001254612729</c:v>
                </c:pt>
                <c:pt idx="3238">
                  <c:v>0.12304001253247154</c:v>
                </c:pt>
                <c:pt idx="3239">
                  <c:v>0.1230400125188158</c:v>
                </c:pt>
                <c:pt idx="3240">
                  <c:v>0.12304001250518226</c:v>
                </c:pt>
                <c:pt idx="3241">
                  <c:v>0.12304001249157093</c:v>
                </c:pt>
                <c:pt idx="3242">
                  <c:v>0.12304001247793739</c:v>
                </c:pt>
                <c:pt idx="3243">
                  <c:v>0.12304001246434826</c:v>
                </c:pt>
                <c:pt idx="3244">
                  <c:v>0.12304001245073692</c:v>
                </c:pt>
                <c:pt idx="3245">
                  <c:v>0.12304001243714779</c:v>
                </c:pt>
                <c:pt idx="3246">
                  <c:v>0.12304001242355866</c:v>
                </c:pt>
                <c:pt idx="3247">
                  <c:v>0.12304001240999174</c:v>
                </c:pt>
                <c:pt idx="3248">
                  <c:v>0.12304001239642481</c:v>
                </c:pt>
                <c:pt idx="3249">
                  <c:v>0.12304001238285789</c:v>
                </c:pt>
                <c:pt idx="3250">
                  <c:v>0.12304001236931317</c:v>
                </c:pt>
                <c:pt idx="3251">
                  <c:v>0.12304001235576845</c:v>
                </c:pt>
                <c:pt idx="3252">
                  <c:v>0.12304001234222373</c:v>
                </c:pt>
                <c:pt idx="3253">
                  <c:v>0.12304001232870121</c:v>
                </c:pt>
                <c:pt idx="3254">
                  <c:v>0.12304001231517869</c:v>
                </c:pt>
                <c:pt idx="3255">
                  <c:v>0.12304001230167838</c:v>
                </c:pt>
                <c:pt idx="3256">
                  <c:v>0.12304001228817807</c:v>
                </c:pt>
                <c:pt idx="3257">
                  <c:v>0.12304001227467776</c:v>
                </c:pt>
                <c:pt idx="3258">
                  <c:v>0.12304001226119965</c:v>
                </c:pt>
                <c:pt idx="3259">
                  <c:v>0.12304001224772154</c:v>
                </c:pt>
                <c:pt idx="3260">
                  <c:v>0.12304001223426564</c:v>
                </c:pt>
                <c:pt idx="3261">
                  <c:v>0.12304001222080974</c:v>
                </c:pt>
                <c:pt idx="3262">
                  <c:v>0.12304001220735383</c:v>
                </c:pt>
                <c:pt idx="3263">
                  <c:v>0.12304001219389793</c:v>
                </c:pt>
                <c:pt idx="3264">
                  <c:v>0.12304001218046423</c:v>
                </c:pt>
                <c:pt idx="3265">
                  <c:v>0.12304001216705274</c:v>
                </c:pt>
                <c:pt idx="3266">
                  <c:v>0.12304001215361904</c:v>
                </c:pt>
                <c:pt idx="3267">
                  <c:v>0.12304001214020754</c:v>
                </c:pt>
                <c:pt idx="3268">
                  <c:v>0.12304001212681825</c:v>
                </c:pt>
                <c:pt idx="3269">
                  <c:v>0.12304001211342896</c:v>
                </c:pt>
                <c:pt idx="3270">
                  <c:v>0.12304001210003968</c:v>
                </c:pt>
                <c:pt idx="3271">
                  <c:v>0.12304001208665039</c:v>
                </c:pt>
                <c:pt idx="3272">
                  <c:v>0.1230400120732833</c:v>
                </c:pt>
                <c:pt idx="3273">
                  <c:v>0.12304001205993842</c:v>
                </c:pt>
                <c:pt idx="3274">
                  <c:v>0.12304001204657133</c:v>
                </c:pt>
                <c:pt idx="3275">
                  <c:v>0.12304001203322645</c:v>
                </c:pt>
                <c:pt idx="3276">
                  <c:v>0.12304001201990378</c:v>
                </c:pt>
                <c:pt idx="3277">
                  <c:v>0.1230400120065589</c:v>
                </c:pt>
                <c:pt idx="3278">
                  <c:v>0.12304001199325842</c:v>
                </c:pt>
                <c:pt idx="3279">
                  <c:v>0.12304001197993575</c:v>
                </c:pt>
                <c:pt idx="3280">
                  <c:v>0.12304001196663528</c:v>
                </c:pt>
                <c:pt idx="3281">
                  <c:v>0.1230400119533348</c:v>
                </c:pt>
                <c:pt idx="3282">
                  <c:v>0.12304001194005654</c:v>
                </c:pt>
                <c:pt idx="3283">
                  <c:v>0.12304001192677827</c:v>
                </c:pt>
                <c:pt idx="3284">
                  <c:v>0.1230400119135</c:v>
                </c:pt>
                <c:pt idx="3285">
                  <c:v>0.12304001190024394</c:v>
                </c:pt>
                <c:pt idx="3286">
                  <c:v>0.12304001188698788</c:v>
                </c:pt>
                <c:pt idx="3287">
                  <c:v>0.12304001187373181</c:v>
                </c:pt>
                <c:pt idx="3288">
                  <c:v>0.12304001186049796</c:v>
                </c:pt>
                <c:pt idx="3289">
                  <c:v>0.1230400118472641</c:v>
                </c:pt>
                <c:pt idx="3290">
                  <c:v>0.12304001183403024</c:v>
                </c:pt>
                <c:pt idx="3291">
                  <c:v>0.12304001182081858</c:v>
                </c:pt>
                <c:pt idx="3292">
                  <c:v>0.12304001180760693</c:v>
                </c:pt>
                <c:pt idx="3293">
                  <c:v>0.12304001179441748</c:v>
                </c:pt>
                <c:pt idx="3294">
                  <c:v>0.12304001178122803</c:v>
                </c:pt>
                <c:pt idx="3295">
                  <c:v>0.12304001176803858</c:v>
                </c:pt>
                <c:pt idx="3296">
                  <c:v>0.12304001175487134</c:v>
                </c:pt>
                <c:pt idx="3297">
                  <c:v>0.12304001174170409</c:v>
                </c:pt>
                <c:pt idx="3298">
                  <c:v>0.12304001172853685</c:v>
                </c:pt>
                <c:pt idx="3299">
                  <c:v>0.12304001171539181</c:v>
                </c:pt>
                <c:pt idx="3300">
                  <c:v>0.12304001170224677</c:v>
                </c:pt>
                <c:pt idx="3301">
                  <c:v>0.12304001168912393</c:v>
                </c:pt>
                <c:pt idx="3302">
                  <c:v>0.12304001167597889</c:v>
                </c:pt>
                <c:pt idx="3303">
                  <c:v>0.12304001166285605</c:v>
                </c:pt>
                <c:pt idx="3304">
                  <c:v>0.12304001164975542</c:v>
                </c:pt>
                <c:pt idx="3305">
                  <c:v>0.12304001163665479</c:v>
                </c:pt>
                <c:pt idx="3306">
                  <c:v>0.12304001162355416</c:v>
                </c:pt>
                <c:pt idx="3307">
                  <c:v>0.12304001161047573</c:v>
                </c:pt>
                <c:pt idx="3308">
                  <c:v>0.1230400115973973</c:v>
                </c:pt>
                <c:pt idx="3309">
                  <c:v>0.12304001158431888</c:v>
                </c:pt>
                <c:pt idx="3310">
                  <c:v>0.12304001157126265</c:v>
                </c:pt>
                <c:pt idx="3311">
                  <c:v>0.12304001155820643</c:v>
                </c:pt>
                <c:pt idx="3312">
                  <c:v>0.12304001154515021</c:v>
                </c:pt>
                <c:pt idx="3313">
                  <c:v>0.12304001153211619</c:v>
                </c:pt>
                <c:pt idx="3314">
                  <c:v>0.12304001151908217</c:v>
                </c:pt>
                <c:pt idx="3315">
                  <c:v>0.12304001150604815</c:v>
                </c:pt>
                <c:pt idx="3316">
                  <c:v>0.12304001149303634</c:v>
                </c:pt>
                <c:pt idx="3317">
                  <c:v>0.12304001148002452</c:v>
                </c:pt>
                <c:pt idx="3318">
                  <c:v>0.12304001146703492</c:v>
                </c:pt>
                <c:pt idx="3319">
                  <c:v>0.1230400114540231</c:v>
                </c:pt>
                <c:pt idx="3320">
                  <c:v>0.1230400114410557</c:v>
                </c:pt>
                <c:pt idx="3321">
                  <c:v>0.12304001142806609</c:v>
                </c:pt>
                <c:pt idx="3322">
                  <c:v>0.12304001141509868</c:v>
                </c:pt>
                <c:pt idx="3323">
                  <c:v>0.12304001140213128</c:v>
                </c:pt>
                <c:pt idx="3324">
                  <c:v>0.12304001138918608</c:v>
                </c:pt>
                <c:pt idx="3325">
                  <c:v>0.12304001135388098</c:v>
                </c:pt>
                <c:pt idx="3326">
                  <c:v>0.1230400113185981</c:v>
                </c:pt>
                <c:pt idx="3327">
                  <c:v>0.12304001128333741</c:v>
                </c:pt>
                <c:pt idx="3328">
                  <c:v>0.12304001124809893</c:v>
                </c:pt>
                <c:pt idx="3329">
                  <c:v>0.12304001121288266</c:v>
                </c:pt>
                <c:pt idx="3330">
                  <c:v>0.12304001117768859</c:v>
                </c:pt>
                <c:pt idx="3331">
                  <c:v>0.12304001114251673</c:v>
                </c:pt>
                <c:pt idx="3332">
                  <c:v>0.12304001110736706</c:v>
                </c:pt>
                <c:pt idx="3333">
                  <c:v>0.12304001107223961</c:v>
                </c:pt>
                <c:pt idx="3334">
                  <c:v>0.12304001103713436</c:v>
                </c:pt>
                <c:pt idx="3335">
                  <c:v>0.1230400110020291</c:v>
                </c:pt>
                <c:pt idx="3336">
                  <c:v>0.12304001096696826</c:v>
                </c:pt>
                <c:pt idx="3337">
                  <c:v>0.12304001093190742</c:v>
                </c:pt>
                <c:pt idx="3338">
                  <c:v>0.12304001089689098</c:v>
                </c:pt>
                <c:pt idx="3339">
                  <c:v>0.12304001086189675</c:v>
                </c:pt>
                <c:pt idx="3340">
                  <c:v>0.12304001082690252</c:v>
                </c:pt>
                <c:pt idx="3341">
                  <c:v>0.1230400107919305</c:v>
                </c:pt>
                <c:pt idx="3342">
                  <c:v>0.12304001075700288</c:v>
                </c:pt>
                <c:pt idx="3343">
                  <c:v>0.12304001072207527</c:v>
                </c:pt>
                <c:pt idx="3344">
                  <c:v>0.12304001068716985</c:v>
                </c:pt>
                <c:pt idx="3345">
                  <c:v>0.12304001065228665</c:v>
                </c:pt>
                <c:pt idx="3346">
                  <c:v>0.12304001061742564</c:v>
                </c:pt>
                <c:pt idx="3347">
                  <c:v>0.12304001058258685</c:v>
                </c:pt>
                <c:pt idx="3348">
                  <c:v>0.12304001054777025</c:v>
                </c:pt>
                <c:pt idx="3349">
                  <c:v>0.12304001051297586</c:v>
                </c:pt>
                <c:pt idx="3350">
                  <c:v>0.12304001047820368</c:v>
                </c:pt>
                <c:pt idx="3351">
                  <c:v>0.1230400104434537</c:v>
                </c:pt>
                <c:pt idx="3352">
                  <c:v>0.12304001040870371</c:v>
                </c:pt>
                <c:pt idx="3353">
                  <c:v>0.12304001037399814</c:v>
                </c:pt>
                <c:pt idx="3354">
                  <c:v>0.12304001033929257</c:v>
                </c:pt>
                <c:pt idx="3355">
                  <c:v>0.12304001030463141</c:v>
                </c:pt>
                <c:pt idx="3356">
                  <c:v>0.12304001026997025</c:v>
                </c:pt>
                <c:pt idx="3357">
                  <c:v>0.12304001023535349</c:v>
                </c:pt>
                <c:pt idx="3358">
                  <c:v>0.12304001020073674</c:v>
                </c:pt>
                <c:pt idx="3359">
                  <c:v>0.12304001016614219</c:v>
                </c:pt>
                <c:pt idx="3360">
                  <c:v>0.12304001013156984</c:v>
                </c:pt>
                <c:pt idx="3361">
                  <c:v>0.1230400100970197</c:v>
                </c:pt>
                <c:pt idx="3362">
                  <c:v>0.12304001006249177</c:v>
                </c:pt>
                <c:pt idx="3363">
                  <c:v>0.12304001002798604</c:v>
                </c:pt>
                <c:pt idx="3364">
                  <c:v>0.12304000999350251</c:v>
                </c:pt>
                <c:pt idx="3365">
                  <c:v>0.12304000995901898</c:v>
                </c:pt>
                <c:pt idx="3366">
                  <c:v>0.12304000992457986</c:v>
                </c:pt>
                <c:pt idx="3367">
                  <c:v>0.12304000989016295</c:v>
                </c:pt>
                <c:pt idx="3368">
                  <c:v>0.12304000985574604</c:v>
                </c:pt>
                <c:pt idx="3369">
                  <c:v>0.12304000982137353</c:v>
                </c:pt>
                <c:pt idx="3370">
                  <c:v>0.12304000978700103</c:v>
                </c:pt>
                <c:pt idx="3371">
                  <c:v>0.12304000975265073</c:v>
                </c:pt>
                <c:pt idx="3372">
                  <c:v>0.12304000971832263</c:v>
                </c:pt>
                <c:pt idx="3373">
                  <c:v>0.12304000968403894</c:v>
                </c:pt>
                <c:pt idx="3374">
                  <c:v>0.12304000964973305</c:v>
                </c:pt>
                <c:pt idx="3375">
                  <c:v>0.12304000961547157</c:v>
                </c:pt>
                <c:pt idx="3376">
                  <c:v>0.12304000958123229</c:v>
                </c:pt>
                <c:pt idx="3377">
                  <c:v>0.12304000954701522</c:v>
                </c:pt>
                <c:pt idx="3378">
                  <c:v>0.12304000951282035</c:v>
                </c:pt>
                <c:pt idx="3379">
                  <c:v>0.12304000947862548</c:v>
                </c:pt>
                <c:pt idx="3380">
                  <c:v>0.12304000944447502</c:v>
                </c:pt>
                <c:pt idx="3381">
                  <c:v>0.12304000941032456</c:v>
                </c:pt>
                <c:pt idx="3382">
                  <c:v>0.1230400093761963</c:v>
                </c:pt>
                <c:pt idx="3383">
                  <c:v>0.12304000934211246</c:v>
                </c:pt>
                <c:pt idx="3384">
                  <c:v>0.12304000930802861</c:v>
                </c:pt>
                <c:pt idx="3385">
                  <c:v>0.12304000927396697</c:v>
                </c:pt>
                <c:pt idx="3386">
                  <c:v>0.12304000923992753</c:v>
                </c:pt>
                <c:pt idx="3387">
                  <c:v>0.12304000920591029</c:v>
                </c:pt>
                <c:pt idx="3388">
                  <c:v>0.12304000917189306</c:v>
                </c:pt>
                <c:pt idx="3389">
                  <c:v>0.12304000913792024</c:v>
                </c:pt>
                <c:pt idx="3390">
                  <c:v>0.12304000910394741</c:v>
                </c:pt>
                <c:pt idx="3391">
                  <c:v>0.123040009070019</c:v>
                </c:pt>
                <c:pt idx="3392">
                  <c:v>0.12304000903609058</c:v>
                </c:pt>
                <c:pt idx="3393">
                  <c:v>0.12304000900218437</c:v>
                </c:pt>
                <c:pt idx="3394">
                  <c:v>0.12304000896832257</c:v>
                </c:pt>
                <c:pt idx="3395">
                  <c:v>0.12304000893446077</c:v>
                </c:pt>
                <c:pt idx="3396">
                  <c:v>0.12304000890062117</c:v>
                </c:pt>
                <c:pt idx="3397">
                  <c:v>0.12304000886678157</c:v>
                </c:pt>
                <c:pt idx="3398">
                  <c:v>0.12304000883298638</c:v>
                </c:pt>
                <c:pt idx="3399">
                  <c:v>0.1230400087992134</c:v>
                </c:pt>
                <c:pt idx="3400">
                  <c:v>0.12304000876544041</c:v>
                </c:pt>
                <c:pt idx="3401">
                  <c:v>0.12304000873171184</c:v>
                </c:pt>
                <c:pt idx="3402">
                  <c:v>0.12304000869798326</c:v>
                </c:pt>
                <c:pt idx="3403">
                  <c:v>0.12304000866427689</c:v>
                </c:pt>
                <c:pt idx="3404">
                  <c:v>0.12304000863059272</c:v>
                </c:pt>
                <c:pt idx="3405">
                  <c:v>0.12304000859693076</c:v>
                </c:pt>
                <c:pt idx="3406">
                  <c:v>0.123040008563291</c:v>
                </c:pt>
                <c:pt idx="3407">
                  <c:v>0.12304000852967345</c:v>
                </c:pt>
                <c:pt idx="3408">
                  <c:v>0.1230400084960781</c:v>
                </c:pt>
                <c:pt idx="3409">
                  <c:v>0.12304000846248275</c:v>
                </c:pt>
                <c:pt idx="3410">
                  <c:v>0.12304000842893181</c:v>
                </c:pt>
                <c:pt idx="3411">
                  <c:v>0.12304000839538087</c:v>
                </c:pt>
                <c:pt idx="3412">
                  <c:v>0.12304000836185214</c:v>
                </c:pt>
                <c:pt idx="3413">
                  <c:v>0.12304000832834561</c:v>
                </c:pt>
                <c:pt idx="3414">
                  <c:v>0.12304000829486128</c:v>
                </c:pt>
                <c:pt idx="3415">
                  <c:v>0.12304000826139916</c:v>
                </c:pt>
                <c:pt idx="3416">
                  <c:v>0.12304000822795924</c:v>
                </c:pt>
                <c:pt idx="3417">
                  <c:v>0.12304000819451932</c:v>
                </c:pt>
                <c:pt idx="3418">
                  <c:v>0.12304000816112382</c:v>
                </c:pt>
                <c:pt idx="3419">
                  <c:v>0.12304000812772831</c:v>
                </c:pt>
                <c:pt idx="3420">
                  <c:v>0.123040008094355</c:v>
                </c:pt>
                <c:pt idx="3421">
                  <c:v>0.12304000806102611</c:v>
                </c:pt>
                <c:pt idx="3422">
                  <c:v>0.12304000802769721</c:v>
                </c:pt>
                <c:pt idx="3423">
                  <c:v>0.12304000799439052</c:v>
                </c:pt>
                <c:pt idx="3424">
                  <c:v>0.12304000796108383</c:v>
                </c:pt>
                <c:pt idx="3425">
                  <c:v>0.12304000792782155</c:v>
                </c:pt>
                <c:pt idx="3426">
                  <c:v>0.12304000789455927</c:v>
                </c:pt>
                <c:pt idx="3427">
                  <c:v>0.12304000786134139</c:v>
                </c:pt>
                <c:pt idx="3428">
                  <c:v>0.12304000782812352</c:v>
                </c:pt>
                <c:pt idx="3429">
                  <c:v>0.12304000779492785</c:v>
                </c:pt>
                <c:pt idx="3430">
                  <c:v>0.12304000776175439</c:v>
                </c:pt>
                <c:pt idx="3431">
                  <c:v>0.12304000772860313</c:v>
                </c:pt>
                <c:pt idx="3432">
                  <c:v>0.12304000769547407</c:v>
                </c:pt>
                <c:pt idx="3433">
                  <c:v>0.12304000766234502</c:v>
                </c:pt>
                <c:pt idx="3434">
                  <c:v>0.12304000762926037</c:v>
                </c:pt>
                <c:pt idx="3435">
                  <c:v>0.12304000759617573</c:v>
                </c:pt>
                <c:pt idx="3436">
                  <c:v>0.12304000756311329</c:v>
                </c:pt>
                <c:pt idx="3437">
                  <c:v>0.12304000753009525</c:v>
                </c:pt>
                <c:pt idx="3438">
                  <c:v>0.12304000749707722</c:v>
                </c:pt>
                <c:pt idx="3439">
                  <c:v>0.12304000746405919</c:v>
                </c:pt>
                <c:pt idx="3440">
                  <c:v>0.12304000743108556</c:v>
                </c:pt>
                <c:pt idx="3441">
                  <c:v>0.12304000739811194</c:v>
                </c:pt>
                <c:pt idx="3442">
                  <c:v>0.12304000736518272</c:v>
                </c:pt>
                <c:pt idx="3443">
                  <c:v>0.12304000733225351</c:v>
                </c:pt>
                <c:pt idx="3444">
                  <c:v>0.1230400072993465</c:v>
                </c:pt>
                <c:pt idx="3445">
                  <c:v>0.12304000726646169</c:v>
                </c:pt>
                <c:pt idx="3446">
                  <c:v>0.12304000723359909</c:v>
                </c:pt>
                <c:pt idx="3447">
                  <c:v>0.12304000720075869</c:v>
                </c:pt>
                <c:pt idx="3448">
                  <c:v>0.1230400071679183</c:v>
                </c:pt>
                <c:pt idx="3449">
                  <c:v>0.12304000713512231</c:v>
                </c:pt>
                <c:pt idx="3450">
                  <c:v>0.12304000710232632</c:v>
                </c:pt>
                <c:pt idx="3451">
                  <c:v>0.12304000706955254</c:v>
                </c:pt>
                <c:pt idx="3452">
                  <c:v>0.12304000703680096</c:v>
                </c:pt>
                <c:pt idx="3453">
                  <c:v>0.12304000700407158</c:v>
                </c:pt>
                <c:pt idx="3454">
                  <c:v>0.12304000697136441</c:v>
                </c:pt>
                <c:pt idx="3455">
                  <c:v>0.12304000693865724</c:v>
                </c:pt>
                <c:pt idx="3456">
                  <c:v>0.12304000690599448</c:v>
                </c:pt>
                <c:pt idx="3457">
                  <c:v>0.12304000687333172</c:v>
                </c:pt>
                <c:pt idx="3458">
                  <c:v>0.12304000684069116</c:v>
                </c:pt>
                <c:pt idx="3459">
                  <c:v>0.12304000680807281</c:v>
                </c:pt>
                <c:pt idx="3460">
                  <c:v>0.12304000677547666</c:v>
                </c:pt>
                <c:pt idx="3461">
                  <c:v>0.12304000674288051</c:v>
                </c:pt>
                <c:pt idx="3462">
                  <c:v>0.12304000671032878</c:v>
                </c:pt>
                <c:pt idx="3463">
                  <c:v>0.12304000667777704</c:v>
                </c:pt>
                <c:pt idx="3464">
                  <c:v>0.1230400066452475</c:v>
                </c:pt>
                <c:pt idx="3465">
                  <c:v>0.12304000661274017</c:v>
                </c:pt>
                <c:pt idx="3466">
                  <c:v>0.12304000658025505</c:v>
                </c:pt>
                <c:pt idx="3467">
                  <c:v>0.12304000654779212</c:v>
                </c:pt>
                <c:pt idx="3468">
                  <c:v>0.1230400065153292</c:v>
                </c:pt>
                <c:pt idx="3469">
                  <c:v>0.12304000648291069</c:v>
                </c:pt>
                <c:pt idx="3470">
                  <c:v>0.12304000645049218</c:v>
                </c:pt>
                <c:pt idx="3471">
                  <c:v>0.12304000641809587</c:v>
                </c:pt>
                <c:pt idx="3472">
                  <c:v>0.12304000638572177</c:v>
                </c:pt>
                <c:pt idx="3473">
                  <c:v>0.12304000635336987</c:v>
                </c:pt>
                <c:pt idx="3474">
                  <c:v>0.12304000632104017</c:v>
                </c:pt>
                <c:pt idx="3475">
                  <c:v>0.12304000628871048</c:v>
                </c:pt>
                <c:pt idx="3476">
                  <c:v>0.12304000625640299</c:v>
                </c:pt>
                <c:pt idx="3477">
                  <c:v>0.1230400062241177</c:v>
                </c:pt>
                <c:pt idx="3478">
                  <c:v>0.12304000619185462</c:v>
                </c:pt>
                <c:pt idx="3479">
                  <c:v>0.12304000615961375</c:v>
                </c:pt>
                <c:pt idx="3480">
                  <c:v>0.12304000612739507</c:v>
                </c:pt>
                <c:pt idx="3481">
                  <c:v>0.1230400060951764</c:v>
                </c:pt>
                <c:pt idx="3482">
                  <c:v>0.12304000606297993</c:v>
                </c:pt>
                <c:pt idx="3483">
                  <c:v>0.12304000603082788</c:v>
                </c:pt>
                <c:pt idx="3484">
                  <c:v>0.12304000599865361</c:v>
                </c:pt>
                <c:pt idx="3485">
                  <c:v>0.12304000596652376</c:v>
                </c:pt>
                <c:pt idx="3486">
                  <c:v>0.12304000593441611</c:v>
                </c:pt>
                <c:pt idx="3487">
                  <c:v>0.12304000590230846</c:v>
                </c:pt>
                <c:pt idx="3488">
                  <c:v>0.12304000587024522</c:v>
                </c:pt>
                <c:pt idx="3489">
                  <c:v>0.12304000583818198</c:v>
                </c:pt>
                <c:pt idx="3490">
                  <c:v>0.12304000580614094</c:v>
                </c:pt>
                <c:pt idx="3491">
                  <c:v>0.1230400057740999</c:v>
                </c:pt>
                <c:pt idx="3492">
                  <c:v>0.12304000574210328</c:v>
                </c:pt>
                <c:pt idx="3493">
                  <c:v>0.12304000571010665</c:v>
                </c:pt>
                <c:pt idx="3494">
                  <c:v>0.12304000567815443</c:v>
                </c:pt>
                <c:pt idx="3495">
                  <c:v>0.12304000564620221</c:v>
                </c:pt>
                <c:pt idx="3496">
                  <c:v>0.12304000561424999</c:v>
                </c:pt>
                <c:pt idx="3497">
                  <c:v>0.12304000558234218</c:v>
                </c:pt>
                <c:pt idx="3498">
                  <c:v>0.12304000555045658</c:v>
                </c:pt>
                <c:pt idx="3499">
                  <c:v>0.12304000551857097</c:v>
                </c:pt>
                <c:pt idx="3500">
                  <c:v>0.12304000548670757</c:v>
                </c:pt>
                <c:pt idx="3501">
                  <c:v>0.12304000545486637</c:v>
                </c:pt>
                <c:pt idx="3502">
                  <c:v>0.12304000542304738</c:v>
                </c:pt>
                <c:pt idx="3503">
                  <c:v>0.1230400053912506</c:v>
                </c:pt>
                <c:pt idx="3504">
                  <c:v>0.12304000535945381</c:v>
                </c:pt>
                <c:pt idx="3505">
                  <c:v>0.12304000532767922</c:v>
                </c:pt>
                <c:pt idx="3506">
                  <c:v>0.12304000529592685</c:v>
                </c:pt>
                <c:pt idx="3507">
                  <c:v>0.12304000526419667</c:v>
                </c:pt>
                <c:pt idx="3508">
                  <c:v>0.1230400052324887</c:v>
                </c:pt>
                <c:pt idx="3509">
                  <c:v>0.12304000520078073</c:v>
                </c:pt>
                <c:pt idx="3510">
                  <c:v>0.12304000516911717</c:v>
                </c:pt>
                <c:pt idx="3511">
                  <c:v>0.12304000513745361</c:v>
                </c:pt>
                <c:pt idx="3512">
                  <c:v>0.12304000510581226</c:v>
                </c:pt>
                <c:pt idx="3513">
                  <c:v>0.1230400050741931</c:v>
                </c:pt>
                <c:pt idx="3514">
                  <c:v>0.12304000504257395</c:v>
                </c:pt>
                <c:pt idx="3515">
                  <c:v>0.123040005010977</c:v>
                </c:pt>
                <c:pt idx="3516">
                  <c:v>0.12304000497942447</c:v>
                </c:pt>
                <c:pt idx="3517">
                  <c:v>0.12304000494787193</c:v>
                </c:pt>
                <c:pt idx="3518">
                  <c:v>0.12304000491631939</c:v>
                </c:pt>
                <c:pt idx="3519">
                  <c:v>0.12304000488481126</c:v>
                </c:pt>
                <c:pt idx="3520">
                  <c:v>0.12304000485330313</c:v>
                </c:pt>
                <c:pt idx="3521">
                  <c:v>0.12304000482183941</c:v>
                </c:pt>
                <c:pt idx="3522">
                  <c:v>0.12304000479037569</c:v>
                </c:pt>
                <c:pt idx="3523">
                  <c:v>0.12304000475893417</c:v>
                </c:pt>
                <c:pt idx="3524">
                  <c:v>0.12304000472749266</c:v>
                </c:pt>
                <c:pt idx="3525">
                  <c:v>0.12304000469609555</c:v>
                </c:pt>
                <c:pt idx="3526">
                  <c:v>0.12304000466469844</c:v>
                </c:pt>
                <c:pt idx="3527">
                  <c:v>0.12304000463332354</c:v>
                </c:pt>
                <c:pt idx="3528">
                  <c:v>0.12304000460197084</c:v>
                </c:pt>
                <c:pt idx="3529">
                  <c:v>0.12304000457061814</c:v>
                </c:pt>
                <c:pt idx="3530">
                  <c:v>0.12304000453930986</c:v>
                </c:pt>
                <c:pt idx="3531">
                  <c:v>0.12304000450800157</c:v>
                </c:pt>
                <c:pt idx="3532">
                  <c:v>0.12304000447671548</c:v>
                </c:pt>
                <c:pt idx="3533">
                  <c:v>0.1230400044454516</c:v>
                </c:pt>
                <c:pt idx="3534">
                  <c:v>0.12304000441420992</c:v>
                </c:pt>
                <c:pt idx="3535">
                  <c:v>0.12304000438296825</c:v>
                </c:pt>
                <c:pt idx="3536">
                  <c:v>0.12304000435174878</c:v>
                </c:pt>
                <c:pt idx="3537">
                  <c:v>0.12304000432055151</c:v>
                </c:pt>
                <c:pt idx="3538">
                  <c:v>0.12304000428937645</c:v>
                </c:pt>
                <c:pt idx="3539">
                  <c:v>0.12304000425822359</c:v>
                </c:pt>
                <c:pt idx="3540">
                  <c:v>0.12304000422707073</c:v>
                </c:pt>
                <c:pt idx="3541">
                  <c:v>0.12304000419594008</c:v>
                </c:pt>
                <c:pt idx="3542">
                  <c:v>0.12304000416483163</c:v>
                </c:pt>
                <c:pt idx="3543">
                  <c:v>0.12304000413374538</c:v>
                </c:pt>
                <c:pt idx="3544">
                  <c:v>0.12304000410265914</c:v>
                </c:pt>
                <c:pt idx="3545">
                  <c:v>0.1230400040716173</c:v>
                </c:pt>
                <c:pt idx="3546">
                  <c:v>0.12304000404057547</c:v>
                </c:pt>
                <c:pt idx="3547">
                  <c:v>0.12304000400955584</c:v>
                </c:pt>
                <c:pt idx="3548">
                  <c:v>0.12304000397855841</c:v>
                </c:pt>
                <c:pt idx="3549">
                  <c:v>0.12304000394756098</c:v>
                </c:pt>
                <c:pt idx="3550">
                  <c:v>0.12304000391658576</c:v>
                </c:pt>
                <c:pt idx="3551">
                  <c:v>0.12304000388563274</c:v>
                </c:pt>
                <c:pt idx="3552">
                  <c:v>0.12304000385470193</c:v>
                </c:pt>
                <c:pt idx="3553">
                  <c:v>0.12304000382379332</c:v>
                </c:pt>
                <c:pt idx="3554">
                  <c:v>0.12304000379288471</c:v>
                </c:pt>
                <c:pt idx="3555">
                  <c:v>0.12304000376199831</c:v>
                </c:pt>
                <c:pt idx="3556">
                  <c:v>0.12304000373115631</c:v>
                </c:pt>
                <c:pt idx="3557">
                  <c:v>0.12304000370029211</c:v>
                </c:pt>
                <c:pt idx="3558">
                  <c:v>0.12304000366947232</c:v>
                </c:pt>
                <c:pt idx="3559">
                  <c:v>0.12304000363865253</c:v>
                </c:pt>
                <c:pt idx="3560">
                  <c:v>0.12304000360785494</c:v>
                </c:pt>
                <c:pt idx="3561">
                  <c:v>0.12304000357707956</c:v>
                </c:pt>
                <c:pt idx="3562">
                  <c:v>0.12304000354632638</c:v>
                </c:pt>
                <c:pt idx="3563">
                  <c:v>0.1230400035155732</c:v>
                </c:pt>
                <c:pt idx="3564">
                  <c:v>0.12304000348486444</c:v>
                </c:pt>
                <c:pt idx="3565">
                  <c:v>0.12304000345413346</c:v>
                </c:pt>
                <c:pt idx="3566">
                  <c:v>0.1230400034234469</c:v>
                </c:pt>
                <c:pt idx="3567">
                  <c:v>0.12304000339278254</c:v>
                </c:pt>
                <c:pt idx="3568">
                  <c:v>0.12304000336211818</c:v>
                </c:pt>
                <c:pt idx="3569">
                  <c:v>0.12304000333147602</c:v>
                </c:pt>
                <c:pt idx="3570">
                  <c:v>0.12304000330085607</c:v>
                </c:pt>
                <c:pt idx="3571">
                  <c:v>0.12304000327025832</c:v>
                </c:pt>
                <c:pt idx="3572">
                  <c:v>0.12304000323966058</c:v>
                </c:pt>
                <c:pt idx="3573">
                  <c:v>0.12304000320908504</c:v>
                </c:pt>
                <c:pt idx="3574">
                  <c:v>0.1230400031785317</c:v>
                </c:pt>
                <c:pt idx="3575">
                  <c:v>0.12304000314800079</c:v>
                </c:pt>
                <c:pt idx="3576">
                  <c:v>0.12304000314800079</c:v>
                </c:pt>
                <c:pt idx="3577">
                  <c:v>0.12304000314800079</c:v>
                </c:pt>
                <c:pt idx="3578">
                  <c:v>0.12304000314800079</c:v>
                </c:pt>
                <c:pt idx="3579">
                  <c:v>0.12304000314800079</c:v>
                </c:pt>
                <c:pt idx="3580">
                  <c:v>0.12304000314800079</c:v>
                </c:pt>
                <c:pt idx="3581">
                  <c:v>0.12304000314800079</c:v>
                </c:pt>
                <c:pt idx="3582">
                  <c:v>0.12304000314800079</c:v>
                </c:pt>
                <c:pt idx="3583">
                  <c:v>0.12304000314800079</c:v>
                </c:pt>
                <c:pt idx="3584">
                  <c:v>0.12304000314800079</c:v>
                </c:pt>
                <c:pt idx="3585">
                  <c:v>0.12304000314800079</c:v>
                </c:pt>
                <c:pt idx="3586">
                  <c:v>0.12304000314800079</c:v>
                </c:pt>
                <c:pt idx="3587">
                  <c:v>0.12304000314800079</c:v>
                </c:pt>
                <c:pt idx="3588">
                  <c:v>0.12304000314800079</c:v>
                </c:pt>
                <c:pt idx="3589">
                  <c:v>0.12304000314800079</c:v>
                </c:pt>
                <c:pt idx="3590">
                  <c:v>0.12304000314800079</c:v>
                </c:pt>
                <c:pt idx="3591">
                  <c:v>0.12304000314800079</c:v>
                </c:pt>
                <c:pt idx="3592">
                  <c:v>0.12304000314800079</c:v>
                </c:pt>
                <c:pt idx="3593">
                  <c:v>0.12304000314800079</c:v>
                </c:pt>
                <c:pt idx="3594">
                  <c:v>0.12304000314800079</c:v>
                </c:pt>
                <c:pt idx="3595">
                  <c:v>0.12304000314800079</c:v>
                </c:pt>
                <c:pt idx="3596">
                  <c:v>0.12304000314800079</c:v>
                </c:pt>
                <c:pt idx="3597">
                  <c:v>0.12304000314800079</c:v>
                </c:pt>
                <c:pt idx="3598">
                  <c:v>0.12304000314800079</c:v>
                </c:pt>
                <c:pt idx="3599">
                  <c:v>0.12304000314800079</c:v>
                </c:pt>
                <c:pt idx="3600">
                  <c:v>0.12304000314800079</c:v>
                </c:pt>
                <c:pt idx="3601">
                  <c:v>0.12304000314800079</c:v>
                </c:pt>
                <c:pt idx="3602">
                  <c:v>0.12304000314800079</c:v>
                </c:pt>
                <c:pt idx="3603">
                  <c:v>0.12304000314800079</c:v>
                </c:pt>
                <c:pt idx="3604">
                  <c:v>0.12304000314800079</c:v>
                </c:pt>
                <c:pt idx="3605">
                  <c:v>0.12304000314800079</c:v>
                </c:pt>
                <c:pt idx="3606">
                  <c:v>0.12304000314800079</c:v>
                </c:pt>
                <c:pt idx="3607">
                  <c:v>0.12304000314800079</c:v>
                </c:pt>
                <c:pt idx="3608">
                  <c:v>0.12304000314800079</c:v>
                </c:pt>
                <c:pt idx="3609">
                  <c:v>0.12304000314800079</c:v>
                </c:pt>
                <c:pt idx="3610">
                  <c:v>0.12304000314800079</c:v>
                </c:pt>
                <c:pt idx="3611">
                  <c:v>0.12304000314800079</c:v>
                </c:pt>
                <c:pt idx="3612">
                  <c:v>0.12304000314800079</c:v>
                </c:pt>
                <c:pt idx="3613">
                  <c:v>0.12304000314800079</c:v>
                </c:pt>
                <c:pt idx="3614">
                  <c:v>0.12304000314800079</c:v>
                </c:pt>
                <c:pt idx="3615">
                  <c:v>0.12304000314800079</c:v>
                </c:pt>
                <c:pt idx="3616">
                  <c:v>0.12304000314800079</c:v>
                </c:pt>
                <c:pt idx="3617">
                  <c:v>0.12304000314800079</c:v>
                </c:pt>
                <c:pt idx="3618">
                  <c:v>0.12304000314800079</c:v>
                </c:pt>
                <c:pt idx="3619">
                  <c:v>0.12304000314800079</c:v>
                </c:pt>
                <c:pt idx="3620">
                  <c:v>0.12304000314800079</c:v>
                </c:pt>
                <c:pt idx="3621">
                  <c:v>0.12304000314800079</c:v>
                </c:pt>
                <c:pt idx="3622">
                  <c:v>0.12304000314800079</c:v>
                </c:pt>
                <c:pt idx="3623">
                  <c:v>0.12304000314800079</c:v>
                </c:pt>
                <c:pt idx="3624">
                  <c:v>0.12304000314800079</c:v>
                </c:pt>
                <c:pt idx="3625">
                  <c:v>0.12304000314800079</c:v>
                </c:pt>
                <c:pt idx="3626">
                  <c:v>0.12304000314800079</c:v>
                </c:pt>
                <c:pt idx="3627">
                  <c:v>0.12304000314800079</c:v>
                </c:pt>
                <c:pt idx="3628">
                  <c:v>0.12304000314800079</c:v>
                </c:pt>
                <c:pt idx="3629">
                  <c:v>0.12304000314800079</c:v>
                </c:pt>
                <c:pt idx="3630">
                  <c:v>0.12304000314800079</c:v>
                </c:pt>
                <c:pt idx="3631">
                  <c:v>0.12304000314800079</c:v>
                </c:pt>
                <c:pt idx="3632">
                  <c:v>0.12304000314800079</c:v>
                </c:pt>
                <c:pt idx="3633">
                  <c:v>0.12304000314800079</c:v>
                </c:pt>
                <c:pt idx="3634">
                  <c:v>0.12304000314800079</c:v>
                </c:pt>
                <c:pt idx="3635">
                  <c:v>0.12304000314800079</c:v>
                </c:pt>
                <c:pt idx="3636">
                  <c:v>0.12304000314800079</c:v>
                </c:pt>
                <c:pt idx="3637">
                  <c:v>0.12304000314800079</c:v>
                </c:pt>
                <c:pt idx="3638">
                  <c:v>0.12304000314800079</c:v>
                </c:pt>
                <c:pt idx="3639">
                  <c:v>0.12304000314800079</c:v>
                </c:pt>
                <c:pt idx="3640">
                  <c:v>0.12304000314800079</c:v>
                </c:pt>
                <c:pt idx="3641">
                  <c:v>0.12304000314800079</c:v>
                </c:pt>
                <c:pt idx="3642">
                  <c:v>0.12304000314800079</c:v>
                </c:pt>
                <c:pt idx="3643">
                  <c:v>0.12304000314800079</c:v>
                </c:pt>
                <c:pt idx="3644">
                  <c:v>0.12304000314800079</c:v>
                </c:pt>
                <c:pt idx="3645">
                  <c:v>0.12304000314800079</c:v>
                </c:pt>
                <c:pt idx="3646">
                  <c:v>0.12304000314800079</c:v>
                </c:pt>
                <c:pt idx="3647">
                  <c:v>0.12304000314800079</c:v>
                </c:pt>
                <c:pt idx="3648">
                  <c:v>0.12304000314800079</c:v>
                </c:pt>
                <c:pt idx="3649">
                  <c:v>0.12304000314800079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59-46D2-8FF4-7F0D875C6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155728"/>
        <c:axId val="47024655"/>
      </c:lineChart>
      <c:catAx>
        <c:axId val="44315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024655"/>
        <c:crosses val="autoZero"/>
        <c:auto val="1"/>
        <c:lblAlgn val="ctr"/>
        <c:lblOffset val="100"/>
        <c:noMultiLvlLbl val="0"/>
      </c:catAx>
      <c:valAx>
        <c:axId val="47024655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155728"/>
        <c:crosses val="autoZero"/>
        <c:crossBetween val="between"/>
      </c:valAx>
      <c:valAx>
        <c:axId val="188028383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018783"/>
        <c:crosses val="max"/>
        <c:crossBetween val="between"/>
      </c:valAx>
      <c:catAx>
        <c:axId val="188018783"/>
        <c:scaling>
          <c:orientation val="minMax"/>
        </c:scaling>
        <c:delete val="1"/>
        <c:axPos val="b"/>
        <c:majorTickMark val="out"/>
        <c:minorTickMark val="none"/>
        <c:tickLblPos val="nextTo"/>
        <c:crossAx val="188028383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 b="1" i="1">
                <a:solidFill>
                  <a:schemeClr val="tx1">
                    <a:lumMod val="75000"/>
                    <a:lumOff val="25000"/>
                  </a:schemeClr>
                </a:solidFill>
              </a:rPr>
              <a:t>Pre Implicita </a:t>
            </a:r>
            <a:r>
              <a:rPr lang="pt-BR" sz="500" b="1" i="1">
                <a:solidFill>
                  <a:schemeClr val="tx1">
                    <a:lumMod val="75000"/>
                    <a:lumOff val="25000"/>
                  </a:schemeClr>
                </a:solidFill>
              </a:rPr>
              <a:t>(primeiros vencimentos)</a:t>
            </a:r>
            <a:endParaRPr lang="pt-BR" b="1" i="1">
              <a:solidFill>
                <a:schemeClr val="tx1">
                  <a:lumMod val="75000"/>
                  <a:lumOff val="2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Interpolações!$B$1</c:f>
              <c:strCache>
                <c:ptCount val="1"/>
                <c:pt idx="0">
                  <c:v>DI (20/09)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Interpolações!$A$2:$A$3651</c:f>
              <c:numCache>
                <c:formatCode>General</c:formatCode>
                <c:ptCount val="36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</c:numCache>
            </c:numRef>
          </c:cat>
          <c:val>
            <c:numRef>
              <c:f>Interpolações!$B$2:$B$181</c:f>
              <c:numCache>
                <c:formatCode>0.00%</c:formatCode>
                <c:ptCount val="180"/>
                <c:pt idx="0">
                  <c:v>0.10653132910134944</c:v>
                </c:pt>
                <c:pt idx="1">
                  <c:v>0.10653132910134944</c:v>
                </c:pt>
                <c:pt idx="2">
                  <c:v>0.10653132910134944</c:v>
                </c:pt>
                <c:pt idx="3">
                  <c:v>0.10653132910134944</c:v>
                </c:pt>
                <c:pt idx="4">
                  <c:v>0.10653132910134944</c:v>
                </c:pt>
                <c:pt idx="5">
                  <c:v>0.10653132910134944</c:v>
                </c:pt>
                <c:pt idx="6">
                  <c:v>0.10653132910134944</c:v>
                </c:pt>
                <c:pt idx="7">
                  <c:v>0.10653763560848351</c:v>
                </c:pt>
                <c:pt idx="8">
                  <c:v>0.10654254067030688</c:v>
                </c:pt>
                <c:pt idx="9">
                  <c:v>0.10654646471979223</c:v>
                </c:pt>
                <c:pt idx="10">
                  <c:v>0.10654967530556725</c:v>
                </c:pt>
                <c:pt idx="11">
                  <c:v>0.10655235079426451</c:v>
                </c:pt>
                <c:pt idx="12">
                  <c:v>0.1065546146688634</c:v>
                </c:pt>
                <c:pt idx="13">
                  <c:v>0.1065565551333858</c:v>
                </c:pt>
                <c:pt idx="14">
                  <c:v>0.10655823686898103</c:v>
                </c:pt>
                <c:pt idx="15">
                  <c:v>0.10655970838755469</c:v>
                </c:pt>
                <c:pt idx="16">
                  <c:v>0.10656100678676506</c:v>
                </c:pt>
                <c:pt idx="17">
                  <c:v>0.1065621609191103</c:v>
                </c:pt>
                <c:pt idx="18">
                  <c:v>0.10656319356376898</c:v>
                </c:pt>
                <c:pt idx="19">
                  <c:v>0.10656412294407502</c:v>
                </c:pt>
                <c:pt idx="20">
                  <c:v>0.10656496381196146</c:v>
                </c:pt>
                <c:pt idx="21">
                  <c:v>0.10656572823726229</c:v>
                </c:pt>
                <c:pt idx="22">
                  <c:v>0.10656642619086831</c:v>
                </c:pt>
                <c:pt idx="23">
                  <c:v>0.10656706598166643</c:v>
                </c:pt>
                <c:pt idx="24">
                  <c:v>0.10656765458936235</c:v>
                </c:pt>
                <c:pt idx="25">
                  <c:v>0.10656819791940997</c:v>
                </c:pt>
                <c:pt idx="26">
                  <c:v>0.10656870100276272</c:v>
                </c:pt>
                <c:pt idx="27">
                  <c:v>0.10656916815172668</c:v>
                </c:pt>
                <c:pt idx="28">
                  <c:v>0.1065696030832175</c:v>
                </c:pt>
                <c:pt idx="29">
                  <c:v>0.10657000901947411</c:v>
                </c:pt>
                <c:pt idx="30">
                  <c:v>0.10670394479068701</c:v>
                </c:pt>
                <c:pt idx="31">
                  <c:v>0.10682950973937011</c:v>
                </c:pt>
                <c:pt idx="32">
                  <c:v>0.10694746483428386</c:v>
                </c:pt>
                <c:pt idx="33">
                  <c:v>0.10705848152139374</c:v>
                </c:pt>
                <c:pt idx="34">
                  <c:v>0.10716315451044789</c:v>
                </c:pt>
                <c:pt idx="35">
                  <c:v>0.10726201243402844</c:v>
                </c:pt>
                <c:pt idx="36">
                  <c:v>0.1073555267756765</c:v>
                </c:pt>
                <c:pt idx="37">
                  <c:v>0.10744411939072052</c:v>
                </c:pt>
                <c:pt idx="38">
                  <c:v>0.10752816886701044</c:v>
                </c:pt>
                <c:pt idx="39">
                  <c:v>0.10760801593503455</c:v>
                </c:pt>
                <c:pt idx="40">
                  <c:v>0.10768396808304992</c:v>
                </c:pt>
                <c:pt idx="41">
                  <c:v>0.10775630351587129</c:v>
                </c:pt>
                <c:pt idx="42">
                  <c:v>0.10782527455850399</c:v>
                </c:pt>
                <c:pt idx="43">
                  <c:v>0.10789111059816836</c:v>
                </c:pt>
                <c:pt idx="44">
                  <c:v>0.10795402063186188</c:v>
                </c:pt>
                <c:pt idx="45">
                  <c:v>0.10801419548391866</c:v>
                </c:pt>
                <c:pt idx="46">
                  <c:v>0.10807180973770869</c:v>
                </c:pt>
                <c:pt idx="47">
                  <c:v>0.10812702342892777</c:v>
                </c:pt>
                <c:pt idx="48">
                  <c:v>0.10817998352862013</c:v>
                </c:pt>
                <c:pt idx="49">
                  <c:v>0.10832064077435088</c:v>
                </c:pt>
                <c:pt idx="50">
                  <c:v>0.10845578223572794</c:v>
                </c:pt>
                <c:pt idx="51">
                  <c:v>0.10858572612064687</c:v>
                </c:pt>
                <c:pt idx="52">
                  <c:v>0.10871076662197776</c:v>
                </c:pt>
                <c:pt idx="53">
                  <c:v>0.10883117614137738</c:v>
                </c:pt>
                <c:pt idx="54">
                  <c:v>0.10894720726961626</c:v>
                </c:pt>
                <c:pt idx="55">
                  <c:v>0.10905909455651841</c:v>
                </c:pt>
                <c:pt idx="56">
                  <c:v>0.10916705609227417</c:v>
                </c:pt>
                <c:pt idx="57">
                  <c:v>0.10927129492679377</c:v>
                </c:pt>
                <c:pt idx="58">
                  <c:v>0.1093720003446208</c:v>
                </c:pt>
                <c:pt idx="59">
                  <c:v>0.10946934901145955</c:v>
                </c:pt>
                <c:pt idx="60">
                  <c:v>0.10956350600892506</c:v>
                </c:pt>
                <c:pt idx="61">
                  <c:v>0.10965462576810747</c:v>
                </c:pt>
                <c:pt idx="62">
                  <c:v>0.10974285291551755</c:v>
                </c:pt>
                <c:pt idx="63">
                  <c:v>0.10982832303882972</c:v>
                </c:pt>
                <c:pt idx="64">
                  <c:v>0.10991116338179285</c:v>
                </c:pt>
                <c:pt idx="65">
                  <c:v>0.10999149347674653</c:v>
                </c:pt>
                <c:pt idx="66">
                  <c:v>0.11006942572007183</c:v>
                </c:pt>
                <c:pt idx="67">
                  <c:v>0.11014506589657191</c:v>
                </c:pt>
                <c:pt idx="68">
                  <c:v>0.11021851365879964</c:v>
                </c:pt>
                <c:pt idx="69">
                  <c:v>0.11028986296528553</c:v>
                </c:pt>
                <c:pt idx="70">
                  <c:v>0.11039294491514973</c:v>
                </c:pt>
                <c:pt idx="71">
                  <c:v>0.11049316357940597</c:v>
                </c:pt>
                <c:pt idx="72">
                  <c:v>0.11059063662302027</c:v>
                </c:pt>
                <c:pt idx="73">
                  <c:v>0.11068547535115769</c:v>
                </c:pt>
                <c:pt idx="74">
                  <c:v>0.11077778513277625</c:v>
                </c:pt>
                <c:pt idx="75">
                  <c:v>0.11086766579151419</c:v>
                </c:pt>
                <c:pt idx="76">
                  <c:v>0.1109552119651358</c:v>
                </c:pt>
                <c:pt idx="77">
                  <c:v>0.11104051343877597</c:v>
                </c:pt>
                <c:pt idx="78">
                  <c:v>0.11112365545140612</c:v>
                </c:pt>
                <c:pt idx="79">
                  <c:v>0.11120471898016238</c:v>
                </c:pt>
                <c:pt idx="80">
                  <c:v>0.11128378100351277</c:v>
                </c:pt>
                <c:pt idx="81">
                  <c:v>0.11136091474506227</c:v>
                </c:pt>
                <c:pt idx="82">
                  <c:v>0.11143618989950532</c:v>
                </c:pt>
                <c:pt idx="83">
                  <c:v>0.11150967284301316</c:v>
                </c:pt>
                <c:pt idx="84">
                  <c:v>0.11158142682803351</c:v>
                </c:pt>
                <c:pt idx="85">
                  <c:v>0.11165151216545599</c:v>
                </c:pt>
                <c:pt idx="86">
                  <c:v>0.11171998639305514</c:v>
                </c:pt>
                <c:pt idx="87">
                  <c:v>0.11178690443347516</c:v>
                </c:pt>
                <c:pt idx="88">
                  <c:v>0.11185231874091262</c:v>
                </c:pt>
                <c:pt idx="89">
                  <c:v>0.11191627943840654</c:v>
                </c:pt>
                <c:pt idx="90">
                  <c:v>0.11197883444582502</c:v>
                </c:pt>
                <c:pt idx="91">
                  <c:v>0.11204002959959181</c:v>
                </c:pt>
                <c:pt idx="92">
                  <c:v>0.1121532257515101</c:v>
                </c:pt>
                <c:pt idx="93">
                  <c:v>0.11226401359856197</c:v>
                </c:pt>
                <c:pt idx="94">
                  <c:v>0.11237246918860411</c:v>
                </c:pt>
                <c:pt idx="95">
                  <c:v>0.11247866540111673</c:v>
                </c:pt>
                <c:pt idx="96">
                  <c:v>0.11258267211016193</c:v>
                </c:pt>
                <c:pt idx="97">
                  <c:v>0.11268455633810515</c:v>
                </c:pt>
                <c:pt idx="98">
                  <c:v>0.11278438239932242</c:v>
                </c:pt>
                <c:pt idx="99">
                  <c:v>0.11288221203591409</c:v>
                </c:pt>
                <c:pt idx="100">
                  <c:v>0.11297810454471424</c:v>
                </c:pt>
                <c:pt idx="101">
                  <c:v>0.11307211689750574</c:v>
                </c:pt>
                <c:pt idx="102">
                  <c:v>0.11316430385337473</c:v>
                </c:pt>
                <c:pt idx="103">
                  <c:v>0.11325471806566956</c:v>
                </c:pt>
                <c:pt idx="104">
                  <c:v>0.11334341018176541</c:v>
                </c:pt>
                <c:pt idx="105">
                  <c:v>0.11343042893814381</c:v>
                </c:pt>
                <c:pt idx="106">
                  <c:v>0.11351582124918824</c:v>
                </c:pt>
                <c:pt idx="107">
                  <c:v>0.11359963229204961</c:v>
                </c:pt>
                <c:pt idx="108">
                  <c:v>0.11368190558578295</c:v>
                </c:pt>
                <c:pt idx="109">
                  <c:v>0.11376268306719783</c:v>
                </c:pt>
                <c:pt idx="110">
                  <c:v>0.11384200516197929</c:v>
                </c:pt>
                <c:pt idx="111">
                  <c:v>0.11391991085192288</c:v>
                </c:pt>
                <c:pt idx="112">
                  <c:v>0.11399739944124576</c:v>
                </c:pt>
                <c:pt idx="113">
                  <c:v>0.11407352864010178</c:v>
                </c:pt>
                <c:pt idx="114">
                  <c:v>0.1141483339092586</c:v>
                </c:pt>
                <c:pt idx="115">
                  <c:v>0.11422184948686187</c:v>
                </c:pt>
                <c:pt idx="116">
                  <c:v>0.1142941084405269</c:v>
                </c:pt>
                <c:pt idx="117">
                  <c:v>0.11436514271698783</c:v>
                </c:pt>
                <c:pt idx="118">
                  <c:v>0.11443498318923773</c:v>
                </c:pt>
                <c:pt idx="119">
                  <c:v>0.11450365970104848</c:v>
                </c:pt>
                <c:pt idx="120">
                  <c:v>0.11457120110991426</c:v>
                </c:pt>
                <c:pt idx="121">
                  <c:v>0.11463763532701954</c:v>
                </c:pt>
                <c:pt idx="122">
                  <c:v>0.11470298935591927</c:v>
                </c:pt>
                <c:pt idx="123">
                  <c:v>0.11476728932928726</c:v>
                </c:pt>
                <c:pt idx="124">
                  <c:v>0.11483056054333307</c:v>
                </c:pt>
                <c:pt idx="125">
                  <c:v>0.11489282749150842</c:v>
                </c:pt>
                <c:pt idx="126">
                  <c:v>0.1149541138955712</c:v>
                </c:pt>
                <c:pt idx="127">
                  <c:v>0.11501444273622763</c:v>
                </c:pt>
                <c:pt idx="128">
                  <c:v>0.11507383628153178</c:v>
                </c:pt>
                <c:pt idx="129">
                  <c:v>0.11513231611439689</c:v>
                </c:pt>
                <c:pt idx="130">
                  <c:v>0.11518990315881883</c:v>
                </c:pt>
                <c:pt idx="131">
                  <c:v>0.11526540332724711</c:v>
                </c:pt>
                <c:pt idx="132">
                  <c:v>0.115339768210454</c:v>
                </c:pt>
                <c:pt idx="133">
                  <c:v>0.11541302322399805</c:v>
                </c:pt>
                <c:pt idx="134">
                  <c:v>0.11548519303055116</c:v>
                </c:pt>
                <c:pt idx="135">
                  <c:v>0.11555630156725449</c:v>
                </c:pt>
                <c:pt idx="136">
                  <c:v>0.11562637207258586</c:v>
                </c:pt>
                <c:pt idx="137">
                  <c:v>0.11569542711129532</c:v>
                </c:pt>
                <c:pt idx="138">
                  <c:v>0.11576348859896335</c:v>
                </c:pt>
                <c:pt idx="139">
                  <c:v>0.11583057782489359</c:v>
                </c:pt>
                <c:pt idx="140">
                  <c:v>0.11589671547469482</c:v>
                </c:pt>
                <c:pt idx="141">
                  <c:v>0.11596192165095331</c:v>
                </c:pt>
                <c:pt idx="142">
                  <c:v>0.11602621589434925</c:v>
                </c:pt>
                <c:pt idx="143">
                  <c:v>0.11608961720264155</c:v>
                </c:pt>
                <c:pt idx="144">
                  <c:v>0.11615214404936403</c:v>
                </c:pt>
                <c:pt idx="145">
                  <c:v>0.11621381440227729</c:v>
                </c:pt>
                <c:pt idx="146">
                  <c:v>0.11627464573991109</c:v>
                </c:pt>
                <c:pt idx="147">
                  <c:v>0.1163346550686839</c:v>
                </c:pt>
                <c:pt idx="148">
                  <c:v>0.1163938589383573</c:v>
                </c:pt>
                <c:pt idx="149">
                  <c:v>0.11645227345742359</c:v>
                </c:pt>
                <c:pt idx="150">
                  <c:v>0.11650991430764979</c:v>
                </c:pt>
                <c:pt idx="151">
                  <c:v>0.11656595780671353</c:v>
                </c:pt>
                <c:pt idx="152">
                  <c:v>0.11662126874174561</c:v>
                </c:pt>
                <c:pt idx="153">
                  <c:v>0.11667586138293107</c:v>
                </c:pt>
                <c:pt idx="154">
                  <c:v>0.11672974963214955</c:v>
                </c:pt>
                <c:pt idx="155">
                  <c:v>0.1167829470348325</c:v>
                </c:pt>
                <c:pt idx="156">
                  <c:v>0.11683546679128742</c:v>
                </c:pt>
                <c:pt idx="157">
                  <c:v>0.11688732176777794</c:v>
                </c:pt>
                <c:pt idx="158">
                  <c:v>0.1169385245067156</c:v>
                </c:pt>
                <c:pt idx="159">
                  <c:v>0.11698908723718482</c:v>
                </c:pt>
                <c:pt idx="160">
                  <c:v>0.11703902188420212</c:v>
                </c:pt>
                <c:pt idx="161">
                  <c:v>0.11708834007855273</c:v>
                </c:pt>
                <c:pt idx="162">
                  <c:v>0.11713705316553913</c:v>
                </c:pt>
                <c:pt idx="163">
                  <c:v>0.1171851722137518</c:v>
                </c:pt>
                <c:pt idx="164">
                  <c:v>0.11723270802348473</c:v>
                </c:pt>
                <c:pt idx="165">
                  <c:v>0.11727967113481785</c:v>
                </c:pt>
                <c:pt idx="166">
                  <c:v>0.11732607183525534</c:v>
                </c:pt>
                <c:pt idx="167">
                  <c:v>0.11737192016754161</c:v>
                </c:pt>
                <c:pt idx="168">
                  <c:v>0.11741722593667792</c:v>
                </c:pt>
                <c:pt idx="169">
                  <c:v>0.11746199871687235</c:v>
                </c:pt>
                <c:pt idx="170">
                  <c:v>0.11750624785851205</c:v>
                </c:pt>
                <c:pt idx="171">
                  <c:v>0.1175499824944799</c:v>
                </c:pt>
                <c:pt idx="172">
                  <c:v>0.11760658682156144</c:v>
                </c:pt>
                <c:pt idx="173">
                  <c:v>0.11766254055562975</c:v>
                </c:pt>
                <c:pt idx="174">
                  <c:v>0.1177178548491753</c:v>
                </c:pt>
                <c:pt idx="175">
                  <c:v>0.11777254060125752</c:v>
                </c:pt>
                <c:pt idx="176">
                  <c:v>0.11782660846462178</c:v>
                </c:pt>
                <c:pt idx="177">
                  <c:v>0.11788006885262714</c:v>
                </c:pt>
                <c:pt idx="178">
                  <c:v>0.1179329319458855</c:v>
                </c:pt>
                <c:pt idx="179">
                  <c:v>0.11798520769890075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47-4F78-A48F-DB04C8798F70}"/>
            </c:ext>
          </c:extLst>
        </c:ser>
        <c:ser>
          <c:idx val="1"/>
          <c:order val="1"/>
          <c:tx>
            <c:strRef>
              <c:f>Interpolações!$C$1</c:f>
              <c:strCache>
                <c:ptCount val="1"/>
                <c:pt idx="0">
                  <c:v>Fator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Interpolações!$A$2:$A$3651</c:f>
              <c:numCache>
                <c:formatCode>General</c:formatCode>
                <c:ptCount val="36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</c:numCache>
            </c:numRef>
          </c:cat>
          <c:val>
            <c:numRef>
              <c:f>Interpolações!$C$2:$C$3651</c:f>
            </c:numRef>
          </c:val>
          <c:smooth val="0"/>
          <c:extLst>
            <c:ext xmlns:c16="http://schemas.microsoft.com/office/drawing/2014/chart" uri="{C3380CC4-5D6E-409C-BE32-E72D297353CC}">
              <c16:uniqueId val="{00000001-A047-4F78-A48F-DB04C8798F70}"/>
            </c:ext>
          </c:extLst>
        </c:ser>
        <c:ser>
          <c:idx val="2"/>
          <c:order val="2"/>
          <c:tx>
            <c:strRef>
              <c:f>Interpolações!$D$1</c:f>
              <c:strCache>
                <c:ptCount val="1"/>
                <c:pt idx="0">
                  <c:v>Pre Implicita</c:v>
                </c:pt>
              </c:strCache>
            </c:strRef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Interpolações!$A$2:$A$3651</c:f>
              <c:numCache>
                <c:formatCode>General</c:formatCode>
                <c:ptCount val="36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</c:numCache>
            </c:numRef>
          </c:cat>
          <c:val>
            <c:numRef>
              <c:f>Interpolações!$D$2:$D$181</c:f>
              <c:numCache>
                <c:formatCode>0.00%</c:formatCode>
                <c:ptCount val="180"/>
                <c:pt idx="0">
                  <c:v>0.10653132910134944</c:v>
                </c:pt>
                <c:pt idx="1">
                  <c:v>0.10653132910136365</c:v>
                </c:pt>
                <c:pt idx="2">
                  <c:v>0.10653132910136365</c:v>
                </c:pt>
                <c:pt idx="3">
                  <c:v>0.10653132910129881</c:v>
                </c:pt>
                <c:pt idx="4">
                  <c:v>0.10653132910136365</c:v>
                </c:pt>
                <c:pt idx="5">
                  <c:v>0.10653132910142515</c:v>
                </c:pt>
                <c:pt idx="6">
                  <c:v>0.10653132910136365</c:v>
                </c:pt>
                <c:pt idx="7">
                  <c:v>0.10658178216486891</c:v>
                </c:pt>
                <c:pt idx="8">
                  <c:v>0.10658178194760648</c:v>
                </c:pt>
                <c:pt idx="9">
                  <c:v>0.10658178179139099</c:v>
                </c:pt>
                <c:pt idx="10">
                  <c:v>0.10658178167566779</c:v>
                </c:pt>
                <c:pt idx="11">
                  <c:v>0.10658178159693543</c:v>
                </c:pt>
                <c:pt idx="12">
                  <c:v>0.10658178152531494</c:v>
                </c:pt>
                <c:pt idx="13">
                  <c:v>0.10658178148179553</c:v>
                </c:pt>
                <c:pt idx="14">
                  <c:v>0.10658178143577679</c:v>
                </c:pt>
                <c:pt idx="15">
                  <c:v>0.10658178140096397</c:v>
                </c:pt>
                <c:pt idx="16">
                  <c:v>0.10658178138135299</c:v>
                </c:pt>
                <c:pt idx="17">
                  <c:v>0.10658178135313423</c:v>
                </c:pt>
                <c:pt idx="18">
                  <c:v>0.10658178133243945</c:v>
                </c:pt>
                <c:pt idx="19">
                  <c:v>0.10658178131815799</c:v>
                </c:pt>
                <c:pt idx="20">
                  <c:v>0.10658178130386209</c:v>
                </c:pt>
                <c:pt idx="21">
                  <c:v>0.10658178129055473</c:v>
                </c:pt>
                <c:pt idx="22">
                  <c:v>0.10658178128159235</c:v>
                </c:pt>
                <c:pt idx="23">
                  <c:v>0.10658178127212525</c:v>
                </c:pt>
                <c:pt idx="24">
                  <c:v>0.10658178126801054</c:v>
                </c:pt>
                <c:pt idx="25">
                  <c:v>0.106581781257298</c:v>
                </c:pt>
                <c:pt idx="26">
                  <c:v>0.10658178125019124</c:v>
                </c:pt>
                <c:pt idx="27">
                  <c:v>0.10658178124833828</c:v>
                </c:pt>
                <c:pt idx="28">
                  <c:v>0.10658178123434991</c:v>
                </c:pt>
                <c:pt idx="29">
                  <c:v>0.10658178123571171</c:v>
                </c:pt>
                <c:pt idx="30">
                  <c:v>0.11072956494686936</c:v>
                </c:pt>
                <c:pt idx="31">
                  <c:v>0.11072909739089076</c:v>
                </c:pt>
                <c:pt idx="32">
                  <c:v>0.11072867241240791</c:v>
                </c:pt>
                <c:pt idx="33">
                  <c:v>0.1107282850327389</c:v>
                </c:pt>
                <c:pt idx="34">
                  <c:v>0.11072793091619926</c:v>
                </c:pt>
                <c:pt idx="35">
                  <c:v>0.11072760637806489</c:v>
                </c:pt>
                <c:pt idx="36">
                  <c:v>0.11072730819514431</c:v>
                </c:pt>
                <c:pt idx="37">
                  <c:v>0.11072703361769487</c:v>
                </c:pt>
                <c:pt idx="38">
                  <c:v>0.11072678018461879</c:v>
                </c:pt>
                <c:pt idx="39">
                  <c:v>0.11072654580923635</c:v>
                </c:pt>
                <c:pt idx="40">
                  <c:v>0.11072632860006215</c:v>
                </c:pt>
                <c:pt idx="41">
                  <c:v>0.1107261269482076</c:v>
                </c:pt>
                <c:pt idx="42">
                  <c:v>0.1107259393765927</c:v>
                </c:pt>
                <c:pt idx="43">
                  <c:v>0.11072576462520267</c:v>
                </c:pt>
                <c:pt idx="44">
                  <c:v>0.11072560152943178</c:v>
                </c:pt>
                <c:pt idx="45">
                  <c:v>0.11072544910715765</c:v>
                </c:pt>
                <c:pt idx="46">
                  <c:v>0.11072530641217826</c:v>
                </c:pt>
                <c:pt idx="47">
                  <c:v>0.11072517266722137</c:v>
                </c:pt>
                <c:pt idx="48">
                  <c:v>0.1107250471086878</c:v>
                </c:pt>
                <c:pt idx="49">
                  <c:v>0.11523476035721592</c:v>
                </c:pt>
                <c:pt idx="50">
                  <c:v>0.11523390701188019</c:v>
                </c:pt>
                <c:pt idx="51">
                  <c:v>0.11523310309867929</c:v>
                </c:pt>
                <c:pt idx="52">
                  <c:v>0.11523234486662082</c:v>
                </c:pt>
                <c:pt idx="53">
                  <c:v>0.11523162892733918</c:v>
                </c:pt>
                <c:pt idx="54">
                  <c:v>0.11523095216778501</c:v>
                </c:pt>
                <c:pt idx="55">
                  <c:v>0.11523031181672838</c:v>
                </c:pt>
                <c:pt idx="56">
                  <c:v>0.11522970528329712</c:v>
                </c:pt>
                <c:pt idx="57">
                  <c:v>0.11522913022469217</c:v>
                </c:pt>
                <c:pt idx="58">
                  <c:v>0.11522858451866203</c:v>
                </c:pt>
                <c:pt idx="59">
                  <c:v>0.11522806618811132</c:v>
                </c:pt>
                <c:pt idx="60">
                  <c:v>0.11522757344528256</c:v>
                </c:pt>
                <c:pt idx="61">
                  <c:v>0.1152271046097777</c:v>
                </c:pt>
                <c:pt idx="62">
                  <c:v>0.11522665817690569</c:v>
                </c:pt>
                <c:pt idx="63">
                  <c:v>0.11522623274718446</c:v>
                </c:pt>
                <c:pt idx="64">
                  <c:v>0.11522582700572537</c:v>
                </c:pt>
                <c:pt idx="65">
                  <c:v>0.11522543976370092</c:v>
                </c:pt>
                <c:pt idx="66">
                  <c:v>0.1152250699211721</c:v>
                </c:pt>
                <c:pt idx="67">
                  <c:v>0.11522471643864551</c:v>
                </c:pt>
                <c:pt idx="68">
                  <c:v>0.11522437836788302</c:v>
                </c:pt>
                <c:pt idx="69">
                  <c:v>0.11522405484445541</c:v>
                </c:pt>
                <c:pt idx="70">
                  <c:v>0.11763251464771729</c:v>
                </c:pt>
                <c:pt idx="71">
                  <c:v>0.11763185716277524</c:v>
                </c:pt>
                <c:pt idx="72">
                  <c:v>0.11763122679852422</c:v>
                </c:pt>
                <c:pt idx="73">
                  <c:v>0.11763062210055319</c:v>
                </c:pt>
                <c:pt idx="74">
                  <c:v>0.11763004168435143</c:v>
                </c:pt>
                <c:pt idx="75">
                  <c:v>0.11762948428423869</c:v>
                </c:pt>
                <c:pt idx="76">
                  <c:v>0.11762894866898987</c:v>
                </c:pt>
                <c:pt idx="77">
                  <c:v>0.1176284337499196</c:v>
                </c:pt>
                <c:pt idx="78">
                  <c:v>0.11762793845781006</c:v>
                </c:pt>
                <c:pt idx="79">
                  <c:v>0.11762746180534056</c:v>
                </c:pt>
                <c:pt idx="80">
                  <c:v>0.11762700287473282</c:v>
                </c:pt>
                <c:pt idx="81">
                  <c:v>0.11762656080362799</c:v>
                </c:pt>
                <c:pt idx="82">
                  <c:v>0.11762613476280115</c:v>
                </c:pt>
                <c:pt idx="83">
                  <c:v>0.11762572400010973</c:v>
                </c:pt>
                <c:pt idx="84">
                  <c:v>0.11762532777424917</c:v>
                </c:pt>
                <c:pt idx="85">
                  <c:v>0.1176249454347178</c:v>
                </c:pt>
                <c:pt idx="86">
                  <c:v>0.11762457631672318</c:v>
                </c:pt>
                <c:pt idx="87">
                  <c:v>0.11762421982981253</c:v>
                </c:pt>
                <c:pt idx="88">
                  <c:v>0.11762387539683683</c:v>
                </c:pt>
                <c:pt idx="89">
                  <c:v>0.11762354248675333</c:v>
                </c:pt>
                <c:pt idx="90">
                  <c:v>0.1176232205895853</c:v>
                </c:pt>
                <c:pt idx="91">
                  <c:v>0.11762290922199936</c:v>
                </c:pt>
                <c:pt idx="92">
                  <c:v>0.12261671709982247</c:v>
                </c:pt>
                <c:pt idx="93">
                  <c:v>0.12261567031059539</c:v>
                </c:pt>
                <c:pt idx="94">
                  <c:v>0.12261465677917927</c:v>
                </c:pt>
                <c:pt idx="95">
                  <c:v>0.12261367512357912</c:v>
                </c:pt>
                <c:pt idx="96">
                  <c:v>0.12261272399945078</c:v>
                </c:pt>
                <c:pt idx="97">
                  <c:v>0.12261180216915779</c:v>
                </c:pt>
                <c:pt idx="98">
                  <c:v>0.12261090842783062</c:v>
                </c:pt>
                <c:pt idx="99">
                  <c:v>0.1226100416624798</c:v>
                </c:pt>
                <c:pt idx="100">
                  <c:v>0.12260920078356508</c:v>
                </c:pt>
                <c:pt idx="101">
                  <c:v>0.12260838479091851</c:v>
                </c:pt>
                <c:pt idx="102">
                  <c:v>0.12260759268165056</c:v>
                </c:pt>
                <c:pt idx="103">
                  <c:v>0.12260682356092611</c:v>
                </c:pt>
                <c:pt idx="104">
                  <c:v>0.12260607652504385</c:v>
                </c:pt>
                <c:pt idx="105">
                  <c:v>0.12260535076130541</c:v>
                </c:pt>
                <c:pt idx="106">
                  <c:v>0.12260464544306804</c:v>
                </c:pt>
                <c:pt idx="107">
                  <c:v>0.12260395983694305</c:v>
                </c:pt>
                <c:pt idx="108">
                  <c:v>0.12260329318400398</c:v>
                </c:pt>
                <c:pt idx="109">
                  <c:v>0.12260264481244465</c:v>
                </c:pt>
                <c:pt idx="110">
                  <c:v>0.12260201406546889</c:v>
                </c:pt>
                <c:pt idx="111">
                  <c:v>0.12260140029067501</c:v>
                </c:pt>
                <c:pt idx="112">
                  <c:v>0.12271031990367098</c:v>
                </c:pt>
                <c:pt idx="113">
                  <c:v>0.12270972355212928</c:v>
                </c:pt>
                <c:pt idx="114">
                  <c:v>0.12270914282757928</c:v>
                </c:pt>
                <c:pt idx="115">
                  <c:v>0.1227085772010823</c:v>
                </c:pt>
                <c:pt idx="116">
                  <c:v>0.1227080261486746</c:v>
                </c:pt>
                <c:pt idx="117">
                  <c:v>0.12270748917485941</c:v>
                </c:pt>
                <c:pt idx="118">
                  <c:v>0.12270696581075868</c:v>
                </c:pt>
                <c:pt idx="119">
                  <c:v>0.12270645558061299</c:v>
                </c:pt>
                <c:pt idx="120">
                  <c:v>0.12270595807879303</c:v>
                </c:pt>
                <c:pt idx="121">
                  <c:v>0.12270547286183731</c:v>
                </c:pt>
                <c:pt idx="122">
                  <c:v>0.12270499953002889</c:v>
                </c:pt>
                <c:pt idx="123">
                  <c:v>0.12270453771864265</c:v>
                </c:pt>
                <c:pt idx="124">
                  <c:v>0.12270408702629299</c:v>
                </c:pt>
                <c:pt idx="125">
                  <c:v>0.12270364713143112</c:v>
                </c:pt>
                <c:pt idx="126">
                  <c:v>0.12270321765756242</c:v>
                </c:pt>
                <c:pt idx="127">
                  <c:v>0.12270279830598874</c:v>
                </c:pt>
                <c:pt idx="128">
                  <c:v>0.12270238874887296</c:v>
                </c:pt>
                <c:pt idx="129">
                  <c:v>0.12270198868393578</c:v>
                </c:pt>
                <c:pt idx="130">
                  <c:v>0.12270159783046131</c:v>
                </c:pt>
                <c:pt idx="131">
                  <c:v>0.12520024921943107</c:v>
                </c:pt>
                <c:pt idx="132">
                  <c:v>0.12519958624270244</c:v>
                </c:pt>
                <c:pt idx="133">
                  <c:v>0.12519893818977046</c:v>
                </c:pt>
                <c:pt idx="134">
                  <c:v>0.12519830463381409</c:v>
                </c:pt>
                <c:pt idx="135">
                  <c:v>0.12519768511961682</c:v>
                </c:pt>
                <c:pt idx="136">
                  <c:v>0.1251970792620809</c:v>
                </c:pt>
                <c:pt idx="137">
                  <c:v>0.12519648663828398</c:v>
                </c:pt>
                <c:pt idx="138">
                  <c:v>0.12519590688533788</c:v>
                </c:pt>
                <c:pt idx="139">
                  <c:v>0.12519533961294393</c:v>
                </c:pt>
                <c:pt idx="140">
                  <c:v>0.12519478449737909</c:v>
                </c:pt>
                <c:pt idx="141">
                  <c:v>0.12519424114395905</c:v>
                </c:pt>
                <c:pt idx="142">
                  <c:v>0.12519370927543805</c:v>
                </c:pt>
                <c:pt idx="143">
                  <c:v>0.12519318855017691</c:v>
                </c:pt>
                <c:pt idx="144">
                  <c:v>0.12519267863406092</c:v>
                </c:pt>
                <c:pt idx="145">
                  <c:v>0.12519217927691373</c:v>
                </c:pt>
                <c:pt idx="146">
                  <c:v>0.12519169014116582</c:v>
                </c:pt>
                <c:pt idx="147">
                  <c:v>0.12519121098737451</c:v>
                </c:pt>
                <c:pt idx="148">
                  <c:v>0.12519074152718623</c:v>
                </c:pt>
                <c:pt idx="149">
                  <c:v>0.12519028150658595</c:v>
                </c:pt>
                <c:pt idx="150">
                  <c:v>0.12518983066982514</c:v>
                </c:pt>
                <c:pt idx="151">
                  <c:v>0.1250608906791546</c:v>
                </c:pt>
                <c:pt idx="152">
                  <c:v>0.1250604702221243</c:v>
                </c:pt>
                <c:pt idx="153">
                  <c:v>0.12506005800466569</c:v>
                </c:pt>
                <c:pt idx="154">
                  <c:v>0.12505965380419548</c:v>
                </c:pt>
                <c:pt idx="155">
                  <c:v>0.12505925741345658</c:v>
                </c:pt>
                <c:pt idx="156">
                  <c:v>0.1250588686275147</c:v>
                </c:pt>
                <c:pt idx="157">
                  <c:v>0.12505848727293678</c:v>
                </c:pt>
                <c:pt idx="158">
                  <c:v>0.12505811313263471</c:v>
                </c:pt>
                <c:pt idx="159">
                  <c:v>0.12505774606039033</c:v>
                </c:pt>
                <c:pt idx="160">
                  <c:v>0.12505738583951254</c:v>
                </c:pt>
                <c:pt idx="161">
                  <c:v>0.12505703233243115</c:v>
                </c:pt>
                <c:pt idx="162">
                  <c:v>0.12505668536137327</c:v>
                </c:pt>
                <c:pt idx="163">
                  <c:v>0.12505634476476279</c:v>
                </c:pt>
                <c:pt idx="164">
                  <c:v>0.12505601039131986</c:v>
                </c:pt>
                <c:pt idx="165">
                  <c:v>0.12505568209418594</c:v>
                </c:pt>
                <c:pt idx="166">
                  <c:v>0.12505535970560366</c:v>
                </c:pt>
                <c:pt idx="167">
                  <c:v>0.12505504311316362</c:v>
                </c:pt>
                <c:pt idx="168">
                  <c:v>0.12505473216991647</c:v>
                </c:pt>
                <c:pt idx="169">
                  <c:v>0.12505442672610179</c:v>
                </c:pt>
                <c:pt idx="170">
                  <c:v>0.12505412667434213</c:v>
                </c:pt>
                <c:pt idx="171">
                  <c:v>0.12505383187828767</c:v>
                </c:pt>
                <c:pt idx="172">
                  <c:v>0.12738531017440469</c:v>
                </c:pt>
                <c:pt idx="173">
                  <c:v>0.12738482113167282</c:v>
                </c:pt>
                <c:pt idx="174">
                  <c:v>0.12738434052114633</c:v>
                </c:pt>
                <c:pt idx="175">
                  <c:v>0.12738386815427027</c:v>
                </c:pt>
                <c:pt idx="176">
                  <c:v>0.12738340384006297</c:v>
                </c:pt>
                <c:pt idx="177">
                  <c:v>0.12738294739489975</c:v>
                </c:pt>
                <c:pt idx="178">
                  <c:v>0.12738249863157725</c:v>
                </c:pt>
                <c:pt idx="179">
                  <c:v>0.12738205739954389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47-4F78-A48F-DB04C8798F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792048"/>
        <c:axId val="99762288"/>
      </c:lineChart>
      <c:catAx>
        <c:axId val="997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600" b="0" i="1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762288"/>
        <c:crosses val="autoZero"/>
        <c:auto val="0"/>
        <c:lblAlgn val="ctr"/>
        <c:lblOffset val="1"/>
        <c:tickMarkSkip val="10"/>
        <c:noMultiLvlLbl val="0"/>
      </c:catAx>
      <c:valAx>
        <c:axId val="99762288"/>
        <c:scaling>
          <c:orientation val="minMax"/>
          <c:min val="0.1025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79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0</xdr:row>
      <xdr:rowOff>114300</xdr:rowOff>
    </xdr:from>
    <xdr:to>
      <xdr:col>16</xdr:col>
      <xdr:colOff>60960</xdr:colOff>
      <xdr:row>15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58A4438-676C-428F-9CFA-735006D19B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2</xdr:row>
          <xdr:rowOff>38100</xdr:rowOff>
        </xdr:from>
        <xdr:to>
          <xdr:col>4</xdr:col>
          <xdr:colOff>1234440</xdr:colOff>
          <xdr:row>4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ptos Narrow"/>
                </a:rPr>
                <a:t>Hist Curva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82061</xdr:colOff>
      <xdr:row>20</xdr:row>
      <xdr:rowOff>5860</xdr:rowOff>
    </xdr:from>
    <xdr:to>
      <xdr:col>16</xdr:col>
      <xdr:colOff>97301</xdr:colOff>
      <xdr:row>36</xdr:row>
      <xdr:rowOff>51580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8D93AC9-4112-4432-B63C-FA8ACCEAAC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245165</xdr:colOff>
      <xdr:row>1</xdr:row>
      <xdr:rowOff>29332</xdr:rowOff>
    </xdr:from>
    <xdr:to>
      <xdr:col>16</xdr:col>
      <xdr:colOff>497130</xdr:colOff>
      <xdr:row>10</xdr:row>
      <xdr:rowOff>296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437807E-A3BC-E2BC-9023-5AA9DBBC8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10330" y="181732"/>
          <a:ext cx="4519165" cy="1342564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112469</xdr:colOff>
      <xdr:row>5</xdr:row>
      <xdr:rowOff>93784</xdr:rowOff>
    </xdr:from>
    <xdr:to>
      <xdr:col>6</xdr:col>
      <xdr:colOff>482991</xdr:colOff>
      <xdr:row>13</xdr:row>
      <xdr:rowOff>27046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E26618B-30EA-482F-8C9F-01979373EC19}"/>
            </a:ext>
          </a:extLst>
        </xdr:cNvPr>
        <xdr:cNvGrpSpPr/>
      </xdr:nvGrpSpPr>
      <xdr:grpSpPr>
        <a:xfrm>
          <a:off x="722069" y="964641"/>
          <a:ext cx="3418522" cy="1326634"/>
          <a:chOff x="722069" y="974847"/>
          <a:chExt cx="3418522" cy="1342962"/>
        </a:xfrm>
      </xdr:grpSpPr>
      <xdr:cxnSp macro="">
        <xdr:nvCxnSpPr>
          <xdr:cNvPr id="3" name="Straight Arrow Connector 2">
            <a:extLst>
              <a:ext uri="{FF2B5EF4-FFF2-40B4-BE49-F238E27FC236}">
                <a16:creationId xmlns:a16="http://schemas.microsoft.com/office/drawing/2014/main" id="{78CBA72F-27D4-903C-9A77-E1B5085ECF56}"/>
              </a:ext>
            </a:extLst>
          </xdr:cNvPr>
          <xdr:cNvCxnSpPr/>
        </xdr:nvCxnSpPr>
        <xdr:spPr>
          <a:xfrm flipV="1">
            <a:off x="726831" y="2227260"/>
            <a:ext cx="3413760" cy="7637"/>
          </a:xfrm>
          <a:prstGeom prst="straightConnector1">
            <a:avLst/>
          </a:prstGeom>
          <a:ln w="19050" cap="flat" cmpd="sng" algn="ctr">
            <a:solidFill>
              <a:schemeClr val="dk1"/>
            </a:solidFill>
            <a:prstDash val="solid"/>
            <a:round/>
            <a:headEnd type="none" w="med" len="med"/>
            <a:tailEnd type="arrow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269A3F2F-7633-024A-C9E2-F1C10734AC4F}"/>
              </a:ext>
            </a:extLst>
          </xdr:cNvPr>
          <xdr:cNvCxnSpPr/>
        </xdr:nvCxnSpPr>
        <xdr:spPr>
          <a:xfrm flipV="1">
            <a:off x="795411" y="974847"/>
            <a:ext cx="0" cy="1342962"/>
          </a:xfrm>
          <a:prstGeom prst="straightConnector1">
            <a:avLst/>
          </a:prstGeom>
          <a:ln w="19050" cap="flat" cmpd="sng" algn="ctr">
            <a:solidFill>
              <a:schemeClr val="dk1"/>
            </a:solidFill>
            <a:prstDash val="solid"/>
            <a:round/>
            <a:headEnd type="none" w="med" len="med"/>
            <a:tailEnd type="arrow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</xdr:cxnSp>
      <xdr:sp macro="" textlink="">
        <xdr:nvSpPr>
          <xdr:cNvPr id="5" name="Oval 4">
            <a:extLst>
              <a:ext uri="{FF2B5EF4-FFF2-40B4-BE49-F238E27FC236}">
                <a16:creationId xmlns:a16="http://schemas.microsoft.com/office/drawing/2014/main" id="{7C6C5D4E-2AF7-2146-1F58-E42B36396951}"/>
              </a:ext>
            </a:extLst>
          </xdr:cNvPr>
          <xdr:cNvSpPr/>
        </xdr:nvSpPr>
        <xdr:spPr>
          <a:xfrm>
            <a:off x="2649249" y="1303224"/>
            <a:ext cx="52251" cy="52365"/>
          </a:xfrm>
          <a:prstGeom prst="ellipse">
            <a:avLst/>
          </a:prstGeom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F6342002-5224-B987-AFD1-32BB6A9D8DE1}"/>
              </a:ext>
            </a:extLst>
          </xdr:cNvPr>
          <xdr:cNvCxnSpPr/>
        </xdr:nvCxnSpPr>
        <xdr:spPr>
          <a:xfrm>
            <a:off x="2679728" y="2158530"/>
            <a:ext cx="0" cy="126550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7AC79524-0B1D-7CCB-C488-BE16E2EA7B3F}"/>
              </a:ext>
            </a:extLst>
          </xdr:cNvPr>
          <xdr:cNvCxnSpPr/>
        </xdr:nvCxnSpPr>
        <xdr:spPr>
          <a:xfrm rot="5400000">
            <a:off x="789968" y="1255360"/>
            <a:ext cx="0" cy="126274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C6387263-82B1-C221-6DCD-F1C52024BEC2}"/>
              </a:ext>
            </a:extLst>
          </xdr:cNvPr>
          <xdr:cNvSpPr/>
        </xdr:nvSpPr>
        <xdr:spPr>
          <a:xfrm>
            <a:off x="3720811" y="1584215"/>
            <a:ext cx="52251" cy="52365"/>
          </a:xfrm>
          <a:prstGeom prst="ellipse">
            <a:avLst/>
          </a:prstGeom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9" name="Straight Connector 8">
            <a:extLst>
              <a:ext uri="{FF2B5EF4-FFF2-40B4-BE49-F238E27FC236}">
                <a16:creationId xmlns:a16="http://schemas.microsoft.com/office/drawing/2014/main" id="{94FB8979-16DC-3390-A55D-5D00D9BC9B29}"/>
              </a:ext>
            </a:extLst>
          </xdr:cNvPr>
          <xdr:cNvCxnSpPr/>
        </xdr:nvCxnSpPr>
        <xdr:spPr>
          <a:xfrm>
            <a:off x="3751290" y="2158530"/>
            <a:ext cx="0" cy="126550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Straight Connector 9">
            <a:extLst>
              <a:ext uri="{FF2B5EF4-FFF2-40B4-BE49-F238E27FC236}">
                <a16:creationId xmlns:a16="http://schemas.microsoft.com/office/drawing/2014/main" id="{2E6FB30F-34D2-8F62-AA42-42021C3B3106}"/>
              </a:ext>
            </a:extLst>
          </xdr:cNvPr>
          <xdr:cNvCxnSpPr/>
        </xdr:nvCxnSpPr>
        <xdr:spPr>
          <a:xfrm rot="5400000">
            <a:off x="785206" y="1588739"/>
            <a:ext cx="0" cy="126274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ED7C2AED-680A-1D60-14EA-290C14F09BA2}"/>
              </a:ext>
            </a:extLst>
          </xdr:cNvPr>
          <xdr:cNvCxnSpPr/>
        </xdr:nvCxnSpPr>
        <xdr:spPr>
          <a:xfrm>
            <a:off x="2671763" y="2233613"/>
            <a:ext cx="1085850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2" name="Straight Arrow Connector 11">
            <a:extLst>
              <a:ext uri="{FF2B5EF4-FFF2-40B4-BE49-F238E27FC236}">
                <a16:creationId xmlns:a16="http://schemas.microsoft.com/office/drawing/2014/main" id="{0A765B59-651B-18BD-D5DC-730F1254712B}"/>
              </a:ext>
            </a:extLst>
          </xdr:cNvPr>
          <xdr:cNvCxnSpPr/>
        </xdr:nvCxnSpPr>
        <xdr:spPr>
          <a:xfrm flipV="1">
            <a:off x="804863" y="1376363"/>
            <a:ext cx="1776412" cy="847725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Straight Arrow Connector 12">
            <a:extLst>
              <a:ext uri="{FF2B5EF4-FFF2-40B4-BE49-F238E27FC236}">
                <a16:creationId xmlns:a16="http://schemas.microsoft.com/office/drawing/2014/main" id="{7A6D9B25-E994-F139-8B33-8767D8B5B597}"/>
              </a:ext>
            </a:extLst>
          </xdr:cNvPr>
          <xdr:cNvCxnSpPr/>
        </xdr:nvCxnSpPr>
        <xdr:spPr>
          <a:xfrm flipV="1">
            <a:off x="790575" y="1628775"/>
            <a:ext cx="2852738" cy="60960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60081</xdr:colOff>
      <xdr:row>32</xdr:row>
      <xdr:rowOff>60322</xdr:rowOff>
    </xdr:from>
    <xdr:to>
      <xdr:col>6</xdr:col>
      <xdr:colOff>425841</xdr:colOff>
      <xdr:row>32</xdr:row>
      <xdr:rowOff>67959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E33E9C0D-2E40-4EE1-8ABA-03966E0E043E}"/>
            </a:ext>
          </a:extLst>
        </xdr:cNvPr>
        <xdr:cNvCxnSpPr/>
      </xdr:nvCxnSpPr>
      <xdr:spPr>
        <a:xfrm flipV="1">
          <a:off x="669681" y="5668642"/>
          <a:ext cx="3413760" cy="7637"/>
        </a:xfrm>
        <a:prstGeom prst="straightConnector1">
          <a:avLst/>
        </a:prstGeom>
        <a:ln w="19050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128661</xdr:colOff>
      <xdr:row>25</xdr:row>
      <xdr:rowOff>41396</xdr:rowOff>
    </xdr:from>
    <xdr:to>
      <xdr:col>1</xdr:col>
      <xdr:colOff>128661</xdr:colOff>
      <xdr:row>32</xdr:row>
      <xdr:rowOff>150871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B7E34CCC-059A-4765-B75D-D3DC6A6DC201}"/>
            </a:ext>
          </a:extLst>
        </xdr:cNvPr>
        <xdr:cNvCxnSpPr/>
      </xdr:nvCxnSpPr>
      <xdr:spPr>
        <a:xfrm flipV="1">
          <a:off x="738261" y="4422896"/>
          <a:ext cx="0" cy="1336295"/>
        </a:xfrm>
        <a:prstGeom prst="straightConnector1">
          <a:avLst/>
        </a:prstGeom>
        <a:ln w="19050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153699</xdr:colOff>
      <xdr:row>27</xdr:row>
      <xdr:rowOff>17348</xdr:rowOff>
    </xdr:from>
    <xdr:to>
      <xdr:col>4</xdr:col>
      <xdr:colOff>205950</xdr:colOff>
      <xdr:row>27</xdr:row>
      <xdr:rowOff>69713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E0C66BC7-F138-4A8D-B070-CB78E940D532}"/>
            </a:ext>
          </a:extLst>
        </xdr:cNvPr>
        <xdr:cNvSpPr/>
      </xdr:nvSpPr>
      <xdr:spPr>
        <a:xfrm>
          <a:off x="2592099" y="4749368"/>
          <a:ext cx="52251" cy="52365"/>
        </a:xfrm>
        <a:prstGeom prst="ellipse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184178</xdr:colOff>
      <xdr:row>31</xdr:row>
      <xdr:rowOff>167804</xdr:rowOff>
    </xdr:from>
    <xdr:to>
      <xdr:col>4</xdr:col>
      <xdr:colOff>184178</xdr:colOff>
      <xdr:row>32</xdr:row>
      <xdr:rowOff>118142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43259391-08D3-4E9E-8C63-615464351F27}"/>
            </a:ext>
          </a:extLst>
        </xdr:cNvPr>
        <xdr:cNvCxnSpPr/>
      </xdr:nvCxnSpPr>
      <xdr:spPr>
        <a:xfrm>
          <a:off x="2622578" y="5600864"/>
          <a:ext cx="0" cy="125598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60081</xdr:colOff>
      <xdr:row>27</xdr:row>
      <xdr:rowOff>32621</xdr:rowOff>
    </xdr:from>
    <xdr:to>
      <xdr:col>1</xdr:col>
      <xdr:colOff>186355</xdr:colOff>
      <xdr:row>27</xdr:row>
      <xdr:rowOff>32621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A34E982-3900-4AE9-A81A-CA9E5087E958}"/>
            </a:ext>
          </a:extLst>
        </xdr:cNvPr>
        <xdr:cNvCxnSpPr/>
      </xdr:nvCxnSpPr>
      <xdr:spPr>
        <a:xfrm rot="5400000">
          <a:off x="732818" y="4701504"/>
          <a:ext cx="0" cy="126274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10415</xdr:colOff>
      <xdr:row>28</xdr:row>
      <xdr:rowOff>113418</xdr:rowOff>
    </xdr:from>
    <xdr:to>
      <xdr:col>6</xdr:col>
      <xdr:colOff>62666</xdr:colOff>
      <xdr:row>28</xdr:row>
      <xdr:rowOff>165783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C6168C19-846C-4A9E-9D7C-ED2E3218632A}"/>
            </a:ext>
          </a:extLst>
        </xdr:cNvPr>
        <xdr:cNvSpPr/>
      </xdr:nvSpPr>
      <xdr:spPr>
        <a:xfrm>
          <a:off x="3668015" y="5042469"/>
          <a:ext cx="52251" cy="52365"/>
        </a:xfrm>
        <a:prstGeom prst="ellipse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36540</xdr:colOff>
      <xdr:row>31</xdr:row>
      <xdr:rowOff>167804</xdr:rowOff>
    </xdr:from>
    <xdr:to>
      <xdr:col>6</xdr:col>
      <xdr:colOff>36540</xdr:colOff>
      <xdr:row>32</xdr:row>
      <xdr:rowOff>118142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5A57CE12-D3E6-4356-9E3F-1EE5F9D2CE61}"/>
            </a:ext>
          </a:extLst>
        </xdr:cNvPr>
        <xdr:cNvCxnSpPr/>
      </xdr:nvCxnSpPr>
      <xdr:spPr>
        <a:xfrm>
          <a:off x="3694140" y="5600864"/>
          <a:ext cx="0" cy="125598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55319</xdr:colOff>
      <xdr:row>29</xdr:row>
      <xdr:rowOff>13575</xdr:rowOff>
    </xdr:from>
    <xdr:to>
      <xdr:col>1</xdr:col>
      <xdr:colOff>181593</xdr:colOff>
      <xdr:row>29</xdr:row>
      <xdr:rowOff>13575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B7203851-6361-4980-91B0-43508D193D6F}"/>
            </a:ext>
          </a:extLst>
        </xdr:cNvPr>
        <xdr:cNvCxnSpPr/>
      </xdr:nvCxnSpPr>
      <xdr:spPr>
        <a:xfrm rot="5400000">
          <a:off x="728056" y="5032978"/>
          <a:ext cx="0" cy="126274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176213</xdr:colOff>
      <xdr:row>32</xdr:row>
      <xdr:rowOff>66675</xdr:rowOff>
    </xdr:from>
    <xdr:to>
      <xdr:col>6</xdr:col>
      <xdr:colOff>42863</xdr:colOff>
      <xdr:row>32</xdr:row>
      <xdr:rowOff>66675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F5B2D82-9FCA-4BFE-ACF2-1A8364CF440D}"/>
            </a:ext>
          </a:extLst>
        </xdr:cNvPr>
        <xdr:cNvCxnSpPr/>
      </xdr:nvCxnSpPr>
      <xdr:spPr>
        <a:xfrm>
          <a:off x="2614613" y="5674995"/>
          <a:ext cx="1085850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190499</xdr:colOff>
      <xdr:row>32</xdr:row>
      <xdr:rowOff>161926</xdr:rowOff>
    </xdr:from>
    <xdr:to>
      <xdr:col>6</xdr:col>
      <xdr:colOff>33337</xdr:colOff>
      <xdr:row>33</xdr:row>
      <xdr:rowOff>128591</xdr:rowOff>
    </xdr:to>
    <xdr:sp macro="" textlink="">
      <xdr:nvSpPr>
        <xdr:cNvPr id="23" name="Right Bracket 22">
          <a:extLst>
            <a:ext uri="{FF2B5EF4-FFF2-40B4-BE49-F238E27FC236}">
              <a16:creationId xmlns:a16="http://schemas.microsoft.com/office/drawing/2014/main" id="{4729F300-79C1-435F-8FD4-5E3C54381F71}"/>
            </a:ext>
          </a:extLst>
        </xdr:cNvPr>
        <xdr:cNvSpPr/>
      </xdr:nvSpPr>
      <xdr:spPr>
        <a:xfrm rot="5400000">
          <a:off x="3088955" y="5310190"/>
          <a:ext cx="141925" cy="1062038"/>
        </a:xfrm>
        <a:prstGeom prst="rightBracket">
          <a:avLst/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22861</xdr:colOff>
      <xdr:row>0</xdr:row>
      <xdr:rowOff>0</xdr:rowOff>
    </xdr:from>
    <xdr:to>
      <xdr:col>8</xdr:col>
      <xdr:colOff>523429</xdr:colOff>
      <xdr:row>21</xdr:row>
      <xdr:rowOff>45720</xdr:rowOff>
    </xdr:to>
    <xdr:pic>
      <xdr:nvPicPr>
        <xdr:cNvPr id="4" name="Picture 3" descr="Yield Curve: What It Is and Why It Matters - NerdWallet">
          <a:extLst>
            <a:ext uri="{FF2B5EF4-FFF2-40B4-BE49-F238E27FC236}">
              <a16:creationId xmlns:a16="http://schemas.microsoft.com/office/drawing/2014/main" id="{6CD77844-0CCB-2872-0F3E-E9C29132CB6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204"/>
        <a:stretch/>
      </xdr:blipFill>
      <xdr:spPr bwMode="auto">
        <a:xfrm>
          <a:off x="22861" y="0"/>
          <a:ext cx="5415468" cy="388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ehhe\OneDrive\&#193;rea%20de%20Trabalho\study\Planilhas\Rhinos\Futuros.xlsm" TargetMode="External"/><Relationship Id="rId1" Type="http://schemas.openxmlformats.org/officeDocument/2006/relationships/externalLinkPath" Target="Futur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uturos"/>
      <sheetName val="DI1"/>
      <sheetName val="DDI"/>
      <sheetName val="DOL"/>
      <sheetName val="Mapa de FX"/>
      <sheetName val="Rolagem"/>
      <sheetName val="Au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E1" t="str">
            <v>Código</v>
          </cell>
          <cell r="F1" t="str">
            <v>Mês</v>
          </cell>
        </row>
        <row r="2">
          <cell r="A2">
            <v>45292</v>
          </cell>
          <cell r="E2" t="str">
            <v>F</v>
          </cell>
          <cell r="F2">
            <v>1</v>
          </cell>
        </row>
        <row r="3">
          <cell r="A3">
            <v>45334</v>
          </cell>
          <cell r="E3" t="str">
            <v>G</v>
          </cell>
          <cell r="F3">
            <v>2</v>
          </cell>
        </row>
        <row r="4">
          <cell r="A4">
            <v>45335</v>
          </cell>
          <cell r="E4" t="str">
            <v>H</v>
          </cell>
          <cell r="F4">
            <v>3</v>
          </cell>
        </row>
        <row r="5">
          <cell r="A5">
            <v>45380</v>
          </cell>
          <cell r="E5" t="str">
            <v>J</v>
          </cell>
          <cell r="F5">
            <v>4</v>
          </cell>
        </row>
        <row r="6">
          <cell r="A6">
            <v>45403</v>
          </cell>
          <cell r="E6" t="str">
            <v>K</v>
          </cell>
          <cell r="F6">
            <v>5</v>
          </cell>
        </row>
        <row r="7">
          <cell r="A7">
            <v>45413</v>
          </cell>
          <cell r="E7" t="str">
            <v>M</v>
          </cell>
          <cell r="F7">
            <v>6</v>
          </cell>
        </row>
        <row r="8">
          <cell r="A8">
            <v>45442</v>
          </cell>
          <cell r="E8" t="str">
            <v>N</v>
          </cell>
          <cell r="F8">
            <v>7</v>
          </cell>
        </row>
        <row r="9">
          <cell r="A9">
            <v>45542</v>
          </cell>
          <cell r="E9" t="str">
            <v>Q</v>
          </cell>
          <cell r="F9">
            <v>8</v>
          </cell>
        </row>
        <row r="10">
          <cell r="A10">
            <v>45577</v>
          </cell>
          <cell r="E10" t="str">
            <v>U</v>
          </cell>
          <cell r="F10">
            <v>9</v>
          </cell>
        </row>
        <row r="11">
          <cell r="A11">
            <v>45598</v>
          </cell>
          <cell r="E11" t="str">
            <v>V</v>
          </cell>
          <cell r="F11">
            <v>10</v>
          </cell>
        </row>
        <row r="12">
          <cell r="A12">
            <v>45611</v>
          </cell>
          <cell r="E12" t="str">
            <v>X</v>
          </cell>
          <cell r="F12">
            <v>11</v>
          </cell>
        </row>
        <row r="13">
          <cell r="A13">
            <v>45616</v>
          </cell>
          <cell r="E13" t="str">
            <v>Z</v>
          </cell>
          <cell r="F13">
            <v>12</v>
          </cell>
        </row>
        <row r="14">
          <cell r="A14">
            <v>45651</v>
          </cell>
        </row>
        <row r="15">
          <cell r="A15">
            <v>45658</v>
          </cell>
        </row>
        <row r="16">
          <cell r="A16">
            <v>45719</v>
          </cell>
        </row>
        <row r="17">
          <cell r="A17">
            <v>45720</v>
          </cell>
        </row>
        <row r="18">
          <cell r="A18">
            <v>45765</v>
          </cell>
        </row>
        <row r="19">
          <cell r="A19">
            <v>45768</v>
          </cell>
        </row>
        <row r="20">
          <cell r="A20">
            <v>45778</v>
          </cell>
        </row>
        <row r="21">
          <cell r="A21">
            <v>45827</v>
          </cell>
        </row>
        <row r="22">
          <cell r="A22">
            <v>45907</v>
          </cell>
        </row>
        <row r="23">
          <cell r="A23">
            <v>45942</v>
          </cell>
        </row>
        <row r="24">
          <cell r="A24">
            <v>45963</v>
          </cell>
        </row>
        <row r="25">
          <cell r="A25">
            <v>45976</v>
          </cell>
        </row>
        <row r="26">
          <cell r="A26">
            <v>45981</v>
          </cell>
        </row>
        <row r="27">
          <cell r="A27">
            <v>46016</v>
          </cell>
        </row>
        <row r="28">
          <cell r="A28">
            <v>46023</v>
          </cell>
        </row>
        <row r="29">
          <cell r="A29">
            <v>46069</v>
          </cell>
        </row>
        <row r="30">
          <cell r="A30">
            <v>46070</v>
          </cell>
        </row>
        <row r="31">
          <cell r="A31">
            <v>46115</v>
          </cell>
        </row>
        <row r="32">
          <cell r="A32">
            <v>46133</v>
          </cell>
        </row>
        <row r="33">
          <cell r="A33">
            <v>46143</v>
          </cell>
        </row>
        <row r="34">
          <cell r="A34">
            <v>46177</v>
          </cell>
        </row>
        <row r="35">
          <cell r="A35">
            <v>46272</v>
          </cell>
        </row>
        <row r="36">
          <cell r="A36">
            <v>46307</v>
          </cell>
        </row>
        <row r="37">
          <cell r="A37">
            <v>46328</v>
          </cell>
        </row>
        <row r="38">
          <cell r="A38">
            <v>46341</v>
          </cell>
        </row>
        <row r="39">
          <cell r="A39">
            <v>46346</v>
          </cell>
        </row>
        <row r="40">
          <cell r="A40">
            <v>46381</v>
          </cell>
        </row>
        <row r="41">
          <cell r="A41">
            <v>46388</v>
          </cell>
        </row>
        <row r="42">
          <cell r="A42">
            <v>46426</v>
          </cell>
        </row>
        <row r="43">
          <cell r="A43">
            <v>46427</v>
          </cell>
        </row>
        <row r="44">
          <cell r="A44">
            <v>46472</v>
          </cell>
        </row>
        <row r="45">
          <cell r="A45">
            <v>46498</v>
          </cell>
        </row>
        <row r="46">
          <cell r="A46">
            <v>46508</v>
          </cell>
        </row>
        <row r="47">
          <cell r="A47">
            <v>46534</v>
          </cell>
        </row>
        <row r="48">
          <cell r="A48">
            <v>46637</v>
          </cell>
        </row>
        <row r="49">
          <cell r="A49">
            <v>46672</v>
          </cell>
        </row>
        <row r="50">
          <cell r="A50">
            <v>46693</v>
          </cell>
        </row>
        <row r="51">
          <cell r="A51">
            <v>46706</v>
          </cell>
        </row>
        <row r="52">
          <cell r="A52">
            <v>46711</v>
          </cell>
        </row>
        <row r="53">
          <cell r="A53">
            <v>46746</v>
          </cell>
        </row>
        <row r="54">
          <cell r="A54">
            <v>46753</v>
          </cell>
        </row>
        <row r="55">
          <cell r="A55">
            <v>46811</v>
          </cell>
        </row>
        <row r="56">
          <cell r="A56">
            <v>46812</v>
          </cell>
        </row>
        <row r="57">
          <cell r="A57">
            <v>46857</v>
          </cell>
        </row>
        <row r="58">
          <cell r="A58">
            <v>46864</v>
          </cell>
        </row>
        <row r="59">
          <cell r="A59">
            <v>46874</v>
          </cell>
        </row>
        <row r="60">
          <cell r="A60">
            <v>46919</v>
          </cell>
        </row>
        <row r="61">
          <cell r="A61">
            <v>47003</v>
          </cell>
        </row>
        <row r="62">
          <cell r="A62">
            <v>47038</v>
          </cell>
        </row>
        <row r="63">
          <cell r="A63">
            <v>47059</v>
          </cell>
        </row>
        <row r="64">
          <cell r="A64">
            <v>47072</v>
          </cell>
        </row>
        <row r="65">
          <cell r="A65">
            <v>47077</v>
          </cell>
        </row>
        <row r="66">
          <cell r="A66">
            <v>47112</v>
          </cell>
        </row>
        <row r="67">
          <cell r="A67">
            <v>47119</v>
          </cell>
        </row>
        <row r="68">
          <cell r="A68">
            <v>47161</v>
          </cell>
        </row>
        <row r="69">
          <cell r="A69">
            <v>47162</v>
          </cell>
        </row>
        <row r="70">
          <cell r="A70">
            <v>47207</v>
          </cell>
        </row>
        <row r="71">
          <cell r="A71">
            <v>47229</v>
          </cell>
        </row>
        <row r="72">
          <cell r="A72">
            <v>47239</v>
          </cell>
        </row>
        <row r="73">
          <cell r="A73">
            <v>47269</v>
          </cell>
        </row>
        <row r="74">
          <cell r="A74">
            <v>47368</v>
          </cell>
        </row>
        <row r="75">
          <cell r="A75">
            <v>47403</v>
          </cell>
        </row>
        <row r="76">
          <cell r="A76">
            <v>47424</v>
          </cell>
        </row>
        <row r="77">
          <cell r="A77">
            <v>47437</v>
          </cell>
        </row>
        <row r="78">
          <cell r="A78">
            <v>47442</v>
          </cell>
        </row>
        <row r="79">
          <cell r="A79">
            <v>47477</v>
          </cell>
        </row>
        <row r="80">
          <cell r="A80">
            <v>47484</v>
          </cell>
        </row>
        <row r="81">
          <cell r="A81">
            <v>47546</v>
          </cell>
        </row>
        <row r="82">
          <cell r="A82">
            <v>47547</v>
          </cell>
        </row>
        <row r="83">
          <cell r="A83">
            <v>47592</v>
          </cell>
        </row>
        <row r="84">
          <cell r="A84">
            <v>47594</v>
          </cell>
        </row>
        <row r="85">
          <cell r="A85">
            <v>47604</v>
          </cell>
        </row>
        <row r="86">
          <cell r="A86">
            <v>47654</v>
          </cell>
        </row>
        <row r="87">
          <cell r="A87">
            <v>47733</v>
          </cell>
        </row>
        <row r="88">
          <cell r="A88">
            <v>47768</v>
          </cell>
        </row>
        <row r="89">
          <cell r="A89">
            <v>47789</v>
          </cell>
        </row>
        <row r="90">
          <cell r="A90">
            <v>47802</v>
          </cell>
        </row>
        <row r="91">
          <cell r="A91">
            <v>47807</v>
          </cell>
        </row>
        <row r="92">
          <cell r="A92">
            <v>47842</v>
          </cell>
        </row>
        <row r="93">
          <cell r="A93">
            <v>47849</v>
          </cell>
        </row>
        <row r="94">
          <cell r="A94">
            <v>47903</v>
          </cell>
        </row>
        <row r="95">
          <cell r="A95">
            <v>47904</v>
          </cell>
        </row>
        <row r="96">
          <cell r="A96">
            <v>47949</v>
          </cell>
        </row>
        <row r="97">
          <cell r="A97">
            <v>47959</v>
          </cell>
        </row>
        <row r="98">
          <cell r="A98">
            <v>47969</v>
          </cell>
        </row>
        <row r="99">
          <cell r="A99">
            <v>48011</v>
          </cell>
        </row>
        <row r="100">
          <cell r="A100">
            <v>48098</v>
          </cell>
        </row>
        <row r="101">
          <cell r="A101">
            <v>48133</v>
          </cell>
        </row>
        <row r="102">
          <cell r="A102">
            <v>48154</v>
          </cell>
        </row>
        <row r="103">
          <cell r="A103">
            <v>48167</v>
          </cell>
        </row>
        <row r="104">
          <cell r="A104">
            <v>48172</v>
          </cell>
        </row>
        <row r="105">
          <cell r="A105">
            <v>48207</v>
          </cell>
        </row>
        <row r="106">
          <cell r="A106">
            <v>48214</v>
          </cell>
        </row>
        <row r="107">
          <cell r="A107">
            <v>48253</v>
          </cell>
        </row>
        <row r="108">
          <cell r="A108">
            <v>48254</v>
          </cell>
        </row>
        <row r="109">
          <cell r="A109">
            <v>48299</v>
          </cell>
        </row>
        <row r="110">
          <cell r="A110">
            <v>48325</v>
          </cell>
        </row>
        <row r="111">
          <cell r="A111">
            <v>48335</v>
          </cell>
        </row>
        <row r="112">
          <cell r="A112">
            <v>48361</v>
          </cell>
        </row>
        <row r="113">
          <cell r="A113">
            <v>48464</v>
          </cell>
        </row>
        <row r="114">
          <cell r="A114">
            <v>48499</v>
          </cell>
        </row>
        <row r="115">
          <cell r="A115">
            <v>48520</v>
          </cell>
        </row>
        <row r="116">
          <cell r="A116">
            <v>48533</v>
          </cell>
        </row>
        <row r="117">
          <cell r="A117">
            <v>48538</v>
          </cell>
        </row>
        <row r="118">
          <cell r="A118">
            <v>48573</v>
          </cell>
        </row>
        <row r="119">
          <cell r="A119">
            <v>48580</v>
          </cell>
        </row>
        <row r="120">
          <cell r="A120">
            <v>48638</v>
          </cell>
        </row>
        <row r="121">
          <cell r="A121">
            <v>48639</v>
          </cell>
        </row>
        <row r="122">
          <cell r="A122">
            <v>48684</v>
          </cell>
        </row>
        <row r="123">
          <cell r="A123">
            <v>48690</v>
          </cell>
        </row>
        <row r="124">
          <cell r="A124">
            <v>48700</v>
          </cell>
        </row>
        <row r="125">
          <cell r="A125">
            <v>48746</v>
          </cell>
        </row>
        <row r="126">
          <cell r="A126">
            <v>48829</v>
          </cell>
        </row>
        <row r="127">
          <cell r="A127">
            <v>48864</v>
          </cell>
        </row>
        <row r="128">
          <cell r="A128">
            <v>48885</v>
          </cell>
        </row>
        <row r="129">
          <cell r="A129">
            <v>48898</v>
          </cell>
        </row>
        <row r="130">
          <cell r="A130">
            <v>48903</v>
          </cell>
        </row>
        <row r="131">
          <cell r="A131">
            <v>48938</v>
          </cell>
        </row>
        <row r="132">
          <cell r="A132">
            <v>48945</v>
          </cell>
        </row>
        <row r="133">
          <cell r="A133">
            <v>48995</v>
          </cell>
        </row>
        <row r="134">
          <cell r="A134">
            <v>48996</v>
          </cell>
        </row>
        <row r="135">
          <cell r="A135">
            <v>49041</v>
          </cell>
        </row>
        <row r="136">
          <cell r="A136">
            <v>49055</v>
          </cell>
        </row>
        <row r="137">
          <cell r="A137">
            <v>49065</v>
          </cell>
        </row>
        <row r="138">
          <cell r="A138">
            <v>49103</v>
          </cell>
        </row>
        <row r="139">
          <cell r="A139">
            <v>49194</v>
          </cell>
        </row>
        <row r="140">
          <cell r="A140">
            <v>49229</v>
          </cell>
        </row>
        <row r="141">
          <cell r="A141">
            <v>49250</v>
          </cell>
        </row>
        <row r="142">
          <cell r="A142">
            <v>49263</v>
          </cell>
        </row>
        <row r="143">
          <cell r="A143">
            <v>49268</v>
          </cell>
        </row>
        <row r="144">
          <cell r="A144">
            <v>49303</v>
          </cell>
        </row>
        <row r="145">
          <cell r="A145">
            <v>49310</v>
          </cell>
        </row>
        <row r="146">
          <cell r="A146">
            <v>49345</v>
          </cell>
        </row>
        <row r="147">
          <cell r="A147">
            <v>49346</v>
          </cell>
        </row>
        <row r="148">
          <cell r="A148">
            <v>49391</v>
          </cell>
        </row>
        <row r="149">
          <cell r="A149">
            <v>49420</v>
          </cell>
        </row>
        <row r="150">
          <cell r="A150">
            <v>49430</v>
          </cell>
        </row>
        <row r="151">
          <cell r="A151">
            <v>49453</v>
          </cell>
        </row>
        <row r="152">
          <cell r="A152">
            <v>49559</v>
          </cell>
        </row>
        <row r="153">
          <cell r="A153">
            <v>49594</v>
          </cell>
        </row>
        <row r="154">
          <cell r="A154">
            <v>49615</v>
          </cell>
        </row>
        <row r="155">
          <cell r="A155">
            <v>49628</v>
          </cell>
        </row>
        <row r="156">
          <cell r="A156">
            <v>49633</v>
          </cell>
        </row>
        <row r="157">
          <cell r="A157">
            <v>49668</v>
          </cell>
        </row>
        <row r="158">
          <cell r="A158">
            <v>49675</v>
          </cell>
        </row>
        <row r="159">
          <cell r="A159">
            <v>49730</v>
          </cell>
        </row>
        <row r="160">
          <cell r="A160">
            <v>49731</v>
          </cell>
        </row>
        <row r="161">
          <cell r="A161">
            <v>49776</v>
          </cell>
        </row>
        <row r="162">
          <cell r="A162">
            <v>49786</v>
          </cell>
        </row>
        <row r="163">
          <cell r="A163">
            <v>49796</v>
          </cell>
        </row>
        <row r="164">
          <cell r="A164">
            <v>49838</v>
          </cell>
        </row>
        <row r="165">
          <cell r="A165">
            <v>49925</v>
          </cell>
        </row>
        <row r="166">
          <cell r="A166">
            <v>49960</v>
          </cell>
        </row>
        <row r="167">
          <cell r="A167">
            <v>49981</v>
          </cell>
        </row>
        <row r="168">
          <cell r="A168">
            <v>49994</v>
          </cell>
        </row>
        <row r="169">
          <cell r="A169">
            <v>49999</v>
          </cell>
        </row>
        <row r="170">
          <cell r="A170">
            <v>50034</v>
          </cell>
        </row>
        <row r="171">
          <cell r="A171">
            <v>50041</v>
          </cell>
        </row>
        <row r="172">
          <cell r="A172">
            <v>50087</v>
          </cell>
        </row>
        <row r="173">
          <cell r="A173">
            <v>50088</v>
          </cell>
        </row>
        <row r="174">
          <cell r="A174">
            <v>50133</v>
          </cell>
        </row>
        <row r="175">
          <cell r="A175">
            <v>50151</v>
          </cell>
        </row>
        <row r="176">
          <cell r="A176">
            <v>50161</v>
          </cell>
        </row>
        <row r="177">
          <cell r="A177">
            <v>50195</v>
          </cell>
        </row>
        <row r="178">
          <cell r="A178">
            <v>50290</v>
          </cell>
        </row>
        <row r="179">
          <cell r="A179">
            <v>50325</v>
          </cell>
        </row>
        <row r="180">
          <cell r="A180">
            <v>50346</v>
          </cell>
        </row>
        <row r="181">
          <cell r="A181">
            <v>50359</v>
          </cell>
        </row>
        <row r="182">
          <cell r="A182">
            <v>50364</v>
          </cell>
        </row>
        <row r="183">
          <cell r="A183">
            <v>50399</v>
          </cell>
        </row>
        <row r="184">
          <cell r="A184">
            <v>50406</v>
          </cell>
        </row>
        <row r="185">
          <cell r="A185">
            <v>50472</v>
          </cell>
        </row>
        <row r="186">
          <cell r="A186">
            <v>50473</v>
          </cell>
        </row>
        <row r="187">
          <cell r="A187">
            <v>50516</v>
          </cell>
        </row>
        <row r="188">
          <cell r="A188">
            <v>50518</v>
          </cell>
        </row>
        <row r="189">
          <cell r="A189">
            <v>50526</v>
          </cell>
        </row>
        <row r="190">
          <cell r="A190">
            <v>50580</v>
          </cell>
        </row>
        <row r="191">
          <cell r="A191">
            <v>50655</v>
          </cell>
        </row>
        <row r="192">
          <cell r="A192">
            <v>50690</v>
          </cell>
        </row>
        <row r="193">
          <cell r="A193">
            <v>50711</v>
          </cell>
        </row>
        <row r="194">
          <cell r="A194">
            <v>50724</v>
          </cell>
        </row>
        <row r="195">
          <cell r="A195">
            <v>50729</v>
          </cell>
        </row>
        <row r="196">
          <cell r="A196">
            <v>50764</v>
          </cell>
        </row>
        <row r="197">
          <cell r="A197">
            <v>50771</v>
          </cell>
        </row>
        <row r="198">
          <cell r="A198">
            <v>50822</v>
          </cell>
        </row>
        <row r="199">
          <cell r="A199">
            <v>50823</v>
          </cell>
        </row>
        <row r="200">
          <cell r="A200">
            <v>50868</v>
          </cell>
        </row>
        <row r="201">
          <cell r="A201">
            <v>50881</v>
          </cell>
        </row>
        <row r="202">
          <cell r="A202">
            <v>50891</v>
          </cell>
        </row>
        <row r="203">
          <cell r="A203">
            <v>50930</v>
          </cell>
        </row>
        <row r="204">
          <cell r="A204">
            <v>51020</v>
          </cell>
        </row>
        <row r="205">
          <cell r="A205">
            <v>51055</v>
          </cell>
        </row>
        <row r="206">
          <cell r="A206">
            <v>51076</v>
          </cell>
        </row>
        <row r="207">
          <cell r="A207">
            <v>51089</v>
          </cell>
        </row>
        <row r="208">
          <cell r="A208">
            <v>51094</v>
          </cell>
        </row>
        <row r="209">
          <cell r="A209">
            <v>51129</v>
          </cell>
        </row>
        <row r="210">
          <cell r="A210">
            <v>51136</v>
          </cell>
        </row>
        <row r="211">
          <cell r="A211">
            <v>51179</v>
          </cell>
        </row>
        <row r="212">
          <cell r="A212">
            <v>51180</v>
          </cell>
        </row>
        <row r="213">
          <cell r="A213">
            <v>51225</v>
          </cell>
        </row>
        <row r="214">
          <cell r="A214">
            <v>51247</v>
          </cell>
        </row>
        <row r="215">
          <cell r="A215">
            <v>51257</v>
          </cell>
        </row>
        <row r="216">
          <cell r="A216">
            <v>51287</v>
          </cell>
        </row>
        <row r="217">
          <cell r="A217">
            <v>51386</v>
          </cell>
        </row>
        <row r="218">
          <cell r="A218">
            <v>51421</v>
          </cell>
        </row>
        <row r="219">
          <cell r="A219">
            <v>51442</v>
          </cell>
        </row>
        <row r="220">
          <cell r="A220">
            <v>51455</v>
          </cell>
        </row>
        <row r="221">
          <cell r="A221">
            <v>51460</v>
          </cell>
        </row>
        <row r="222">
          <cell r="A222">
            <v>51495</v>
          </cell>
        </row>
        <row r="223">
          <cell r="A223">
            <v>51502</v>
          </cell>
        </row>
        <row r="224">
          <cell r="A224">
            <v>51564</v>
          </cell>
        </row>
        <row r="225">
          <cell r="A225">
            <v>51565</v>
          </cell>
        </row>
        <row r="226">
          <cell r="A226">
            <v>51610</v>
          </cell>
        </row>
        <row r="227">
          <cell r="A227">
            <v>51612</v>
          </cell>
        </row>
        <row r="228">
          <cell r="A228">
            <v>51622</v>
          </cell>
        </row>
        <row r="229">
          <cell r="A229">
            <v>51672</v>
          </cell>
        </row>
        <row r="230">
          <cell r="A230">
            <v>51751</v>
          </cell>
        </row>
        <row r="231">
          <cell r="A231">
            <v>51786</v>
          </cell>
        </row>
        <row r="232">
          <cell r="A232">
            <v>51807</v>
          </cell>
        </row>
        <row r="233">
          <cell r="A233">
            <v>51820</v>
          </cell>
        </row>
        <row r="234">
          <cell r="A234">
            <v>51825</v>
          </cell>
        </row>
        <row r="235">
          <cell r="A235">
            <v>51860</v>
          </cell>
        </row>
        <row r="236">
          <cell r="A236">
            <v>51867</v>
          </cell>
        </row>
        <row r="237">
          <cell r="A237">
            <v>51914</v>
          </cell>
        </row>
        <row r="238">
          <cell r="A238">
            <v>51915</v>
          </cell>
        </row>
        <row r="239">
          <cell r="A239">
            <v>51960</v>
          </cell>
        </row>
        <row r="240">
          <cell r="A240">
            <v>51977</v>
          </cell>
        </row>
        <row r="241">
          <cell r="A241">
            <v>51987</v>
          </cell>
        </row>
        <row r="242">
          <cell r="A242">
            <v>52022</v>
          </cell>
        </row>
        <row r="243">
          <cell r="A243">
            <v>52116</v>
          </cell>
        </row>
        <row r="244">
          <cell r="A244">
            <v>52151</v>
          </cell>
        </row>
        <row r="245">
          <cell r="A245">
            <v>52172</v>
          </cell>
        </row>
        <row r="246">
          <cell r="A246">
            <v>52185</v>
          </cell>
        </row>
        <row r="247">
          <cell r="A247">
            <v>52190</v>
          </cell>
        </row>
        <row r="248">
          <cell r="A248">
            <v>52225</v>
          </cell>
        </row>
        <row r="249">
          <cell r="A249">
            <v>52232</v>
          </cell>
        </row>
        <row r="250">
          <cell r="A250">
            <v>52271</v>
          </cell>
        </row>
        <row r="251">
          <cell r="A251">
            <v>52272</v>
          </cell>
        </row>
        <row r="252">
          <cell r="A252">
            <v>52317</v>
          </cell>
        </row>
        <row r="253">
          <cell r="A253">
            <v>52342</v>
          </cell>
        </row>
        <row r="254">
          <cell r="A254">
            <v>52352</v>
          </cell>
        </row>
        <row r="255">
          <cell r="A255">
            <v>52379</v>
          </cell>
        </row>
        <row r="256">
          <cell r="A256">
            <v>52481</v>
          </cell>
        </row>
        <row r="257">
          <cell r="A257">
            <v>52516</v>
          </cell>
        </row>
        <row r="258">
          <cell r="A258">
            <v>52537</v>
          </cell>
        </row>
        <row r="259">
          <cell r="A259">
            <v>52550</v>
          </cell>
        </row>
        <row r="260">
          <cell r="A260">
            <v>52555</v>
          </cell>
        </row>
        <row r="261">
          <cell r="A261">
            <v>52590</v>
          </cell>
        </row>
        <row r="262">
          <cell r="A262">
            <v>52597</v>
          </cell>
        </row>
        <row r="263">
          <cell r="A263">
            <v>52656</v>
          </cell>
        </row>
        <row r="264">
          <cell r="A264">
            <v>52657</v>
          </cell>
        </row>
        <row r="265">
          <cell r="A265">
            <v>52702</v>
          </cell>
        </row>
        <row r="266">
          <cell r="A266">
            <v>52708</v>
          </cell>
        </row>
        <row r="267">
          <cell r="A267">
            <v>52718</v>
          </cell>
        </row>
        <row r="268">
          <cell r="A268">
            <v>52764</v>
          </cell>
        </row>
        <row r="269">
          <cell r="A269">
            <v>52847</v>
          </cell>
        </row>
        <row r="270">
          <cell r="A270">
            <v>52882</v>
          </cell>
        </row>
        <row r="271">
          <cell r="A271">
            <v>52903</v>
          </cell>
        </row>
        <row r="272">
          <cell r="A272">
            <v>52916</v>
          </cell>
        </row>
        <row r="273">
          <cell r="A273">
            <v>52921</v>
          </cell>
        </row>
        <row r="274">
          <cell r="A274">
            <v>52956</v>
          </cell>
        </row>
        <row r="275">
          <cell r="A275">
            <v>52963</v>
          </cell>
        </row>
        <row r="276">
          <cell r="A276">
            <v>53013</v>
          </cell>
        </row>
        <row r="277">
          <cell r="A277">
            <v>53014</v>
          </cell>
        </row>
        <row r="278">
          <cell r="A278">
            <v>53059</v>
          </cell>
        </row>
        <row r="279">
          <cell r="A279">
            <v>53073</v>
          </cell>
        </row>
        <row r="280">
          <cell r="A280">
            <v>53083</v>
          </cell>
        </row>
        <row r="281">
          <cell r="A281">
            <v>53121</v>
          </cell>
        </row>
        <row r="282">
          <cell r="A282">
            <v>53212</v>
          </cell>
        </row>
        <row r="283">
          <cell r="A283">
            <v>53247</v>
          </cell>
        </row>
        <row r="284">
          <cell r="A284">
            <v>53268</v>
          </cell>
        </row>
        <row r="285">
          <cell r="A285">
            <v>53281</v>
          </cell>
        </row>
        <row r="286">
          <cell r="A286">
            <v>53286</v>
          </cell>
        </row>
        <row r="287">
          <cell r="A287">
            <v>53321</v>
          </cell>
        </row>
        <row r="288">
          <cell r="A288">
            <v>53328</v>
          </cell>
        </row>
        <row r="289">
          <cell r="A289">
            <v>53363</v>
          </cell>
        </row>
        <row r="290">
          <cell r="A290">
            <v>53364</v>
          </cell>
        </row>
        <row r="291">
          <cell r="A291">
            <v>53409</v>
          </cell>
        </row>
        <row r="292">
          <cell r="A292">
            <v>53438</v>
          </cell>
        </row>
        <row r="293">
          <cell r="A293">
            <v>53448</v>
          </cell>
        </row>
        <row r="294">
          <cell r="A294">
            <v>53471</v>
          </cell>
        </row>
        <row r="295">
          <cell r="A295">
            <v>53577</v>
          </cell>
        </row>
        <row r="296">
          <cell r="A296">
            <v>53612</v>
          </cell>
        </row>
        <row r="297">
          <cell r="A297">
            <v>53633</v>
          </cell>
        </row>
        <row r="298">
          <cell r="A298">
            <v>53646</v>
          </cell>
        </row>
        <row r="299">
          <cell r="A299">
            <v>53651</v>
          </cell>
        </row>
        <row r="300">
          <cell r="A300">
            <v>53686</v>
          </cell>
        </row>
        <row r="301">
          <cell r="A301">
            <v>53693</v>
          </cell>
        </row>
        <row r="302">
          <cell r="A302">
            <v>53748</v>
          </cell>
        </row>
        <row r="303">
          <cell r="A303">
            <v>53749</v>
          </cell>
        </row>
        <row r="304">
          <cell r="A304">
            <v>53794</v>
          </cell>
        </row>
        <row r="305">
          <cell r="A305">
            <v>53803</v>
          </cell>
        </row>
        <row r="306">
          <cell r="A306">
            <v>53813</v>
          </cell>
        </row>
        <row r="307">
          <cell r="A307">
            <v>53856</v>
          </cell>
        </row>
        <row r="308">
          <cell r="A308">
            <v>53942</v>
          </cell>
        </row>
        <row r="309">
          <cell r="A309">
            <v>53977</v>
          </cell>
        </row>
        <row r="310">
          <cell r="A310">
            <v>53998</v>
          </cell>
        </row>
        <row r="311">
          <cell r="A311">
            <v>54011</v>
          </cell>
        </row>
        <row r="312">
          <cell r="A312">
            <v>54016</v>
          </cell>
        </row>
        <row r="313">
          <cell r="A313">
            <v>54051</v>
          </cell>
        </row>
        <row r="314">
          <cell r="A314">
            <v>54058</v>
          </cell>
        </row>
        <row r="315">
          <cell r="A315">
            <v>54105</v>
          </cell>
        </row>
        <row r="316">
          <cell r="A316">
            <v>54106</v>
          </cell>
        </row>
        <row r="317">
          <cell r="A317">
            <v>54151</v>
          </cell>
        </row>
        <row r="318">
          <cell r="A318">
            <v>54169</v>
          </cell>
        </row>
        <row r="319">
          <cell r="A319">
            <v>54179</v>
          </cell>
        </row>
        <row r="320">
          <cell r="A320">
            <v>54213</v>
          </cell>
        </row>
        <row r="321">
          <cell r="A321">
            <v>54308</v>
          </cell>
        </row>
        <row r="322">
          <cell r="A322">
            <v>54343</v>
          </cell>
        </row>
        <row r="323">
          <cell r="A323">
            <v>54364</v>
          </cell>
        </row>
        <row r="324">
          <cell r="A324">
            <v>54377</v>
          </cell>
        </row>
        <row r="325">
          <cell r="A325">
            <v>54382</v>
          </cell>
        </row>
        <row r="326">
          <cell r="A326">
            <v>54417</v>
          </cell>
        </row>
        <row r="327">
          <cell r="A327">
            <v>54424</v>
          </cell>
        </row>
        <row r="328">
          <cell r="A328">
            <v>54483</v>
          </cell>
        </row>
        <row r="329">
          <cell r="A329">
            <v>54484</v>
          </cell>
        </row>
        <row r="330">
          <cell r="A330">
            <v>54529</v>
          </cell>
        </row>
        <row r="331">
          <cell r="A331">
            <v>54534</v>
          </cell>
        </row>
        <row r="332">
          <cell r="A332">
            <v>54544</v>
          </cell>
        </row>
        <row r="333">
          <cell r="A333">
            <v>54591</v>
          </cell>
        </row>
        <row r="334">
          <cell r="A334">
            <v>54673</v>
          </cell>
        </row>
        <row r="335">
          <cell r="A335">
            <v>54708</v>
          </cell>
        </row>
        <row r="336">
          <cell r="A336">
            <v>54729</v>
          </cell>
        </row>
        <row r="337">
          <cell r="A337">
            <v>54742</v>
          </cell>
        </row>
        <row r="338">
          <cell r="A338">
            <v>54747</v>
          </cell>
        </row>
        <row r="339">
          <cell r="A339">
            <v>54782</v>
          </cell>
        </row>
        <row r="340">
          <cell r="A340">
            <v>54789</v>
          </cell>
        </row>
        <row r="341">
          <cell r="A341">
            <v>54840</v>
          </cell>
        </row>
        <row r="342">
          <cell r="A342">
            <v>54841</v>
          </cell>
        </row>
        <row r="343">
          <cell r="A343">
            <v>54886</v>
          </cell>
        </row>
        <row r="344">
          <cell r="A344">
            <v>54899</v>
          </cell>
        </row>
        <row r="345">
          <cell r="A345">
            <v>54909</v>
          </cell>
        </row>
        <row r="346">
          <cell r="A346">
            <v>54948</v>
          </cell>
        </row>
        <row r="347">
          <cell r="A347">
            <v>55038</v>
          </cell>
        </row>
        <row r="348">
          <cell r="A348">
            <v>55073</v>
          </cell>
        </row>
        <row r="349">
          <cell r="A349">
            <v>55094</v>
          </cell>
        </row>
        <row r="350">
          <cell r="A350">
            <v>55107</v>
          </cell>
        </row>
        <row r="351">
          <cell r="A351">
            <v>55112</v>
          </cell>
        </row>
        <row r="352">
          <cell r="A352">
            <v>55147</v>
          </cell>
        </row>
        <row r="353">
          <cell r="A353">
            <v>55154</v>
          </cell>
        </row>
        <row r="354">
          <cell r="A354">
            <v>55197</v>
          </cell>
        </row>
        <row r="355">
          <cell r="A355">
            <v>55198</v>
          </cell>
        </row>
        <row r="356">
          <cell r="A356">
            <v>55243</v>
          </cell>
        </row>
        <row r="357">
          <cell r="A357">
            <v>55264</v>
          </cell>
        </row>
        <row r="358">
          <cell r="A358">
            <v>55274</v>
          </cell>
        </row>
        <row r="359">
          <cell r="A359">
            <v>55305</v>
          </cell>
        </row>
        <row r="360">
          <cell r="A360">
            <v>55403</v>
          </cell>
        </row>
        <row r="361">
          <cell r="A361">
            <v>55438</v>
          </cell>
        </row>
        <row r="362">
          <cell r="A362">
            <v>55459</v>
          </cell>
        </row>
        <row r="363">
          <cell r="A363">
            <v>55472</v>
          </cell>
        </row>
        <row r="364">
          <cell r="A364">
            <v>55477</v>
          </cell>
        </row>
        <row r="365">
          <cell r="A365">
            <v>55512</v>
          </cell>
        </row>
        <row r="366">
          <cell r="A366">
            <v>55519</v>
          </cell>
        </row>
        <row r="367">
          <cell r="A367">
            <v>55582</v>
          </cell>
        </row>
        <row r="368">
          <cell r="A368">
            <v>55583</v>
          </cell>
        </row>
        <row r="369">
          <cell r="A369">
            <v>55628</v>
          </cell>
        </row>
        <row r="370">
          <cell r="A370">
            <v>55630</v>
          </cell>
        </row>
        <row r="371">
          <cell r="A371">
            <v>55640</v>
          </cell>
        </row>
        <row r="372">
          <cell r="A372">
            <v>55690</v>
          </cell>
        </row>
        <row r="373">
          <cell r="A373">
            <v>55769</v>
          </cell>
        </row>
        <row r="374">
          <cell r="A374">
            <v>55804</v>
          </cell>
        </row>
        <row r="375">
          <cell r="A375">
            <v>55825</v>
          </cell>
        </row>
        <row r="376">
          <cell r="A376">
            <v>55838</v>
          </cell>
        </row>
        <row r="377">
          <cell r="A377">
            <v>55843</v>
          </cell>
        </row>
        <row r="378">
          <cell r="A378">
            <v>55878</v>
          </cell>
        </row>
        <row r="379">
          <cell r="A379">
            <v>55885</v>
          </cell>
        </row>
        <row r="380">
          <cell r="A380">
            <v>55932</v>
          </cell>
        </row>
        <row r="381">
          <cell r="A381">
            <v>55933</v>
          </cell>
        </row>
        <row r="382">
          <cell r="A382">
            <v>55978</v>
          </cell>
        </row>
        <row r="383">
          <cell r="A383">
            <v>55995</v>
          </cell>
        </row>
        <row r="384">
          <cell r="A384">
            <v>56005</v>
          </cell>
        </row>
        <row r="385">
          <cell r="A385">
            <v>56040</v>
          </cell>
        </row>
        <row r="386">
          <cell r="A386">
            <v>56134</v>
          </cell>
        </row>
        <row r="387">
          <cell r="A387">
            <v>56169</v>
          </cell>
        </row>
        <row r="388">
          <cell r="A388">
            <v>56190</v>
          </cell>
        </row>
        <row r="389">
          <cell r="A389">
            <v>56203</v>
          </cell>
        </row>
        <row r="390">
          <cell r="A390">
            <v>56208</v>
          </cell>
        </row>
        <row r="391">
          <cell r="A391">
            <v>56243</v>
          </cell>
        </row>
        <row r="392">
          <cell r="A392">
            <v>56250</v>
          </cell>
        </row>
        <row r="393">
          <cell r="A393">
            <v>56289</v>
          </cell>
        </row>
        <row r="394">
          <cell r="A394">
            <v>56290</v>
          </cell>
        </row>
        <row r="395">
          <cell r="A395">
            <v>56335</v>
          </cell>
        </row>
        <row r="396">
          <cell r="A396">
            <v>56360</v>
          </cell>
        </row>
        <row r="397">
          <cell r="A397">
            <v>56370</v>
          </cell>
        </row>
        <row r="398">
          <cell r="A398">
            <v>56397</v>
          </cell>
        </row>
        <row r="399">
          <cell r="A399">
            <v>56499</v>
          </cell>
        </row>
        <row r="400">
          <cell r="A400">
            <v>56534</v>
          </cell>
        </row>
        <row r="401">
          <cell r="A401">
            <v>56555</v>
          </cell>
        </row>
        <row r="402">
          <cell r="A402">
            <v>56568</v>
          </cell>
        </row>
        <row r="403">
          <cell r="A403">
            <v>56573</v>
          </cell>
        </row>
        <row r="404">
          <cell r="A404">
            <v>56608</v>
          </cell>
        </row>
        <row r="405">
          <cell r="A405">
            <v>56615</v>
          </cell>
        </row>
        <row r="406">
          <cell r="A406">
            <v>56674</v>
          </cell>
        </row>
        <row r="407">
          <cell r="A407">
            <v>56675</v>
          </cell>
        </row>
        <row r="408">
          <cell r="A408">
            <v>56720</v>
          </cell>
        </row>
        <row r="409">
          <cell r="A409">
            <v>56725</v>
          </cell>
        </row>
        <row r="410">
          <cell r="A410">
            <v>56735</v>
          </cell>
        </row>
        <row r="411">
          <cell r="A411">
            <v>56782</v>
          </cell>
        </row>
        <row r="412">
          <cell r="A412">
            <v>56864</v>
          </cell>
        </row>
        <row r="413">
          <cell r="A413">
            <v>56899</v>
          </cell>
        </row>
        <row r="414">
          <cell r="A414">
            <v>56920</v>
          </cell>
        </row>
        <row r="415">
          <cell r="A415">
            <v>56933</v>
          </cell>
        </row>
        <row r="416">
          <cell r="A416">
            <v>56938</v>
          </cell>
        </row>
        <row r="417">
          <cell r="A417">
            <v>56973</v>
          </cell>
        </row>
        <row r="418">
          <cell r="A418">
            <v>56980</v>
          </cell>
        </row>
        <row r="419">
          <cell r="A419">
            <v>57024</v>
          </cell>
        </row>
        <row r="420">
          <cell r="A420">
            <v>57025</v>
          </cell>
        </row>
        <row r="421">
          <cell r="A421">
            <v>57070</v>
          </cell>
        </row>
        <row r="422">
          <cell r="A422">
            <v>57091</v>
          </cell>
        </row>
        <row r="423">
          <cell r="A423">
            <v>57101</v>
          </cell>
        </row>
        <row r="424">
          <cell r="A424">
            <v>57132</v>
          </cell>
        </row>
        <row r="425">
          <cell r="A425">
            <v>57230</v>
          </cell>
        </row>
        <row r="426">
          <cell r="A426">
            <v>57265</v>
          </cell>
        </row>
        <row r="427">
          <cell r="A427">
            <v>57286</v>
          </cell>
        </row>
        <row r="428">
          <cell r="A428">
            <v>57299</v>
          </cell>
        </row>
        <row r="429">
          <cell r="A429">
            <v>57304</v>
          </cell>
        </row>
        <row r="430">
          <cell r="A430">
            <v>57339</v>
          </cell>
        </row>
        <row r="431">
          <cell r="A431">
            <v>57346</v>
          </cell>
        </row>
        <row r="432">
          <cell r="A432">
            <v>57409</v>
          </cell>
        </row>
        <row r="433">
          <cell r="A433">
            <v>57410</v>
          </cell>
        </row>
        <row r="434">
          <cell r="A434">
            <v>57455</v>
          </cell>
        </row>
        <row r="435">
          <cell r="A435">
            <v>57456</v>
          </cell>
        </row>
        <row r="436">
          <cell r="A436">
            <v>57466</v>
          </cell>
        </row>
        <row r="437">
          <cell r="A437">
            <v>57517</v>
          </cell>
        </row>
        <row r="438">
          <cell r="A438">
            <v>57595</v>
          </cell>
        </row>
        <row r="439">
          <cell r="A439">
            <v>57630</v>
          </cell>
        </row>
        <row r="440">
          <cell r="A440">
            <v>57651</v>
          </cell>
        </row>
        <row r="441">
          <cell r="A441">
            <v>57664</v>
          </cell>
        </row>
        <row r="442">
          <cell r="A442">
            <v>57669</v>
          </cell>
        </row>
        <row r="443">
          <cell r="A443">
            <v>57704</v>
          </cell>
        </row>
        <row r="444">
          <cell r="A444">
            <v>57711</v>
          </cell>
        </row>
        <row r="445">
          <cell r="A445">
            <v>57766</v>
          </cell>
        </row>
        <row r="446">
          <cell r="A446">
            <v>57767</v>
          </cell>
        </row>
        <row r="447">
          <cell r="A447">
            <v>57812</v>
          </cell>
        </row>
        <row r="448">
          <cell r="A448">
            <v>57821</v>
          </cell>
        </row>
        <row r="449">
          <cell r="A449">
            <v>57831</v>
          </cell>
        </row>
        <row r="450">
          <cell r="A450">
            <v>57874</v>
          </cell>
        </row>
        <row r="451">
          <cell r="A451">
            <v>57960</v>
          </cell>
        </row>
        <row r="452">
          <cell r="A452">
            <v>57995</v>
          </cell>
        </row>
        <row r="453">
          <cell r="A453">
            <v>58016</v>
          </cell>
        </row>
        <row r="454">
          <cell r="A454">
            <v>58029</v>
          </cell>
        </row>
        <row r="455">
          <cell r="A455">
            <v>58034</v>
          </cell>
        </row>
        <row r="456">
          <cell r="A456">
            <v>58069</v>
          </cell>
        </row>
        <row r="457">
          <cell r="A457">
            <v>58076</v>
          </cell>
        </row>
        <row r="458">
          <cell r="A458">
            <v>58116</v>
          </cell>
        </row>
        <row r="459">
          <cell r="A459">
            <v>58117</v>
          </cell>
        </row>
        <row r="460">
          <cell r="A460">
            <v>58162</v>
          </cell>
        </row>
        <row r="461">
          <cell r="A461">
            <v>58186</v>
          </cell>
        </row>
        <row r="462">
          <cell r="A462">
            <v>58196</v>
          </cell>
        </row>
        <row r="463">
          <cell r="A463">
            <v>58224</v>
          </cell>
        </row>
        <row r="464">
          <cell r="A464">
            <v>58325</v>
          </cell>
        </row>
        <row r="465">
          <cell r="A465">
            <v>58360</v>
          </cell>
        </row>
        <row r="466">
          <cell r="A466">
            <v>58381</v>
          </cell>
        </row>
        <row r="467">
          <cell r="A467">
            <v>58394</v>
          </cell>
        </row>
        <row r="468">
          <cell r="A468">
            <v>58399</v>
          </cell>
        </row>
        <row r="469">
          <cell r="A469">
            <v>58434</v>
          </cell>
        </row>
        <row r="470">
          <cell r="A470">
            <v>58441</v>
          </cell>
        </row>
        <row r="471">
          <cell r="A471">
            <v>58501</v>
          </cell>
        </row>
        <row r="472">
          <cell r="A472">
            <v>58502</v>
          </cell>
        </row>
        <row r="473">
          <cell r="A473">
            <v>58547</v>
          </cell>
        </row>
        <row r="474">
          <cell r="A474">
            <v>58552</v>
          </cell>
        </row>
        <row r="475">
          <cell r="A475">
            <v>58562</v>
          </cell>
        </row>
        <row r="476">
          <cell r="A476">
            <v>58609</v>
          </cell>
        </row>
        <row r="477">
          <cell r="A477">
            <v>58691</v>
          </cell>
        </row>
        <row r="478">
          <cell r="A478">
            <v>58726</v>
          </cell>
        </row>
        <row r="479">
          <cell r="A479">
            <v>58747</v>
          </cell>
        </row>
        <row r="480">
          <cell r="A480">
            <v>58760</v>
          </cell>
        </row>
        <row r="481">
          <cell r="A481">
            <v>58765</v>
          </cell>
        </row>
        <row r="482">
          <cell r="A482">
            <v>58800</v>
          </cell>
        </row>
        <row r="483">
          <cell r="A483">
            <v>58807</v>
          </cell>
        </row>
        <row r="484">
          <cell r="A484">
            <v>58858</v>
          </cell>
        </row>
        <row r="485">
          <cell r="A485">
            <v>58859</v>
          </cell>
        </row>
        <row r="486">
          <cell r="A486">
            <v>58904</v>
          </cell>
        </row>
        <row r="487">
          <cell r="A487">
            <v>58917</v>
          </cell>
        </row>
        <row r="488">
          <cell r="A488">
            <v>58927</v>
          </cell>
        </row>
        <row r="489">
          <cell r="A489">
            <v>58966</v>
          </cell>
        </row>
        <row r="490">
          <cell r="A490">
            <v>59056</v>
          </cell>
        </row>
        <row r="491">
          <cell r="A491">
            <v>59091</v>
          </cell>
        </row>
        <row r="492">
          <cell r="A492">
            <v>59112</v>
          </cell>
        </row>
        <row r="493">
          <cell r="A493">
            <v>59125</v>
          </cell>
        </row>
        <row r="494">
          <cell r="A494">
            <v>59130</v>
          </cell>
        </row>
        <row r="495">
          <cell r="A495">
            <v>59165</v>
          </cell>
        </row>
        <row r="496">
          <cell r="A496">
            <v>59172</v>
          </cell>
        </row>
        <row r="497">
          <cell r="A497">
            <v>59208</v>
          </cell>
        </row>
        <row r="498">
          <cell r="A498">
            <v>59209</v>
          </cell>
        </row>
        <row r="499">
          <cell r="A499">
            <v>59254</v>
          </cell>
        </row>
        <row r="500">
          <cell r="A500">
            <v>59282</v>
          </cell>
        </row>
        <row r="501">
          <cell r="A501">
            <v>59292</v>
          </cell>
        </row>
        <row r="502">
          <cell r="A502">
            <v>59316</v>
          </cell>
        </row>
        <row r="503">
          <cell r="A503">
            <v>59421</v>
          </cell>
        </row>
        <row r="504">
          <cell r="A504">
            <v>59456</v>
          </cell>
        </row>
        <row r="505">
          <cell r="A505">
            <v>59477</v>
          </cell>
        </row>
        <row r="506">
          <cell r="A506">
            <v>59490</v>
          </cell>
        </row>
        <row r="507">
          <cell r="A507">
            <v>59495</v>
          </cell>
        </row>
        <row r="508">
          <cell r="A508">
            <v>59530</v>
          </cell>
        </row>
        <row r="509">
          <cell r="A509">
            <v>59537</v>
          </cell>
        </row>
        <row r="510">
          <cell r="A510">
            <v>59593</v>
          </cell>
        </row>
        <row r="511">
          <cell r="A511">
            <v>59594</v>
          </cell>
        </row>
        <row r="512">
          <cell r="A512">
            <v>59639</v>
          </cell>
        </row>
        <row r="513">
          <cell r="A513">
            <v>59647</v>
          </cell>
        </row>
        <row r="514">
          <cell r="A514">
            <v>59657</v>
          </cell>
        </row>
        <row r="515">
          <cell r="A515">
            <v>59701</v>
          </cell>
        </row>
        <row r="516">
          <cell r="A516">
            <v>59786</v>
          </cell>
        </row>
        <row r="517">
          <cell r="A517">
            <v>59821</v>
          </cell>
        </row>
        <row r="518">
          <cell r="A518">
            <v>59842</v>
          </cell>
        </row>
        <row r="519">
          <cell r="A519">
            <v>59855</v>
          </cell>
        </row>
        <row r="520">
          <cell r="A520">
            <v>59860</v>
          </cell>
        </row>
        <row r="521">
          <cell r="A521">
            <v>59895</v>
          </cell>
        </row>
        <row r="522">
          <cell r="A522">
            <v>59902</v>
          </cell>
        </row>
        <row r="523">
          <cell r="A523">
            <v>59950</v>
          </cell>
        </row>
        <row r="524">
          <cell r="A524">
            <v>59951</v>
          </cell>
        </row>
        <row r="525">
          <cell r="A525">
            <v>59996</v>
          </cell>
        </row>
        <row r="526">
          <cell r="A526">
            <v>60013</v>
          </cell>
        </row>
        <row r="527">
          <cell r="A527">
            <v>60023</v>
          </cell>
        </row>
        <row r="528">
          <cell r="A528">
            <v>60058</v>
          </cell>
        </row>
        <row r="529">
          <cell r="A529">
            <v>60152</v>
          </cell>
        </row>
        <row r="530">
          <cell r="A530">
            <v>60187</v>
          </cell>
        </row>
        <row r="531">
          <cell r="A531">
            <v>60208</v>
          </cell>
        </row>
        <row r="532">
          <cell r="A532">
            <v>60221</v>
          </cell>
        </row>
        <row r="533">
          <cell r="A533">
            <v>60226</v>
          </cell>
        </row>
        <row r="534">
          <cell r="A534">
            <v>60261</v>
          </cell>
        </row>
        <row r="535">
          <cell r="A535">
            <v>60268</v>
          </cell>
        </row>
        <row r="536">
          <cell r="A536">
            <v>60307</v>
          </cell>
        </row>
        <row r="537">
          <cell r="A537">
            <v>60308</v>
          </cell>
        </row>
        <row r="538">
          <cell r="A538">
            <v>60353</v>
          </cell>
        </row>
        <row r="539">
          <cell r="A539">
            <v>60378</v>
          </cell>
        </row>
        <row r="540">
          <cell r="A540">
            <v>60388</v>
          </cell>
        </row>
        <row r="541">
          <cell r="A541">
            <v>60415</v>
          </cell>
        </row>
        <row r="542">
          <cell r="A542">
            <v>60517</v>
          </cell>
        </row>
        <row r="543">
          <cell r="A543">
            <v>60552</v>
          </cell>
        </row>
        <row r="544">
          <cell r="A544">
            <v>60573</v>
          </cell>
        </row>
        <row r="545">
          <cell r="A545">
            <v>60586</v>
          </cell>
        </row>
        <row r="546">
          <cell r="A546">
            <v>60591</v>
          </cell>
        </row>
        <row r="547">
          <cell r="A547">
            <v>60626</v>
          </cell>
        </row>
        <row r="548">
          <cell r="A548">
            <v>60633</v>
          </cell>
        </row>
        <row r="549">
          <cell r="A549">
            <v>60685</v>
          </cell>
        </row>
        <row r="550">
          <cell r="A550">
            <v>60686</v>
          </cell>
        </row>
        <row r="551">
          <cell r="A551">
            <v>60731</v>
          </cell>
        </row>
        <row r="552">
          <cell r="A552">
            <v>60743</v>
          </cell>
        </row>
        <row r="553">
          <cell r="A553">
            <v>60753</v>
          </cell>
        </row>
        <row r="554">
          <cell r="A554">
            <v>60793</v>
          </cell>
        </row>
        <row r="555">
          <cell r="A555">
            <v>60882</v>
          </cell>
        </row>
        <row r="556">
          <cell r="A556">
            <v>60917</v>
          </cell>
        </row>
        <row r="557">
          <cell r="A557">
            <v>60938</v>
          </cell>
        </row>
        <row r="558">
          <cell r="A558">
            <v>60951</v>
          </cell>
        </row>
        <row r="559">
          <cell r="A559">
            <v>60956</v>
          </cell>
        </row>
        <row r="560">
          <cell r="A560">
            <v>60991</v>
          </cell>
        </row>
        <row r="561">
          <cell r="A561">
            <v>60998</v>
          </cell>
        </row>
        <row r="562">
          <cell r="A562">
            <v>61042</v>
          </cell>
        </row>
        <row r="563">
          <cell r="A563">
            <v>61043</v>
          </cell>
        </row>
        <row r="564">
          <cell r="A564">
            <v>61088</v>
          </cell>
        </row>
        <row r="565">
          <cell r="A565">
            <v>61108</v>
          </cell>
        </row>
        <row r="566">
          <cell r="A566">
            <v>61118</v>
          </cell>
        </row>
        <row r="567">
          <cell r="A567">
            <v>61150</v>
          </cell>
        </row>
        <row r="568">
          <cell r="A568">
            <v>61247</v>
          </cell>
        </row>
        <row r="569">
          <cell r="A569">
            <v>61282</v>
          </cell>
        </row>
        <row r="570">
          <cell r="A570">
            <v>61303</v>
          </cell>
        </row>
        <row r="571">
          <cell r="A571">
            <v>61316</v>
          </cell>
        </row>
        <row r="572">
          <cell r="A572">
            <v>61321</v>
          </cell>
        </row>
        <row r="573">
          <cell r="A573">
            <v>61356</v>
          </cell>
        </row>
        <row r="574">
          <cell r="A574">
            <v>61363</v>
          </cell>
        </row>
        <row r="575">
          <cell r="A575">
            <v>61427</v>
          </cell>
        </row>
        <row r="576">
          <cell r="A576">
            <v>61428</v>
          </cell>
        </row>
        <row r="577">
          <cell r="A577">
            <v>61473</v>
          </cell>
        </row>
        <row r="578">
          <cell r="A578">
            <v>61474</v>
          </cell>
        </row>
        <row r="579">
          <cell r="A579">
            <v>61484</v>
          </cell>
        </row>
        <row r="580">
          <cell r="A580">
            <v>61535</v>
          </cell>
        </row>
        <row r="581">
          <cell r="A581">
            <v>61613</v>
          </cell>
        </row>
        <row r="582">
          <cell r="A582">
            <v>61648</v>
          </cell>
        </row>
        <row r="583">
          <cell r="A583">
            <v>61669</v>
          </cell>
        </row>
        <row r="584">
          <cell r="A584">
            <v>61682</v>
          </cell>
        </row>
        <row r="585">
          <cell r="A585">
            <v>61687</v>
          </cell>
        </row>
        <row r="586">
          <cell r="A586">
            <v>61722</v>
          </cell>
        </row>
        <row r="587">
          <cell r="A587">
            <v>61729</v>
          </cell>
        </row>
        <row r="588">
          <cell r="A588">
            <v>61784</v>
          </cell>
        </row>
        <row r="589">
          <cell r="A589">
            <v>61785</v>
          </cell>
        </row>
        <row r="590">
          <cell r="A590">
            <v>61830</v>
          </cell>
        </row>
        <row r="591">
          <cell r="A591">
            <v>61839</v>
          </cell>
        </row>
        <row r="592">
          <cell r="A592">
            <v>61849</v>
          </cell>
        </row>
        <row r="593">
          <cell r="A593">
            <v>61892</v>
          </cell>
        </row>
        <row r="594">
          <cell r="A594">
            <v>61978</v>
          </cell>
        </row>
        <row r="595">
          <cell r="A595">
            <v>62013</v>
          </cell>
        </row>
        <row r="596">
          <cell r="A596">
            <v>62034</v>
          </cell>
        </row>
        <row r="597">
          <cell r="A597">
            <v>62047</v>
          </cell>
        </row>
        <row r="598">
          <cell r="A598">
            <v>62052</v>
          </cell>
        </row>
        <row r="599">
          <cell r="A599">
            <v>62087</v>
          </cell>
        </row>
        <row r="600">
          <cell r="A600">
            <v>62094</v>
          </cell>
        </row>
        <row r="601">
          <cell r="A601">
            <v>62134</v>
          </cell>
        </row>
        <row r="602">
          <cell r="A602">
            <v>62135</v>
          </cell>
        </row>
        <row r="603">
          <cell r="A603">
            <v>62180</v>
          </cell>
        </row>
        <row r="604">
          <cell r="A604">
            <v>62204</v>
          </cell>
        </row>
        <row r="605">
          <cell r="A605">
            <v>62214</v>
          </cell>
        </row>
        <row r="606">
          <cell r="A606">
            <v>62242</v>
          </cell>
        </row>
        <row r="607">
          <cell r="A607">
            <v>62343</v>
          </cell>
        </row>
        <row r="608">
          <cell r="A608">
            <v>62378</v>
          </cell>
        </row>
        <row r="609">
          <cell r="A609">
            <v>62399</v>
          </cell>
        </row>
        <row r="610">
          <cell r="A610">
            <v>62412</v>
          </cell>
        </row>
        <row r="611">
          <cell r="A611">
            <v>62417</v>
          </cell>
        </row>
        <row r="612">
          <cell r="A612">
            <v>62452</v>
          </cell>
        </row>
        <row r="613">
          <cell r="A613">
            <v>62459</v>
          </cell>
        </row>
        <row r="614">
          <cell r="A614">
            <v>62519</v>
          </cell>
        </row>
        <row r="615">
          <cell r="A615">
            <v>62520</v>
          </cell>
        </row>
        <row r="616">
          <cell r="A616">
            <v>62565</v>
          </cell>
        </row>
        <row r="617">
          <cell r="A617">
            <v>62569</v>
          </cell>
        </row>
        <row r="618">
          <cell r="A618">
            <v>62579</v>
          </cell>
        </row>
        <row r="619">
          <cell r="A619">
            <v>62627</v>
          </cell>
        </row>
        <row r="620">
          <cell r="A620">
            <v>62708</v>
          </cell>
        </row>
        <row r="621">
          <cell r="A621">
            <v>62743</v>
          </cell>
        </row>
        <row r="622">
          <cell r="A622">
            <v>62764</v>
          </cell>
        </row>
        <row r="623">
          <cell r="A623">
            <v>62777</v>
          </cell>
        </row>
        <row r="624">
          <cell r="A624">
            <v>62782</v>
          </cell>
        </row>
        <row r="625">
          <cell r="A625">
            <v>62817</v>
          </cell>
        </row>
        <row r="626">
          <cell r="A626">
            <v>62824</v>
          </cell>
        </row>
        <row r="627">
          <cell r="A627">
            <v>62876</v>
          </cell>
        </row>
        <row r="628">
          <cell r="A628">
            <v>62877</v>
          </cell>
        </row>
        <row r="629">
          <cell r="A629">
            <v>62922</v>
          </cell>
        </row>
        <row r="630">
          <cell r="A630">
            <v>62935</v>
          </cell>
        </row>
        <row r="631">
          <cell r="A631">
            <v>62945</v>
          </cell>
        </row>
        <row r="632">
          <cell r="A632">
            <v>62984</v>
          </cell>
        </row>
        <row r="633">
          <cell r="A633">
            <v>63074</v>
          </cell>
        </row>
        <row r="634">
          <cell r="A634">
            <v>63109</v>
          </cell>
        </row>
        <row r="635">
          <cell r="A635">
            <v>63130</v>
          </cell>
        </row>
        <row r="636">
          <cell r="A636">
            <v>63143</v>
          </cell>
        </row>
        <row r="637">
          <cell r="A637">
            <v>63148</v>
          </cell>
        </row>
        <row r="638">
          <cell r="A638">
            <v>63183</v>
          </cell>
        </row>
        <row r="639">
          <cell r="A639">
            <v>63190</v>
          </cell>
        </row>
        <row r="640">
          <cell r="A640">
            <v>63226</v>
          </cell>
        </row>
        <row r="641">
          <cell r="A641">
            <v>63227</v>
          </cell>
        </row>
        <row r="642">
          <cell r="A642">
            <v>63272</v>
          </cell>
        </row>
        <row r="643">
          <cell r="A643">
            <v>63300</v>
          </cell>
        </row>
        <row r="644">
          <cell r="A644">
            <v>63310</v>
          </cell>
        </row>
        <row r="645">
          <cell r="A645">
            <v>63334</v>
          </cell>
        </row>
        <row r="646">
          <cell r="A646">
            <v>63439</v>
          </cell>
        </row>
        <row r="647">
          <cell r="A647">
            <v>63474</v>
          </cell>
        </row>
        <row r="648">
          <cell r="A648">
            <v>63495</v>
          </cell>
        </row>
        <row r="649">
          <cell r="A649">
            <v>63508</v>
          </cell>
        </row>
        <row r="650">
          <cell r="A650">
            <v>63513</v>
          </cell>
        </row>
        <row r="651">
          <cell r="A651">
            <v>63548</v>
          </cell>
        </row>
        <row r="652">
          <cell r="A652">
            <v>63555</v>
          </cell>
        </row>
        <row r="653">
          <cell r="A653">
            <v>63611</v>
          </cell>
        </row>
        <row r="654">
          <cell r="A654">
            <v>63612</v>
          </cell>
        </row>
        <row r="655">
          <cell r="A655">
            <v>63657</v>
          </cell>
        </row>
        <row r="656">
          <cell r="A656">
            <v>63665</v>
          </cell>
        </row>
        <row r="657">
          <cell r="A657">
            <v>63675</v>
          </cell>
        </row>
        <row r="658">
          <cell r="A658">
            <v>63719</v>
          </cell>
        </row>
        <row r="659">
          <cell r="A659">
            <v>63804</v>
          </cell>
        </row>
        <row r="660">
          <cell r="A660">
            <v>63839</v>
          </cell>
        </row>
        <row r="661">
          <cell r="A661">
            <v>63860</v>
          </cell>
        </row>
        <row r="662">
          <cell r="A662">
            <v>63873</v>
          </cell>
        </row>
        <row r="663">
          <cell r="A663">
            <v>63878</v>
          </cell>
        </row>
        <row r="664">
          <cell r="A664">
            <v>63913</v>
          </cell>
        </row>
        <row r="665">
          <cell r="A665">
            <v>63920</v>
          </cell>
        </row>
        <row r="666">
          <cell r="A666">
            <v>63968</v>
          </cell>
        </row>
        <row r="667">
          <cell r="A667">
            <v>63969</v>
          </cell>
        </row>
        <row r="668">
          <cell r="A668">
            <v>64014</v>
          </cell>
        </row>
        <row r="669">
          <cell r="A669">
            <v>64030</v>
          </cell>
        </row>
        <row r="670">
          <cell r="A670">
            <v>64040</v>
          </cell>
        </row>
        <row r="671">
          <cell r="A671">
            <v>64076</v>
          </cell>
        </row>
        <row r="672">
          <cell r="A672">
            <v>64169</v>
          </cell>
        </row>
        <row r="673">
          <cell r="A673">
            <v>64204</v>
          </cell>
        </row>
        <row r="674">
          <cell r="A674">
            <v>64225</v>
          </cell>
        </row>
        <row r="675">
          <cell r="A675">
            <v>64238</v>
          </cell>
        </row>
        <row r="676">
          <cell r="A676">
            <v>64243</v>
          </cell>
        </row>
        <row r="677">
          <cell r="A677">
            <v>64278</v>
          </cell>
        </row>
        <row r="678">
          <cell r="A678">
            <v>64285</v>
          </cell>
        </row>
        <row r="679">
          <cell r="A679">
            <v>64346</v>
          </cell>
        </row>
        <row r="680">
          <cell r="A680">
            <v>64347</v>
          </cell>
        </row>
        <row r="681">
          <cell r="A681">
            <v>64392</v>
          </cell>
        </row>
        <row r="682">
          <cell r="A682">
            <v>64396</v>
          </cell>
        </row>
        <row r="683">
          <cell r="A683">
            <v>64406</v>
          </cell>
        </row>
        <row r="684">
          <cell r="A684">
            <v>64454</v>
          </cell>
        </row>
        <row r="685">
          <cell r="A685">
            <v>64535</v>
          </cell>
        </row>
        <row r="686">
          <cell r="A686">
            <v>64570</v>
          </cell>
        </row>
        <row r="687">
          <cell r="A687">
            <v>64591</v>
          </cell>
        </row>
        <row r="688">
          <cell r="A688">
            <v>64604</v>
          </cell>
        </row>
        <row r="689">
          <cell r="A689">
            <v>64609</v>
          </cell>
        </row>
        <row r="690">
          <cell r="A690">
            <v>64644</v>
          </cell>
        </row>
        <row r="691">
          <cell r="A691">
            <v>64651</v>
          </cell>
        </row>
        <row r="692">
          <cell r="A692">
            <v>64703</v>
          </cell>
        </row>
        <row r="693">
          <cell r="A693">
            <v>64704</v>
          </cell>
        </row>
        <row r="694">
          <cell r="A694">
            <v>64749</v>
          </cell>
        </row>
        <row r="695">
          <cell r="A695">
            <v>64761</v>
          </cell>
        </row>
        <row r="696">
          <cell r="A696">
            <v>64771</v>
          </cell>
        </row>
        <row r="697">
          <cell r="A697">
            <v>64811</v>
          </cell>
        </row>
        <row r="698">
          <cell r="A698">
            <v>64900</v>
          </cell>
        </row>
        <row r="699">
          <cell r="A699">
            <v>64935</v>
          </cell>
        </row>
        <row r="700">
          <cell r="A700">
            <v>64956</v>
          </cell>
        </row>
        <row r="701">
          <cell r="A701">
            <v>64969</v>
          </cell>
        </row>
        <row r="702">
          <cell r="A702">
            <v>64974</v>
          </cell>
        </row>
        <row r="703">
          <cell r="A703">
            <v>65009</v>
          </cell>
        </row>
        <row r="704">
          <cell r="A704">
            <v>65016</v>
          </cell>
        </row>
        <row r="705">
          <cell r="A705">
            <v>65060</v>
          </cell>
        </row>
        <row r="706">
          <cell r="A706">
            <v>65061</v>
          </cell>
        </row>
        <row r="707">
          <cell r="A707">
            <v>65106</v>
          </cell>
        </row>
        <row r="708">
          <cell r="A708">
            <v>65126</v>
          </cell>
        </row>
        <row r="709">
          <cell r="A709">
            <v>65136</v>
          </cell>
        </row>
        <row r="710">
          <cell r="A710">
            <v>65168</v>
          </cell>
        </row>
        <row r="711">
          <cell r="A711">
            <v>65265</v>
          </cell>
        </row>
        <row r="712">
          <cell r="A712">
            <v>65300</v>
          </cell>
        </row>
        <row r="713">
          <cell r="A713">
            <v>65321</v>
          </cell>
        </row>
        <row r="714">
          <cell r="A714">
            <v>65334</v>
          </cell>
        </row>
        <row r="715">
          <cell r="A715">
            <v>65339</v>
          </cell>
        </row>
        <row r="716">
          <cell r="A716">
            <v>65374</v>
          </cell>
        </row>
        <row r="717">
          <cell r="A717">
            <v>65381</v>
          </cell>
        </row>
        <row r="718">
          <cell r="A718">
            <v>65445</v>
          </cell>
        </row>
        <row r="719">
          <cell r="A719">
            <v>65446</v>
          </cell>
        </row>
        <row r="720">
          <cell r="A720">
            <v>65491</v>
          </cell>
        </row>
        <row r="721">
          <cell r="A721">
            <v>65491</v>
          </cell>
        </row>
        <row r="722">
          <cell r="A722">
            <v>65501</v>
          </cell>
        </row>
        <row r="723">
          <cell r="A723">
            <v>65553</v>
          </cell>
        </row>
        <row r="724">
          <cell r="A724">
            <v>65630</v>
          </cell>
        </row>
        <row r="725">
          <cell r="A725">
            <v>65665</v>
          </cell>
        </row>
        <row r="726">
          <cell r="A726">
            <v>65686</v>
          </cell>
        </row>
        <row r="727">
          <cell r="A727">
            <v>65699</v>
          </cell>
        </row>
        <row r="728">
          <cell r="A728">
            <v>65704</v>
          </cell>
        </row>
        <row r="729">
          <cell r="A729">
            <v>65739</v>
          </cell>
        </row>
        <row r="730">
          <cell r="A730">
            <v>65746</v>
          </cell>
        </row>
        <row r="731">
          <cell r="A731">
            <v>65795</v>
          </cell>
        </row>
        <row r="732">
          <cell r="A732">
            <v>65796</v>
          </cell>
        </row>
        <row r="733">
          <cell r="A733">
            <v>65841</v>
          </cell>
        </row>
        <row r="734">
          <cell r="A734">
            <v>65857</v>
          </cell>
        </row>
        <row r="735">
          <cell r="A735">
            <v>65867</v>
          </cell>
        </row>
        <row r="736">
          <cell r="A736">
            <v>65903</v>
          </cell>
        </row>
        <row r="737">
          <cell r="A737">
            <v>65996</v>
          </cell>
        </row>
        <row r="738">
          <cell r="A738">
            <v>66031</v>
          </cell>
        </row>
        <row r="739">
          <cell r="A739">
            <v>66052</v>
          </cell>
        </row>
        <row r="740">
          <cell r="A740">
            <v>66065</v>
          </cell>
        </row>
        <row r="741">
          <cell r="A741">
            <v>66070</v>
          </cell>
        </row>
        <row r="742">
          <cell r="A742">
            <v>66105</v>
          </cell>
        </row>
        <row r="743">
          <cell r="A743">
            <v>66112</v>
          </cell>
        </row>
        <row r="744">
          <cell r="A744">
            <v>66152</v>
          </cell>
        </row>
        <row r="745">
          <cell r="A745">
            <v>66153</v>
          </cell>
        </row>
        <row r="746">
          <cell r="A746">
            <v>66198</v>
          </cell>
        </row>
        <row r="747">
          <cell r="A747">
            <v>66222</v>
          </cell>
        </row>
        <row r="748">
          <cell r="A748">
            <v>66232</v>
          </cell>
        </row>
        <row r="749">
          <cell r="A749">
            <v>66260</v>
          </cell>
        </row>
        <row r="750">
          <cell r="A750">
            <v>66361</v>
          </cell>
        </row>
        <row r="751">
          <cell r="A751">
            <v>66396</v>
          </cell>
        </row>
        <row r="752">
          <cell r="A752">
            <v>66417</v>
          </cell>
        </row>
        <row r="753">
          <cell r="A753">
            <v>66430</v>
          </cell>
        </row>
        <row r="754">
          <cell r="A754">
            <v>66435</v>
          </cell>
        </row>
        <row r="755">
          <cell r="A755">
            <v>66470</v>
          </cell>
        </row>
        <row r="756">
          <cell r="A756">
            <v>66477</v>
          </cell>
        </row>
        <row r="757">
          <cell r="A757">
            <v>66537</v>
          </cell>
        </row>
        <row r="758">
          <cell r="A758">
            <v>66538</v>
          </cell>
        </row>
        <row r="759">
          <cell r="A759">
            <v>66583</v>
          </cell>
        </row>
        <row r="760">
          <cell r="A760">
            <v>66587</v>
          </cell>
        </row>
        <row r="761">
          <cell r="A761">
            <v>66597</v>
          </cell>
        </row>
        <row r="762">
          <cell r="A762">
            <v>66645</v>
          </cell>
        </row>
        <row r="763">
          <cell r="A763">
            <v>66726</v>
          </cell>
        </row>
        <row r="764">
          <cell r="A764">
            <v>66761</v>
          </cell>
        </row>
        <row r="765">
          <cell r="A765">
            <v>66782</v>
          </cell>
        </row>
        <row r="766">
          <cell r="A766">
            <v>66795</v>
          </cell>
        </row>
        <row r="767">
          <cell r="A767">
            <v>66800</v>
          </cell>
        </row>
        <row r="768">
          <cell r="A768">
            <v>66835</v>
          </cell>
        </row>
        <row r="769">
          <cell r="A769">
            <v>66842</v>
          </cell>
        </row>
        <row r="770">
          <cell r="A770">
            <v>66887</v>
          </cell>
        </row>
        <row r="771">
          <cell r="A771">
            <v>66888</v>
          </cell>
        </row>
        <row r="772">
          <cell r="A772">
            <v>66933</v>
          </cell>
        </row>
        <row r="773">
          <cell r="A773">
            <v>66952</v>
          </cell>
        </row>
        <row r="774">
          <cell r="A774">
            <v>66962</v>
          </cell>
        </row>
        <row r="775">
          <cell r="A775">
            <v>66995</v>
          </cell>
        </row>
        <row r="776">
          <cell r="A776">
            <v>67091</v>
          </cell>
        </row>
        <row r="777">
          <cell r="A777">
            <v>67126</v>
          </cell>
        </row>
        <row r="778">
          <cell r="A778">
            <v>67147</v>
          </cell>
        </row>
        <row r="779">
          <cell r="A779">
            <v>67160</v>
          </cell>
        </row>
        <row r="780">
          <cell r="A780">
            <v>67165</v>
          </cell>
        </row>
        <row r="781">
          <cell r="A781">
            <v>67200</v>
          </cell>
        </row>
        <row r="782">
          <cell r="A782">
            <v>67207</v>
          </cell>
        </row>
        <row r="783">
          <cell r="A783">
            <v>67244</v>
          </cell>
        </row>
        <row r="784">
          <cell r="A784">
            <v>67245</v>
          </cell>
        </row>
        <row r="785">
          <cell r="A785">
            <v>67290</v>
          </cell>
        </row>
        <row r="786">
          <cell r="A786">
            <v>67318</v>
          </cell>
        </row>
        <row r="787">
          <cell r="A787">
            <v>67328</v>
          </cell>
        </row>
        <row r="788">
          <cell r="A788">
            <v>67352</v>
          </cell>
        </row>
        <row r="789">
          <cell r="A789">
            <v>67457</v>
          </cell>
        </row>
        <row r="790">
          <cell r="A790">
            <v>67492</v>
          </cell>
        </row>
        <row r="791">
          <cell r="A791">
            <v>67513</v>
          </cell>
        </row>
        <row r="792">
          <cell r="A792">
            <v>67526</v>
          </cell>
        </row>
        <row r="793">
          <cell r="A793">
            <v>67531</v>
          </cell>
        </row>
        <row r="794">
          <cell r="A794">
            <v>67566</v>
          </cell>
        </row>
        <row r="795">
          <cell r="A795">
            <v>67573</v>
          </cell>
        </row>
        <row r="796">
          <cell r="A796">
            <v>67629</v>
          </cell>
        </row>
        <row r="797">
          <cell r="A797">
            <v>67630</v>
          </cell>
        </row>
        <row r="798">
          <cell r="A798">
            <v>67675</v>
          </cell>
        </row>
        <row r="799">
          <cell r="A799">
            <v>67683</v>
          </cell>
        </row>
        <row r="800">
          <cell r="A800">
            <v>67693</v>
          </cell>
        </row>
        <row r="801">
          <cell r="A801">
            <v>67737</v>
          </cell>
        </row>
        <row r="802">
          <cell r="A802">
            <v>67822</v>
          </cell>
        </row>
        <row r="803">
          <cell r="A803">
            <v>67857</v>
          </cell>
        </row>
        <row r="804">
          <cell r="A804">
            <v>67878</v>
          </cell>
        </row>
        <row r="805">
          <cell r="A805">
            <v>67891</v>
          </cell>
        </row>
        <row r="806">
          <cell r="A806">
            <v>67896</v>
          </cell>
        </row>
        <row r="807">
          <cell r="A807">
            <v>67931</v>
          </cell>
        </row>
        <row r="808">
          <cell r="A808">
            <v>67938</v>
          </cell>
        </row>
        <row r="809">
          <cell r="A809">
            <v>67979</v>
          </cell>
        </row>
        <row r="810">
          <cell r="A810">
            <v>67980</v>
          </cell>
        </row>
        <row r="811">
          <cell r="A811">
            <v>68025</v>
          </cell>
        </row>
        <row r="812">
          <cell r="A812">
            <v>68048</v>
          </cell>
        </row>
        <row r="813">
          <cell r="A813">
            <v>68058</v>
          </cell>
        </row>
        <row r="814">
          <cell r="A814">
            <v>68087</v>
          </cell>
        </row>
        <row r="815">
          <cell r="A815">
            <v>68187</v>
          </cell>
        </row>
        <row r="816">
          <cell r="A816">
            <v>68222</v>
          </cell>
        </row>
        <row r="817">
          <cell r="A817">
            <v>68243</v>
          </cell>
        </row>
        <row r="818">
          <cell r="A818">
            <v>68256</v>
          </cell>
        </row>
        <row r="819">
          <cell r="A819">
            <v>68261</v>
          </cell>
        </row>
        <row r="820">
          <cell r="A820">
            <v>68296</v>
          </cell>
        </row>
        <row r="821">
          <cell r="A821">
            <v>68303</v>
          </cell>
        </row>
        <row r="822">
          <cell r="A822">
            <v>68364</v>
          </cell>
        </row>
        <row r="823">
          <cell r="A823">
            <v>68365</v>
          </cell>
        </row>
        <row r="824">
          <cell r="A824">
            <v>68410</v>
          </cell>
        </row>
        <row r="825">
          <cell r="A825">
            <v>68413</v>
          </cell>
        </row>
        <row r="826">
          <cell r="A826">
            <v>68423</v>
          </cell>
        </row>
        <row r="827">
          <cell r="A827">
            <v>68472</v>
          </cell>
        </row>
        <row r="828">
          <cell r="A828">
            <v>68552</v>
          </cell>
        </row>
        <row r="829">
          <cell r="A829">
            <v>68587</v>
          </cell>
        </row>
        <row r="830">
          <cell r="A830">
            <v>68608</v>
          </cell>
        </row>
        <row r="831">
          <cell r="A831">
            <v>68621</v>
          </cell>
        </row>
        <row r="832">
          <cell r="A832">
            <v>68626</v>
          </cell>
        </row>
        <row r="833">
          <cell r="A833">
            <v>68661</v>
          </cell>
        </row>
        <row r="834">
          <cell r="A834">
            <v>68668</v>
          </cell>
        </row>
        <row r="835">
          <cell r="A835">
            <v>68721</v>
          </cell>
        </row>
        <row r="836">
          <cell r="A836">
            <v>68722</v>
          </cell>
        </row>
        <row r="837">
          <cell r="A837">
            <v>68767</v>
          </cell>
        </row>
        <row r="838">
          <cell r="A838">
            <v>68779</v>
          </cell>
        </row>
        <row r="839">
          <cell r="A839">
            <v>68789</v>
          </cell>
        </row>
        <row r="840">
          <cell r="A840">
            <v>68829</v>
          </cell>
        </row>
        <row r="841">
          <cell r="A841">
            <v>68918</v>
          </cell>
        </row>
        <row r="842">
          <cell r="A842">
            <v>68953</v>
          </cell>
        </row>
        <row r="843">
          <cell r="A843">
            <v>68974</v>
          </cell>
        </row>
        <row r="844">
          <cell r="A844">
            <v>68987</v>
          </cell>
        </row>
        <row r="845">
          <cell r="A845">
            <v>68992</v>
          </cell>
        </row>
        <row r="846">
          <cell r="A846">
            <v>69027</v>
          </cell>
        </row>
        <row r="847">
          <cell r="A847">
            <v>69034</v>
          </cell>
        </row>
        <row r="848">
          <cell r="A848">
            <v>69078</v>
          </cell>
        </row>
        <row r="849">
          <cell r="A849">
            <v>69079</v>
          </cell>
        </row>
        <row r="850">
          <cell r="A850">
            <v>69124</v>
          </cell>
        </row>
        <row r="851">
          <cell r="A851">
            <v>69144</v>
          </cell>
        </row>
        <row r="852">
          <cell r="A852">
            <v>69154</v>
          </cell>
        </row>
        <row r="853">
          <cell r="A853">
            <v>69186</v>
          </cell>
        </row>
        <row r="854">
          <cell r="A854">
            <v>69283</v>
          </cell>
        </row>
        <row r="855">
          <cell r="A855">
            <v>69318</v>
          </cell>
        </row>
        <row r="856">
          <cell r="A856">
            <v>69339</v>
          </cell>
        </row>
        <row r="857">
          <cell r="A857">
            <v>69352</v>
          </cell>
        </row>
        <row r="858">
          <cell r="A858">
            <v>69357</v>
          </cell>
        </row>
        <row r="859">
          <cell r="A859">
            <v>69392</v>
          </cell>
        </row>
        <row r="860">
          <cell r="A860">
            <v>69399</v>
          </cell>
        </row>
        <row r="861">
          <cell r="A861">
            <v>69456</v>
          </cell>
        </row>
        <row r="862">
          <cell r="A862">
            <v>69457</v>
          </cell>
        </row>
        <row r="863">
          <cell r="A863">
            <v>69502</v>
          </cell>
        </row>
        <row r="864">
          <cell r="A864">
            <v>69509</v>
          </cell>
        </row>
        <row r="865">
          <cell r="A865">
            <v>69519</v>
          </cell>
        </row>
        <row r="866">
          <cell r="A866">
            <v>69564</v>
          </cell>
        </row>
        <row r="867">
          <cell r="A867">
            <v>69648</v>
          </cell>
        </row>
        <row r="868">
          <cell r="A868">
            <v>69683</v>
          </cell>
        </row>
        <row r="869">
          <cell r="A869">
            <v>69704</v>
          </cell>
        </row>
        <row r="870">
          <cell r="A870">
            <v>69717</v>
          </cell>
        </row>
        <row r="871">
          <cell r="A871">
            <v>69722</v>
          </cell>
        </row>
        <row r="872">
          <cell r="A872">
            <v>69757</v>
          </cell>
        </row>
        <row r="873">
          <cell r="A873">
            <v>69764</v>
          </cell>
        </row>
        <row r="874">
          <cell r="A874">
            <v>69813</v>
          </cell>
        </row>
        <row r="875">
          <cell r="A875">
            <v>69814</v>
          </cell>
        </row>
        <row r="876">
          <cell r="A876">
            <v>69859</v>
          </cell>
        </row>
        <row r="877">
          <cell r="A877">
            <v>69874</v>
          </cell>
        </row>
        <row r="878">
          <cell r="A878">
            <v>69884</v>
          </cell>
        </row>
        <row r="879">
          <cell r="A879">
            <v>69921</v>
          </cell>
        </row>
        <row r="880">
          <cell r="A880">
            <v>70013</v>
          </cell>
        </row>
        <row r="881">
          <cell r="A881">
            <v>70048</v>
          </cell>
        </row>
        <row r="882">
          <cell r="A882">
            <v>70069</v>
          </cell>
        </row>
        <row r="883">
          <cell r="A883">
            <v>70082</v>
          </cell>
        </row>
        <row r="884">
          <cell r="A884">
            <v>70087</v>
          </cell>
        </row>
        <row r="885">
          <cell r="A885">
            <v>70122</v>
          </cell>
        </row>
        <row r="886">
          <cell r="A886">
            <v>70129</v>
          </cell>
        </row>
        <row r="887">
          <cell r="A887">
            <v>70170</v>
          </cell>
        </row>
        <row r="888">
          <cell r="A888">
            <v>70171</v>
          </cell>
        </row>
        <row r="889">
          <cell r="A889">
            <v>70216</v>
          </cell>
        </row>
        <row r="890">
          <cell r="A890">
            <v>70240</v>
          </cell>
        </row>
        <row r="891">
          <cell r="A891">
            <v>70250</v>
          </cell>
        </row>
        <row r="892">
          <cell r="A892">
            <v>70278</v>
          </cell>
        </row>
        <row r="893">
          <cell r="A893">
            <v>70379</v>
          </cell>
        </row>
        <row r="894">
          <cell r="A894">
            <v>70414</v>
          </cell>
        </row>
        <row r="895">
          <cell r="A895">
            <v>70435</v>
          </cell>
        </row>
        <row r="896">
          <cell r="A896">
            <v>70448</v>
          </cell>
        </row>
        <row r="897">
          <cell r="A897">
            <v>70453</v>
          </cell>
        </row>
        <row r="898">
          <cell r="A898">
            <v>70488</v>
          </cell>
        </row>
        <row r="899">
          <cell r="A899">
            <v>70495</v>
          </cell>
        </row>
        <row r="900">
          <cell r="A900">
            <v>70548</v>
          </cell>
        </row>
        <row r="901">
          <cell r="A901">
            <v>70549</v>
          </cell>
        </row>
        <row r="902">
          <cell r="A902">
            <v>70594</v>
          </cell>
        </row>
        <row r="903">
          <cell r="A903">
            <v>70605</v>
          </cell>
        </row>
        <row r="904">
          <cell r="A904">
            <v>70615</v>
          </cell>
        </row>
        <row r="905">
          <cell r="A905">
            <v>70656</v>
          </cell>
        </row>
        <row r="906">
          <cell r="A906">
            <v>70744</v>
          </cell>
        </row>
        <row r="907">
          <cell r="A907">
            <v>70779</v>
          </cell>
        </row>
        <row r="908">
          <cell r="A908">
            <v>70800</v>
          </cell>
        </row>
        <row r="909">
          <cell r="A909">
            <v>70813</v>
          </cell>
        </row>
        <row r="910">
          <cell r="A910">
            <v>70818</v>
          </cell>
        </row>
        <row r="911">
          <cell r="A911">
            <v>70853</v>
          </cell>
        </row>
        <row r="912">
          <cell r="A912">
            <v>70860</v>
          </cell>
        </row>
        <row r="913">
          <cell r="A913">
            <v>70905</v>
          </cell>
        </row>
        <row r="914">
          <cell r="A914">
            <v>70906</v>
          </cell>
        </row>
        <row r="915">
          <cell r="A915">
            <v>70951</v>
          </cell>
        </row>
        <row r="916">
          <cell r="A916">
            <v>70970</v>
          </cell>
        </row>
        <row r="917">
          <cell r="A917">
            <v>70980</v>
          </cell>
        </row>
        <row r="918">
          <cell r="A918">
            <v>71013</v>
          </cell>
        </row>
        <row r="919">
          <cell r="A919">
            <v>71109</v>
          </cell>
        </row>
        <row r="920">
          <cell r="A920">
            <v>71144</v>
          </cell>
        </row>
        <row r="921">
          <cell r="A921">
            <v>71165</v>
          </cell>
        </row>
        <row r="922">
          <cell r="A922">
            <v>71178</v>
          </cell>
        </row>
        <row r="923">
          <cell r="A923">
            <v>71183</v>
          </cell>
        </row>
        <row r="924">
          <cell r="A924">
            <v>71218</v>
          </cell>
        </row>
        <row r="925">
          <cell r="A925">
            <v>71225</v>
          </cell>
        </row>
        <row r="926">
          <cell r="A926">
            <v>71290</v>
          </cell>
        </row>
        <row r="927">
          <cell r="A927">
            <v>71291</v>
          </cell>
        </row>
        <row r="928">
          <cell r="A928">
            <v>71335</v>
          </cell>
        </row>
        <row r="929">
          <cell r="A929">
            <v>71336</v>
          </cell>
        </row>
        <row r="930">
          <cell r="A930">
            <v>71345</v>
          </cell>
        </row>
        <row r="931">
          <cell r="A931">
            <v>71398</v>
          </cell>
        </row>
        <row r="932">
          <cell r="A932">
            <v>71474</v>
          </cell>
        </row>
        <row r="933">
          <cell r="A933">
            <v>71509</v>
          </cell>
        </row>
        <row r="934">
          <cell r="A934">
            <v>71530</v>
          </cell>
        </row>
        <row r="935">
          <cell r="A935">
            <v>71543</v>
          </cell>
        </row>
        <row r="936">
          <cell r="A936">
            <v>71548</v>
          </cell>
        </row>
        <row r="937">
          <cell r="A937">
            <v>71583</v>
          </cell>
        </row>
        <row r="938">
          <cell r="A938">
            <v>71590</v>
          </cell>
        </row>
        <row r="939">
          <cell r="A939">
            <v>71647</v>
          </cell>
        </row>
        <row r="940">
          <cell r="A940">
            <v>71648</v>
          </cell>
        </row>
        <row r="941">
          <cell r="A941">
            <v>71693</v>
          </cell>
        </row>
        <row r="942">
          <cell r="A942">
            <v>71701</v>
          </cell>
        </row>
        <row r="943">
          <cell r="A943">
            <v>71711</v>
          </cell>
        </row>
        <row r="944">
          <cell r="A944">
            <v>71755</v>
          </cell>
        </row>
        <row r="945">
          <cell r="A945">
            <v>71840</v>
          </cell>
        </row>
        <row r="946">
          <cell r="A946">
            <v>71875</v>
          </cell>
        </row>
        <row r="947">
          <cell r="A947">
            <v>71896</v>
          </cell>
        </row>
        <row r="948">
          <cell r="A948">
            <v>71909</v>
          </cell>
        </row>
        <row r="949">
          <cell r="A949">
            <v>71914</v>
          </cell>
        </row>
        <row r="950">
          <cell r="A950">
            <v>71949</v>
          </cell>
        </row>
        <row r="951">
          <cell r="A951">
            <v>71956</v>
          </cell>
        </row>
        <row r="952">
          <cell r="A952">
            <v>71997</v>
          </cell>
        </row>
        <row r="953">
          <cell r="A953">
            <v>71998</v>
          </cell>
        </row>
        <row r="954">
          <cell r="A954">
            <v>72043</v>
          </cell>
        </row>
        <row r="955">
          <cell r="A955">
            <v>72066</v>
          </cell>
        </row>
        <row r="956">
          <cell r="A956">
            <v>72076</v>
          </cell>
        </row>
        <row r="957">
          <cell r="A957">
            <v>72105</v>
          </cell>
        </row>
        <row r="958">
          <cell r="A958">
            <v>72205</v>
          </cell>
        </row>
        <row r="959">
          <cell r="A959">
            <v>72240</v>
          </cell>
        </row>
        <row r="960">
          <cell r="A960">
            <v>72261</v>
          </cell>
        </row>
        <row r="961">
          <cell r="A961">
            <v>72274</v>
          </cell>
        </row>
        <row r="962">
          <cell r="A962">
            <v>72279</v>
          </cell>
        </row>
        <row r="963">
          <cell r="A963">
            <v>72314</v>
          </cell>
        </row>
        <row r="964">
          <cell r="A964">
            <v>72321</v>
          </cell>
        </row>
        <row r="965">
          <cell r="A965">
            <v>72382</v>
          </cell>
        </row>
        <row r="966">
          <cell r="A966">
            <v>72383</v>
          </cell>
        </row>
        <row r="967">
          <cell r="A967">
            <v>72428</v>
          </cell>
        </row>
        <row r="968">
          <cell r="A968">
            <v>72431</v>
          </cell>
        </row>
        <row r="969">
          <cell r="A969">
            <v>72441</v>
          </cell>
        </row>
        <row r="970">
          <cell r="A970">
            <v>72490</v>
          </cell>
        </row>
        <row r="971">
          <cell r="A971">
            <v>72570</v>
          </cell>
        </row>
        <row r="972">
          <cell r="A972">
            <v>72605</v>
          </cell>
        </row>
        <row r="973">
          <cell r="A973">
            <v>72626</v>
          </cell>
        </row>
        <row r="974">
          <cell r="A974">
            <v>72639</v>
          </cell>
        </row>
        <row r="975">
          <cell r="A975">
            <v>72644</v>
          </cell>
        </row>
        <row r="976">
          <cell r="A976">
            <v>72679</v>
          </cell>
        </row>
        <row r="977">
          <cell r="A977">
            <v>72686</v>
          </cell>
        </row>
        <row r="978">
          <cell r="A978">
            <v>72739</v>
          </cell>
        </row>
        <row r="979">
          <cell r="A979">
            <v>72740</v>
          </cell>
        </row>
        <row r="980">
          <cell r="A980">
            <v>72785</v>
          </cell>
        </row>
        <row r="981">
          <cell r="A981">
            <v>72796</v>
          </cell>
        </row>
        <row r="982">
          <cell r="A982">
            <v>72806</v>
          </cell>
        </row>
        <row r="983">
          <cell r="A983">
            <v>72847</v>
          </cell>
        </row>
        <row r="984">
          <cell r="A984">
            <v>72935</v>
          </cell>
        </row>
        <row r="985">
          <cell r="A985">
            <v>72970</v>
          </cell>
        </row>
        <row r="986">
          <cell r="A986">
            <v>72991</v>
          </cell>
        </row>
        <row r="987">
          <cell r="A987">
            <v>73004</v>
          </cell>
        </row>
        <row r="988">
          <cell r="A988">
            <v>73009</v>
          </cell>
        </row>
        <row r="989">
          <cell r="A989">
            <v>73044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319EA2C5-22E8-4185-92AB-E1785BAE49B1}" autoFormatId="16" applyNumberFormats="0" applyBorderFormats="0" applyFontFormats="0" applyPatternFormats="0" applyAlignmentFormats="0" applyWidthHeightFormats="0">
  <queryTableRefresh nextId="2">
    <queryTableFields count="1">
      <queryTableField id="1" name="VENCTO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B492407D-739B-414F-A3F2-300494BDE541}" autoFormatId="16" applyNumberFormats="0" applyBorderFormats="0" applyFontFormats="0" applyPatternFormats="0" applyAlignmentFormats="0" applyWidthHeightFormats="0">
  <queryTableRefresh nextId="13">
    <queryTableFields count="11">
      <queryTableField id="1" name="AJUSTE ANTER. (3)" tableColumnId="1"/>
      <queryTableField id="2" name="AJUSTE CORRIG. (4)" tableColumnId="2"/>
      <queryTableField id="3" name="PREÇO ABERT." tableColumnId="3"/>
      <queryTableField id="4" name="PREÇO MÍN." tableColumnId="4"/>
      <queryTableField id="5" name="PREÇO MÁX." tableColumnId="5"/>
      <queryTableField id="6" name="PREÇO MÉD." tableColumnId="6"/>
      <queryTableField id="7" name="ÚLT. PREÇO" tableColumnId="7"/>
      <queryTableField id="8" name="AJUSTE" tableColumnId="8"/>
      <queryTableField id="9" name="VAR. PTOS." tableColumnId="9"/>
      <queryTableField id="10" name="ÚLT. OF. COMPRA" tableColumnId="10"/>
      <queryTableField id="11" name="ÚLT. OF. VENDA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75E87303-A7AB-48D1-8F80-E0966E7F6F00}" autoFormatId="16" applyNumberFormats="0" applyBorderFormats="0" applyFontFormats="0" applyPatternFormats="0" applyAlignmentFormats="0" applyWidthHeightFormats="0">
  <queryTableRefresh nextId="2">
    <queryTableFields count="1">
      <queryTableField id="1" name="VENCTO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004D7B51-AB9D-4D35-8B89-D12D16ACFBD0}" autoFormatId="16" applyNumberFormats="0" applyBorderFormats="0" applyFontFormats="0" applyPatternFormats="0" applyAlignmentFormats="0" applyWidthHeightFormats="0">
  <queryTableRefresh nextId="12">
    <queryTableFields count="11">
      <queryTableField id="1" name="AJUSTE ANTER. (3)" tableColumnId="1"/>
      <queryTableField id="2" name="AJUSTE CORRIG. (4)" tableColumnId="2"/>
      <queryTableField id="3" name="PREÇO ABERT." tableColumnId="3"/>
      <queryTableField id="4" name="PREÇO MÍN." tableColumnId="4"/>
      <queryTableField id="5" name="PREÇO MÁX." tableColumnId="5"/>
      <queryTableField id="6" name="PREÇO MÉD." tableColumnId="6"/>
      <queryTableField id="7" name="ÚLT. PREÇO" tableColumnId="7"/>
      <queryTableField id="8" name="AJUSTE" tableColumnId="8"/>
      <queryTableField id="9" name="VAR. PTOS." tableColumnId="9"/>
      <queryTableField id="10" name="ÚLT. OF. COMPRA" tableColumnId="10"/>
      <queryTableField id="11" name="ÚLT. OF. VENDA" tableColumnId="1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 7" backgroundRefresh="0" connectionId="1" xr16:uid="{3FC35C9C-9E00-40DE-BA3C-1EA97FBD58B5}" autoFormatId="16" applyNumberFormats="0" applyBorderFormats="0" applyFontFormats="0" applyPatternFormats="0" applyAlignmentFormats="0" applyWidthHeightFormats="0">
  <queryTableRefresh nextId="3">
    <queryTableFields count="1">
      <queryTableField id="2" name="VENCTO" tableColumnId="2"/>
    </queryTableFields>
  </queryTableRefresh>
  <extLst>
    <ext xmlns:x15="http://schemas.microsoft.com/office/spreadsheetml/2010/11/main" uri="{883FBD77-0823-4a55-B5E3-86C4891E6966}">
      <x15:queryTable sourceDataName="Query - Table 7"/>
    </ext>
  </extLst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 8" backgroundRefresh="0" connectionId="2" xr16:uid="{3F7995F4-C420-4842-931A-0AA282B14AE2}" autoFormatId="16" applyNumberFormats="0" applyBorderFormats="0" applyFontFormats="0" applyPatternFormats="0" applyAlignmentFormats="0" applyWidthHeightFormats="0">
  <queryTableRefresh nextId="10">
    <queryTableFields count="9">
      <queryTableField id="1" name="PREÇO ABERT." tableColumnId="1"/>
      <queryTableField id="2" name="PREÇO MÍN." tableColumnId="2"/>
      <queryTableField id="3" name="PREÇO MÁX." tableColumnId="3"/>
      <queryTableField id="4" name="PREÇO MÉD." tableColumnId="4"/>
      <queryTableField id="5" name="ÚLT. PREÇO" tableColumnId="5"/>
      <queryTableField id="6" name="AJUSTE" tableColumnId="6"/>
      <queryTableField id="7" name="VAR. PTOS." tableColumnId="7"/>
      <queryTableField id="8" name="ÚLT. OF. COMPRA" tableColumnId="8"/>
      <queryTableField id="9" name="ÚLT. OF. VENDA" tableColumnId="9"/>
    </queryTableFields>
  </queryTableRefresh>
  <extLst>
    <ext xmlns:x15="http://schemas.microsoft.com/office/spreadsheetml/2010/11/main" uri="{883FBD77-0823-4a55-B5E3-86C4891E6966}">
      <x15:queryTable sourceDataName="Query - Table 8"/>
    </ext>
  </extLst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A9FF5A7-D431-4A08-9C60-25C1833302E3}" autoFormatId="16" applyNumberFormats="0" applyBorderFormats="0" applyFontFormats="0" applyPatternFormats="0" applyAlignmentFormats="0" applyWidthHeightFormats="0">
  <queryTableRefresh nextId="5">
    <queryTableFields count="4">
      <queryTableField id="1" name="Data" tableColumnId="1"/>
      <queryTableField id="2" name="Currency" tableColumnId="2"/>
      <queryTableField id="3" name="Buy" tableColumnId="3"/>
      <queryTableField id="4" name="Sell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51B9713-01C9-4EC9-A9DA-E6DEC5EE7348}" name="Vcto_DI1" displayName="Vcto_DI1" ref="A1:A39" tableType="queryTable" totalsRowShown="0" headerRowDxfId="51" dataDxfId="50">
  <autoFilter ref="A1:A39" xr:uid="{7DCBC50E-E901-4359-A1CD-1F48DAF0A01F}"/>
  <tableColumns count="1">
    <tableColumn id="1" xr3:uid="{90B9329B-9F38-4D10-9A8F-2596A7621BBB}" uniqueName="1" name="VENCTO" queryTableFieldId="1" dataDxfId="49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C79C789-CF3B-4C19-8E61-F0F5CA133A35}" name="Tbl_DI1" displayName="Tbl_DI1" ref="B1:L39" tableType="queryTable" totalsRowShown="0" headerRowDxfId="48" dataDxfId="47">
  <autoFilter ref="B1:L39" xr:uid="{7FD65588-F3AB-432B-A3C5-7EE80AD610B1}"/>
  <tableColumns count="11">
    <tableColumn id="1" xr3:uid="{852DE5A1-B96E-4D51-ABA2-760715079CCB}" uniqueName="1" name="AJUSTE ANTER. (3)" queryTableFieldId="1" dataDxfId="46"/>
    <tableColumn id="2" xr3:uid="{3DBA1F50-D139-409A-8D5E-E920D9CCFB0D}" uniqueName="2" name="AJUSTE CORRIG. (4)" queryTableFieldId="2" dataDxfId="45"/>
    <tableColumn id="3" xr3:uid="{BAAE703B-82AC-42A0-8A3E-378A72A196CE}" uniqueName="3" name="PREÇO ABERT." queryTableFieldId="3" dataDxfId="44"/>
    <tableColumn id="4" xr3:uid="{4A184994-4E23-41E9-86B2-029C25940A93}" uniqueName="4" name="PREÇO MÍN." queryTableFieldId="4" dataDxfId="43"/>
    <tableColumn id="5" xr3:uid="{C94A4ED0-41D4-4A67-96C7-8F09781FE9F1}" uniqueName="5" name="PREÇO MÁX." queryTableFieldId="5" dataDxfId="42"/>
    <tableColumn id="6" xr3:uid="{4520CF90-7609-44BF-9FD0-8D2CBBCFD832}" uniqueName="6" name="PREÇO MÉD." queryTableFieldId="6" dataDxfId="41"/>
    <tableColumn id="7" xr3:uid="{18ED5C25-F93A-4D46-8815-E4E5F84FF007}" uniqueName="7" name="ÚLT. PREÇO" queryTableFieldId="7" dataDxfId="40"/>
    <tableColumn id="8" xr3:uid="{C531FD0A-49E9-4B57-AFD0-116D6452CDA3}" uniqueName="8" name="AJUSTE" queryTableFieldId="8" dataDxfId="39"/>
    <tableColumn id="9" xr3:uid="{A2C77AC1-8F3A-4F10-B199-C1172657B703}" uniqueName="9" name="VAR. PTOS." queryTableFieldId="9" dataDxfId="38"/>
    <tableColumn id="10" xr3:uid="{B90FA7AF-7E5D-4A7A-AA92-1D80333F8BB8}" uniqueName="10" name="ÚLT. OF. COMPRA" queryTableFieldId="10" dataDxfId="37"/>
    <tableColumn id="11" xr3:uid="{DB4AD0E1-2FFF-4821-9188-C8AFC11044F6}" uniqueName="11" name="ÚLT. OF. VENDA" queryTableFieldId="11" dataDxfId="36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C565AE5-7D6D-4B94-B6EB-6F75F897B5A0}" name="Vcto_DDI" displayName="Vcto_DDI" ref="A1:A39" tableType="queryTable" totalsRowShown="0" headerRowDxfId="35" dataDxfId="34">
  <autoFilter ref="A1:A39" xr:uid="{D9EC00F3-A990-4CB3-AF2C-F30EDCDB3A88}"/>
  <tableColumns count="1">
    <tableColumn id="1" xr3:uid="{D4CDC792-E530-4536-ABDF-3F8BE9122076}" uniqueName="1" name="VENCTO" queryTableFieldId="1" dataDxfId="33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E8BD772-BB56-44CC-8BB8-AAF5C221F2E7}" name="Tbl_DDI" displayName="Tbl_DDI" ref="B1:L39" tableType="queryTable" totalsRowShown="0" headerRowDxfId="32" dataDxfId="31">
  <autoFilter ref="B1:L39" xr:uid="{B36C3E62-6990-4439-9AD8-B9323F9F61C6}"/>
  <tableColumns count="11">
    <tableColumn id="1" xr3:uid="{37850268-9062-4175-9FBE-CC47722D5FD9}" uniqueName="1" name="AJUSTE ANTER. (3)" queryTableFieldId="1" dataDxfId="30"/>
    <tableColumn id="2" xr3:uid="{CC68432C-5CB0-424C-9EF4-427A53E60A3F}" uniqueName="2" name="AJUSTE CORRIG. (4)" queryTableFieldId="2" dataDxfId="29"/>
    <tableColumn id="3" xr3:uid="{26D6CA4A-A4BA-4DBF-B2CA-38AEE17785B3}" uniqueName="3" name="PREÇO ABERT." queryTableFieldId="3" dataDxfId="28"/>
    <tableColumn id="4" xr3:uid="{FEA605DF-CE95-470C-B5C0-A1F4718B34DA}" uniqueName="4" name="PREÇO MÍN." queryTableFieldId="4" dataDxfId="27"/>
    <tableColumn id="5" xr3:uid="{A447DB10-799C-4674-83D3-67B18CE0F9C2}" uniqueName="5" name="PREÇO MÁX." queryTableFieldId="5" dataDxfId="26"/>
    <tableColumn id="6" xr3:uid="{E4719A9A-DCA6-41E2-90B8-3E4108BB1F28}" uniqueName="6" name="PREÇO MÉD." queryTableFieldId="6" dataDxfId="25"/>
    <tableColumn id="7" xr3:uid="{8461B526-8AD6-4EBB-8DB7-A633A073917B}" uniqueName="7" name="ÚLT. PREÇO" queryTableFieldId="7" dataDxfId="24"/>
    <tableColumn id="8" xr3:uid="{8383D355-1EA8-4293-A492-BB0D71A11C13}" uniqueName="8" name="AJUSTE" queryTableFieldId="8" dataDxfId="23"/>
    <tableColumn id="9" xr3:uid="{8A1ED29D-5053-4A4D-A7B9-F0E2A3FAAFD7}" uniqueName="9" name="VAR. PTOS." queryTableFieldId="9" dataDxfId="22"/>
    <tableColumn id="10" xr3:uid="{217F482E-729B-4CC0-9192-74DD13AA9AF0}" uniqueName="10" name="ÚLT. OF. COMPRA" queryTableFieldId="10" dataDxfId="21"/>
    <tableColumn id="11" xr3:uid="{C66D5676-7795-436B-B1AC-921568CFBCD8}" uniqueName="11" name="ÚLT. OF. VENDA" queryTableFieldId="11" dataDxfId="20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D8B8BE-192D-4588-A6D7-0BD4C96DB6B0}" name="Vcto_DOL" displayName="Vcto_DOL" ref="A1:A26" tableType="queryTable" totalsRowShown="0" headerRowDxfId="19" dataDxfId="18">
  <autoFilter ref="A1:A26" xr:uid="{BD275AD0-851B-483F-9B00-64809995AB3C}"/>
  <tableColumns count="1">
    <tableColumn id="2" xr3:uid="{B91AF96A-5A60-4774-BE47-1E34B34FA7EA}" uniqueName="2" name="VENCTO" queryTableFieldId="2" dataDxfId="17"/>
  </tableColumns>
  <tableStyleInfo name="Table Style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A6602D-7224-427D-813D-6987A0C13476}" name="Tbl_DOL" displayName="Tbl_DOL" ref="B1:J26" tableType="queryTable" totalsRowShown="0" headerRowDxfId="16" dataDxfId="15">
  <autoFilter ref="B1:J26" xr:uid="{A6759F31-671B-421E-BF8F-7A826039FCD6}"/>
  <tableColumns count="9">
    <tableColumn id="1" xr3:uid="{D3E53C69-053F-4B63-9B71-A0E5910AD4FD}" uniqueName="1" name="PREÇO ABERT." queryTableFieldId="1" dataDxfId="14"/>
    <tableColumn id="2" xr3:uid="{2C35D51E-5EAD-4A4E-8A1D-2C5CE45D3A3E}" uniqueName="2" name="PREÇO MÍN." queryTableFieldId="2" dataDxfId="13"/>
    <tableColumn id="3" xr3:uid="{0FFD43E8-1A92-468C-A894-85E8EFDC2F19}" uniqueName="3" name="PREÇO MÁX." queryTableFieldId="3" dataDxfId="12"/>
    <tableColumn id="4" xr3:uid="{69A79A5D-FCEF-4761-8522-3050316E6C3D}" uniqueName="4" name="PREÇO MÉD." queryTableFieldId="4" dataDxfId="11"/>
    <tableColumn id="5" xr3:uid="{EE1019C7-0FDE-4CC0-9267-AD125E508F96}" uniqueName="5" name="ÚLT. PREÇO" queryTableFieldId="5" dataDxfId="10"/>
    <tableColumn id="6" xr3:uid="{2CF693AE-0C43-49C7-957A-DB40DB1B67E7}" uniqueName="6" name="AJUSTE" queryTableFieldId="6" dataDxfId="9"/>
    <tableColumn id="7" xr3:uid="{637B5D5F-6E91-4AEF-8CEA-5F9FEC8018BD}" uniqueName="7" name="VAR. PTOS." queryTableFieldId="7" dataDxfId="8"/>
    <tableColumn id="8" xr3:uid="{0285596A-83D5-4343-A3FF-5401C021ACD5}" uniqueName="8" name="ÚLT. OF. COMPRA" queryTableFieldId="8" dataDxfId="7"/>
    <tableColumn id="9" xr3:uid="{5E9F49A3-15C9-44FE-A659-2C5875C90D36}" uniqueName="9" name="ÚLT. OF. VENDA" queryTableFieldId="9" dataDxfId="6"/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947359-2785-43E2-B64F-DAB23D1659FC}" name="_2024" displayName="_2024" ref="A1:D19" tableType="queryTable" totalsRowShown="0" headerRowDxfId="5" dataDxfId="4">
  <autoFilter ref="A1:D19" xr:uid="{85947359-2785-43E2-B64F-DAB23D1659FC}"/>
  <tableColumns count="4">
    <tableColumn id="1" xr3:uid="{3A50E566-101E-448A-B5F4-E69B0ECB767D}" uniqueName="1" name="Data" queryTableFieldId="1" dataDxfId="3"/>
    <tableColumn id="2" xr3:uid="{B0AC3C0F-003E-4684-9819-66B29E97D06A}" uniqueName="2" name="Currency" queryTableFieldId="2" dataDxfId="2"/>
    <tableColumn id="3" xr3:uid="{AB81E4B5-F870-4D19-900C-45C12A3AEF79}" uniqueName="3" name="Buy" queryTableFieldId="3" dataDxfId="1"/>
    <tableColumn id="4" xr3:uid="{2DC199C2-3F4B-4C66-AE5C-F34689618D49}" uniqueName="4" name="Sell" queryTableFieldId="4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C1E68-56DE-4371-AC78-039512E695A0}">
  <sheetPr codeName="Sheet1">
    <tabColor rgb="FFC00000"/>
  </sheetPr>
  <dimension ref="A2:E11"/>
  <sheetViews>
    <sheetView showGridLines="0" topLeftCell="F1" zoomScale="145" zoomScaleNormal="145" workbookViewId="0">
      <selection activeCell="S16" sqref="S16"/>
    </sheetView>
  </sheetViews>
  <sheetFormatPr defaultRowHeight="13.8" x14ac:dyDescent="0.3"/>
  <cols>
    <col min="1" max="1" width="10.5546875" customWidth="1"/>
    <col min="2" max="2" width="10.33203125" bestFit="1" customWidth="1"/>
    <col min="5" max="5" width="18.77734375" bestFit="1" customWidth="1"/>
  </cols>
  <sheetData>
    <row r="2" spans="1:5" x14ac:dyDescent="0.3">
      <c r="A2" s="1" t="s">
        <v>0</v>
      </c>
      <c r="B2" s="6">
        <f ca="1">TODAY()</f>
        <v>45557</v>
      </c>
      <c r="E2" s="33" t="s">
        <v>108</v>
      </c>
    </row>
    <row r="3" spans="1:5" x14ac:dyDescent="0.3">
      <c r="A3" s="1" t="s">
        <v>1</v>
      </c>
      <c r="B3" s="6">
        <f ca="1">WORKDAY.INTL(D0,-1,1,Feriados)</f>
        <v>45555</v>
      </c>
    </row>
    <row r="4" spans="1:5" x14ac:dyDescent="0.3">
      <c r="A4" s="1" t="s">
        <v>104</v>
      </c>
      <c r="B4" s="4" cm="1">
        <f t="array" aca="1" ref="B4" ca="1">_xlfn.XLOOKUP(TEXT(D_1, "ddmm"),LEFT(PTAX!$A:$A,4),PTAX!$D:$D,_xlfn.XLOOKUP(TEXT(D_1, "dmm"),LEFT(PTAX!$A:$A,3),PTAX!$D:$D,0,0),0)</f>
        <v>5.4775</v>
      </c>
    </row>
    <row r="5" spans="1:5" x14ac:dyDescent="0.3">
      <c r="A5" s="1" t="s">
        <v>6</v>
      </c>
      <c r="B5" s="5" t="s">
        <v>30</v>
      </c>
    </row>
    <row r="6" spans="1:5" x14ac:dyDescent="0.3">
      <c r="A6" s="22"/>
      <c r="B6" s="22"/>
    </row>
    <row r="7" spans="1:5" x14ac:dyDescent="0.3">
      <c r="A7" s="22"/>
      <c r="B7" s="22"/>
    </row>
    <row r="8" spans="1:5" x14ac:dyDescent="0.3">
      <c r="A8" s="1" t="s">
        <v>2</v>
      </c>
      <c r="B8" s="3">
        <f ca="1">_xlfn.XLOOKUP(Contrato_ref,Depara_vcto,Taxas_DI,0,0)</f>
        <v>0.10653132910134944</v>
      </c>
    </row>
    <row r="9" spans="1:5" x14ac:dyDescent="0.3">
      <c r="A9" s="1" t="s">
        <v>4</v>
      </c>
      <c r="B9" s="3">
        <f ca="1">_xlfn.XLOOKUP(Contrato_ref,Depara_vcto,Taxas_DDI,0,0)</f>
        <v>-0.6324747243264417</v>
      </c>
    </row>
    <row r="10" spans="1:5" x14ac:dyDescent="0.3">
      <c r="A10" s="1" t="s">
        <v>5</v>
      </c>
      <c r="B10" s="2" t="s">
        <v>107</v>
      </c>
    </row>
    <row r="11" spans="1:5" x14ac:dyDescent="0.3">
      <c r="A11" s="1" t="s">
        <v>3</v>
      </c>
      <c r="B11" s="2" t="s">
        <v>107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iar_D1">
                <anchor moveWithCells="1" sizeWithCells="1">
                  <from>
                    <xdr:col>4</xdr:col>
                    <xdr:colOff>22860</xdr:colOff>
                    <xdr:row>2</xdr:row>
                    <xdr:rowOff>38100</xdr:rowOff>
                  </from>
                  <to>
                    <xdr:col>4</xdr:col>
                    <xdr:colOff>1234440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30F50-F37C-4A5D-B232-5574412FCB78}">
  <sheetPr codeName="Sheet3">
    <tabColor theme="0" tint="-4.9989318521683403E-2"/>
  </sheetPr>
  <dimension ref="A1:L39"/>
  <sheetViews>
    <sheetView showGridLines="0" zoomScaleNormal="100" workbookViewId="0">
      <selection activeCell="N1" sqref="N1"/>
    </sheetView>
  </sheetViews>
  <sheetFormatPr defaultRowHeight="12" x14ac:dyDescent="0.25"/>
  <cols>
    <col min="1" max="1" width="11.109375" style="22" bestFit="1" customWidth="1"/>
    <col min="2" max="2" width="18" style="22" bestFit="1" customWidth="1"/>
    <col min="3" max="3" width="19.109375" style="22" bestFit="1" customWidth="1"/>
    <col min="4" max="4" width="15.44140625" style="22" bestFit="1" customWidth="1"/>
    <col min="5" max="5" width="13.77734375" style="22" bestFit="1" customWidth="1"/>
    <col min="6" max="6" width="14" style="22" bestFit="1" customWidth="1"/>
    <col min="7" max="7" width="14.21875" style="22" bestFit="1" customWidth="1"/>
    <col min="8" max="8" width="13.5546875" style="22" bestFit="1" customWidth="1"/>
    <col min="9" max="9" width="10.21875" style="31" bestFit="1" customWidth="1"/>
    <col min="10" max="10" width="12.88671875" style="22" bestFit="1" customWidth="1"/>
    <col min="11" max="11" width="17.5546875" style="22" bestFit="1" customWidth="1"/>
    <col min="12" max="12" width="16.109375" style="22" bestFit="1" customWidth="1"/>
    <col min="13" max="16384" width="8.88671875" style="22"/>
  </cols>
  <sheetData>
    <row r="1" spans="1:12" x14ac:dyDescent="0.25">
      <c r="A1" s="24" t="s">
        <v>31</v>
      </c>
      <c r="B1" s="24" t="s">
        <v>64</v>
      </c>
      <c r="C1" s="24" t="s">
        <v>65</v>
      </c>
      <c r="D1" s="24" t="s">
        <v>32</v>
      </c>
      <c r="E1" s="24" t="s">
        <v>33</v>
      </c>
      <c r="F1" s="24" t="s">
        <v>34</v>
      </c>
      <c r="G1" s="24" t="s">
        <v>35</v>
      </c>
      <c r="H1" s="24" t="s">
        <v>36</v>
      </c>
      <c r="I1" s="30" t="s">
        <v>37</v>
      </c>
      <c r="J1" s="24" t="s">
        <v>38</v>
      </c>
      <c r="K1" s="24" t="s">
        <v>39</v>
      </c>
      <c r="L1" s="24" t="s">
        <v>40</v>
      </c>
    </row>
    <row r="2" spans="1:12" x14ac:dyDescent="0.25">
      <c r="A2" s="22" t="s">
        <v>30</v>
      </c>
      <c r="B2" s="22">
        <v>99719.21</v>
      </c>
      <c r="C2" s="22">
        <v>99759.25</v>
      </c>
      <c r="D2" s="22">
        <v>10.651999999999999</v>
      </c>
      <c r="E2" s="22">
        <v>10.65</v>
      </c>
      <c r="F2" s="22">
        <v>10.654</v>
      </c>
      <c r="G2" s="22">
        <v>10.651</v>
      </c>
      <c r="H2" s="22">
        <v>10.65</v>
      </c>
      <c r="I2" s="31">
        <v>99719.2</v>
      </c>
      <c r="J2" s="22">
        <v>-0.01</v>
      </c>
      <c r="K2" s="22">
        <v>10.65</v>
      </c>
      <c r="L2" s="22">
        <v>10.654</v>
      </c>
    </row>
    <row r="3" spans="1:12" x14ac:dyDescent="0.25">
      <c r="A3" s="22" t="s">
        <v>41</v>
      </c>
      <c r="B3" s="22">
        <v>98801.88</v>
      </c>
      <c r="C3" s="22">
        <v>98841.38</v>
      </c>
      <c r="D3" s="22">
        <v>10.656000000000001</v>
      </c>
      <c r="E3" s="22">
        <v>10.656000000000001</v>
      </c>
      <c r="F3" s="22">
        <v>10.66</v>
      </c>
      <c r="G3" s="22">
        <v>10.656000000000001</v>
      </c>
      <c r="H3" s="22">
        <v>10.66</v>
      </c>
      <c r="I3" s="31">
        <v>98801.7</v>
      </c>
      <c r="J3" s="22">
        <v>-0.18</v>
      </c>
      <c r="K3" s="22">
        <v>10.654</v>
      </c>
      <c r="L3" s="22">
        <v>10.657999999999999</v>
      </c>
    </row>
    <row r="4" spans="1:12" x14ac:dyDescent="0.25">
      <c r="A4" s="22" t="s">
        <v>42</v>
      </c>
      <c r="B4" s="22">
        <v>98026.46</v>
      </c>
      <c r="C4" s="22">
        <v>98061.87</v>
      </c>
      <c r="D4" s="22">
        <v>10.81</v>
      </c>
      <c r="E4" s="22">
        <v>10.805999999999999</v>
      </c>
      <c r="F4" s="22">
        <v>10.82</v>
      </c>
      <c r="G4" s="22">
        <v>10.808999999999999</v>
      </c>
      <c r="H4" s="22">
        <v>10.81</v>
      </c>
      <c r="I4" s="31">
        <v>98022.5</v>
      </c>
      <c r="J4" s="22">
        <v>-3.96</v>
      </c>
      <c r="K4" s="22">
        <v>10.81</v>
      </c>
      <c r="L4" s="22">
        <v>10.816000000000001</v>
      </c>
    </row>
    <row r="5" spans="1:12" x14ac:dyDescent="0.25">
      <c r="A5" s="22" t="s">
        <v>43</v>
      </c>
      <c r="B5" s="22">
        <v>97146.68</v>
      </c>
      <c r="C5" s="22">
        <v>97174.69</v>
      </c>
      <c r="D5" s="22">
        <v>10.99</v>
      </c>
      <c r="E5" s="22">
        <v>10.99</v>
      </c>
      <c r="F5" s="22">
        <v>11.045</v>
      </c>
      <c r="G5" s="22">
        <v>11.023</v>
      </c>
      <c r="H5" s="22">
        <v>11.025</v>
      </c>
      <c r="I5" s="31">
        <v>97135.679999999993</v>
      </c>
      <c r="J5" s="22">
        <v>-11</v>
      </c>
      <c r="K5" s="22">
        <v>11.015000000000001</v>
      </c>
      <c r="L5" s="22">
        <v>11.02</v>
      </c>
    </row>
    <row r="6" spans="1:12" x14ac:dyDescent="0.25">
      <c r="A6" s="22" t="s">
        <v>44</v>
      </c>
      <c r="B6" s="22">
        <v>96213.16</v>
      </c>
      <c r="C6" s="22">
        <v>96235.82</v>
      </c>
      <c r="D6" s="22">
        <v>11.215</v>
      </c>
      <c r="E6" s="22">
        <v>11.195</v>
      </c>
      <c r="F6" s="22">
        <v>11.215</v>
      </c>
      <c r="G6" s="22">
        <v>11.204000000000001</v>
      </c>
      <c r="H6" s="22">
        <v>11.2</v>
      </c>
      <c r="I6" s="31">
        <v>96197.19</v>
      </c>
      <c r="J6" s="22">
        <v>-15.97</v>
      </c>
      <c r="K6" s="22">
        <v>11.17</v>
      </c>
      <c r="L6" s="22">
        <v>11.205</v>
      </c>
    </row>
    <row r="7" spans="1:12" x14ac:dyDescent="0.25">
      <c r="A7" s="22" t="s">
        <v>45</v>
      </c>
      <c r="B7" s="22">
        <v>95340.65</v>
      </c>
      <c r="C7" s="22">
        <v>95356.52</v>
      </c>
      <c r="D7" s="22">
        <v>11.375</v>
      </c>
      <c r="E7" s="22">
        <v>11.375</v>
      </c>
      <c r="F7" s="22">
        <v>11.41</v>
      </c>
      <c r="G7" s="22">
        <v>11.381</v>
      </c>
      <c r="H7" s="22">
        <v>11.38</v>
      </c>
      <c r="I7" s="31">
        <v>95318.24</v>
      </c>
      <c r="J7" s="22">
        <v>-22.41</v>
      </c>
      <c r="K7" s="22">
        <v>11.365</v>
      </c>
      <c r="L7" s="22">
        <v>11.4</v>
      </c>
    </row>
    <row r="8" spans="1:12" x14ac:dyDescent="0.25">
      <c r="A8" s="22" t="s">
        <v>46</v>
      </c>
      <c r="B8" s="22">
        <v>94514.2</v>
      </c>
      <c r="C8" s="22">
        <v>94528.01</v>
      </c>
      <c r="D8" s="22">
        <v>11.48</v>
      </c>
      <c r="E8" s="22">
        <v>11.465</v>
      </c>
      <c r="F8" s="22">
        <v>11.535</v>
      </c>
      <c r="G8" s="22">
        <v>11.509</v>
      </c>
      <c r="H8" s="22">
        <v>11.51</v>
      </c>
      <c r="I8" s="31">
        <v>94490.06</v>
      </c>
      <c r="J8" s="22">
        <v>-24.14</v>
      </c>
      <c r="K8" s="22">
        <v>11.5</v>
      </c>
      <c r="L8" s="22">
        <v>11.515000000000001</v>
      </c>
    </row>
    <row r="9" spans="1:12" x14ac:dyDescent="0.25">
      <c r="A9" s="22" t="s">
        <v>47</v>
      </c>
      <c r="B9" s="22">
        <v>93644.7</v>
      </c>
      <c r="C9" s="22">
        <v>93647.2</v>
      </c>
      <c r="D9" s="22">
        <v>11.64</v>
      </c>
      <c r="E9" s="22">
        <v>11.625</v>
      </c>
      <c r="F9" s="22">
        <v>11.66</v>
      </c>
      <c r="G9" s="22">
        <v>11.641999999999999</v>
      </c>
      <c r="H9" s="22">
        <v>11.65</v>
      </c>
      <c r="I9" s="31">
        <v>93609.61</v>
      </c>
      <c r="J9" s="22">
        <v>-35.090000000000003</v>
      </c>
      <c r="K9" s="22">
        <v>11.62</v>
      </c>
      <c r="L9" s="22">
        <v>11.645</v>
      </c>
    </row>
    <row r="10" spans="1:12" x14ac:dyDescent="0.25">
      <c r="A10" s="22" t="s">
        <v>48</v>
      </c>
      <c r="B10" s="22">
        <v>92739.68</v>
      </c>
      <c r="C10" s="22">
        <v>92732.14</v>
      </c>
      <c r="D10" s="22">
        <v>11.75</v>
      </c>
      <c r="E10" s="22">
        <v>11.705</v>
      </c>
      <c r="F10" s="22">
        <v>11.755000000000001</v>
      </c>
      <c r="G10" s="22">
        <v>11.749000000000001</v>
      </c>
      <c r="H10" s="22">
        <v>11.75</v>
      </c>
      <c r="I10" s="31">
        <v>92694.91</v>
      </c>
      <c r="J10" s="22">
        <v>-44.77</v>
      </c>
      <c r="K10" s="22">
        <v>11.72</v>
      </c>
      <c r="L10" s="22">
        <v>11.76</v>
      </c>
    </row>
    <row r="11" spans="1:12" x14ac:dyDescent="0.25">
      <c r="A11" s="22" t="s">
        <v>49</v>
      </c>
      <c r="B11" s="22">
        <v>91871.59</v>
      </c>
      <c r="C11" s="22">
        <v>91853.91</v>
      </c>
      <c r="D11" s="22">
        <v>11.78</v>
      </c>
      <c r="E11" s="22">
        <v>11.775</v>
      </c>
      <c r="F11" s="22">
        <v>11.875</v>
      </c>
      <c r="G11" s="22">
        <v>11.836</v>
      </c>
      <c r="H11" s="22">
        <v>11.84</v>
      </c>
      <c r="I11" s="31">
        <v>91817.04</v>
      </c>
      <c r="J11" s="22">
        <v>-54.55</v>
      </c>
      <c r="K11" s="22">
        <v>11.83</v>
      </c>
      <c r="L11" s="22">
        <v>11.84</v>
      </c>
    </row>
    <row r="12" spans="1:12" x14ac:dyDescent="0.25">
      <c r="A12" s="22" t="s">
        <v>50</v>
      </c>
      <c r="B12" s="22">
        <v>90892.84</v>
      </c>
      <c r="C12" s="22">
        <v>90859.72</v>
      </c>
      <c r="D12" s="22">
        <v>11.875</v>
      </c>
      <c r="E12" s="22">
        <v>11.86</v>
      </c>
      <c r="F12" s="22">
        <v>11.94</v>
      </c>
      <c r="G12" s="22">
        <v>11.907</v>
      </c>
      <c r="H12" s="22">
        <v>11.94</v>
      </c>
      <c r="I12" s="31">
        <v>90823.25</v>
      </c>
      <c r="J12" s="22">
        <v>-69.59</v>
      </c>
      <c r="K12" s="22">
        <v>11.89</v>
      </c>
      <c r="L12" s="22">
        <v>11.935</v>
      </c>
    </row>
    <row r="13" spans="1:12" x14ac:dyDescent="0.25">
      <c r="A13" s="22" t="s">
        <v>109</v>
      </c>
      <c r="B13" s="22">
        <v>90005.51</v>
      </c>
      <c r="C13" s="22">
        <v>89965.1</v>
      </c>
      <c r="D13" s="22">
        <v>11.96</v>
      </c>
      <c r="E13" s="22">
        <v>11.96</v>
      </c>
      <c r="F13" s="22">
        <v>11.994999999999999</v>
      </c>
      <c r="G13" s="22">
        <v>11.973000000000001</v>
      </c>
      <c r="H13" s="22">
        <v>11.994999999999999</v>
      </c>
      <c r="I13" s="31">
        <v>89928.98</v>
      </c>
      <c r="J13" s="22">
        <v>-76.53</v>
      </c>
      <c r="K13" s="22">
        <v>11.955</v>
      </c>
      <c r="L13" s="22">
        <v>0</v>
      </c>
    </row>
    <row r="14" spans="1:12" x14ac:dyDescent="0.25">
      <c r="A14" s="22" t="s">
        <v>51</v>
      </c>
      <c r="B14" s="22">
        <v>89079.25</v>
      </c>
      <c r="C14" s="22">
        <v>89027.98</v>
      </c>
      <c r="D14" s="22">
        <v>11.99</v>
      </c>
      <c r="E14" s="22">
        <v>11.97</v>
      </c>
      <c r="F14" s="22">
        <v>12.09</v>
      </c>
      <c r="G14" s="22">
        <v>12.047000000000001</v>
      </c>
      <c r="H14" s="22">
        <v>12.045</v>
      </c>
      <c r="I14" s="31">
        <v>88992.24</v>
      </c>
      <c r="J14" s="22">
        <v>-87.01</v>
      </c>
      <c r="K14" s="22">
        <v>12.045</v>
      </c>
      <c r="L14" s="22">
        <v>12.055</v>
      </c>
    </row>
    <row r="15" spans="1:12" x14ac:dyDescent="0.25">
      <c r="A15" s="22" t="s">
        <v>52</v>
      </c>
      <c r="B15" s="22">
        <v>86475</v>
      </c>
      <c r="C15" s="22">
        <v>86371.17</v>
      </c>
      <c r="D15" s="22">
        <v>12.065</v>
      </c>
      <c r="E15" s="22">
        <v>12.06</v>
      </c>
      <c r="F15" s="22">
        <v>12.225</v>
      </c>
      <c r="G15" s="22">
        <v>12.16</v>
      </c>
      <c r="H15" s="22">
        <v>12.154999999999999</v>
      </c>
      <c r="I15" s="31">
        <v>86336.5</v>
      </c>
      <c r="J15" s="22">
        <v>-138.5</v>
      </c>
      <c r="K15" s="22">
        <v>12.15</v>
      </c>
      <c r="L15" s="22">
        <v>12.164999999999999</v>
      </c>
    </row>
    <row r="16" spans="1:12" x14ac:dyDescent="0.25">
      <c r="A16" s="22" t="s">
        <v>53</v>
      </c>
      <c r="B16" s="22">
        <v>84080.84</v>
      </c>
      <c r="C16" s="22">
        <v>83916.27</v>
      </c>
      <c r="D16" s="22">
        <v>12.13</v>
      </c>
      <c r="E16" s="22">
        <v>12.105</v>
      </c>
      <c r="F16" s="22">
        <v>12.305</v>
      </c>
      <c r="G16" s="22">
        <v>12.243</v>
      </c>
      <c r="H16" s="22">
        <v>12.225</v>
      </c>
      <c r="I16" s="31">
        <v>83882.58</v>
      </c>
      <c r="J16" s="22">
        <v>-198.26</v>
      </c>
      <c r="K16" s="22">
        <v>12.215</v>
      </c>
      <c r="L16" s="22">
        <v>12.25</v>
      </c>
    </row>
    <row r="17" spans="1:12" x14ac:dyDescent="0.25">
      <c r="A17" s="22" t="s">
        <v>54</v>
      </c>
      <c r="B17" s="22">
        <v>81793.89</v>
      </c>
      <c r="C17" s="22">
        <v>81569.149999999994</v>
      </c>
      <c r="D17" s="22">
        <v>12.105</v>
      </c>
      <c r="E17" s="22">
        <v>12.08</v>
      </c>
      <c r="F17" s="22">
        <v>12.34</v>
      </c>
      <c r="G17" s="22">
        <v>12.247</v>
      </c>
      <c r="H17" s="22">
        <v>12.25</v>
      </c>
      <c r="I17" s="31">
        <v>81536.399999999994</v>
      </c>
      <c r="J17" s="22">
        <v>-257.49</v>
      </c>
      <c r="K17" s="22">
        <v>12.24</v>
      </c>
      <c r="L17" s="22">
        <v>12.265000000000001</v>
      </c>
    </row>
    <row r="18" spans="1:12" x14ac:dyDescent="0.25">
      <c r="A18" s="22" t="s">
        <v>55</v>
      </c>
      <c r="B18" s="22">
        <v>79461.820000000007</v>
      </c>
      <c r="C18" s="22">
        <v>79173.399999999994</v>
      </c>
      <c r="D18" s="22">
        <v>12.085000000000001</v>
      </c>
      <c r="E18" s="22">
        <v>12.065</v>
      </c>
      <c r="F18" s="22">
        <v>12.335000000000001</v>
      </c>
      <c r="G18" s="22">
        <v>12.233000000000001</v>
      </c>
      <c r="H18" s="22">
        <v>12.244999999999999</v>
      </c>
      <c r="I18" s="31">
        <v>79141.62</v>
      </c>
      <c r="J18" s="22">
        <v>-320.2</v>
      </c>
      <c r="K18" s="22">
        <v>12.225</v>
      </c>
      <c r="L18" s="22">
        <v>0</v>
      </c>
    </row>
    <row r="19" spans="1:12" x14ac:dyDescent="0.25">
      <c r="A19" s="22" t="s">
        <v>56</v>
      </c>
      <c r="B19" s="22">
        <v>77330.649999999994</v>
      </c>
      <c r="C19" s="22">
        <v>76995.839999999997</v>
      </c>
      <c r="D19" s="22">
        <v>11.99</v>
      </c>
      <c r="E19" s="22">
        <v>11.99</v>
      </c>
      <c r="F19" s="22">
        <v>12.32</v>
      </c>
      <c r="G19" s="22">
        <v>12.194000000000001</v>
      </c>
      <c r="H19" s="22">
        <v>12.21</v>
      </c>
      <c r="I19" s="31">
        <v>76964.929999999993</v>
      </c>
      <c r="J19" s="22">
        <v>-365.72</v>
      </c>
      <c r="K19" s="22">
        <v>12.205</v>
      </c>
      <c r="L19" s="22">
        <v>12.215</v>
      </c>
    </row>
    <row r="20" spans="1:12" x14ac:dyDescent="0.25">
      <c r="A20" s="22" t="s">
        <v>57</v>
      </c>
      <c r="B20" s="22">
        <v>75288.55</v>
      </c>
      <c r="C20" s="22">
        <v>74889.710000000006</v>
      </c>
      <c r="D20" s="22">
        <v>12.06</v>
      </c>
      <c r="E20" s="22">
        <v>12.02</v>
      </c>
      <c r="F20" s="22">
        <v>12.33</v>
      </c>
      <c r="G20" s="22">
        <v>12.196999999999999</v>
      </c>
      <c r="H20" s="22">
        <v>12.23</v>
      </c>
      <c r="I20" s="31">
        <v>74859.649999999994</v>
      </c>
      <c r="J20" s="22">
        <v>-428.9</v>
      </c>
      <c r="K20" s="22">
        <v>0</v>
      </c>
      <c r="L20" s="22">
        <v>0</v>
      </c>
    </row>
    <row r="21" spans="1:12" x14ac:dyDescent="0.25">
      <c r="A21" s="22" t="s">
        <v>58</v>
      </c>
      <c r="B21" s="22">
        <v>73147.399999999994</v>
      </c>
      <c r="C21" s="22">
        <v>72727.13</v>
      </c>
      <c r="D21" s="22">
        <v>12.025</v>
      </c>
      <c r="E21" s="22">
        <v>12.02</v>
      </c>
      <c r="F21" s="22">
        <v>12.35</v>
      </c>
      <c r="G21" s="22">
        <v>12.241</v>
      </c>
      <c r="H21" s="22">
        <v>12.234999999999999</v>
      </c>
      <c r="I21" s="31">
        <v>72697.929999999993</v>
      </c>
      <c r="J21" s="22">
        <v>-449.47</v>
      </c>
      <c r="K21" s="22">
        <v>12.12</v>
      </c>
      <c r="L21" s="22">
        <v>12.25</v>
      </c>
    </row>
    <row r="22" spans="1:12" x14ac:dyDescent="0.25">
      <c r="A22" s="22" t="s">
        <v>66</v>
      </c>
      <c r="B22" s="22">
        <v>70992.58</v>
      </c>
      <c r="C22" s="22">
        <v>70551.33</v>
      </c>
      <c r="D22" s="22">
        <v>12.085000000000001</v>
      </c>
      <c r="E22" s="22">
        <v>12.04</v>
      </c>
      <c r="F22" s="22">
        <v>12.37</v>
      </c>
      <c r="G22" s="22">
        <v>12.244</v>
      </c>
      <c r="H22" s="22">
        <v>12.3</v>
      </c>
      <c r="I22" s="31">
        <v>70523.009999999995</v>
      </c>
      <c r="J22" s="22">
        <v>-469.57</v>
      </c>
      <c r="K22" s="22">
        <v>0</v>
      </c>
      <c r="L22" s="22">
        <v>0</v>
      </c>
    </row>
    <row r="23" spans="1:12" x14ac:dyDescent="0.25">
      <c r="A23" s="22" t="s">
        <v>59</v>
      </c>
      <c r="B23" s="22">
        <v>69006.52</v>
      </c>
      <c r="C23" s="22">
        <v>68519.66</v>
      </c>
      <c r="D23" s="22">
        <v>12.05</v>
      </c>
      <c r="E23" s="22">
        <v>12.035</v>
      </c>
      <c r="F23" s="22">
        <v>12.385</v>
      </c>
      <c r="G23" s="22">
        <v>12.257</v>
      </c>
      <c r="H23" s="22">
        <v>12.25</v>
      </c>
      <c r="I23" s="31">
        <v>68492.149999999994</v>
      </c>
      <c r="J23" s="22">
        <v>-514.37</v>
      </c>
      <c r="K23" s="22">
        <v>12.25</v>
      </c>
      <c r="L23" s="22">
        <v>12.27</v>
      </c>
    </row>
    <row r="24" spans="1:12" x14ac:dyDescent="0.25">
      <c r="A24" s="22" t="s">
        <v>67</v>
      </c>
      <c r="B24" s="22">
        <v>67040.850000000006</v>
      </c>
      <c r="C24" s="22">
        <v>66514.990000000005</v>
      </c>
      <c r="D24" s="22">
        <v>12.15</v>
      </c>
      <c r="E24" s="22">
        <v>12.15</v>
      </c>
      <c r="F24" s="22">
        <v>12.404999999999999</v>
      </c>
      <c r="G24" s="22">
        <v>12.295999999999999</v>
      </c>
      <c r="H24" s="22">
        <v>12.28</v>
      </c>
      <c r="I24" s="31">
        <v>66488.289999999994</v>
      </c>
      <c r="J24" s="22">
        <v>-552.55999999999995</v>
      </c>
      <c r="K24" s="22">
        <v>0</v>
      </c>
      <c r="L24" s="22">
        <v>0</v>
      </c>
    </row>
    <row r="25" spans="1:12" x14ac:dyDescent="0.25">
      <c r="A25" s="22" t="s">
        <v>60</v>
      </c>
      <c r="B25" s="22">
        <v>65163.91</v>
      </c>
      <c r="C25" s="22">
        <v>64596.44</v>
      </c>
      <c r="D25" s="22">
        <v>12.085000000000001</v>
      </c>
      <c r="E25" s="22">
        <v>12.08</v>
      </c>
      <c r="F25" s="22">
        <v>12.44</v>
      </c>
      <c r="G25" s="22">
        <v>12.256</v>
      </c>
      <c r="H25" s="22">
        <v>12.295</v>
      </c>
      <c r="I25" s="31">
        <v>64570.51</v>
      </c>
      <c r="J25" s="22">
        <v>-593.4</v>
      </c>
      <c r="K25" s="22">
        <v>12.285</v>
      </c>
      <c r="L25" s="22">
        <v>12.335000000000001</v>
      </c>
    </row>
    <row r="26" spans="1:12" x14ac:dyDescent="0.25">
      <c r="A26" s="22" t="s">
        <v>68</v>
      </c>
      <c r="B26" s="22">
        <v>63255.63</v>
      </c>
      <c r="C26" s="22">
        <v>62674.87</v>
      </c>
      <c r="D26" s="22">
        <v>12.115</v>
      </c>
      <c r="E26" s="22">
        <v>12.115</v>
      </c>
      <c r="F26" s="22">
        <v>12.455</v>
      </c>
      <c r="G26" s="22">
        <v>12.31</v>
      </c>
      <c r="H26" s="22">
        <v>12.385</v>
      </c>
      <c r="I26" s="31">
        <v>62649.71</v>
      </c>
      <c r="J26" s="22">
        <v>-605.91999999999996</v>
      </c>
      <c r="K26" s="22">
        <v>0</v>
      </c>
      <c r="L26" s="22">
        <v>0</v>
      </c>
    </row>
    <row r="27" spans="1:12" x14ac:dyDescent="0.25">
      <c r="A27" s="22" t="s">
        <v>61</v>
      </c>
      <c r="B27" s="22">
        <v>61588.37</v>
      </c>
      <c r="C27" s="22">
        <v>60964.7</v>
      </c>
      <c r="D27" s="22">
        <v>12.09</v>
      </c>
      <c r="E27" s="22">
        <v>12.074999999999999</v>
      </c>
      <c r="F27" s="22">
        <v>12.46</v>
      </c>
      <c r="G27" s="22">
        <v>12.311999999999999</v>
      </c>
      <c r="H27" s="22">
        <v>12.31</v>
      </c>
      <c r="I27" s="31">
        <v>60940.23</v>
      </c>
      <c r="J27" s="22">
        <v>-648.14</v>
      </c>
      <c r="K27" s="22">
        <v>12.31</v>
      </c>
      <c r="L27" s="22">
        <v>12.33</v>
      </c>
    </row>
    <row r="28" spans="1:12" x14ac:dyDescent="0.25">
      <c r="A28" s="22" t="s">
        <v>69</v>
      </c>
      <c r="B28" s="22">
        <v>59890.81</v>
      </c>
      <c r="C28" s="22">
        <v>59265.04</v>
      </c>
      <c r="D28" s="22">
        <v>12.205</v>
      </c>
      <c r="E28" s="22">
        <v>12.205</v>
      </c>
      <c r="F28" s="22">
        <v>12.395</v>
      </c>
      <c r="G28" s="22">
        <v>12.301</v>
      </c>
      <c r="H28" s="22">
        <v>12.35</v>
      </c>
      <c r="I28" s="31">
        <v>59241.25</v>
      </c>
      <c r="J28" s="22">
        <v>-649.55999999999995</v>
      </c>
      <c r="K28" s="22">
        <v>0</v>
      </c>
      <c r="L28" s="22">
        <v>0</v>
      </c>
    </row>
    <row r="29" spans="1:12" x14ac:dyDescent="0.25">
      <c r="A29" s="22" t="s">
        <v>62</v>
      </c>
      <c r="B29" s="22">
        <v>58202.46</v>
      </c>
      <c r="C29" s="22">
        <v>57544.65</v>
      </c>
      <c r="D29" s="22">
        <v>12.095000000000001</v>
      </c>
      <c r="E29" s="22">
        <v>12.095000000000001</v>
      </c>
      <c r="F29" s="22">
        <v>12.475</v>
      </c>
      <c r="G29" s="22">
        <v>12.305999999999999</v>
      </c>
      <c r="H29" s="22">
        <v>12.335000000000001</v>
      </c>
      <c r="I29" s="31">
        <v>57521.55</v>
      </c>
      <c r="J29" s="22">
        <v>-680.91</v>
      </c>
      <c r="K29" s="22">
        <v>12.32</v>
      </c>
      <c r="L29" s="22">
        <v>0</v>
      </c>
    </row>
    <row r="30" spans="1:12" x14ac:dyDescent="0.25">
      <c r="A30" s="22" t="s">
        <v>63</v>
      </c>
      <c r="B30" s="22">
        <v>54922.09</v>
      </c>
      <c r="C30" s="22">
        <v>54247.06</v>
      </c>
      <c r="D30" s="22">
        <v>12.14</v>
      </c>
      <c r="E30" s="22">
        <v>12.12</v>
      </c>
      <c r="F30" s="22">
        <v>12.5</v>
      </c>
      <c r="G30" s="22">
        <v>12.342000000000001</v>
      </c>
      <c r="H30" s="22">
        <v>12.35</v>
      </c>
      <c r="I30" s="31">
        <v>54225.279999999999</v>
      </c>
      <c r="J30" s="22">
        <v>-696.81</v>
      </c>
      <c r="K30" s="22">
        <v>12.35</v>
      </c>
      <c r="L30" s="22">
        <v>12.37</v>
      </c>
    </row>
    <row r="31" spans="1:12" x14ac:dyDescent="0.25">
      <c r="A31" s="22" t="s">
        <v>70</v>
      </c>
      <c r="B31" s="22">
        <v>49068.45</v>
      </c>
      <c r="C31" s="22">
        <v>48322.400000000001</v>
      </c>
      <c r="D31" s="22">
        <v>12.09</v>
      </c>
      <c r="E31" s="22">
        <v>12.09</v>
      </c>
      <c r="F31" s="22">
        <v>12.47</v>
      </c>
      <c r="G31" s="22">
        <v>12.304</v>
      </c>
      <c r="H31" s="22">
        <v>12.33</v>
      </c>
      <c r="I31" s="31">
        <v>48303</v>
      </c>
      <c r="J31" s="22">
        <v>-765.45</v>
      </c>
      <c r="K31" s="22">
        <v>12.33</v>
      </c>
      <c r="L31" s="22">
        <v>12.34</v>
      </c>
    </row>
    <row r="32" spans="1:12" x14ac:dyDescent="0.25">
      <c r="A32" s="22" t="s">
        <v>71</v>
      </c>
      <c r="B32" s="22">
        <v>43801.48</v>
      </c>
      <c r="C32" s="22">
        <v>43026.41</v>
      </c>
      <c r="D32" s="22">
        <v>12.14</v>
      </c>
      <c r="E32" s="22">
        <v>12.08</v>
      </c>
      <c r="F32" s="22">
        <v>12.46</v>
      </c>
      <c r="G32" s="22">
        <v>12.301</v>
      </c>
      <c r="H32" s="22">
        <v>12.32</v>
      </c>
      <c r="I32" s="31">
        <v>43009.14</v>
      </c>
      <c r="J32" s="22">
        <v>-792.34</v>
      </c>
      <c r="K32" s="22">
        <v>12.14</v>
      </c>
      <c r="L32" s="22">
        <v>12.34</v>
      </c>
    </row>
    <row r="33" spans="1:12" x14ac:dyDescent="0.25">
      <c r="A33" s="22" t="s">
        <v>72</v>
      </c>
      <c r="B33" s="22">
        <v>39129.85</v>
      </c>
      <c r="C33" s="22">
        <v>38354.199999999997</v>
      </c>
      <c r="D33" s="22">
        <v>12.08</v>
      </c>
      <c r="E33" s="22">
        <v>12.06</v>
      </c>
      <c r="F33" s="22">
        <v>12.43</v>
      </c>
      <c r="G33" s="22">
        <v>12.266999999999999</v>
      </c>
      <c r="H33" s="22">
        <v>12.31</v>
      </c>
      <c r="I33" s="31">
        <v>38338.800000000003</v>
      </c>
      <c r="J33" s="22">
        <v>-791.05</v>
      </c>
      <c r="K33" s="22">
        <v>12.3</v>
      </c>
      <c r="L33" s="22">
        <v>12.31</v>
      </c>
    </row>
    <row r="34" spans="1:12" x14ac:dyDescent="0.25">
      <c r="A34" s="22" t="s">
        <v>73</v>
      </c>
      <c r="B34" s="22">
        <v>35023.879999999997</v>
      </c>
      <c r="C34" s="22">
        <v>34233.19</v>
      </c>
      <c r="D34" s="22">
        <v>12.22</v>
      </c>
      <c r="E34" s="22">
        <v>12.22</v>
      </c>
      <c r="F34" s="22">
        <v>12.38</v>
      </c>
      <c r="G34" s="22">
        <v>12.263999999999999</v>
      </c>
      <c r="H34" s="22">
        <v>12.27</v>
      </c>
      <c r="I34" s="31">
        <v>34219.449999999997</v>
      </c>
      <c r="J34" s="22">
        <v>-804.43</v>
      </c>
      <c r="K34" s="22">
        <v>12.26</v>
      </c>
      <c r="L34" s="22">
        <v>0</v>
      </c>
    </row>
    <row r="35" spans="1:12" x14ac:dyDescent="0.25">
      <c r="A35" s="22" t="s">
        <v>74</v>
      </c>
      <c r="B35" s="22">
        <v>31306.03</v>
      </c>
      <c r="C35" s="22">
        <v>30523.42</v>
      </c>
      <c r="D35" s="22">
        <v>12.08</v>
      </c>
      <c r="E35" s="22">
        <v>12.04</v>
      </c>
      <c r="F35" s="22">
        <v>12.4</v>
      </c>
      <c r="G35" s="22">
        <v>12.191000000000001</v>
      </c>
      <c r="H35" s="22">
        <v>12.26</v>
      </c>
      <c r="I35" s="31">
        <v>30511.17</v>
      </c>
      <c r="J35" s="22">
        <v>-794.86</v>
      </c>
      <c r="K35" s="22">
        <v>12.26</v>
      </c>
      <c r="L35" s="22">
        <v>12.29</v>
      </c>
    </row>
    <row r="36" spans="1:12" x14ac:dyDescent="0.25">
      <c r="A36" s="22" t="s">
        <v>75</v>
      </c>
      <c r="B36" s="22">
        <v>28035.45</v>
      </c>
      <c r="C36" s="22">
        <v>27266.41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31">
        <v>27255.46</v>
      </c>
      <c r="J36" s="22">
        <v>-779.99</v>
      </c>
      <c r="K36" s="22">
        <v>0</v>
      </c>
      <c r="L36" s="22">
        <v>0</v>
      </c>
    </row>
    <row r="37" spans="1:12" x14ac:dyDescent="0.25">
      <c r="A37" s="22" t="s">
        <v>76</v>
      </c>
      <c r="B37" s="22">
        <v>25015.69</v>
      </c>
      <c r="C37" s="22">
        <v>24267.919999999998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31">
        <v>24258.18</v>
      </c>
      <c r="J37" s="22">
        <v>-757.51</v>
      </c>
      <c r="K37" s="22">
        <v>0</v>
      </c>
      <c r="L37" s="22">
        <v>0</v>
      </c>
    </row>
    <row r="38" spans="1:12" x14ac:dyDescent="0.25">
      <c r="A38" s="22" t="s">
        <v>77</v>
      </c>
      <c r="B38" s="22">
        <v>22361.45</v>
      </c>
      <c r="C38" s="22">
        <v>21639.01</v>
      </c>
      <c r="D38" s="22">
        <v>0</v>
      </c>
      <c r="E38" s="22">
        <v>0</v>
      </c>
      <c r="F38" s="22">
        <v>0</v>
      </c>
      <c r="G38" s="22">
        <v>0</v>
      </c>
      <c r="H38" s="22">
        <v>0</v>
      </c>
      <c r="I38" s="31">
        <v>21630.32</v>
      </c>
      <c r="J38" s="22">
        <v>-731.13</v>
      </c>
      <c r="K38" s="22">
        <v>0</v>
      </c>
      <c r="L38" s="22">
        <v>0</v>
      </c>
    </row>
    <row r="39" spans="1:12" x14ac:dyDescent="0.25">
      <c r="A39" s="22" t="s">
        <v>78</v>
      </c>
      <c r="B39" s="22">
        <v>19970.830000000002</v>
      </c>
      <c r="C39" s="22">
        <v>19277.12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31">
        <v>19269.38</v>
      </c>
      <c r="J39" s="22">
        <v>-701.45</v>
      </c>
      <c r="K39" s="22">
        <v>0</v>
      </c>
      <c r="L39" s="22">
        <v>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FC13A-6A26-4FBF-AF45-D6DF1AFCE04A}">
  <sheetPr codeName="Sheet4">
    <tabColor theme="0" tint="-4.9989318521683403E-2"/>
  </sheetPr>
  <dimension ref="A1:L39"/>
  <sheetViews>
    <sheetView showGridLines="0" topLeftCell="A10" workbookViewId="0">
      <selection activeCell="J30" sqref="J30"/>
    </sheetView>
  </sheetViews>
  <sheetFormatPr defaultRowHeight="12" x14ac:dyDescent="0.25"/>
  <cols>
    <col min="1" max="1" width="11.109375" style="22" bestFit="1" customWidth="1"/>
    <col min="2" max="2" width="18" style="22" bestFit="1" customWidth="1"/>
    <col min="3" max="3" width="19.109375" style="22" bestFit="1" customWidth="1"/>
    <col min="4" max="4" width="15.44140625" style="22" bestFit="1" customWidth="1"/>
    <col min="5" max="5" width="13.77734375" style="22" bestFit="1" customWidth="1"/>
    <col min="6" max="6" width="14" style="22" bestFit="1" customWidth="1"/>
    <col min="7" max="7" width="14.21875" style="22" bestFit="1" customWidth="1"/>
    <col min="8" max="8" width="13.5546875" style="22" bestFit="1" customWidth="1"/>
    <col min="9" max="9" width="10.21875" style="23" bestFit="1" customWidth="1"/>
    <col min="10" max="10" width="12.88671875" style="22" bestFit="1" customWidth="1"/>
    <col min="11" max="11" width="17.5546875" style="22" bestFit="1" customWidth="1"/>
    <col min="12" max="12" width="16.109375" style="22" bestFit="1" customWidth="1"/>
    <col min="13" max="16384" width="8.88671875" style="22"/>
  </cols>
  <sheetData>
    <row r="1" spans="1:12" x14ac:dyDescent="0.25">
      <c r="A1" s="24" t="s">
        <v>31</v>
      </c>
      <c r="B1" s="24" t="s">
        <v>64</v>
      </c>
      <c r="C1" s="24" t="s">
        <v>65</v>
      </c>
      <c r="D1" s="24" t="s">
        <v>32</v>
      </c>
      <c r="E1" s="24" t="s">
        <v>33</v>
      </c>
      <c r="F1" s="24" t="s">
        <v>34</v>
      </c>
      <c r="G1" s="24" t="s">
        <v>35</v>
      </c>
      <c r="H1" s="24" t="s">
        <v>36</v>
      </c>
      <c r="I1" s="24" t="s">
        <v>37</v>
      </c>
      <c r="J1" s="24" t="s">
        <v>38</v>
      </c>
      <c r="K1" s="24" t="s">
        <v>39</v>
      </c>
      <c r="L1" s="24" t="s">
        <v>40</v>
      </c>
    </row>
    <row r="2" spans="1:12" x14ac:dyDescent="0.25">
      <c r="A2" s="22" t="s">
        <v>30</v>
      </c>
      <c r="B2" s="22">
        <v>99956.27</v>
      </c>
      <c r="C2" s="22">
        <v>100559.94</v>
      </c>
      <c r="D2" s="22">
        <v>-45</v>
      </c>
      <c r="E2" s="22">
        <v>-45</v>
      </c>
      <c r="F2" s="22">
        <v>-45</v>
      </c>
      <c r="G2" s="22">
        <v>-45</v>
      </c>
      <c r="H2" s="22">
        <v>-45</v>
      </c>
      <c r="I2" s="23">
        <v>101606.59</v>
      </c>
      <c r="J2" s="22">
        <v>1650.32</v>
      </c>
      <c r="K2" s="22">
        <v>0</v>
      </c>
      <c r="L2" s="22">
        <v>0</v>
      </c>
    </row>
    <row r="3" spans="1:12" x14ac:dyDescent="0.25">
      <c r="A3" s="22" t="s">
        <v>41</v>
      </c>
      <c r="B3" s="22">
        <v>99384.639999999999</v>
      </c>
      <c r="C3" s="22">
        <v>99983.92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3">
        <v>101024.57</v>
      </c>
      <c r="J3" s="22">
        <v>1639.93</v>
      </c>
      <c r="K3" s="22">
        <v>0</v>
      </c>
      <c r="L3" s="22">
        <v>0</v>
      </c>
    </row>
    <row r="4" spans="1:12" x14ac:dyDescent="0.25">
      <c r="A4" s="22" t="s">
        <v>42</v>
      </c>
      <c r="B4" s="22">
        <v>98917.17</v>
      </c>
      <c r="C4" s="22">
        <v>99514.54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3">
        <v>100550.31</v>
      </c>
      <c r="J4" s="22">
        <v>1633.14</v>
      </c>
      <c r="K4" s="22">
        <v>0</v>
      </c>
      <c r="L4" s="22">
        <v>0</v>
      </c>
    </row>
    <row r="5" spans="1:12" x14ac:dyDescent="0.25">
      <c r="A5" s="22" t="s">
        <v>43</v>
      </c>
      <c r="B5" s="22">
        <v>98392.98</v>
      </c>
      <c r="C5" s="22">
        <v>98987.35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3">
        <v>100017.63</v>
      </c>
      <c r="J5" s="22">
        <v>1624.65</v>
      </c>
      <c r="K5" s="22">
        <v>0</v>
      </c>
      <c r="L5" s="22">
        <v>0</v>
      </c>
    </row>
    <row r="6" spans="1:12" x14ac:dyDescent="0.25">
      <c r="A6" s="22" t="s">
        <v>44</v>
      </c>
      <c r="B6" s="22">
        <v>97903.08</v>
      </c>
      <c r="C6" s="22">
        <v>98487.71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3">
        <v>99512.79</v>
      </c>
      <c r="J6" s="22">
        <v>1609.71</v>
      </c>
      <c r="K6" s="22">
        <v>0</v>
      </c>
      <c r="L6" s="22">
        <v>0</v>
      </c>
    </row>
    <row r="7" spans="1:12" x14ac:dyDescent="0.25">
      <c r="A7" s="22" t="s">
        <v>45</v>
      </c>
      <c r="B7" s="22">
        <v>97480.14</v>
      </c>
      <c r="C7" s="22">
        <v>98060.59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3">
        <v>99081.23</v>
      </c>
      <c r="J7" s="22">
        <v>1601.09</v>
      </c>
      <c r="K7" s="22">
        <v>0</v>
      </c>
      <c r="L7" s="22">
        <v>0</v>
      </c>
    </row>
    <row r="8" spans="1:12" x14ac:dyDescent="0.25">
      <c r="A8" s="22" t="s">
        <v>46</v>
      </c>
      <c r="B8" s="22">
        <v>97113.67</v>
      </c>
      <c r="C8" s="22">
        <v>97690.43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3">
        <v>98707.21</v>
      </c>
      <c r="J8" s="22">
        <v>1593.54</v>
      </c>
      <c r="K8" s="22">
        <v>0</v>
      </c>
      <c r="L8" s="22">
        <v>0</v>
      </c>
    </row>
    <row r="9" spans="1:12" x14ac:dyDescent="0.25">
      <c r="A9" s="22" t="s">
        <v>47</v>
      </c>
      <c r="B9" s="22">
        <v>96678.74</v>
      </c>
      <c r="C9" s="22">
        <v>97251.36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3">
        <v>98263.57</v>
      </c>
      <c r="J9" s="22">
        <v>1584.83</v>
      </c>
      <c r="K9" s="22">
        <v>0</v>
      </c>
      <c r="L9" s="22">
        <v>0</v>
      </c>
    </row>
    <row r="10" spans="1:12" x14ac:dyDescent="0.25">
      <c r="A10" s="22" t="s">
        <v>48</v>
      </c>
      <c r="B10" s="22">
        <v>96307.11</v>
      </c>
      <c r="C10" s="22">
        <v>96883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3">
        <v>97891.38</v>
      </c>
      <c r="J10" s="22">
        <v>1584.27</v>
      </c>
      <c r="K10" s="22">
        <v>0</v>
      </c>
      <c r="L10" s="22">
        <v>0</v>
      </c>
    </row>
    <row r="11" spans="1:12" x14ac:dyDescent="0.25">
      <c r="A11" s="22" t="s">
        <v>49</v>
      </c>
      <c r="B11" s="22">
        <v>95947.38</v>
      </c>
      <c r="C11" s="22">
        <v>96519.61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3">
        <v>97524.21</v>
      </c>
      <c r="J11" s="22">
        <v>1576.83</v>
      </c>
      <c r="K11" s="22">
        <v>0</v>
      </c>
      <c r="L11" s="22">
        <v>0</v>
      </c>
    </row>
    <row r="12" spans="1:12" x14ac:dyDescent="0.25">
      <c r="A12" s="22" t="s">
        <v>50</v>
      </c>
      <c r="B12" s="22">
        <v>95550.69</v>
      </c>
      <c r="C12" s="22">
        <v>96120.41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3">
        <v>97120.85</v>
      </c>
      <c r="J12" s="22">
        <v>1570.16</v>
      </c>
      <c r="K12" s="22">
        <v>0</v>
      </c>
      <c r="L12" s="22">
        <v>0</v>
      </c>
    </row>
    <row r="13" spans="1:12" x14ac:dyDescent="0.25">
      <c r="A13" s="22" t="s">
        <v>109</v>
      </c>
      <c r="B13" s="22">
        <v>95232.44</v>
      </c>
      <c r="C13" s="22">
        <v>95799.78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3">
        <v>96796.89</v>
      </c>
      <c r="J13" s="22">
        <v>1564.45</v>
      </c>
      <c r="K13" s="22">
        <v>0</v>
      </c>
      <c r="L13" s="22">
        <v>0</v>
      </c>
    </row>
    <row r="14" spans="1:12" x14ac:dyDescent="0.25">
      <c r="A14" s="22" t="s">
        <v>51</v>
      </c>
      <c r="B14" s="22">
        <v>94840.22</v>
      </c>
      <c r="C14" s="22">
        <v>95413.26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3">
        <v>96406.34</v>
      </c>
      <c r="J14" s="22">
        <v>1566.12</v>
      </c>
      <c r="K14" s="22">
        <v>0</v>
      </c>
      <c r="L14" s="22">
        <v>0</v>
      </c>
    </row>
    <row r="15" spans="1:12" x14ac:dyDescent="0.25">
      <c r="A15" s="22" t="s">
        <v>52</v>
      </c>
      <c r="B15" s="22">
        <v>93776.13</v>
      </c>
      <c r="C15" s="22">
        <v>94320.18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3">
        <v>95301.89</v>
      </c>
      <c r="J15" s="22">
        <v>1525.76</v>
      </c>
      <c r="K15" s="22">
        <v>0</v>
      </c>
      <c r="L15" s="22">
        <v>0</v>
      </c>
    </row>
    <row r="16" spans="1:12" x14ac:dyDescent="0.25">
      <c r="A16" s="22" t="s">
        <v>53</v>
      </c>
      <c r="B16" s="22">
        <v>92819.83</v>
      </c>
      <c r="C16" s="22">
        <v>93367.79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3">
        <v>94339.58</v>
      </c>
      <c r="J16" s="22">
        <v>1519.75</v>
      </c>
      <c r="K16" s="22">
        <v>0</v>
      </c>
      <c r="L16" s="22">
        <v>0</v>
      </c>
    </row>
    <row r="17" spans="1:12" x14ac:dyDescent="0.25">
      <c r="A17" s="22" t="s">
        <v>54</v>
      </c>
      <c r="B17" s="22">
        <v>91834.96</v>
      </c>
      <c r="C17" s="22">
        <v>92359.69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3">
        <v>93320.99</v>
      </c>
      <c r="J17" s="22">
        <v>1486.03</v>
      </c>
      <c r="K17" s="22">
        <v>0</v>
      </c>
      <c r="L17" s="22">
        <v>0</v>
      </c>
    </row>
    <row r="18" spans="1:12" x14ac:dyDescent="0.25">
      <c r="A18" s="22" t="s">
        <v>55</v>
      </c>
      <c r="B18" s="22">
        <v>90871.49</v>
      </c>
      <c r="C18" s="22">
        <v>91387.36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3">
        <v>92338.54</v>
      </c>
      <c r="J18" s="22">
        <v>1467.05</v>
      </c>
      <c r="K18" s="22">
        <v>0</v>
      </c>
      <c r="L18" s="22">
        <v>0</v>
      </c>
    </row>
    <row r="19" spans="1:12" x14ac:dyDescent="0.25">
      <c r="A19" s="22" t="s">
        <v>56</v>
      </c>
      <c r="B19" s="22">
        <v>89845.88</v>
      </c>
      <c r="C19" s="22">
        <v>90369.88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3">
        <v>91310.47</v>
      </c>
      <c r="J19" s="22">
        <v>1464.59</v>
      </c>
      <c r="K19" s="22">
        <v>0</v>
      </c>
      <c r="L19" s="22">
        <v>0</v>
      </c>
    </row>
    <row r="20" spans="1:12" x14ac:dyDescent="0.25">
      <c r="A20" s="22" t="s">
        <v>57</v>
      </c>
      <c r="B20" s="22">
        <v>88978.11</v>
      </c>
      <c r="C20" s="22">
        <v>89516.38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3">
        <v>90448.09</v>
      </c>
      <c r="J20" s="22">
        <v>1469.98</v>
      </c>
      <c r="K20" s="22">
        <v>0</v>
      </c>
      <c r="L20" s="22">
        <v>0</v>
      </c>
    </row>
    <row r="21" spans="1:12" x14ac:dyDescent="0.25">
      <c r="A21" s="22" t="s">
        <v>58</v>
      </c>
      <c r="B21" s="22">
        <v>88079.55</v>
      </c>
      <c r="C21" s="22">
        <v>88567.23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3">
        <v>89489.06</v>
      </c>
      <c r="J21" s="22">
        <v>1409.51</v>
      </c>
      <c r="K21" s="22">
        <v>0</v>
      </c>
      <c r="L21" s="22">
        <v>0</v>
      </c>
    </row>
    <row r="22" spans="1:12" x14ac:dyDescent="0.25">
      <c r="A22" s="22" t="s">
        <v>66</v>
      </c>
      <c r="B22" s="22">
        <v>87129.65</v>
      </c>
      <c r="C22" s="22">
        <v>87608.91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3">
        <v>88520.76</v>
      </c>
      <c r="J22" s="22">
        <v>1391.11</v>
      </c>
      <c r="K22" s="22">
        <v>0</v>
      </c>
      <c r="L22" s="22">
        <v>0</v>
      </c>
    </row>
    <row r="23" spans="1:12" x14ac:dyDescent="0.25">
      <c r="A23" s="22" t="s">
        <v>59</v>
      </c>
      <c r="B23" s="22">
        <v>86130.94</v>
      </c>
      <c r="C23" s="22">
        <v>86625.73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3">
        <v>87527.35</v>
      </c>
      <c r="J23" s="22">
        <v>1396.41</v>
      </c>
      <c r="K23" s="22">
        <v>0</v>
      </c>
      <c r="L23" s="22">
        <v>0</v>
      </c>
    </row>
    <row r="24" spans="1:12" x14ac:dyDescent="0.25">
      <c r="A24" s="22" t="s">
        <v>67</v>
      </c>
      <c r="B24" s="22">
        <v>85280.71</v>
      </c>
      <c r="C24" s="22">
        <v>85768.73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3">
        <v>86661.43</v>
      </c>
      <c r="J24" s="22">
        <v>1380.72</v>
      </c>
      <c r="K24" s="22">
        <v>0</v>
      </c>
      <c r="L24" s="22">
        <v>0</v>
      </c>
    </row>
    <row r="25" spans="1:12" x14ac:dyDescent="0.25">
      <c r="A25" s="22" t="s">
        <v>60</v>
      </c>
      <c r="B25" s="22">
        <v>84399.43</v>
      </c>
      <c r="C25" s="22">
        <v>84908.27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3">
        <v>85792.01</v>
      </c>
      <c r="J25" s="22">
        <v>1392.58</v>
      </c>
      <c r="K25" s="22">
        <v>0</v>
      </c>
      <c r="L25" s="22">
        <v>0</v>
      </c>
    </row>
    <row r="26" spans="1:12" x14ac:dyDescent="0.25">
      <c r="A26" s="22" t="s">
        <v>68</v>
      </c>
      <c r="B26" s="22">
        <v>83452.11</v>
      </c>
      <c r="C26" s="22">
        <v>83954.85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3">
        <v>84828.67</v>
      </c>
      <c r="J26" s="22">
        <v>1376.56</v>
      </c>
      <c r="K26" s="22">
        <v>0</v>
      </c>
      <c r="L26" s="22">
        <v>0</v>
      </c>
    </row>
    <row r="27" spans="1:12" x14ac:dyDescent="0.25">
      <c r="A27" s="22" t="s">
        <v>61</v>
      </c>
      <c r="B27" s="22">
        <v>82476.22</v>
      </c>
      <c r="C27" s="22">
        <v>83003.06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3">
        <v>83866.97</v>
      </c>
      <c r="J27" s="22">
        <v>1390.75</v>
      </c>
      <c r="K27" s="22">
        <v>0</v>
      </c>
      <c r="L27" s="22">
        <v>0</v>
      </c>
    </row>
    <row r="28" spans="1:12" x14ac:dyDescent="0.25">
      <c r="A28" s="22" t="s">
        <v>69</v>
      </c>
      <c r="B28" s="22">
        <v>81648.31</v>
      </c>
      <c r="C28" s="22">
        <v>82170.990000000005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3">
        <v>83026.240000000005</v>
      </c>
      <c r="J28" s="22">
        <v>1377.93</v>
      </c>
      <c r="K28" s="22">
        <v>0</v>
      </c>
      <c r="L28" s="22">
        <v>0</v>
      </c>
    </row>
    <row r="29" spans="1:12" x14ac:dyDescent="0.25">
      <c r="A29" s="22" t="s">
        <v>62</v>
      </c>
      <c r="B29" s="22">
        <v>80734.37</v>
      </c>
      <c r="C29" s="22">
        <v>81255.570000000007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3">
        <v>82101.3</v>
      </c>
      <c r="J29" s="22">
        <v>1366.93</v>
      </c>
      <c r="K29" s="22">
        <v>0</v>
      </c>
      <c r="L29" s="22">
        <v>0</v>
      </c>
    </row>
    <row r="30" spans="1:12" x14ac:dyDescent="0.25">
      <c r="A30" s="22" t="s">
        <v>63</v>
      </c>
      <c r="B30" s="22">
        <v>78854.850000000006</v>
      </c>
      <c r="C30" s="22">
        <v>79329.75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3">
        <v>80155.429999999993</v>
      </c>
      <c r="J30" s="22">
        <v>1300.58</v>
      </c>
      <c r="K30" s="22">
        <v>0</v>
      </c>
      <c r="L30" s="22">
        <v>0</v>
      </c>
    </row>
    <row r="31" spans="1:12" x14ac:dyDescent="0.25">
      <c r="A31" s="22" t="s">
        <v>70</v>
      </c>
      <c r="B31" s="22">
        <v>75338.44</v>
      </c>
      <c r="C31" s="22">
        <v>75758.75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3">
        <v>76547.259999999995</v>
      </c>
      <c r="J31" s="22">
        <v>1208.82</v>
      </c>
      <c r="K31" s="22">
        <v>0</v>
      </c>
      <c r="L31" s="22">
        <v>0</v>
      </c>
    </row>
    <row r="32" spans="1:12" x14ac:dyDescent="0.25">
      <c r="A32" s="22" t="s">
        <v>71</v>
      </c>
      <c r="B32" s="22">
        <v>71947.839999999997</v>
      </c>
      <c r="C32" s="22">
        <v>72309.119999999995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3">
        <v>73061.73</v>
      </c>
      <c r="J32" s="22">
        <v>1113.8900000000001</v>
      </c>
      <c r="K32" s="22">
        <v>0</v>
      </c>
      <c r="L32" s="22">
        <v>0</v>
      </c>
    </row>
    <row r="33" spans="1:12" x14ac:dyDescent="0.25">
      <c r="A33" s="22" t="s">
        <v>72</v>
      </c>
      <c r="B33" s="22">
        <v>68544.5</v>
      </c>
      <c r="C33" s="22">
        <v>68917.850000000006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3">
        <v>69635.16</v>
      </c>
      <c r="J33" s="22">
        <v>1090.6600000000001</v>
      </c>
      <c r="K33" s="22">
        <v>0</v>
      </c>
      <c r="L33" s="22">
        <v>0</v>
      </c>
    </row>
    <row r="34" spans="1:12" x14ac:dyDescent="0.25">
      <c r="A34" s="22" t="s">
        <v>73</v>
      </c>
      <c r="B34" s="22">
        <v>65191.89</v>
      </c>
      <c r="C34" s="22">
        <v>65544.34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3">
        <v>66226.539999999994</v>
      </c>
      <c r="J34" s="22">
        <v>1034.6500000000001</v>
      </c>
      <c r="K34" s="22">
        <v>0</v>
      </c>
      <c r="L34" s="22">
        <v>0</v>
      </c>
    </row>
    <row r="35" spans="1:12" x14ac:dyDescent="0.25">
      <c r="A35" s="22" t="s">
        <v>74</v>
      </c>
      <c r="B35" s="22">
        <v>61940.67</v>
      </c>
      <c r="C35" s="22">
        <v>62314.54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3">
        <v>62963.12</v>
      </c>
      <c r="J35" s="22">
        <v>1022.45</v>
      </c>
      <c r="K35" s="22">
        <v>0</v>
      </c>
      <c r="L35" s="22">
        <v>0</v>
      </c>
    </row>
    <row r="36" spans="1:12" x14ac:dyDescent="0.25">
      <c r="A36" s="22" t="s">
        <v>75</v>
      </c>
      <c r="B36" s="22">
        <v>58960.72</v>
      </c>
      <c r="C36" s="22">
        <v>59279.46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3">
        <v>59896.45</v>
      </c>
      <c r="J36" s="22">
        <v>935.73</v>
      </c>
      <c r="K36" s="22">
        <v>0</v>
      </c>
      <c r="L36" s="22">
        <v>0</v>
      </c>
    </row>
    <row r="37" spans="1:12" x14ac:dyDescent="0.25">
      <c r="A37" s="22" t="s">
        <v>76</v>
      </c>
      <c r="B37" s="22">
        <v>56012.06</v>
      </c>
      <c r="C37" s="22">
        <v>56231.360000000001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3">
        <v>56816.63</v>
      </c>
      <c r="J37" s="22">
        <v>804.57</v>
      </c>
      <c r="K37" s="22">
        <v>0</v>
      </c>
      <c r="L37" s="22">
        <v>0</v>
      </c>
    </row>
    <row r="38" spans="1:12" x14ac:dyDescent="0.25">
      <c r="A38" s="22" t="s">
        <v>77</v>
      </c>
      <c r="B38" s="22">
        <v>53137.14</v>
      </c>
      <c r="C38" s="22">
        <v>53303.31</v>
      </c>
      <c r="D38" s="22">
        <v>0</v>
      </c>
      <c r="E38" s="22">
        <v>0</v>
      </c>
      <c r="F38" s="22">
        <v>0</v>
      </c>
      <c r="G38" s="22">
        <v>0</v>
      </c>
      <c r="H38" s="22">
        <v>0</v>
      </c>
      <c r="I38" s="23">
        <v>53858.1</v>
      </c>
      <c r="J38" s="22">
        <v>720.96</v>
      </c>
      <c r="K38" s="22">
        <v>0</v>
      </c>
      <c r="L38" s="22">
        <v>0</v>
      </c>
    </row>
    <row r="39" spans="1:12" x14ac:dyDescent="0.25">
      <c r="A39" s="22" t="s">
        <v>78</v>
      </c>
      <c r="B39" s="22">
        <v>50578.81</v>
      </c>
      <c r="C39" s="22">
        <v>50698.15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3">
        <v>51225.83</v>
      </c>
      <c r="J39" s="22">
        <v>647.02</v>
      </c>
      <c r="K39" s="22">
        <v>0</v>
      </c>
      <c r="L39" s="22">
        <v>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DBCE7-D377-42BF-9681-FABE9B7B34BF}">
  <sheetPr codeName="Sheet5">
    <tabColor theme="0" tint="-4.9989318521683403E-2"/>
  </sheetPr>
  <dimension ref="A1:J26"/>
  <sheetViews>
    <sheetView showGridLines="0" workbookViewId="0">
      <selection activeCell="J30" sqref="J30"/>
    </sheetView>
  </sheetViews>
  <sheetFormatPr defaultRowHeight="12" x14ac:dyDescent="0.25"/>
  <cols>
    <col min="1" max="1" width="11.109375" style="22" bestFit="1" customWidth="1"/>
    <col min="2" max="2" width="15.44140625" style="22" bestFit="1" customWidth="1"/>
    <col min="3" max="3" width="13.77734375" style="22" bestFit="1" customWidth="1"/>
    <col min="4" max="4" width="14" style="22" bestFit="1" customWidth="1"/>
    <col min="5" max="5" width="14.21875" style="22" bestFit="1" customWidth="1"/>
    <col min="6" max="6" width="13.5546875" style="22" bestFit="1" customWidth="1"/>
    <col min="7" max="7" width="10.21875" style="31" bestFit="1" customWidth="1"/>
    <col min="8" max="8" width="12.88671875" style="22" bestFit="1" customWidth="1"/>
    <col min="9" max="9" width="17.5546875" style="22" bestFit="1" customWidth="1"/>
    <col min="10" max="10" width="16.109375" style="22" bestFit="1" customWidth="1"/>
    <col min="11" max="16384" width="8.88671875" style="22"/>
  </cols>
  <sheetData>
    <row r="1" spans="1:10" x14ac:dyDescent="0.25">
      <c r="A1" s="24" t="s">
        <v>31</v>
      </c>
      <c r="B1" s="24" t="s">
        <v>32</v>
      </c>
      <c r="C1" s="24" t="s">
        <v>33</v>
      </c>
      <c r="D1" s="24" t="s">
        <v>34</v>
      </c>
      <c r="E1" s="24" t="s">
        <v>35</v>
      </c>
      <c r="F1" s="24" t="s">
        <v>36</v>
      </c>
      <c r="G1" s="30" t="s">
        <v>37</v>
      </c>
      <c r="H1" s="24" t="s">
        <v>38</v>
      </c>
      <c r="I1" s="24" t="s">
        <v>39</v>
      </c>
      <c r="J1" s="24" t="s">
        <v>40</v>
      </c>
    </row>
    <row r="2" spans="1:10" x14ac:dyDescent="0.25">
      <c r="A2" s="22" t="s">
        <v>30</v>
      </c>
      <c r="B2" s="22">
        <v>5439</v>
      </c>
      <c r="C2" s="22">
        <v>5423.5</v>
      </c>
      <c r="D2" s="22">
        <v>5528.5</v>
      </c>
      <c r="E2" s="22">
        <v>5488.86</v>
      </c>
      <c r="F2" s="22">
        <v>5523.5</v>
      </c>
      <c r="G2" s="31">
        <v>5521.4629999999997</v>
      </c>
      <c r="H2" s="22">
        <v>89.682000000000002</v>
      </c>
      <c r="I2" s="22">
        <v>5516</v>
      </c>
      <c r="J2" s="22">
        <v>5521</v>
      </c>
    </row>
    <row r="3" spans="1:10" x14ac:dyDescent="0.25">
      <c r="A3" s="22" t="s">
        <v>41</v>
      </c>
      <c r="B3" s="22">
        <v>5505</v>
      </c>
      <c r="C3" s="22">
        <v>5505</v>
      </c>
      <c r="D3" s="22">
        <v>5515</v>
      </c>
      <c r="E3" s="22">
        <v>5510</v>
      </c>
      <c r="F3" s="22">
        <v>5515</v>
      </c>
      <c r="G3" s="31">
        <v>5540.8159999999998</v>
      </c>
      <c r="H3" s="22">
        <v>89.954999999999998</v>
      </c>
      <c r="I3" s="22">
        <v>5526</v>
      </c>
      <c r="J3" s="22">
        <v>5547.5</v>
      </c>
    </row>
    <row r="4" spans="1:10" x14ac:dyDescent="0.25">
      <c r="A4" s="22" t="s">
        <v>42</v>
      </c>
      <c r="B4" s="22">
        <v>0</v>
      </c>
      <c r="C4" s="22">
        <v>0</v>
      </c>
      <c r="D4" s="22">
        <v>0</v>
      </c>
      <c r="E4" s="22">
        <v>0</v>
      </c>
      <c r="F4" s="22">
        <v>0</v>
      </c>
      <c r="G4" s="31">
        <v>5558.643</v>
      </c>
      <c r="H4" s="22">
        <v>90.504999999999995</v>
      </c>
      <c r="I4" s="22">
        <v>0</v>
      </c>
      <c r="J4" s="22">
        <v>0</v>
      </c>
    </row>
    <row r="5" spans="1:10" x14ac:dyDescent="0.25">
      <c r="A5" s="22" t="s">
        <v>43</v>
      </c>
      <c r="B5" s="22">
        <v>0</v>
      </c>
      <c r="C5" s="22">
        <v>0</v>
      </c>
      <c r="D5" s="22">
        <v>0</v>
      </c>
      <c r="E5" s="22">
        <v>0</v>
      </c>
      <c r="F5" s="22">
        <v>0</v>
      </c>
      <c r="G5" s="31">
        <v>5579.6750000000002</v>
      </c>
      <c r="H5" s="22">
        <v>91.256</v>
      </c>
      <c r="I5" s="22">
        <v>0</v>
      </c>
      <c r="J5" s="22">
        <v>0</v>
      </c>
    </row>
    <row r="6" spans="1:10" x14ac:dyDescent="0.25">
      <c r="A6" s="22" t="s">
        <v>44</v>
      </c>
      <c r="B6" s="22">
        <v>0</v>
      </c>
      <c r="C6" s="22">
        <v>0</v>
      </c>
      <c r="D6" s="22">
        <v>0</v>
      </c>
      <c r="E6" s="22">
        <v>0</v>
      </c>
      <c r="F6" s="22">
        <v>0</v>
      </c>
      <c r="G6" s="31">
        <v>5605.6710000000003</v>
      </c>
      <c r="H6" s="22">
        <v>91.591999999999999</v>
      </c>
      <c r="I6" s="22">
        <v>0</v>
      </c>
      <c r="J6" s="22">
        <v>0</v>
      </c>
    </row>
    <row r="7" spans="1:10" x14ac:dyDescent="0.25">
      <c r="A7" s="22" t="s">
        <v>45</v>
      </c>
      <c r="B7" s="22">
        <v>0</v>
      </c>
      <c r="C7" s="22">
        <v>0</v>
      </c>
      <c r="D7" s="22">
        <v>0</v>
      </c>
      <c r="E7" s="22">
        <v>0</v>
      </c>
      <c r="F7" s="22">
        <v>0</v>
      </c>
      <c r="G7" s="31">
        <v>5632.8280000000004</v>
      </c>
      <c r="H7" s="22">
        <v>92.325999999999993</v>
      </c>
      <c r="I7" s="22">
        <v>0</v>
      </c>
      <c r="J7" s="22">
        <v>0</v>
      </c>
    </row>
    <row r="8" spans="1:10" x14ac:dyDescent="0.25">
      <c r="A8" s="22" t="s">
        <v>46</v>
      </c>
      <c r="B8" s="22">
        <v>0</v>
      </c>
      <c r="C8" s="22">
        <v>0</v>
      </c>
      <c r="D8" s="22">
        <v>0</v>
      </c>
      <c r="E8" s="22">
        <v>0</v>
      </c>
      <c r="F8" s="22">
        <v>0</v>
      </c>
      <c r="G8" s="31">
        <v>5660.7489999999998</v>
      </c>
      <c r="H8" s="22">
        <v>92.811000000000007</v>
      </c>
      <c r="I8" s="22">
        <v>0</v>
      </c>
      <c r="J8" s="22">
        <v>0</v>
      </c>
    </row>
    <row r="9" spans="1:10" x14ac:dyDescent="0.25">
      <c r="A9" s="22" t="s">
        <v>47</v>
      </c>
      <c r="B9" s="22">
        <v>0</v>
      </c>
      <c r="C9" s="22">
        <v>0</v>
      </c>
      <c r="D9" s="22">
        <v>0</v>
      </c>
      <c r="E9" s="22">
        <v>0</v>
      </c>
      <c r="F9" s="22">
        <v>0</v>
      </c>
      <c r="G9" s="31">
        <v>5688.31</v>
      </c>
      <c r="H9" s="22">
        <v>93.840999999999994</v>
      </c>
      <c r="I9" s="22">
        <v>0</v>
      </c>
      <c r="J9" s="22">
        <v>0</v>
      </c>
    </row>
    <row r="10" spans="1:10" x14ac:dyDescent="0.25">
      <c r="A10" s="22" t="s">
        <v>48</v>
      </c>
      <c r="B10" s="22">
        <v>0</v>
      </c>
      <c r="C10" s="22">
        <v>0</v>
      </c>
      <c r="D10" s="22">
        <v>0</v>
      </c>
      <c r="E10" s="22">
        <v>0</v>
      </c>
      <c r="F10" s="22">
        <v>0</v>
      </c>
      <c r="G10" s="31">
        <v>5722.683</v>
      </c>
      <c r="H10" s="22">
        <v>95.332999999999998</v>
      </c>
      <c r="I10" s="22">
        <v>0</v>
      </c>
      <c r="J10" s="22">
        <v>0</v>
      </c>
    </row>
    <row r="11" spans="1:10" x14ac:dyDescent="0.25">
      <c r="A11" s="22" t="s">
        <v>49</v>
      </c>
      <c r="B11" s="22">
        <v>0</v>
      </c>
      <c r="C11" s="22">
        <v>0</v>
      </c>
      <c r="D11" s="22">
        <v>0</v>
      </c>
      <c r="E11" s="22">
        <v>0</v>
      </c>
      <c r="F11" s="22">
        <v>0</v>
      </c>
      <c r="G11" s="31">
        <v>5755.7280000000001</v>
      </c>
      <c r="H11" s="22">
        <v>96.424000000000007</v>
      </c>
      <c r="I11" s="22">
        <v>0</v>
      </c>
      <c r="J11" s="22">
        <v>0</v>
      </c>
    </row>
    <row r="12" spans="1:10" x14ac:dyDescent="0.25">
      <c r="A12" s="22" t="s">
        <v>50</v>
      </c>
      <c r="B12" s="22">
        <v>0</v>
      </c>
      <c r="C12" s="22">
        <v>0</v>
      </c>
      <c r="D12" s="22">
        <v>0</v>
      </c>
      <c r="E12" s="22">
        <v>0</v>
      </c>
      <c r="F12" s="22">
        <v>0</v>
      </c>
      <c r="G12" s="31">
        <v>5794.6409999999996</v>
      </c>
      <c r="H12" s="22">
        <v>98.046999999999997</v>
      </c>
      <c r="I12" s="22">
        <v>0</v>
      </c>
      <c r="J12" s="22">
        <v>0</v>
      </c>
    </row>
    <row r="13" spans="1:10" x14ac:dyDescent="0.25">
      <c r="A13" s="22" t="s">
        <v>109</v>
      </c>
      <c r="B13" s="22">
        <v>0</v>
      </c>
      <c r="C13" s="22">
        <v>0</v>
      </c>
      <c r="D13" s="22">
        <v>0</v>
      </c>
      <c r="E13" s="22">
        <v>0</v>
      </c>
      <c r="F13" s="22">
        <v>0</v>
      </c>
      <c r="G13" s="31">
        <v>5832.7430000000004</v>
      </c>
      <c r="H13" s="22">
        <v>99.149000000000001</v>
      </c>
      <c r="I13" s="22">
        <v>0</v>
      </c>
      <c r="J13" s="22">
        <v>0</v>
      </c>
    </row>
    <row r="14" spans="1:10" x14ac:dyDescent="0.25">
      <c r="A14" s="22" t="s">
        <v>51</v>
      </c>
      <c r="B14" s="22">
        <v>0</v>
      </c>
      <c r="C14" s="22">
        <v>0</v>
      </c>
      <c r="D14" s="22">
        <v>0</v>
      </c>
      <c r="E14" s="22">
        <v>0</v>
      </c>
      <c r="F14" s="22">
        <v>0</v>
      </c>
      <c r="G14" s="31">
        <v>5870.3580000000002</v>
      </c>
      <c r="H14" s="22">
        <v>101.005</v>
      </c>
      <c r="I14" s="22">
        <v>0</v>
      </c>
      <c r="J14" s="22">
        <v>0</v>
      </c>
    </row>
    <row r="15" spans="1:10" x14ac:dyDescent="0.25">
      <c r="A15" s="22" t="s">
        <v>52</v>
      </c>
      <c r="B15" s="22">
        <v>0</v>
      </c>
      <c r="C15" s="22">
        <v>0</v>
      </c>
      <c r="D15" s="22">
        <v>0</v>
      </c>
      <c r="E15" s="22">
        <v>0</v>
      </c>
      <c r="F15" s="22">
        <v>0</v>
      </c>
      <c r="G15" s="31">
        <v>5981.6120000000001</v>
      </c>
      <c r="H15" s="22">
        <v>105.19199999999999</v>
      </c>
      <c r="I15" s="22">
        <v>0</v>
      </c>
      <c r="J15" s="22">
        <v>0</v>
      </c>
    </row>
    <row r="16" spans="1:10" x14ac:dyDescent="0.25">
      <c r="A16" s="22" t="s">
        <v>53</v>
      </c>
      <c r="B16" s="22">
        <v>0</v>
      </c>
      <c r="C16" s="22">
        <v>0</v>
      </c>
      <c r="D16" s="22">
        <v>0</v>
      </c>
      <c r="E16" s="22">
        <v>0</v>
      </c>
      <c r="F16" s="22">
        <v>0</v>
      </c>
      <c r="G16" s="31">
        <v>6094.433</v>
      </c>
      <c r="H16" s="22">
        <v>112.316</v>
      </c>
      <c r="I16" s="22">
        <v>0</v>
      </c>
      <c r="J16" s="22">
        <v>0</v>
      </c>
    </row>
    <row r="17" spans="1:10" x14ac:dyDescent="0.25">
      <c r="A17" s="22" t="s">
        <v>54</v>
      </c>
      <c r="B17" s="22">
        <v>0</v>
      </c>
      <c r="C17" s="22">
        <v>0</v>
      </c>
      <c r="D17" s="22">
        <v>0</v>
      </c>
      <c r="E17" s="22">
        <v>0</v>
      </c>
      <c r="F17" s="22">
        <v>0</v>
      </c>
      <c r="G17" s="31">
        <v>6202.1030000000001</v>
      </c>
      <c r="H17" s="22">
        <v>117.97499999999999</v>
      </c>
      <c r="I17" s="22">
        <v>0</v>
      </c>
      <c r="J17" s="22">
        <v>0</v>
      </c>
    </row>
    <row r="18" spans="1:10" x14ac:dyDescent="0.25">
      <c r="A18" s="22" t="s">
        <v>55</v>
      </c>
      <c r="B18" s="22">
        <v>0</v>
      </c>
      <c r="C18" s="22">
        <v>0</v>
      </c>
      <c r="D18" s="22">
        <v>0</v>
      </c>
      <c r="E18" s="22">
        <v>0</v>
      </c>
      <c r="F18" s="22">
        <v>0</v>
      </c>
      <c r="G18" s="31">
        <v>6322.5050000000001</v>
      </c>
      <c r="H18" s="22">
        <v>125.52200000000001</v>
      </c>
      <c r="I18" s="22">
        <v>0</v>
      </c>
      <c r="J18" s="22">
        <v>0</v>
      </c>
    </row>
    <row r="19" spans="1:10" x14ac:dyDescent="0.25">
      <c r="A19" s="22" t="s">
        <v>56</v>
      </c>
      <c r="B19" s="22">
        <v>0</v>
      </c>
      <c r="C19" s="22">
        <v>0</v>
      </c>
      <c r="D19" s="22">
        <v>0</v>
      </c>
      <c r="E19" s="22">
        <v>0</v>
      </c>
      <c r="F19" s="22">
        <v>0</v>
      </c>
      <c r="G19" s="31">
        <v>6428.9319999999998</v>
      </c>
      <c r="H19" s="22">
        <v>133.035</v>
      </c>
      <c r="I19" s="22">
        <v>0</v>
      </c>
      <c r="J19" s="22">
        <v>0</v>
      </c>
    </row>
    <row r="20" spans="1:10" x14ac:dyDescent="0.25">
      <c r="A20" s="22" t="s">
        <v>57</v>
      </c>
      <c r="B20" s="22">
        <v>0</v>
      </c>
      <c r="C20" s="22">
        <v>0</v>
      </c>
      <c r="D20" s="22">
        <v>0</v>
      </c>
      <c r="E20" s="22">
        <v>0</v>
      </c>
      <c r="F20" s="22">
        <v>0</v>
      </c>
      <c r="G20" s="31">
        <v>6547.3069999999998</v>
      </c>
      <c r="H20" s="22">
        <v>143.1</v>
      </c>
      <c r="I20" s="22">
        <v>0</v>
      </c>
      <c r="J20" s="22">
        <v>0</v>
      </c>
    </row>
    <row r="21" spans="1:10" x14ac:dyDescent="0.25">
      <c r="A21" s="22" t="s">
        <v>58</v>
      </c>
      <c r="B21" s="22">
        <v>0</v>
      </c>
      <c r="C21" s="22">
        <v>0</v>
      </c>
      <c r="D21" s="22">
        <v>0</v>
      </c>
      <c r="E21" s="22">
        <v>0</v>
      </c>
      <c r="F21" s="22">
        <v>0</v>
      </c>
      <c r="G21" s="31">
        <v>6670.51</v>
      </c>
      <c r="H21" s="22">
        <v>145.40799999999999</v>
      </c>
      <c r="I21" s="22">
        <v>0</v>
      </c>
      <c r="J21" s="22">
        <v>0</v>
      </c>
    </row>
    <row r="22" spans="1:10" x14ac:dyDescent="0.25">
      <c r="A22" s="22" t="s">
        <v>59</v>
      </c>
      <c r="B22" s="22">
        <v>0</v>
      </c>
      <c r="C22" s="22">
        <v>0</v>
      </c>
      <c r="D22" s="22">
        <v>0</v>
      </c>
      <c r="E22" s="22">
        <v>0</v>
      </c>
      <c r="F22" s="22">
        <v>0</v>
      </c>
      <c r="G22" s="31">
        <v>6924.91</v>
      </c>
      <c r="H22" s="22">
        <v>161.274</v>
      </c>
      <c r="I22" s="22">
        <v>0</v>
      </c>
      <c r="J22" s="22">
        <v>0</v>
      </c>
    </row>
    <row r="23" spans="1:10" x14ac:dyDescent="0.25">
      <c r="A23" s="22" t="s">
        <v>60</v>
      </c>
      <c r="B23" s="22">
        <v>0</v>
      </c>
      <c r="C23" s="22">
        <v>0</v>
      </c>
      <c r="D23" s="22">
        <v>0</v>
      </c>
      <c r="E23" s="22">
        <v>0</v>
      </c>
      <c r="F23" s="22">
        <v>0</v>
      </c>
      <c r="G23" s="31">
        <v>7199.8559999999998</v>
      </c>
      <c r="H23" s="22">
        <v>181.37</v>
      </c>
      <c r="I23" s="22">
        <v>0</v>
      </c>
      <c r="J23" s="22">
        <v>0</v>
      </c>
    </row>
    <row r="24" spans="1:10" x14ac:dyDescent="0.25">
      <c r="A24" s="22" t="s">
        <v>61</v>
      </c>
      <c r="B24" s="22">
        <v>0</v>
      </c>
      <c r="C24" s="22">
        <v>0</v>
      </c>
      <c r="D24" s="22">
        <v>0</v>
      </c>
      <c r="E24" s="22">
        <v>0</v>
      </c>
      <c r="F24" s="22">
        <v>0</v>
      </c>
      <c r="G24" s="31">
        <v>7457.5820000000003</v>
      </c>
      <c r="H24" s="22">
        <v>200.84899999999999</v>
      </c>
      <c r="I24" s="22">
        <v>0</v>
      </c>
      <c r="J24" s="22">
        <v>0</v>
      </c>
    </row>
    <row r="25" spans="1:10" x14ac:dyDescent="0.25">
      <c r="A25" s="22" t="s">
        <v>62</v>
      </c>
      <c r="B25" s="22">
        <v>0</v>
      </c>
      <c r="C25" s="22">
        <v>0</v>
      </c>
      <c r="D25" s="22">
        <v>0</v>
      </c>
      <c r="E25" s="22">
        <v>0</v>
      </c>
      <c r="F25" s="22">
        <v>0</v>
      </c>
      <c r="G25" s="31">
        <v>7734.4709999999995</v>
      </c>
      <c r="H25" s="22">
        <v>217.755</v>
      </c>
      <c r="I25" s="22">
        <v>0</v>
      </c>
      <c r="J25" s="22">
        <v>0</v>
      </c>
    </row>
    <row r="26" spans="1:10" x14ac:dyDescent="0.25">
      <c r="A26" s="22" t="s">
        <v>63</v>
      </c>
      <c r="B26" s="22">
        <v>0</v>
      </c>
      <c r="C26" s="22">
        <v>0</v>
      </c>
      <c r="D26" s="22">
        <v>0</v>
      </c>
      <c r="E26" s="22">
        <v>0</v>
      </c>
      <c r="F26" s="22">
        <v>0</v>
      </c>
      <c r="G26" s="31">
        <v>8010.18</v>
      </c>
      <c r="H26" s="22">
        <v>229.94900000000001</v>
      </c>
      <c r="I26" s="22">
        <v>0</v>
      </c>
      <c r="J26" s="22">
        <v>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08C7E-DD44-4E0B-8E1F-A78C6FF61F11}">
  <sheetPr codeName="Sheet7">
    <tabColor theme="0" tint="-4.9989318521683403E-2"/>
  </sheetPr>
  <dimension ref="A1:F19"/>
  <sheetViews>
    <sheetView showGridLines="0" workbookViewId="0">
      <selection activeCell="F19" sqref="F19"/>
    </sheetView>
  </sheetViews>
  <sheetFormatPr defaultRowHeight="12" x14ac:dyDescent="0.25"/>
  <cols>
    <col min="1" max="1" width="8.44140625" style="29" bestFit="1" customWidth="1"/>
    <col min="2" max="2" width="11.6640625" style="22" bestFit="1" customWidth="1"/>
    <col min="3" max="3" width="7.77734375" style="28" bestFit="1" customWidth="1"/>
    <col min="4" max="4" width="7.88671875" style="28" bestFit="1" customWidth="1"/>
    <col min="5" max="5" width="8.88671875" style="22"/>
    <col min="6" max="6" width="55.109375" style="22" bestFit="1" customWidth="1"/>
    <col min="7" max="16384" width="8.88671875" style="22"/>
  </cols>
  <sheetData>
    <row r="1" spans="1:6" x14ac:dyDescent="0.25">
      <c r="A1" s="24" t="s">
        <v>7</v>
      </c>
      <c r="B1" s="24" t="s">
        <v>96</v>
      </c>
      <c r="C1" s="25" t="s">
        <v>97</v>
      </c>
      <c r="D1" s="25" t="s">
        <v>98</v>
      </c>
      <c r="F1" s="26" t="s">
        <v>103</v>
      </c>
    </row>
    <row r="2" spans="1:6" x14ac:dyDescent="0.25">
      <c r="A2" s="27" t="s">
        <v>100</v>
      </c>
      <c r="B2" s="23" t="s">
        <v>99</v>
      </c>
      <c r="C2" s="28">
        <v>5.5308999999999999</v>
      </c>
      <c r="D2" s="28">
        <v>5.5315000000000003</v>
      </c>
    </row>
    <row r="3" spans="1:6" x14ac:dyDescent="0.25">
      <c r="A3" s="27" t="s">
        <v>101</v>
      </c>
      <c r="B3" s="23" t="s">
        <v>99</v>
      </c>
      <c r="C3" s="28">
        <v>5.6352000000000002</v>
      </c>
      <c r="D3" s="28">
        <v>5.6357999999999997</v>
      </c>
    </row>
    <row r="4" spans="1:6" x14ac:dyDescent="0.25">
      <c r="A4" s="27" t="s">
        <v>102</v>
      </c>
      <c r="B4" s="23" t="s">
        <v>99</v>
      </c>
      <c r="C4" s="28">
        <v>5.6555999999999997</v>
      </c>
      <c r="D4" s="28">
        <v>5.6562000000000001</v>
      </c>
    </row>
    <row r="5" spans="1:6" x14ac:dyDescent="0.25">
      <c r="A5" s="27" t="s">
        <v>110</v>
      </c>
      <c r="B5" s="23" t="s">
        <v>99</v>
      </c>
      <c r="C5" s="28">
        <v>5.6223999999999998</v>
      </c>
      <c r="D5" s="28">
        <v>5.6230000000000002</v>
      </c>
    </row>
    <row r="6" spans="1:6" x14ac:dyDescent="0.25">
      <c r="A6" s="27" t="s">
        <v>111</v>
      </c>
      <c r="B6" s="23" t="s">
        <v>99</v>
      </c>
      <c r="C6" s="28">
        <v>5.6218000000000004</v>
      </c>
      <c r="D6" s="28">
        <v>5.6223999999999998</v>
      </c>
    </row>
    <row r="7" spans="1:6" x14ac:dyDescent="0.25">
      <c r="A7" s="27" t="s">
        <v>112</v>
      </c>
      <c r="B7" s="23" t="s">
        <v>99</v>
      </c>
      <c r="C7" s="28">
        <v>5.6353</v>
      </c>
      <c r="D7" s="28">
        <v>5.6359000000000004</v>
      </c>
    </row>
    <row r="8" spans="1:6" x14ac:dyDescent="0.25">
      <c r="A8" s="27" t="s">
        <v>113</v>
      </c>
      <c r="B8" s="23" t="s">
        <v>99</v>
      </c>
      <c r="C8" s="28">
        <v>5.6043000000000003</v>
      </c>
      <c r="D8" s="28">
        <v>5.6048999999999998</v>
      </c>
    </row>
    <row r="9" spans="1:6" x14ac:dyDescent="0.25">
      <c r="A9" s="27" t="s">
        <v>114</v>
      </c>
      <c r="B9" s="23" t="s">
        <v>99</v>
      </c>
      <c r="C9" s="28">
        <v>5.5696000000000003</v>
      </c>
      <c r="D9" s="28">
        <v>5.5701999999999998</v>
      </c>
    </row>
    <row r="10" spans="1:6" x14ac:dyDescent="0.25">
      <c r="A10" s="27" t="s">
        <v>117</v>
      </c>
      <c r="B10" s="23" t="s">
        <v>99</v>
      </c>
      <c r="C10" s="28">
        <v>5.6090999999999998</v>
      </c>
      <c r="D10" s="28">
        <v>5.6097000000000001</v>
      </c>
    </row>
    <row r="11" spans="1:6" x14ac:dyDescent="0.25">
      <c r="A11" s="27" t="s">
        <v>118</v>
      </c>
      <c r="B11" s="23" t="s">
        <v>99</v>
      </c>
      <c r="C11" s="28">
        <v>5.6247999999999996</v>
      </c>
      <c r="D11" s="28">
        <v>5.6254</v>
      </c>
    </row>
    <row r="12" spans="1:6" x14ac:dyDescent="0.25">
      <c r="A12" s="27" t="s">
        <v>119</v>
      </c>
      <c r="B12" s="23" t="s">
        <v>99</v>
      </c>
      <c r="C12" s="28">
        <v>5.6380999999999997</v>
      </c>
      <c r="D12" s="28">
        <v>5.6387</v>
      </c>
    </row>
    <row r="13" spans="1:6" x14ac:dyDescent="0.25">
      <c r="A13" s="27" t="s">
        <v>120</v>
      </c>
      <c r="B13" s="23" t="s">
        <v>99</v>
      </c>
      <c r="C13" s="28">
        <v>5.6547999999999998</v>
      </c>
      <c r="D13" s="28">
        <v>5.6554000000000002</v>
      </c>
    </row>
    <row r="14" spans="1:6" x14ac:dyDescent="0.25">
      <c r="A14" s="27" t="s">
        <v>121</v>
      </c>
      <c r="B14" s="23" t="s">
        <v>99</v>
      </c>
      <c r="C14" s="28">
        <v>5.5711000000000004</v>
      </c>
      <c r="D14" s="28">
        <v>5.5716999999999999</v>
      </c>
    </row>
    <row r="15" spans="1:6" x14ac:dyDescent="0.25">
      <c r="A15" s="27" t="s">
        <v>122</v>
      </c>
      <c r="B15" s="23" t="s">
        <v>99</v>
      </c>
      <c r="C15" s="28">
        <v>5.5201000000000002</v>
      </c>
      <c r="D15" s="28">
        <v>5.5206999999999997</v>
      </c>
    </row>
    <row r="16" spans="1:6" x14ac:dyDescent="0.25">
      <c r="A16" s="27" t="s">
        <v>125</v>
      </c>
      <c r="B16" s="23" t="s">
        <v>99</v>
      </c>
      <c r="C16" s="28">
        <v>5.5004</v>
      </c>
      <c r="D16" s="28">
        <v>5.5010000000000003</v>
      </c>
    </row>
    <row r="17" spans="1:4" x14ac:dyDescent="0.25">
      <c r="A17" s="27" t="s">
        <v>126</v>
      </c>
      <c r="B17" s="23" t="s">
        <v>99</v>
      </c>
      <c r="C17" s="28">
        <v>5.4760999999999997</v>
      </c>
      <c r="D17" s="28">
        <v>5.4767000000000001</v>
      </c>
    </row>
    <row r="18" spans="1:4" x14ac:dyDescent="0.25">
      <c r="A18" s="27" t="s">
        <v>127</v>
      </c>
      <c r="B18" s="23" t="s">
        <v>99</v>
      </c>
      <c r="C18" s="28">
        <v>5.4183000000000003</v>
      </c>
      <c r="D18" s="28">
        <v>5.4188999999999998</v>
      </c>
    </row>
    <row r="19" spans="1:4" x14ac:dyDescent="0.25">
      <c r="A19" s="27" t="s">
        <v>128</v>
      </c>
      <c r="B19" s="23" t="s">
        <v>99</v>
      </c>
      <c r="C19" s="28">
        <v>5.4768999999999997</v>
      </c>
      <c r="D19" s="28">
        <v>5.4775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BBAA3-AE9E-4239-A2E3-BE4394F15ABB}">
  <sheetPr codeName="Sheet8">
    <tabColor theme="0" tint="-4.9989318521683403E-2"/>
  </sheetPr>
  <dimension ref="A1:K3652"/>
  <sheetViews>
    <sheetView showGridLines="0" topLeftCell="D1" zoomScale="145" zoomScaleNormal="145" workbookViewId="0">
      <selection activeCell="K17" sqref="K17"/>
    </sheetView>
  </sheetViews>
  <sheetFormatPr defaultRowHeight="12" x14ac:dyDescent="0.25"/>
  <cols>
    <col min="1" max="1" width="8.88671875" style="23"/>
    <col min="2" max="2" width="27.6640625" style="23" customWidth="1"/>
    <col min="3" max="3" width="8.33203125" style="23" hidden="1" customWidth="1"/>
    <col min="4" max="4" width="27.6640625" style="23" customWidth="1"/>
    <col min="5" max="8" width="8.88671875" style="22"/>
    <col min="9" max="9" width="15" style="22" bestFit="1" customWidth="1"/>
    <col min="10" max="16384" width="8.88671875" style="22"/>
  </cols>
  <sheetData>
    <row r="1" spans="1:11" x14ac:dyDescent="0.25">
      <c r="A1" s="21" t="s">
        <v>106</v>
      </c>
      <c r="B1" s="21" t="s">
        <v>129</v>
      </c>
      <c r="C1" s="21" t="s">
        <v>124</v>
      </c>
      <c r="D1" s="21" t="s">
        <v>123</v>
      </c>
      <c r="E1" s="21" t="s">
        <v>116</v>
      </c>
      <c r="F1" s="21" t="s">
        <v>115</v>
      </c>
      <c r="H1" s="21" t="s">
        <v>106</v>
      </c>
      <c r="I1" s="21" t="s">
        <v>130</v>
      </c>
    </row>
    <row r="2" spans="1:11" x14ac:dyDescent="0.25">
      <c r="A2" s="23">
        <v>1</v>
      </c>
      <c r="B2" s="36" cm="1">
        <f t="array" aca="1" ref="B2" ca="1">interpolexp(A2,serie_du,Taxas_DI)</f>
        <v>0.10653132910134944</v>
      </c>
      <c r="C2" s="37">
        <f t="shared" ref="C2:C65" ca="1" si="0">(1+B2)^(A2/252)</f>
        <v>1.000401787813368</v>
      </c>
      <c r="D2" s="36">
        <f ca="1">B2</f>
        <v>0.10653132910134944</v>
      </c>
      <c r="E2" s="32">
        <v>0.10398837307910247</v>
      </c>
      <c r="F2" s="35">
        <f t="shared" ref="F2:F65" ca="1" si="1">B2-E2</f>
        <v>2.5429560222469672E-3</v>
      </c>
      <c r="H2" s="38">
        <v>1</v>
      </c>
      <c r="I2" s="42">
        <v>0.1065</v>
      </c>
    </row>
    <row r="3" spans="1:11" x14ac:dyDescent="0.25">
      <c r="A3" s="23">
        <v>2</v>
      </c>
      <c r="B3" s="36" cm="1">
        <f t="array" aca="1" ref="B3" ca="1">interpolexp(A3,serie_du,Taxas_DI)</f>
        <v>0.10653132910134944</v>
      </c>
      <c r="C3" s="37">
        <f t="shared" ca="1" si="0"/>
        <v>1.000803737060183</v>
      </c>
      <c r="D3" s="36">
        <f ca="1">((((1+B3)^(A3/252))/((1+B2)^(A2/252)))^(252/1))-1</f>
        <v>0.10653132910136365</v>
      </c>
      <c r="E3" s="32">
        <v>0.10468565646342132</v>
      </c>
      <c r="F3" s="35">
        <f t="shared" ca="1" si="1"/>
        <v>1.8456726379281196E-3</v>
      </c>
      <c r="H3" s="23">
        <v>2</v>
      </c>
      <c r="I3" s="84">
        <f>(((1+$I$2)^($H$2/252)*(((1+$I$12)^($H$12/252))/((1+$I$2)^($H$2/252)))^((H3-$H$2)/($H$12-$H$2)))^(252/H3))-1</f>
        <v>0.1065273211420914</v>
      </c>
    </row>
    <row r="4" spans="1:11" x14ac:dyDescent="0.25">
      <c r="A4" s="23">
        <v>3</v>
      </c>
      <c r="B4" s="36" cm="1">
        <f t="array" aca="1" ref="B4" ca="1">interpolexp(A4,serie_du,Taxas_DI)</f>
        <v>0.10653132910134944</v>
      </c>
      <c r="C4" s="37">
        <f t="shared" ca="1" si="0"/>
        <v>1.001205847805307</v>
      </c>
      <c r="D4" s="36">
        <f t="shared" ref="D4:D67" ca="1" si="2">((((1+B4)^(A4/252))/((1+B3)^(A3/252)))^(252/1))-1</f>
        <v>0.10653132910136365</v>
      </c>
      <c r="E4" s="32">
        <v>0.10491808533583669</v>
      </c>
      <c r="F4" s="35">
        <f t="shared" ca="1" si="1"/>
        <v>1.6132437655127507E-3</v>
      </c>
      <c r="H4" s="23">
        <v>3</v>
      </c>
      <c r="I4" s="84">
        <f t="shared" ref="I4:I11" si="3">(((1+$I$2)^($H$2/252)*(((1+$I$12)^($H$12/252))/((1+$I$2)^($H$2/252)))^((H4-$H$2)/($H$12-$H$2)))^(252/H4))-1</f>
        <v>0.10653642833937482</v>
      </c>
    </row>
    <row r="5" spans="1:11" x14ac:dyDescent="0.25">
      <c r="A5" s="23">
        <v>4</v>
      </c>
      <c r="B5" s="36" cm="1">
        <f t="array" aca="1" ref="B5" ca="1">interpolexp(A5,serie_du,Taxas_DI)</f>
        <v>0.10653132910134944</v>
      </c>
      <c r="C5" s="37">
        <f t="shared" ca="1" si="0"/>
        <v>1.0016081201136278</v>
      </c>
      <c r="D5" s="36">
        <f t="shared" ca="1" si="2"/>
        <v>0.10653132910129881</v>
      </c>
      <c r="E5" s="32">
        <v>0.10503429997454905</v>
      </c>
      <c r="F5" s="35">
        <f t="shared" ca="1" si="1"/>
        <v>1.4970291268003866E-3</v>
      </c>
      <c r="H5" s="23">
        <v>4</v>
      </c>
      <c r="I5" s="84">
        <f t="shared" si="3"/>
        <v>0.10654098196611805</v>
      </c>
    </row>
    <row r="6" spans="1:11" x14ac:dyDescent="0.25">
      <c r="A6" s="23">
        <v>5</v>
      </c>
      <c r="B6" s="36" cm="1">
        <f t="array" aca="1" ref="B6" ca="1">interpolexp(A6,serie_du,Taxas_DI)</f>
        <v>0.10653132910134944</v>
      </c>
      <c r="C6" s="37">
        <f t="shared" ca="1" si="0"/>
        <v>1.0020105540500599</v>
      </c>
      <c r="D6" s="36">
        <f t="shared" ca="1" si="2"/>
        <v>0.10653132910136365</v>
      </c>
      <c r="E6" s="32">
        <v>0.1051040288222671</v>
      </c>
      <c r="F6" s="35">
        <f t="shared" ca="1" si="1"/>
        <v>1.427300279082333E-3</v>
      </c>
      <c r="H6" s="23">
        <v>5</v>
      </c>
      <c r="I6" s="84">
        <f t="shared" si="3"/>
        <v>0.10654371415115027</v>
      </c>
    </row>
    <row r="7" spans="1:11" x14ac:dyDescent="0.25">
      <c r="A7" s="23">
        <v>6</v>
      </c>
      <c r="B7" s="36" cm="1">
        <f t="array" aca="1" ref="B7" ca="1">interpolexp(A7,serie_du,Taxas_DI)</f>
        <v>0.10653132910134944</v>
      </c>
      <c r="C7" s="37">
        <f t="shared" ca="1" si="0"/>
        <v>1.0024131496795434</v>
      </c>
      <c r="D7" s="36">
        <f t="shared" ca="1" si="2"/>
        <v>0.10653132910142515</v>
      </c>
      <c r="E7" s="32">
        <v>0.10515051474719872</v>
      </c>
      <c r="F7" s="35">
        <f t="shared" ca="1" si="1"/>
        <v>1.3808143541507167E-3</v>
      </c>
      <c r="H7" s="23">
        <v>6</v>
      </c>
      <c r="I7" s="84">
        <f t="shared" si="3"/>
        <v>0.10654553561159008</v>
      </c>
    </row>
    <row r="8" spans="1:11" x14ac:dyDescent="0.25">
      <c r="A8" s="23">
        <v>7</v>
      </c>
      <c r="B8" s="36" cm="1">
        <f t="array" aca="1" ref="B8" ca="1">interpolexp(A8,serie_du,Taxas_DI)</f>
        <v>0.10653132910134944</v>
      </c>
      <c r="C8" s="37">
        <f t="shared" ca="1" si="0"/>
        <v>1.0028159070670444</v>
      </c>
      <c r="D8" s="36">
        <f t="shared" ca="1" si="2"/>
        <v>0.10653132910136365</v>
      </c>
      <c r="E8" s="32">
        <v>0.10518371899417289</v>
      </c>
      <c r="F8" s="35">
        <f t="shared" ca="1" si="1"/>
        <v>1.3476101071765445E-3</v>
      </c>
      <c r="H8" s="23">
        <v>7</v>
      </c>
      <c r="I8" s="84">
        <f t="shared" si="3"/>
        <v>0.10654683665660025</v>
      </c>
    </row>
    <row r="9" spans="1:11" x14ac:dyDescent="0.25">
      <c r="A9" s="23">
        <v>8</v>
      </c>
      <c r="B9" s="36" cm="1">
        <f t="array" aca="1" ref="B9" ca="1">interpolexp(A9,serie_du,Taxas_DI)</f>
        <v>0.10653763560848351</v>
      </c>
      <c r="C9" s="37">
        <f t="shared" ca="1" si="0"/>
        <v>1.0032190077911254</v>
      </c>
      <c r="D9" s="36">
        <f t="shared" ca="1" si="2"/>
        <v>0.10658178216486891</v>
      </c>
      <c r="E9" s="32">
        <v>0.10520862218510452</v>
      </c>
      <c r="F9" s="35">
        <f t="shared" ca="1" si="1"/>
        <v>1.3290134233789885E-3</v>
      </c>
      <c r="H9" s="23">
        <v>8</v>
      </c>
      <c r="I9" s="84">
        <f t="shared" si="3"/>
        <v>0.10654781244136124</v>
      </c>
    </row>
    <row r="10" spans="1:11" x14ac:dyDescent="0.25">
      <c r="A10" s="23">
        <v>9</v>
      </c>
      <c r="B10" s="36" cm="1">
        <f t="array" aca="1" ref="B10" ca="1">interpolexp(A10,serie_du,Taxas_DI)</f>
        <v>0.10654254067030688</v>
      </c>
      <c r="C10" s="37">
        <f t="shared" ca="1" si="0"/>
        <v>1.003622270548346</v>
      </c>
      <c r="D10" s="36">
        <f t="shared" ca="1" si="2"/>
        <v>0.10658178194760648</v>
      </c>
      <c r="E10" s="32">
        <v>0.10522799133876326</v>
      </c>
      <c r="F10" s="35">
        <f t="shared" ca="1" si="1"/>
        <v>1.3145493315436241E-3</v>
      </c>
      <c r="H10" s="23">
        <v>9</v>
      </c>
      <c r="I10" s="84">
        <f t="shared" si="3"/>
        <v>0.10654857138565887</v>
      </c>
    </row>
    <row r="11" spans="1:11" x14ac:dyDescent="0.25">
      <c r="A11" s="23">
        <v>10</v>
      </c>
      <c r="B11" s="36" cm="1">
        <f t="array" aca="1" ref="B11" ca="1">interpolexp(A11,serie_du,Taxas_DI)</f>
        <v>0.10654646471979223</v>
      </c>
      <c r="C11" s="37">
        <f t="shared" ca="1" si="0"/>
        <v>1.0040256954040572</v>
      </c>
      <c r="D11" s="36">
        <f t="shared" ca="1" si="2"/>
        <v>0.10658178179139099</v>
      </c>
      <c r="E11" s="32">
        <v>0.10524348666389738</v>
      </c>
      <c r="F11" s="35">
        <f t="shared" ca="1" si="1"/>
        <v>1.3029780558948545E-3</v>
      </c>
      <c r="H11" s="23">
        <v>10</v>
      </c>
      <c r="I11" s="84">
        <f t="shared" si="3"/>
        <v>0.10654917854146784</v>
      </c>
      <c r="K11" s="58" t="s">
        <v>151</v>
      </c>
    </row>
    <row r="12" spans="1:11" x14ac:dyDescent="0.25">
      <c r="A12" s="38">
        <v>11</v>
      </c>
      <c r="B12" s="39" cm="1">
        <f t="array" aca="1" ref="B12" ca="1">interpolexp(A12,serie_du,Taxas_DI)</f>
        <v>0.10654967530556725</v>
      </c>
      <c r="C12" s="40">
        <f t="shared" ca="1" si="0"/>
        <v>1.004429282423563</v>
      </c>
      <c r="D12" s="39">
        <f t="shared" ca="1" si="2"/>
        <v>0.10658178167566779</v>
      </c>
      <c r="E12" s="41">
        <v>0.10525616465937304</v>
      </c>
      <c r="F12" s="42">
        <f t="shared" ca="1" si="1"/>
        <v>1.293510646194207E-3</v>
      </c>
      <c r="H12" s="38">
        <v>11</v>
      </c>
      <c r="I12" s="42">
        <v>0.10654967530556725</v>
      </c>
    </row>
    <row r="13" spans="1:11" x14ac:dyDescent="0.25">
      <c r="A13" s="23">
        <v>12</v>
      </c>
      <c r="B13" s="36" cm="1">
        <f t="array" aca="1" ref="B13" ca="1">interpolexp(A13,serie_du,Taxas_DI)</f>
        <v>0.10655235079426451</v>
      </c>
      <c r="C13" s="37">
        <f t="shared" ca="1" si="0"/>
        <v>1.0048330316721814</v>
      </c>
      <c r="D13" s="36">
        <f t="shared" ca="1" si="2"/>
        <v>0.10658178159693543</v>
      </c>
      <c r="E13" s="44">
        <v>0.10526672965658346</v>
      </c>
      <c r="F13" s="45">
        <f t="shared" ca="1" si="1"/>
        <v>1.2856211376810478E-3</v>
      </c>
    </row>
    <row r="14" spans="1:11" x14ac:dyDescent="0.25">
      <c r="A14" s="23">
        <v>13</v>
      </c>
      <c r="B14" s="36" cm="1">
        <f t="array" aca="1" ref="B14" ca="1">interpolexp(A14,serie_du,Taxas_DI)</f>
        <v>0.1065546146688634</v>
      </c>
      <c r="C14" s="37">
        <f t="shared" ca="1" si="0"/>
        <v>1.0052369432151487</v>
      </c>
      <c r="D14" s="36">
        <f t="shared" ca="1" si="2"/>
        <v>0.10658178152531494</v>
      </c>
      <c r="E14" s="32">
        <v>0.10527566927054366</v>
      </c>
      <c r="F14" s="35">
        <f t="shared" ca="1" si="1"/>
        <v>1.2789453983197419E-3</v>
      </c>
    </row>
    <row r="15" spans="1:11" x14ac:dyDescent="0.25">
      <c r="A15" s="23">
        <v>14</v>
      </c>
      <c r="B15" s="36" cm="1">
        <f t="array" aca="1" ref="B15" ca="1">interpolexp(A15,serie_du,Taxas_DI)</f>
        <v>0.1065565551333858</v>
      </c>
      <c r="C15" s="37">
        <f t="shared" ca="1" si="0"/>
        <v>1.0056410171178034</v>
      </c>
      <c r="D15" s="36">
        <f t="shared" ca="1" si="2"/>
        <v>0.10658178148179553</v>
      </c>
      <c r="E15" s="32">
        <v>0.10528333179773419</v>
      </c>
      <c r="F15" s="35">
        <f t="shared" ca="1" si="1"/>
        <v>1.2732233356516076E-3</v>
      </c>
    </row>
    <row r="16" spans="1:11" x14ac:dyDescent="0.25">
      <c r="A16" s="23">
        <v>15</v>
      </c>
      <c r="B16" s="36" cm="1">
        <f t="array" aca="1" ref="B16" ca="1">interpolexp(A16,serie_du,Taxas_DI)</f>
        <v>0.10655823686898103</v>
      </c>
      <c r="C16" s="37">
        <f t="shared" ca="1" si="0"/>
        <v>1.0060452534453996</v>
      </c>
      <c r="D16" s="36">
        <f t="shared" ca="1" si="2"/>
        <v>0.10658178143577679</v>
      </c>
      <c r="E16" s="32">
        <v>0.10528997265453199</v>
      </c>
      <c r="F16" s="35">
        <f t="shared" ca="1" si="1"/>
        <v>1.268264214449033E-3</v>
      </c>
    </row>
    <row r="17" spans="1:6" x14ac:dyDescent="0.25">
      <c r="A17" s="23">
        <v>16</v>
      </c>
      <c r="B17" s="36" cm="1">
        <f t="array" aca="1" ref="B17" ca="1">interpolexp(A17,serie_du,Taxas_DI)</f>
        <v>0.10655970838755469</v>
      </c>
      <c r="C17" s="37">
        <f t="shared" ca="1" si="0"/>
        <v>1.0064496522632678</v>
      </c>
      <c r="D17" s="36">
        <f t="shared" ca="1" si="2"/>
        <v>0.10658178140096397</v>
      </c>
      <c r="E17" s="32">
        <v>0.10529578340501278</v>
      </c>
      <c r="F17" s="35">
        <f t="shared" ca="1" si="1"/>
        <v>1.2639249825419085E-3</v>
      </c>
    </row>
    <row r="18" spans="1:6" x14ac:dyDescent="0.25">
      <c r="A18" s="23">
        <v>17</v>
      </c>
      <c r="B18" s="36" cm="1">
        <f t="array" aca="1" ref="B18" ca="1">interpolexp(A18,serie_du,Taxas_DI)</f>
        <v>0.10656100678676506</v>
      </c>
      <c r="C18" s="37">
        <f t="shared" ca="1" si="0"/>
        <v>1.0068542136367786</v>
      </c>
      <c r="D18" s="36">
        <f t="shared" ca="1" si="2"/>
        <v>0.10658178138135299</v>
      </c>
      <c r="E18" s="32">
        <v>0.10530091053766455</v>
      </c>
      <c r="F18" s="35">
        <f t="shared" ca="1" si="1"/>
        <v>1.2600962491005063E-3</v>
      </c>
    </row>
    <row r="19" spans="1:6" x14ac:dyDescent="0.25">
      <c r="A19" s="23">
        <v>18</v>
      </c>
      <c r="B19" s="7" cm="1">
        <f t="array" aca="1" ref="B19" ca="1">interpolexp(A19,serie_du,Taxas_DI)</f>
        <v>0.1065621609191103</v>
      </c>
      <c r="C19" s="37">
        <f t="shared" ca="1" si="0"/>
        <v>1.0072589376312431</v>
      </c>
      <c r="D19" s="36">
        <f t="shared" ca="1" si="2"/>
        <v>0.10658178135313423</v>
      </c>
      <c r="E19" s="32">
        <v>0.10530546798959151</v>
      </c>
      <c r="F19" s="35">
        <f t="shared" ca="1" si="1"/>
        <v>1.256692929518799E-3</v>
      </c>
    </row>
    <row r="20" spans="1:6" x14ac:dyDescent="0.25">
      <c r="A20" s="23">
        <v>19</v>
      </c>
      <c r="B20" s="7" cm="1">
        <f t="array" aca="1" ref="B20" ca="1">interpolexp(A20,serie_du,Taxas_DI)</f>
        <v>0.10656319356376898</v>
      </c>
      <c r="C20" s="37">
        <f t="shared" ca="1" si="0"/>
        <v>1.007663824312057</v>
      </c>
      <c r="D20" s="36">
        <f t="shared" ca="1" si="2"/>
        <v>0.10658178133243945</v>
      </c>
      <c r="E20" s="32">
        <v>0.10530954570966422</v>
      </c>
      <c r="F20" s="35">
        <f t="shared" ca="1" si="1"/>
        <v>1.2536478541047558E-3</v>
      </c>
    </row>
    <row r="21" spans="1:6" x14ac:dyDescent="0.25">
      <c r="A21" s="23">
        <v>20</v>
      </c>
      <c r="B21" s="7" cm="1">
        <f t="array" aca="1" ref="B21" ca="1">interpolexp(A21,serie_du,Taxas_DI)</f>
        <v>0.10656412294407502</v>
      </c>
      <c r="C21" s="37">
        <f t="shared" ca="1" si="0"/>
        <v>1.0080688737446384</v>
      </c>
      <c r="D21" s="36">
        <f t="shared" ca="1" si="2"/>
        <v>0.10658178131815799</v>
      </c>
      <c r="E21" s="32">
        <v>0.1053132156578318</v>
      </c>
      <c r="F21" s="35">
        <f t="shared" ca="1" si="1"/>
        <v>1.2509072862432191E-3</v>
      </c>
    </row>
    <row r="22" spans="1:6" x14ac:dyDescent="0.25">
      <c r="A22" s="23">
        <v>21</v>
      </c>
      <c r="B22" s="7" cm="1">
        <f t="array" aca="1" ref="B22" ca="1">interpolexp(A22,serie_du,Taxas_DI)</f>
        <v>0.10656496381196146</v>
      </c>
      <c r="C22" s="37">
        <f t="shared" ca="1" si="0"/>
        <v>1.0084740859944081</v>
      </c>
      <c r="D22" s="36">
        <f t="shared" ca="1" si="2"/>
        <v>0.10658178130386209</v>
      </c>
      <c r="E22" s="32">
        <v>0.10531653608736313</v>
      </c>
      <c r="F22" s="35">
        <f t="shared" ca="1" si="1"/>
        <v>1.2484277245983222E-3</v>
      </c>
    </row>
    <row r="23" spans="1:6" x14ac:dyDescent="0.25">
      <c r="A23" s="23">
        <v>22</v>
      </c>
      <c r="B23" s="7" cm="1">
        <f t="array" aca="1" ref="B23" ca="1">interpolexp(A23,serie_du,Taxas_DI)</f>
        <v>0.10656572823726229</v>
      </c>
      <c r="C23" s="37">
        <f t="shared" ca="1" si="0"/>
        <v>1.0088794611268173</v>
      </c>
      <c r="D23" s="36">
        <f t="shared" ca="1" si="2"/>
        <v>0.10658178129055473</v>
      </c>
      <c r="E23" s="32">
        <v>0.10531955465983445</v>
      </c>
      <c r="F23" s="35">
        <f t="shared" ca="1" si="1"/>
        <v>1.2461735774278448E-3</v>
      </c>
    </row>
    <row r="24" spans="1:6" x14ac:dyDescent="0.25">
      <c r="A24" s="23">
        <v>23</v>
      </c>
      <c r="B24" s="7" cm="1">
        <f t="array" aca="1" ref="B24" ca="1">interpolexp(A24,serie_du,Taxas_DI)</f>
        <v>0.10656642619086831</v>
      </c>
      <c r="C24" s="37">
        <f t="shared" ca="1" si="0"/>
        <v>1.0092849992073551</v>
      </c>
      <c r="D24" s="36">
        <f t="shared" ca="1" si="2"/>
        <v>0.10658178128159235</v>
      </c>
      <c r="E24" s="32">
        <v>0.10540974677033521</v>
      </c>
      <c r="F24" s="35">
        <f t="shared" ca="1" si="1"/>
        <v>1.1566794205331021E-3</v>
      </c>
    </row>
    <row r="25" spans="1:6" x14ac:dyDescent="0.25">
      <c r="A25" s="23">
        <v>24</v>
      </c>
      <c r="B25" s="7" cm="1">
        <f t="array" aca="1" ref="B25" ca="1">interpolexp(A25,serie_du,Taxas_DI)</f>
        <v>0.10656706598166643</v>
      </c>
      <c r="C25" s="37">
        <f t="shared" ca="1" si="0"/>
        <v>1.0096907003015201</v>
      </c>
      <c r="D25" s="36">
        <f t="shared" ca="1" si="2"/>
        <v>0.10658178127212525</v>
      </c>
      <c r="E25" s="32">
        <v>0.1054924229431542</v>
      </c>
      <c r="F25" s="35">
        <f t="shared" ca="1" si="1"/>
        <v>1.0746430385122352E-3</v>
      </c>
    </row>
    <row r="26" spans="1:6" x14ac:dyDescent="0.25">
      <c r="A26" s="23">
        <v>25</v>
      </c>
      <c r="B26" s="7" cm="1">
        <f t="array" aca="1" ref="B26" ca="1">interpolexp(A26,serie_du,Taxas_DI)</f>
        <v>0.10656765458936235</v>
      </c>
      <c r="C26" s="37">
        <f t="shared" ca="1" si="0"/>
        <v>1.0100965644748578</v>
      </c>
      <c r="D26" s="36">
        <f t="shared" ca="1" si="2"/>
        <v>0.10658178126801054</v>
      </c>
      <c r="E26" s="32">
        <v>0.10556848508245231</v>
      </c>
      <c r="F26" s="35">
        <f t="shared" ca="1" si="1"/>
        <v>9.9916950691003592E-4</v>
      </c>
    </row>
    <row r="27" spans="1:6" x14ac:dyDescent="0.25">
      <c r="A27" s="23">
        <v>26</v>
      </c>
      <c r="B27" s="7" cm="1">
        <f t="array" aca="1" ref="B27" ca="1">interpolexp(A27,serie_du,Taxas_DI)</f>
        <v>0.10656819791940997</v>
      </c>
      <c r="C27" s="37">
        <f t="shared" ca="1" si="0"/>
        <v>1.0105025917928971</v>
      </c>
      <c r="D27" s="36">
        <f t="shared" ca="1" si="2"/>
        <v>0.106581781257298</v>
      </c>
      <c r="E27" s="32">
        <v>0.1056386963391942</v>
      </c>
      <c r="F27" s="35">
        <f t="shared" ca="1" si="1"/>
        <v>9.2950158021576357E-4</v>
      </c>
    </row>
    <row r="28" spans="1:6" x14ac:dyDescent="0.25">
      <c r="A28" s="23">
        <v>27</v>
      </c>
      <c r="B28" s="7" cm="1">
        <f t="array" aca="1" ref="B28" ca="1">interpolexp(A28,serie_du,Taxas_DI)</f>
        <v>0.10656870100276272</v>
      </c>
      <c r="C28" s="37">
        <f t="shared" ca="1" si="0"/>
        <v>1.0109087823212302</v>
      </c>
      <c r="D28" s="36">
        <f t="shared" ca="1" si="2"/>
        <v>0.10658178125019124</v>
      </c>
      <c r="E28" s="32">
        <v>0.10570370680589303</v>
      </c>
      <c r="F28" s="35">
        <f t="shared" ca="1" si="1"/>
        <v>8.6499419686969503E-4</v>
      </c>
    </row>
    <row r="29" spans="1:6" x14ac:dyDescent="0.25">
      <c r="A29" s="23">
        <v>28</v>
      </c>
      <c r="B29" s="7" cm="1">
        <f t="array" aca="1" ref="B29" ca="1">interpolexp(A29,serie_du,Taxas_DI)</f>
        <v>0.10656916815172668</v>
      </c>
      <c r="C29" s="37">
        <f t="shared" ca="1" si="0"/>
        <v>1.0113151361254813</v>
      </c>
      <c r="D29" s="36">
        <f t="shared" ca="1" si="2"/>
        <v>0.10658178124833828</v>
      </c>
      <c r="E29" s="32">
        <v>0.10576407370583851</v>
      </c>
      <c r="F29" s="35">
        <f t="shared" ca="1" si="1"/>
        <v>8.0509444588816592E-4</v>
      </c>
    </row>
    <row r="30" spans="1:6" x14ac:dyDescent="0.25">
      <c r="A30" s="23">
        <v>29</v>
      </c>
      <c r="B30" s="7" cm="1">
        <f t="array" aca="1" ref="B30" ca="1">interpolexp(A30,serie_du,Taxas_DI)</f>
        <v>0.1065696030832175</v>
      </c>
      <c r="C30" s="37">
        <f t="shared" ca="1" si="0"/>
        <v>1.0117216532712385</v>
      </c>
      <c r="D30" s="36">
        <f t="shared" ca="1" si="2"/>
        <v>0.10658178123434991</v>
      </c>
      <c r="E30" s="32">
        <v>0.10582027740375644</v>
      </c>
      <c r="F30" s="35">
        <f t="shared" ca="1" si="1"/>
        <v>7.4932567946106587E-4</v>
      </c>
    </row>
    <row r="31" spans="1:6" x14ac:dyDescent="0.25">
      <c r="A31" s="23">
        <v>30</v>
      </c>
      <c r="B31" s="7" cm="1">
        <f t="array" aca="1" ref="B31" ca="1">interpolexp(A31,serie_du,Taxas_DI)</f>
        <v>0.10657000901947411</v>
      </c>
      <c r="C31" s="37">
        <f t="shared" ca="1" si="0"/>
        <v>1.0121283338242155</v>
      </c>
      <c r="D31" s="36">
        <f t="shared" ca="1" si="2"/>
        <v>0.10658178123571171</v>
      </c>
      <c r="E31" s="32">
        <v>0.105872734217205</v>
      </c>
      <c r="F31" s="35">
        <f t="shared" ca="1" si="1"/>
        <v>6.9727480226910998E-4</v>
      </c>
    </row>
    <row r="32" spans="1:6" x14ac:dyDescent="0.25">
      <c r="A32" s="23">
        <v>31</v>
      </c>
      <c r="B32" s="7" cm="1">
        <f t="array" aca="1" ref="B32" ca="1">interpolexp(A32,serie_du,Taxas_DI)</f>
        <v>0.10670394479068701</v>
      </c>
      <c r="C32" s="37">
        <f t="shared" ca="1" si="0"/>
        <v>1.0125502104025581</v>
      </c>
      <c r="D32" s="36">
        <f t="shared" ca="1" si="2"/>
        <v>0.11072956494686936</v>
      </c>
      <c r="E32" s="32">
        <v>0.10592180674482421</v>
      </c>
      <c r="F32" s="35">
        <f t="shared" ca="1" si="1"/>
        <v>7.8213804586280133E-4</v>
      </c>
    </row>
    <row r="33" spans="1:7" x14ac:dyDescent="0.25">
      <c r="A33" s="23">
        <v>32</v>
      </c>
      <c r="B33" s="7" cm="1">
        <f t="array" aca="1" ref="B33" ca="1">interpolexp(A33,serie_du,Taxas_DI)</f>
        <v>0.10682950973937011</v>
      </c>
      <c r="C33" s="37">
        <f t="shared" ca="1" si="0"/>
        <v>1.0129722611359298</v>
      </c>
      <c r="D33" s="36">
        <f t="shared" ca="1" si="2"/>
        <v>0.11072909739089076</v>
      </c>
      <c r="E33" s="32">
        <v>0.10596781226142049</v>
      </c>
      <c r="F33" s="35">
        <f t="shared" ca="1" si="1"/>
        <v>8.6169747794961893E-4</v>
      </c>
    </row>
    <row r="34" spans="1:7" x14ac:dyDescent="0.25">
      <c r="A34" s="38">
        <v>33</v>
      </c>
      <c r="B34" s="39" cm="1">
        <f t="array" aca="1" ref="B34" ca="1">interpolexp(A34,serie_du,Taxas_DI)</f>
        <v>0.10694746483428386</v>
      </c>
      <c r="C34" s="40">
        <f t="shared" ca="1" si="0"/>
        <v>1.0133944862496629</v>
      </c>
      <c r="D34" s="39">
        <f t="shared" ca="1" si="2"/>
        <v>0.11072867241240791</v>
      </c>
      <c r="E34" s="41">
        <v>0.1060110295841854</v>
      </c>
      <c r="F34" s="42">
        <f t="shared" ca="1" si="1"/>
        <v>9.3643525009845519E-4</v>
      </c>
      <c r="G34" s="43"/>
    </row>
    <row r="35" spans="1:7" x14ac:dyDescent="0.25">
      <c r="A35" s="23">
        <v>34</v>
      </c>
      <c r="B35" s="7" cm="1">
        <f t="array" aca="1" ref="B35" ca="1">interpolexp(A35,serie_du,Taxas_DI)</f>
        <v>0.10705848152139374</v>
      </c>
      <c r="C35" s="37">
        <f t="shared" ca="1" si="0"/>
        <v>1.0138168859513432</v>
      </c>
      <c r="D35" s="36">
        <f t="shared" ca="1" si="2"/>
        <v>0.1107282850327389</v>
      </c>
      <c r="E35" s="32">
        <v>0.10605170472837155</v>
      </c>
      <c r="F35" s="35">
        <f t="shared" ca="1" si="1"/>
        <v>1.0067767930221905E-3</v>
      </c>
    </row>
    <row r="36" spans="1:7" x14ac:dyDescent="0.25">
      <c r="A36" s="23">
        <v>35</v>
      </c>
      <c r="B36" s="7" cm="1">
        <f t="array" aca="1" ref="B36" ca="1">interpolexp(A36,serie_du,Taxas_DI)</f>
        <v>0.10716315451044789</v>
      </c>
      <c r="C36" s="37">
        <f t="shared" ca="1" si="0"/>
        <v>1.0142394604331022</v>
      </c>
      <c r="D36" s="36">
        <f t="shared" ca="1" si="2"/>
        <v>0.11072793091619926</v>
      </c>
      <c r="E36" s="32">
        <v>0.1060900555939881</v>
      </c>
      <c r="F36" s="35">
        <f t="shared" ca="1" si="1"/>
        <v>1.0730989164597915E-3</v>
      </c>
    </row>
    <row r="37" spans="1:7" x14ac:dyDescent="0.25">
      <c r="A37" s="23">
        <v>36</v>
      </c>
      <c r="B37" s="7" cm="1">
        <f t="array" aca="1" ref="B37" ca="1">interpolexp(A37,serie_du,Taxas_DI)</f>
        <v>0.10726201243402844</v>
      </c>
      <c r="C37" s="37">
        <f t="shared" ca="1" si="0"/>
        <v>1.014662209873944</v>
      </c>
      <c r="D37" s="36">
        <f t="shared" ca="1" si="2"/>
        <v>0.11072760637806489</v>
      </c>
      <c r="E37" s="32">
        <v>0.10612627586934487</v>
      </c>
      <c r="F37" s="35">
        <f t="shared" ca="1" si="1"/>
        <v>1.135736564683576E-3</v>
      </c>
    </row>
    <row r="38" spans="1:7" x14ac:dyDescent="0.25">
      <c r="A38" s="23">
        <v>37</v>
      </c>
      <c r="B38" s="7" cm="1">
        <f t="array" aca="1" ref="B38" ca="1">interpolexp(A38,serie_du,Taxas_DI)</f>
        <v>0.1073555267756765</v>
      </c>
      <c r="C38" s="37">
        <f t="shared" ca="1" si="0"/>
        <v>1.0150851344413916</v>
      </c>
      <c r="D38" s="36">
        <f t="shared" ca="1" si="2"/>
        <v>0.11072730819514431</v>
      </c>
      <c r="E38" s="32">
        <v>0.10616053830385663</v>
      </c>
      <c r="F38" s="35">
        <f t="shared" ca="1" si="1"/>
        <v>1.1949884718198689E-3</v>
      </c>
    </row>
    <row r="39" spans="1:7" x14ac:dyDescent="0.25">
      <c r="A39" s="23">
        <v>38</v>
      </c>
      <c r="B39" s="7" cm="1">
        <f t="array" aca="1" ref="B39" ca="1">interpolexp(A39,serie_du,Taxas_DI)</f>
        <v>0.10744411939072052</v>
      </c>
      <c r="C39" s="37">
        <f t="shared" ca="1" si="0"/>
        <v>1.0155082342931809</v>
      </c>
      <c r="D39" s="36">
        <f t="shared" ca="1" si="2"/>
        <v>0.11072703361769487</v>
      </c>
      <c r="E39" s="32">
        <v>0.10619299746339461</v>
      </c>
      <c r="F39" s="35">
        <f t="shared" ca="1" si="1"/>
        <v>1.2511219273259044E-3</v>
      </c>
    </row>
    <row r="40" spans="1:7" x14ac:dyDescent="0.25">
      <c r="A40" s="23">
        <v>39</v>
      </c>
      <c r="B40" s="7" cm="1">
        <f t="array" aca="1" ref="B40" ca="1">interpolexp(A40,serie_du,Taxas_DI)</f>
        <v>0.10752816886701044</v>
      </c>
      <c r="C40" s="37">
        <f t="shared" ca="1" si="0"/>
        <v>1.0159315095782875</v>
      </c>
      <c r="D40" s="36">
        <f t="shared" ca="1" si="2"/>
        <v>0.11072678018461879</v>
      </c>
      <c r="E40" s="32">
        <v>0.10622379206026711</v>
      </c>
      <c r="F40" s="35">
        <f t="shared" ca="1" si="1"/>
        <v>1.3043768067433348E-3</v>
      </c>
    </row>
    <row r="41" spans="1:7" x14ac:dyDescent="0.25">
      <c r="A41" s="23">
        <v>40</v>
      </c>
      <c r="B41" s="7" cm="1">
        <f t="array" aca="1" ref="B41" ca="1">interpolexp(A41,serie_du,Taxas_DI)</f>
        <v>0.10760801593503455</v>
      </c>
      <c r="C41" s="37">
        <f t="shared" ca="1" si="0"/>
        <v>1.0163549604382673</v>
      </c>
      <c r="D41" s="36">
        <f t="shared" ca="1" si="2"/>
        <v>0.11072654580923635</v>
      </c>
      <c r="E41" s="32">
        <v>0.10625304693618887</v>
      </c>
      <c r="F41" s="35">
        <f t="shared" ca="1" si="1"/>
        <v>1.3549689988456848E-3</v>
      </c>
    </row>
    <row r="42" spans="1:7" x14ac:dyDescent="0.25">
      <c r="A42" s="23">
        <v>41</v>
      </c>
      <c r="B42" s="7" cm="1">
        <f t="array" aca="1" ref="B42" ca="1">interpolexp(A42,serie_du,Taxas_DI)</f>
        <v>0.10768396808304992</v>
      </c>
      <c r="C42" s="37">
        <f t="shared" ca="1" si="0"/>
        <v>1.0167785870079504</v>
      </c>
      <c r="D42" s="36">
        <f t="shared" ca="1" si="2"/>
        <v>0.11072632860006215</v>
      </c>
      <c r="E42" s="32">
        <v>0.10628087475286208</v>
      </c>
      <c r="F42" s="35">
        <f t="shared" ca="1" si="1"/>
        <v>1.4030933301878434E-3</v>
      </c>
    </row>
    <row r="43" spans="1:7" x14ac:dyDescent="0.25">
      <c r="A43" s="23">
        <v>42</v>
      </c>
      <c r="B43" s="7" cm="1">
        <f t="array" aca="1" ref="B43" ca="1">interpolexp(A43,serie_du,Taxas_DI)</f>
        <v>0.10775630351587129</v>
      </c>
      <c r="C43" s="37">
        <f t="shared" ca="1" si="0"/>
        <v>1.0172023894164537</v>
      </c>
      <c r="D43" s="36">
        <f t="shared" ca="1" si="2"/>
        <v>0.1107261269482076</v>
      </c>
      <c r="E43" s="32">
        <v>0.10630737744248275</v>
      </c>
      <c r="F43" s="35">
        <f t="shared" ca="1" si="1"/>
        <v>1.4489260733885345E-3</v>
      </c>
    </row>
    <row r="44" spans="1:7" x14ac:dyDescent="0.25">
      <c r="A44" s="23">
        <v>43</v>
      </c>
      <c r="B44" s="7" cm="1">
        <f t="array" aca="1" ref="B44" ca="1">interpolexp(A44,serie_du,Taxas_DI)</f>
        <v>0.10782527455850399</v>
      </c>
      <c r="C44" s="37">
        <f t="shared" ca="1" si="0"/>
        <v>1.0176263677876483</v>
      </c>
      <c r="D44" s="36">
        <f t="shared" ca="1" si="2"/>
        <v>0.1107259393765927</v>
      </c>
      <c r="E44" s="32">
        <v>0.1063326474554982</v>
      </c>
      <c r="F44" s="35">
        <f t="shared" ca="1" si="1"/>
        <v>1.4926271030057947E-3</v>
      </c>
    </row>
    <row r="45" spans="1:7" x14ac:dyDescent="0.25">
      <c r="A45" s="23">
        <v>44</v>
      </c>
      <c r="B45" s="7" cm="1">
        <f t="array" aca="1" ref="B45" ca="1">interpolexp(A45,serie_du,Taxas_DI)</f>
        <v>0.10789111059816836</v>
      </c>
      <c r="C45" s="37">
        <f t="shared" ca="1" si="0"/>
        <v>1.0180505222409375</v>
      </c>
      <c r="D45" s="36">
        <f t="shared" ca="1" si="2"/>
        <v>0.11072576462520267</v>
      </c>
      <c r="E45" s="32">
        <v>0.10635676883756773</v>
      </c>
      <c r="F45" s="35">
        <f t="shared" ca="1" si="1"/>
        <v>1.5343417606006327E-3</v>
      </c>
    </row>
    <row r="46" spans="1:7" x14ac:dyDescent="0.25">
      <c r="A46" s="23">
        <v>45</v>
      </c>
      <c r="B46" s="7" cm="1">
        <f t="array" aca="1" ref="B46" ca="1">interpolexp(A46,serie_du,Taxas_DI)</f>
        <v>0.10795402063186188</v>
      </c>
      <c r="C46" s="37">
        <f t="shared" ca="1" si="0"/>
        <v>1.0184748528915948</v>
      </c>
      <c r="D46" s="36">
        <f t="shared" ca="1" si="2"/>
        <v>0.11072560152943178</v>
      </c>
      <c r="E46" s="32">
        <v>0.1063798181635629</v>
      </c>
      <c r="F46" s="35">
        <f t="shared" ca="1" si="1"/>
        <v>1.5742024682989797E-3</v>
      </c>
    </row>
    <row r="47" spans="1:7" x14ac:dyDescent="0.25">
      <c r="A47" s="23">
        <v>46</v>
      </c>
      <c r="B47" s="7" cm="1">
        <f t="array" aca="1" ref="B47" ca="1">interpolexp(A47,serie_du,Taxas_DI)</f>
        <v>0.10801419548391866</v>
      </c>
      <c r="C47" s="37">
        <f t="shared" ca="1" si="0"/>
        <v>1.0188993598514196</v>
      </c>
      <c r="D47" s="36">
        <f t="shared" ca="1" si="2"/>
        <v>0.11072544910715765</v>
      </c>
      <c r="E47" s="32">
        <v>0.10649991889575272</v>
      </c>
      <c r="F47" s="35">
        <f t="shared" ca="1" si="1"/>
        <v>1.5142765881659415E-3</v>
      </c>
    </row>
    <row r="48" spans="1:7" x14ac:dyDescent="0.25">
      <c r="A48" s="23">
        <v>47</v>
      </c>
      <c r="B48" s="7" cm="1">
        <f t="array" aca="1" ref="B48" ca="1">interpolexp(A48,serie_du,Taxas_DI)</f>
        <v>0.10807180973770869</v>
      </c>
      <c r="C48" s="37">
        <f t="shared" ca="1" si="0"/>
        <v>1.0193240432288597</v>
      </c>
      <c r="D48" s="36">
        <f t="shared" ca="1" si="2"/>
        <v>0.11072530641217826</v>
      </c>
      <c r="E48" s="32">
        <v>0.10661490909347204</v>
      </c>
      <c r="F48" s="35">
        <f t="shared" ca="1" si="1"/>
        <v>1.4569006442366472E-3</v>
      </c>
    </row>
    <row r="49" spans="1:6" x14ac:dyDescent="0.25">
      <c r="A49" s="23">
        <v>48</v>
      </c>
      <c r="B49" s="7" cm="1">
        <f t="array" aca="1" ref="B49" ca="1">interpolexp(A49,serie_du,Taxas_DI)</f>
        <v>0.10812702342892777</v>
      </c>
      <c r="C49" s="37">
        <f t="shared" ca="1" si="0"/>
        <v>1.0197489031296214</v>
      </c>
      <c r="D49" s="36">
        <f t="shared" ca="1" si="2"/>
        <v>0.11072517266722137</v>
      </c>
      <c r="E49" s="32">
        <v>0.10672510815701308</v>
      </c>
      <c r="F49" s="35">
        <f t="shared" ca="1" si="1"/>
        <v>1.4019152719146888E-3</v>
      </c>
    </row>
    <row r="50" spans="1:6" x14ac:dyDescent="0.25">
      <c r="A50" s="23">
        <v>49</v>
      </c>
      <c r="B50" s="7" cm="1">
        <f t="array" aca="1" ref="B50" ca="1">interpolexp(A50,serie_du,Taxas_DI)</f>
        <v>0.10817998352862013</v>
      </c>
      <c r="C50" s="37">
        <f t="shared" ca="1" si="0"/>
        <v>1.0201739396567115</v>
      </c>
      <c r="D50" s="36">
        <f t="shared" ca="1" si="2"/>
        <v>0.1107250471086878</v>
      </c>
      <c r="E50" s="32">
        <v>0.10683080941344958</v>
      </c>
      <c r="F50" s="35">
        <f t="shared" ca="1" si="1"/>
        <v>1.3491741151705483E-3</v>
      </c>
    </row>
    <row r="51" spans="1:6" x14ac:dyDescent="0.25">
      <c r="A51" s="23">
        <v>50</v>
      </c>
      <c r="B51" s="7" cm="1">
        <f t="array" aca="1" ref="B51" ca="1">interpolexp(A51,serie_du,Taxas_DI)</f>
        <v>0.10832064077435088</v>
      </c>
      <c r="C51" s="37">
        <f t="shared" ca="1" si="0"/>
        <v>1.020615563786039</v>
      </c>
      <c r="D51" s="36">
        <f t="shared" ca="1" si="2"/>
        <v>0.11523476035721592</v>
      </c>
      <c r="E51" s="32">
        <v>0.10693228272478095</v>
      </c>
      <c r="F51" s="35">
        <f t="shared" ca="1" si="1"/>
        <v>1.3883580495699377E-3</v>
      </c>
    </row>
    <row r="52" spans="1:6" x14ac:dyDescent="0.25">
      <c r="A52" s="23">
        <v>51</v>
      </c>
      <c r="B52" s="7" cm="1">
        <f t="array" aca="1" ref="B52" ca="1">interpolexp(A52,serie_du,Taxas_DI)</f>
        <v>0.10845578223572794</v>
      </c>
      <c r="C52" s="37">
        <f t="shared" ca="1" si="0"/>
        <v>1.0210573759901502</v>
      </c>
      <c r="D52" s="36">
        <f t="shared" ca="1" si="2"/>
        <v>0.11523390701188019</v>
      </c>
      <c r="E52" s="32">
        <v>0.10702977678733738</v>
      </c>
      <c r="F52" s="35">
        <f t="shared" ca="1" si="1"/>
        <v>1.4260054483905549E-3</v>
      </c>
    </row>
    <row r="53" spans="1:6" x14ac:dyDescent="0.25">
      <c r="A53" s="23">
        <v>52</v>
      </c>
      <c r="B53" s="7" cm="1">
        <f t="array" aca="1" ref="B53" ca="1">interpolexp(A53,serie_du,Taxas_DI)</f>
        <v>0.10858572612064687</v>
      </c>
      <c r="C53" s="37">
        <f t="shared" ca="1" si="0"/>
        <v>1.0214993765274467</v>
      </c>
      <c r="D53" s="36">
        <f t="shared" ca="1" si="2"/>
        <v>0.11523310309867929</v>
      </c>
      <c r="E53" s="32">
        <v>0.10712352116775126</v>
      </c>
      <c r="F53" s="35">
        <f t="shared" ca="1" si="1"/>
        <v>1.4622049528956182E-3</v>
      </c>
    </row>
    <row r="54" spans="1:6" x14ac:dyDescent="0.25">
      <c r="A54" s="23">
        <v>53</v>
      </c>
      <c r="B54" s="7" cm="1">
        <f t="array" aca="1" ref="B54" ca="1">interpolexp(A54,serie_du,Taxas_DI)</f>
        <v>0.10871076662197776</v>
      </c>
      <c r="C54" s="37">
        <f t="shared" ca="1" si="0"/>
        <v>1.0219415656430344</v>
      </c>
      <c r="D54" s="36">
        <f t="shared" ca="1" si="2"/>
        <v>0.11523234486662082</v>
      </c>
      <c r="E54" s="32">
        <v>0.10721372810738039</v>
      </c>
      <c r="F54" s="35">
        <f t="shared" ca="1" si="1"/>
        <v>1.4970385145973708E-3</v>
      </c>
    </row>
    <row r="55" spans="1:6" x14ac:dyDescent="0.25">
      <c r="A55" s="23">
        <v>54</v>
      </c>
      <c r="B55" s="7" cm="1">
        <f t="array" aca="1" ref="B55" ca="1">interpolexp(A55,serie_du,Taxas_DI)</f>
        <v>0.10883117614137738</v>
      </c>
      <c r="C55" s="37">
        <f t="shared" ca="1" si="0"/>
        <v>1.0223839435700133</v>
      </c>
      <c r="D55" s="36">
        <f t="shared" ca="1" si="2"/>
        <v>0.11523162892733918</v>
      </c>
      <c r="E55" s="32">
        <v>0.1073005941259364</v>
      </c>
      <c r="F55" s="35">
        <f t="shared" ca="1" si="1"/>
        <v>1.5305820154409844E-3</v>
      </c>
    </row>
    <row r="56" spans="1:6" x14ac:dyDescent="0.25">
      <c r="A56" s="23">
        <v>55</v>
      </c>
      <c r="B56" s="7" cm="1">
        <f t="array" aca="1" ref="B56" ca="1">interpolexp(A56,serie_du,Taxas_DI)</f>
        <v>0.10894720726961626</v>
      </c>
      <c r="C56" s="37">
        <f t="shared" ca="1" si="0"/>
        <v>1.0228265105304526</v>
      </c>
      <c r="D56" s="36">
        <f t="shared" ca="1" si="2"/>
        <v>0.11523095216778501</v>
      </c>
      <c r="E56" s="32">
        <v>0.10738430145165179</v>
      </c>
      <c r="F56" s="35">
        <f t="shared" ca="1" si="1"/>
        <v>1.5629058179644773E-3</v>
      </c>
    </row>
    <row r="57" spans="1:6" x14ac:dyDescent="0.25">
      <c r="A57" s="23">
        <v>56</v>
      </c>
      <c r="B57" s="7" cm="1">
        <f t="array" aca="1" ref="B57" ca="1">interpolexp(A57,serie_du,Taxas_DI)</f>
        <v>0.10905909455651841</v>
      </c>
      <c r="C57" s="37">
        <f t="shared" ca="1" si="0"/>
        <v>1.0232692667366121</v>
      </c>
      <c r="D57" s="36">
        <f t="shared" ca="1" si="2"/>
        <v>0.11523031181672838</v>
      </c>
      <c r="E57" s="32">
        <v>0.10746501929619345</v>
      </c>
      <c r="F57" s="35">
        <f t="shared" ca="1" si="1"/>
        <v>1.5940752603249564E-3</v>
      </c>
    </row>
    <row r="58" spans="1:6" x14ac:dyDescent="0.25">
      <c r="A58" s="23">
        <v>57</v>
      </c>
      <c r="B58" s="7" cm="1">
        <f t="array" aca="1" ref="B58" ca="1">interpolexp(A58,serie_du,Taxas_DI)</f>
        <v>0.10916705609227417</v>
      </c>
      <c r="C58" s="37">
        <f t="shared" ca="1" si="0"/>
        <v>1.0237122123915765</v>
      </c>
      <c r="D58" s="36">
        <f t="shared" ca="1" si="2"/>
        <v>0.11522970528329712</v>
      </c>
      <c r="E58" s="32">
        <v>0.10754290499734864</v>
      </c>
      <c r="F58" s="35">
        <f t="shared" ca="1" si="1"/>
        <v>1.62415109492553E-3</v>
      </c>
    </row>
    <row r="59" spans="1:6" x14ac:dyDescent="0.25">
      <c r="A59" s="23">
        <v>58</v>
      </c>
      <c r="B59" s="7" cm="1">
        <f t="array" aca="1" ref="B59" ca="1">interpolexp(A59,serie_du,Taxas_DI)</f>
        <v>0.10927129492679377</v>
      </c>
      <c r="C59" s="37">
        <f t="shared" ca="1" si="0"/>
        <v>1.0241553476901399</v>
      </c>
      <c r="D59" s="36">
        <f t="shared" ca="1" si="2"/>
        <v>0.11522913022469217</v>
      </c>
      <c r="E59" s="32">
        <v>0.10761810504236191</v>
      </c>
      <c r="F59" s="35">
        <f t="shared" ca="1" si="1"/>
        <v>1.6531898844318604E-3</v>
      </c>
    </row>
    <row r="60" spans="1:6" x14ac:dyDescent="0.25">
      <c r="A60" s="23">
        <v>59</v>
      </c>
      <c r="B60" s="7" cm="1">
        <f t="array" aca="1" ref="B60" ca="1">interpolexp(A60,serie_du,Taxas_DI)</f>
        <v>0.1093720003446208</v>
      </c>
      <c r="C60" s="37">
        <f t="shared" ca="1" si="0"/>
        <v>1.0245986728195915</v>
      </c>
      <c r="D60" s="36">
        <f t="shared" ca="1" si="2"/>
        <v>0.11522858451866203</v>
      </c>
      <c r="E60" s="32">
        <v>0.1076907559867335</v>
      </c>
      <c r="F60" s="35">
        <f t="shared" ca="1" si="1"/>
        <v>1.6812443578873015E-3</v>
      </c>
    </row>
    <row r="61" spans="1:6" x14ac:dyDescent="0.25">
      <c r="A61" s="23">
        <v>60</v>
      </c>
      <c r="B61" s="7" cm="1">
        <f t="array" aca="1" ref="B61" ca="1">interpolexp(A61,serie_du,Taxas_DI)</f>
        <v>0.10946934901145955</v>
      </c>
      <c r="C61" s="37">
        <f t="shared" ca="1" si="0"/>
        <v>1.0250421879602278</v>
      </c>
      <c r="D61" s="36">
        <f t="shared" ca="1" si="2"/>
        <v>0.11522806618811132</v>
      </c>
      <c r="E61" s="32">
        <v>0.10776098528313405</v>
      </c>
      <c r="F61" s="35">
        <f t="shared" ca="1" si="1"/>
        <v>1.7083637283255015E-3</v>
      </c>
    </row>
    <row r="62" spans="1:6" x14ac:dyDescent="0.25">
      <c r="A62" s="23">
        <v>61</v>
      </c>
      <c r="B62" s="7" cm="1">
        <f t="array" aca="1" ref="B62" ca="1">interpolexp(A62,serie_du,Taxas_DI)</f>
        <v>0.10956350600892506</v>
      </c>
      <c r="C62" s="37">
        <f t="shared" ca="1" si="0"/>
        <v>1.0254858932860293</v>
      </c>
      <c r="D62" s="36">
        <f t="shared" ca="1" si="2"/>
        <v>0.11522757344528256</v>
      </c>
      <c r="E62" s="32">
        <v>0.1078289120266307</v>
      </c>
      <c r="F62" s="35">
        <f t="shared" ca="1" si="1"/>
        <v>1.7345939822943635E-3</v>
      </c>
    </row>
    <row r="63" spans="1:6" x14ac:dyDescent="0.25">
      <c r="A63" s="23">
        <v>62</v>
      </c>
      <c r="B63" s="7" cm="1">
        <f t="array" aca="1" ref="B63" ca="1">interpolexp(A63,serie_du,Taxas_DI)</f>
        <v>0.10965462576810747</v>
      </c>
      <c r="C63" s="37">
        <f t="shared" ca="1" si="0"/>
        <v>1.0259297889650374</v>
      </c>
      <c r="D63" s="36">
        <f t="shared" ca="1" si="2"/>
        <v>0.1152271046097777</v>
      </c>
      <c r="E63" s="32">
        <v>0.10789464762868128</v>
      </c>
      <c r="F63" s="35">
        <f t="shared" ca="1" si="1"/>
        <v>1.7599781394261882E-3</v>
      </c>
    </row>
    <row r="64" spans="1:6" x14ac:dyDescent="0.25">
      <c r="A64" s="23">
        <v>63</v>
      </c>
      <c r="B64" s="7" cm="1">
        <f t="array" aca="1" ref="B64" ca="1">interpolexp(A64,serie_du,Taxas_DI)</f>
        <v>0.10974285291551755</v>
      </c>
      <c r="C64" s="37">
        <f t="shared" ca="1" si="0"/>
        <v>1.0263738751599836</v>
      </c>
      <c r="D64" s="36">
        <f t="shared" ca="1" si="2"/>
        <v>0.11522665817690569</v>
      </c>
      <c r="E64" s="32">
        <v>0.10795829642729071</v>
      </c>
      <c r="F64" s="35">
        <f t="shared" ca="1" si="1"/>
        <v>1.7845564882268405E-3</v>
      </c>
    </row>
    <row r="65" spans="1:6" x14ac:dyDescent="0.25">
      <c r="A65" s="23">
        <v>64</v>
      </c>
      <c r="B65" s="7" cm="1">
        <f t="array" aca="1" ref="B65" ca="1">interpolexp(A65,serie_du,Taxas_DI)</f>
        <v>0.10982832303882972</v>
      </c>
      <c r="C65" s="37">
        <f t="shared" ca="1" si="0"/>
        <v>1.0268181520286619</v>
      </c>
      <c r="D65" s="36">
        <f t="shared" ca="1" si="2"/>
        <v>0.11522623274718446</v>
      </c>
      <c r="E65" s="32">
        <v>0.10801995623950322</v>
      </c>
      <c r="F65" s="35">
        <f t="shared" ca="1" si="1"/>
        <v>1.8083667993264996E-3</v>
      </c>
    </row>
    <row r="66" spans="1:6" x14ac:dyDescent="0.25">
      <c r="A66" s="23">
        <v>65</v>
      </c>
      <c r="B66" s="7" cm="1">
        <f t="array" aca="1" ref="B66" ca="1">interpolexp(A66,serie_du,Taxas_DI)</f>
        <v>0.10991116338179285</v>
      </c>
      <c r="C66" s="37">
        <f t="shared" ref="C66:C129" ca="1" si="4">(1+B66)^(A66/252)</f>
        <v>1.0272626197242272</v>
      </c>
      <c r="D66" s="36">
        <f t="shared" ca="1" si="2"/>
        <v>0.11522582700572537</v>
      </c>
      <c r="E66" s="32">
        <v>0.10813827581725999</v>
      </c>
      <c r="F66" s="35">
        <f t="shared" ref="F66:F129" ca="1" si="5">B66-E66</f>
        <v>1.7728875645328657E-3</v>
      </c>
    </row>
    <row r="67" spans="1:6" x14ac:dyDescent="0.25">
      <c r="A67" s="23">
        <v>66</v>
      </c>
      <c r="B67" s="7" cm="1">
        <f t="array" aca="1" ref="B67" ca="1">interpolexp(A67,serie_du,Taxas_DI)</f>
        <v>0.10999149347674653</v>
      </c>
      <c r="C67" s="37">
        <f t="shared" ca="1" si="4"/>
        <v>1.027707278395646</v>
      </c>
      <c r="D67" s="36">
        <f t="shared" ca="1" si="2"/>
        <v>0.11522543976370092</v>
      </c>
      <c r="E67" s="32">
        <v>0.10825301008692279</v>
      </c>
      <c r="F67" s="35">
        <f t="shared" ca="1" si="5"/>
        <v>1.7384833898237417E-3</v>
      </c>
    </row>
    <row r="68" spans="1:6" x14ac:dyDescent="0.25">
      <c r="A68" s="23">
        <v>67</v>
      </c>
      <c r="B68" s="7" cm="1">
        <f t="array" aca="1" ref="B68" ca="1">interpolexp(A68,serie_du,Taxas_DI)</f>
        <v>0.11006942572007183</v>
      </c>
      <c r="C68" s="37">
        <f t="shared" ca="1" si="4"/>
        <v>1.0281521281880124</v>
      </c>
      <c r="D68" s="36">
        <f t="shared" ref="D68:D131" ca="1" si="6">((((1+B68)^(A68/252))/((1+B67)^(A67/252)))^(252/1))-1</f>
        <v>0.1152250699211721</v>
      </c>
      <c r="E68" s="32">
        <v>0.10836431957859105</v>
      </c>
      <c r="F68" s="35">
        <f t="shared" ca="1" si="5"/>
        <v>1.7051061414807833E-3</v>
      </c>
    </row>
    <row r="69" spans="1:6" x14ac:dyDescent="0.25">
      <c r="A69" s="23">
        <v>68</v>
      </c>
      <c r="B69" s="7" cm="1">
        <f t="array" aca="1" ref="B69" ca="1">interpolexp(A69,serie_du,Taxas_DI)</f>
        <v>0.11014506589657191</v>
      </c>
      <c r="C69" s="37">
        <f t="shared" ca="1" si="4"/>
        <v>1.0285971692427602</v>
      </c>
      <c r="D69" s="36">
        <f t="shared" ca="1" si="6"/>
        <v>0.11522471643864551</v>
      </c>
      <c r="E69" s="32">
        <v>0.10847235538007372</v>
      </c>
      <c r="F69" s="35">
        <f t="shared" ca="1" si="5"/>
        <v>1.6727105164981992E-3</v>
      </c>
    </row>
    <row r="70" spans="1:6" x14ac:dyDescent="0.25">
      <c r="A70" s="23">
        <v>69</v>
      </c>
      <c r="B70" s="7" cm="1">
        <f t="array" aca="1" ref="B70" ca="1">interpolexp(A70,serie_du,Taxas_DI)</f>
        <v>0.11021851365879964</v>
      </c>
      <c r="C70" s="37">
        <f t="shared" ca="1" si="4"/>
        <v>1.0290424016979902</v>
      </c>
      <c r="D70" s="36">
        <f t="shared" ca="1" si="6"/>
        <v>0.11522437836788302</v>
      </c>
      <c r="E70" s="32">
        <v>0.10857725982065247</v>
      </c>
      <c r="F70" s="35">
        <f t="shared" ca="1" si="5"/>
        <v>1.641253838147172E-3</v>
      </c>
    </row>
    <row r="71" spans="1:6" x14ac:dyDescent="0.25">
      <c r="A71" s="23">
        <v>70</v>
      </c>
      <c r="B71" s="7" cm="1">
        <f t="array" aca="1" ref="B71" ca="1">interpolexp(A71,serie_du,Taxas_DI)</f>
        <v>0.11028986296528553</v>
      </c>
      <c r="C71" s="37">
        <f t="shared" ca="1" si="4"/>
        <v>1.0294878256887685</v>
      </c>
      <c r="D71" s="36">
        <f t="shared" ca="1" si="6"/>
        <v>0.11522405484445541</v>
      </c>
      <c r="E71" s="32">
        <v>0.10867916709671466</v>
      </c>
      <c r="F71" s="35">
        <f t="shared" ca="1" si="5"/>
        <v>1.6106958685708772E-3</v>
      </c>
    </row>
    <row r="72" spans="1:6" x14ac:dyDescent="0.25">
      <c r="A72" s="23">
        <v>71</v>
      </c>
      <c r="B72" s="7" cm="1">
        <f t="array" aca="1" ref="B72" ca="1">interpolexp(A72,serie_du,Taxas_DI)</f>
        <v>0.11039294491514973</v>
      </c>
      <c r="C72" s="37">
        <f t="shared" ca="1" si="4"/>
        <v>1.029942259449675</v>
      </c>
      <c r="D72" s="36">
        <f t="shared" ca="1" si="6"/>
        <v>0.11763251464771729</v>
      </c>
      <c r="E72" s="32">
        <v>0.10877820384471715</v>
      </c>
      <c r="F72" s="35">
        <f t="shared" ca="1" si="5"/>
        <v>1.6147410704325793E-3</v>
      </c>
    </row>
    <row r="73" spans="1:6" x14ac:dyDescent="0.25">
      <c r="A73" s="23">
        <v>72</v>
      </c>
      <c r="B73" s="7" cm="1">
        <f t="array" aca="1" ref="B73" ca="1">interpolexp(A73,serie_du,Taxas_DI)</f>
        <v>0.11049316357940597</v>
      </c>
      <c r="C73" s="37">
        <f t="shared" ca="1" si="4"/>
        <v>1.0303968914000963</v>
      </c>
      <c r="D73" s="36">
        <f t="shared" ca="1" si="6"/>
        <v>0.11763185716277524</v>
      </c>
      <c r="E73" s="32">
        <v>0.10887448966576674</v>
      </c>
      <c r="F73" s="35">
        <f t="shared" ca="1" si="5"/>
        <v>1.6186739136392347E-3</v>
      </c>
    </row>
    <row r="74" spans="1:6" x14ac:dyDescent="0.25">
      <c r="A74" s="23">
        <v>73</v>
      </c>
      <c r="B74" s="7" cm="1">
        <f t="array" aca="1" ref="B74" ca="1">interpolexp(A74,serie_du,Taxas_DI)</f>
        <v>0.11059063662302027</v>
      </c>
      <c r="C74" s="37">
        <f t="shared" ca="1" si="4"/>
        <v>1.0308517217246569</v>
      </c>
      <c r="D74" s="36">
        <f t="shared" ca="1" si="6"/>
        <v>0.11763122679852422</v>
      </c>
      <c r="E74" s="32">
        <v>0.10896813760807866</v>
      </c>
      <c r="F74" s="35">
        <f t="shared" ca="1" si="5"/>
        <v>1.622499014941603E-3</v>
      </c>
    </row>
    <row r="75" spans="1:6" x14ac:dyDescent="0.25">
      <c r="A75" s="23">
        <v>74</v>
      </c>
      <c r="B75" s="7" cm="1">
        <f t="array" aca="1" ref="B75" ca="1">interpolexp(A75,serie_du,Taxas_DI)</f>
        <v>0.11068547535115769</v>
      </c>
      <c r="C75" s="37">
        <f t="shared" ca="1" si="4"/>
        <v>1.0313067506028675</v>
      </c>
      <c r="D75" s="36">
        <f t="shared" ca="1" si="6"/>
        <v>0.11763062210055319</v>
      </c>
      <c r="E75" s="32">
        <v>0.10905925460900079</v>
      </c>
      <c r="F75" s="35">
        <f t="shared" ca="1" si="5"/>
        <v>1.626220742156903E-3</v>
      </c>
    </row>
    <row r="76" spans="1:6" x14ac:dyDescent="0.25">
      <c r="A76" s="23">
        <v>75</v>
      </c>
      <c r="B76" s="7" cm="1">
        <f t="array" aca="1" ref="B76" ca="1">interpolexp(A76,serie_du,Taxas_DI)</f>
        <v>0.11077778513277625</v>
      </c>
      <c r="C76" s="37">
        <f t="shared" ca="1" si="4"/>
        <v>1.0317619782093694</v>
      </c>
      <c r="D76" s="36">
        <f t="shared" ca="1" si="6"/>
        <v>0.11763004168435143</v>
      </c>
      <c r="E76" s="32">
        <v>0.10914794190275412</v>
      </c>
      <c r="F76" s="35">
        <f t="shared" ca="1" si="5"/>
        <v>1.6298432300221322E-3</v>
      </c>
    </row>
    <row r="77" spans="1:6" x14ac:dyDescent="0.25">
      <c r="A77" s="23">
        <v>76</v>
      </c>
      <c r="B77" s="7" cm="1">
        <f t="array" aca="1" ref="B77" ca="1">interpolexp(A77,serie_du,Taxas_DI)</f>
        <v>0.11086766579151419</v>
      </c>
      <c r="C77" s="37">
        <f t="shared" ca="1" si="4"/>
        <v>1.0322174047143589</v>
      </c>
      <c r="D77" s="36">
        <f t="shared" ca="1" si="6"/>
        <v>0.11762948428423869</v>
      </c>
      <c r="E77" s="32">
        <v>0.10923429539602125</v>
      </c>
      <c r="F77" s="35">
        <f t="shared" ca="1" si="5"/>
        <v>1.6333703954929391E-3</v>
      </c>
    </row>
    <row r="78" spans="1:6" x14ac:dyDescent="0.25">
      <c r="A78" s="23">
        <v>77</v>
      </c>
      <c r="B78" s="7" cm="1">
        <f t="array" aca="1" ref="B78" ca="1">interpolexp(A78,serie_du,Taxas_DI)</f>
        <v>0.1109552119651358</v>
      </c>
      <c r="C78" s="37">
        <f t="shared" ca="1" si="4"/>
        <v>1.0326730302837035</v>
      </c>
      <c r="D78" s="36">
        <f t="shared" ca="1" si="6"/>
        <v>0.11762894866898987</v>
      </c>
      <c r="E78" s="32">
        <v>0.10931840601282605</v>
      </c>
      <c r="F78" s="35">
        <f t="shared" ca="1" si="5"/>
        <v>1.63680595230975E-3</v>
      </c>
    </row>
    <row r="79" spans="1:6" x14ac:dyDescent="0.25">
      <c r="A79" s="23">
        <v>78</v>
      </c>
      <c r="B79" s="7" cm="1">
        <f t="array" aca="1" ref="B79" ca="1">interpolexp(A79,serie_du,Taxas_DI)</f>
        <v>0.11104051343877597</v>
      </c>
      <c r="C79" s="37">
        <f t="shared" ca="1" si="4"/>
        <v>1.0331288550794555</v>
      </c>
      <c r="D79" s="36">
        <f t="shared" ca="1" si="6"/>
        <v>0.1176284337499196</v>
      </c>
      <c r="E79" s="32">
        <v>0.10940036001529929</v>
      </c>
      <c r="F79" s="35">
        <f t="shared" ca="1" si="5"/>
        <v>1.6401534234766757E-3</v>
      </c>
    </row>
    <row r="80" spans="1:6" x14ac:dyDescent="0.25">
      <c r="A80" s="23">
        <v>79</v>
      </c>
      <c r="B80" s="7" cm="1">
        <f t="array" aca="1" ref="B80" ca="1">interpolexp(A80,serie_du,Taxas_DI)</f>
        <v>0.11112365545140612</v>
      </c>
      <c r="C80" s="37">
        <f t="shared" ca="1" si="4"/>
        <v>1.0335848792599136</v>
      </c>
      <c r="D80" s="36">
        <f t="shared" ca="1" si="6"/>
        <v>0.11762793845781006</v>
      </c>
      <c r="E80" s="32">
        <v>0.10948023929737705</v>
      </c>
      <c r="F80" s="35">
        <f t="shared" ca="1" si="5"/>
        <v>1.6434161540290759E-3</v>
      </c>
    </row>
    <row r="81" spans="1:6" x14ac:dyDescent="0.25">
      <c r="A81" s="23">
        <v>80</v>
      </c>
      <c r="B81" s="7" cm="1">
        <f t="array" aca="1" ref="B81" ca="1">interpolexp(A81,serie_du,Taxas_DI)</f>
        <v>0.11120471898016238</v>
      </c>
      <c r="C81" s="37">
        <f t="shared" ca="1" si="4"/>
        <v>1.0340411029799166</v>
      </c>
      <c r="D81" s="36">
        <f t="shared" ca="1" si="6"/>
        <v>0.11762746180534056</v>
      </c>
      <c r="E81" s="32">
        <v>0.10955812165878154</v>
      </c>
      <c r="F81" s="35">
        <f t="shared" ca="1" si="5"/>
        <v>1.6465973213808383E-3</v>
      </c>
    </row>
    <row r="82" spans="1:6" x14ac:dyDescent="0.25">
      <c r="A82" s="23">
        <v>81</v>
      </c>
      <c r="B82" s="7" cm="1">
        <f t="array" aca="1" ref="B82" ca="1">interpolexp(A82,serie_du,Taxas_DI)</f>
        <v>0.11128378100351277</v>
      </c>
      <c r="C82" s="37">
        <f t="shared" ca="1" si="4"/>
        <v>1.0344975263910896</v>
      </c>
      <c r="D82" s="36">
        <f t="shared" ca="1" si="6"/>
        <v>0.11762700287473282</v>
      </c>
      <c r="E82" s="32">
        <v>0.109634081057286</v>
      </c>
      <c r="F82" s="35">
        <f t="shared" ca="1" si="5"/>
        <v>1.6496999462267681E-3</v>
      </c>
    </row>
    <row r="83" spans="1:6" x14ac:dyDescent="0.25">
      <c r="A83" s="23">
        <v>82</v>
      </c>
      <c r="B83" s="7" cm="1">
        <f t="array" aca="1" ref="B83" ca="1">interpolexp(A83,serie_du,Taxas_DI)</f>
        <v>0.11136091474506227</v>
      </c>
      <c r="C83" s="37">
        <f t="shared" ca="1" si="4"/>
        <v>1.0349541496420416</v>
      </c>
      <c r="D83" s="36">
        <f t="shared" ca="1" si="6"/>
        <v>0.11762656080362799</v>
      </c>
      <c r="E83" s="32">
        <v>0.10970818784310499</v>
      </c>
      <c r="F83" s="35">
        <f t="shared" ca="1" si="5"/>
        <v>1.6527269019572799E-3</v>
      </c>
    </row>
    <row r="84" spans="1:6" x14ac:dyDescent="0.25">
      <c r="A84" s="23">
        <v>83</v>
      </c>
      <c r="B84" s="7" cm="1">
        <f t="array" aca="1" ref="B84" ca="1">interpolexp(A84,serie_du,Taxas_DI)</f>
        <v>0.11143618989950532</v>
      </c>
      <c r="C84" s="37">
        <f t="shared" ca="1" si="4"/>
        <v>1.0354109728784791</v>
      </c>
      <c r="D84" s="36">
        <f t="shared" ca="1" si="6"/>
        <v>0.11762613476280115</v>
      </c>
      <c r="E84" s="32">
        <v>0.10978050897607616</v>
      </c>
      <c r="F84" s="35">
        <f t="shared" ca="1" si="5"/>
        <v>1.6556809234291592E-3</v>
      </c>
    </row>
    <row r="85" spans="1:6" x14ac:dyDescent="0.25">
      <c r="A85" s="23">
        <v>84</v>
      </c>
      <c r="B85" s="7" cm="1">
        <f t="array" aca="1" ref="B85" ca="1">interpolexp(A85,serie_du,Taxas_DI)</f>
        <v>0.11150967284301316</v>
      </c>
      <c r="C85" s="37">
        <f t="shared" ca="1" si="4"/>
        <v>1.035867996243484</v>
      </c>
      <c r="D85" s="36">
        <f t="shared" ca="1" si="6"/>
        <v>0.11762572400010973</v>
      </c>
      <c r="E85" s="32">
        <v>0.10985110822778754</v>
      </c>
      <c r="F85" s="35">
        <f t="shared" ca="1" si="5"/>
        <v>1.6585646152256217E-3</v>
      </c>
    </row>
    <row r="86" spans="1:6" x14ac:dyDescent="0.25">
      <c r="A86" s="23">
        <v>85</v>
      </c>
      <c r="B86" s="7" cm="1">
        <f t="array" aca="1" ref="B86" ca="1">interpolexp(A86,serie_du,Taxas_DI)</f>
        <v>0.11158142682803351</v>
      </c>
      <c r="C86" s="37">
        <f t="shared" ca="1" si="4"/>
        <v>1.0363252198775477</v>
      </c>
      <c r="D86" s="36">
        <f t="shared" ca="1" si="6"/>
        <v>0.11762532777424917</v>
      </c>
      <c r="E86" s="32">
        <v>0.10992004636865071</v>
      </c>
      <c r="F86" s="35">
        <f t="shared" ca="1" si="5"/>
        <v>1.6613804593827997E-3</v>
      </c>
    </row>
    <row r="87" spans="1:6" x14ac:dyDescent="0.25">
      <c r="A87" s="23">
        <v>86</v>
      </c>
      <c r="B87" s="7" cm="1">
        <f t="array" aca="1" ref="B87" ca="1">interpolexp(A87,serie_du,Taxas_DI)</f>
        <v>0.11165151216545599</v>
      </c>
      <c r="C87" s="37">
        <f t="shared" ca="1" si="4"/>
        <v>1.0367826439188983</v>
      </c>
      <c r="D87" s="36">
        <f t="shared" ca="1" si="6"/>
        <v>0.1176249454347178</v>
      </c>
      <c r="E87" s="32">
        <v>0.11000883048968291</v>
      </c>
      <c r="F87" s="35">
        <f t="shared" ca="1" si="5"/>
        <v>1.6426816757730833E-3</v>
      </c>
    </row>
    <row r="88" spans="1:6" x14ac:dyDescent="0.25">
      <c r="A88" s="23">
        <v>87</v>
      </c>
      <c r="B88" s="7" cm="1">
        <f t="array" aca="1" ref="B88" ca="1">interpolexp(A88,serie_du,Taxas_DI)</f>
        <v>0.11171998639305514</v>
      </c>
      <c r="C88" s="37">
        <f t="shared" ca="1" si="4"/>
        <v>1.0372402685034439</v>
      </c>
      <c r="D88" s="36">
        <f t="shared" ca="1" si="6"/>
        <v>0.11762457631672318</v>
      </c>
      <c r="E88" s="32">
        <v>0.11009557367254175</v>
      </c>
      <c r="F88" s="35">
        <f t="shared" ca="1" si="5"/>
        <v>1.6244127205133907E-3</v>
      </c>
    </row>
    <row r="89" spans="1:6" x14ac:dyDescent="0.25">
      <c r="A89" s="23">
        <v>88</v>
      </c>
      <c r="B89" s="7" cm="1">
        <f t="array" aca="1" ref="B89" ca="1">interpolexp(A89,serie_du,Taxas_DI)</f>
        <v>0.11178690443347516</v>
      </c>
      <c r="C89" s="37">
        <f t="shared" ca="1" si="4"/>
        <v>1.0376980937650406</v>
      </c>
      <c r="D89" s="36">
        <f t="shared" ca="1" si="6"/>
        <v>0.11762421982981253</v>
      </c>
      <c r="E89" s="32">
        <v>0.11018034549197253</v>
      </c>
      <c r="F89" s="35">
        <f t="shared" ca="1" si="5"/>
        <v>1.6065589415026338E-3</v>
      </c>
    </row>
    <row r="90" spans="1:6" x14ac:dyDescent="0.25">
      <c r="A90" s="23">
        <v>89</v>
      </c>
      <c r="B90" s="7" cm="1">
        <f t="array" aca="1" ref="B90" ca="1">interpolexp(A90,serie_du,Taxas_DI)</f>
        <v>0.11185231874091262</v>
      </c>
      <c r="C90" s="37">
        <f t="shared" ca="1" si="4"/>
        <v>1.0381561198355371</v>
      </c>
      <c r="D90" s="36">
        <f t="shared" ca="1" si="6"/>
        <v>0.11762387539683683</v>
      </c>
      <c r="E90" s="32">
        <v>0.11026321239608894</v>
      </c>
      <c r="F90" s="35">
        <f t="shared" ca="1" si="5"/>
        <v>1.5891063448236764E-3</v>
      </c>
    </row>
    <row r="91" spans="1:6" x14ac:dyDescent="0.25">
      <c r="A91" s="23">
        <v>90</v>
      </c>
      <c r="B91" s="7" cm="1">
        <f t="array" aca="1" ref="B91" ca="1">interpolexp(A91,serie_du,Taxas_DI)</f>
        <v>0.11191627943840654</v>
      </c>
      <c r="C91" s="37">
        <f t="shared" ca="1" si="4"/>
        <v>1.0386143468449403</v>
      </c>
      <c r="D91" s="36">
        <f t="shared" ca="1" si="6"/>
        <v>0.11762354248675333</v>
      </c>
      <c r="E91" s="32">
        <v>0.11034423787985581</v>
      </c>
      <c r="F91" s="35">
        <f t="shared" ca="1" si="5"/>
        <v>1.5720415585507297E-3</v>
      </c>
    </row>
    <row r="92" spans="1:6" x14ac:dyDescent="0.25">
      <c r="A92" s="23">
        <v>91</v>
      </c>
      <c r="B92" s="7" cm="1">
        <f t="array" aca="1" ref="B92" ca="1">interpolexp(A92,serie_du,Taxas_DI)</f>
        <v>0.11197883444582502</v>
      </c>
      <c r="C92" s="37">
        <f t="shared" ca="1" si="4"/>
        <v>1.0390727749214879</v>
      </c>
      <c r="D92" s="36">
        <f t="shared" ca="1" si="6"/>
        <v>0.1176232205895853</v>
      </c>
      <c r="E92" s="32">
        <v>0.11042348264704849</v>
      </c>
      <c r="F92" s="35">
        <f t="shared" ca="1" si="5"/>
        <v>1.5553517987765275E-3</v>
      </c>
    </row>
    <row r="93" spans="1:6" x14ac:dyDescent="0.25">
      <c r="A93" s="23">
        <v>92</v>
      </c>
      <c r="B93" s="7" cm="1">
        <f t="array" aca="1" ref="B93" ca="1">interpolexp(A93,serie_du,Taxas_DI)</f>
        <v>0.11204002959959181</v>
      </c>
      <c r="C93" s="37">
        <f t="shared" ca="1" si="4"/>
        <v>1.0395314041917441</v>
      </c>
      <c r="D93" s="36">
        <f t="shared" ca="1" si="6"/>
        <v>0.11762290922199936</v>
      </c>
      <c r="E93" s="32">
        <v>0.11050100476270863</v>
      </c>
      <c r="F93" s="35">
        <f t="shared" ca="1" si="5"/>
        <v>1.5390248368831738E-3</v>
      </c>
    </row>
    <row r="94" spans="1:6" x14ac:dyDescent="0.25">
      <c r="A94" s="23">
        <v>93</v>
      </c>
      <c r="B94" s="7" cm="1">
        <f t="array" aca="1" ref="B94" ca="1">interpolexp(A94,serie_du,Taxas_DI)</f>
        <v>0.1121532257515101</v>
      </c>
      <c r="C94" s="37">
        <f t="shared" ca="1" si="4"/>
        <v>1.0400086351649713</v>
      </c>
      <c r="D94" s="36">
        <f t="shared" ca="1" si="6"/>
        <v>0.12261671709982247</v>
      </c>
      <c r="E94" s="32">
        <v>0.11057685979420917</v>
      </c>
      <c r="F94" s="35">
        <f t="shared" ca="1" si="5"/>
        <v>1.5763659573009292E-3</v>
      </c>
    </row>
    <row r="95" spans="1:6" x14ac:dyDescent="0.25">
      <c r="A95" s="23">
        <v>94</v>
      </c>
      <c r="B95" s="7" cm="1">
        <f t="array" aca="1" ref="B95" ca="1">interpolexp(A95,serie_du,Taxas_DI)</f>
        <v>0.11226401359856197</v>
      </c>
      <c r="C95" s="37">
        <f t="shared" ca="1" si="4"/>
        <v>1.0404860813766972</v>
      </c>
      <c r="D95" s="36">
        <f t="shared" ca="1" si="6"/>
        <v>0.12261567031059539</v>
      </c>
      <c r="E95" s="32">
        <v>0.11065110094448105</v>
      </c>
      <c r="F95" s="35">
        <f t="shared" ca="1" si="5"/>
        <v>1.6129126540809224E-3</v>
      </c>
    </row>
    <row r="96" spans="1:6" x14ac:dyDescent="0.25">
      <c r="A96" s="23">
        <v>95</v>
      </c>
      <c r="B96" s="7" cm="1">
        <f t="array" aca="1" ref="B96" ca="1">interpolexp(A96,serie_du,Taxas_DI)</f>
        <v>0.11237246918860411</v>
      </c>
      <c r="C96" s="37">
        <f t="shared" ca="1" si="4"/>
        <v>1.040963743044572</v>
      </c>
      <c r="D96" s="36">
        <f t="shared" ca="1" si="6"/>
        <v>0.12261465677917927</v>
      </c>
      <c r="E96" s="32">
        <v>0.11072377917649145</v>
      </c>
      <c r="F96" s="35">
        <f t="shared" ca="1" si="5"/>
        <v>1.6486900121126524E-3</v>
      </c>
    </row>
    <row r="97" spans="1:6" x14ac:dyDescent="0.25">
      <c r="A97" s="23">
        <v>96</v>
      </c>
      <c r="B97" s="7" cm="1">
        <f t="array" aca="1" ref="B97" ca="1">interpolexp(A97,serie_du,Taxas_DI)</f>
        <v>0.11247866540111673</v>
      </c>
      <c r="C97" s="37">
        <f t="shared" ca="1" si="4"/>
        <v>1.0414416203814247</v>
      </c>
      <c r="D97" s="36">
        <f t="shared" ca="1" si="6"/>
        <v>0.12261367512357912</v>
      </c>
      <c r="E97" s="32">
        <v>0.110794943329795</v>
      </c>
      <c r="F97" s="35">
        <f t="shared" ca="1" si="5"/>
        <v>1.6837220713217249E-3</v>
      </c>
    </row>
    <row r="98" spans="1:6" x14ac:dyDescent="0.25">
      <c r="A98" s="23">
        <v>97</v>
      </c>
      <c r="B98" s="7" cm="1">
        <f t="array" aca="1" ref="B98" ca="1">interpolexp(A98,serie_du,Taxas_DI)</f>
        <v>0.11258267211016193</v>
      </c>
      <c r="C98" s="37">
        <f t="shared" ca="1" si="4"/>
        <v>1.0419197135953908</v>
      </c>
      <c r="D98" s="36">
        <f t="shared" ca="1" si="6"/>
        <v>0.12261272399945078</v>
      </c>
      <c r="E98" s="32">
        <v>0.11086464023006837</v>
      </c>
      <c r="F98" s="35">
        <f t="shared" ca="1" si="5"/>
        <v>1.7180318800935623E-3</v>
      </c>
    </row>
    <row r="99" spans="1:6" x14ac:dyDescent="0.25">
      <c r="A99" s="23">
        <v>98</v>
      </c>
      <c r="B99" s="7" cm="1">
        <f t="array" aca="1" ref="B99" ca="1">interpolexp(A99,serie_du,Taxas_DI)</f>
        <v>0.11268455633810515</v>
      </c>
      <c r="C99" s="37">
        <f t="shared" ca="1" si="4"/>
        <v>1.0423980228902934</v>
      </c>
      <c r="D99" s="36">
        <f t="shared" ca="1" si="6"/>
        <v>0.12261180216915779</v>
      </c>
      <c r="E99" s="32">
        <v>0.11093291479165046</v>
      </c>
      <c r="F99" s="35">
        <f t="shared" ca="1" si="5"/>
        <v>1.7516415464546853E-3</v>
      </c>
    </row>
    <row r="100" spans="1:6" x14ac:dyDescent="0.25">
      <c r="A100" s="23">
        <v>99</v>
      </c>
      <c r="B100" s="7" cm="1">
        <f t="array" aca="1" ref="B100" ca="1">interpolexp(A100,serie_du,Taxas_DI)</f>
        <v>0.11278438239932242</v>
      </c>
      <c r="C100" s="37">
        <f t="shared" ca="1" si="4"/>
        <v>1.0428765484657543</v>
      </c>
      <c r="D100" s="36">
        <f t="shared" ca="1" si="6"/>
        <v>0.12261090842783062</v>
      </c>
      <c r="E100" s="32">
        <v>0.11099981011430948</v>
      </c>
      <c r="F100" s="35">
        <f t="shared" ca="1" si="5"/>
        <v>1.784572285012942E-3</v>
      </c>
    </row>
    <row r="101" spans="1:6" x14ac:dyDescent="0.25">
      <c r="A101" s="23">
        <v>100</v>
      </c>
      <c r="B101" s="7" cm="1">
        <f t="array" aca="1" ref="B101" ca="1">interpolexp(A101,serie_du,Taxas_DI)</f>
        <v>0.11288221203591409</v>
      </c>
      <c r="C101" s="37">
        <f t="shared" ca="1" si="4"/>
        <v>1.043355290517523</v>
      </c>
      <c r="D101" s="36">
        <f t="shared" ca="1" si="6"/>
        <v>0.1226100416624798</v>
      </c>
      <c r="E101" s="32">
        <v>0.11106536757383711</v>
      </c>
      <c r="F101" s="35">
        <f t="shared" ca="1" si="5"/>
        <v>1.8168444620769719E-3</v>
      </c>
    </row>
    <row r="102" spans="1:6" x14ac:dyDescent="0.25">
      <c r="A102" s="23">
        <v>101</v>
      </c>
      <c r="B102" s="7" cm="1">
        <f t="array" aca="1" ref="B102" ca="1">interpolexp(A102,serie_du,Taxas_DI)</f>
        <v>0.11297810454471424</v>
      </c>
      <c r="C102" s="37">
        <f t="shared" ca="1" si="4"/>
        <v>1.0438342492375539</v>
      </c>
      <c r="D102" s="36">
        <f t="shared" ca="1" si="6"/>
        <v>0.12260920078356508</v>
      </c>
      <c r="E102" s="32">
        <v>0.1111296269075801</v>
      </c>
      <c r="F102" s="35">
        <f t="shared" ca="1" si="5"/>
        <v>1.8484776371341383E-3</v>
      </c>
    </row>
    <row r="103" spans="1:6" x14ac:dyDescent="0.25">
      <c r="A103" s="23">
        <v>102</v>
      </c>
      <c r="B103" s="7" cm="1">
        <f t="array" aca="1" ref="B103" ca="1">interpolexp(A103,serie_du,Taxas_DI)</f>
        <v>0.11307211689750574</v>
      </c>
      <c r="C103" s="37">
        <f t="shared" ca="1" si="4"/>
        <v>1.0443134248143271</v>
      </c>
      <c r="D103" s="36">
        <f t="shared" ca="1" si="6"/>
        <v>0.12260838479091851</v>
      </c>
      <c r="E103" s="32">
        <v>0.11119262629437632</v>
      </c>
      <c r="F103" s="35">
        <f t="shared" ca="1" si="5"/>
        <v>1.879490603129419E-3</v>
      </c>
    </row>
    <row r="104" spans="1:6" x14ac:dyDescent="0.25">
      <c r="A104" s="23">
        <v>103</v>
      </c>
      <c r="B104" s="7" cm="1">
        <f t="array" aca="1" ref="B104" ca="1">interpolexp(A104,serie_du,Taxas_DI)</f>
        <v>0.11316430385337473</v>
      </c>
      <c r="C104" s="37">
        <f t="shared" ca="1" si="4"/>
        <v>1.0447928174328303</v>
      </c>
      <c r="D104" s="36">
        <f t="shared" ca="1" si="6"/>
        <v>0.12260759268165056</v>
      </c>
      <c r="E104" s="32">
        <v>0.11125440243062723</v>
      </c>
      <c r="F104" s="35">
        <f t="shared" ca="1" si="5"/>
        <v>1.9099014227474953E-3</v>
      </c>
    </row>
    <row r="105" spans="1:6" x14ac:dyDescent="0.25">
      <c r="A105" s="23">
        <v>104</v>
      </c>
      <c r="B105" s="7" cm="1">
        <f t="array" aca="1" ref="B105" ca="1">interpolexp(A105,serie_du,Taxas_DI)</f>
        <v>0.11325471806566956</v>
      </c>
      <c r="C105" s="37">
        <f t="shared" ca="1" si="4"/>
        <v>1.0452724272749492</v>
      </c>
      <c r="D105" s="36">
        <f t="shared" ca="1" si="6"/>
        <v>0.12260682356092611</v>
      </c>
      <c r="E105" s="32">
        <v>0.11131499060128558</v>
      </c>
      <c r="F105" s="35">
        <f t="shared" ca="1" si="5"/>
        <v>1.9397274643839779E-3</v>
      </c>
    </row>
    <row r="106" spans="1:6" x14ac:dyDescent="0.25">
      <c r="A106" s="23">
        <v>105</v>
      </c>
      <c r="B106" s="7" cm="1">
        <f t="array" aca="1" ref="B106" ca="1">interpolexp(A106,serie_du,Taxas_DI)</f>
        <v>0.11334341018176541</v>
      </c>
      <c r="C106" s="37">
        <f t="shared" ca="1" si="4"/>
        <v>1.0457522545194282</v>
      </c>
      <c r="D106" s="36">
        <f t="shared" ca="1" si="6"/>
        <v>0.12260607652504385</v>
      </c>
      <c r="E106" s="32">
        <v>0.11137442474720149</v>
      </c>
      <c r="F106" s="35">
        <f t="shared" ca="1" si="5"/>
        <v>1.9689854345639191E-3</v>
      </c>
    </row>
    <row r="107" spans="1:6" x14ac:dyDescent="0.25">
      <c r="A107" s="23">
        <v>106</v>
      </c>
      <c r="B107" s="7" cm="1">
        <f t="array" aca="1" ref="B107" ca="1">interpolexp(A107,serie_du,Taxas_DI)</f>
        <v>0.11343042893814381</v>
      </c>
      <c r="C107" s="37">
        <f t="shared" ca="1" si="4"/>
        <v>1.0462322993421986</v>
      </c>
      <c r="D107" s="36">
        <f t="shared" ca="1" si="6"/>
        <v>0.12260535076130541</v>
      </c>
      <c r="E107" s="32">
        <v>0.11143273752838301</v>
      </c>
      <c r="F107" s="35">
        <f t="shared" ca="1" si="5"/>
        <v>1.9976914097608045E-3</v>
      </c>
    </row>
    <row r="108" spans="1:6" x14ac:dyDescent="0.25">
      <c r="A108" s="23">
        <v>107</v>
      </c>
      <c r="B108" s="7" cm="1">
        <f t="array" aca="1" ref="B108" ca="1">interpolexp(A108,serie_du,Taxas_DI)</f>
        <v>0.11351582124918824</v>
      </c>
      <c r="C108" s="37">
        <f t="shared" ca="1" si="4"/>
        <v>1.0467125619163209</v>
      </c>
      <c r="D108" s="36">
        <f t="shared" ca="1" si="6"/>
        <v>0.12260464544306804</v>
      </c>
      <c r="E108" s="32">
        <v>0.11148996038408132</v>
      </c>
      <c r="F108" s="35">
        <f t="shared" ca="1" si="5"/>
        <v>2.025860865106921E-3</v>
      </c>
    </row>
    <row r="109" spans="1:6" x14ac:dyDescent="0.25">
      <c r="A109" s="23">
        <v>108</v>
      </c>
      <c r="B109" s="7" cm="1">
        <f t="array" aca="1" ref="B109" ca="1">interpolexp(A109,serie_du,Taxas_DI)</f>
        <v>0.11359963229204961</v>
      </c>
      <c r="C109" s="37">
        <f t="shared" ca="1" si="4"/>
        <v>1.0471930424123226</v>
      </c>
      <c r="D109" s="36">
        <f t="shared" ca="1" si="6"/>
        <v>0.12260395983694305</v>
      </c>
      <c r="E109" s="32">
        <v>0.11157874932499201</v>
      </c>
      <c r="F109" s="35">
        <f t="shared" ca="1" si="5"/>
        <v>2.0208829670576023E-3</v>
      </c>
    </row>
    <row r="110" spans="1:6" x14ac:dyDescent="0.25">
      <c r="A110" s="23">
        <v>109</v>
      </c>
      <c r="B110" s="7" cm="1">
        <f t="array" aca="1" ref="B110" ca="1">interpolexp(A110,serie_du,Taxas_DI)</f>
        <v>0.11368190558578295</v>
      </c>
      <c r="C110" s="37">
        <f t="shared" ca="1" si="4"/>
        <v>1.0476737409980981</v>
      </c>
      <c r="D110" s="36">
        <f t="shared" ca="1" si="6"/>
        <v>0.12260329318400398</v>
      </c>
      <c r="E110" s="32">
        <v>0.11166590918763042</v>
      </c>
      <c r="F110" s="35">
        <f t="shared" ca="1" si="5"/>
        <v>2.0159963981525308E-3</v>
      </c>
    </row>
    <row r="111" spans="1:6" x14ac:dyDescent="0.25">
      <c r="A111" s="23">
        <v>110</v>
      </c>
      <c r="B111" s="7" cm="1">
        <f t="array" aca="1" ref="B111" ca="1">interpolexp(A111,serie_du,Taxas_DI)</f>
        <v>0.11376268306719783</v>
      </c>
      <c r="C111" s="37">
        <f t="shared" ca="1" si="4"/>
        <v>1.0481546578392249</v>
      </c>
      <c r="D111" s="36">
        <f t="shared" ca="1" si="6"/>
        <v>0.12260264481244465</v>
      </c>
      <c r="E111" s="32">
        <v>0.11175148439932503</v>
      </c>
      <c r="F111" s="35">
        <f t="shared" ca="1" si="5"/>
        <v>2.0111986678728044E-3</v>
      </c>
    </row>
    <row r="112" spans="1:6" x14ac:dyDescent="0.25">
      <c r="A112" s="23">
        <v>111</v>
      </c>
      <c r="B112" s="7" cm="1">
        <f t="array" aca="1" ref="B112" ca="1">interpolexp(A112,serie_du,Taxas_DI)</f>
        <v>0.11384200516197929</v>
      </c>
      <c r="C112" s="37">
        <f t="shared" ca="1" si="4"/>
        <v>1.048635793099014</v>
      </c>
      <c r="D112" s="36">
        <f t="shared" ca="1" si="6"/>
        <v>0.12260201406546889</v>
      </c>
      <c r="E112" s="32">
        <v>0.11183551778655154</v>
      </c>
      <c r="F112" s="35">
        <f t="shared" ca="1" si="5"/>
        <v>2.0064873754277457E-3</v>
      </c>
    </row>
    <row r="113" spans="1:6" x14ac:dyDescent="0.25">
      <c r="A113" s="23">
        <v>112</v>
      </c>
      <c r="B113" s="7" cm="1">
        <f t="array" aca="1" ref="B113" ca="1">interpolexp(A113,serie_du,Taxas_DI)</f>
        <v>0.11391991085192288</v>
      </c>
      <c r="C113" s="37">
        <f t="shared" ca="1" si="4"/>
        <v>1.0491171469385201</v>
      </c>
      <c r="D113" s="36">
        <f t="shared" ca="1" si="6"/>
        <v>0.12260140029067501</v>
      </c>
      <c r="E113" s="32">
        <v>0.11191805064614258</v>
      </c>
      <c r="F113" s="35">
        <f t="shared" ca="1" si="5"/>
        <v>2.0018602057803037E-3</v>
      </c>
    </row>
    <row r="114" spans="1:6" x14ac:dyDescent="0.25">
      <c r="A114" s="23">
        <v>113</v>
      </c>
      <c r="B114" s="7" cm="1">
        <f t="array" aca="1" ref="B114" ca="1">interpolexp(A114,serie_du,Taxas_DI)</f>
        <v>0.11399739944124576</v>
      </c>
      <c r="C114" s="37">
        <f t="shared" ca="1" si="4"/>
        <v>1.0495991258270989</v>
      </c>
      <c r="D114" s="36">
        <f t="shared" ca="1" si="6"/>
        <v>0.12271031990367098</v>
      </c>
      <c r="E114" s="32">
        <v>0.11199912281345537</v>
      </c>
      <c r="F114" s="35">
        <f t="shared" ca="1" si="5"/>
        <v>1.9982766277903963E-3</v>
      </c>
    </row>
    <row r="115" spans="1:6" x14ac:dyDescent="0.25">
      <c r="A115" s="23">
        <v>114</v>
      </c>
      <c r="B115" s="7" cm="1">
        <f t="array" aca="1" ref="B115" ca="1">interpolexp(A115,serie_du,Taxas_DI)</f>
        <v>0.11407352864010178</v>
      </c>
      <c r="C115" s="37">
        <f t="shared" ca="1" si="4"/>
        <v>1.0500813239300415</v>
      </c>
      <c r="D115" s="36">
        <f t="shared" ca="1" si="6"/>
        <v>0.12270972355212928</v>
      </c>
      <c r="E115" s="32">
        <v>0.11207877272598754</v>
      </c>
      <c r="F115" s="35">
        <f t="shared" ca="1" si="5"/>
        <v>1.9947559141142435E-3</v>
      </c>
    </row>
    <row r="116" spans="1:6" x14ac:dyDescent="0.25">
      <c r="A116" s="23">
        <v>115</v>
      </c>
      <c r="B116" s="7" cm="1">
        <f t="array" aca="1" ref="B116" ca="1">interpolexp(A116,serie_du,Taxas_DI)</f>
        <v>0.1141483339092586</v>
      </c>
      <c r="C116" s="37">
        <f t="shared" ca="1" si="4"/>
        <v>1.0505637414040501</v>
      </c>
      <c r="D116" s="36">
        <f t="shared" ca="1" si="6"/>
        <v>0.12270914282757928</v>
      </c>
      <c r="E116" s="32">
        <v>0.11215703748437278</v>
      </c>
      <c r="F116" s="35">
        <f t="shared" ca="1" si="5"/>
        <v>1.9912964248858245E-3</v>
      </c>
    </row>
    <row r="117" spans="1:6" x14ac:dyDescent="0.25">
      <c r="A117" s="23">
        <v>116</v>
      </c>
      <c r="B117" s="7" cm="1">
        <f t="array" aca="1" ref="B117" ca="1">interpolexp(A117,serie_du,Taxas_DI)</f>
        <v>0.11422184948686187</v>
      </c>
      <c r="C117" s="37">
        <f t="shared" ca="1" si="4"/>
        <v>1.0510463784040125</v>
      </c>
      <c r="D117" s="36">
        <f t="shared" ca="1" si="6"/>
        <v>0.1227085772010823</v>
      </c>
      <c r="E117" s="32">
        <v>0.11223395290995697</v>
      </c>
      <c r="F117" s="35">
        <f t="shared" ca="1" si="5"/>
        <v>1.9878965769049017E-3</v>
      </c>
    </row>
    <row r="118" spans="1:6" x14ac:dyDescent="0.25">
      <c r="A118" s="23">
        <v>117</v>
      </c>
      <c r="B118" s="7" cm="1">
        <f t="array" aca="1" ref="B118" ca="1">interpolexp(A118,serie_du,Taxas_DI)</f>
        <v>0.1142941084405269</v>
      </c>
      <c r="C118" s="37">
        <f t="shared" ca="1" si="4"/>
        <v>1.0515292350830165</v>
      </c>
      <c r="D118" s="36">
        <f t="shared" ca="1" si="6"/>
        <v>0.1227080261486746</v>
      </c>
      <c r="E118" s="32">
        <v>0.11230955359955441</v>
      </c>
      <c r="F118" s="35">
        <f t="shared" ca="1" si="5"/>
        <v>1.9845548409724856E-3</v>
      </c>
    </row>
    <row r="119" spans="1:6" x14ac:dyDescent="0.25">
      <c r="A119" s="23">
        <v>118</v>
      </c>
      <c r="B119" s="7" cm="1">
        <f t="array" aca="1" ref="B119" ca="1">interpolexp(A119,serie_du,Taxas_DI)</f>
        <v>0.11436514271698783</v>
      </c>
      <c r="C119" s="37">
        <f t="shared" ca="1" si="4"/>
        <v>1.0520123115924511</v>
      </c>
      <c r="D119" s="36">
        <f t="shared" ca="1" si="6"/>
        <v>0.12270748917485941</v>
      </c>
      <c r="E119" s="32">
        <v>0.1123838729771176</v>
      </c>
      <c r="F119" s="35">
        <f t="shared" ca="1" si="5"/>
        <v>1.9812697398702284E-3</v>
      </c>
    </row>
    <row r="120" spans="1:6" x14ac:dyDescent="0.25">
      <c r="A120" s="23">
        <v>119</v>
      </c>
      <c r="B120" s="7" cm="1">
        <f t="array" aca="1" ref="B120" ca="1">interpolexp(A120,serie_du,Taxas_DI)</f>
        <v>0.11443498318923773</v>
      </c>
      <c r="C120" s="37">
        <f t="shared" ca="1" si="4"/>
        <v>1.0524956080821013</v>
      </c>
      <c r="D120" s="36">
        <f t="shared" ca="1" si="6"/>
        <v>0.12270696581075868</v>
      </c>
      <c r="E120" s="32">
        <v>0.11245694334338641</v>
      </c>
      <c r="F120" s="35">
        <f t="shared" ca="1" si="5"/>
        <v>1.9780398458513204E-3</v>
      </c>
    </row>
    <row r="121" spans="1:6" x14ac:dyDescent="0.25">
      <c r="A121" s="23">
        <v>120</v>
      </c>
      <c r="B121" s="7" cm="1">
        <f t="array" aca="1" ref="B121" ca="1">interpolexp(A121,serie_du,Taxas_DI)</f>
        <v>0.11450365970104848</v>
      </c>
      <c r="C121" s="37">
        <f t="shared" ca="1" si="4"/>
        <v>1.0529791247001192</v>
      </c>
      <c r="D121" s="36">
        <f t="shared" ca="1" si="6"/>
        <v>0.12270645558061299</v>
      </c>
      <c r="E121" s="32">
        <v>0.11252879592218434</v>
      </c>
      <c r="F121" s="35">
        <f t="shared" ca="1" si="5"/>
        <v>1.9748637788641332E-3</v>
      </c>
    </row>
    <row r="122" spans="1:6" x14ac:dyDescent="0.25">
      <c r="A122" s="23">
        <v>121</v>
      </c>
      <c r="B122" s="7" cm="1">
        <f t="array" aca="1" ref="B122" ca="1">interpolexp(A122,serie_du,Taxas_DI)</f>
        <v>0.11457120110991426</v>
      </c>
      <c r="C122" s="37">
        <f t="shared" ca="1" si="4"/>
        <v>1.0534628615932806</v>
      </c>
      <c r="D122" s="36">
        <f t="shared" ca="1" si="6"/>
        <v>0.12270595807879303</v>
      </c>
      <c r="E122" s="32">
        <v>0.11259946090533823</v>
      </c>
      <c r="F122" s="35">
        <f t="shared" ca="1" si="5"/>
        <v>1.9717402045760224E-3</v>
      </c>
    </row>
    <row r="123" spans="1:6" x14ac:dyDescent="0.25">
      <c r="A123" s="23">
        <v>122</v>
      </c>
      <c r="B123" s="7" cm="1">
        <f t="array" aca="1" ref="B123" ca="1">interpolexp(A123,serie_du,Taxas_DI)</f>
        <v>0.11463763532701954</v>
      </c>
      <c r="C123" s="37">
        <f t="shared" ca="1" si="4"/>
        <v>1.0539468189068411</v>
      </c>
      <c r="D123" s="36">
        <f t="shared" ca="1" si="6"/>
        <v>0.12270547286183731</v>
      </c>
      <c r="E123" s="32">
        <v>0.11266896749482225</v>
      </c>
      <c r="F123" s="35">
        <f t="shared" ca="1" si="5"/>
        <v>1.9686678321972906E-3</v>
      </c>
    </row>
    <row r="124" spans="1:6" x14ac:dyDescent="0.25">
      <c r="A124" s="23">
        <v>123</v>
      </c>
      <c r="B124" s="7" cm="1">
        <f t="array" aca="1" ref="B124" ca="1">interpolexp(A124,serie_du,Taxas_DI)</f>
        <v>0.11470298935591927</v>
      </c>
      <c r="C124" s="37">
        <f t="shared" ca="1" si="4"/>
        <v>1.0544309967846948</v>
      </c>
      <c r="D124" s="36">
        <f t="shared" ca="1" si="6"/>
        <v>0.12270499953002889</v>
      </c>
      <c r="E124" s="32">
        <v>0.11273734394294799</v>
      </c>
      <c r="F124" s="35">
        <f t="shared" ca="1" si="5"/>
        <v>1.9656454129712841E-3</v>
      </c>
    </row>
    <row r="125" spans="1:6" x14ac:dyDescent="0.25">
      <c r="A125" s="23">
        <v>124</v>
      </c>
      <c r="B125" s="7" cm="1">
        <f t="array" aca="1" ref="B125" ca="1">interpolexp(A125,serie_du,Taxas_DI)</f>
        <v>0.11476728932928726</v>
      </c>
      <c r="C125" s="37">
        <f t="shared" ca="1" si="4"/>
        <v>1.0549153953695023</v>
      </c>
      <c r="D125" s="36">
        <f t="shared" ca="1" si="6"/>
        <v>0.12270453771864265</v>
      </c>
      <c r="E125" s="32">
        <v>0.11280461759073379</v>
      </c>
      <c r="F125" s="35">
        <f t="shared" ca="1" si="5"/>
        <v>1.9626717385534675E-3</v>
      </c>
    </row>
    <row r="126" spans="1:6" x14ac:dyDescent="0.25">
      <c r="A126" s="23">
        <v>125</v>
      </c>
      <c r="B126" s="7" cm="1">
        <f t="array" aca="1" ref="B126" ca="1">interpolexp(A126,serie_du,Taxas_DI)</f>
        <v>0.11483056054333307</v>
      </c>
      <c r="C126" s="37">
        <f t="shared" ca="1" si="4"/>
        <v>1.0554000148025506</v>
      </c>
      <c r="D126" s="36">
        <f t="shared" ca="1" si="6"/>
        <v>0.12270408702629299</v>
      </c>
      <c r="E126" s="32">
        <v>0.11287081490423123</v>
      </c>
      <c r="F126" s="35">
        <f t="shared" ca="1" si="5"/>
        <v>1.9597456391018397E-3</v>
      </c>
    </row>
    <row r="127" spans="1:6" x14ac:dyDescent="0.25">
      <c r="A127" s="23">
        <v>126</v>
      </c>
      <c r="B127" s="7" cm="1">
        <f t="array" aca="1" ref="B127" ca="1">interpolexp(A127,serie_du,Taxas_DI)</f>
        <v>0.11489282749150842</v>
      </c>
      <c r="C127" s="37">
        <f t="shared" ca="1" si="4"/>
        <v>1.0558848552240478</v>
      </c>
      <c r="D127" s="36">
        <f t="shared" ca="1" si="6"/>
        <v>0.12270364713143112</v>
      </c>
      <c r="E127" s="32">
        <v>0.11293596150949714</v>
      </c>
      <c r="F127" s="35">
        <f t="shared" ca="1" si="5"/>
        <v>1.9568659820112799E-3</v>
      </c>
    </row>
    <row r="128" spans="1:6" x14ac:dyDescent="0.25">
      <c r="A128" s="23">
        <v>127</v>
      </c>
      <c r="B128" s="7" cm="1">
        <f t="array" aca="1" ref="B128" ca="1">interpolexp(A128,serie_du,Taxas_DI)</f>
        <v>0.1149541138955712</v>
      </c>
      <c r="C128" s="37">
        <f t="shared" ca="1" si="4"/>
        <v>1.0563699167729148</v>
      </c>
      <c r="D128" s="36">
        <f t="shared" ca="1" si="6"/>
        <v>0.12270321765756242</v>
      </c>
      <c r="E128" s="32">
        <v>0.11300008222532298</v>
      </c>
      <c r="F128" s="35">
        <f t="shared" ca="1" si="5"/>
        <v>1.954031670248213E-3</v>
      </c>
    </row>
    <row r="129" spans="1:6" x14ac:dyDescent="0.25">
      <c r="A129" s="23">
        <v>128</v>
      </c>
      <c r="B129" s="7" cm="1">
        <f t="array" aca="1" ref="B129" ca="1">interpolexp(A129,serie_du,Taxas_DI)</f>
        <v>0.11501444273622763</v>
      </c>
      <c r="C129" s="37">
        <f t="shared" ca="1" si="4"/>
        <v>1.0568551995870734</v>
      </c>
      <c r="D129" s="36">
        <f t="shared" ca="1" si="6"/>
        <v>0.12270279830598874</v>
      </c>
      <c r="E129" s="32">
        <v>0.1130661178373904</v>
      </c>
      <c r="F129" s="35">
        <f t="shared" ca="1" si="5"/>
        <v>1.9483248988372281E-3</v>
      </c>
    </row>
    <row r="130" spans="1:6" x14ac:dyDescent="0.25">
      <c r="A130" s="23">
        <v>129</v>
      </c>
      <c r="B130" s="7" cm="1">
        <f t="array" aca="1" ref="B130" ca="1">interpolexp(A130,serie_du,Taxas_DI)</f>
        <v>0.11507383628153178</v>
      </c>
      <c r="C130" s="37">
        <f t="shared" ref="C130:C193" ca="1" si="7">(1+B130)^(A130/252)</f>
        <v>1.0573407038033349</v>
      </c>
      <c r="D130" s="36">
        <f t="shared" ca="1" si="6"/>
        <v>0.12270238874887296</v>
      </c>
      <c r="E130" s="32">
        <v>0.11313112968407424</v>
      </c>
      <c r="F130" s="35">
        <f t="shared" ref="F130:F193" ca="1" si="8">B130-E130</f>
        <v>1.9427065974575441E-3</v>
      </c>
    </row>
    <row r="131" spans="1:6" x14ac:dyDescent="0.25">
      <c r="A131" s="23">
        <v>130</v>
      </c>
      <c r="B131" s="7" cm="1">
        <f t="array" aca="1" ref="B131" ca="1">interpolexp(A131,serie_du,Taxas_DI)</f>
        <v>0.11513231611439689</v>
      </c>
      <c r="C131" s="37">
        <f t="shared" ca="1" si="7"/>
        <v>1.0578264295574922</v>
      </c>
      <c r="D131" s="36">
        <f t="shared" ca="1" si="6"/>
        <v>0.12270198868393578</v>
      </c>
      <c r="E131" s="32">
        <v>0.11319514138972142</v>
      </c>
      <c r="F131" s="35">
        <f t="shared" ca="1" si="8"/>
        <v>1.9371747246754722E-3</v>
      </c>
    </row>
    <row r="132" spans="1:6" x14ac:dyDescent="0.25">
      <c r="A132" s="23">
        <v>131</v>
      </c>
      <c r="B132" s="7" cm="1">
        <f t="array" aca="1" ref="B132" ca="1">interpolexp(A132,serie_du,Taxas_DI)</f>
        <v>0.11518990315881883</v>
      </c>
      <c r="C132" s="37">
        <f t="shared" ca="1" si="7"/>
        <v>1.058312376984399</v>
      </c>
      <c r="D132" s="36">
        <f t="shared" ref="D132:D195" ca="1" si="9">((((1+B132)^(A132/252))/((1+B131)^(A131/252)))^(252/1))-1</f>
        <v>0.12270159783046131</v>
      </c>
      <c r="E132" s="32">
        <v>0.11325817585743359</v>
      </c>
      <c r="F132" s="35">
        <f t="shared" ca="1" si="8"/>
        <v>1.9317273013852443E-3</v>
      </c>
    </row>
    <row r="133" spans="1:6" x14ac:dyDescent="0.25">
      <c r="A133" s="23">
        <v>132</v>
      </c>
      <c r="B133" s="7" cm="1">
        <f t="array" aca="1" ref="B133" ca="1">interpolexp(A133,serie_du,Taxas_DI)</f>
        <v>0.11526540332724711</v>
      </c>
      <c r="C133" s="37">
        <f t="shared" ca="1" si="7"/>
        <v>1.0588078882136205</v>
      </c>
      <c r="D133" s="36">
        <f t="shared" ca="1" si="9"/>
        <v>0.12520024921943107</v>
      </c>
      <c r="E133" s="32">
        <v>0.11332025529626755</v>
      </c>
      <c r="F133" s="35">
        <f t="shared" ca="1" si="8"/>
        <v>1.9451480309795599E-3</v>
      </c>
    </row>
    <row r="134" spans="1:6" x14ac:dyDescent="0.25">
      <c r="A134" s="23">
        <v>133</v>
      </c>
      <c r="B134" s="7" cm="1">
        <f t="array" aca="1" ref="B134" ca="1">interpolexp(A134,serie_du,Taxas_DI)</f>
        <v>0.115339768210454</v>
      </c>
      <c r="C134" s="37">
        <f t="shared" ca="1" si="7"/>
        <v>1.0593036289688025</v>
      </c>
      <c r="D134" s="36">
        <f t="shared" ca="1" si="9"/>
        <v>0.12519958624270244</v>
      </c>
      <c r="E134" s="32">
        <v>0.11338140124732554</v>
      </c>
      <c r="F134" s="35">
        <f t="shared" ca="1" si="8"/>
        <v>1.958366963128455E-3</v>
      </c>
    </row>
    <row r="135" spans="1:6" x14ac:dyDescent="0.25">
      <c r="A135" s="23">
        <v>134</v>
      </c>
      <c r="B135" s="7" cm="1">
        <f t="array" aca="1" ref="B135" ca="1">interpolexp(A135,serie_du,Taxas_DI)</f>
        <v>0.11541302322399805</v>
      </c>
      <c r="C135" s="37">
        <f t="shared" ca="1" si="7"/>
        <v>1.0597995994108695</v>
      </c>
      <c r="D135" s="36">
        <f t="shared" ca="1" si="9"/>
        <v>0.12519893818977046</v>
      </c>
      <c r="E135" s="32">
        <v>0.11344163460871304</v>
      </c>
      <c r="F135" s="35">
        <f t="shared" ca="1" si="8"/>
        <v>1.971388615285008E-3</v>
      </c>
    </row>
    <row r="136" spans="1:6" x14ac:dyDescent="0.25">
      <c r="A136" s="23">
        <v>135</v>
      </c>
      <c r="B136" s="7" cm="1">
        <f t="array" aca="1" ref="B136" ca="1">interpolexp(A136,serie_du,Taxas_DI)</f>
        <v>0.11548519303055116</v>
      </c>
      <c r="C136" s="37">
        <f t="shared" ca="1" si="7"/>
        <v>1.0602957996993025</v>
      </c>
      <c r="D136" s="36">
        <f t="shared" ca="1" si="9"/>
        <v>0.12519830463381409</v>
      </c>
      <c r="E136" s="32">
        <v>0.11350097565951955</v>
      </c>
      <c r="F136" s="35">
        <f t="shared" ca="1" si="8"/>
        <v>1.9842173710316047E-3</v>
      </c>
    </row>
    <row r="137" spans="1:6" x14ac:dyDescent="0.25">
      <c r="A137" s="23">
        <v>136</v>
      </c>
      <c r="B137" s="7" cm="1">
        <f t="array" aca="1" ref="B137" ca="1">interpolexp(A137,serie_du,Taxas_DI)</f>
        <v>0.11555630156725449</v>
      </c>
      <c r="C137" s="37">
        <f t="shared" ca="1" si="7"/>
        <v>1.0607922299920287</v>
      </c>
      <c r="D137" s="36">
        <f t="shared" ca="1" si="9"/>
        <v>0.12519768511961682</v>
      </c>
      <c r="E137" s="32">
        <v>0.11355944408217855</v>
      </c>
      <c r="F137" s="35">
        <f t="shared" ca="1" si="8"/>
        <v>1.9968574850759424E-3</v>
      </c>
    </row>
    <row r="138" spans="1:6" x14ac:dyDescent="0.25">
      <c r="A138" s="23">
        <v>137</v>
      </c>
      <c r="B138" s="7" cm="1">
        <f t="array" aca="1" ref="B138" ca="1">interpolexp(A138,serie_du,Taxas_DI)</f>
        <v>0.11562637207258586</v>
      </c>
      <c r="C138" s="37">
        <f t="shared" ca="1" si="7"/>
        <v>1.0612888904456799</v>
      </c>
      <c r="D138" s="36">
        <f t="shared" ca="1" si="9"/>
        <v>0.1251970792620809</v>
      </c>
      <c r="E138" s="32">
        <v>0.11361705898462748</v>
      </c>
      <c r="F138" s="35">
        <f t="shared" ca="1" si="8"/>
        <v>2.0093130879583754E-3</v>
      </c>
    </row>
    <row r="139" spans="1:6" x14ac:dyDescent="0.25">
      <c r="A139" s="23">
        <v>138</v>
      </c>
      <c r="B139" s="7" cm="1">
        <f t="array" aca="1" ref="B139" ca="1">interpolexp(A139,serie_du,Taxas_DI)</f>
        <v>0.11569542711129532</v>
      </c>
      <c r="C139" s="37">
        <f t="shared" ca="1" si="7"/>
        <v>1.0617857812154481</v>
      </c>
      <c r="D139" s="36">
        <f t="shared" ca="1" si="9"/>
        <v>0.12519648663828398</v>
      </c>
      <c r="E139" s="32">
        <v>0.11367383892091354</v>
      </c>
      <c r="F139" s="35">
        <f t="shared" ca="1" si="8"/>
        <v>2.0215881903817845E-3</v>
      </c>
    </row>
    <row r="140" spans="1:6" x14ac:dyDescent="0.25">
      <c r="A140" s="23">
        <v>139</v>
      </c>
      <c r="B140" s="7" cm="1">
        <f t="array" aca="1" ref="B140" ca="1">interpolexp(A140,serie_du,Taxas_DI)</f>
        <v>0.11576348859896335</v>
      </c>
      <c r="C140" s="37">
        <f t="shared" ca="1" si="7"/>
        <v>1.0622829024553069</v>
      </c>
      <c r="D140" s="36">
        <f t="shared" ca="1" si="9"/>
        <v>0.12519590688533788</v>
      </c>
      <c r="E140" s="32">
        <v>0.11372980191119986</v>
      </c>
      <c r="F140" s="35">
        <f t="shared" ca="1" si="8"/>
        <v>2.0336866877634918E-3</v>
      </c>
    </row>
    <row r="141" spans="1:6" x14ac:dyDescent="0.25">
      <c r="A141" s="23">
        <v>140</v>
      </c>
      <c r="B141" s="7" cm="1">
        <f t="array" aca="1" ref="B141" ca="1">interpolexp(A141,serie_du,Taxas_DI)</f>
        <v>0.11583057782489359</v>
      </c>
      <c r="C141" s="37">
        <f t="shared" ca="1" si="7"/>
        <v>1.062780254317905</v>
      </c>
      <c r="D141" s="36">
        <f t="shared" ca="1" si="9"/>
        <v>0.12519533961294393</v>
      </c>
      <c r="E141" s="32">
        <v>0.11378496546088357</v>
      </c>
      <c r="F141" s="35">
        <f t="shared" ca="1" si="8"/>
        <v>2.0456123640100188E-3</v>
      </c>
    </row>
    <row r="142" spans="1:6" x14ac:dyDescent="0.25">
      <c r="A142" s="23">
        <v>141</v>
      </c>
      <c r="B142" s="7" cm="1">
        <f t="array" aca="1" ref="B142" ca="1">interpolexp(A142,serie_du,Taxas_DI)</f>
        <v>0.11589671547469482</v>
      </c>
      <c r="C142" s="37">
        <f t="shared" ca="1" si="7"/>
        <v>1.0632778369548133</v>
      </c>
      <c r="D142" s="36">
        <f t="shared" ca="1" si="9"/>
        <v>0.12519478449737909</v>
      </c>
      <c r="E142" s="32">
        <v>0.11383934657855921</v>
      </c>
      <c r="F142" s="35">
        <f t="shared" ca="1" si="8"/>
        <v>2.057368896135614E-3</v>
      </c>
    </row>
    <row r="143" spans="1:6" x14ac:dyDescent="0.25">
      <c r="A143" s="23">
        <v>142</v>
      </c>
      <c r="B143" s="7" cm="1">
        <f t="array" aca="1" ref="B143" ca="1">interpolexp(A143,serie_du,Taxas_DI)</f>
        <v>0.11596192165095331</v>
      </c>
      <c r="C143" s="37">
        <f t="shared" ca="1" si="7"/>
        <v>1.0637756505162557</v>
      </c>
      <c r="D143" s="36">
        <f t="shared" ca="1" si="9"/>
        <v>0.12519424114395905</v>
      </c>
      <c r="E143" s="32">
        <v>0.1138929617939155</v>
      </c>
      <c r="F143" s="35">
        <f t="shared" ca="1" si="8"/>
        <v>2.0689598570378109E-3</v>
      </c>
    </row>
    <row r="144" spans="1:6" x14ac:dyDescent="0.25">
      <c r="A144" s="23">
        <v>143</v>
      </c>
      <c r="B144" s="7" cm="1">
        <f t="array" aca="1" ref="B144" ca="1">interpolexp(A144,serie_du,Taxas_DI)</f>
        <v>0.11602621589434925</v>
      </c>
      <c r="C144" s="37">
        <f t="shared" ca="1" si="7"/>
        <v>1.0642736951515461</v>
      </c>
      <c r="D144" s="36">
        <f t="shared" ca="1" si="9"/>
        <v>0.12519370927543805</v>
      </c>
      <c r="E144" s="32">
        <v>0.1139458271742777</v>
      </c>
      <c r="F144" s="35">
        <f t="shared" ca="1" si="8"/>
        <v>2.0803887200715465E-3</v>
      </c>
    </row>
    <row r="145" spans="1:6" x14ac:dyDescent="0.25">
      <c r="A145" s="23">
        <v>144</v>
      </c>
      <c r="B145" s="7" cm="1">
        <f t="array" aca="1" ref="B145" ca="1">interpolexp(A145,serie_du,Taxas_DI)</f>
        <v>0.11608961720264155</v>
      </c>
      <c r="C145" s="37">
        <f t="shared" ca="1" si="7"/>
        <v>1.0647719710088455</v>
      </c>
      <c r="D145" s="36">
        <f t="shared" ca="1" si="9"/>
        <v>0.12519318855017691</v>
      </c>
      <c r="E145" s="32">
        <v>0.11399795834052817</v>
      </c>
      <c r="F145" s="35">
        <f t="shared" ca="1" si="8"/>
        <v>2.0916588621133769E-3</v>
      </c>
    </row>
    <row r="146" spans="1:6" x14ac:dyDescent="0.25">
      <c r="A146" s="23">
        <v>145</v>
      </c>
      <c r="B146" s="7" cm="1">
        <f t="array" aca="1" ref="B146" ca="1">interpolexp(A146,serie_du,Taxas_DI)</f>
        <v>0.11615214404936403</v>
      </c>
      <c r="C146" s="37">
        <f t="shared" ca="1" si="7"/>
        <v>1.0652704782351854</v>
      </c>
      <c r="D146" s="36">
        <f t="shared" ca="1" si="9"/>
        <v>0.12519267863406092</v>
      </c>
      <c r="E146" s="32">
        <v>0.11404937048282715</v>
      </c>
      <c r="F146" s="35">
        <f t="shared" ca="1" si="8"/>
        <v>2.1027735665368752E-3</v>
      </c>
    </row>
    <row r="147" spans="1:6" x14ac:dyDescent="0.25">
      <c r="A147" s="23">
        <v>146</v>
      </c>
      <c r="B147" s="7" cm="1">
        <f t="array" aca="1" ref="B147" ca="1">interpolexp(A147,serie_du,Taxas_DI)</f>
        <v>0.11621381440227729</v>
      </c>
      <c r="C147" s="37">
        <f t="shared" ca="1" si="7"/>
        <v>1.0657692169767825</v>
      </c>
      <c r="D147" s="36">
        <f t="shared" ca="1" si="9"/>
        <v>0.12519217927691373</v>
      </c>
      <c r="E147" s="32">
        <v>0.11410007837511227</v>
      </c>
      <c r="F147" s="35">
        <f t="shared" ca="1" si="8"/>
        <v>2.1137360271650252E-3</v>
      </c>
    </row>
    <row r="148" spans="1:6" x14ac:dyDescent="0.25">
      <c r="A148" s="23">
        <v>147</v>
      </c>
      <c r="B148" s="7" cm="1">
        <f t="array" aca="1" ref="B148" ca="1">interpolexp(A148,serie_du,Taxas_DI)</f>
        <v>0.11627464573991109</v>
      </c>
      <c r="C148" s="37">
        <f t="shared" ca="1" si="7"/>
        <v>1.066268187378707</v>
      </c>
      <c r="D148" s="36">
        <f t="shared" ca="1" si="9"/>
        <v>0.12519169014116582</v>
      </c>
      <c r="E148" s="32">
        <v>0.1141514558576473</v>
      </c>
      <c r="F148" s="35">
        <f t="shared" ca="1" si="8"/>
        <v>2.1231898822637874E-3</v>
      </c>
    </row>
    <row r="149" spans="1:6" x14ac:dyDescent="0.25">
      <c r="A149" s="23">
        <v>148</v>
      </c>
      <c r="B149" s="7" cm="1">
        <f t="array" aca="1" ref="B149" ca="1">interpolexp(A149,serie_du,Taxas_DI)</f>
        <v>0.1163346550686839</v>
      </c>
      <c r="C149" s="37">
        <f t="shared" ca="1" si="7"/>
        <v>1.0667673895852487</v>
      </c>
      <c r="D149" s="36">
        <f t="shared" ca="1" si="9"/>
        <v>0.12519121098737451</v>
      </c>
      <c r="E149" s="32">
        <v>0.11420213907571419</v>
      </c>
      <c r="F149" s="35">
        <f t="shared" ca="1" si="8"/>
        <v>2.132515992969708E-3</v>
      </c>
    </row>
    <row r="150" spans="1:6" x14ac:dyDescent="0.25">
      <c r="A150" s="23">
        <v>149</v>
      </c>
      <c r="B150" s="7" cm="1">
        <f t="array" aca="1" ref="B150" ca="1">interpolexp(A150,serie_du,Taxas_DI)</f>
        <v>0.1163938589383573</v>
      </c>
      <c r="C150" s="37">
        <f t="shared" ca="1" si="7"/>
        <v>1.0672668237397314</v>
      </c>
      <c r="D150" s="36">
        <f t="shared" ca="1" si="9"/>
        <v>0.12519074152718623</v>
      </c>
      <c r="E150" s="32">
        <v>0.11425214200733169</v>
      </c>
      <c r="F150" s="35">
        <f t="shared" ca="1" si="8"/>
        <v>2.1417169310256057E-3</v>
      </c>
    </row>
    <row r="151" spans="1:6" x14ac:dyDescent="0.25">
      <c r="A151" s="23">
        <v>150</v>
      </c>
      <c r="B151" s="7" cm="1">
        <f t="array" aca="1" ref="B151" ca="1">interpolexp(A151,serie_du,Taxas_DI)</f>
        <v>0.11645227345742359</v>
      </c>
      <c r="C151" s="37">
        <f t="shared" ca="1" si="7"/>
        <v>1.0677664899846391</v>
      </c>
      <c r="D151" s="36">
        <f t="shared" ca="1" si="9"/>
        <v>0.12519028150658595</v>
      </c>
      <c r="E151" s="32">
        <v>0.11430147825761683</v>
      </c>
      <c r="F151" s="35">
        <f t="shared" ca="1" si="8"/>
        <v>2.1507951998067654E-3</v>
      </c>
    </row>
    <row r="152" spans="1:6" x14ac:dyDescent="0.25">
      <c r="A152" s="23">
        <v>151</v>
      </c>
      <c r="B152" s="7" cm="1">
        <f t="array" aca="1" ref="B152" ca="1">interpolexp(A152,serie_du,Taxas_DI)</f>
        <v>0.11650991430764979</v>
      </c>
      <c r="C152" s="37">
        <f t="shared" ca="1" si="7"/>
        <v>1.0682663884616084</v>
      </c>
      <c r="D152" s="36">
        <f t="shared" ca="1" si="9"/>
        <v>0.12518983066982514</v>
      </c>
      <c r="E152" s="32">
        <v>0.11435016107146367</v>
      </c>
      <c r="F152" s="35">
        <f t="shared" ca="1" si="8"/>
        <v>2.1597532361861127E-3</v>
      </c>
    </row>
    <row r="153" spans="1:6" x14ac:dyDescent="0.25">
      <c r="A153" s="23">
        <v>152</v>
      </c>
      <c r="B153" s="7" cm="1">
        <f t="array" aca="1" ref="B153" ca="1">interpolexp(A153,serie_du,Taxas_DI)</f>
        <v>0.11656595780671353</v>
      </c>
      <c r="C153" s="37">
        <f t="shared" ca="1" si="7"/>
        <v>1.0687660349405539</v>
      </c>
      <c r="D153" s="36">
        <f t="shared" ca="1" si="9"/>
        <v>0.1250608906791546</v>
      </c>
      <c r="E153" s="32">
        <v>0.11439820334517847</v>
      </c>
      <c r="F153" s="35">
        <f t="shared" ca="1" si="8"/>
        <v>2.1677544615350541E-3</v>
      </c>
    </row>
    <row r="154" spans="1:6" x14ac:dyDescent="0.25">
      <c r="A154" s="23">
        <v>153</v>
      </c>
      <c r="B154" s="7" cm="1">
        <f t="array" aca="1" ref="B154" ca="1">interpolexp(A154,serie_du,Taxas_DI)</f>
        <v>0.11662126874174561</v>
      </c>
      <c r="C154" s="37">
        <f t="shared" ca="1" si="7"/>
        <v>1.0692659135269758</v>
      </c>
      <c r="D154" s="36">
        <f t="shared" ca="1" si="9"/>
        <v>0.1250604702221243</v>
      </c>
      <c r="E154" s="32">
        <v>0.11444561763793715</v>
      </c>
      <c r="F154" s="35">
        <f t="shared" ca="1" si="8"/>
        <v>2.1756511038084625E-3</v>
      </c>
    </row>
    <row r="155" spans="1:6" x14ac:dyDescent="0.25">
      <c r="A155" s="23">
        <v>154</v>
      </c>
      <c r="B155" s="7" cm="1">
        <f t="array" aca="1" ref="B155" ca="1">interpolexp(A155,serie_du,Taxas_DI)</f>
        <v>0.11667586138293107</v>
      </c>
      <c r="C155" s="37">
        <f t="shared" ca="1" si="7"/>
        <v>1.0697660243590406</v>
      </c>
      <c r="D155" s="36">
        <f t="shared" ca="1" si="9"/>
        <v>0.12506005800466569</v>
      </c>
      <c r="E155" s="32">
        <v>0.11449241618268768</v>
      </c>
      <c r="F155" s="35">
        <f t="shared" ca="1" si="8"/>
        <v>2.1834452002433835E-3</v>
      </c>
    </row>
    <row r="156" spans="1:6" x14ac:dyDescent="0.25">
      <c r="A156" s="23">
        <v>155</v>
      </c>
      <c r="B156" s="7" cm="1">
        <f t="array" aca="1" ref="B156" ca="1">interpolexp(A156,serie_du,Taxas_DI)</f>
        <v>0.11672974963214955</v>
      </c>
      <c r="C156" s="37">
        <f t="shared" ca="1" si="7"/>
        <v>1.0702663675741817</v>
      </c>
      <c r="D156" s="36">
        <f t="shared" ca="1" si="9"/>
        <v>0.12505965380419548</v>
      </c>
      <c r="E156" s="32">
        <v>0.11453861089667505</v>
      </c>
      <c r="F156" s="35">
        <f t="shared" ca="1" si="8"/>
        <v>2.191138735474496E-3</v>
      </c>
    </row>
    <row r="157" spans="1:6" x14ac:dyDescent="0.25">
      <c r="A157" s="23">
        <v>156</v>
      </c>
      <c r="B157" s="7" cm="1">
        <f t="array" aca="1" ref="B157" ca="1">interpolexp(A157,serie_du,Taxas_DI)</f>
        <v>0.1167829470348325</v>
      </c>
      <c r="C157" s="37">
        <f t="shared" ca="1" si="7"/>
        <v>1.0707669433091556</v>
      </c>
      <c r="D157" s="36">
        <f t="shared" ca="1" si="9"/>
        <v>0.12505925741345658</v>
      </c>
      <c r="E157" s="32">
        <v>0.11458421339163305</v>
      </c>
      <c r="F157" s="35">
        <f t="shared" ca="1" si="8"/>
        <v>2.1987336431994464E-3</v>
      </c>
    </row>
    <row r="158" spans="1:6" x14ac:dyDescent="0.25">
      <c r="A158" s="23">
        <v>157</v>
      </c>
      <c r="B158" s="7" cm="1">
        <f t="array" aca="1" ref="B158" ca="1">interpolexp(A158,serie_du,Taxas_DI)</f>
        <v>0.11683546679128742</v>
      </c>
      <c r="C158" s="37">
        <f t="shared" ca="1" si="7"/>
        <v>1.0712677517000486</v>
      </c>
      <c r="D158" s="36">
        <f t="shared" ca="1" si="9"/>
        <v>0.1250588686275147</v>
      </c>
      <c r="E158" s="32">
        <v>0.11462923498350985</v>
      </c>
      <c r="F158" s="35">
        <f t="shared" ca="1" si="8"/>
        <v>2.20623180777757E-3</v>
      </c>
    </row>
    <row r="159" spans="1:6" x14ac:dyDescent="0.25">
      <c r="A159" s="23">
        <v>158</v>
      </c>
      <c r="B159" s="7" cm="1">
        <f t="array" aca="1" ref="B159" ca="1">interpolexp(A159,serie_du,Taxas_DI)</f>
        <v>0.11688732176777794</v>
      </c>
      <c r="C159" s="37">
        <f t="shared" ca="1" si="7"/>
        <v>1.0717687928823949</v>
      </c>
      <c r="D159" s="36">
        <f t="shared" ca="1" si="9"/>
        <v>0.12505848727293678</v>
      </c>
      <c r="E159" s="32">
        <v>0.11467368670166067</v>
      </c>
      <c r="F159" s="35">
        <f t="shared" ca="1" si="8"/>
        <v>2.2136350661172699E-3</v>
      </c>
    </row>
    <row r="160" spans="1:6" x14ac:dyDescent="0.25">
      <c r="A160" s="23">
        <v>159</v>
      </c>
      <c r="B160" s="7" cm="1">
        <f t="array" aca="1" ref="B160" ca="1">interpolexp(A160,serie_du,Taxas_DI)</f>
        <v>0.1169385245067156</v>
      </c>
      <c r="C160" s="37">
        <f t="shared" ca="1" si="7"/>
        <v>1.072270066991009</v>
      </c>
      <c r="D160" s="36">
        <f t="shared" ca="1" si="9"/>
        <v>0.12505811313263471</v>
      </c>
      <c r="E160" s="32">
        <v>0.11471757929808479</v>
      </c>
      <c r="F160" s="35">
        <f t="shared" ca="1" si="8"/>
        <v>2.220945208630809E-3</v>
      </c>
    </row>
    <row r="161" spans="1:6" x14ac:dyDescent="0.25">
      <c r="A161" s="23">
        <v>160</v>
      </c>
      <c r="B161" s="7" cm="1">
        <f t="array" aca="1" ref="B161" ca="1">interpolexp(A161,serie_du,Taxas_DI)</f>
        <v>0.11698908723718482</v>
      </c>
      <c r="C161" s="37">
        <f t="shared" ca="1" si="7"/>
        <v>1.0727715741602528</v>
      </c>
      <c r="D161" s="36">
        <f t="shared" ca="1" si="9"/>
        <v>0.12505774606039033</v>
      </c>
      <c r="E161" s="32">
        <v>0.1147609232559077</v>
      </c>
      <c r="F161" s="35">
        <f t="shared" ca="1" si="8"/>
        <v>2.2281639812771203E-3</v>
      </c>
    </row>
    <row r="162" spans="1:6" x14ac:dyDescent="0.25">
      <c r="A162" s="23">
        <v>161</v>
      </c>
      <c r="B162" s="7" cm="1">
        <f t="array" aca="1" ref="B162" ca="1">interpolexp(A162,serie_du,Taxas_DI)</f>
        <v>0.11703902188420212</v>
      </c>
      <c r="C162" s="37">
        <f t="shared" ca="1" si="7"/>
        <v>1.0732733145237674</v>
      </c>
      <c r="D162" s="36">
        <f t="shared" ca="1" si="9"/>
        <v>0.12505738583951254</v>
      </c>
      <c r="E162" s="32">
        <v>0.11480372879790757</v>
      </c>
      <c r="F162" s="35">
        <f t="shared" ca="1" si="8"/>
        <v>2.2352930862945541E-3</v>
      </c>
    </row>
    <row r="163" spans="1:6" x14ac:dyDescent="0.25">
      <c r="A163" s="23">
        <v>162</v>
      </c>
      <c r="B163" s="7" cm="1">
        <f t="array" aca="1" ref="B163" ca="1">interpolexp(A163,serie_du,Taxas_DI)</f>
        <v>0.11708834007855273</v>
      </c>
      <c r="C163" s="37">
        <f t="shared" ca="1" si="7"/>
        <v>1.0737752882147709</v>
      </c>
      <c r="D163" s="36">
        <f t="shared" ca="1" si="9"/>
        <v>0.12505703233243115</v>
      </c>
      <c r="E163" s="32">
        <v>0.11484600589437566</v>
      </c>
      <c r="F163" s="35">
        <f t="shared" ca="1" si="8"/>
        <v>2.242334184177075E-3</v>
      </c>
    </row>
    <row r="164" spans="1:6" x14ac:dyDescent="0.25">
      <c r="A164" s="23">
        <v>163</v>
      </c>
      <c r="B164" s="7" cm="1">
        <f t="array" aca="1" ref="B164" ca="1">interpolexp(A164,serie_du,Taxas_DI)</f>
        <v>0.11713705316553913</v>
      </c>
      <c r="C164" s="37">
        <f t="shared" ca="1" si="7"/>
        <v>1.0742774953659044</v>
      </c>
      <c r="D164" s="36">
        <f t="shared" ca="1" si="9"/>
        <v>0.12505668536137327</v>
      </c>
      <c r="E164" s="32">
        <v>0.1148877642710211</v>
      </c>
      <c r="F164" s="35">
        <f t="shared" ca="1" si="8"/>
        <v>2.2492888945180312E-3</v>
      </c>
    </row>
    <row r="165" spans="1:6" x14ac:dyDescent="0.25">
      <c r="A165" s="23">
        <v>164</v>
      </c>
      <c r="B165" s="7" cm="1">
        <f t="array" aca="1" ref="B165" ca="1">interpolexp(A165,serie_du,Taxas_DI)</f>
        <v>0.1171851722137518</v>
      </c>
      <c r="C165" s="37">
        <f t="shared" ca="1" si="7"/>
        <v>1.0747799361092936</v>
      </c>
      <c r="D165" s="36">
        <f t="shared" ca="1" si="9"/>
        <v>0.12505634476476279</v>
      </c>
      <c r="E165" s="32">
        <v>0.11492901341627615</v>
      </c>
      <c r="F165" s="35">
        <f t="shared" ca="1" si="8"/>
        <v>2.2561587974756492E-3</v>
      </c>
    </row>
    <row r="166" spans="1:6" x14ac:dyDescent="0.25">
      <c r="A166" s="23">
        <v>165</v>
      </c>
      <c r="B166" s="7" cm="1">
        <f t="array" aca="1" ref="B166" ca="1">interpolexp(A166,serie_du,Taxas_DI)</f>
        <v>0.11723270802348473</v>
      </c>
      <c r="C166" s="37">
        <f t="shared" ca="1" si="7"/>
        <v>1.0752826105765838</v>
      </c>
      <c r="D166" s="36">
        <f t="shared" ca="1" si="9"/>
        <v>0.12505601039131986</v>
      </c>
      <c r="E166" s="32">
        <v>0.11496976258853486</v>
      </c>
      <c r="F166" s="35">
        <f t="shared" ca="1" si="8"/>
        <v>2.2629454349498701E-3</v>
      </c>
    </row>
    <row r="167" spans="1:6" x14ac:dyDescent="0.25">
      <c r="A167" s="23">
        <v>166</v>
      </c>
      <c r="B167" s="7" cm="1">
        <f t="array" aca="1" ref="B167" ca="1">interpolexp(A167,serie_du,Taxas_DI)</f>
        <v>0.11727967113481785</v>
      </c>
      <c r="C167" s="37">
        <f t="shared" ca="1" si="7"/>
        <v>1.075785518898958</v>
      </c>
      <c r="D167" s="36">
        <f t="shared" ca="1" si="9"/>
        <v>0.12505568209418594</v>
      </c>
      <c r="E167" s="32">
        <v>0.11501002082320433</v>
      </c>
      <c r="F167" s="35">
        <f t="shared" ca="1" si="8"/>
        <v>2.2696503116135247E-3</v>
      </c>
    </row>
    <row r="168" spans="1:6" x14ac:dyDescent="0.25">
      <c r="A168" s="23">
        <v>167</v>
      </c>
      <c r="B168" s="7" cm="1">
        <f t="array" aca="1" ref="B168" ca="1">interpolexp(A168,serie_du,Taxas_DI)</f>
        <v>0.11732607183525534</v>
      </c>
      <c r="C168" s="37">
        <f t="shared" ca="1" si="7"/>
        <v>1.076288661207055</v>
      </c>
      <c r="D168" s="36">
        <f t="shared" ca="1" si="9"/>
        <v>0.12505535970560366</v>
      </c>
      <c r="E168" s="32">
        <v>0.11505108072160652</v>
      </c>
      <c r="F168" s="35">
        <f t="shared" ca="1" si="8"/>
        <v>2.2749911136488166E-3</v>
      </c>
    </row>
    <row r="169" spans="1:6" x14ac:dyDescent="0.25">
      <c r="A169" s="23">
        <v>168</v>
      </c>
      <c r="B169" s="7" cm="1">
        <f t="array" aca="1" ref="B169" ca="1">interpolexp(A169,serie_du,Taxas_DI)</f>
        <v>0.11737192016754161</v>
      </c>
      <c r="C169" s="37">
        <f t="shared" ca="1" si="7"/>
        <v>1.0767920376311781</v>
      </c>
      <c r="D169" s="36">
        <f t="shared" ca="1" si="9"/>
        <v>0.12505504311316362</v>
      </c>
      <c r="E169" s="32">
        <v>0.11509165182821413</v>
      </c>
      <c r="F169" s="35">
        <f t="shared" ca="1" si="8"/>
        <v>2.2802683393274847E-3</v>
      </c>
    </row>
    <row r="170" spans="1:6" x14ac:dyDescent="0.25">
      <c r="A170" s="23">
        <v>169</v>
      </c>
      <c r="B170" s="7" cm="1">
        <f t="array" aca="1" ref="B170" ca="1">interpolexp(A170,serie_du,Taxas_DI)</f>
        <v>0.11741722593667792</v>
      </c>
      <c r="C170" s="37">
        <f t="shared" ca="1" si="7"/>
        <v>1.0772956483011638</v>
      </c>
      <c r="D170" s="36">
        <f t="shared" ca="1" si="9"/>
        <v>0.12505473216991647</v>
      </c>
      <c r="E170" s="32">
        <v>0.11513174281949645</v>
      </c>
      <c r="F170" s="35">
        <f t="shared" ca="1" si="8"/>
        <v>2.2854831171814638E-3</v>
      </c>
    </row>
    <row r="171" spans="1:6" x14ac:dyDescent="0.25">
      <c r="A171" s="23">
        <v>170</v>
      </c>
      <c r="B171" s="7" cm="1">
        <f t="array" aca="1" ref="B171" ca="1">interpolexp(A171,serie_du,Taxas_DI)</f>
        <v>0.11746199871687235</v>
      </c>
      <c r="C171" s="37">
        <f t="shared" ca="1" si="7"/>
        <v>1.0777994933463688</v>
      </c>
      <c r="D171" s="36">
        <f t="shared" ca="1" si="9"/>
        <v>0.12505442672610179</v>
      </c>
      <c r="E171" s="32">
        <v>0.11517136216787627</v>
      </c>
      <c r="F171" s="35">
        <f t="shared" ca="1" si="8"/>
        <v>2.2906365489960834E-3</v>
      </c>
    </row>
    <row r="172" spans="1:6" x14ac:dyDescent="0.25">
      <c r="A172" s="23">
        <v>171</v>
      </c>
      <c r="B172" s="7" cm="1">
        <f t="array" aca="1" ref="B172" ca="1">interpolexp(A172,serie_du,Taxas_DI)</f>
        <v>0.11750624785851205</v>
      </c>
      <c r="C172" s="37">
        <f t="shared" ca="1" si="7"/>
        <v>1.078303572895831</v>
      </c>
      <c r="D172" s="36">
        <f t="shared" ca="1" si="9"/>
        <v>0.12505412667434213</v>
      </c>
      <c r="E172" s="32">
        <v>0.1152105181474905</v>
      </c>
      <c r="F172" s="35">
        <f t="shared" ca="1" si="8"/>
        <v>2.2957297110215436E-3</v>
      </c>
    </row>
    <row r="173" spans="1:6" x14ac:dyDescent="0.25">
      <c r="A173" s="23">
        <v>172</v>
      </c>
      <c r="B173" s="7" cm="1">
        <f t="array" aca="1" ref="B173" ca="1">interpolexp(A173,serie_du,Taxas_DI)</f>
        <v>0.1175499824944799</v>
      </c>
      <c r="C173" s="37">
        <f t="shared" ca="1" si="7"/>
        <v>1.0788078870781577</v>
      </c>
      <c r="D173" s="36">
        <f t="shared" ca="1" si="9"/>
        <v>0.12505383187828767</v>
      </c>
      <c r="E173" s="32">
        <v>0.11524921884003003</v>
      </c>
      <c r="F173" s="35">
        <f t="shared" ca="1" si="8"/>
        <v>2.3007636544498666E-3</v>
      </c>
    </row>
    <row r="174" spans="1:6" x14ac:dyDescent="0.25">
      <c r="A174" s="23">
        <v>173</v>
      </c>
      <c r="B174" s="7" cm="1">
        <f t="array" aca="1" ref="B174" ca="1">interpolexp(A174,serie_du,Taxas_DI)</f>
        <v>0.11760658682156144</v>
      </c>
      <c r="C174" s="37">
        <f t="shared" ca="1" si="7"/>
        <v>1.0793213037196048</v>
      </c>
      <c r="D174" s="36">
        <f t="shared" ca="1" si="9"/>
        <v>0.12738531017440469</v>
      </c>
      <c r="E174" s="32">
        <v>0.1152874721404018</v>
      </c>
      <c r="F174" s="35">
        <f t="shared" ca="1" si="8"/>
        <v>2.3191146811596397E-3</v>
      </c>
    </row>
    <row r="175" spans="1:6" x14ac:dyDescent="0.25">
      <c r="A175" s="23">
        <v>174</v>
      </c>
      <c r="B175" s="7" cm="1">
        <f t="array" aca="1" ref="B175" ca="1">interpolexp(A175,serie_du,Taxas_DI)</f>
        <v>0.11766254055562975</v>
      </c>
      <c r="C175" s="37">
        <f t="shared" ca="1" si="7"/>
        <v>1.0798349628429329</v>
      </c>
      <c r="D175" s="36">
        <f t="shared" ca="1" si="9"/>
        <v>0.12738482113167282</v>
      </c>
      <c r="E175" s="32">
        <v>0.11532528576205792</v>
      </c>
      <c r="F175" s="35">
        <f t="shared" ca="1" si="8"/>
        <v>2.3372547935718302E-3</v>
      </c>
    </row>
    <row r="176" spans="1:6" x14ac:dyDescent="0.25">
      <c r="A176" s="23">
        <v>175</v>
      </c>
      <c r="B176" s="7" cm="1">
        <f t="array" aca="1" ref="B176" ca="1">interpolexp(A176,serie_du,Taxas_DI)</f>
        <v>0.1177178548491753</v>
      </c>
      <c r="C176" s="37">
        <f t="shared" ca="1" si="7"/>
        <v>1.0803488645938368</v>
      </c>
      <c r="D176" s="36">
        <f t="shared" ca="1" si="9"/>
        <v>0.12738434052114633</v>
      </c>
      <c r="E176" s="32">
        <v>0.11536266724205824</v>
      </c>
      <c r="F176" s="35">
        <f t="shared" ca="1" si="8"/>
        <v>2.3551876071170597E-3</v>
      </c>
    </row>
    <row r="177" spans="1:6" x14ac:dyDescent="0.25">
      <c r="A177" s="23">
        <v>176</v>
      </c>
      <c r="B177" s="7" cm="1">
        <f t="array" aca="1" ref="B177" ca="1">interpolexp(A177,serie_du,Taxas_DI)</f>
        <v>0.11777254060125752</v>
      </c>
      <c r="C177" s="37">
        <f t="shared" ca="1" si="7"/>
        <v>1.0808630091174078</v>
      </c>
      <c r="D177" s="36">
        <f t="shared" ca="1" si="9"/>
        <v>0.12738386815427027</v>
      </c>
      <c r="E177" s="32">
        <v>0.11539962394622183</v>
      </c>
      <c r="F177" s="35">
        <f t="shared" ca="1" si="8"/>
        <v>2.372916655035695E-3</v>
      </c>
    </row>
    <row r="178" spans="1:6" x14ac:dyDescent="0.25">
      <c r="A178" s="23">
        <v>177</v>
      </c>
      <c r="B178" s="7" cm="1">
        <f t="array" aca="1" ref="B178" ca="1">interpolexp(A178,serie_du,Taxas_DI)</f>
        <v>0.11782660846462178</v>
      </c>
      <c r="C178" s="37">
        <f t="shared" ca="1" si="7"/>
        <v>1.081377396558123</v>
      </c>
      <c r="D178" s="36">
        <f t="shared" ca="1" si="9"/>
        <v>0.12738340384006297</v>
      </c>
      <c r="E178" s="32">
        <v>0.11543616307394533</v>
      </c>
      <c r="F178" s="35">
        <f t="shared" ca="1" si="8"/>
        <v>2.3904453906764545E-3</v>
      </c>
    </row>
    <row r="179" spans="1:6" x14ac:dyDescent="0.25">
      <c r="A179" s="23">
        <v>178</v>
      </c>
      <c r="B179" s="7" cm="1">
        <f t="array" aca="1" ref="B179" ca="1">interpolexp(A179,serie_du,Taxas_DI)</f>
        <v>0.11788006885262714</v>
      </c>
      <c r="C179" s="37">
        <f t="shared" ca="1" si="7"/>
        <v>1.081892027059872</v>
      </c>
      <c r="D179" s="36">
        <f t="shared" ca="1" si="9"/>
        <v>0.12738294739489975</v>
      </c>
      <c r="E179" s="32">
        <v>0.11547229166282147</v>
      </c>
      <c r="F179" s="35">
        <f t="shared" ca="1" si="8"/>
        <v>2.407777189805671E-3</v>
      </c>
    </row>
    <row r="180" spans="1:6" x14ac:dyDescent="0.25">
      <c r="A180" s="23">
        <v>179</v>
      </c>
      <c r="B180" s="7" cm="1">
        <f t="array" aca="1" ref="B180" ca="1">interpolexp(A180,serie_du,Taxas_DI)</f>
        <v>0.1179329319458855</v>
      </c>
      <c r="C180" s="37">
        <f t="shared" ca="1" si="7"/>
        <v>1.0824069007659405</v>
      </c>
      <c r="D180" s="36">
        <f t="shared" ca="1" si="9"/>
        <v>0.12738249863157725</v>
      </c>
      <c r="E180" s="32">
        <v>0.11550801659307997</v>
      </c>
      <c r="F180" s="35">
        <f t="shared" ca="1" si="8"/>
        <v>2.4249153528055345E-3</v>
      </c>
    </row>
    <row r="181" spans="1:6" x14ac:dyDescent="0.25">
      <c r="A181" s="23">
        <v>180</v>
      </c>
      <c r="B181" s="7" cm="1">
        <f t="array" aca="1" ref="B181" ca="1">interpolexp(A181,serie_du,Taxas_DI)</f>
        <v>0.11798520769890075</v>
      </c>
      <c r="C181" s="37">
        <f t="shared" ca="1" si="7"/>
        <v>1.0829220178191494</v>
      </c>
      <c r="D181" s="36">
        <f t="shared" ca="1" si="9"/>
        <v>0.12738205739954389</v>
      </c>
      <c r="E181" s="32">
        <v>0.11554334459218385</v>
      </c>
      <c r="F181" s="35">
        <f t="shared" ca="1" si="8"/>
        <v>2.4418631067169017E-3</v>
      </c>
    </row>
    <row r="182" spans="1:6" x14ac:dyDescent="0.25">
      <c r="A182" s="23">
        <v>181</v>
      </c>
      <c r="B182" s="7" cm="1">
        <f t="array" aca="1" ref="B182" ca="1">interpolexp(A182,serie_du,Taxas_DI)</f>
        <v>0.11803690584617499</v>
      </c>
      <c r="C182" s="37">
        <f t="shared" ca="1" si="7"/>
        <v>1.0834373783617739</v>
      </c>
      <c r="D182" s="36">
        <f t="shared" ca="1" si="9"/>
        <v>0.12738162352724891</v>
      </c>
      <c r="E182" s="32">
        <v>0.1155782822389817</v>
      </c>
      <c r="F182" s="35">
        <f t="shared" ca="1" si="8"/>
        <v>2.4586236071932888E-3</v>
      </c>
    </row>
    <row r="183" spans="1:6" x14ac:dyDescent="0.25">
      <c r="A183" s="23">
        <v>182</v>
      </c>
      <c r="B183" s="7" cm="1">
        <f t="array" aca="1" ref="B183" ca="1">interpolexp(A183,serie_du,Taxas_DI)</f>
        <v>0.1180880359081371</v>
      </c>
      <c r="C183" s="37">
        <f t="shared" ca="1" si="7"/>
        <v>1.083952982535479</v>
      </c>
      <c r="D183" s="36">
        <f t="shared" ca="1" si="9"/>
        <v>0.12738119682709437</v>
      </c>
      <c r="E183" s="32">
        <v>0.11561283596754901</v>
      </c>
      <c r="F183" s="35">
        <f t="shared" ca="1" si="8"/>
        <v>2.4751999405880909E-3</v>
      </c>
    </row>
    <row r="184" spans="1:6" x14ac:dyDescent="0.25">
      <c r="A184" s="23">
        <v>183</v>
      </c>
      <c r="B184" s="7" cm="1">
        <f t="array" aca="1" ref="B184" ca="1">interpolexp(A184,serie_du,Taxas_DI)</f>
        <v>0.11813860719733782</v>
      </c>
      <c r="C184" s="37">
        <f t="shared" ca="1" si="7"/>
        <v>1.0844688304815797</v>
      </c>
      <c r="D184" s="36">
        <f t="shared" ca="1" si="9"/>
        <v>0.12738077717953344</v>
      </c>
      <c r="E184" s="32">
        <v>0.11564701207149586</v>
      </c>
      <c r="F184" s="35">
        <f t="shared" ca="1" si="8"/>
        <v>2.4915951258419611E-3</v>
      </c>
    </row>
    <row r="185" spans="1:6" x14ac:dyDescent="0.25">
      <c r="A185" s="23">
        <v>184</v>
      </c>
      <c r="B185" s="7" cm="1">
        <f t="array" aca="1" ref="B185" ca="1">interpolexp(A185,serie_du,Taxas_DI)</f>
        <v>0.11818862882371217</v>
      </c>
      <c r="C185" s="37">
        <f t="shared" ca="1" si="7"/>
        <v>1.0849849223407815</v>
      </c>
      <c r="D185" s="36">
        <f t="shared" ca="1" si="9"/>
        <v>0.12738036439771405</v>
      </c>
      <c r="E185" s="32">
        <v>0.11568081670749741</v>
      </c>
      <c r="F185" s="35">
        <f t="shared" ca="1" si="8"/>
        <v>2.5078121162147582E-3</v>
      </c>
    </row>
    <row r="186" spans="1:6" x14ac:dyDescent="0.25">
      <c r="A186" s="23">
        <v>185</v>
      </c>
      <c r="B186" s="7" cm="1">
        <f t="array" aca="1" ref="B186" ca="1">interpolexp(A186,serie_du,Taxas_DI)</f>
        <v>0.11823810970030824</v>
      </c>
      <c r="C186" s="37">
        <f t="shared" ca="1" si="7"/>
        <v>1.0855012582533761</v>
      </c>
      <c r="D186" s="36">
        <f t="shared" ca="1" si="9"/>
        <v>0.12737995834625893</v>
      </c>
      <c r="E186" s="32">
        <v>0.11571425589920192</v>
      </c>
      <c r="F186" s="35">
        <f t="shared" ca="1" si="8"/>
        <v>2.5238538011063127E-3</v>
      </c>
    </row>
    <row r="187" spans="1:6" x14ac:dyDescent="0.25">
      <c r="A187" s="23">
        <v>186</v>
      </c>
      <c r="B187" s="7" cm="1">
        <f t="array" aca="1" ref="B187" ca="1">interpolexp(A187,serie_du,Taxas_DI)</f>
        <v>0.118287058548594</v>
      </c>
      <c r="C187" s="37">
        <f t="shared" ca="1" si="7"/>
        <v>1.0860178383592658</v>
      </c>
      <c r="D187" s="36">
        <f t="shared" ca="1" si="9"/>
        <v>0.12737955889642705</v>
      </c>
      <c r="E187" s="32">
        <v>0.11574733554076122</v>
      </c>
      <c r="F187" s="35">
        <f t="shared" ca="1" si="8"/>
        <v>2.5397230078327837E-3</v>
      </c>
    </row>
    <row r="188" spans="1:6" x14ac:dyDescent="0.25">
      <c r="A188" s="23">
        <v>187</v>
      </c>
      <c r="B188" s="7" cm="1">
        <f t="array" aca="1" ref="B188" ca="1">interpolexp(A188,serie_du,Taxas_DI)</f>
        <v>0.11833548390332016</v>
      </c>
      <c r="C188" s="37">
        <f t="shared" ca="1" si="7"/>
        <v>1.0865346627977899</v>
      </c>
      <c r="D188" s="36">
        <f t="shared" ca="1" si="9"/>
        <v>0.12737916587462439</v>
      </c>
      <c r="E188" s="32">
        <v>0.11578006140005637</v>
      </c>
      <c r="F188" s="35">
        <f t="shared" ca="1" si="8"/>
        <v>2.5554225032637934E-3</v>
      </c>
    </row>
    <row r="189" spans="1:6" x14ac:dyDescent="0.25">
      <c r="A189" s="23">
        <v>188</v>
      </c>
      <c r="B189" s="7" cm="1">
        <f t="array" aca="1" ref="B189" ca="1">interpolexp(A189,serie_du,Taxas_DI)</f>
        <v>0.11838339411776033</v>
      </c>
      <c r="C189" s="37">
        <f t="shared" ca="1" si="7"/>
        <v>1.0870517317079376</v>
      </c>
      <c r="D189" s="36">
        <f t="shared" ca="1" si="9"/>
        <v>0.12737877916291329</v>
      </c>
      <c r="E189" s="32">
        <v>0.11582355195662863</v>
      </c>
      <c r="F189" s="35">
        <f t="shared" ca="1" si="8"/>
        <v>2.5598421611316979E-3</v>
      </c>
    </row>
    <row r="190" spans="1:6" x14ac:dyDescent="0.25">
      <c r="A190" s="23">
        <v>189</v>
      </c>
      <c r="B190" s="7" cm="1">
        <f t="array" aca="1" ref="B190" ca="1">interpolexp(A190,serie_du,Taxas_DI)</f>
        <v>0.11843079736832962</v>
      </c>
      <c r="C190" s="37">
        <f t="shared" ca="1" si="7"/>
        <v>1.0875690452282267</v>
      </c>
      <c r="D190" s="36">
        <f t="shared" ca="1" si="9"/>
        <v>0.12737839861224809</v>
      </c>
      <c r="E190" s="32">
        <v>0.11586658231426128</v>
      </c>
      <c r="F190" s="35">
        <f t="shared" ca="1" si="8"/>
        <v>2.5642150540683417E-3</v>
      </c>
    </row>
    <row r="191" spans="1:6" x14ac:dyDescent="0.25">
      <c r="A191" s="23">
        <v>190</v>
      </c>
      <c r="B191" s="7" cm="1">
        <f t="array" aca="1" ref="B191" ca="1">interpolexp(A191,serie_du,Taxas_DI)</f>
        <v>0.11847770165940297</v>
      </c>
      <c r="C191" s="37">
        <f t="shared" ca="1" si="7"/>
        <v>1.0880866034968386</v>
      </c>
      <c r="D191" s="36">
        <f t="shared" ca="1" si="9"/>
        <v>0.12737802410895038</v>
      </c>
      <c r="E191" s="32">
        <v>0.11590915973900273</v>
      </c>
      <c r="F191" s="35">
        <f t="shared" ca="1" si="8"/>
        <v>2.5685419204002358E-3</v>
      </c>
    </row>
    <row r="192" spans="1:6" x14ac:dyDescent="0.25">
      <c r="A192" s="23">
        <v>191</v>
      </c>
      <c r="B192" s="7" cm="1">
        <f t="array" aca="1" ref="B192" ca="1">interpolexp(A192,serie_du,Taxas_DI)</f>
        <v>0.11852411482773384</v>
      </c>
      <c r="C192" s="37">
        <f t="shared" ca="1" si="7"/>
        <v>1.0886044066515661</v>
      </c>
      <c r="D192" s="36">
        <f t="shared" ca="1" si="9"/>
        <v>0.12737765552624092</v>
      </c>
      <c r="E192" s="32">
        <v>0.11595129134460702</v>
      </c>
      <c r="F192" s="35">
        <f t="shared" ca="1" si="8"/>
        <v>2.5728234831268182E-3</v>
      </c>
    </row>
    <row r="193" spans="1:6" x14ac:dyDescent="0.25">
      <c r="A193" s="23">
        <v>192</v>
      </c>
      <c r="B193" s="7" cm="1">
        <f t="array" aca="1" ref="B193" ca="1">interpolexp(A193,serie_du,Taxas_DI)</f>
        <v>0.11857004454669728</v>
      </c>
      <c r="C193" s="37">
        <f t="shared" ca="1" si="7"/>
        <v>1.0891224548297354</v>
      </c>
      <c r="D193" s="36">
        <f t="shared" ca="1" si="9"/>
        <v>0.12737729271689191</v>
      </c>
      <c r="E193" s="32">
        <v>0.11599298409679104</v>
      </c>
      <c r="F193" s="35">
        <f t="shared" ca="1" si="8"/>
        <v>2.5770604499062433E-3</v>
      </c>
    </row>
    <row r="194" spans="1:6" x14ac:dyDescent="0.25">
      <c r="A194" s="23">
        <v>193</v>
      </c>
      <c r="B194" s="7" cm="1">
        <f t="array" aca="1" ref="B194" ca="1">interpolexp(A194,serie_du,Taxas_DI)</f>
        <v>0.11861169798348392</v>
      </c>
      <c r="C194" s="37">
        <f t="shared" ref="C194:C257" ca="1" si="10">(1+B194)^(A194/252)</f>
        <v>1.0896379129747362</v>
      </c>
      <c r="D194" s="36">
        <f t="shared" ca="1" si="9"/>
        <v>0.12663796479638711</v>
      </c>
      <c r="E194" s="32">
        <v>0.11603424481687608</v>
      </c>
      <c r="F194" s="35">
        <f t="shared" ref="F194:F257" ca="1" si="11">B194-E194</f>
        <v>2.577453166607846E-3</v>
      </c>
    </row>
    <row r="195" spans="1:6" x14ac:dyDescent="0.25">
      <c r="A195" s="23">
        <v>194</v>
      </c>
      <c r="B195" s="7" cm="1">
        <f t="array" aca="1" ref="B195" ca="1">interpolexp(A195,serie_du,Taxas_DI)</f>
        <v>0.11865292202046795</v>
      </c>
      <c r="C195" s="37">
        <f t="shared" ca="1" si="10"/>
        <v>1.0901536139420136</v>
      </c>
      <c r="D195" s="36">
        <f t="shared" ca="1" si="9"/>
        <v>0.12663766974182389</v>
      </c>
      <c r="E195" s="32">
        <v>0.11607508018540713</v>
      </c>
      <c r="F195" s="35">
        <f t="shared" ca="1" si="11"/>
        <v>2.5778418350608234E-3</v>
      </c>
    </row>
    <row r="196" spans="1:6" x14ac:dyDescent="0.25">
      <c r="A196" s="23">
        <v>195</v>
      </c>
      <c r="B196" s="7" cm="1">
        <f t="array" aca="1" ref="B196" ca="1">interpolexp(A196,serie_du,Taxas_DI)</f>
        <v>0.1186937232635632</v>
      </c>
      <c r="C196" s="37">
        <f t="shared" ca="1" si="10"/>
        <v>1.0906695578629564</v>
      </c>
      <c r="D196" s="36">
        <f t="shared" ref="D196:D259" ca="1" si="12">((((1+B196)^(A196/252))/((1+B195)^(A195/252)))^(252/1))-1</f>
        <v>0.12663737925288321</v>
      </c>
      <c r="E196" s="32">
        <v>0.11611549674603872</v>
      </c>
      <c r="F196" s="35">
        <f t="shared" ca="1" si="11"/>
        <v>2.5782265175244845E-3</v>
      </c>
    </row>
    <row r="197" spans="1:6" x14ac:dyDescent="0.25">
      <c r="A197" s="23">
        <v>196</v>
      </c>
      <c r="B197" s="7" cm="1">
        <f t="array" aca="1" ref="B197" ca="1">interpolexp(A197,serie_du,Taxas_DI)</f>
        <v>0.11873410818379337</v>
      </c>
      <c r="C197" s="37">
        <f t="shared" ca="1" si="10"/>
        <v>1.0911857448686182</v>
      </c>
      <c r="D197" s="36">
        <f t="shared" ca="1" si="12"/>
        <v>0.12663709321983796</v>
      </c>
      <c r="E197" s="32">
        <v>0.11615550090886551</v>
      </c>
      <c r="F197" s="35">
        <f t="shared" ca="1" si="11"/>
        <v>2.5786072749278688E-3</v>
      </c>
    </row>
    <row r="198" spans="1:6" x14ac:dyDescent="0.25">
      <c r="A198" s="23">
        <v>197</v>
      </c>
      <c r="B198" s="7" cm="1">
        <f t="array" aca="1" ref="B198" ca="1">interpolexp(A198,serie_du,Taxas_DI)</f>
        <v>0.11877408312086501</v>
      </c>
      <c r="C198" s="37">
        <f t="shared" ca="1" si="10"/>
        <v>1.0917021750898408</v>
      </c>
      <c r="D198" s="36">
        <f t="shared" ca="1" si="12"/>
        <v>0.12663681156527851</v>
      </c>
      <c r="E198" s="32">
        <v>0.11619509895381963</v>
      </c>
      <c r="F198" s="35">
        <f t="shared" ca="1" si="11"/>
        <v>2.5789841670453839E-3</v>
      </c>
    </row>
    <row r="199" spans="1:6" x14ac:dyDescent="0.25">
      <c r="A199" s="23">
        <v>198</v>
      </c>
      <c r="B199" s="7" cm="1">
        <f t="array" aca="1" ref="B199" ca="1">interpolexp(A199,serie_du,Taxas_DI)</f>
        <v>0.11881365428640933</v>
      </c>
      <c r="C199" s="37">
        <f t="shared" ca="1" si="10"/>
        <v>1.0922188486572053</v>
      </c>
      <c r="D199" s="36">
        <f t="shared" ca="1" si="12"/>
        <v>0.12663653419940446</v>
      </c>
      <c r="E199" s="32">
        <v>0.11623429703391253</v>
      </c>
      <c r="F199" s="35">
        <f t="shared" ca="1" si="11"/>
        <v>2.5793572524968056E-3</v>
      </c>
    </row>
    <row r="200" spans="1:6" x14ac:dyDescent="0.25">
      <c r="A200" s="23">
        <v>199</v>
      </c>
      <c r="B200" s="7" cm="1">
        <f t="array" aca="1" ref="B200" ca="1">interpolexp(A200,serie_du,Taxas_DI)</f>
        <v>0.11885282776720185</v>
      </c>
      <c r="C200" s="37">
        <f t="shared" ca="1" si="10"/>
        <v>1.0927357657010413</v>
      </c>
      <c r="D200" s="36">
        <f t="shared" ca="1" si="12"/>
        <v>0.12663626103489034</v>
      </c>
      <c r="E200" s="32">
        <v>0.1162731011785878</v>
      </c>
      <c r="F200" s="35">
        <f t="shared" ca="1" si="11"/>
        <v>2.5797265886140508E-3</v>
      </c>
    </row>
    <row r="201" spans="1:6" x14ac:dyDescent="0.25">
      <c r="A201" s="23">
        <v>200</v>
      </c>
      <c r="B201" s="7" cm="1">
        <f t="array" aca="1" ref="B201" ca="1">interpolexp(A201,serie_du,Taxas_DI)</f>
        <v>0.11889160952829325</v>
      </c>
      <c r="C201" s="37">
        <f t="shared" ca="1" si="10"/>
        <v>1.0932529263514417</v>
      </c>
      <c r="D201" s="36">
        <f t="shared" ca="1" si="12"/>
        <v>0.12663599198848097</v>
      </c>
      <c r="E201" s="32">
        <v>0.11631151729663003</v>
      </c>
      <c r="F201" s="35">
        <f t="shared" ca="1" si="11"/>
        <v>2.5800922316632224E-3</v>
      </c>
    </row>
    <row r="202" spans="1:6" x14ac:dyDescent="0.25">
      <c r="A202" s="23">
        <v>201</v>
      </c>
      <c r="B202" s="7" cm="1">
        <f t="array" aca="1" ref="B202" ca="1">interpolexp(A202,serie_du,Taxas_DI)</f>
        <v>0.11893000541600696</v>
      </c>
      <c r="C202" s="37">
        <f t="shared" ca="1" si="10"/>
        <v>1.0937703307382474</v>
      </c>
      <c r="D202" s="36">
        <f t="shared" ca="1" si="12"/>
        <v>0.12663572697308978</v>
      </c>
      <c r="E202" s="32">
        <v>0.11634955117927337</v>
      </c>
      <c r="F202" s="35">
        <f t="shared" ca="1" si="11"/>
        <v>2.580454236733587E-3</v>
      </c>
    </row>
    <row r="203" spans="1:6" x14ac:dyDescent="0.25">
      <c r="A203" s="23">
        <v>202</v>
      </c>
      <c r="B203" s="7" cm="1">
        <f t="array" aca="1" ref="B203" ca="1">interpolexp(A203,serie_du,Taxas_DI)</f>
        <v>0.11896802116098115</v>
      </c>
      <c r="C203" s="37">
        <f t="shared" ca="1" si="10"/>
        <v>1.0942879789911342</v>
      </c>
      <c r="D203" s="36">
        <f t="shared" ca="1" si="12"/>
        <v>0.12663546592442554</v>
      </c>
      <c r="E203" s="32">
        <v>0.11638720850304374</v>
      </c>
      <c r="F203" s="35">
        <f t="shared" ca="1" si="11"/>
        <v>2.5808126579374147E-3</v>
      </c>
    </row>
    <row r="204" spans="1:6" x14ac:dyDescent="0.25">
      <c r="A204" s="23">
        <v>203</v>
      </c>
      <c r="B204" s="7" cm="1">
        <f t="array" aca="1" ref="B204" ca="1">interpolexp(A204,serie_du,Taxas_DI)</f>
        <v>0.11900566238076671</v>
      </c>
      <c r="C204" s="37">
        <f t="shared" ca="1" si="10"/>
        <v>1.0948058712394226</v>
      </c>
      <c r="D204" s="36">
        <f t="shared" ca="1" si="12"/>
        <v>0.12663520872890865</v>
      </c>
      <c r="E204" s="32">
        <v>0.11642449483266759</v>
      </c>
      <c r="F204" s="35">
        <f t="shared" ca="1" si="11"/>
        <v>2.581167548099117E-3</v>
      </c>
    </row>
    <row r="205" spans="1:6" x14ac:dyDescent="0.25">
      <c r="A205" s="23">
        <v>204</v>
      </c>
      <c r="B205" s="7" cm="1">
        <f t="array" aca="1" ref="B205" ca="1">interpolexp(A205,serie_du,Taxas_DI)</f>
        <v>0.1190429345829136</v>
      </c>
      <c r="C205" s="37">
        <f t="shared" ca="1" si="10"/>
        <v>1.0953240076123341</v>
      </c>
      <c r="D205" s="36">
        <f t="shared" ca="1" si="12"/>
        <v>0.12663495533975389</v>
      </c>
      <c r="E205" s="32">
        <v>0.11646141562369206</v>
      </c>
      <c r="F205" s="35">
        <f t="shared" ca="1" si="11"/>
        <v>2.5815189592215404E-3</v>
      </c>
    </row>
    <row r="206" spans="1:6" x14ac:dyDescent="0.25">
      <c r="A206" s="23">
        <v>205</v>
      </c>
      <c r="B206" s="7" cm="1">
        <f t="array" aca="1" ref="B206" ca="1">interpolexp(A206,serie_du,Taxas_DI)</f>
        <v>0.1190798431675244</v>
      </c>
      <c r="C206" s="37">
        <f t="shared" ca="1" si="10"/>
        <v>1.0958423882388939</v>
      </c>
      <c r="D206" s="36">
        <f t="shared" ca="1" si="12"/>
        <v>0.1266347056850825</v>
      </c>
      <c r="E206" s="32">
        <v>0.1164979762253493</v>
      </c>
      <c r="F206" s="35">
        <f t="shared" ca="1" si="11"/>
        <v>2.5818669421751039E-3</v>
      </c>
    </row>
    <row r="207" spans="1:6" x14ac:dyDescent="0.25">
      <c r="A207" s="23">
        <v>206</v>
      </c>
      <c r="B207" s="7" cm="1">
        <f t="array" aca="1" ref="B207" ca="1">interpolexp(A207,serie_du,Taxas_DI)</f>
        <v>0.11911639342976343</v>
      </c>
      <c r="C207" s="37">
        <f t="shared" ca="1" si="10"/>
        <v>1.096361013247859</v>
      </c>
      <c r="D207" s="36">
        <f t="shared" ca="1" si="12"/>
        <v>0.12663445967437159</v>
      </c>
      <c r="E207" s="32">
        <v>0.11653418188282139</v>
      </c>
      <c r="F207" s="35">
        <f t="shared" ca="1" si="11"/>
        <v>2.5822115469420481E-3</v>
      </c>
    </row>
    <row r="208" spans="1:6" x14ac:dyDescent="0.25">
      <c r="A208" s="23">
        <v>207</v>
      </c>
      <c r="B208" s="7" cm="1">
        <f t="array" aca="1" ref="B208" ca="1">interpolexp(A208,serie_du,Taxas_DI)</f>
        <v>0.11915259056252125</v>
      </c>
      <c r="C208" s="37">
        <f t="shared" ca="1" si="10"/>
        <v>1.0968798827678286</v>
      </c>
      <c r="D208" s="36">
        <f t="shared" ca="1" si="12"/>
        <v>0.1266342172462056</v>
      </c>
      <c r="E208" s="32">
        <v>0.11657003774009356</v>
      </c>
      <c r="F208" s="35">
        <f t="shared" ca="1" si="11"/>
        <v>2.5825528224276972E-3</v>
      </c>
    </row>
    <row r="209" spans="1:6" x14ac:dyDescent="0.25">
      <c r="A209" s="23">
        <v>208</v>
      </c>
      <c r="B209" s="7" cm="1">
        <f t="array" aca="1" ref="B209" ca="1">interpolexp(A209,serie_du,Taxas_DI)</f>
        <v>0.11918843965881276</v>
      </c>
      <c r="C209" s="37">
        <f t="shared" ca="1" si="10"/>
        <v>1.0973989969272016</v>
      </c>
      <c r="D209" s="36">
        <f t="shared" ca="1" si="12"/>
        <v>0.12663397832791401</v>
      </c>
      <c r="E209" s="32">
        <v>0.1165921521581792</v>
      </c>
      <c r="F209" s="35">
        <f t="shared" ca="1" si="11"/>
        <v>2.5962875006335651E-3</v>
      </c>
    </row>
    <row r="210" spans="1:6" x14ac:dyDescent="0.25">
      <c r="A210" s="23">
        <v>209</v>
      </c>
      <c r="B210" s="7" cm="1">
        <f t="array" aca="1" ref="B210" ca="1">interpolexp(A210,serie_du,Taxas_DI)</f>
        <v>0.11922394571421968</v>
      </c>
      <c r="C210" s="37">
        <f t="shared" ca="1" si="10"/>
        <v>1.0979183558542249</v>
      </c>
      <c r="D210" s="36">
        <f t="shared" ca="1" si="12"/>
        <v>0.12663374285974749</v>
      </c>
      <c r="E210" s="32">
        <v>0.11661405495981825</v>
      </c>
      <c r="F210" s="35">
        <f t="shared" ca="1" si="11"/>
        <v>2.6098907544014338E-3</v>
      </c>
    </row>
    <row r="211" spans="1:6" x14ac:dyDescent="0.25">
      <c r="A211" s="23">
        <v>210</v>
      </c>
      <c r="B211" s="7" cm="1">
        <f t="array" aca="1" ref="B211" ca="1">interpolexp(A211,serie_du,Taxas_DI)</f>
        <v>0.11925911362913322</v>
      </c>
      <c r="C211" s="37">
        <f t="shared" ca="1" si="10"/>
        <v>1.0984379596769374</v>
      </c>
      <c r="D211" s="36">
        <f t="shared" ca="1" si="12"/>
        <v>0.12663351076736373</v>
      </c>
      <c r="E211" s="32">
        <v>0.11663574916815911</v>
      </c>
      <c r="F211" s="35">
        <f t="shared" ca="1" si="11"/>
        <v>2.6233644609741091E-3</v>
      </c>
    </row>
    <row r="212" spans="1:6" x14ac:dyDescent="0.25">
      <c r="A212" s="23">
        <v>211</v>
      </c>
      <c r="B212" s="7" cm="1">
        <f t="array" aca="1" ref="B212" ca="1">interpolexp(A212,serie_du,Taxas_DI)</f>
        <v>0.11929394821101891</v>
      </c>
      <c r="C212" s="37">
        <f t="shared" ca="1" si="10"/>
        <v>1.0989578085231819</v>
      </c>
      <c r="D212" s="36">
        <f t="shared" ca="1" si="12"/>
        <v>0.1266332819800351</v>
      </c>
      <c r="E212" s="32">
        <v>0.11665723774876291</v>
      </c>
      <c r="F212" s="35">
        <f t="shared" ca="1" si="11"/>
        <v>2.6367104622559978E-3</v>
      </c>
    </row>
    <row r="213" spans="1:6" x14ac:dyDescent="0.25">
      <c r="A213" s="23">
        <v>212</v>
      </c>
      <c r="B213" s="7" cm="1">
        <f t="array" aca="1" ref="B213" ca="1">interpolexp(A213,serie_du,Taxas_DI)</f>
        <v>0.11932845417674809</v>
      </c>
      <c r="C213" s="37">
        <f t="shared" ca="1" si="10"/>
        <v>1.0994779025207271</v>
      </c>
      <c r="D213" s="36">
        <f t="shared" ca="1" si="12"/>
        <v>0.12663305645834666</v>
      </c>
      <c r="E213" s="32">
        <v>0.11667852361145759</v>
      </c>
      <c r="F213" s="35">
        <f t="shared" ca="1" si="11"/>
        <v>2.6499305652905036E-3</v>
      </c>
    </row>
    <row r="214" spans="1:6" x14ac:dyDescent="0.25">
      <c r="A214" s="23">
        <v>213</v>
      </c>
      <c r="B214" s="7" cm="1">
        <f t="array" aca="1" ref="B214" ca="1">interpolexp(A214,serie_du,Taxas_DI)</f>
        <v>0.11936263615455189</v>
      </c>
      <c r="C214" s="37">
        <f t="shared" ca="1" si="10"/>
        <v>1.0999982417971279</v>
      </c>
      <c r="D214" s="36">
        <f t="shared" ca="1" si="12"/>
        <v>0.12663283412703752</v>
      </c>
      <c r="E214" s="32">
        <v>0.11669960961138148</v>
      </c>
      <c r="F214" s="35">
        <f t="shared" ca="1" si="11"/>
        <v>2.6630265431704103E-3</v>
      </c>
    </row>
    <row r="215" spans="1:6" x14ac:dyDescent="0.25">
      <c r="A215" s="23">
        <v>214</v>
      </c>
      <c r="B215" s="7" cm="1">
        <f t="array" aca="1" ref="B215" ca="1">interpolexp(A215,serie_du,Taxas_DI)</f>
        <v>0.11939649868610847</v>
      </c>
      <c r="C215" s="37">
        <f t="shared" ca="1" si="10"/>
        <v>1.1005188264797461</v>
      </c>
      <c r="D215" s="36">
        <f t="shared" ca="1" si="12"/>
        <v>0.12663261491628708</v>
      </c>
      <c r="E215" s="32">
        <v>0.11672049855027122</v>
      </c>
      <c r="F215" s="35">
        <f t="shared" ca="1" si="11"/>
        <v>2.6760001358372421E-3</v>
      </c>
    </row>
    <row r="216" spans="1:6" x14ac:dyDescent="0.25">
      <c r="A216" s="23">
        <v>215</v>
      </c>
      <c r="B216" s="7" cm="1">
        <f t="array" aca="1" ref="B216" ca="1">interpolexp(A216,serie_du,Taxas_DI)</f>
        <v>0.11943004622865261</v>
      </c>
      <c r="C216" s="37">
        <f t="shared" ca="1" si="10"/>
        <v>1.1010396566958351</v>
      </c>
      <c r="D216" s="36">
        <f t="shared" ca="1" si="12"/>
        <v>0.12663239877847343</v>
      </c>
      <c r="E216" s="32">
        <v>0.11674119317774956</v>
      </c>
      <c r="F216" s="35">
        <f t="shared" ca="1" si="11"/>
        <v>2.6888530509030506E-3</v>
      </c>
    </row>
    <row r="217" spans="1:6" x14ac:dyDescent="0.25">
      <c r="A217" s="23">
        <v>216</v>
      </c>
      <c r="B217" s="7" cm="1">
        <f t="array" aca="1" ref="B217" ca="1">interpolexp(A217,serie_du,Taxas_DI)</f>
        <v>0.1194607405019088</v>
      </c>
      <c r="C217" s="37">
        <f t="shared" ca="1" si="10"/>
        <v>1.101558588007052</v>
      </c>
      <c r="D217" s="36">
        <f t="shared" ca="1" si="12"/>
        <v>0.12607959002461921</v>
      </c>
      <c r="E217" s="32">
        <v>0.11676169619250221</v>
      </c>
      <c r="F217" s="35">
        <f t="shared" ca="1" si="11"/>
        <v>2.6990443094065952E-3</v>
      </c>
    </row>
    <row r="218" spans="1:6" x14ac:dyDescent="0.25">
      <c r="A218" s="23">
        <v>217</v>
      </c>
      <c r="B218" s="7" cm="1">
        <f t="array" aca="1" ref="B218" ca="1">interpolexp(A218,serie_du,Taxas_DI)</f>
        <v>0.11949115188787385</v>
      </c>
      <c r="C218" s="37">
        <f t="shared" ca="1" si="10"/>
        <v>1.1020777632001368</v>
      </c>
      <c r="D218" s="36">
        <f t="shared" ca="1" si="12"/>
        <v>0.12607941086568553</v>
      </c>
      <c r="E218" s="32">
        <v>0.11678201024352131</v>
      </c>
      <c r="F218" s="35">
        <f t="shared" ca="1" si="11"/>
        <v>2.7091416443525418E-3</v>
      </c>
    </row>
    <row r="219" spans="1:6" x14ac:dyDescent="0.25">
      <c r="A219" s="23">
        <v>218</v>
      </c>
      <c r="B219" s="7" cm="1">
        <f t="array" aca="1" ref="B219" ca="1">interpolexp(A219,serie_du,Taxas_DI)</f>
        <v>0.11952128427945574</v>
      </c>
      <c r="C219" s="37">
        <f t="shared" ca="1" si="10"/>
        <v>1.102597182399071</v>
      </c>
      <c r="D219" s="36">
        <f t="shared" ca="1" si="12"/>
        <v>0.1260792342014434</v>
      </c>
      <c r="E219" s="32">
        <v>0.11680213793117122</v>
      </c>
      <c r="F219" s="35">
        <f t="shared" ca="1" si="11"/>
        <v>2.719146348284518E-3</v>
      </c>
    </row>
    <row r="220" spans="1:6" x14ac:dyDescent="0.25">
      <c r="A220" s="23">
        <v>219</v>
      </c>
      <c r="B220" s="7" cm="1">
        <f t="array" aca="1" ref="B220" ca="1">interpolexp(A220,serie_du,Taxas_DI)</f>
        <v>0.11955114149828638</v>
      </c>
      <c r="C220" s="37">
        <f t="shared" ca="1" si="10"/>
        <v>1.1031168457275817</v>
      </c>
      <c r="D220" s="36">
        <f t="shared" ca="1" si="12"/>
        <v>0.12607905994816604</v>
      </c>
      <c r="E220" s="32">
        <v>0.11682208180829878</v>
      </c>
      <c r="F220" s="35">
        <f t="shared" ca="1" si="11"/>
        <v>2.7290596899876007E-3</v>
      </c>
    </row>
    <row r="221" spans="1:6" x14ac:dyDescent="0.25">
      <c r="A221" s="23">
        <v>220</v>
      </c>
      <c r="B221" s="7" cm="1">
        <f t="array" aca="1" ref="B221" ca="1">interpolexp(A221,serie_du,Taxas_DI)</f>
        <v>0.11958072729667535</v>
      </c>
      <c r="C221" s="37">
        <f t="shared" ca="1" si="10"/>
        <v>1.103636753309432</v>
      </c>
      <c r="D221" s="36">
        <f t="shared" ca="1" si="12"/>
        <v>0.12607888809675938</v>
      </c>
      <c r="E221" s="32">
        <v>0.11684184438138789</v>
      </c>
      <c r="F221" s="35">
        <f t="shared" ca="1" si="11"/>
        <v>2.738882915287455E-3</v>
      </c>
    </row>
    <row r="222" spans="1:6" x14ac:dyDescent="0.25">
      <c r="A222" s="23">
        <v>221</v>
      </c>
      <c r="B222" s="7" cm="1">
        <f t="array" aca="1" ref="B222" ca="1">interpolexp(A222,serie_du,Taxas_DI)</f>
        <v>0.11961004535885333</v>
      </c>
      <c r="C222" s="37">
        <f t="shared" ca="1" si="10"/>
        <v>1.1041569052681444</v>
      </c>
      <c r="D222" s="36">
        <f t="shared" ca="1" si="12"/>
        <v>0.12607871856706709</v>
      </c>
      <c r="E222" s="32">
        <v>0.11686142811151434</v>
      </c>
      <c r="F222" s="35">
        <f t="shared" ca="1" si="11"/>
        <v>2.7486172473389914E-3</v>
      </c>
    </row>
    <row r="223" spans="1:6" x14ac:dyDescent="0.25">
      <c r="A223" s="23">
        <v>222</v>
      </c>
      <c r="B223" s="7" cm="1">
        <f t="array" aca="1" ref="B223" ca="1">interpolexp(A223,serie_du,Taxas_DI)</f>
        <v>0.11963909930285954</v>
      </c>
      <c r="C223" s="37">
        <f t="shared" ca="1" si="10"/>
        <v>1.1046773017273102</v>
      </c>
      <c r="D223" s="36">
        <f t="shared" ca="1" si="12"/>
        <v>0.12607855135866441</v>
      </c>
      <c r="E223" s="32">
        <v>0.11688083541538941</v>
      </c>
      <c r="F223" s="35">
        <f t="shared" ca="1" si="11"/>
        <v>2.758263887470136E-3</v>
      </c>
    </row>
    <row r="224" spans="1:6" x14ac:dyDescent="0.25">
      <c r="A224" s="23">
        <v>223</v>
      </c>
      <c r="B224" s="7" cm="1">
        <f t="array" aca="1" ref="B224" ca="1">interpolexp(A224,serie_du,Taxas_DI)</f>
        <v>0.11966789268169631</v>
      </c>
      <c r="C224" s="37">
        <f t="shared" ca="1" si="10"/>
        <v>1.1051979428103076</v>
      </c>
      <c r="D224" s="36">
        <f t="shared" ca="1" si="12"/>
        <v>0.12607838639880775</v>
      </c>
      <c r="E224" s="32">
        <v>0.11690006866647007</v>
      </c>
      <c r="F224" s="35">
        <f t="shared" ca="1" si="11"/>
        <v>2.767824015226239E-3</v>
      </c>
    </row>
    <row r="225" spans="1:6" x14ac:dyDescent="0.25">
      <c r="A225" s="23">
        <v>224</v>
      </c>
      <c r="B225" s="7" cm="1">
        <f t="array" aca="1" ref="B225" ca="1">interpolexp(A225,serie_du,Taxas_DI)</f>
        <v>0.11969642898495003</v>
      </c>
      <c r="C225" s="37">
        <f t="shared" ca="1" si="10"/>
        <v>1.1057188286404516</v>
      </c>
      <c r="D225" s="36">
        <f t="shared" ca="1" si="12"/>
        <v>0.12607822365310373</v>
      </c>
      <c r="E225" s="32">
        <v>0.11691913019573619</v>
      </c>
      <c r="F225" s="35">
        <f t="shared" ca="1" si="11"/>
        <v>2.7772987892138445E-3</v>
      </c>
    </row>
    <row r="226" spans="1:6" x14ac:dyDescent="0.25">
      <c r="A226" s="23">
        <v>225</v>
      </c>
      <c r="B226" s="7" cm="1">
        <f t="array" aca="1" ref="B226" ca="1">interpolexp(A226,serie_du,Taxas_DI)</f>
        <v>0.11972471164019005</v>
      </c>
      <c r="C226" s="37">
        <f t="shared" ca="1" si="10"/>
        <v>1.1062399593409891</v>
      </c>
      <c r="D226" s="36">
        <f t="shared" ca="1" si="12"/>
        <v>0.1260780630863183</v>
      </c>
      <c r="E226" s="32">
        <v>0.11693802229275629</v>
      </c>
      <c r="F226" s="35">
        <f t="shared" ca="1" si="11"/>
        <v>2.7866893474337573E-3</v>
      </c>
    </row>
    <row r="227" spans="1:6" x14ac:dyDescent="0.25">
      <c r="A227" s="23">
        <v>226</v>
      </c>
      <c r="B227" s="7" cm="1">
        <f t="array" aca="1" ref="B227" ca="1">interpolexp(A227,serie_du,Taxas_DI)</f>
        <v>0.11975274401434532</v>
      </c>
      <c r="C227" s="37">
        <f t="shared" ca="1" si="10"/>
        <v>1.1067613350351058</v>
      </c>
      <c r="D227" s="36">
        <f t="shared" ca="1" si="12"/>
        <v>0.12607790466483926</v>
      </c>
      <c r="E227" s="32">
        <v>0.11695674720662019</v>
      </c>
      <c r="F227" s="35">
        <f t="shared" ca="1" si="11"/>
        <v>2.7959968077251318E-3</v>
      </c>
    </row>
    <row r="228" spans="1:6" x14ac:dyDescent="0.25">
      <c r="A228" s="23">
        <v>227</v>
      </c>
      <c r="B228" s="7" cm="1">
        <f t="array" aca="1" ref="B228" ca="1">interpolexp(A228,serie_du,Taxas_DI)</f>
        <v>0.11978052941494788</v>
      </c>
      <c r="C228" s="37">
        <f t="shared" ca="1" si="10"/>
        <v>1.1072829558458468</v>
      </c>
      <c r="D228" s="36">
        <f t="shared" ca="1" si="12"/>
        <v>0.12607774833474572</v>
      </c>
      <c r="E228" s="32">
        <v>0.11697530714669391</v>
      </c>
      <c r="F228" s="35">
        <f t="shared" ca="1" si="11"/>
        <v>2.8052222682539707E-3</v>
      </c>
    </row>
    <row r="229" spans="1:6" x14ac:dyDescent="0.25">
      <c r="A229" s="23">
        <v>228</v>
      </c>
      <c r="B229" s="7" cm="1">
        <f t="array" aca="1" ref="B229" ca="1">interpolexp(A229,serie_du,Taxas_DI)</f>
        <v>0.1198080710916205</v>
      </c>
      <c r="C229" s="37">
        <f t="shared" ca="1" si="10"/>
        <v>1.1078048218962862</v>
      </c>
      <c r="D229" s="36">
        <f t="shared" ca="1" si="12"/>
        <v>0.1260775940858947</v>
      </c>
      <c r="E229" s="32">
        <v>0.11699370428366329</v>
      </c>
      <c r="F229" s="35">
        <f t="shared" ca="1" si="11"/>
        <v>2.8143668079572137E-3</v>
      </c>
    </row>
    <row r="230" spans="1:6" x14ac:dyDescent="0.25">
      <c r="A230" s="23">
        <v>229</v>
      </c>
      <c r="B230" s="7" cm="1">
        <f t="array" aca="1" ref="B230" ca="1">interpolexp(A230,serie_du,Taxas_DI)</f>
        <v>0.11983537223707597</v>
      </c>
      <c r="C230" s="37">
        <f t="shared" ca="1" si="10"/>
        <v>1.1083269333092902</v>
      </c>
      <c r="D230" s="36">
        <f t="shared" ca="1" si="12"/>
        <v>0.12607744184730874</v>
      </c>
      <c r="E230" s="32">
        <v>0.11701194075031118</v>
      </c>
      <c r="F230" s="35">
        <f t="shared" ca="1" si="11"/>
        <v>2.8234314867647825E-3</v>
      </c>
    </row>
    <row r="231" spans="1:6" x14ac:dyDescent="0.25">
      <c r="A231" s="23">
        <v>230</v>
      </c>
      <c r="B231" s="7" cm="1">
        <f t="array" aca="1" ref="B231" ca="1">interpolexp(A231,serie_du,Taxas_DI)</f>
        <v>0.11986243598862689</v>
      </c>
      <c r="C231" s="37">
        <f t="shared" ca="1" si="10"/>
        <v>1.1088492902077678</v>
      </c>
      <c r="D231" s="36">
        <f t="shared" ca="1" si="12"/>
        <v>0.12607729161235826</v>
      </c>
      <c r="E231" s="32">
        <v>0.11703001864227236</v>
      </c>
      <c r="F231" s="35">
        <f t="shared" ca="1" si="11"/>
        <v>2.8324173463545321E-3</v>
      </c>
    </row>
    <row r="232" spans="1:6" x14ac:dyDescent="0.25">
      <c r="A232" s="23">
        <v>231</v>
      </c>
      <c r="B232" s="7" cm="1">
        <f t="array" aca="1" ref="B232" ca="1">interpolexp(A232,serie_du,Taxas_DI)</f>
        <v>0.11988926542920719</v>
      </c>
      <c r="C232" s="37">
        <f t="shared" ca="1" si="10"/>
        <v>1.1093718927145113</v>
      </c>
      <c r="D232" s="36">
        <f t="shared" ca="1" si="12"/>
        <v>0.1260771433336676</v>
      </c>
      <c r="E232" s="32">
        <v>0.1170542052569834</v>
      </c>
      <c r="F232" s="35">
        <f t="shared" ca="1" si="11"/>
        <v>2.8350601722237911E-3</v>
      </c>
    </row>
    <row r="233" spans="1:6" x14ac:dyDescent="0.25">
      <c r="A233" s="23">
        <v>232</v>
      </c>
      <c r="B233" s="7" cm="1">
        <f t="array" aca="1" ref="B233" ca="1">interpolexp(A233,serie_du,Taxas_DI)</f>
        <v>0.1199158635885933</v>
      </c>
      <c r="C233" s="37">
        <f t="shared" ca="1" si="10"/>
        <v>1.1098947409522439</v>
      </c>
      <c r="D233" s="36">
        <f t="shared" ca="1" si="12"/>
        <v>0.12607699697612751</v>
      </c>
      <c r="E233" s="32">
        <v>0.11707818337214349</v>
      </c>
      <c r="F233" s="35">
        <f t="shared" ca="1" si="11"/>
        <v>2.8376802164498116E-3</v>
      </c>
    </row>
    <row r="234" spans="1:6" x14ac:dyDescent="0.25">
      <c r="A234" s="23">
        <v>233</v>
      </c>
      <c r="B234" s="7" cm="1">
        <f t="array" aca="1" ref="B234" ca="1">interpolexp(A234,serie_du,Taxas_DI)</f>
        <v>0.11994223344458099</v>
      </c>
      <c r="C234" s="37">
        <f t="shared" ca="1" si="10"/>
        <v>1.110417835043656</v>
      </c>
      <c r="D234" s="36">
        <f t="shared" ca="1" si="12"/>
        <v>0.12607685251393641</v>
      </c>
      <c r="E234" s="32">
        <v>0.11710195567222748</v>
      </c>
      <c r="F234" s="35">
        <f t="shared" ca="1" si="11"/>
        <v>2.8402777723535166E-3</v>
      </c>
    </row>
    <row r="235" spans="1:6" x14ac:dyDescent="0.25">
      <c r="A235" s="23">
        <v>234</v>
      </c>
      <c r="B235" s="7" cm="1">
        <f t="array" aca="1" ref="B235" ca="1">interpolexp(A235,serie_du,Taxas_DI)</f>
        <v>0.11996837792405124</v>
      </c>
      <c r="C235" s="37">
        <f t="shared" ca="1" si="10"/>
        <v>1.1109411751113658</v>
      </c>
      <c r="D235" s="36">
        <f t="shared" ca="1" si="12"/>
        <v>0.12607670991130981</v>
      </c>
      <c r="E235" s="32">
        <v>0.11712552479585803</v>
      </c>
      <c r="F235" s="35">
        <f t="shared" ca="1" si="11"/>
        <v>2.8428531281932123E-3</v>
      </c>
    </row>
    <row r="236" spans="1:6" x14ac:dyDescent="0.25">
      <c r="A236" s="23">
        <v>235</v>
      </c>
      <c r="B236" s="7" cm="1">
        <f t="array" aca="1" ref="B236" ca="1">interpolexp(A236,serie_du,Taxas_DI)</f>
        <v>0.11999429990403598</v>
      </c>
      <c r="C236" s="37">
        <f t="shared" ca="1" si="10"/>
        <v>1.1114647612779061</v>
      </c>
      <c r="D236" s="36">
        <f t="shared" ca="1" si="12"/>
        <v>0.1260765691291259</v>
      </c>
      <c r="E236" s="32">
        <v>0.11714889333667156</v>
      </c>
      <c r="F236" s="35">
        <f t="shared" ca="1" si="11"/>
        <v>2.845406567364428E-3</v>
      </c>
    </row>
    <row r="237" spans="1:6" x14ac:dyDescent="0.25">
      <c r="A237" s="23">
        <v>236</v>
      </c>
      <c r="B237" s="7" cm="1">
        <f t="array" aca="1" ref="B237" ca="1">interpolexp(A237,serie_du,Taxas_DI)</f>
        <v>0.12002000221285059</v>
      </c>
      <c r="C237" s="37">
        <f t="shared" ca="1" si="10"/>
        <v>1.1119885936657972</v>
      </c>
      <c r="D237" s="36">
        <f t="shared" ca="1" si="12"/>
        <v>0.12607643014697967</v>
      </c>
      <c r="E237" s="32">
        <v>0.11717206384440626</v>
      </c>
      <c r="F237" s="35">
        <f t="shared" ca="1" si="11"/>
        <v>2.8479383684443249E-3</v>
      </c>
    </row>
    <row r="238" spans="1:6" x14ac:dyDescent="0.25">
      <c r="A238" s="23">
        <v>237</v>
      </c>
      <c r="B238" s="7" cm="1">
        <f t="array" aca="1" ref="B238" ca="1">interpolexp(A238,serie_du,Taxas_DI)</f>
        <v>0.12005117690565559</v>
      </c>
      <c r="C238" s="37">
        <f t="shared" ca="1" si="10"/>
        <v>1.1125179870385853</v>
      </c>
      <c r="D238" s="36">
        <f t="shared" ca="1" si="12"/>
        <v>0.12743272400365879</v>
      </c>
      <c r="E238" s="32">
        <v>0.11719503882570148</v>
      </c>
      <c r="F238" s="35">
        <f t="shared" ca="1" si="11"/>
        <v>2.856138079954107E-3</v>
      </c>
    </row>
    <row r="239" spans="1:6" x14ac:dyDescent="0.25">
      <c r="A239" s="23">
        <v>238</v>
      </c>
      <c r="B239" s="7" cm="1">
        <f t="array" aca="1" ref="B239" ca="1">interpolexp(A239,serie_du,Taxas_DI)</f>
        <v>0.12008208963578682</v>
      </c>
      <c r="C239" s="37">
        <f t="shared" ca="1" si="10"/>
        <v>1.1130476316487636</v>
      </c>
      <c r="D239" s="36">
        <f t="shared" ca="1" si="12"/>
        <v>0.12743252102859426</v>
      </c>
      <c r="E239" s="32">
        <v>0.11721782074514131</v>
      </c>
      <c r="F239" s="35">
        <f t="shared" ca="1" si="11"/>
        <v>2.8642688906455049E-3</v>
      </c>
    </row>
    <row r="240" spans="1:6" x14ac:dyDescent="0.25">
      <c r="A240" s="23">
        <v>239</v>
      </c>
      <c r="B240" s="7" cm="1">
        <f t="array" aca="1" ref="B240" ca="1">interpolexp(A240,serie_du,Taxas_DI)</f>
        <v>0.12011274369145841</v>
      </c>
      <c r="C240" s="37">
        <f t="shared" ca="1" si="10"/>
        <v>1.1135775276253062</v>
      </c>
      <c r="D240" s="36">
        <f t="shared" ca="1" si="12"/>
        <v>0.12743232063609922</v>
      </c>
      <c r="E240" s="32">
        <v>0.11724041202600954</v>
      </c>
      <c r="F240" s="35">
        <f t="shared" ca="1" si="11"/>
        <v>2.8723316654488684E-3</v>
      </c>
    </row>
    <row r="241" spans="1:6" x14ac:dyDescent="0.25">
      <c r="A241" s="23">
        <v>240</v>
      </c>
      <c r="B241" s="7" cm="1">
        <f t="array" aca="1" ref="B241" ca="1">interpolexp(A241,serie_du,Taxas_DI)</f>
        <v>0.12014314230592849</v>
      </c>
      <c r="C241" s="37">
        <f t="shared" ca="1" si="10"/>
        <v>1.1141076750969481</v>
      </c>
      <c r="D241" s="36">
        <f t="shared" ca="1" si="12"/>
        <v>0.12743212274621252</v>
      </c>
      <c r="E241" s="32">
        <v>0.11726281505126668</v>
      </c>
      <c r="F241" s="35">
        <f t="shared" ca="1" si="11"/>
        <v>2.8803272546618075E-3</v>
      </c>
    </row>
    <row r="242" spans="1:6" x14ac:dyDescent="0.25">
      <c r="A242" s="23">
        <v>241</v>
      </c>
      <c r="B242" s="7" cm="1">
        <f t="array" aca="1" ref="B242" ca="1">interpolexp(A242,serie_du,Taxas_DI)</f>
        <v>0.12017328865885357</v>
      </c>
      <c r="C242" s="37">
        <f t="shared" ca="1" si="10"/>
        <v>1.114638074192392</v>
      </c>
      <c r="D242" s="36">
        <f t="shared" ca="1" si="12"/>
        <v>0.12743192733148989</v>
      </c>
      <c r="E242" s="32">
        <v>0.11728503216421604</v>
      </c>
      <c r="F242" s="35">
        <f t="shared" ca="1" si="11"/>
        <v>2.8882564946375311E-3</v>
      </c>
    </row>
    <row r="243" spans="1:6" x14ac:dyDescent="0.25">
      <c r="A243" s="23">
        <v>242</v>
      </c>
      <c r="B243" s="7" cm="1">
        <f t="array" aca="1" ref="B243" ca="1">interpolexp(A243,serie_du,Taxas_DI)</f>
        <v>0.12020318587731005</v>
      </c>
      <c r="C243" s="37">
        <f t="shared" ca="1" si="10"/>
        <v>1.1151687250402298</v>
      </c>
      <c r="D243" s="36">
        <f t="shared" ca="1" si="12"/>
        <v>0.12743173434466715</v>
      </c>
      <c r="E243" s="32">
        <v>0.11730706566954741</v>
      </c>
      <c r="F243" s="35">
        <f t="shared" ca="1" si="11"/>
        <v>2.8961202077626425E-3</v>
      </c>
    </row>
    <row r="244" spans="1:6" x14ac:dyDescent="0.25">
      <c r="A244" s="23">
        <v>243</v>
      </c>
      <c r="B244" s="7" cm="1">
        <f t="array" aca="1" ref="B244" ca="1">interpolexp(A244,serie_du,Taxas_DI)</f>
        <v>0.12023283703692655</v>
      </c>
      <c r="C244" s="37">
        <f t="shared" ca="1" si="10"/>
        <v>1.1156996277689935</v>
      </c>
      <c r="D244" s="36">
        <f t="shared" ca="1" si="12"/>
        <v>0.12743154375172638</v>
      </c>
      <c r="E244" s="32">
        <v>0.11732891783398092</v>
      </c>
      <c r="F244" s="35">
        <f t="shared" ca="1" si="11"/>
        <v>2.9039192029456373E-3</v>
      </c>
    </row>
    <row r="245" spans="1:6" x14ac:dyDescent="0.25">
      <c r="A245" s="23">
        <v>244</v>
      </c>
      <c r="B245" s="7" cm="1">
        <f t="array" aca="1" ref="B245" ca="1">interpolexp(A245,serie_du,Taxas_DI)</f>
        <v>0.12026224516297201</v>
      </c>
      <c r="C245" s="37">
        <f t="shared" ca="1" si="10"/>
        <v>1.1162307825071907</v>
      </c>
      <c r="D245" s="36">
        <f t="shared" ca="1" si="12"/>
        <v>0.12743135552740603</v>
      </c>
      <c r="E245" s="32">
        <v>0.11735059088699984</v>
      </c>
      <c r="F245" s="35">
        <f t="shared" ca="1" si="11"/>
        <v>2.9116542759721753E-3</v>
      </c>
    </row>
    <row r="246" spans="1:6" x14ac:dyDescent="0.25">
      <c r="A246" s="23">
        <v>245</v>
      </c>
      <c r="B246" s="7" cm="1">
        <f t="array" aca="1" ref="B246" ca="1">interpolexp(A246,serie_du,Taxas_DI)</f>
        <v>0.12029141323119941</v>
      </c>
      <c r="C246" s="37">
        <f t="shared" ca="1" si="10"/>
        <v>1.1167621893831303</v>
      </c>
      <c r="D246" s="36">
        <f t="shared" ca="1" si="12"/>
        <v>0.12743116960248702</v>
      </c>
      <c r="E246" s="32">
        <v>0.11737208702176094</v>
      </c>
      <c r="F246" s="35">
        <f t="shared" ca="1" si="11"/>
        <v>2.9193262094384664E-3</v>
      </c>
    </row>
    <row r="247" spans="1:6" x14ac:dyDescent="0.25">
      <c r="A247" s="23">
        <v>246</v>
      </c>
      <c r="B247" s="7" cm="1">
        <f t="array" aca="1" ref="B247" ca="1">interpolexp(A247,serie_du,Taxas_DI)</f>
        <v>0.12032034416906701</v>
      </c>
      <c r="C247" s="37">
        <f t="shared" ca="1" si="10"/>
        <v>1.1172938485251329</v>
      </c>
      <c r="D247" s="36">
        <f t="shared" ca="1" si="12"/>
        <v>0.12743098596114244</v>
      </c>
      <c r="E247" s="32">
        <v>0.11739340839576062</v>
      </c>
      <c r="F247" s="35">
        <f t="shared" ca="1" si="11"/>
        <v>2.9269357733063828E-3</v>
      </c>
    </row>
    <row r="248" spans="1:6" x14ac:dyDescent="0.25">
      <c r="A248" s="23">
        <v>247</v>
      </c>
      <c r="B248" s="7" cm="1">
        <f t="array" aca="1" ref="B248" ca="1">interpolexp(A248,serie_du,Taxas_DI)</f>
        <v>0.12034904085653775</v>
      </c>
      <c r="C248" s="37">
        <f t="shared" ca="1" si="10"/>
        <v>1.1178257600613606</v>
      </c>
      <c r="D248" s="36">
        <f t="shared" ca="1" si="12"/>
        <v>0.12743080454451028</v>
      </c>
      <c r="E248" s="32">
        <v>0.11741455713154547</v>
      </c>
      <c r="F248" s="35">
        <f t="shared" ca="1" si="11"/>
        <v>2.9344837249922762E-3</v>
      </c>
    </row>
    <row r="249" spans="1:6" x14ac:dyDescent="0.25">
      <c r="A249" s="23">
        <v>248</v>
      </c>
      <c r="B249" s="7" cm="1">
        <f t="array" aca="1" ref="B249" ca="1">interpolexp(A249,serie_du,Taxas_DI)</f>
        <v>0.12037750612727827</v>
      </c>
      <c r="C249" s="37">
        <f t="shared" ca="1" si="10"/>
        <v>1.1183579241200554</v>
      </c>
      <c r="D249" s="36">
        <f t="shared" ca="1" si="12"/>
        <v>0.12743062535431204</v>
      </c>
      <c r="E249" s="32">
        <v>0.11743553531740059</v>
      </c>
      <c r="F249" s="35">
        <f t="shared" ca="1" si="11"/>
        <v>2.9419708098776809E-3</v>
      </c>
    </row>
    <row r="250" spans="1:6" x14ac:dyDescent="0.25">
      <c r="A250" s="23">
        <v>249</v>
      </c>
      <c r="B250" s="7" cm="1">
        <f t="array" aca="1" ref="B250" ca="1">interpolexp(A250,serie_du,Taxas_DI)</f>
        <v>0.12040574276930283</v>
      </c>
      <c r="C250" s="37">
        <f t="shared" ca="1" si="10"/>
        <v>1.1188903408292616</v>
      </c>
      <c r="D250" s="36">
        <f t="shared" ca="1" si="12"/>
        <v>0.12743044832178807</v>
      </c>
      <c r="E250" s="32">
        <v>0.11745634500814894</v>
      </c>
      <c r="F250" s="35">
        <f t="shared" ca="1" si="11"/>
        <v>2.9493977611538824E-3</v>
      </c>
    </row>
    <row r="251" spans="1:6" x14ac:dyDescent="0.25">
      <c r="A251" s="23">
        <v>250</v>
      </c>
      <c r="B251" s="7" cm="1">
        <f t="array" aca="1" ref="B251" ca="1">interpolexp(A251,serie_du,Taxas_DI)</f>
        <v>0.12043375352603913</v>
      </c>
      <c r="C251" s="37">
        <f t="shared" ca="1" si="10"/>
        <v>1.1194230103169784</v>
      </c>
      <c r="D251" s="36">
        <f t="shared" ca="1" si="12"/>
        <v>0.12743027341702917</v>
      </c>
      <c r="E251" s="32">
        <v>0.1174769882256399</v>
      </c>
      <c r="F251" s="35">
        <f t="shared" ca="1" si="11"/>
        <v>2.9567653003992334E-3</v>
      </c>
    </row>
    <row r="252" spans="1:6" x14ac:dyDescent="0.25">
      <c r="A252" s="23">
        <v>251</v>
      </c>
      <c r="B252" s="7" cm="1">
        <f t="array" aca="1" ref="B252" ca="1">interpolexp(A252,serie_du,Taxas_DI)</f>
        <v>0.12046154109723872</v>
      </c>
      <c r="C252" s="37">
        <f t="shared" ca="1" si="10"/>
        <v>1.119955932711185</v>
      </c>
      <c r="D252" s="36">
        <f t="shared" ca="1" si="12"/>
        <v>0.12743010061654192</v>
      </c>
      <c r="E252" s="32">
        <v>0.11749746695954855</v>
      </c>
      <c r="F252" s="35">
        <f t="shared" ca="1" si="11"/>
        <v>2.9640741376901758E-3</v>
      </c>
    </row>
    <row r="253" spans="1:6" x14ac:dyDescent="0.25">
      <c r="A253" s="23">
        <v>252</v>
      </c>
      <c r="B253" s="7" cm="1">
        <f t="array" aca="1" ref="B253" ca="1">interpolexp(A253,serie_du,Taxas_DI)</f>
        <v>0.12048910813977631</v>
      </c>
      <c r="C253" s="37">
        <f t="shared" ca="1" si="10"/>
        <v>1.1204891081397763</v>
      </c>
      <c r="D253" s="36">
        <f t="shared" ca="1" si="12"/>
        <v>0.12742992988077262</v>
      </c>
      <c r="E253" s="32">
        <v>0.11751778316793082</v>
      </c>
      <c r="F253" s="35">
        <f t="shared" ca="1" si="11"/>
        <v>2.9713249718454904E-3</v>
      </c>
    </row>
    <row r="254" spans="1:6" x14ac:dyDescent="0.25">
      <c r="A254" s="23">
        <v>253</v>
      </c>
      <c r="B254" s="7" cm="1">
        <f t="array" aca="1" ref="B254" ca="1">interpolexp(A254,serie_du,Taxas_DI)</f>
        <v>0.1205164572685602</v>
      </c>
      <c r="C254" s="37">
        <f t="shared" ca="1" si="10"/>
        <v>1.1210225367306277</v>
      </c>
      <c r="D254" s="36">
        <f t="shared" ca="1" si="12"/>
        <v>0.12742976118640037</v>
      </c>
      <c r="E254" s="32">
        <v>0.11753793877797847</v>
      </c>
      <c r="F254" s="35">
        <f t="shared" ca="1" si="11"/>
        <v>2.9785184905817275E-3</v>
      </c>
    </row>
    <row r="255" spans="1:6" x14ac:dyDescent="0.25">
      <c r="A255" s="23">
        <v>254</v>
      </c>
      <c r="B255" s="7" cm="1">
        <f t="array" aca="1" ref="B255" ca="1">interpolexp(A255,serie_du,Taxas_DI)</f>
        <v>0.12054359105722057</v>
      </c>
      <c r="C255" s="37">
        <f t="shared" ca="1" si="10"/>
        <v>1.1215562186114587</v>
      </c>
      <c r="D255" s="36">
        <f t="shared" ca="1" si="12"/>
        <v>0.12742959447573554</v>
      </c>
      <c r="E255" s="32">
        <v>0.11755793568644091</v>
      </c>
      <c r="F255" s="35">
        <f t="shared" ca="1" si="11"/>
        <v>2.9856553707796607E-3</v>
      </c>
    </row>
    <row r="256" spans="1:6" x14ac:dyDescent="0.25">
      <c r="A256" s="23">
        <v>255</v>
      </c>
      <c r="B256" s="7" cm="1">
        <f t="array" aca="1" ref="B256" ca="1">interpolexp(A256,serie_du,Taxas_DI)</f>
        <v>0.12057051203913094</v>
      </c>
      <c r="C256" s="37">
        <f t="shared" ca="1" si="10"/>
        <v>1.1220901539100505</v>
      </c>
      <c r="D256" s="36">
        <f t="shared" ca="1" si="12"/>
        <v>0.12742942974630256</v>
      </c>
      <c r="E256" s="32">
        <v>0.11757777576031359</v>
      </c>
      <c r="F256" s="35">
        <f t="shared" ca="1" si="11"/>
        <v>2.9927362788173539E-3</v>
      </c>
    </row>
    <row r="257" spans="1:6" x14ac:dyDescent="0.25">
      <c r="A257" s="23">
        <v>256</v>
      </c>
      <c r="B257" s="7" cm="1">
        <f t="array" aca="1" ref="B257" ca="1">interpolexp(A257,serie_du,Taxas_DI)</f>
        <v>0.12059722270805207</v>
      </c>
      <c r="C257" s="37">
        <f t="shared" ca="1" si="10"/>
        <v>1.1226243427541029</v>
      </c>
      <c r="D257" s="36">
        <f t="shared" ca="1" si="12"/>
        <v>0.12742926695934176</v>
      </c>
      <c r="E257" s="32">
        <v>0.11759746083757072</v>
      </c>
      <c r="F257" s="35">
        <f t="shared" ca="1" si="11"/>
        <v>2.9997618704813434E-3</v>
      </c>
    </row>
    <row r="258" spans="1:6" x14ac:dyDescent="0.25">
      <c r="A258" s="23">
        <v>257</v>
      </c>
      <c r="B258" s="7" cm="1">
        <f t="array" aca="1" ref="B258" ca="1">interpolexp(A258,serie_du,Taxas_DI)</f>
        <v>0.12062372551886469</v>
      </c>
      <c r="C258" s="37">
        <f t="shared" ref="C258:C321" ca="1" si="13">(1+B258)^(A258/252)</f>
        <v>1.1231587852711979</v>
      </c>
      <c r="D258" s="36">
        <f t="shared" ca="1" si="12"/>
        <v>0.12742910606707691</v>
      </c>
      <c r="E258" s="32">
        <v>0.11761699272734294</v>
      </c>
      <c r="F258" s="35">
        <f t="shared" ref="F258:F321" ca="1" si="14">B258-E258</f>
        <v>3.006732791521749E-3</v>
      </c>
    </row>
    <row r="259" spans="1:6" x14ac:dyDescent="0.25">
      <c r="A259" s="23">
        <v>258</v>
      </c>
      <c r="B259" s="7" cm="1">
        <f t="array" aca="1" ref="B259" ca="1">interpolexp(A259,serie_du,Taxas_DI)</f>
        <v>0.12065002288847992</v>
      </c>
      <c r="C259" s="37">
        <f t="shared" ca="1" si="13"/>
        <v>1.1236934815889625</v>
      </c>
      <c r="D259" s="36">
        <f t="shared" ca="1" si="12"/>
        <v>0.12742894706292374</v>
      </c>
      <c r="E259" s="32">
        <v>0.11763637321087206</v>
      </c>
      <c r="F259" s="35">
        <f t="shared" ca="1" si="14"/>
        <v>3.0136496776078658E-3</v>
      </c>
    </row>
    <row r="260" spans="1:6" x14ac:dyDescent="0.25">
      <c r="A260" s="23">
        <v>259</v>
      </c>
      <c r="B260" s="7" cm="1">
        <f t="array" aca="1" ref="B260" ca="1">interpolexp(A260,serie_du,Taxas_DI)</f>
        <v>0.12067333285448179</v>
      </c>
      <c r="C260" s="37">
        <f t="shared" ca="1" si="13"/>
        <v>1.1242255610792866</v>
      </c>
      <c r="D260" s="36">
        <f t="shared" ref="D260:D323" ca="1" si="15">((((1+B260)^(A260/252))/((1+B259)^(A259/252)))^(252/1))-1</f>
        <v>0.12670353252991884</v>
      </c>
      <c r="E260" s="32">
        <v>0.11765560404188857</v>
      </c>
      <c r="F260" s="35">
        <f t="shared" ca="1" si="14"/>
        <v>3.0177288125932122E-3</v>
      </c>
    </row>
    <row r="261" spans="1:6" x14ac:dyDescent="0.25">
      <c r="A261" s="23">
        <v>260</v>
      </c>
      <c r="B261" s="7" cm="1">
        <f t="array" aca="1" ref="B261" ca="1">interpolexp(A261,serie_du,Taxas_DI)</f>
        <v>0.12069646351844376</v>
      </c>
      <c r="C261" s="37">
        <f t="shared" ca="1" si="13"/>
        <v>1.1247578920235801</v>
      </c>
      <c r="D261" s="36">
        <f t="shared" ca="1" si="15"/>
        <v>0.12670340865934882</v>
      </c>
      <c r="E261" s="32">
        <v>0.11767468694707794</v>
      </c>
      <c r="F261" s="35">
        <f t="shared" ca="1" si="14"/>
        <v>3.0217765713658196E-3</v>
      </c>
    </row>
    <row r="262" spans="1:6" x14ac:dyDescent="0.25">
      <c r="A262" s="23">
        <v>261</v>
      </c>
      <c r="B262" s="7" cm="1">
        <f t="array" aca="1" ref="B262" ca="1">interpolexp(A262,serie_du,Taxas_DI)</f>
        <v>0.12071941694120625</v>
      </c>
      <c r="C262" s="37">
        <f t="shared" ca="1" si="13"/>
        <v>1.1252904745460641</v>
      </c>
      <c r="D262" s="36">
        <f t="shared" ca="1" si="15"/>
        <v>0.12670328620677873</v>
      </c>
      <c r="E262" s="32">
        <v>0.11769362362670233</v>
      </c>
      <c r="F262" s="35">
        <f t="shared" ca="1" si="14"/>
        <v>3.0257933145039217E-3</v>
      </c>
    </row>
    <row r="263" spans="1:6" x14ac:dyDescent="0.25">
      <c r="A263" s="23">
        <v>262</v>
      </c>
      <c r="B263" s="7" cm="1">
        <f t="array" aca="1" ref="B263" ca="1">interpolexp(A263,serie_du,Taxas_DI)</f>
        <v>0.12074219515221252</v>
      </c>
      <c r="C263" s="37">
        <f t="shared" ca="1" si="13"/>
        <v>1.1258233087710081</v>
      </c>
      <c r="D263" s="36">
        <f t="shared" ca="1" si="15"/>
        <v>0.1267031651676509</v>
      </c>
      <c r="E263" s="32">
        <v>0.11771241575508906</v>
      </c>
      <c r="F263" s="35">
        <f t="shared" ca="1" si="14"/>
        <v>3.0297793971234555E-3</v>
      </c>
    </row>
    <row r="264" spans="1:6" x14ac:dyDescent="0.25">
      <c r="A264" s="23">
        <v>263</v>
      </c>
      <c r="B264" s="7" cm="1">
        <f t="array" aca="1" ref="B264" ca="1">interpolexp(A264,serie_du,Taxas_DI)</f>
        <v>0.12076480015001945</v>
      </c>
      <c r="C264" s="37">
        <f t="shared" ca="1" si="13"/>
        <v>1.1263563948226398</v>
      </c>
      <c r="D264" s="36">
        <f t="shared" ca="1" si="15"/>
        <v>0.12670304551470268</v>
      </c>
      <c r="E264" s="32">
        <v>0.11773106498103036</v>
      </c>
      <c r="F264" s="35">
        <f t="shared" ca="1" si="14"/>
        <v>3.0337351689890824E-3</v>
      </c>
    </row>
    <row r="265" spans="1:6" x14ac:dyDescent="0.25">
      <c r="A265" s="23">
        <v>264</v>
      </c>
      <c r="B265" s="7" cm="1">
        <f t="array" aca="1" ref="B265" ca="1">interpolexp(A265,serie_du,Taxas_DI)</f>
        <v>0.12078723390285262</v>
      </c>
      <c r="C265" s="37">
        <f t="shared" ca="1" si="13"/>
        <v>1.1268897328251171</v>
      </c>
      <c r="D265" s="36">
        <f t="shared" ca="1" si="15"/>
        <v>0.12670292721362442</v>
      </c>
      <c r="E265" s="32">
        <v>0.11774957292836064</v>
      </c>
      <c r="F265" s="35">
        <f t="shared" ca="1" si="14"/>
        <v>3.0376609744919847E-3</v>
      </c>
    </row>
    <row r="266" spans="1:6" x14ac:dyDescent="0.25">
      <c r="A266" s="23">
        <v>265</v>
      </c>
      <c r="B266" s="7" cm="1">
        <f t="array" aca="1" ref="B266" ca="1">interpolexp(A266,serie_du,Taxas_DI)</f>
        <v>0.12080949834933907</v>
      </c>
      <c r="C266" s="37">
        <f t="shared" ca="1" si="13"/>
        <v>1.1274233229026964</v>
      </c>
      <c r="D266" s="36">
        <f t="shared" ca="1" si="15"/>
        <v>0.12670281027268393</v>
      </c>
      <c r="E266" s="32">
        <v>0.11776794119648937</v>
      </c>
      <c r="F266" s="35">
        <f t="shared" ca="1" si="14"/>
        <v>3.0415571528497054E-3</v>
      </c>
    </row>
    <row r="267" spans="1:6" x14ac:dyDescent="0.25">
      <c r="A267" s="23">
        <v>266</v>
      </c>
      <c r="B267" s="7" cm="1">
        <f t="array" aca="1" ref="B267" ca="1">interpolexp(A267,serie_du,Taxas_DI)</f>
        <v>0.12083159539886257</v>
      </c>
      <c r="C267" s="37">
        <f t="shared" ca="1" si="13"/>
        <v>1.1279571651795235</v>
      </c>
      <c r="D267" s="36">
        <f t="shared" ca="1" si="15"/>
        <v>0.12670269464718609</v>
      </c>
      <c r="E267" s="32">
        <v>0.1177861713606454</v>
      </c>
      <c r="F267" s="35">
        <f t="shared" ca="1" si="14"/>
        <v>3.0454240382171704E-3</v>
      </c>
    </row>
    <row r="268" spans="1:6" x14ac:dyDescent="0.25">
      <c r="A268" s="23">
        <v>267</v>
      </c>
      <c r="B268" s="7" cm="1">
        <f t="array" aca="1" ref="B268" ca="1">interpolexp(A268,serie_du,Taxas_DI)</f>
        <v>0.12085352693222973</v>
      </c>
      <c r="C268" s="37">
        <f t="shared" ca="1" si="13"/>
        <v>1.1284912597797589</v>
      </c>
      <c r="D268" s="36">
        <f t="shared" ca="1" si="15"/>
        <v>0.12670258032433579</v>
      </c>
      <c r="E268" s="32">
        <v>0.11780426497256524</v>
      </c>
      <c r="F268" s="35">
        <f t="shared" ca="1" si="14"/>
        <v>3.0492619596644843E-3</v>
      </c>
    </row>
    <row r="269" spans="1:6" x14ac:dyDescent="0.25">
      <c r="A269" s="23">
        <v>268</v>
      </c>
      <c r="B269" s="7" cm="1">
        <f t="array" aca="1" ref="B269" ca="1">interpolexp(A269,serie_du,Taxas_DI)</f>
        <v>0.12087529480220294</v>
      </c>
      <c r="C269" s="37">
        <f t="shared" ca="1" si="13"/>
        <v>1.1290256068275806</v>
      </c>
      <c r="D269" s="36">
        <f t="shared" ca="1" si="15"/>
        <v>0.12670246729199297</v>
      </c>
      <c r="E269" s="32">
        <v>0.11782222356075955</v>
      </c>
      <c r="F269" s="35">
        <f t="shared" ca="1" si="14"/>
        <v>3.0530712414433836E-3</v>
      </c>
    </row>
    <row r="270" spans="1:6" x14ac:dyDescent="0.25">
      <c r="A270" s="23">
        <v>269</v>
      </c>
      <c r="B270" s="7" cm="1">
        <f t="array" aca="1" ref="B270" ca="1">interpolexp(A270,serie_du,Taxas_DI)</f>
        <v>0.12089690083394444</v>
      </c>
      <c r="C270" s="37">
        <f t="shared" ca="1" si="13"/>
        <v>1.1295602064471011</v>
      </c>
      <c r="D270" s="36">
        <f t="shared" ca="1" si="15"/>
        <v>0.12670235551722175</v>
      </c>
      <c r="E270" s="32">
        <v>0.11784004863102382</v>
      </c>
      <c r="F270" s="35">
        <f t="shared" ca="1" si="14"/>
        <v>3.0568522029206235E-3</v>
      </c>
    </row>
    <row r="271" spans="1:6" x14ac:dyDescent="0.25">
      <c r="A271" s="23">
        <v>270</v>
      </c>
      <c r="B271" s="7" cm="1">
        <f t="array" aca="1" ref="B271" ca="1">interpolexp(A271,serie_du,Taxas_DI)</f>
        <v>0.12091834682561586</v>
      </c>
      <c r="C271" s="37">
        <f t="shared" ca="1" si="13"/>
        <v>1.1300950587624654</v>
      </c>
      <c r="D271" s="36">
        <f t="shared" ca="1" si="15"/>
        <v>0.12670224499151184</v>
      </c>
      <c r="E271" s="32">
        <v>0.11785774166688245</v>
      </c>
      <c r="F271" s="35">
        <f t="shared" ca="1" si="14"/>
        <v>3.0606051587334093E-3</v>
      </c>
    </row>
    <row r="272" spans="1:6" x14ac:dyDescent="0.25">
      <c r="A272" s="23">
        <v>271</v>
      </c>
      <c r="B272" s="7" cm="1">
        <f t="array" aca="1" ref="B272" ca="1">interpolexp(A272,serie_du,Taxas_DI)</f>
        <v>0.12093963454884449</v>
      </c>
      <c r="C272" s="37">
        <f t="shared" ca="1" si="13"/>
        <v>1.1306301638978162</v>
      </c>
      <c r="D272" s="36">
        <f t="shared" ca="1" si="15"/>
        <v>0.12670213569799427</v>
      </c>
      <c r="E272" s="32">
        <v>0.11787530412992187</v>
      </c>
      <c r="F272" s="35">
        <f t="shared" ca="1" si="14"/>
        <v>3.0643304189226228E-3</v>
      </c>
    </row>
    <row r="273" spans="1:6" x14ac:dyDescent="0.25">
      <c r="A273" s="23">
        <v>272</v>
      </c>
      <c r="B273" s="7" cm="1">
        <f t="array" aca="1" ref="B273" ca="1">interpolexp(A273,serie_du,Taxas_DI)</f>
        <v>0.12096076574916736</v>
      </c>
      <c r="C273" s="37">
        <f t="shared" ca="1" si="13"/>
        <v>1.1311655219772498</v>
      </c>
      <c r="D273" s="36">
        <f t="shared" ca="1" si="15"/>
        <v>0.12670202760861038</v>
      </c>
      <c r="E273" s="32">
        <v>0.11789273746025675</v>
      </c>
      <c r="F273" s="35">
        <f t="shared" ca="1" si="14"/>
        <v>3.0680282889106181E-3</v>
      </c>
    </row>
    <row r="274" spans="1:6" x14ac:dyDescent="0.25">
      <c r="A274" s="23">
        <v>273</v>
      </c>
      <c r="B274" s="7" cm="1">
        <f t="array" aca="1" ref="B274" ca="1">interpolexp(A274,serie_du,Taxas_DI)</f>
        <v>0.12098174214656421</v>
      </c>
      <c r="C274" s="37">
        <f t="shared" ca="1" si="13"/>
        <v>1.1317011331248747</v>
      </c>
      <c r="D274" s="36">
        <f t="shared" ca="1" si="15"/>
        <v>0.12670192070988495</v>
      </c>
      <c r="E274" s="32">
        <v>0.11791004307688535</v>
      </c>
      <c r="F274" s="35">
        <f t="shared" ca="1" si="14"/>
        <v>3.0716990696788571E-3</v>
      </c>
    </row>
    <row r="275" spans="1:6" x14ac:dyDescent="0.25">
      <c r="A275" s="23">
        <v>274</v>
      </c>
      <c r="B275" s="7" cm="1">
        <f t="array" aca="1" ref="B275" ca="1">interpolexp(A275,serie_du,Taxas_DI)</f>
        <v>0.12100256543592369</v>
      </c>
      <c r="C275" s="37">
        <f t="shared" ca="1" si="13"/>
        <v>1.1322369974648152</v>
      </c>
      <c r="D275" s="36">
        <f t="shared" ca="1" si="15"/>
        <v>0.12670181498954869</v>
      </c>
      <c r="E275" s="32">
        <v>0.11792080379011693</v>
      </c>
      <c r="F275" s="35">
        <f t="shared" ca="1" si="14"/>
        <v>3.0817616458067576E-3</v>
      </c>
    </row>
    <row r="276" spans="1:6" x14ac:dyDescent="0.25">
      <c r="A276" s="23">
        <v>275</v>
      </c>
      <c r="B276" s="7" cm="1">
        <f t="array" aca="1" ref="B276" ca="1">interpolexp(A276,serie_du,Taxas_DI)</f>
        <v>0.12102323728744313</v>
      </c>
      <c r="C276" s="37">
        <f t="shared" ca="1" si="13"/>
        <v>1.1327731151211486</v>
      </c>
      <c r="D276" s="36">
        <f t="shared" ca="1" si="15"/>
        <v>0.12670171041951361</v>
      </c>
      <c r="E276" s="32">
        <v>0.11793148624479333</v>
      </c>
      <c r="F276" s="35">
        <f t="shared" ca="1" si="14"/>
        <v>3.091751042649804E-3</v>
      </c>
    </row>
    <row r="277" spans="1:6" x14ac:dyDescent="0.25">
      <c r="A277" s="23">
        <v>276</v>
      </c>
      <c r="B277" s="7" cm="1">
        <f t="array" aca="1" ref="B277" ca="1">interpolexp(A277,serie_du,Taxas_DI)</f>
        <v>0.12104375934718359</v>
      </c>
      <c r="C277" s="37">
        <f t="shared" ca="1" si="13"/>
        <v>1.1333094862180266</v>
      </c>
      <c r="D277" s="36">
        <f t="shared" ca="1" si="15"/>
        <v>0.12670160700203748</v>
      </c>
      <c r="E277" s="32">
        <v>0.11794209129147859</v>
      </c>
      <c r="F277" s="35">
        <f t="shared" ca="1" si="14"/>
        <v>3.101668055704998E-3</v>
      </c>
    </row>
    <row r="278" spans="1:6" x14ac:dyDescent="0.25">
      <c r="A278" s="23">
        <v>277</v>
      </c>
      <c r="B278" s="7" cm="1">
        <f t="array" aca="1" ref="B278" ca="1">interpolexp(A278,serie_du,Taxas_DI)</f>
        <v>0.12106413323735854</v>
      </c>
      <c r="C278" s="37">
        <f t="shared" ca="1" si="13"/>
        <v>1.1338461108795128</v>
      </c>
      <c r="D278" s="36">
        <f t="shared" ca="1" si="15"/>
        <v>0.12670150469884178</v>
      </c>
      <c r="E278" s="32">
        <v>0.11795261976856874</v>
      </c>
      <c r="F278" s="35">
        <f t="shared" ca="1" si="14"/>
        <v>3.111513468789795E-3</v>
      </c>
    </row>
    <row r="279" spans="1:6" x14ac:dyDescent="0.25">
      <c r="A279" s="23">
        <v>278</v>
      </c>
      <c r="B279" s="7" cm="1">
        <f t="array" aca="1" ref="B279" ca="1">interpolexp(A279,serie_du,Taxas_DI)</f>
        <v>0.12108436055691119</v>
      </c>
      <c r="C279" s="37">
        <f t="shared" ca="1" si="13"/>
        <v>1.134382989229749</v>
      </c>
      <c r="D279" s="36">
        <f t="shared" ca="1" si="15"/>
        <v>0.12670140351326253</v>
      </c>
      <c r="E279" s="32">
        <v>0.11796307250231397</v>
      </c>
      <c r="F279" s="35">
        <f t="shared" ca="1" si="14"/>
        <v>3.1212880545972155E-3</v>
      </c>
    </row>
    <row r="280" spans="1:6" x14ac:dyDescent="0.25">
      <c r="A280" s="23">
        <v>279</v>
      </c>
      <c r="B280" s="7" cm="1">
        <f t="array" aca="1" ref="B280" ca="1">interpolexp(A280,serie_du,Taxas_DI)</f>
        <v>0.1211044428817587</v>
      </c>
      <c r="C280" s="37">
        <f t="shared" ca="1" si="13"/>
        <v>1.1349201213927627</v>
      </c>
      <c r="D280" s="36">
        <f t="shared" ca="1" si="15"/>
        <v>0.12670130340042118</v>
      </c>
      <c r="E280" s="32">
        <v>0.11797345030712947</v>
      </c>
      <c r="F280" s="35">
        <f t="shared" ca="1" si="14"/>
        <v>3.1309925746292322E-3</v>
      </c>
    </row>
    <row r="281" spans="1:6" x14ac:dyDescent="0.25">
      <c r="A281" s="23">
        <v>280</v>
      </c>
      <c r="B281" s="7" cm="1">
        <f t="array" aca="1" ref="B281" ca="1">interpolexp(A281,serie_du,Taxas_DI)</f>
        <v>0.12112438176543616</v>
      </c>
      <c r="C281" s="37">
        <f t="shared" ca="1" si="13"/>
        <v>1.1354575074927311</v>
      </c>
      <c r="D281" s="36">
        <f t="shared" ca="1" si="15"/>
        <v>0.12670120438173105</v>
      </c>
      <c r="E281" s="32">
        <v>0.11798375398581751</v>
      </c>
      <c r="F281" s="35">
        <f t="shared" ca="1" si="14"/>
        <v>3.1406277796186544E-3</v>
      </c>
    </row>
    <row r="282" spans="1:6" x14ac:dyDescent="0.25">
      <c r="A282" s="23">
        <v>281</v>
      </c>
      <c r="B282" s="7" cm="1">
        <f t="array" aca="1" ref="B282" ca="1">interpolexp(A282,serie_du,Taxas_DI)</f>
        <v>0.12114417873929639</v>
      </c>
      <c r="C282" s="37">
        <f t="shared" ca="1" si="13"/>
        <v>1.1359951476537562</v>
      </c>
      <c r="D282" s="36">
        <f t="shared" ca="1" si="15"/>
        <v>0.1267011064221033</v>
      </c>
      <c r="E282" s="32">
        <v>0.11799398432976727</v>
      </c>
      <c r="F282" s="35">
        <f t="shared" ca="1" si="14"/>
        <v>3.1501944095291279E-3</v>
      </c>
    </row>
    <row r="283" spans="1:6" x14ac:dyDescent="0.25">
      <c r="A283" s="23">
        <v>282</v>
      </c>
      <c r="B283" s="7" cm="1">
        <f t="array" aca="1" ref="B283" ca="1">interpolexp(A283,serie_du,Taxas_DI)</f>
        <v>0.12116383531290964</v>
      </c>
      <c r="C283" s="37">
        <f t="shared" ca="1" si="13"/>
        <v>1.1365330419998745</v>
      </c>
      <c r="D283" s="36">
        <f t="shared" ca="1" si="15"/>
        <v>0.12670100948909568</v>
      </c>
      <c r="E283" s="32">
        <v>0.11800414211913246</v>
      </c>
      <c r="F283" s="35">
        <f t="shared" ca="1" si="14"/>
        <v>3.1596931937771799E-3</v>
      </c>
    </row>
    <row r="284" spans="1:6" x14ac:dyDescent="0.25">
      <c r="A284" s="23">
        <v>283</v>
      </c>
      <c r="B284" s="7" cm="1">
        <f t="array" aca="1" ref="B284" ca="1">interpolexp(A284,serie_du,Taxas_DI)</f>
        <v>0.12118335297466309</v>
      </c>
      <c r="C284" s="37">
        <f t="shared" ca="1" si="13"/>
        <v>1.1370711906553015</v>
      </c>
      <c r="D284" s="36">
        <f t="shared" ca="1" si="15"/>
        <v>0.12670091361140634</v>
      </c>
      <c r="E284" s="32">
        <v>0.1180142281230312</v>
      </c>
      <c r="F284" s="35">
        <f t="shared" ca="1" si="14"/>
        <v>3.1691248516318993E-3</v>
      </c>
    </row>
    <row r="285" spans="1:6" x14ac:dyDescent="0.25">
      <c r="A285" s="23">
        <v>284</v>
      </c>
      <c r="B285" s="7" cm="1">
        <f t="array" aca="1" ref="B285" ca="1">interpolexp(A285,serie_du,Taxas_DI)</f>
        <v>0.12120273319187191</v>
      </c>
      <c r="C285" s="37">
        <f t="shared" ca="1" si="13"/>
        <v>1.137609593744134</v>
      </c>
      <c r="D285" s="36">
        <f t="shared" ca="1" si="15"/>
        <v>0.12670081874319217</v>
      </c>
      <c r="E285" s="32">
        <v>0.11802424309970139</v>
      </c>
      <c r="F285" s="35">
        <f t="shared" ca="1" si="14"/>
        <v>3.1784900921705272E-3</v>
      </c>
    </row>
    <row r="286" spans="1:6" x14ac:dyDescent="0.25">
      <c r="A286" s="23">
        <v>285</v>
      </c>
      <c r="B286" s="7" cm="1">
        <f t="array" aca="1" ref="B286" ca="1">interpolexp(A286,serie_du,Taxas_DI)</f>
        <v>0.12122197741124552</v>
      </c>
      <c r="C286" s="37">
        <f t="shared" ca="1" si="13"/>
        <v>1.1381482513904615</v>
      </c>
      <c r="D286" s="36">
        <f t="shared" ca="1" si="15"/>
        <v>0.12670072486668893</v>
      </c>
      <c r="E286" s="32">
        <v>0.11803418779690045</v>
      </c>
      <c r="F286" s="35">
        <f t="shared" ca="1" si="14"/>
        <v>3.1877896143450712E-3</v>
      </c>
    </row>
    <row r="287" spans="1:6" x14ac:dyDescent="0.25">
      <c r="A287" s="23">
        <v>286</v>
      </c>
      <c r="B287" s="7" cm="1">
        <f t="array" aca="1" ref="B287" ca="1">interpolexp(A287,serie_du,Taxas_DI)</f>
        <v>0.12124108705933168</v>
      </c>
      <c r="C287" s="37">
        <f t="shared" ca="1" si="13"/>
        <v>1.1386871637184632</v>
      </c>
      <c r="D287" s="36">
        <f t="shared" ca="1" si="15"/>
        <v>0.12670063198822867</v>
      </c>
      <c r="E287" s="32">
        <v>0.11804406295168324</v>
      </c>
      <c r="F287" s="35">
        <f t="shared" ca="1" si="14"/>
        <v>3.1970241076484385E-3</v>
      </c>
    </row>
    <row r="288" spans="1:6" x14ac:dyDescent="0.25">
      <c r="A288" s="23">
        <v>287</v>
      </c>
      <c r="B288" s="7" cm="1">
        <f t="array" aca="1" ref="B288" ca="1">interpolexp(A288,serie_du,Taxas_DI)</f>
        <v>0.12126006354271635</v>
      </c>
      <c r="C288" s="37">
        <f t="shared" ca="1" si="13"/>
        <v>1.139226330852235</v>
      </c>
      <c r="D288" s="36">
        <f t="shared" ca="1" si="15"/>
        <v>0.12670054007108722</v>
      </c>
      <c r="E288" s="32">
        <v>0.11805386929100159</v>
      </c>
      <c r="F288" s="35">
        <f t="shared" ca="1" si="14"/>
        <v>3.2061942517147557E-3</v>
      </c>
    </row>
    <row r="289" spans="1:6" x14ac:dyDescent="0.25">
      <c r="A289" s="23">
        <v>288</v>
      </c>
      <c r="B289" s="7" cm="1">
        <f t="array" aca="1" ref="B289" ca="1">interpolexp(A289,serie_du,Taxas_DI)</f>
        <v>0.12127890824855658</v>
      </c>
      <c r="C289" s="37">
        <f t="shared" ca="1" si="13"/>
        <v>1.1397657529160055</v>
      </c>
      <c r="D289" s="36">
        <f t="shared" ca="1" si="15"/>
        <v>0.12670044913223388</v>
      </c>
      <c r="E289" s="32">
        <v>0.11806360753172651</v>
      </c>
      <c r="F289" s="35">
        <f t="shared" ca="1" si="14"/>
        <v>3.2153007168300718E-3</v>
      </c>
    </row>
    <row r="290" spans="1:6" x14ac:dyDescent="0.25">
      <c r="A290" s="23">
        <v>289</v>
      </c>
      <c r="B290" s="7" cm="1">
        <f t="array" aca="1" ref="B290" ca="1">interpolexp(A290,serie_du,Taxas_DI)</f>
        <v>0.12129762254473597</v>
      </c>
      <c r="C290" s="37">
        <f t="shared" ca="1" si="13"/>
        <v>1.1403054300339273</v>
      </c>
      <c r="D290" s="36">
        <f t="shared" ca="1" si="15"/>
        <v>0.12670035913698974</v>
      </c>
      <c r="E290" s="32">
        <v>0.118073278380737</v>
      </c>
      <c r="F290" s="35">
        <f t="shared" ca="1" si="14"/>
        <v>3.2243441639989712E-3</v>
      </c>
    </row>
    <row r="291" spans="1:6" x14ac:dyDescent="0.25">
      <c r="A291" s="23">
        <v>290</v>
      </c>
      <c r="B291" s="7" cm="1">
        <f t="array" aca="1" ref="B291" ca="1">interpolexp(A291,serie_du,Taxas_DI)</f>
        <v>0.12131620778019769</v>
      </c>
      <c r="C291" s="37">
        <f t="shared" ca="1" si="13"/>
        <v>1.1408453623300776</v>
      </c>
      <c r="D291" s="36">
        <f t="shared" ca="1" si="15"/>
        <v>0.12670027005054951</v>
      </c>
      <c r="E291" s="32">
        <v>0.11808288253511989</v>
      </c>
      <c r="F291" s="35">
        <f t="shared" ca="1" si="14"/>
        <v>3.2333252450778005E-3</v>
      </c>
    </row>
    <row r="292" spans="1:6" x14ac:dyDescent="0.25">
      <c r="A292" s="23">
        <v>291</v>
      </c>
      <c r="B292" s="7" cm="1">
        <f t="array" aca="1" ref="B292" ca="1">interpolexp(A292,serie_du,Taxas_DI)</f>
        <v>0.12133466528554404</v>
      </c>
      <c r="C292" s="37">
        <f t="shared" ca="1" si="13"/>
        <v>1.1413855499287824</v>
      </c>
      <c r="D292" s="36">
        <f t="shared" ca="1" si="15"/>
        <v>0.12670018191890486</v>
      </c>
      <c r="E292" s="32">
        <v>0.11809242068250292</v>
      </c>
      <c r="F292" s="35">
        <f t="shared" ca="1" si="14"/>
        <v>3.2422446030411223E-3</v>
      </c>
    </row>
    <row r="293" spans="1:6" x14ac:dyDescent="0.25">
      <c r="A293" s="23">
        <v>292</v>
      </c>
      <c r="B293" s="7" cm="1">
        <f t="array" aca="1" ref="B293" ca="1">interpolexp(A293,serie_du,Taxas_DI)</f>
        <v>0.12135299637299202</v>
      </c>
      <c r="C293" s="37">
        <f t="shared" ca="1" si="13"/>
        <v>1.1419259929541934</v>
      </c>
      <c r="D293" s="36">
        <f t="shared" ca="1" si="15"/>
        <v>0.12670009468290577</v>
      </c>
      <c r="E293" s="32">
        <v>0.1181018935009881</v>
      </c>
      <c r="F293" s="35">
        <f t="shared" ca="1" si="14"/>
        <v>3.2511028720039192E-3</v>
      </c>
    </row>
    <row r="294" spans="1:6" x14ac:dyDescent="0.25">
      <c r="A294" s="23">
        <v>293</v>
      </c>
      <c r="B294" s="7" cm="1">
        <f t="array" aca="1" ref="B294" ca="1">interpolexp(A294,serie_du,Taxas_DI)</f>
        <v>0.12137120233686183</v>
      </c>
      <c r="C294" s="37">
        <f t="shared" ca="1" si="13"/>
        <v>1.1424666915304957</v>
      </c>
      <c r="D294" s="36">
        <f t="shared" ca="1" si="15"/>
        <v>0.1267000083350811</v>
      </c>
      <c r="E294" s="32">
        <v>0.11811130165950701</v>
      </c>
      <c r="F294" s="35">
        <f t="shared" ca="1" si="14"/>
        <v>3.2599006773548211E-3</v>
      </c>
    </row>
    <row r="295" spans="1:6" x14ac:dyDescent="0.25">
      <c r="A295" s="23">
        <v>294</v>
      </c>
      <c r="B295" s="7" cm="1">
        <f t="array" aca="1" ref="B295" ca="1">interpolexp(A295,serie_du,Taxas_DI)</f>
        <v>0.12138928445393216</v>
      </c>
      <c r="C295" s="37">
        <f t="shared" ca="1" si="13"/>
        <v>1.1430076457819704</v>
      </c>
      <c r="D295" s="36">
        <f t="shared" ca="1" si="15"/>
        <v>0.1266999228832375</v>
      </c>
      <c r="E295" s="32">
        <v>0.11812064581782078</v>
      </c>
      <c r="F295" s="35">
        <f t="shared" ca="1" si="14"/>
        <v>3.2686386361113762E-3</v>
      </c>
    </row>
    <row r="296" spans="1:6" x14ac:dyDescent="0.25">
      <c r="A296" s="23">
        <v>295</v>
      </c>
      <c r="B296" s="7" cm="1">
        <f t="array" aca="1" ref="B296" ca="1">interpolexp(A296,serie_du,Taxas_DI)</f>
        <v>0.1214072439836178</v>
      </c>
      <c r="C296" s="37">
        <f t="shared" ca="1" si="13"/>
        <v>1.143548855832851</v>
      </c>
      <c r="D296" s="36">
        <f t="shared" ca="1" si="15"/>
        <v>0.12669983829991649</v>
      </c>
      <c r="E296" s="32">
        <v>0.11812992662676436</v>
      </c>
      <c r="F296" s="35">
        <f t="shared" ca="1" si="14"/>
        <v>3.2773173568534375E-3</v>
      </c>
    </row>
    <row r="297" spans="1:6" x14ac:dyDescent="0.25">
      <c r="A297" s="23">
        <v>296</v>
      </c>
      <c r="B297" s="7" cm="1">
        <f t="array" aca="1" ref="B297" ca="1">interpolexp(A297,serie_du,Taxas_DI)</f>
        <v>0.12142508216832493</v>
      </c>
      <c r="C297" s="37">
        <f t="shared" ca="1" si="13"/>
        <v>1.1440903218073992</v>
      </c>
      <c r="D297" s="36">
        <f t="shared" ca="1" si="15"/>
        <v>0.1266997545762929</v>
      </c>
      <c r="E297" s="32">
        <v>0.11813914472837972</v>
      </c>
      <c r="F297" s="35">
        <f t="shared" ca="1" si="14"/>
        <v>3.2859374399452079E-3</v>
      </c>
    </row>
    <row r="298" spans="1:6" x14ac:dyDescent="0.25">
      <c r="A298" s="23">
        <v>297</v>
      </c>
      <c r="B298" s="7" cm="1">
        <f t="array" aca="1" ref="B298" ca="1">interpolexp(A298,serie_du,Taxas_DI)</f>
        <v>0.12144280023367315</v>
      </c>
      <c r="C298" s="37">
        <f t="shared" ca="1" si="13"/>
        <v>1.1446320438298281</v>
      </c>
      <c r="D298" s="36">
        <f t="shared" ca="1" si="15"/>
        <v>0.12669967168454388</v>
      </c>
      <c r="E298" s="32">
        <v>0.11814830075609351</v>
      </c>
      <c r="F298" s="35">
        <f t="shared" ca="1" si="14"/>
        <v>3.2944994775796488E-3</v>
      </c>
    </row>
    <row r="299" spans="1:6" x14ac:dyDescent="0.25">
      <c r="A299" s="23">
        <v>298</v>
      </c>
      <c r="B299" s="7" cm="1">
        <f t="array" aca="1" ref="B299" ca="1">interpolexp(A299,serie_du,Taxas_DI)</f>
        <v>0.12146039938898401</v>
      </c>
      <c r="C299" s="37">
        <f t="shared" ca="1" si="13"/>
        <v>1.1451740220245525</v>
      </c>
      <c r="D299" s="36">
        <f t="shared" ca="1" si="15"/>
        <v>0.12669958965901995</v>
      </c>
      <c r="E299" s="32">
        <v>0.11815739533478364</v>
      </c>
      <c r="F299" s="35">
        <f t="shared" ca="1" si="14"/>
        <v>3.3030040542003647E-3</v>
      </c>
    </row>
    <row r="300" spans="1:6" x14ac:dyDescent="0.25">
      <c r="A300" s="23">
        <v>299</v>
      </c>
      <c r="B300" s="7" cm="1">
        <f t="array" aca="1" ref="B300" ca="1">interpolexp(A300,serie_du,Taxas_DI)</f>
        <v>0.12147788082723654</v>
      </c>
      <c r="C300" s="37">
        <f t="shared" ca="1" si="13"/>
        <v>1.1457162565158061</v>
      </c>
      <c r="D300" s="36">
        <f t="shared" ca="1" si="15"/>
        <v>0.12669950843898103</v>
      </c>
      <c r="E300" s="32">
        <v>0.11816642908100139</v>
      </c>
      <c r="F300" s="35">
        <f t="shared" ca="1" si="14"/>
        <v>3.31145174623515E-3</v>
      </c>
    </row>
    <row r="301" spans="1:6" x14ac:dyDescent="0.25">
      <c r="A301" s="23">
        <v>300</v>
      </c>
      <c r="B301" s="7" cm="1">
        <f t="array" aca="1" ref="B301" ca="1">interpolexp(A301,serie_du,Taxas_DI)</f>
        <v>0.12149524572560022</v>
      </c>
      <c r="C301" s="37">
        <f t="shared" ca="1" si="13"/>
        <v>1.1462587474279582</v>
      </c>
      <c r="D301" s="36">
        <f t="shared" ca="1" si="15"/>
        <v>0.12669942804242118</v>
      </c>
      <c r="E301" s="32">
        <v>0.11817540260303794</v>
      </c>
      <c r="F301" s="35">
        <f t="shared" ca="1" si="14"/>
        <v>3.3198431225622826E-3</v>
      </c>
    </row>
    <row r="302" spans="1:6" x14ac:dyDescent="0.25">
      <c r="A302" s="23">
        <v>301</v>
      </c>
      <c r="B302" s="7" cm="1">
        <f t="array" aca="1" ref="B302" ca="1">interpolexp(A302,serie_du,Taxas_DI)</f>
        <v>0.12151249524554597</v>
      </c>
      <c r="C302" s="37">
        <f t="shared" ca="1" si="13"/>
        <v>1.1468014948853302</v>
      </c>
      <c r="D302" s="36">
        <f t="shared" ca="1" si="15"/>
        <v>0.12669934844175978</v>
      </c>
      <c r="E302" s="32">
        <v>0.11818431650114647</v>
      </c>
      <c r="F302" s="35">
        <f t="shared" ca="1" si="14"/>
        <v>3.3281787443995015E-3</v>
      </c>
    </row>
    <row r="303" spans="1:6" x14ac:dyDescent="0.25">
      <c r="A303" s="23">
        <v>302</v>
      </c>
      <c r="B303" s="7" cm="1">
        <f t="array" aca="1" ref="B303" ca="1">interpolexp(A303,serie_du,Taxas_DI)</f>
        <v>0.12152963053320143</v>
      </c>
      <c r="C303" s="37">
        <f t="shared" ca="1" si="13"/>
        <v>1.1473444990123125</v>
      </c>
      <c r="D303" s="36">
        <f t="shared" ca="1" si="15"/>
        <v>0.1266992696384337</v>
      </c>
      <c r="E303" s="32">
        <v>0.11819317136758656</v>
      </c>
      <c r="F303" s="35">
        <f t="shared" ca="1" si="14"/>
        <v>3.336459165614869E-3</v>
      </c>
    </row>
    <row r="304" spans="1:6" x14ac:dyDescent="0.25">
      <c r="A304" s="23">
        <v>303</v>
      </c>
      <c r="B304" s="7" cm="1">
        <f t="array" aca="1" ref="B304" ca="1">interpolexp(A304,serie_du,Taxas_DI)</f>
        <v>0.12154665271955079</v>
      </c>
      <c r="C304" s="37">
        <f t="shared" ca="1" si="13"/>
        <v>1.1478877599332997</v>
      </c>
      <c r="D304" s="36">
        <f t="shared" ca="1" si="15"/>
        <v>0.12669919161784304</v>
      </c>
      <c r="E304" s="32">
        <v>0.11820196778684622</v>
      </c>
      <c r="F304" s="35">
        <f t="shared" ca="1" si="14"/>
        <v>3.3446849327045669E-3</v>
      </c>
    </row>
    <row r="305" spans="1:6" x14ac:dyDescent="0.25">
      <c r="A305" s="23">
        <v>304</v>
      </c>
      <c r="B305" s="7" cm="1">
        <f t="array" aca="1" ref="B305" ca="1">interpolexp(A305,serie_du,Taxas_DI)</f>
        <v>0.12156356292070125</v>
      </c>
      <c r="C305" s="37">
        <f t="shared" ca="1" si="13"/>
        <v>1.1484312777727126</v>
      </c>
      <c r="D305" s="36">
        <f t="shared" ca="1" si="15"/>
        <v>0.12669911437080872</v>
      </c>
      <c r="E305" s="32">
        <v>0.11821070633568631</v>
      </c>
      <c r="F305" s="35">
        <f t="shared" ca="1" si="14"/>
        <v>3.3528565850149405E-3</v>
      </c>
    </row>
    <row r="306" spans="1:6" x14ac:dyDescent="0.25">
      <c r="A306" s="23">
        <v>305</v>
      </c>
      <c r="B306" s="7" cm="1">
        <f t="array" aca="1" ref="B306" ca="1">interpolexp(A306,serie_du,Taxas_DI)</f>
        <v>0.12158036223812729</v>
      </c>
      <c r="C306" s="37">
        <f t="shared" ca="1" si="13"/>
        <v>1.148975052655</v>
      </c>
      <c r="D306" s="36">
        <f t="shared" ca="1" si="15"/>
        <v>0.12669903788871206</v>
      </c>
      <c r="E306" s="32">
        <v>0.11821938758334039</v>
      </c>
      <c r="F306" s="35">
        <f t="shared" ca="1" si="14"/>
        <v>3.3609746547869079E-3</v>
      </c>
    </row>
    <row r="307" spans="1:6" x14ac:dyDescent="0.25">
      <c r="A307" s="23">
        <v>306</v>
      </c>
      <c r="B307" s="7" cm="1">
        <f t="array" aca="1" ref="B307" ca="1">interpolexp(A307,serie_du,Taxas_DI)</f>
        <v>0.12159705175887048</v>
      </c>
      <c r="C307" s="37">
        <f t="shared" ca="1" si="13"/>
        <v>1.1495190847045895</v>
      </c>
      <c r="D307" s="36">
        <f t="shared" ca="1" si="15"/>
        <v>0.12669896215069554</v>
      </c>
      <c r="E307" s="32">
        <v>0.11822801209153688</v>
      </c>
      <c r="F307" s="35">
        <f t="shared" ca="1" si="14"/>
        <v>3.3690396673335954E-3</v>
      </c>
    </row>
    <row r="308" spans="1:6" x14ac:dyDescent="0.25">
      <c r="A308" s="23">
        <v>307</v>
      </c>
      <c r="B308" s="7" cm="1">
        <f t="array" aca="1" ref="B308" ca="1">interpolexp(A308,serie_du,Taxas_DI)</f>
        <v>0.12161363255585034</v>
      </c>
      <c r="C308" s="37">
        <f t="shared" ca="1" si="13"/>
        <v>1.1500633740459829</v>
      </c>
      <c r="D308" s="36">
        <f t="shared" ca="1" si="15"/>
        <v>0.12669888715953315</v>
      </c>
      <c r="E308" s="32">
        <v>0.11823658041474339</v>
      </c>
      <c r="F308" s="35">
        <f t="shared" ca="1" si="14"/>
        <v>3.377052141106951E-3</v>
      </c>
    </row>
    <row r="309" spans="1:6" x14ac:dyDescent="0.25">
      <c r="A309" s="23">
        <v>308</v>
      </c>
      <c r="B309" s="7" cm="1">
        <f t="array" aca="1" ref="B309" ca="1">interpolexp(A309,serie_du,Taxas_DI)</f>
        <v>0.121630105688042</v>
      </c>
      <c r="C309" s="37">
        <f t="shared" ca="1" si="13"/>
        <v>1.1506079208036928</v>
      </c>
      <c r="D309" s="36">
        <f t="shared" ca="1" si="15"/>
        <v>0.12669881290224128</v>
      </c>
      <c r="E309" s="32">
        <v>0.11824509310023323</v>
      </c>
      <c r="F309" s="35">
        <f t="shared" ca="1" si="14"/>
        <v>3.3850125878087667E-3</v>
      </c>
    </row>
    <row r="310" spans="1:6" x14ac:dyDescent="0.25">
      <c r="A310" s="23">
        <v>309</v>
      </c>
      <c r="B310" s="7" cm="1">
        <f t="array" aca="1" ref="B310" ca="1">interpolexp(A310,serie_du,Taxas_DI)</f>
        <v>0.12164647220069824</v>
      </c>
      <c r="C310" s="37">
        <f t="shared" ca="1" si="13"/>
        <v>1.1511527251022382</v>
      </c>
      <c r="D310" s="36">
        <f t="shared" ca="1" si="15"/>
        <v>0.12669873936502363</v>
      </c>
      <c r="E310" s="32">
        <v>0.11825355068815213</v>
      </c>
      <c r="F310" s="35">
        <f t="shared" ca="1" si="14"/>
        <v>3.3929215125461099E-3</v>
      </c>
    </row>
    <row r="311" spans="1:6" x14ac:dyDescent="0.25">
      <c r="A311" s="23">
        <v>310</v>
      </c>
      <c r="B311" s="7" cm="1">
        <f t="array" aca="1" ref="B311" ca="1">interpolexp(A311,serie_du,Taxas_DI)</f>
        <v>0.12166273312559372</v>
      </c>
      <c r="C311" s="37">
        <f t="shared" ca="1" si="13"/>
        <v>1.1516977870661738</v>
      </c>
      <c r="D311" s="36">
        <f t="shared" ca="1" si="15"/>
        <v>0.12669866654107964</v>
      </c>
      <c r="E311" s="32">
        <v>0.11826195371169579</v>
      </c>
      <c r="F311" s="35">
        <f t="shared" ca="1" si="14"/>
        <v>3.4007794138979364E-3</v>
      </c>
    </row>
    <row r="312" spans="1:6" x14ac:dyDescent="0.25">
      <c r="A312" s="23">
        <v>311</v>
      </c>
      <c r="B312" s="7" cm="1">
        <f t="array" aca="1" ref="B312" ca="1">interpolexp(A312,serie_du,Taxas_DI)</f>
        <v>0.12167888948126926</v>
      </c>
      <c r="C312" s="37">
        <f t="shared" ca="1" si="13"/>
        <v>1.1522431068201258</v>
      </c>
      <c r="D312" s="36">
        <f t="shared" ca="1" si="15"/>
        <v>0.12669859443255893</v>
      </c>
      <c r="E312" s="32">
        <v>0.11827030269719874</v>
      </c>
      <c r="F312" s="35">
        <f t="shared" ca="1" si="14"/>
        <v>3.408586784070522E-3</v>
      </c>
    </row>
    <row r="313" spans="1:6" x14ac:dyDescent="0.25">
      <c r="A313" s="23">
        <v>312</v>
      </c>
      <c r="B313" s="7" cm="1">
        <f t="array" aca="1" ref="B313" ca="1">interpolexp(A313,serie_du,Taxas_DI)</f>
        <v>0.12169494227312061</v>
      </c>
      <c r="C313" s="37">
        <f t="shared" ca="1" si="13"/>
        <v>1.1527886844886359</v>
      </c>
      <c r="D313" s="36">
        <f t="shared" ca="1" si="15"/>
        <v>0.12669852300312678</v>
      </c>
      <c r="E313" s="32">
        <v>0.11827859816424535</v>
      </c>
      <c r="F313" s="35">
        <f t="shared" ca="1" si="14"/>
        <v>3.4163441088752577E-3</v>
      </c>
    </row>
    <row r="314" spans="1:6" x14ac:dyDescent="0.25">
      <c r="A314" s="23">
        <v>313</v>
      </c>
      <c r="B314" s="7" cm="1">
        <f t="array" aca="1" ref="B314" ca="1">interpolexp(A314,serie_du,Taxas_DI)</f>
        <v>0.12171089249377598</v>
      </c>
      <c r="C314" s="37">
        <f t="shared" ca="1" si="13"/>
        <v>1.1533345201963749</v>
      </c>
      <c r="D314" s="36">
        <f t="shared" ca="1" si="15"/>
        <v>0.12669845226908527</v>
      </c>
      <c r="E314" s="32">
        <v>0.11828684062580308</v>
      </c>
      <c r="F314" s="35">
        <f t="shared" ca="1" si="14"/>
        <v>3.4240518679728993E-3</v>
      </c>
    </row>
    <row r="315" spans="1:6" x14ac:dyDescent="0.25">
      <c r="A315" s="23">
        <v>314</v>
      </c>
      <c r="B315" s="7" cm="1">
        <f t="array" aca="1" ref="B315" ca="1">interpolexp(A315,serie_du,Taxas_DI)</f>
        <v>0.12172674112320703</v>
      </c>
      <c r="C315" s="37">
        <f t="shared" ca="1" si="13"/>
        <v>1.153880614068026</v>
      </c>
      <c r="D315" s="36">
        <f t="shared" ca="1" si="15"/>
        <v>0.12669838221811514</v>
      </c>
      <c r="E315" s="32">
        <v>0.11829503058826685</v>
      </c>
      <c r="F315" s="35">
        <f t="shared" ca="1" si="14"/>
        <v>3.43171053494018E-3</v>
      </c>
    </row>
    <row r="316" spans="1:6" x14ac:dyDescent="0.25">
      <c r="A316" s="23">
        <v>315</v>
      </c>
      <c r="B316" s="7" cm="1">
        <f t="array" aca="1" ref="B316" ca="1">interpolexp(A316,serie_du,Taxas_DI)</f>
        <v>0.12174248912883989</v>
      </c>
      <c r="C316" s="37">
        <f t="shared" ca="1" si="13"/>
        <v>1.1544269662281685</v>
      </c>
      <c r="D316" s="36">
        <f t="shared" ca="1" si="15"/>
        <v>0.12669831280923538</v>
      </c>
      <c r="E316" s="32">
        <v>0.11830316855163669</v>
      </c>
      <c r="F316" s="35">
        <f t="shared" ca="1" si="14"/>
        <v>3.4393205772031976E-3</v>
      </c>
    </row>
    <row r="317" spans="1:6" x14ac:dyDescent="0.25">
      <c r="A317" s="23">
        <v>316</v>
      </c>
      <c r="B317" s="7" cm="1">
        <f t="array" aca="1" ref="B317" ca="1">interpolexp(A317,serie_du,Taxas_DI)</f>
        <v>0.1217581374660659</v>
      </c>
      <c r="C317" s="37">
        <f t="shared" ca="1" si="13"/>
        <v>1.1549735768016824</v>
      </c>
      <c r="D317" s="36">
        <f t="shared" ca="1" si="15"/>
        <v>0.12669824410096386</v>
      </c>
      <c r="E317" s="32">
        <v>0.11831125500958439</v>
      </c>
      <c r="F317" s="35">
        <f t="shared" ca="1" si="14"/>
        <v>3.4468824564815037E-3</v>
      </c>
    </row>
    <row r="318" spans="1:6" x14ac:dyDescent="0.25">
      <c r="A318" s="23">
        <v>317</v>
      </c>
      <c r="B318" s="7" cm="1">
        <f t="array" aca="1" ref="B318" ca="1">interpolexp(A318,serie_du,Taxas_DI)</f>
        <v>0.1217736870780195</v>
      </c>
      <c r="C318" s="37">
        <f t="shared" ca="1" si="13"/>
        <v>1.1555204459132149</v>
      </c>
      <c r="D318" s="36">
        <f t="shared" ca="1" si="15"/>
        <v>0.12669817602056477</v>
      </c>
      <c r="E318" s="32">
        <v>0.11831929044949785</v>
      </c>
      <c r="F318" s="35">
        <f t="shared" ca="1" si="14"/>
        <v>3.4543966285216499E-3</v>
      </c>
    </row>
    <row r="319" spans="1:6" x14ac:dyDescent="0.25">
      <c r="A319" s="23">
        <v>318</v>
      </c>
      <c r="B319" s="7" cm="1">
        <f t="array" aca="1" ref="B319" ca="1">interpolexp(A319,serie_du,Taxas_DI)</f>
        <v>0.1217891388960668</v>
      </c>
      <c r="C319" s="37">
        <f t="shared" ca="1" si="13"/>
        <v>1.1560675736875656</v>
      </c>
      <c r="D319" s="36">
        <f t="shared" ca="1" si="15"/>
        <v>0.1266981085901282</v>
      </c>
      <c r="E319" s="32">
        <v>0.11832727535270315</v>
      </c>
      <c r="F319" s="35">
        <f t="shared" ca="1" si="14"/>
        <v>3.4618635433636413E-3</v>
      </c>
    </row>
    <row r="320" spans="1:6" x14ac:dyDescent="0.25">
      <c r="A320" s="23">
        <v>319</v>
      </c>
      <c r="B320" s="7" cm="1">
        <f t="array" aca="1" ref="B320" ca="1">interpolexp(A320,serie_du,Taxas_DI)</f>
        <v>0.12180449383984993</v>
      </c>
      <c r="C320" s="37">
        <f t="shared" ca="1" si="13"/>
        <v>1.1566149602495037</v>
      </c>
      <c r="D320" s="36">
        <f t="shared" ca="1" si="15"/>
        <v>0.1266980417868564</v>
      </c>
      <c r="E320" s="32">
        <v>0.11833521019442017</v>
      </c>
      <c r="F320" s="35">
        <f t="shared" ca="1" si="14"/>
        <v>3.4692836454297549E-3</v>
      </c>
    </row>
    <row r="321" spans="1:6" x14ac:dyDescent="0.25">
      <c r="A321" s="23">
        <v>320</v>
      </c>
      <c r="B321" s="7" cm="1">
        <f t="array" aca="1" ref="B321" ca="1">interpolexp(A321,serie_du,Taxas_DI)</f>
        <v>0.12181975281759794</v>
      </c>
      <c r="C321" s="37">
        <f t="shared" ca="1" si="13"/>
        <v>1.1571626057239366</v>
      </c>
      <c r="D321" s="36">
        <f t="shared" ca="1" si="15"/>
        <v>0.12669797562936114</v>
      </c>
      <c r="E321" s="32">
        <v>0.11834309544405119</v>
      </c>
      <c r="F321" s="35">
        <f t="shared" ca="1" si="14"/>
        <v>3.4766573735467432E-3</v>
      </c>
    </row>
    <row r="322" spans="1:6" x14ac:dyDescent="0.25">
      <c r="A322" s="23">
        <v>321</v>
      </c>
      <c r="B322" s="7" cm="1">
        <f t="array" aca="1" ref="B322" ca="1">interpolexp(A322,serie_du,Taxas_DI)</f>
        <v>0.12183491672612679</v>
      </c>
      <c r="C322" s="37">
        <f t="shared" ref="C322:C385" ca="1" si="16">(1+B322)^(A322/252)</f>
        <v>1.1577105102356759</v>
      </c>
      <c r="D322" s="36">
        <f t="shared" ca="1" si="15"/>
        <v>0.12669791007876907</v>
      </c>
      <c r="E322" s="32">
        <v>0.11835093156495891</v>
      </c>
      <c r="F322" s="35">
        <f t="shared" ref="F322:F385" ca="1" si="17">B322-E322</f>
        <v>3.4839851611678796E-3</v>
      </c>
    </row>
    <row r="323" spans="1:6" x14ac:dyDescent="0.25">
      <c r="A323" s="23">
        <v>322</v>
      </c>
      <c r="B323" s="7" cm="1">
        <f t="array" aca="1" ref="B323" ca="1">interpolexp(A323,serie_du,Taxas_DI)</f>
        <v>0.1218499864511724</v>
      </c>
      <c r="C323" s="37">
        <f t="shared" ca="1" si="16"/>
        <v>1.1582586739096441</v>
      </c>
      <c r="D323" s="36">
        <f t="shared" ca="1" si="15"/>
        <v>0.12669784514678706</v>
      </c>
      <c r="E323" s="32">
        <v>0.11835871901495487</v>
      </c>
      <c r="F323" s="35">
        <f t="shared" ca="1" si="17"/>
        <v>3.4912674362175267E-3</v>
      </c>
    </row>
    <row r="324" spans="1:6" x14ac:dyDescent="0.25">
      <c r="A324" s="23">
        <v>323</v>
      </c>
      <c r="B324" s="7" cm="1">
        <f t="array" aca="1" ref="B324" ca="1">interpolexp(A324,serie_du,Taxas_DI)</f>
        <v>0.12186437175945031</v>
      </c>
      <c r="C324" s="37">
        <f t="shared" ca="1" si="16"/>
        <v>1.158806314271619</v>
      </c>
      <c r="D324" s="36">
        <f t="shared" ref="D324:D387" ca="1" si="18">((((1+B324)^(A324/252))/((1+B323)^(A323/252)))^(252/1))-1</f>
        <v>0.12650604670312537</v>
      </c>
      <c r="E324" s="32">
        <v>0.11836645824603309</v>
      </c>
      <c r="F324" s="35">
        <f t="shared" ca="1" si="17"/>
        <v>3.4979135134172168E-3</v>
      </c>
    </row>
    <row r="325" spans="1:6" x14ac:dyDescent="0.25">
      <c r="A325" s="23">
        <v>324</v>
      </c>
      <c r="B325" s="7" cm="1">
        <f t="array" aca="1" ref="B325" ca="1">interpolexp(A325,serie_du,Taxas_DI)</f>
        <v>0.1218786682715578</v>
      </c>
      <c r="C325" s="37">
        <f t="shared" ca="1" si="16"/>
        <v>1.1593542133252359</v>
      </c>
      <c r="D325" s="36">
        <f t="shared" ca="1" si="18"/>
        <v>0.12650598790591761</v>
      </c>
      <c r="E325" s="32">
        <v>0.11837414970468085</v>
      </c>
      <c r="F325" s="35">
        <f t="shared" ca="1" si="17"/>
        <v>3.5045185668769463E-3</v>
      </c>
    </row>
    <row r="326" spans="1:6" x14ac:dyDescent="0.25">
      <c r="A326" s="23">
        <v>325</v>
      </c>
      <c r="B326" s="7" cm="1">
        <f t="array" aca="1" ref="B326" ca="1">interpolexp(A326,serie_du,Taxas_DI)</f>
        <v>0.12189287680719474</v>
      </c>
      <c r="C326" s="37">
        <f t="shared" ca="1" si="16"/>
        <v>1.159902371194887</v>
      </c>
      <c r="D326" s="36">
        <f t="shared" ca="1" si="18"/>
        <v>0.12650592967317009</v>
      </c>
      <c r="E326" s="32">
        <v>0.11838179383183434</v>
      </c>
      <c r="F326" s="35">
        <f t="shared" ca="1" si="17"/>
        <v>3.5110829753604023E-3</v>
      </c>
    </row>
    <row r="327" spans="1:6" x14ac:dyDescent="0.25">
      <c r="A327" s="23">
        <v>326</v>
      </c>
      <c r="B327" s="7" cm="1">
        <f t="array" aca="1" ref="B327" ca="1">interpolexp(A327,serie_du,Taxas_DI)</f>
        <v>0.12190699817586914</v>
      </c>
      <c r="C327" s="37">
        <f t="shared" ca="1" si="16"/>
        <v>1.160450788004818</v>
      </c>
      <c r="D327" s="36">
        <f t="shared" ca="1" si="18"/>
        <v>0.12650587195387231</v>
      </c>
      <c r="E327" s="32">
        <v>0.11838939106310065</v>
      </c>
      <c r="F327" s="35">
        <f t="shared" ca="1" si="17"/>
        <v>3.5176071127684949E-3</v>
      </c>
    </row>
    <row r="328" spans="1:6" x14ac:dyDescent="0.25">
      <c r="A328" s="23">
        <v>327</v>
      </c>
      <c r="B328" s="7" cm="1">
        <f t="array" aca="1" ref="B328" ca="1">interpolexp(A328,serie_du,Taxas_DI)</f>
        <v>0.12192103317731906</v>
      </c>
      <c r="C328" s="37">
        <f t="shared" ca="1" si="16"/>
        <v>1.1609994638794874</v>
      </c>
      <c r="D328" s="36">
        <f t="shared" ca="1" si="18"/>
        <v>0.12650581478506706</v>
      </c>
      <c r="E328" s="32">
        <v>0.1183969418286912</v>
      </c>
      <c r="F328" s="35">
        <f t="shared" ca="1" si="17"/>
        <v>3.5240913486278558E-3</v>
      </c>
    </row>
    <row r="329" spans="1:6" x14ac:dyDescent="0.25">
      <c r="A329" s="23">
        <v>328</v>
      </c>
      <c r="B329" s="7" cm="1">
        <f t="array" aca="1" ref="B329" ca="1">interpolexp(A329,serie_du,Taxas_DI)</f>
        <v>0.12193498260142377</v>
      </c>
      <c r="C329" s="37">
        <f t="shared" ca="1" si="16"/>
        <v>1.1615483989432454</v>
      </c>
      <c r="D329" s="36">
        <f t="shared" ca="1" si="18"/>
        <v>0.12650575812510723</v>
      </c>
      <c r="E329" s="32">
        <v>0.11840444655359939</v>
      </c>
      <c r="F329" s="35">
        <f t="shared" ca="1" si="17"/>
        <v>3.5305360478243841E-3</v>
      </c>
    </row>
    <row r="330" spans="1:6" x14ac:dyDescent="0.25">
      <c r="A330" s="23">
        <v>329</v>
      </c>
      <c r="B330" s="7" cm="1">
        <f t="array" aca="1" ref="B330" ca="1">interpolexp(A330,serie_du,Taxas_DI)</f>
        <v>0.12194884722851462</v>
      </c>
      <c r="C330" s="37">
        <f t="shared" ca="1" si="16"/>
        <v>1.1620975933205531</v>
      </c>
      <c r="D330" s="36">
        <f t="shared" ca="1" si="18"/>
        <v>0.12650570198610422</v>
      </c>
      <c r="E330" s="32">
        <v>0.11841190565762272</v>
      </c>
      <c r="F330" s="35">
        <f t="shared" ca="1" si="17"/>
        <v>3.536941570891905E-3</v>
      </c>
    </row>
    <row r="331" spans="1:6" x14ac:dyDescent="0.25">
      <c r="A331" s="23">
        <v>330</v>
      </c>
      <c r="B331" s="7" cm="1">
        <f t="array" aca="1" ref="B331" ca="1">interpolexp(A331,serie_du,Taxas_DI)</f>
        <v>0.12196262782948608</v>
      </c>
      <c r="C331" s="37">
        <f t="shared" ca="1" si="16"/>
        <v>1.1626470471359358</v>
      </c>
      <c r="D331" s="36">
        <f t="shared" ca="1" si="18"/>
        <v>0.12650564636865225</v>
      </c>
      <c r="E331" s="32">
        <v>0.11841931955551832</v>
      </c>
      <c r="F331" s="35">
        <f t="shared" ca="1" si="17"/>
        <v>3.5433082739677602E-3</v>
      </c>
    </row>
    <row r="332" spans="1:6" x14ac:dyDescent="0.25">
      <c r="A332" s="23">
        <v>331</v>
      </c>
      <c r="B332" s="7" cm="1">
        <f t="array" aca="1" ref="B332" ca="1">interpolexp(A332,serie_du,Taxas_DI)</f>
        <v>0.12197632516586232</v>
      </c>
      <c r="C332" s="37">
        <f t="shared" ca="1" si="16"/>
        <v>1.1631967605138815</v>
      </c>
      <c r="D332" s="36">
        <f t="shared" ca="1" si="18"/>
        <v>0.12650559124852023</v>
      </c>
      <c r="E332" s="32">
        <v>0.11842668865698069</v>
      </c>
      <c r="F332" s="35">
        <f t="shared" ca="1" si="17"/>
        <v>3.5496365088816262E-3</v>
      </c>
    </row>
    <row r="333" spans="1:6" x14ac:dyDescent="0.25">
      <c r="A333" s="23">
        <v>332</v>
      </c>
      <c r="B333" s="7" cm="1">
        <f t="array" aca="1" ref="B333" ca="1">interpolexp(A333,serie_du,Taxas_DI)</f>
        <v>0.12198993998999708</v>
      </c>
      <c r="C333" s="37">
        <f t="shared" ca="1" si="16"/>
        <v>1.1637467335789207</v>
      </c>
      <c r="D333" s="36">
        <f t="shared" ca="1" si="18"/>
        <v>0.12650553662106434</v>
      </c>
      <c r="E333" s="32">
        <v>0.11843401336681936</v>
      </c>
      <c r="F333" s="35">
        <f t="shared" ca="1" si="17"/>
        <v>3.5559266231777187E-3</v>
      </c>
    </row>
    <row r="334" spans="1:6" x14ac:dyDescent="0.25">
      <c r="A334" s="23">
        <v>333</v>
      </c>
      <c r="B334" s="7" cm="1">
        <f t="array" aca="1" ref="B334" ca="1">interpolexp(A334,serie_du,Taxas_DI)</f>
        <v>0.12200347304527348</v>
      </c>
      <c r="C334" s="37">
        <f t="shared" ca="1" si="16"/>
        <v>1.1642969664557115</v>
      </c>
      <c r="D334" s="36">
        <f t="shared" ca="1" si="18"/>
        <v>0.12650548250238303</v>
      </c>
      <c r="E334" s="32">
        <v>0.11844129408491444</v>
      </c>
      <c r="F334" s="35">
        <f t="shared" ca="1" si="17"/>
        <v>3.5621789603590415E-3</v>
      </c>
    </row>
    <row r="335" spans="1:6" x14ac:dyDescent="0.25">
      <c r="A335" s="23">
        <v>334</v>
      </c>
      <c r="B335" s="7" cm="1">
        <f t="array" aca="1" ref="B335" ca="1">interpolexp(A335,serie_du,Taxas_DI)</f>
        <v>0.12201692506608186</v>
      </c>
      <c r="C335" s="37">
        <f t="shared" ca="1" si="16"/>
        <v>1.1648474592688254</v>
      </c>
      <c r="D335" s="36">
        <f t="shared" ca="1" si="18"/>
        <v>0.12650542885641936</v>
      </c>
      <c r="E335" s="32">
        <v>0.11844853120643872</v>
      </c>
      <c r="F335" s="35">
        <f t="shared" ca="1" si="17"/>
        <v>3.5683938596431375E-3</v>
      </c>
    </row>
    <row r="336" spans="1:6" x14ac:dyDescent="0.25">
      <c r="A336" s="23">
        <v>335</v>
      </c>
      <c r="B336" s="7" cm="1">
        <f t="array" aca="1" ref="B336" ca="1">interpolexp(A336,serie_du,Taxas_DI)</f>
        <v>0.12203029677810839</v>
      </c>
      <c r="C336" s="37">
        <f t="shared" ca="1" si="16"/>
        <v>1.1653982121429611</v>
      </c>
      <c r="D336" s="36">
        <f t="shared" ca="1" si="18"/>
        <v>0.12650537569897202</v>
      </c>
      <c r="E336" s="32">
        <v>0.11845572512179103</v>
      </c>
      <c r="F336" s="35">
        <f t="shared" ca="1" si="17"/>
        <v>3.5745716563173602E-3</v>
      </c>
    </row>
    <row r="337" spans="1:6" x14ac:dyDescent="0.25">
      <c r="A337" s="23">
        <v>336</v>
      </c>
      <c r="B337" s="7" cm="1">
        <f t="array" aca="1" ref="B337" ca="1">interpolexp(A337,serie_du,Taxas_DI)</f>
        <v>0.12204358889842393</v>
      </c>
      <c r="C337" s="37">
        <f t="shared" ca="1" si="16"/>
        <v>1.1659492252028874</v>
      </c>
      <c r="D337" s="36">
        <f t="shared" ca="1" si="18"/>
        <v>0.1265053230322668</v>
      </c>
      <c r="E337" s="32">
        <v>0.11846287621670726</v>
      </c>
      <c r="F337" s="35">
        <f t="shared" ca="1" si="17"/>
        <v>3.580712681716669E-3</v>
      </c>
    </row>
    <row r="338" spans="1:6" x14ac:dyDescent="0.25">
      <c r="A338" s="23">
        <v>337</v>
      </c>
      <c r="B338" s="7" cm="1">
        <f t="array" aca="1" ref="B338" ca="1">interpolexp(A338,serie_du,Taxas_DI)</f>
        <v>0.12205680213548398</v>
      </c>
      <c r="C338" s="37">
        <f t="shared" ca="1" si="16"/>
        <v>1.1665004985732668</v>
      </c>
      <c r="D338" s="36">
        <f t="shared" ca="1" si="18"/>
        <v>0.12650527081537866</v>
      </c>
      <c r="E338" s="32">
        <v>0.11846998487241578</v>
      </c>
      <c r="F338" s="35">
        <f t="shared" ca="1" si="17"/>
        <v>3.5868172630681983E-3</v>
      </c>
    </row>
    <row r="339" spans="1:6" x14ac:dyDescent="0.25">
      <c r="A339" s="23">
        <v>338</v>
      </c>
      <c r="B339" s="7" cm="1">
        <f t="array" aca="1" ref="B339" ca="1">interpolexp(A339,serie_du,Taxas_DI)</f>
        <v>0.12206993718941739</v>
      </c>
      <c r="C339" s="37">
        <f t="shared" ca="1" si="16"/>
        <v>1.16705203237888</v>
      </c>
      <c r="D339" s="36">
        <f t="shared" ca="1" si="18"/>
        <v>0.12650521906210899</v>
      </c>
      <c r="E339" s="32">
        <v>0.1184794445291848</v>
      </c>
      <c r="F339" s="35">
        <f t="shared" ca="1" si="17"/>
        <v>3.5904926602325915E-3</v>
      </c>
    </row>
    <row r="340" spans="1:6" x14ac:dyDescent="0.25">
      <c r="A340" s="23">
        <v>339</v>
      </c>
      <c r="B340" s="7" cm="1">
        <f t="array" aca="1" ref="B340" ca="1">interpolexp(A340,serie_du,Taxas_DI)</f>
        <v>0.12208299475211515</v>
      </c>
      <c r="C340" s="37">
        <f t="shared" ca="1" si="16"/>
        <v>1.1676038267445792</v>
      </c>
      <c r="D340" s="36">
        <f t="shared" ca="1" si="18"/>
        <v>0.12650516777489074</v>
      </c>
      <c r="E340" s="32">
        <v>0.11848884837764029</v>
      </c>
      <c r="F340" s="35">
        <f t="shared" ca="1" si="17"/>
        <v>3.5941463744748603E-3</v>
      </c>
    </row>
    <row r="341" spans="1:6" x14ac:dyDescent="0.25">
      <c r="A341" s="23">
        <v>340</v>
      </c>
      <c r="B341" s="7" cm="1">
        <f t="array" aca="1" ref="B341" ca="1">interpolexp(A341,serie_du,Taxas_DI)</f>
        <v>0.12209597550731921</v>
      </c>
      <c r="C341" s="37">
        <f t="shared" ca="1" si="16"/>
        <v>1.1681558817952424</v>
      </c>
      <c r="D341" s="36">
        <f t="shared" ca="1" si="18"/>
        <v>0.12650511694496469</v>
      </c>
      <c r="E341" s="32">
        <v>0.11849819691023278</v>
      </c>
      <c r="F341" s="35">
        <f t="shared" ca="1" si="17"/>
        <v>3.5977785970864318E-3</v>
      </c>
    </row>
    <row r="342" spans="1:6" x14ac:dyDescent="0.25">
      <c r="A342" s="23">
        <v>341</v>
      </c>
      <c r="B342" s="7" cm="1">
        <f t="array" aca="1" ref="B342" ca="1">interpolexp(A342,serie_du,Taxas_DI)</f>
        <v>0.12210888013075571</v>
      </c>
      <c r="C342" s="37">
        <f t="shared" ca="1" si="16"/>
        <v>1.1687081976557938</v>
      </c>
      <c r="D342" s="36">
        <f t="shared" ca="1" si="18"/>
        <v>0.12650506656868088</v>
      </c>
      <c r="E342" s="32">
        <v>0.11850749061359522</v>
      </c>
      <c r="F342" s="35">
        <f t="shared" ca="1" si="17"/>
        <v>3.6013895171604915E-3</v>
      </c>
    </row>
    <row r="343" spans="1:6" x14ac:dyDescent="0.25">
      <c r="A343" s="23">
        <v>342</v>
      </c>
      <c r="B343" s="7" cm="1">
        <f t="array" aca="1" ref="B343" ca="1">interpolexp(A343,serie_du,Taxas_DI)</f>
        <v>0.1221217092901572</v>
      </c>
      <c r="C343" s="37">
        <f t="shared" ca="1" si="16"/>
        <v>1.1692607744510695</v>
      </c>
      <c r="D343" s="36">
        <f t="shared" ca="1" si="18"/>
        <v>0.12650501660960245</v>
      </c>
      <c r="E343" s="32">
        <v>0.11851672996865403</v>
      </c>
      <c r="F343" s="35">
        <f t="shared" ca="1" si="17"/>
        <v>3.6049793215031656E-3</v>
      </c>
    </row>
    <row r="344" spans="1:6" x14ac:dyDescent="0.25">
      <c r="A344" s="23">
        <v>343</v>
      </c>
      <c r="B344" s="7" cm="1">
        <f t="array" aca="1" ref="B344" ca="1">interpolexp(A344,serie_du,Taxas_DI)</f>
        <v>0.12213446364561786</v>
      </c>
      <c r="C344" s="37">
        <f t="shared" ca="1" si="16"/>
        <v>1.169813612306156</v>
      </c>
      <c r="D344" s="36">
        <f t="shared" ca="1" si="18"/>
        <v>0.12650496711375814</v>
      </c>
      <c r="E344" s="32">
        <v>0.11852591545074009</v>
      </c>
      <c r="F344" s="35">
        <f t="shared" ca="1" si="17"/>
        <v>3.6085481948777698E-3</v>
      </c>
    </row>
    <row r="345" spans="1:6" x14ac:dyDescent="0.25">
      <c r="A345" s="23">
        <v>344</v>
      </c>
      <c r="B345" s="7" cm="1">
        <f t="array" aca="1" ref="B345" ca="1">interpolexp(A345,serie_du,Taxas_DI)</f>
        <v>0.12214714384948255</v>
      </c>
      <c r="C345" s="37">
        <f t="shared" ca="1" si="16"/>
        <v>1.1703667113460752</v>
      </c>
      <c r="D345" s="36">
        <f t="shared" ca="1" si="18"/>
        <v>0.12650491805031661</v>
      </c>
      <c r="E345" s="32">
        <v>0.1185350475297442</v>
      </c>
      <c r="F345" s="35">
        <f t="shared" ca="1" si="17"/>
        <v>3.612096319738356E-3</v>
      </c>
    </row>
    <row r="346" spans="1:6" x14ac:dyDescent="0.25">
      <c r="A346" s="23">
        <v>345</v>
      </c>
      <c r="B346" s="7" cm="1">
        <f t="array" aca="1" ref="B346" ca="1">interpolexp(A346,serie_du,Taxas_DI)</f>
        <v>0.12215975054647998</v>
      </c>
      <c r="C346" s="37">
        <f t="shared" ca="1" si="16"/>
        <v>1.1709200716958146</v>
      </c>
      <c r="D346" s="36">
        <f t="shared" ca="1" si="18"/>
        <v>0.12650486939619987</v>
      </c>
      <c r="E346" s="32">
        <v>0.11854412666996161</v>
      </c>
      <c r="F346" s="35">
        <f t="shared" ca="1" si="17"/>
        <v>3.6156238765183701E-3</v>
      </c>
    </row>
    <row r="347" spans="1:6" x14ac:dyDescent="0.25">
      <c r="A347" s="23">
        <v>346</v>
      </c>
      <c r="B347" s="7" cm="1">
        <f t="array" aca="1" ref="B347" ca="1">interpolexp(A347,serie_du,Taxas_DI)</f>
        <v>0.12217228437396699</v>
      </c>
      <c r="C347" s="37">
        <f t="shared" ca="1" si="16"/>
        <v>1.1714736934805183</v>
      </c>
      <c r="D347" s="36">
        <f t="shared" ca="1" si="18"/>
        <v>0.12650482117439332</v>
      </c>
      <c r="E347" s="32">
        <v>0.11855315333042515</v>
      </c>
      <c r="F347" s="35">
        <f t="shared" ca="1" si="17"/>
        <v>3.6191310435418345E-3</v>
      </c>
    </row>
    <row r="348" spans="1:6" x14ac:dyDescent="0.25">
      <c r="A348" s="23">
        <v>347</v>
      </c>
      <c r="B348" s="7" cm="1">
        <f t="array" aca="1" ref="B348" ca="1">interpolexp(A348,serie_du,Taxas_DI)</f>
        <v>0.12218474596192852</v>
      </c>
      <c r="C348" s="37">
        <f t="shared" ca="1" si="16"/>
        <v>1.1720275768253372</v>
      </c>
      <c r="D348" s="36">
        <f t="shared" ca="1" si="18"/>
        <v>0.12650477337159005</v>
      </c>
      <c r="E348" s="32">
        <v>0.11856212796481636</v>
      </c>
      <c r="F348" s="35">
        <f t="shared" ca="1" si="17"/>
        <v>3.6226179971121653E-3</v>
      </c>
    </row>
    <row r="349" spans="1:6" x14ac:dyDescent="0.25">
      <c r="A349" s="23">
        <v>348</v>
      </c>
      <c r="B349" s="7" cm="1">
        <f t="array" aca="1" ref="B349" ca="1">interpolexp(A349,serie_du,Taxas_DI)</f>
        <v>0.12219713593313308</v>
      </c>
      <c r="C349" s="37">
        <f t="shared" ca="1" si="16"/>
        <v>1.1725817218554984</v>
      </c>
      <c r="D349" s="36">
        <f t="shared" ca="1" si="18"/>
        <v>0.12650472599154705</v>
      </c>
      <c r="E349" s="32">
        <v>0.11857105102166532</v>
      </c>
      <c r="F349" s="35">
        <f t="shared" ca="1" si="17"/>
        <v>3.626084911467764E-3</v>
      </c>
    </row>
    <row r="350" spans="1:6" x14ac:dyDescent="0.25">
      <c r="A350" s="23">
        <v>349</v>
      </c>
      <c r="B350" s="7" cm="1">
        <f t="array" aca="1" ref="B350" ca="1">interpolexp(A350,serie_du,Taxas_DI)</f>
        <v>0.12220945490315493</v>
      </c>
      <c r="C350" s="37">
        <f t="shared" ca="1" si="16"/>
        <v>1.1731361286961892</v>
      </c>
      <c r="D350" s="36">
        <f t="shared" ca="1" si="18"/>
        <v>0.12650467900951168</v>
      </c>
      <c r="E350" s="32">
        <v>0.1185799229443063</v>
      </c>
      <c r="F350" s="35">
        <f t="shared" ca="1" si="17"/>
        <v>3.6295319588486308E-3</v>
      </c>
    </row>
    <row r="351" spans="1:6" x14ac:dyDescent="0.25">
      <c r="A351" s="23">
        <v>350</v>
      </c>
      <c r="B351" s="7" cm="1">
        <f t="array" aca="1" ref="B351" ca="1">interpolexp(A351,serie_du,Taxas_DI)</f>
        <v>0.12222170348052952</v>
      </c>
      <c r="C351" s="37">
        <f t="shared" ca="1" si="16"/>
        <v>1.1736907974726334</v>
      </c>
      <c r="D351" s="36">
        <f t="shared" ca="1" si="18"/>
        <v>0.12650463241960197</v>
      </c>
      <c r="E351" s="32">
        <v>0.11858874417103316</v>
      </c>
      <c r="F351" s="35">
        <f t="shared" ca="1" si="17"/>
        <v>3.6329593094963641E-3</v>
      </c>
    </row>
    <row r="352" spans="1:6" x14ac:dyDescent="0.25">
      <c r="A352" s="23">
        <v>351</v>
      </c>
      <c r="B352" s="7" cm="1">
        <f t="array" aca="1" ref="B352" ca="1">interpolexp(A352,serie_du,Taxas_DI)</f>
        <v>0.1222338822669311</v>
      </c>
      <c r="C352" s="37">
        <f t="shared" ca="1" si="16"/>
        <v>1.1742457283102041</v>
      </c>
      <c r="D352" s="36">
        <f t="shared" ca="1" si="18"/>
        <v>0.12650458624299499</v>
      </c>
      <c r="E352" s="32">
        <v>0.11859751513509931</v>
      </c>
      <c r="F352" s="35">
        <f t="shared" ca="1" si="17"/>
        <v>3.6363671318317969E-3</v>
      </c>
    </row>
    <row r="353" spans="1:6" x14ac:dyDescent="0.25">
      <c r="A353" s="23">
        <v>352</v>
      </c>
      <c r="B353" s="7" cm="1">
        <f t="array" aca="1" ref="B353" ca="1">interpolexp(A353,serie_du,Taxas_DI)</f>
        <v>0.12224599185719498</v>
      </c>
      <c r="C353" s="37">
        <f t="shared" ca="1" si="16"/>
        <v>1.1748009213343147</v>
      </c>
      <c r="D353" s="36">
        <f t="shared" ca="1" si="18"/>
        <v>0.1265045404746481</v>
      </c>
      <c r="E353" s="32">
        <v>0.11860623626493982</v>
      </c>
      <c r="F353" s="35">
        <f t="shared" ca="1" si="17"/>
        <v>3.6397555922551561E-3</v>
      </c>
    </row>
    <row r="354" spans="1:6" x14ac:dyDescent="0.25">
      <c r="A354" s="23">
        <v>353</v>
      </c>
      <c r="B354" s="7" cm="1">
        <f t="array" aca="1" ref="B354" ca="1">interpolexp(A354,serie_du,Taxas_DI)</f>
        <v>0.12225803283929526</v>
      </c>
      <c r="C354" s="37">
        <f t="shared" ca="1" si="16"/>
        <v>1.1753563766702437</v>
      </c>
      <c r="D354" s="36">
        <f t="shared" ca="1" si="18"/>
        <v>0.12650449506701622</v>
      </c>
      <c r="E354" s="32">
        <v>0.11861490798401597</v>
      </c>
      <c r="F354" s="35">
        <f t="shared" ca="1" si="17"/>
        <v>3.6431248552792894E-3</v>
      </c>
    </row>
    <row r="355" spans="1:6" x14ac:dyDescent="0.25">
      <c r="A355" s="23">
        <v>354</v>
      </c>
      <c r="B355" s="7" cm="1">
        <f t="array" aca="1" ref="B355" ca="1">interpolexp(A355,serie_du,Taxas_DI)</f>
        <v>0.12227000579470015</v>
      </c>
      <c r="C355" s="37">
        <f t="shared" ca="1" si="16"/>
        <v>1.175912094443516</v>
      </c>
      <c r="D355" s="36">
        <f t="shared" ca="1" si="18"/>
        <v>0.12650445006480004</v>
      </c>
      <c r="E355" s="32">
        <v>0.11862353071105947</v>
      </c>
      <c r="F355" s="35">
        <f t="shared" ca="1" si="17"/>
        <v>3.6464750836406878E-3</v>
      </c>
    </row>
    <row r="356" spans="1:6" x14ac:dyDescent="0.25">
      <c r="A356" s="23">
        <v>355</v>
      </c>
      <c r="B356" s="7" cm="1">
        <f t="array" aca="1" ref="B356" ca="1">interpolexp(A356,serie_du,Taxas_DI)</f>
        <v>0.12228191129826094</v>
      </c>
      <c r="C356" s="37">
        <f t="shared" ca="1" si="16"/>
        <v>1.1764680747796024</v>
      </c>
      <c r="D356" s="36">
        <f t="shared" ca="1" si="18"/>
        <v>0.12650440544016606</v>
      </c>
      <c r="E356" s="32">
        <v>0.11863210486011688</v>
      </c>
      <c r="F356" s="35">
        <f t="shared" ca="1" si="17"/>
        <v>3.6498064381440543E-3</v>
      </c>
    </row>
    <row r="357" spans="1:6" x14ac:dyDescent="0.25">
      <c r="A357" s="23">
        <v>356</v>
      </c>
      <c r="B357" s="7" cm="1">
        <f t="array" aca="1" ref="B357" ca="1">interpolexp(A357,serie_du,Taxas_DI)</f>
        <v>0.12229374991834518</v>
      </c>
      <c r="C357" s="37">
        <f t="shared" ca="1" si="16"/>
        <v>1.1770243178039816</v>
      </c>
      <c r="D357" s="36">
        <f t="shared" ca="1" si="18"/>
        <v>0.12650436118021813</v>
      </c>
      <c r="E357" s="32">
        <v>0.11864063084052745</v>
      </c>
      <c r="F357" s="35">
        <f t="shared" ca="1" si="17"/>
        <v>3.6531190778177347E-3</v>
      </c>
    </row>
    <row r="358" spans="1:6" x14ac:dyDescent="0.25">
      <c r="A358" s="23">
        <v>357</v>
      </c>
      <c r="B358" s="7" cm="1">
        <f t="array" aca="1" ref="B358" ca="1">interpolexp(A358,serie_du,Taxas_DI)</f>
        <v>0.12230552221705882</v>
      </c>
      <c r="C358" s="37">
        <f t="shared" ca="1" si="16"/>
        <v>1.1775808236423337</v>
      </c>
      <c r="D358" s="36">
        <f t="shared" ca="1" si="18"/>
        <v>0.12650431731859113</v>
      </c>
      <c r="E358" s="32">
        <v>0.11864910905705628</v>
      </c>
      <c r="F358" s="35">
        <f t="shared" ca="1" si="17"/>
        <v>3.6564131600025362E-3</v>
      </c>
    </row>
    <row r="359" spans="1:6" x14ac:dyDescent="0.25">
      <c r="A359" s="23">
        <v>358</v>
      </c>
      <c r="B359" s="7" cm="1">
        <f t="array" aca="1" ref="B359" ca="1">interpolexp(A359,serie_du,Taxas_DI)</f>
        <v>0.12231722875006845</v>
      </c>
      <c r="C359" s="37">
        <f t="shared" ca="1" si="16"/>
        <v>1.1781375924201467</v>
      </c>
      <c r="D359" s="36">
        <f t="shared" ca="1" si="18"/>
        <v>0.12650427379414753</v>
      </c>
      <c r="E359" s="32">
        <v>0.11865753990993877</v>
      </c>
      <c r="F359" s="35">
        <f t="shared" ca="1" si="17"/>
        <v>3.6596888401296823E-3</v>
      </c>
    </row>
    <row r="360" spans="1:6" x14ac:dyDescent="0.25">
      <c r="A360" s="23">
        <v>359</v>
      </c>
      <c r="B360" s="7" cm="1">
        <f t="array" aca="1" ref="B360" ca="1">interpolexp(A360,serie_du,Taxas_DI)</f>
        <v>0.12232887006702331</v>
      </c>
      <c r="C360" s="37">
        <f t="shared" ca="1" si="16"/>
        <v>1.1786946242632121</v>
      </c>
      <c r="D360" s="36">
        <f t="shared" ca="1" si="18"/>
        <v>0.1265042306654125</v>
      </c>
      <c r="E360" s="32">
        <v>0.11866592379501384</v>
      </c>
      <c r="F360" s="35">
        <f t="shared" ca="1" si="17"/>
        <v>3.6629462720094708E-3</v>
      </c>
    </row>
    <row r="361" spans="1:6" x14ac:dyDescent="0.25">
      <c r="A361" s="23">
        <v>360</v>
      </c>
      <c r="B361" s="7" cm="1">
        <f t="array" aca="1" ref="B361" ca="1">interpolexp(A361,serie_du,Taxas_DI)</f>
        <v>0.12234044671131095</v>
      </c>
      <c r="C361" s="37">
        <f t="shared" ca="1" si="16"/>
        <v>1.1792519192971347</v>
      </c>
      <c r="D361" s="36">
        <f t="shared" ca="1" si="18"/>
        <v>0.12650418787239381</v>
      </c>
      <c r="E361" s="32">
        <v>0.1186742611036351</v>
      </c>
      <c r="F361" s="35">
        <f t="shared" ca="1" si="17"/>
        <v>3.6661856076758426E-3</v>
      </c>
    </row>
    <row r="362" spans="1:6" x14ac:dyDescent="0.25">
      <c r="A362" s="23">
        <v>361</v>
      </c>
      <c r="B362" s="7" cm="1">
        <f t="array" aca="1" ref="B362" ca="1">interpolexp(A362,serie_du,Taxas_DI)</f>
        <v>0.12235195922041253</v>
      </c>
      <c r="C362" s="37">
        <f t="shared" ca="1" si="16"/>
        <v>1.1798094776477355</v>
      </c>
      <c r="D362" s="36">
        <f t="shared" ca="1" si="18"/>
        <v>0.1265041454525262</v>
      </c>
      <c r="E362" s="32">
        <v>0.11868255222287072</v>
      </c>
      <c r="F362" s="35">
        <f t="shared" ca="1" si="17"/>
        <v>3.6694069975418131E-3</v>
      </c>
    </row>
    <row r="363" spans="1:6" x14ac:dyDescent="0.25">
      <c r="A363" s="23">
        <v>362</v>
      </c>
      <c r="B363" s="7" cm="1">
        <f t="array" aca="1" ref="B363" ca="1">interpolexp(A363,serie_du,Taxas_DI)</f>
        <v>0.12236340812576962</v>
      </c>
      <c r="C363" s="37">
        <f t="shared" ca="1" si="16"/>
        <v>1.180367299440729</v>
      </c>
      <c r="D363" s="36">
        <f t="shared" ca="1" si="18"/>
        <v>0.12650410336536244</v>
      </c>
      <c r="E363" s="32">
        <v>0.11869079753548117</v>
      </c>
      <c r="F363" s="35">
        <f t="shared" ca="1" si="17"/>
        <v>3.6726105902884498E-3</v>
      </c>
    </row>
    <row r="364" spans="1:6" x14ac:dyDescent="0.25">
      <c r="A364" s="23">
        <v>363</v>
      </c>
      <c r="B364" s="7" cm="1">
        <f t="array" aca="1" ref="B364" ca="1">interpolexp(A364,serie_du,Taxas_DI)</f>
        <v>0.12237479395309503</v>
      </c>
      <c r="C364" s="37">
        <f t="shared" ca="1" si="16"/>
        <v>1.1809253848020675</v>
      </c>
      <c r="D364" s="36">
        <f t="shared" ca="1" si="18"/>
        <v>0.1265040616532358</v>
      </c>
      <c r="E364" s="32">
        <v>0.11869899742007473</v>
      </c>
      <c r="F364" s="35">
        <f t="shared" ca="1" si="17"/>
        <v>3.6757965330203035E-3</v>
      </c>
    </row>
    <row r="365" spans="1:6" x14ac:dyDescent="0.25">
      <c r="A365" s="23">
        <v>364</v>
      </c>
      <c r="B365" s="7" cm="1">
        <f t="array" aca="1" ref="B365" ca="1">interpolexp(A365,serie_du,Taxas_DI)</f>
        <v>0.12238611722219517</v>
      </c>
      <c r="C365" s="37">
        <f t="shared" ca="1" si="16"/>
        <v>1.1814837338575526</v>
      </c>
      <c r="D365" s="36">
        <f t="shared" ca="1" si="18"/>
        <v>0.12650402026517593</v>
      </c>
      <c r="E365" s="32">
        <v>0.11870715225101858</v>
      </c>
      <c r="F365" s="35">
        <f t="shared" ca="1" si="17"/>
        <v>3.6789649711765904E-3</v>
      </c>
    </row>
    <row r="366" spans="1:6" x14ac:dyDescent="0.25">
      <c r="A366" s="23">
        <v>365</v>
      </c>
      <c r="B366" s="7" cm="1">
        <f t="array" aca="1" ref="B366" ca="1">interpolexp(A366,serie_du,Taxas_DI)</f>
        <v>0.12239737844723653</v>
      </c>
      <c r="C366" s="37">
        <f t="shared" ca="1" si="16"/>
        <v>1.1820423467331165</v>
      </c>
      <c r="D366" s="36">
        <f t="shared" ca="1" si="18"/>
        <v>0.12650397921793499</v>
      </c>
      <c r="E366" s="32">
        <v>0.11871526239859431</v>
      </c>
      <c r="F366" s="35">
        <f t="shared" ca="1" si="17"/>
        <v>3.6821160486422144E-3</v>
      </c>
    </row>
    <row r="367" spans="1:6" x14ac:dyDescent="0.25">
      <c r="A367" s="23">
        <v>366</v>
      </c>
      <c r="B367" s="7" cm="1">
        <f t="array" aca="1" ref="B367" ca="1">interpolexp(A367,serie_du,Taxas_DI)</f>
        <v>0.12240857813681227</v>
      </c>
      <c r="C367" s="37">
        <f t="shared" ca="1" si="16"/>
        <v>1.1826012235548085</v>
      </c>
      <c r="D367" s="36">
        <f t="shared" ca="1" si="18"/>
        <v>0.1265039385248119</v>
      </c>
      <c r="E367" s="32">
        <v>0.11872332822908671</v>
      </c>
      <c r="F367" s="35">
        <f t="shared" ca="1" si="17"/>
        <v>3.6852499077255629E-3</v>
      </c>
    </row>
    <row r="368" spans="1:6" x14ac:dyDescent="0.25">
      <c r="A368" s="23">
        <v>367</v>
      </c>
      <c r="B368" s="7" cm="1">
        <f t="array" aca="1" ref="B368" ca="1">interpolexp(A368,serie_du,Taxas_DI)</f>
        <v>0.12241971679389785</v>
      </c>
      <c r="C368" s="37">
        <f t="shared" ca="1" si="16"/>
        <v>1.1831603644486088</v>
      </c>
      <c r="D368" s="36">
        <f t="shared" ca="1" si="18"/>
        <v>0.12650389815435292</v>
      </c>
      <c r="E368" s="32">
        <v>0.11873135010473934</v>
      </c>
      <c r="F368" s="35">
        <f t="shared" ca="1" si="17"/>
        <v>3.6883666891585065E-3</v>
      </c>
    </row>
    <row r="369" spans="1:6" x14ac:dyDescent="0.25">
      <c r="A369" s="23">
        <v>368</v>
      </c>
      <c r="B369" s="7" cm="1">
        <f t="array" aca="1" ref="B369" ca="1">interpolexp(A369,serie_du,Taxas_DI)</f>
        <v>0.1224307949160286</v>
      </c>
      <c r="C369" s="37">
        <f t="shared" ca="1" si="16"/>
        <v>1.1837197695405861</v>
      </c>
      <c r="D369" s="36">
        <f t="shared" ca="1" si="18"/>
        <v>0.12650385811317411</v>
      </c>
      <c r="E369" s="32">
        <v>0.11873932838388779</v>
      </c>
      <c r="F369" s="35">
        <f t="shared" ca="1" si="17"/>
        <v>3.691466532140808E-3</v>
      </c>
    </row>
    <row r="370" spans="1:6" x14ac:dyDescent="0.25">
      <c r="A370" s="23">
        <v>369</v>
      </c>
      <c r="B370" s="7" cm="1">
        <f t="array" aca="1" ref="B370" ca="1">interpolexp(A370,serie_du,Taxas_DI)</f>
        <v>0.12244181299534418</v>
      </c>
      <c r="C370" s="37">
        <f t="shared" ca="1" si="16"/>
        <v>1.1842794389568512</v>
      </c>
      <c r="D370" s="36">
        <f t="shared" ca="1" si="18"/>
        <v>0.12650381839658653</v>
      </c>
      <c r="E370" s="32">
        <v>0.11874726342095965</v>
      </c>
      <c r="F370" s="35">
        <f t="shared" ca="1" si="17"/>
        <v>3.6945495743845314E-3</v>
      </c>
    </row>
    <row r="371" spans="1:6" x14ac:dyDescent="0.25">
      <c r="A371" s="23">
        <v>370</v>
      </c>
      <c r="B371" s="7" cm="1">
        <f t="array" aca="1" ref="B371" ca="1">interpolexp(A371,serie_du,Taxas_DI)</f>
        <v>0.1224527715186996</v>
      </c>
      <c r="C371" s="37">
        <f t="shared" ca="1" si="16"/>
        <v>1.1848393728236168</v>
      </c>
      <c r="D371" s="36">
        <f t="shared" ca="1" si="18"/>
        <v>0.12650377901436594</v>
      </c>
      <c r="E371" s="32">
        <v>0.11875515556658556</v>
      </c>
      <c r="F371" s="35">
        <f t="shared" ca="1" si="17"/>
        <v>3.6976159521140417E-3</v>
      </c>
    </row>
    <row r="372" spans="1:6" x14ac:dyDescent="0.25">
      <c r="A372" s="23">
        <v>371</v>
      </c>
      <c r="B372" s="7" cm="1">
        <f t="array" aca="1" ref="B372" ca="1">interpolexp(A372,serie_du,Taxas_DI)</f>
        <v>0.12246367096762079</v>
      </c>
      <c r="C372" s="37">
        <f t="shared" ca="1" si="16"/>
        <v>1.1853995712670187</v>
      </c>
      <c r="D372" s="36">
        <f t="shared" ca="1" si="18"/>
        <v>0.12650373993321984</v>
      </c>
      <c r="E372" s="32">
        <v>0.11876300516753258</v>
      </c>
      <c r="F372" s="35">
        <f t="shared" ca="1" si="17"/>
        <v>3.7006658000882098E-3</v>
      </c>
    </row>
    <row r="373" spans="1:6" x14ac:dyDescent="0.25">
      <c r="A373" s="23">
        <v>372</v>
      </c>
      <c r="B373" s="7" cm="1">
        <f t="array" aca="1" ref="B373" ca="1">interpolexp(A373,serie_du,Taxas_DI)</f>
        <v>0.12247451181852664</v>
      </c>
      <c r="C373" s="37">
        <f t="shared" ca="1" si="16"/>
        <v>1.1859600344133485</v>
      </c>
      <c r="D373" s="36">
        <f t="shared" ca="1" si="18"/>
        <v>0.12650370117585163</v>
      </c>
      <c r="E373" s="32">
        <v>0.11877081256694844</v>
      </c>
      <c r="F373" s="35">
        <f t="shared" ca="1" si="17"/>
        <v>3.7036992515782075E-3</v>
      </c>
    </row>
    <row r="374" spans="1:6" x14ac:dyDescent="0.25">
      <c r="A374" s="23">
        <v>373</v>
      </c>
      <c r="B374" s="7" cm="1">
        <f t="array" aca="1" ref="B374" ca="1">interpolexp(A374,serie_du,Taxas_DI)</f>
        <v>0.12248529454272905</v>
      </c>
      <c r="C374" s="37">
        <f t="shared" ca="1" si="16"/>
        <v>1.1865207623889498</v>
      </c>
      <c r="D374" s="36">
        <f t="shared" ca="1" si="18"/>
        <v>0.12650366274000624</v>
      </c>
      <c r="E374" s="32">
        <v>0.11877857810422832</v>
      </c>
      <c r="F374" s="35">
        <f t="shared" ca="1" si="17"/>
        <v>3.7067164385007345E-3</v>
      </c>
    </row>
    <row r="375" spans="1:6" x14ac:dyDescent="0.25">
      <c r="A375" s="23">
        <v>374</v>
      </c>
      <c r="B375" s="7" cm="1">
        <f t="array" aca="1" ref="B375" ca="1">interpolexp(A375,serie_du,Taxas_DI)</f>
        <v>0.12249601960645506</v>
      </c>
      <c r="C375" s="37">
        <f t="shared" ca="1" si="16"/>
        <v>1.1870817553201429</v>
      </c>
      <c r="D375" s="36">
        <f t="shared" ca="1" si="18"/>
        <v>0.1265036246054041</v>
      </c>
      <c r="E375" s="32">
        <v>0.11878630211517027</v>
      </c>
      <c r="F375" s="35">
        <f t="shared" ca="1" si="17"/>
        <v>3.7097174912847919E-3</v>
      </c>
    </row>
    <row r="376" spans="1:6" x14ac:dyDescent="0.25">
      <c r="A376" s="23">
        <v>375</v>
      </c>
      <c r="B376" s="7" cm="1">
        <f t="array" aca="1" ref="B376" ca="1">interpolexp(A376,serie_du,Taxas_DI)</f>
        <v>0.12250668747098015</v>
      </c>
      <c r="C376" s="37">
        <f t="shared" ca="1" si="16"/>
        <v>1.1876430133333304</v>
      </c>
      <c r="D376" s="36">
        <f t="shared" ca="1" si="18"/>
        <v>0.12650358677697615</v>
      </c>
      <c r="E376" s="32">
        <v>0.11879398493199744</v>
      </c>
      <c r="F376" s="35">
        <f t="shared" ca="1" si="17"/>
        <v>3.712702538982704E-3</v>
      </c>
    </row>
    <row r="377" spans="1:6" x14ac:dyDescent="0.25">
      <c r="A377" s="23">
        <v>376</v>
      </c>
      <c r="B377" s="7" cm="1">
        <f t="array" aca="1" ref="B377" ca="1">interpolexp(A377,serie_du,Taxas_DI)</f>
        <v>0.12251729859267257</v>
      </c>
      <c r="C377" s="37">
        <f t="shared" ca="1" si="16"/>
        <v>1.1882045365549621</v>
      </c>
      <c r="D377" s="36">
        <f t="shared" ca="1" si="18"/>
        <v>0.12650354925130736</v>
      </c>
      <c r="E377" s="32">
        <v>0.11880162688335805</v>
      </c>
      <c r="F377" s="35">
        <f t="shared" ca="1" si="17"/>
        <v>3.7156717093145275E-3</v>
      </c>
    </row>
    <row r="378" spans="1:6" x14ac:dyDescent="0.25">
      <c r="A378" s="23">
        <v>377</v>
      </c>
      <c r="B378" s="7" cm="1">
        <f t="array" aca="1" ref="B378" ca="1">interpolexp(A378,serie_du,Taxas_DI)</f>
        <v>0.12252785342306005</v>
      </c>
      <c r="C378" s="37">
        <f t="shared" ca="1" si="16"/>
        <v>1.1887663251115381</v>
      </c>
      <c r="D378" s="36">
        <f t="shared" ca="1" si="18"/>
        <v>0.12650351202584176</v>
      </c>
      <c r="E378" s="32">
        <v>0.1188092282944142</v>
      </c>
      <c r="F378" s="35">
        <f t="shared" ca="1" si="17"/>
        <v>3.7186251286458472E-3</v>
      </c>
    </row>
    <row r="379" spans="1:6" x14ac:dyDescent="0.25">
      <c r="A379" s="23">
        <v>378</v>
      </c>
      <c r="B379" s="7" cm="1">
        <f t="array" aca="1" ref="B379" ca="1">interpolexp(A379,serie_du,Taxas_DI)</f>
        <v>0.12253835240887412</v>
      </c>
      <c r="C379" s="37">
        <f t="shared" ca="1" si="16"/>
        <v>1.1893283791295777</v>
      </c>
      <c r="D379" s="36">
        <f t="shared" ca="1" si="18"/>
        <v>0.126503475090332</v>
      </c>
      <c r="E379" s="32">
        <v>0.11881678948695296</v>
      </c>
      <c r="F379" s="35">
        <f t="shared" ca="1" si="17"/>
        <v>3.7215629219211621E-3</v>
      </c>
    </row>
    <row r="380" spans="1:6" x14ac:dyDescent="0.25">
      <c r="A380" s="23">
        <v>379</v>
      </c>
      <c r="B380" s="7" cm="1">
        <f t="array" aca="1" ref="B380" ca="1">interpolexp(A380,serie_du,Taxas_DI)</f>
        <v>0.12254879599218338</v>
      </c>
      <c r="C380" s="37">
        <f t="shared" ca="1" si="16"/>
        <v>1.1898906987357314</v>
      </c>
      <c r="D380" s="36">
        <f t="shared" ca="1" si="18"/>
        <v>0.12650343846150047</v>
      </c>
      <c r="E380" s="32">
        <v>0.11882431077931965</v>
      </c>
      <c r="F380" s="35">
        <f t="shared" ca="1" si="17"/>
        <v>3.7244852128637262E-3</v>
      </c>
    </row>
    <row r="381" spans="1:6" x14ac:dyDescent="0.25">
      <c r="A381" s="23">
        <v>380</v>
      </c>
      <c r="B381" s="7" cm="1">
        <f t="array" aca="1" ref="B381" ca="1">interpolexp(A381,serie_du,Taxas_DI)</f>
        <v>0.12255918461034909</v>
      </c>
      <c r="C381" s="37">
        <f t="shared" ca="1" si="16"/>
        <v>1.1904532840566118</v>
      </c>
      <c r="D381" s="36">
        <f t="shared" ca="1" si="18"/>
        <v>0.12650340211565392</v>
      </c>
      <c r="E381" s="32">
        <v>0.11883179248648457</v>
      </c>
      <c r="F381" s="35">
        <f t="shared" ca="1" si="17"/>
        <v>3.7273921238645258E-3</v>
      </c>
    </row>
    <row r="382" spans="1:6" x14ac:dyDescent="0.25">
      <c r="A382" s="23">
        <v>381</v>
      </c>
      <c r="B382" s="7" cm="1">
        <f t="array" aca="1" ref="B382" ca="1">interpolexp(A382,serie_du,Taxas_DI)</f>
        <v>0.12256951869613619</v>
      </c>
      <c r="C382" s="37">
        <f t="shared" ca="1" si="16"/>
        <v>1.1910161352188722</v>
      </c>
      <c r="D382" s="36">
        <f t="shared" ca="1" si="18"/>
        <v>0.126503366047787</v>
      </c>
      <c r="E382" s="32">
        <v>0.11883923492015391</v>
      </c>
      <c r="F382" s="35">
        <f t="shared" ca="1" si="17"/>
        <v>3.7302837759822793E-3</v>
      </c>
    </row>
    <row r="383" spans="1:6" x14ac:dyDescent="0.25">
      <c r="A383" s="23">
        <v>382</v>
      </c>
      <c r="B383" s="7" cm="1">
        <f t="array" aca="1" ref="B383" ca="1">interpolexp(A383,serie_du,Taxas_DI)</f>
        <v>0.12257979867780211</v>
      </c>
      <c r="C383" s="37">
        <f t="shared" ca="1" si="16"/>
        <v>1.1915792523492539</v>
      </c>
      <c r="D383" s="36">
        <f t="shared" ca="1" si="18"/>
        <v>0.12650333026420579</v>
      </c>
      <c r="E383" s="32">
        <v>0.11884663838874765</v>
      </c>
      <c r="F383" s="35">
        <f t="shared" ca="1" si="17"/>
        <v>3.7331602890544602E-3</v>
      </c>
    </row>
    <row r="384" spans="1:6" x14ac:dyDescent="0.25">
      <c r="A384" s="23">
        <v>383</v>
      </c>
      <c r="B384" s="7" cm="1">
        <f t="array" aca="1" ref="B384" ca="1">interpolexp(A384,serie_du,Taxas_DI)</f>
        <v>0.12259002497918559</v>
      </c>
      <c r="C384" s="37">
        <f t="shared" ca="1" si="16"/>
        <v>1.1921426355746338</v>
      </c>
      <c r="D384" s="36">
        <f t="shared" ca="1" si="18"/>
        <v>0.12650329478270472</v>
      </c>
      <c r="E384" s="32">
        <v>0.11885400319746608</v>
      </c>
      <c r="F384" s="35">
        <f t="shared" ca="1" si="17"/>
        <v>3.7360217817195007E-3</v>
      </c>
    </row>
    <row r="385" spans="1:6" x14ac:dyDescent="0.25">
      <c r="A385" s="23">
        <v>384</v>
      </c>
      <c r="B385" s="7" cm="1">
        <f t="array" aca="1" ref="B385" ca="1">interpolexp(A385,serie_du,Taxas_DI)</f>
        <v>0.12259457306109667</v>
      </c>
      <c r="C385" s="37">
        <f t="shared" ca="1" si="16"/>
        <v>1.1926971783888616</v>
      </c>
      <c r="D385" s="36">
        <f t="shared" ca="1" si="18"/>
        <v>0.12433784412009352</v>
      </c>
      <c r="E385" s="32">
        <v>0.1188613296483565</v>
      </c>
      <c r="F385" s="35">
        <f t="shared" ca="1" si="17"/>
        <v>3.7332434127401726E-3</v>
      </c>
    </row>
    <row r="386" spans="1:6" x14ac:dyDescent="0.25">
      <c r="A386" s="23">
        <v>385</v>
      </c>
      <c r="B386" s="7" cm="1">
        <f t="array" aca="1" ref="B386" ca="1">interpolexp(A386,serie_du,Taxas_DI)</f>
        <v>0.12259909751686227</v>
      </c>
      <c r="C386" s="37">
        <f t="shared" ref="C386:C449" ca="1" si="19">(1+B386)^(A386/252)</f>
        <v>1.1932519791276202</v>
      </c>
      <c r="D386" s="36">
        <f t="shared" ca="1" si="18"/>
        <v>0.12433783716827085</v>
      </c>
      <c r="E386" s="32">
        <v>0.11886861804029092</v>
      </c>
      <c r="F386" s="35">
        <f t="shared" ref="F386:F449" ca="1" si="20">B386-E386</f>
        <v>3.7304794765713467E-3</v>
      </c>
    </row>
    <row r="387" spans="1:6" x14ac:dyDescent="0.25">
      <c r="A387" s="23">
        <v>386</v>
      </c>
      <c r="B387" s="7" cm="1">
        <f t="array" aca="1" ref="B387" ca="1">interpolexp(A387,serie_du,Taxas_DI)</f>
        <v>0.12260359853002445</v>
      </c>
      <c r="C387" s="37">
        <f t="shared" ca="1" si="19"/>
        <v>1.1938070379109591</v>
      </c>
      <c r="D387" s="36">
        <f t="shared" ca="1" si="18"/>
        <v>0.12433783024005862</v>
      </c>
      <c r="E387" s="32">
        <v>0.11887586866905497</v>
      </c>
      <c r="F387" s="35">
        <f t="shared" ca="1" si="20"/>
        <v>3.7277298609694753E-3</v>
      </c>
    </row>
    <row r="388" spans="1:6" x14ac:dyDescent="0.25">
      <c r="A388" s="23">
        <v>387</v>
      </c>
      <c r="B388" s="7" cm="1">
        <f t="array" aca="1" ref="B388" ca="1">interpolexp(A388,serie_du,Taxas_DI)</f>
        <v>0.12260807628232673</v>
      </c>
      <c r="C388" s="37">
        <f t="shared" ca="1" si="19"/>
        <v>1.1943623548591424</v>
      </c>
      <c r="D388" s="36">
        <f t="shared" ref="D388:D451" ca="1" si="21">((((1+B388)^(A388/252))/((1+B387)^(A387/252)))^(252/1))-1</f>
        <v>0.12433782337299037</v>
      </c>
      <c r="E388" s="32">
        <v>0.11888308182741447</v>
      </c>
      <c r="F388" s="35">
        <f t="shared" ca="1" si="20"/>
        <v>3.724994454912256E-3</v>
      </c>
    </row>
    <row r="389" spans="1:6" x14ac:dyDescent="0.25">
      <c r="A389" s="23">
        <v>388</v>
      </c>
      <c r="B389" s="7" cm="1">
        <f t="array" aca="1" ref="B389" ca="1">interpolexp(A389,serie_du,Taxas_DI)</f>
        <v>0.12261253095364744</v>
      </c>
      <c r="C389" s="37">
        <f t="shared" ca="1" si="19"/>
        <v>1.1949179300925021</v>
      </c>
      <c r="D389" s="36">
        <f t="shared" ca="1" si="21"/>
        <v>0.12433781656991005</v>
      </c>
      <c r="E389" s="32">
        <v>0.1188902578050488</v>
      </c>
      <c r="F389" s="35">
        <f t="shared" ca="1" si="20"/>
        <v>3.7222731485986316E-3</v>
      </c>
    </row>
    <row r="390" spans="1:6" x14ac:dyDescent="0.25">
      <c r="A390" s="23">
        <v>389</v>
      </c>
      <c r="B390" s="7" cm="1">
        <f t="array" aca="1" ref="B390" ca="1">interpolexp(A390,serie_du,Taxas_DI)</f>
        <v>0.12261696272195532</v>
      </c>
      <c r="C390" s="37">
        <f t="shared" ca="1" si="19"/>
        <v>1.1954737637313257</v>
      </c>
      <c r="D390" s="36">
        <f t="shared" ca="1" si="21"/>
        <v>0.12433780980694409</v>
      </c>
      <c r="E390" s="32">
        <v>0.11889739688870637</v>
      </c>
      <c r="F390" s="35">
        <f t="shared" ca="1" si="20"/>
        <v>3.7195658332489501E-3</v>
      </c>
    </row>
    <row r="391" spans="1:6" x14ac:dyDescent="0.25">
      <c r="A391" s="23">
        <v>390</v>
      </c>
      <c r="B391" s="7" cm="1">
        <f t="array" aca="1" ref="B391" ca="1">interpolexp(A391,serie_du,Taxas_DI)</f>
        <v>0.12262137176344279</v>
      </c>
      <c r="C391" s="37">
        <f t="shared" ca="1" si="19"/>
        <v>1.1960298558960354</v>
      </c>
      <c r="D391" s="36">
        <f t="shared" ca="1" si="21"/>
        <v>0.1243378031025435</v>
      </c>
      <c r="E391" s="32">
        <v>0.11890449936216019</v>
      </c>
      <c r="F391" s="35">
        <f t="shared" ca="1" si="20"/>
        <v>3.7168724012826004E-3</v>
      </c>
    </row>
    <row r="392" spans="1:6" x14ac:dyDescent="0.25">
      <c r="A392" s="23">
        <v>391</v>
      </c>
      <c r="B392" s="7" cm="1">
        <f t="array" aca="1" ref="B392" ca="1">interpolexp(A392,serie_du,Taxas_DI)</f>
        <v>0.12262575825248145</v>
      </c>
      <c r="C392" s="37">
        <f t="shared" ca="1" si="19"/>
        <v>1.1965862067070767</v>
      </c>
      <c r="D392" s="36">
        <f t="shared" ca="1" si="21"/>
        <v>0.12433779644906107</v>
      </c>
      <c r="E392" s="32">
        <v>0.11891156550636328</v>
      </c>
      <c r="F392" s="35">
        <f t="shared" ca="1" si="20"/>
        <v>3.7141927461181723E-3</v>
      </c>
    </row>
    <row r="393" spans="1:6" x14ac:dyDescent="0.25">
      <c r="A393" s="23">
        <v>392</v>
      </c>
      <c r="B393" s="7" cm="1">
        <f t="array" aca="1" ref="B393" ca="1">interpolexp(A393,serie_du,Taxas_DI)</f>
        <v>0.12263012236166659</v>
      </c>
      <c r="C393" s="37">
        <f t="shared" ca="1" si="19"/>
        <v>1.1971428162849544</v>
      </c>
      <c r="D393" s="36">
        <f t="shared" ca="1" si="21"/>
        <v>0.12433778984705302</v>
      </c>
      <c r="E393" s="32">
        <v>0.1189185955992933</v>
      </c>
      <c r="F393" s="35">
        <f t="shared" ca="1" si="20"/>
        <v>3.7115267623732962E-3</v>
      </c>
    </row>
    <row r="394" spans="1:6" x14ac:dyDescent="0.25">
      <c r="A394" s="23">
        <v>393</v>
      </c>
      <c r="B394" s="7" cm="1">
        <f t="array" aca="1" ref="B394" ca="1">interpolexp(A394,serie_du,Taxas_DI)</f>
        <v>0.12263446426183933</v>
      </c>
      <c r="C394" s="37">
        <f t="shared" ca="1" si="19"/>
        <v>1.1976996847502321</v>
      </c>
      <c r="D394" s="36">
        <f t="shared" ca="1" si="21"/>
        <v>0.12433778329724166</v>
      </c>
      <c r="E394" s="32">
        <v>0.11892558991615232</v>
      </c>
      <c r="F394" s="35">
        <f t="shared" ca="1" si="20"/>
        <v>3.7088743456870077E-3</v>
      </c>
    </row>
    <row r="395" spans="1:6" x14ac:dyDescent="0.25">
      <c r="A395" s="23">
        <v>394</v>
      </c>
      <c r="B395" s="7" cm="1">
        <f t="array" aca="1" ref="B395" ca="1">interpolexp(A395,serie_du,Taxas_DI)</f>
        <v>0.12263878412208662</v>
      </c>
      <c r="C395" s="37">
        <f t="shared" ca="1" si="19"/>
        <v>1.1982568122234938</v>
      </c>
      <c r="D395" s="36">
        <f t="shared" ca="1" si="21"/>
        <v>0.12433777679103564</v>
      </c>
      <c r="E395" s="32">
        <v>0.11893254872934467</v>
      </c>
      <c r="F395" s="35">
        <f t="shared" ca="1" si="20"/>
        <v>3.7062353927419522E-3</v>
      </c>
    </row>
    <row r="396" spans="1:6" x14ac:dyDescent="0.25">
      <c r="A396" s="23">
        <v>395</v>
      </c>
      <c r="B396" s="7" cm="1">
        <f t="array" aca="1" ref="B396" ca="1">interpolexp(A396,serie_du,Taxas_DI)</f>
        <v>0.1226430821098301</v>
      </c>
      <c r="C396" s="37">
        <f t="shared" ca="1" si="19"/>
        <v>1.1988141988254568</v>
      </c>
      <c r="D396" s="36">
        <f t="shared" ca="1" si="21"/>
        <v>0.12433777034662596</v>
      </c>
      <c r="E396" s="32">
        <v>0.11893947230852131</v>
      </c>
      <c r="F396" s="35">
        <f t="shared" ca="1" si="20"/>
        <v>3.7036098013087937E-3</v>
      </c>
    </row>
    <row r="397" spans="1:6" x14ac:dyDescent="0.25">
      <c r="A397" s="23">
        <v>396</v>
      </c>
      <c r="B397" s="7" cm="1">
        <f t="array" aca="1" ref="B397" ca="1">interpolexp(A397,serie_du,Taxas_DI)</f>
        <v>0.12264735839073726</v>
      </c>
      <c r="C397" s="37">
        <f t="shared" ca="1" si="19"/>
        <v>1.1993718446767867</v>
      </c>
      <c r="D397" s="36">
        <f t="shared" ca="1" si="21"/>
        <v>0.1243377639384875</v>
      </c>
      <c r="E397" s="32">
        <v>0.11894636092062427</v>
      </c>
      <c r="F397" s="35">
        <f t="shared" ca="1" si="20"/>
        <v>3.7009974701129877E-3</v>
      </c>
    </row>
    <row r="398" spans="1:6" x14ac:dyDescent="0.25">
      <c r="A398" s="23">
        <v>397</v>
      </c>
      <c r="B398" s="7" cm="1">
        <f t="array" aca="1" ref="B398" ca="1">interpolexp(A398,serie_du,Taxas_DI)</f>
        <v>0.12265161312885464</v>
      </c>
      <c r="C398" s="37">
        <f t="shared" ca="1" si="19"/>
        <v>1.1999297498982848</v>
      </c>
      <c r="D398" s="36">
        <f t="shared" ca="1" si="21"/>
        <v>0.12433775758538612</v>
      </c>
      <c r="E398" s="32">
        <v>0.11895321482982002</v>
      </c>
      <c r="F398" s="35">
        <f t="shared" ca="1" si="20"/>
        <v>3.698398299034622E-3</v>
      </c>
    </row>
    <row r="399" spans="1:6" x14ac:dyDescent="0.25">
      <c r="A399" s="23">
        <v>398</v>
      </c>
      <c r="B399" s="7" cm="1">
        <f t="array" aca="1" ref="B399" ca="1">interpolexp(A399,serie_du,Taxas_DI)</f>
        <v>0.12265584648654126</v>
      </c>
      <c r="C399" s="37">
        <f t="shared" ca="1" si="19"/>
        <v>1.200487914610741</v>
      </c>
      <c r="D399" s="36">
        <f t="shared" ca="1" si="21"/>
        <v>0.12433775127122404</v>
      </c>
      <c r="E399" s="32">
        <v>0.11896003429776592</v>
      </c>
      <c r="F399" s="35">
        <f t="shared" ca="1" si="20"/>
        <v>3.6958121887753492E-3</v>
      </c>
    </row>
    <row r="400" spans="1:6" x14ac:dyDescent="0.25">
      <c r="A400" s="23">
        <v>399</v>
      </c>
      <c r="B400" s="7" cm="1">
        <f t="array" aca="1" ref="B400" ca="1">interpolexp(A400,serie_du,Taxas_DI)</f>
        <v>0.12266005862457963</v>
      </c>
      <c r="C400" s="37">
        <f t="shared" ca="1" si="19"/>
        <v>1.2010463389350865</v>
      </c>
      <c r="D400" s="36">
        <f t="shared" ca="1" si="21"/>
        <v>0.12433774501601969</v>
      </c>
      <c r="E400" s="32">
        <v>0.11896455955267005</v>
      </c>
      <c r="F400" s="35">
        <f t="shared" ca="1" si="20"/>
        <v>3.6954990719095804E-3</v>
      </c>
    </row>
    <row r="401" spans="1:6" x14ac:dyDescent="0.25">
      <c r="A401" s="23">
        <v>400</v>
      </c>
      <c r="B401" s="7" cm="1">
        <f t="array" aca="1" ref="B401" ca="1">interpolexp(A401,serie_du,Taxas_DI)</f>
        <v>0.12266424970208689</v>
      </c>
      <c r="C401" s="37">
        <f t="shared" ca="1" si="19"/>
        <v>1.2016050229922088</v>
      </c>
      <c r="D401" s="36">
        <f t="shared" ca="1" si="21"/>
        <v>0.12433773879621435</v>
      </c>
      <c r="E401" s="32">
        <v>0.11896906218149539</v>
      </c>
      <c r="F401" s="35">
        <f t="shared" ca="1" si="20"/>
        <v>3.695187520591503E-3</v>
      </c>
    </row>
    <row r="402" spans="1:6" x14ac:dyDescent="0.25">
      <c r="A402" s="23">
        <v>401</v>
      </c>
      <c r="B402" s="7" cm="1">
        <f t="array" aca="1" ref="B402" ca="1">interpolexp(A402,serie_du,Taxas_DI)</f>
        <v>0.12266841987667032</v>
      </c>
      <c r="C402" s="37">
        <f t="shared" ca="1" si="19"/>
        <v>1.2021639669031823</v>
      </c>
      <c r="D402" s="36">
        <f t="shared" ca="1" si="21"/>
        <v>0.12433773264252701</v>
      </c>
      <c r="E402" s="32">
        <v>0.11897354235352875</v>
      </c>
      <c r="F402" s="35">
        <f t="shared" ca="1" si="20"/>
        <v>3.6948775231415709E-3</v>
      </c>
    </row>
    <row r="403" spans="1:6" x14ac:dyDescent="0.25">
      <c r="A403" s="23">
        <v>402</v>
      </c>
      <c r="B403" s="7" cm="1">
        <f t="array" aca="1" ref="B403" ca="1">interpolexp(A403,serie_du,Taxas_DI)</f>
        <v>0.12267256930424963</v>
      </c>
      <c r="C403" s="37">
        <f t="shared" ca="1" si="19"/>
        <v>1.2027231707889314</v>
      </c>
      <c r="D403" s="36">
        <f t="shared" ca="1" si="21"/>
        <v>0.12433772650624331</v>
      </c>
      <c r="E403" s="32">
        <v>0.11897800023634719</v>
      </c>
      <c r="F403" s="35">
        <f t="shared" ca="1" si="20"/>
        <v>3.6945690679024423E-3</v>
      </c>
    </row>
    <row r="404" spans="1:6" x14ac:dyDescent="0.25">
      <c r="A404" s="23">
        <v>403</v>
      </c>
      <c r="B404" s="7" cm="1">
        <f t="array" aca="1" ref="B404" ca="1">interpolexp(A404,serie_du,Taxas_DI)</f>
        <v>0.12267669813932347</v>
      </c>
      <c r="C404" s="37">
        <f t="shared" ca="1" si="19"/>
        <v>1.2032826347706522</v>
      </c>
      <c r="D404" s="36">
        <f t="shared" ca="1" si="21"/>
        <v>0.12433772043805069</v>
      </c>
      <c r="E404" s="32">
        <v>0.11898243599586245</v>
      </c>
      <c r="F404" s="35">
        <f t="shared" ca="1" si="20"/>
        <v>3.6942621434610246E-3</v>
      </c>
    </row>
    <row r="405" spans="1:6" x14ac:dyDescent="0.25">
      <c r="A405" s="23">
        <v>404</v>
      </c>
      <c r="B405" s="7" cm="1">
        <f t="array" aca="1" ref="B405" ca="1">interpolexp(A405,serie_du,Taxas_DI)</f>
        <v>0.12268080653479174</v>
      </c>
      <c r="C405" s="37">
        <f t="shared" ca="1" si="19"/>
        <v>1.2038423589694769</v>
      </c>
      <c r="D405" s="36">
        <f t="shared" ca="1" si="21"/>
        <v>0.12433771440961983</v>
      </c>
      <c r="E405" s="32">
        <v>0.11898684979638752</v>
      </c>
      <c r="F405" s="35">
        <f t="shared" ca="1" si="20"/>
        <v>3.6939567384042249E-3</v>
      </c>
    </row>
    <row r="406" spans="1:6" x14ac:dyDescent="0.25">
      <c r="A406" s="23">
        <v>405</v>
      </c>
      <c r="B406" s="7" cm="1">
        <f t="array" aca="1" ref="B406" ca="1">interpolexp(A406,serie_du,Taxas_DI)</f>
        <v>0.12268489464206667</v>
      </c>
      <c r="C406" s="37">
        <f t="shared" ca="1" si="19"/>
        <v>1.2044023435066307</v>
      </c>
      <c r="D406" s="36">
        <f t="shared" ca="1" si="21"/>
        <v>0.12433770842948966</v>
      </c>
      <c r="E406" s="32">
        <v>0.11899124180052567</v>
      </c>
      <c r="F406" s="35">
        <f t="shared" ca="1" si="20"/>
        <v>3.6936528415409953E-3</v>
      </c>
    </row>
    <row r="407" spans="1:6" x14ac:dyDescent="0.25">
      <c r="A407" s="23">
        <v>406</v>
      </c>
      <c r="B407" s="7" cm="1">
        <f t="array" aca="1" ref="B407" ca="1">interpolexp(A407,serie_du,Taxas_DI)</f>
        <v>0.12268896261105056</v>
      </c>
      <c r="C407" s="37">
        <f t="shared" ca="1" si="19"/>
        <v>1.2049625885033624</v>
      </c>
      <c r="D407" s="36">
        <f t="shared" ca="1" si="21"/>
        <v>0.12433770248983511</v>
      </c>
      <c r="E407" s="32">
        <v>0.11899561216941468</v>
      </c>
      <c r="F407" s="35">
        <f t="shared" ca="1" si="20"/>
        <v>3.6933504416358787E-3</v>
      </c>
    </row>
    <row r="408" spans="1:6" x14ac:dyDescent="0.25">
      <c r="A408" s="23">
        <v>407</v>
      </c>
      <c r="B408" s="7" cm="1">
        <f t="array" aca="1" ref="B408" ca="1">interpolexp(A408,serie_du,Taxas_DI)</f>
        <v>0.12269301059013582</v>
      </c>
      <c r="C408" s="37">
        <f t="shared" ca="1" si="19"/>
        <v>1.2055230940809123</v>
      </c>
      <c r="D408" s="36">
        <f t="shared" ca="1" si="21"/>
        <v>0.1243376965754579</v>
      </c>
      <c r="E408" s="32">
        <v>0.11899996106243815</v>
      </c>
      <c r="F408" s="35">
        <f t="shared" ca="1" si="20"/>
        <v>3.6930495276976671E-3</v>
      </c>
    </row>
    <row r="409" spans="1:6" x14ac:dyDescent="0.25">
      <c r="A409" s="23">
        <v>408</v>
      </c>
      <c r="B409" s="7" cm="1">
        <f t="array" aca="1" ref="B409" ca="1">interpolexp(A409,serie_du,Taxas_DI)</f>
        <v>0.12269703872640481</v>
      </c>
      <c r="C409" s="37">
        <f t="shared" ca="1" si="19"/>
        <v>1.2060838603608266</v>
      </c>
      <c r="D409" s="36">
        <f t="shared" ca="1" si="21"/>
        <v>0.12433769074486434</v>
      </c>
      <c r="E409" s="32">
        <v>0.11900428863755863</v>
      </c>
      <c r="F409" s="35">
        <f t="shared" ca="1" si="20"/>
        <v>3.6927500888461751E-3</v>
      </c>
    </row>
    <row r="410" spans="1:6" x14ac:dyDescent="0.25">
      <c r="A410" s="23">
        <v>409</v>
      </c>
      <c r="B410" s="7" cm="1">
        <f t="array" aca="1" ref="B410" ca="1">interpolexp(A410,serie_du,Taxas_DI)</f>
        <v>0.12270104716531893</v>
      </c>
      <c r="C410" s="37">
        <f t="shared" ca="1" si="19"/>
        <v>1.2066448874643885</v>
      </c>
      <c r="D410" s="36">
        <f t="shared" ca="1" si="21"/>
        <v>0.12433768492287678</v>
      </c>
      <c r="E410" s="32">
        <v>0.11900859505113992</v>
      </c>
      <c r="F410" s="35">
        <f t="shared" ca="1" si="20"/>
        <v>3.6924521141790123E-3</v>
      </c>
    </row>
    <row r="411" spans="1:6" x14ac:dyDescent="0.25">
      <c r="A411" s="23">
        <v>410</v>
      </c>
      <c r="B411" s="7" cm="1">
        <f t="array" aca="1" ref="B411" ca="1">interpolexp(A411,serie_du,Taxas_DI)</f>
        <v>0.12270503605100735</v>
      </c>
      <c r="C411" s="37">
        <f t="shared" ca="1" si="19"/>
        <v>1.2072061755130881</v>
      </c>
      <c r="D411" s="36">
        <f t="shared" ca="1" si="21"/>
        <v>0.12433767914492488</v>
      </c>
      <c r="E411" s="32">
        <v>0.11901288045799152</v>
      </c>
      <c r="F411" s="35">
        <f t="shared" ca="1" si="20"/>
        <v>3.6921555930158334E-3</v>
      </c>
    </row>
    <row r="412" spans="1:6" x14ac:dyDescent="0.25">
      <c r="A412" s="23">
        <v>411</v>
      </c>
      <c r="B412" s="7" cm="1">
        <f t="array" aca="1" ref="B412" ca="1">interpolexp(A412,serie_du,Taxas_DI)</f>
        <v>0.12270900552626696</v>
      </c>
      <c r="C412" s="37">
        <f t="shared" ca="1" si="19"/>
        <v>1.2077677246285941</v>
      </c>
      <c r="D412" s="36">
        <f t="shared" ca="1" si="21"/>
        <v>0.12433767343949276</v>
      </c>
      <c r="E412" s="32">
        <v>0.11901714501147964</v>
      </c>
      <c r="F412" s="35">
        <f t="shared" ca="1" si="20"/>
        <v>3.6918605147873151E-3</v>
      </c>
    </row>
    <row r="413" spans="1:6" x14ac:dyDescent="0.25">
      <c r="A413" s="23">
        <v>412</v>
      </c>
      <c r="B413" s="7" cm="1">
        <f t="array" aca="1" ref="B413" ca="1">interpolexp(A413,serie_du,Taxas_DI)</f>
        <v>0.12271295573234031</v>
      </c>
      <c r="C413" s="37">
        <f t="shared" ca="1" si="19"/>
        <v>1.2083295349323344</v>
      </c>
      <c r="D413" s="36">
        <f t="shared" ca="1" si="21"/>
        <v>0.12433766773680444</v>
      </c>
      <c r="E413" s="32">
        <v>0.11902138886343838</v>
      </c>
      <c r="F413" s="35">
        <f t="shared" ca="1" si="20"/>
        <v>3.6915668689019299E-3</v>
      </c>
    </row>
    <row r="414" spans="1:6" x14ac:dyDescent="0.25">
      <c r="A414" s="23">
        <v>413</v>
      </c>
      <c r="B414" s="7" cm="1">
        <f t="array" aca="1" ref="B414" ca="1">interpolexp(A414,serie_du,Taxas_DI)</f>
        <v>0.12271688680927095</v>
      </c>
      <c r="C414" s="37">
        <f t="shared" ca="1" si="19"/>
        <v>1.2088916065460904</v>
      </c>
      <c r="D414" s="36">
        <f t="shared" ca="1" si="21"/>
        <v>0.12433766210633923</v>
      </c>
      <c r="E414" s="32">
        <v>0.11902561216423635</v>
      </c>
      <c r="F414" s="35">
        <f t="shared" ca="1" si="20"/>
        <v>3.6912746450346035E-3</v>
      </c>
    </row>
    <row r="415" spans="1:6" x14ac:dyDescent="0.25">
      <c r="A415" s="23">
        <v>414</v>
      </c>
      <c r="B415" s="7" cm="1">
        <f t="array" aca="1" ref="B415" ca="1">interpolexp(A415,serie_du,Taxas_DI)</f>
        <v>0.12272079889563692</v>
      </c>
      <c r="C415" s="37">
        <f t="shared" ca="1" si="19"/>
        <v>1.2094539395914994</v>
      </c>
      <c r="D415" s="36">
        <f t="shared" ca="1" si="21"/>
        <v>0.12433765650119621</v>
      </c>
      <c r="E415" s="32">
        <v>0.11902981506275445</v>
      </c>
      <c r="F415" s="35">
        <f t="shared" ca="1" si="20"/>
        <v>3.6909838328824662E-3</v>
      </c>
    </row>
    <row r="416" spans="1:6" x14ac:dyDescent="0.25">
      <c r="A416" s="23">
        <v>415</v>
      </c>
      <c r="B416" s="7" cm="1">
        <f t="array" aca="1" ref="B416" ca="1">interpolexp(A416,serie_du,Taxas_DI)</f>
        <v>0.12272469212872839</v>
      </c>
      <c r="C416" s="37">
        <f t="shared" ca="1" si="19"/>
        <v>1.2100165341903388</v>
      </c>
      <c r="D416" s="36">
        <f t="shared" ca="1" si="21"/>
        <v>0.12433765094071858</v>
      </c>
      <c r="E416" s="32">
        <v>0.11903399770654133</v>
      </c>
      <c r="F416" s="35">
        <f t="shared" ca="1" si="20"/>
        <v>3.6906944221870575E-3</v>
      </c>
    </row>
    <row r="417" spans="1:6" x14ac:dyDescent="0.25">
      <c r="A417" s="23">
        <v>416</v>
      </c>
      <c r="B417" s="7" cm="1">
        <f t="array" aca="1" ref="B417" ca="1">interpolexp(A417,serie_du,Taxas_DI)</f>
        <v>0.12272856664450327</v>
      </c>
      <c r="C417" s="37">
        <f t="shared" ca="1" si="19"/>
        <v>1.2105793904644198</v>
      </c>
      <c r="D417" s="36">
        <f t="shared" ca="1" si="21"/>
        <v>0.1243376454195888</v>
      </c>
      <c r="E417" s="32">
        <v>0.11903816024163572</v>
      </c>
      <c r="F417" s="35">
        <f t="shared" ca="1" si="20"/>
        <v>3.6904064028675521E-3</v>
      </c>
    </row>
    <row r="418" spans="1:6" x14ac:dyDescent="0.25">
      <c r="A418" s="23">
        <v>417</v>
      </c>
      <c r="B418" s="7" cm="1">
        <f t="array" aca="1" ref="B418" ca="1">interpolexp(A418,serie_du,Taxas_DI)</f>
        <v>0.12273242257763162</v>
      </c>
      <c r="C418" s="37">
        <f t="shared" ca="1" si="19"/>
        <v>1.2111425085356373</v>
      </c>
      <c r="D418" s="36">
        <f t="shared" ca="1" si="21"/>
        <v>0.12433763994408742</v>
      </c>
      <c r="E418" s="32">
        <v>0.11904230281269967</v>
      </c>
      <c r="F418" s="35">
        <f t="shared" ca="1" si="20"/>
        <v>3.6901197649319428E-3</v>
      </c>
    </row>
    <row r="419" spans="1:6" x14ac:dyDescent="0.25">
      <c r="A419" s="23">
        <v>418</v>
      </c>
      <c r="B419" s="7" cm="1">
        <f t="array" aca="1" ref="B419" ca="1">interpolexp(A419,serie_du,Taxas_DI)</f>
        <v>0.12273626006142901</v>
      </c>
      <c r="C419" s="37">
        <f t="shared" ca="1" si="19"/>
        <v>1.2117058885258243</v>
      </c>
      <c r="D419" s="36">
        <f t="shared" ca="1" si="21"/>
        <v>0.12433763448629476</v>
      </c>
      <c r="E419" s="32">
        <v>0.11904642556304079</v>
      </c>
      <c r="F419" s="35">
        <f t="shared" ca="1" si="20"/>
        <v>3.6898344983882225E-3</v>
      </c>
    </row>
    <row r="420" spans="1:6" x14ac:dyDescent="0.25">
      <c r="A420" s="23">
        <v>419</v>
      </c>
      <c r="B420" s="7" cm="1">
        <f t="array" aca="1" ref="B420" ca="1">interpolexp(A420,serie_du,Taxas_DI)</f>
        <v>0.1227400792280342</v>
      </c>
      <c r="C420" s="37">
        <f t="shared" ca="1" si="19"/>
        <v>1.212269530557041</v>
      </c>
      <c r="D420" s="36">
        <f t="shared" ca="1" si="21"/>
        <v>0.12433762908619639</v>
      </c>
      <c r="E420" s="32">
        <v>0.11905052863452337</v>
      </c>
      <c r="F420" s="35">
        <f t="shared" ca="1" si="20"/>
        <v>3.6895505935108375E-3</v>
      </c>
    </row>
    <row r="421" spans="1:6" x14ac:dyDescent="0.25">
      <c r="A421" s="23">
        <v>420</v>
      </c>
      <c r="B421" s="7" cm="1">
        <f t="array" aca="1" ref="B421" ca="1">interpolexp(A421,serie_du,Taxas_DI)</f>
        <v>0.12274388020829807</v>
      </c>
      <c r="C421" s="37">
        <f t="shared" ca="1" si="19"/>
        <v>1.2128334347513499</v>
      </c>
      <c r="D421" s="36">
        <f t="shared" ca="1" si="21"/>
        <v>0.12433762373092438</v>
      </c>
      <c r="E421" s="32">
        <v>0.11905461216774604</v>
      </c>
      <c r="F421" s="35">
        <f t="shared" ca="1" si="20"/>
        <v>3.6892680405520295E-3</v>
      </c>
    </row>
    <row r="422" spans="1:6" x14ac:dyDescent="0.25">
      <c r="A422" s="23">
        <v>421</v>
      </c>
      <c r="B422" s="7" cm="1">
        <f t="array" aca="1" ref="B422" ca="1">interpolexp(A422,serie_du,Taxas_DI)</f>
        <v>0.12274766313178365</v>
      </c>
      <c r="C422" s="37">
        <f t="shared" ca="1" si="19"/>
        <v>1.2133976012307885</v>
      </c>
      <c r="D422" s="36">
        <f t="shared" ca="1" si="21"/>
        <v>0.12433761840138047</v>
      </c>
      <c r="E422" s="32">
        <v>0.11905867630193079</v>
      </c>
      <c r="F422" s="35">
        <f t="shared" ca="1" si="20"/>
        <v>3.6889868298528583E-3</v>
      </c>
    </row>
    <row r="423" spans="1:6" x14ac:dyDescent="0.25">
      <c r="A423" s="23">
        <v>422</v>
      </c>
      <c r="B423" s="7" cm="1">
        <f t="array" aca="1" ref="B423" ca="1">interpolexp(A423,serie_du,Taxas_DI)</f>
        <v>0.12275142812687712</v>
      </c>
      <c r="C423" s="37">
        <f t="shared" ca="1" si="19"/>
        <v>1.2139620301175427</v>
      </c>
      <c r="D423" s="36">
        <f t="shared" ca="1" si="21"/>
        <v>0.12433761311880298</v>
      </c>
      <c r="E423" s="32">
        <v>0.11906272117498951</v>
      </c>
      <c r="F423" s="35">
        <f t="shared" ca="1" si="20"/>
        <v>3.6887069518876103E-3</v>
      </c>
    </row>
    <row r="424" spans="1:6" x14ac:dyDescent="0.25">
      <c r="A424" s="23">
        <v>423</v>
      </c>
      <c r="B424" s="7" cm="1">
        <f t="array" aca="1" ref="B424" ca="1">interpolexp(A424,serie_du,Taxas_DI)</f>
        <v>0.12275517532069902</v>
      </c>
      <c r="C424" s="37">
        <f t="shared" ca="1" si="19"/>
        <v>1.2145267215337596</v>
      </c>
      <c r="D424" s="36">
        <f t="shared" ca="1" si="21"/>
        <v>0.12433760786093884</v>
      </c>
      <c r="E424" s="32">
        <v>0.11906674692350183</v>
      </c>
      <c r="F424" s="35">
        <f t="shared" ca="1" si="20"/>
        <v>3.6884283971971854E-3</v>
      </c>
    </row>
    <row r="425" spans="1:6" x14ac:dyDescent="0.25">
      <c r="A425" s="23">
        <v>424</v>
      </c>
      <c r="B425" s="7" cm="1">
        <f t="array" aca="1" ref="B425" ca="1">interpolexp(A425,serie_du,Taxas_DI)</f>
        <v>0.12275890483921525</v>
      </c>
      <c r="C425" s="37">
        <f t="shared" ca="1" si="19"/>
        <v>1.2150916756017238</v>
      </c>
      <c r="D425" s="36">
        <f t="shared" ca="1" si="21"/>
        <v>0.12433760264646665</v>
      </c>
      <c r="E425" s="32">
        <v>0.11907075368278175</v>
      </c>
      <c r="F425" s="35">
        <f t="shared" ca="1" si="20"/>
        <v>3.6881511564335057E-3</v>
      </c>
    </row>
    <row r="426" spans="1:6" x14ac:dyDescent="0.25">
      <c r="A426" s="23">
        <v>425</v>
      </c>
      <c r="B426" s="7" cm="1">
        <f t="array" aca="1" ref="B426" ca="1">interpolexp(A426,serie_du,Taxas_DI)</f>
        <v>0.1227626168072149</v>
      </c>
      <c r="C426" s="37">
        <f t="shared" ca="1" si="19"/>
        <v>1.2156568924437907</v>
      </c>
      <c r="D426" s="36">
        <f t="shared" ca="1" si="21"/>
        <v>0.12433759747863449</v>
      </c>
      <c r="E426" s="32">
        <v>0.11907474158689979</v>
      </c>
      <c r="F426" s="35">
        <f t="shared" ca="1" si="20"/>
        <v>3.6878752203151066E-3</v>
      </c>
    </row>
    <row r="427" spans="1:6" x14ac:dyDescent="0.25">
      <c r="A427" s="23">
        <v>426</v>
      </c>
      <c r="B427" s="7" cm="1">
        <f t="array" aca="1" ref="B427" ca="1">interpolexp(A427,serie_du,Taxas_DI)</f>
        <v>0.12276631134824356</v>
      </c>
      <c r="C427" s="37">
        <f t="shared" ca="1" si="19"/>
        <v>1.2162223721822405</v>
      </c>
      <c r="D427" s="36">
        <f t="shared" ca="1" si="21"/>
        <v>0.12433759232667629</v>
      </c>
      <c r="E427" s="32">
        <v>0.11907871076861642</v>
      </c>
      <c r="F427" s="35">
        <f t="shared" ca="1" si="20"/>
        <v>3.6876005796271372E-3</v>
      </c>
    </row>
    <row r="428" spans="1:6" x14ac:dyDescent="0.25">
      <c r="A428" s="23">
        <v>427</v>
      </c>
      <c r="B428" s="7" cm="1">
        <f t="array" aca="1" ref="B428" ca="1">interpolexp(A428,serie_du,Taxas_DI)</f>
        <v>0.12276998858478105</v>
      </c>
      <c r="C428" s="37">
        <f t="shared" ca="1" si="19"/>
        <v>1.2167881149395767</v>
      </c>
      <c r="D428" s="36">
        <f t="shared" ca="1" si="21"/>
        <v>0.12433758722916921</v>
      </c>
      <c r="E428" s="32">
        <v>0.11908266135949308</v>
      </c>
      <c r="F428" s="35">
        <f t="shared" ca="1" si="20"/>
        <v>3.687327225287973E-3</v>
      </c>
    </row>
    <row r="429" spans="1:6" x14ac:dyDescent="0.25">
      <c r="A429" s="23">
        <v>428</v>
      </c>
      <c r="B429" s="7" cm="1">
        <f t="array" aca="1" ref="B429" ca="1">interpolexp(A429,serie_du,Taxas_DI)</f>
        <v>0.12277364863808593</v>
      </c>
      <c r="C429" s="37">
        <f t="shared" ca="1" si="19"/>
        <v>1.2173541208382179</v>
      </c>
      <c r="D429" s="36">
        <f t="shared" ca="1" si="21"/>
        <v>0.12433758215309854</v>
      </c>
      <c r="E429" s="32">
        <v>0.11908659348980333</v>
      </c>
      <c r="F429" s="35">
        <f t="shared" ca="1" si="20"/>
        <v>3.6870551482826031E-3</v>
      </c>
    </row>
    <row r="430" spans="1:6" x14ac:dyDescent="0.25">
      <c r="A430" s="23">
        <v>429</v>
      </c>
      <c r="B430" s="7" cm="1">
        <f t="array" aca="1" ref="B430" ca="1">interpolexp(A430,serie_du,Taxas_DI)</f>
        <v>0.12277729162837314</v>
      </c>
      <c r="C430" s="37">
        <f t="shared" ca="1" si="19"/>
        <v>1.2179203900007987</v>
      </c>
      <c r="D430" s="36">
        <f t="shared" ca="1" si="21"/>
        <v>0.12433757713536764</v>
      </c>
      <c r="E430" s="32">
        <v>0.1190905072886439</v>
      </c>
      <c r="F430" s="35">
        <f t="shared" ca="1" si="20"/>
        <v>3.6867843397292432E-3</v>
      </c>
    </row>
    <row r="431" spans="1:6" x14ac:dyDescent="0.25">
      <c r="A431" s="23">
        <v>430</v>
      </c>
      <c r="B431" s="7" cm="1">
        <f t="array" aca="1" ref="B431" ca="1">interpolexp(A431,serie_du,Taxas_DI)</f>
        <v>0.12278091767463639</v>
      </c>
      <c r="C431" s="37">
        <f t="shared" ca="1" si="19"/>
        <v>1.2184869225498187</v>
      </c>
      <c r="D431" s="36">
        <f t="shared" ca="1" si="21"/>
        <v>0.12433757213142815</v>
      </c>
      <c r="E431" s="32">
        <v>0.11909440288393469</v>
      </c>
      <c r="F431" s="35">
        <f t="shared" ca="1" si="20"/>
        <v>3.6865147907017004E-3</v>
      </c>
    </row>
    <row r="432" spans="1:6" x14ac:dyDescent="0.25">
      <c r="A432" s="23">
        <v>431</v>
      </c>
      <c r="B432" s="7" cm="1">
        <f t="array" aca="1" ref="B432" ca="1">interpolexp(A432,serie_du,Taxas_DI)</f>
        <v>0.12278452689482577</v>
      </c>
      <c r="C432" s="37">
        <f t="shared" ca="1" si="19"/>
        <v>1.2190537186079469</v>
      </c>
      <c r="D432" s="36">
        <f t="shared" ca="1" si="21"/>
        <v>0.12433756716718669</v>
      </c>
      <c r="E432" s="32">
        <v>0.11909828040237436</v>
      </c>
      <c r="F432" s="35">
        <f t="shared" ca="1" si="20"/>
        <v>3.6862464924514171E-3</v>
      </c>
    </row>
    <row r="433" spans="1:6" x14ac:dyDescent="0.25">
      <c r="A433" s="23">
        <v>432</v>
      </c>
      <c r="B433" s="7" cm="1">
        <f t="array" aca="1" ref="B433" ca="1">interpolexp(A433,serie_du,Taxas_DI)</f>
        <v>0.12278811940578116</v>
      </c>
      <c r="C433" s="37">
        <f t="shared" ca="1" si="19"/>
        <v>1.2196207782978732</v>
      </c>
      <c r="D433" s="36">
        <f t="shared" ca="1" si="21"/>
        <v>0.1243375622342977</v>
      </c>
      <c r="E433" s="32">
        <v>0.11910213996948471</v>
      </c>
      <c r="F433" s="35">
        <f t="shared" ca="1" si="20"/>
        <v>3.6859794362964493E-3</v>
      </c>
    </row>
    <row r="434" spans="1:6" x14ac:dyDescent="0.25">
      <c r="A434" s="23">
        <v>433</v>
      </c>
      <c r="B434" s="7" cm="1">
        <f t="array" aca="1" ref="B434" ca="1">interpolexp(A434,serie_du,Taxas_DI)</f>
        <v>0.12279169532329881</v>
      </c>
      <c r="C434" s="37">
        <f t="shared" ca="1" si="19"/>
        <v>1.2201881017424114</v>
      </c>
      <c r="D434" s="36">
        <f t="shared" ca="1" si="21"/>
        <v>0.12433755734826613</v>
      </c>
      <c r="E434" s="32">
        <v>0.11910598170963294</v>
      </c>
      <c r="F434" s="35">
        <f t="shared" ca="1" si="20"/>
        <v>3.6857136136658752E-3</v>
      </c>
    </row>
    <row r="435" spans="1:6" x14ac:dyDescent="0.25">
      <c r="A435" s="23">
        <v>434</v>
      </c>
      <c r="B435" s="7" cm="1">
        <f t="array" aca="1" ref="B435" ca="1">interpolexp(A435,serie_du,Taxas_DI)</f>
        <v>0.12279525476204256</v>
      </c>
      <c r="C435" s="37">
        <f t="shared" ca="1" si="19"/>
        <v>1.2207556890643083</v>
      </c>
      <c r="D435" s="36">
        <f t="shared" ca="1" si="21"/>
        <v>0.12433755248010026</v>
      </c>
      <c r="E435" s="32">
        <v>0.11910980574605379</v>
      </c>
      <c r="F435" s="35">
        <f t="shared" ca="1" si="20"/>
        <v>3.6854490159887732E-3</v>
      </c>
    </row>
    <row r="436" spans="1:6" x14ac:dyDescent="0.25">
      <c r="A436" s="23">
        <v>435</v>
      </c>
      <c r="B436" s="7" cm="1">
        <f t="array" aca="1" ref="B436" ca="1">interpolexp(A436,serie_du,Taxas_DI)</f>
        <v>0.12279879783569925</v>
      </c>
      <c r="C436" s="37">
        <f t="shared" ca="1" si="19"/>
        <v>1.2213235403865121</v>
      </c>
      <c r="D436" s="36">
        <f t="shared" ca="1" si="21"/>
        <v>0.12433754766333682</v>
      </c>
      <c r="E436" s="32">
        <v>0.11911361220084959</v>
      </c>
      <c r="F436" s="35">
        <f t="shared" ca="1" si="20"/>
        <v>3.6851856348496526E-3</v>
      </c>
    </row>
    <row r="437" spans="1:6" x14ac:dyDescent="0.25">
      <c r="A437" s="23">
        <v>436</v>
      </c>
      <c r="B437" s="7" cm="1">
        <f t="array" aca="1" ref="B437" ca="1">interpolexp(A437,serie_du,Taxas_DI)</f>
        <v>0.12280232465682328</v>
      </c>
      <c r="C437" s="37">
        <f t="shared" ca="1" si="19"/>
        <v>1.2218916558318591</v>
      </c>
      <c r="D437" s="36">
        <f t="shared" ca="1" si="21"/>
        <v>0.12433754285866949</v>
      </c>
      <c r="E437" s="32">
        <v>0.11911740119499026</v>
      </c>
      <c r="F437" s="35">
        <f t="shared" ca="1" si="20"/>
        <v>3.6849234618330229E-3</v>
      </c>
    </row>
    <row r="438" spans="1:6" x14ac:dyDescent="0.25">
      <c r="A438" s="23">
        <v>437</v>
      </c>
      <c r="B438" s="7" cm="1">
        <f t="array" aca="1" ref="B438" ca="1">interpolexp(A438,serie_du,Taxas_DI)</f>
        <v>0.12280583533703648</v>
      </c>
      <c r="C438" s="37">
        <f t="shared" ca="1" si="19"/>
        <v>1.2224600355234254</v>
      </c>
      <c r="D438" s="36">
        <f t="shared" ca="1" si="21"/>
        <v>0.12433753810848036</v>
      </c>
      <c r="E438" s="32">
        <v>0.11912117284833545</v>
      </c>
      <c r="F438" s="35">
        <f t="shared" ca="1" si="20"/>
        <v>3.6846624887010293E-3</v>
      </c>
    </row>
    <row r="439" spans="1:6" x14ac:dyDescent="0.25">
      <c r="A439" s="23">
        <v>438</v>
      </c>
      <c r="B439" s="7" cm="1">
        <f t="array" aca="1" ref="B439" ca="1">interpolexp(A439,serie_du,Taxas_DI)</f>
        <v>0.12280932998685046</v>
      </c>
      <c r="C439" s="37">
        <f t="shared" ca="1" si="19"/>
        <v>1.2230286795841716</v>
      </c>
      <c r="D439" s="36">
        <f t="shared" ca="1" si="21"/>
        <v>0.12433753337260112</v>
      </c>
      <c r="E439" s="32">
        <v>0.11912492727967905</v>
      </c>
      <c r="F439" s="35">
        <f t="shared" ca="1" si="20"/>
        <v>3.6844027071714081E-3</v>
      </c>
    </row>
    <row r="440" spans="1:6" x14ac:dyDescent="0.25">
      <c r="A440" s="23">
        <v>439</v>
      </c>
      <c r="B440" s="7" cm="1">
        <f t="array" aca="1" ref="B440" ca="1">interpolexp(A440,serie_du,Taxas_DI)</f>
        <v>0.12281280871584421</v>
      </c>
      <c r="C440" s="37">
        <f t="shared" ca="1" si="19"/>
        <v>1.2235975881372552</v>
      </c>
      <c r="D440" s="36">
        <f t="shared" ca="1" si="21"/>
        <v>0.12433752868341608</v>
      </c>
      <c r="E440" s="32">
        <v>0.11912866460668248</v>
      </c>
      <c r="F440" s="35">
        <f t="shared" ca="1" si="20"/>
        <v>3.6841441091617355E-3</v>
      </c>
    </row>
    <row r="441" spans="1:6" x14ac:dyDescent="0.25">
      <c r="A441" s="23">
        <v>440</v>
      </c>
      <c r="B441" s="7" cm="1">
        <f t="array" aca="1" ref="B441" ca="1">interpolexp(A441,serie_du,Taxas_DI)</f>
        <v>0.12281627163253095</v>
      </c>
      <c r="C441" s="37">
        <f t="shared" ca="1" si="19"/>
        <v>1.2241667613057579</v>
      </c>
      <c r="D441" s="36">
        <f t="shared" ca="1" si="21"/>
        <v>0.12433752401001996</v>
      </c>
      <c r="E441" s="32">
        <v>0.11913238494596357</v>
      </c>
      <c r="F441" s="35">
        <f t="shared" ca="1" si="20"/>
        <v>3.6838866865673836E-3</v>
      </c>
    </row>
    <row r="442" spans="1:6" x14ac:dyDescent="0.25">
      <c r="A442" s="23">
        <v>441</v>
      </c>
      <c r="B442" s="7" cm="1">
        <f t="array" aca="1" ref="B442" ca="1">interpolexp(A442,serie_du,Taxas_DI)</f>
        <v>0.12281971884453569</v>
      </c>
      <c r="C442" s="37">
        <f t="shared" ca="1" si="19"/>
        <v>1.2247361992130004</v>
      </c>
      <c r="D442" s="36">
        <f t="shared" ca="1" si="21"/>
        <v>0.1243375193944658</v>
      </c>
      <c r="E442" s="32">
        <v>0.11913608841309653</v>
      </c>
      <c r="F442" s="35">
        <f t="shared" ca="1" si="20"/>
        <v>3.6836304314391555E-3</v>
      </c>
    </row>
    <row r="443" spans="1:6" x14ac:dyDescent="0.25">
      <c r="A443" s="23">
        <v>442</v>
      </c>
      <c r="B443" s="7" cm="1">
        <f t="array" aca="1" ref="B443" ca="1">interpolexp(A443,serie_du,Taxas_DI)</f>
        <v>0.12282315045839542</v>
      </c>
      <c r="C443" s="37">
        <f t="shared" ca="1" si="19"/>
        <v>1.2253059019821415</v>
      </c>
      <c r="D443" s="36">
        <f t="shared" ca="1" si="21"/>
        <v>0.12433751478599708</v>
      </c>
      <c r="E443" s="32">
        <v>0.11913977512258977</v>
      </c>
      <c r="F443" s="35">
        <f t="shared" ca="1" si="20"/>
        <v>3.6833753358056498E-3</v>
      </c>
    </row>
    <row r="444" spans="1:6" x14ac:dyDescent="0.25">
      <c r="A444" s="23">
        <v>443</v>
      </c>
      <c r="B444" s="7" cm="1">
        <f t="array" aca="1" ref="B444" ca="1">interpolexp(A444,serie_du,Taxas_DI)</f>
        <v>0.12282656657975899</v>
      </c>
      <c r="C444" s="37">
        <f t="shared" ca="1" si="19"/>
        <v>1.2258758697365379</v>
      </c>
      <c r="D444" s="36">
        <f t="shared" ca="1" si="21"/>
        <v>0.12433751021707007</v>
      </c>
      <c r="E444" s="32">
        <v>0.1191434451879525</v>
      </c>
      <c r="F444" s="35">
        <f t="shared" ca="1" si="20"/>
        <v>3.6831213918064876E-3</v>
      </c>
    </row>
    <row r="445" spans="1:6" x14ac:dyDescent="0.25">
      <c r="A445" s="23">
        <v>444</v>
      </c>
      <c r="B445" s="7" cm="1">
        <f t="array" aca="1" ref="B445" ca="1">interpolexp(A445,serie_du,Taxas_DI)</f>
        <v>0.12282996731330909</v>
      </c>
      <c r="C445" s="37">
        <f t="shared" ca="1" si="19"/>
        <v>1.2264461025995752</v>
      </c>
      <c r="D445" s="36">
        <f t="shared" ca="1" si="21"/>
        <v>0.124337505680995</v>
      </c>
      <c r="E445" s="32">
        <v>0.11914709872160589</v>
      </c>
      <c r="F445" s="35">
        <f t="shared" ca="1" si="20"/>
        <v>3.6828685917031923E-3</v>
      </c>
    </row>
    <row r="446" spans="1:6" x14ac:dyDescent="0.25">
      <c r="A446" s="23">
        <v>445</v>
      </c>
      <c r="B446" s="7" cm="1">
        <f t="array" aca="1" ref="B446" ca="1">interpolexp(A446,serie_du,Taxas_DI)</f>
        <v>0.12282926411910644</v>
      </c>
      <c r="C446" s="37">
        <f t="shared" ca="1" si="19"/>
        <v>1.2270087107626502</v>
      </c>
      <c r="D446" s="36">
        <f t="shared" ca="1" si="21"/>
        <v>0.12251708939517547</v>
      </c>
      <c r="E446" s="32">
        <v>0.11915073583501634</v>
      </c>
      <c r="F446" s="35">
        <f t="shared" ca="1" si="20"/>
        <v>3.678528284090099E-3</v>
      </c>
    </row>
    <row r="447" spans="1:6" x14ac:dyDescent="0.25">
      <c r="A447" s="23">
        <v>446</v>
      </c>
      <c r="B447" s="7" cm="1">
        <f t="array" aca="1" ref="B447" ca="1">interpolexp(A447,serie_du,Taxas_DI)</f>
        <v>0.12282856407825893</v>
      </c>
      <c r="C447" s="37">
        <f t="shared" ca="1" si="19"/>
        <v>1.2275715770104045</v>
      </c>
      <c r="D447" s="36">
        <f t="shared" ca="1" si="21"/>
        <v>0.12251708920807292</v>
      </c>
      <c r="E447" s="32">
        <v>0.11915435663865104</v>
      </c>
      <c r="F447" s="35">
        <f t="shared" ca="1" si="20"/>
        <v>3.6742074396078905E-3</v>
      </c>
    </row>
    <row r="448" spans="1:6" x14ac:dyDescent="0.25">
      <c r="A448" s="23">
        <v>447</v>
      </c>
      <c r="B448" s="7" cm="1">
        <f t="array" aca="1" ref="B448" ca="1">interpolexp(A448,serie_du,Taxas_DI)</f>
        <v>0.12282786716959482</v>
      </c>
      <c r="C448" s="37">
        <f t="shared" ca="1" si="19"/>
        <v>1.2281347014612189</v>
      </c>
      <c r="D448" s="36">
        <f t="shared" ca="1" si="21"/>
        <v>0.12251708901865888</v>
      </c>
      <c r="E448" s="32">
        <v>0.11915796124193356</v>
      </c>
      <c r="F448" s="35">
        <f t="shared" ca="1" si="20"/>
        <v>3.6699059276612545E-3</v>
      </c>
    </row>
    <row r="449" spans="1:6" x14ac:dyDescent="0.25">
      <c r="A449" s="23">
        <v>448</v>
      </c>
      <c r="B449" s="7" cm="1">
        <f t="array" aca="1" ref="B449" ca="1">interpolexp(A449,serie_du,Taxas_DI)</f>
        <v>0.12282717337213089</v>
      </c>
      <c r="C449" s="37">
        <f t="shared" ca="1" si="19"/>
        <v>1.2286980842335267</v>
      </c>
      <c r="D449" s="36">
        <f t="shared" ca="1" si="21"/>
        <v>0.12251708882654078</v>
      </c>
      <c r="E449" s="32">
        <v>0.11916154975337712</v>
      </c>
      <c r="F449" s="35">
        <f t="shared" ca="1" si="20"/>
        <v>3.6656236187537772E-3</v>
      </c>
    </row>
    <row r="450" spans="1:6" x14ac:dyDescent="0.25">
      <c r="A450" s="23">
        <v>449</v>
      </c>
      <c r="B450" s="7" cm="1">
        <f t="array" aca="1" ref="B450" ca="1">interpolexp(A450,serie_du,Taxas_DI)</f>
        <v>0.12282648266508378</v>
      </c>
      <c r="C450" s="37">
        <f t="shared" ref="C450:C513" ca="1" si="22">(1+B450)^(A450/252)</f>
        <v>1.2292617254458407</v>
      </c>
      <c r="D450" s="36">
        <f t="shared" ca="1" si="21"/>
        <v>0.12251708863765032</v>
      </c>
      <c r="E450" s="32">
        <v>0.11916512228047349</v>
      </c>
      <c r="F450" s="35">
        <f t="shared" ref="F450:F513" ca="1" si="23">B450-E450</f>
        <v>3.6613603846102905E-3</v>
      </c>
    </row>
    <row r="451" spans="1:6" x14ac:dyDescent="0.25">
      <c r="A451" s="23">
        <v>450</v>
      </c>
      <c r="B451" s="7" cm="1">
        <f t="array" aca="1" ref="B451" ca="1">interpolexp(A451,serie_du,Taxas_DI)</f>
        <v>0.12282579502784774</v>
      </c>
      <c r="C451" s="37">
        <f t="shared" ca="1" si="22"/>
        <v>1.2298256252167141</v>
      </c>
      <c r="D451" s="36">
        <f t="shared" ca="1" si="21"/>
        <v>0.12251708844867149</v>
      </c>
      <c r="E451" s="32">
        <v>0.11916867892980409</v>
      </c>
      <c r="F451" s="35">
        <f t="shared" ca="1" si="23"/>
        <v>3.6571160980436446E-3</v>
      </c>
    </row>
    <row r="452" spans="1:6" x14ac:dyDescent="0.25">
      <c r="A452" s="23">
        <v>451</v>
      </c>
      <c r="B452" s="7" cm="1">
        <f t="array" aca="1" ref="B452" ca="1">interpolexp(A452,serie_du,Taxas_DI)</f>
        <v>0.12282511044001687</v>
      </c>
      <c r="C452" s="37">
        <f t="shared" ca="1" si="22"/>
        <v>1.2303897836647879</v>
      </c>
      <c r="D452" s="36">
        <f t="shared" ref="D452:D515" ca="1" si="24">((((1+B452)^(A452/252))/((1+B451)^(A451/252)))^(252/1))-1</f>
        <v>0.12251708826722019</v>
      </c>
      <c r="E452" s="32">
        <v>0.11917221980699555</v>
      </c>
      <c r="F452" s="35">
        <f t="shared" ca="1" si="23"/>
        <v>3.6528906330213218E-3</v>
      </c>
    </row>
    <row r="453" spans="1:6" x14ac:dyDescent="0.25">
      <c r="A453" s="23">
        <v>452</v>
      </c>
      <c r="B453" s="7" cm="1">
        <f t="array" aca="1" ref="B453" ca="1">interpolexp(A453,serie_du,Taxas_DI)</f>
        <v>0.12282442888134071</v>
      </c>
      <c r="C453" s="37">
        <f t="shared" ca="1" si="22"/>
        <v>1.2309542009087087</v>
      </c>
      <c r="D453" s="36">
        <f t="shared" ca="1" si="24"/>
        <v>0.1225170880822013</v>
      </c>
      <c r="E453" s="32">
        <v>0.11917574501667527</v>
      </c>
      <c r="F453" s="35">
        <f t="shared" ca="1" si="23"/>
        <v>3.6486838646654363E-3</v>
      </c>
    </row>
    <row r="454" spans="1:6" x14ac:dyDescent="0.25">
      <c r="A454" s="23">
        <v>453</v>
      </c>
      <c r="B454" s="7" cm="1">
        <f t="array" aca="1" ref="B454" ca="1">interpolexp(A454,serie_du,Taxas_DI)</f>
        <v>0.12282375033174642</v>
      </c>
      <c r="C454" s="37">
        <f t="shared" ca="1" si="22"/>
        <v>1.2315188770671741</v>
      </c>
      <c r="D454" s="36">
        <f t="shared" ca="1" si="24"/>
        <v>0.12251708789281568</v>
      </c>
      <c r="E454" s="32">
        <v>0.11917925466267132</v>
      </c>
      <c r="F454" s="35">
        <f t="shared" ca="1" si="23"/>
        <v>3.6444956690750985E-3</v>
      </c>
    </row>
    <row r="455" spans="1:6" x14ac:dyDescent="0.25">
      <c r="A455" s="23">
        <v>454</v>
      </c>
      <c r="B455" s="7" cm="1">
        <f t="array" aca="1" ref="B455" ca="1">interpolexp(A455,serie_du,Taxas_DI)</f>
        <v>0.12282307477136101</v>
      </c>
      <c r="C455" s="37">
        <f t="shared" ca="1" si="22"/>
        <v>1.2320838122589823</v>
      </c>
      <c r="D455" s="36">
        <f t="shared" ca="1" si="24"/>
        <v>0.1225170877096029</v>
      </c>
      <c r="E455" s="32">
        <v>0.11918274884779034</v>
      </c>
      <c r="F455" s="35">
        <f t="shared" ca="1" si="23"/>
        <v>3.6403259235706642E-3</v>
      </c>
    </row>
    <row r="456" spans="1:6" x14ac:dyDescent="0.25">
      <c r="A456" s="23">
        <v>455</v>
      </c>
      <c r="B456" s="7" cm="1">
        <f t="array" aca="1" ref="B456" ca="1">interpolexp(A456,serie_du,Taxas_DI)</f>
        <v>0.12282240218048912</v>
      </c>
      <c r="C456" s="37">
        <f t="shared" ca="1" si="22"/>
        <v>1.2326490066029916</v>
      </c>
      <c r="D456" s="36">
        <f t="shared" ca="1" si="24"/>
        <v>0.12251708753380353</v>
      </c>
      <c r="E456" s="32">
        <v>0.11918622767397302</v>
      </c>
      <c r="F456" s="35">
        <f t="shared" ca="1" si="23"/>
        <v>3.6361745065160989E-3</v>
      </c>
    </row>
    <row r="457" spans="1:6" x14ac:dyDescent="0.25">
      <c r="A457" s="23">
        <v>456</v>
      </c>
      <c r="B457" s="7" cm="1">
        <f t="array" aca="1" ref="B457" ca="1">interpolexp(A457,serie_du,Taxas_DI)</f>
        <v>0.12282173253956863</v>
      </c>
      <c r="C457" s="37">
        <f t="shared" ca="1" si="22"/>
        <v>1.2332144602180359</v>
      </c>
      <c r="D457" s="36">
        <f t="shared" ca="1" si="24"/>
        <v>0.12251708734742284</v>
      </c>
      <c r="E457" s="32">
        <v>0.11918969124224965</v>
      </c>
      <c r="F457" s="35">
        <f t="shared" ca="1" si="23"/>
        <v>3.6320412973189775E-3</v>
      </c>
    </row>
    <row r="458" spans="1:6" x14ac:dyDescent="0.25">
      <c r="A458" s="23">
        <v>457</v>
      </c>
      <c r="B458" s="7" cm="1">
        <f t="array" aca="1" ref="B458" ca="1">interpolexp(A458,serie_du,Taxas_DI)</f>
        <v>0.12282106582925945</v>
      </c>
      <c r="C458" s="37">
        <f t="shared" ca="1" si="22"/>
        <v>1.2337801732231053</v>
      </c>
      <c r="D458" s="36">
        <f t="shared" ca="1" si="24"/>
        <v>0.12251708717361565</v>
      </c>
      <c r="E458" s="32">
        <v>0.11919313965280676</v>
      </c>
      <c r="F458" s="35">
        <f t="shared" ca="1" si="23"/>
        <v>3.6279261764526893E-3</v>
      </c>
    </row>
    <row r="459" spans="1:6" x14ac:dyDescent="0.25">
      <c r="A459" s="23">
        <v>458</v>
      </c>
      <c r="B459" s="7" cm="1">
        <f t="array" aca="1" ref="B459" ca="1">interpolexp(A459,serie_du,Taxas_DI)</f>
        <v>0.12282040203035471</v>
      </c>
      <c r="C459" s="37">
        <f t="shared" ca="1" si="22"/>
        <v>1.2343461457371729</v>
      </c>
      <c r="D459" s="36">
        <f t="shared" ca="1" si="24"/>
        <v>0.12251708699622088</v>
      </c>
      <c r="E459" s="32">
        <v>0.11919657300492048</v>
      </c>
      <c r="F459" s="35">
        <f t="shared" ca="1" si="23"/>
        <v>3.6238290254342331E-3</v>
      </c>
    </row>
    <row r="460" spans="1:6" x14ac:dyDescent="0.25">
      <c r="A460" s="23">
        <v>459</v>
      </c>
      <c r="B460" s="7" cm="1">
        <f t="array" aca="1" ref="B460" ca="1">interpolexp(A460,serie_du,Taxas_DI)</f>
        <v>0.12281974112380301</v>
      </c>
      <c r="C460" s="37">
        <f t="shared" ca="1" si="22"/>
        <v>1.2349123778792426</v>
      </c>
      <c r="D460" s="36">
        <f t="shared" ca="1" si="24"/>
        <v>0.12251708680955886</v>
      </c>
      <c r="E460" s="32">
        <v>0.11919999139703008</v>
      </c>
      <c r="F460" s="35">
        <f t="shared" ca="1" si="23"/>
        <v>3.6197497267729251E-3</v>
      </c>
    </row>
    <row r="461" spans="1:6" x14ac:dyDescent="0.25">
      <c r="A461" s="23">
        <v>460</v>
      </c>
      <c r="B461" s="7" cm="1">
        <f t="array" aca="1" ref="B461" ca="1">interpolexp(A461,serie_du,Taxas_DI)</f>
        <v>0.12281908309077494</v>
      </c>
      <c r="C461" s="37">
        <f t="shared" ca="1" si="22"/>
        <v>1.2354788697684858</v>
      </c>
      <c r="D461" s="36">
        <f t="shared" ca="1" si="24"/>
        <v>0.12251708663959016</v>
      </c>
      <c r="E461" s="32">
        <v>0.119201043411854</v>
      </c>
      <c r="F461" s="35">
        <f t="shared" ca="1" si="23"/>
        <v>3.6180396789209368E-3</v>
      </c>
    </row>
    <row r="462" spans="1:6" x14ac:dyDescent="0.25">
      <c r="A462" s="23">
        <v>461</v>
      </c>
      <c r="B462" s="7" cm="1">
        <f t="array" aca="1" ref="B462" ca="1">interpolexp(A462,serie_du,Taxas_DI)</f>
        <v>0.12281842791257436</v>
      </c>
      <c r="C462" s="37">
        <f t="shared" ca="1" si="22"/>
        <v>1.2360456215240676</v>
      </c>
      <c r="D462" s="36">
        <f t="shared" ca="1" si="24"/>
        <v>0.12251708647235104</v>
      </c>
      <c r="E462" s="32">
        <v>0.11920209086262457</v>
      </c>
      <c r="F462" s="35">
        <f t="shared" ca="1" si="23"/>
        <v>3.6163370499497915E-3</v>
      </c>
    </row>
    <row r="463" spans="1:6" x14ac:dyDescent="0.25">
      <c r="A463" s="23">
        <v>462</v>
      </c>
      <c r="B463" s="7" cm="1">
        <f t="array" aca="1" ref="B463" ca="1">interpolexp(A463,serie_du,Taxas_DI)</f>
        <v>0.12281777557061613</v>
      </c>
      <c r="C463" s="37">
        <f t="shared" ca="1" si="22"/>
        <v>1.236612633265106</v>
      </c>
      <c r="D463" s="36">
        <f t="shared" ca="1" si="24"/>
        <v>0.12251708628449864</v>
      </c>
      <c r="E463" s="32">
        <v>0.11920313377900005</v>
      </c>
      <c r="F463" s="35">
        <f t="shared" ca="1" si="23"/>
        <v>3.61464179161608E-3</v>
      </c>
    </row>
    <row r="464" spans="1:6" x14ac:dyDescent="0.25">
      <c r="A464" s="23">
        <v>463</v>
      </c>
      <c r="B464" s="7" cm="1">
        <f t="array" aca="1" ref="B464" ca="1">interpolexp(A464,serie_du,Taxas_DI)</f>
        <v>0.12281712604658157</v>
      </c>
      <c r="C464" s="37">
        <f t="shared" ca="1" si="22"/>
        <v>1.2371799051109871</v>
      </c>
      <c r="D464" s="36">
        <f t="shared" ca="1" si="24"/>
        <v>0.12251708612498735</v>
      </c>
      <c r="E464" s="32">
        <v>0.11920417219033475</v>
      </c>
      <c r="F464" s="35">
        <f t="shared" ca="1" si="23"/>
        <v>3.6129538562468255E-3</v>
      </c>
    </row>
    <row r="465" spans="1:6" x14ac:dyDescent="0.25">
      <c r="A465" s="23">
        <v>464</v>
      </c>
      <c r="B465" s="7" cm="1">
        <f t="array" aca="1" ref="B465" ca="1">interpolexp(A465,serie_du,Taxas_DI)</f>
        <v>0.12281647932221862</v>
      </c>
      <c r="C465" s="37">
        <f t="shared" ca="1" si="22"/>
        <v>1.2377474371809667</v>
      </c>
      <c r="D465" s="36">
        <f t="shared" ca="1" si="24"/>
        <v>0.12251708595138155</v>
      </c>
      <c r="E465" s="32">
        <v>0.11920520612578311</v>
      </c>
      <c r="F465" s="35">
        <f t="shared" ca="1" si="23"/>
        <v>3.6112731964355049E-3</v>
      </c>
    </row>
    <row r="466" spans="1:6" x14ac:dyDescent="0.25">
      <c r="A466" s="23">
        <v>465</v>
      </c>
      <c r="B466" s="7" cm="1">
        <f t="array" aca="1" ref="B466" ca="1">interpolexp(A466,serie_du,Taxas_DI)</f>
        <v>0.12281583537947505</v>
      </c>
      <c r="C466" s="37">
        <f t="shared" ca="1" si="22"/>
        <v>1.2383152295944424</v>
      </c>
      <c r="D466" s="36">
        <f t="shared" ca="1" si="24"/>
        <v>0.1225170857835769</v>
      </c>
      <c r="E466" s="32">
        <v>0.11920623561421095</v>
      </c>
      <c r="F466" s="35">
        <f t="shared" ca="1" si="23"/>
        <v>3.6095997652640932E-3</v>
      </c>
    </row>
    <row r="467" spans="1:6" x14ac:dyDescent="0.25">
      <c r="A467" s="23">
        <v>466</v>
      </c>
      <c r="B467" s="7" cm="1">
        <f t="array" aca="1" ref="B467" ca="1">interpolexp(A467,serie_du,Taxas_DI)</f>
        <v>0.12281519420040965</v>
      </c>
      <c r="C467" s="37">
        <f t="shared" ca="1" si="22"/>
        <v>1.2388832824707769</v>
      </c>
      <c r="D467" s="36">
        <f t="shared" ca="1" si="24"/>
        <v>0.12251708560119545</v>
      </c>
      <c r="E467" s="32">
        <v>0.11920726068423981</v>
      </c>
      <c r="F467" s="35">
        <f t="shared" ca="1" si="23"/>
        <v>3.6079335161698367E-3</v>
      </c>
    </row>
    <row r="468" spans="1:6" x14ac:dyDescent="0.25">
      <c r="A468" s="23">
        <v>467</v>
      </c>
      <c r="B468" s="7" cm="1">
        <f t="array" aca="1" ref="B468" ca="1">interpolexp(A468,serie_du,Taxas_DI)</f>
        <v>0.12281455576732547</v>
      </c>
      <c r="C468" s="37">
        <f t="shared" ca="1" si="22"/>
        <v>1.2394515959295731</v>
      </c>
      <c r="D468" s="36">
        <f t="shared" ca="1" si="24"/>
        <v>0.12251708544649698</v>
      </c>
      <c r="E468" s="32">
        <v>0.11920828136424699</v>
      </c>
      <c r="F468" s="35">
        <f t="shared" ca="1" si="23"/>
        <v>3.6062744030784799E-3</v>
      </c>
    </row>
    <row r="469" spans="1:6" x14ac:dyDescent="0.25">
      <c r="A469" s="23">
        <v>468</v>
      </c>
      <c r="B469" s="7" cm="1">
        <f t="array" aca="1" ref="B469" ca="1">interpolexp(A469,serie_du,Taxas_DI)</f>
        <v>0.12281392006256997</v>
      </c>
      <c r="C469" s="37">
        <f t="shared" ca="1" si="22"/>
        <v>1.2400201700902691</v>
      </c>
      <c r="D469" s="36">
        <f t="shared" ca="1" si="24"/>
        <v>0.12251708526931537</v>
      </c>
      <c r="E469" s="32">
        <v>0.11920929768238775</v>
      </c>
      <c r="F469" s="35">
        <f t="shared" ca="1" si="23"/>
        <v>3.6046223801822208E-3</v>
      </c>
    </row>
    <row r="470" spans="1:6" x14ac:dyDescent="0.25">
      <c r="A470" s="23">
        <v>469</v>
      </c>
      <c r="B470" s="7" cm="1">
        <f t="array" aca="1" ref="B470" ca="1">interpolexp(A470,serie_du,Taxas_DI)</f>
        <v>0.12281328706873484</v>
      </c>
      <c r="C470" s="37">
        <f t="shared" ca="1" si="22"/>
        <v>1.240589005072551</v>
      </c>
      <c r="D470" s="36">
        <f t="shared" ca="1" si="24"/>
        <v>0.12251708511381798</v>
      </c>
      <c r="E470" s="32">
        <v>0.11921030966657309</v>
      </c>
      <c r="F470" s="35">
        <f t="shared" ca="1" si="23"/>
        <v>3.6029774021617555E-3</v>
      </c>
    </row>
    <row r="471" spans="1:6" x14ac:dyDescent="0.25">
      <c r="A471" s="23">
        <v>470</v>
      </c>
      <c r="B471" s="7" cm="1">
        <f t="array" aca="1" ref="B471" ca="1">interpolexp(A471,serie_du,Taxas_DI)</f>
        <v>0.12281265676847841</v>
      </c>
      <c r="C471" s="37">
        <f t="shared" ca="1" si="22"/>
        <v>1.2411581009959911</v>
      </c>
      <c r="D471" s="36">
        <f t="shared" ca="1" si="24"/>
        <v>0.12251708494149249</v>
      </c>
      <c r="E471" s="32">
        <v>0.11921131734444756</v>
      </c>
      <c r="F471" s="35">
        <f t="shared" ca="1" si="23"/>
        <v>3.6013394240308472E-3</v>
      </c>
    </row>
    <row r="472" spans="1:6" x14ac:dyDescent="0.25">
      <c r="A472" s="23">
        <v>471</v>
      </c>
      <c r="B472" s="7" cm="1">
        <f t="array" aca="1" ref="B472" ca="1">interpolexp(A472,serie_du,Taxas_DI)</f>
        <v>0.12281202914465883</v>
      </c>
      <c r="C472" s="37">
        <f t="shared" ca="1" si="22"/>
        <v>1.2417274579803259</v>
      </c>
      <c r="D472" s="36">
        <f t="shared" ca="1" si="24"/>
        <v>0.12251708477723677</v>
      </c>
      <c r="E472" s="32">
        <v>0.11921232074343369</v>
      </c>
      <c r="F472" s="35">
        <f t="shared" ca="1" si="23"/>
        <v>3.5997084012251435E-3</v>
      </c>
    </row>
    <row r="473" spans="1:6" x14ac:dyDescent="0.25">
      <c r="A473" s="23">
        <v>472</v>
      </c>
      <c r="B473" s="7" cm="1">
        <f t="array" aca="1" ref="B473" ca="1">interpolexp(A473,serie_du,Taxas_DI)</f>
        <v>0.12281140418026748</v>
      </c>
      <c r="C473" s="37">
        <f t="shared" ca="1" si="22"/>
        <v>1.2422970761453211</v>
      </c>
      <c r="D473" s="36">
        <f t="shared" ca="1" si="24"/>
        <v>0.12251708461521216</v>
      </c>
      <c r="E473" s="32">
        <v>0.11921331989073192</v>
      </c>
      <c r="F473" s="35">
        <f t="shared" ca="1" si="23"/>
        <v>3.5980842895355636E-3</v>
      </c>
    </row>
    <row r="474" spans="1:6" x14ac:dyDescent="0.25">
      <c r="A474" s="23">
        <v>473</v>
      </c>
      <c r="B474" s="7" cm="1">
        <f t="array" aca="1" ref="B474" ca="1">interpolexp(A474,serie_du,Taxas_DI)</f>
        <v>0.12281078185845118</v>
      </c>
      <c r="C474" s="37">
        <f t="shared" ca="1" si="22"/>
        <v>1.2428669556108218</v>
      </c>
      <c r="D474" s="36">
        <f t="shared" ca="1" si="24"/>
        <v>0.12251708446103193</v>
      </c>
      <c r="E474" s="32">
        <v>0.11921431481334288</v>
      </c>
      <c r="F474" s="35">
        <f t="shared" ca="1" si="23"/>
        <v>3.5964670451082981E-3</v>
      </c>
    </row>
    <row r="475" spans="1:6" x14ac:dyDescent="0.25">
      <c r="A475" s="23">
        <v>474</v>
      </c>
      <c r="B475" s="7" cm="1">
        <f t="array" aca="1" ref="B475" ca="1">interpolexp(A475,serie_du,Taxas_DI)</f>
        <v>0.12281016216244556</v>
      </c>
      <c r="C475" s="37">
        <f t="shared" ca="1" si="22"/>
        <v>1.2434370964966166</v>
      </c>
      <c r="D475" s="36">
        <f t="shared" ca="1" si="24"/>
        <v>0.12251708428918451</v>
      </c>
      <c r="E475" s="32">
        <v>0.11921530553797854</v>
      </c>
      <c r="F475" s="35">
        <f t="shared" ca="1" si="23"/>
        <v>3.5948566244670133E-3</v>
      </c>
    </row>
    <row r="476" spans="1:6" x14ac:dyDescent="0.25">
      <c r="A476" s="23">
        <v>475</v>
      </c>
      <c r="B476" s="7" cm="1">
        <f t="array" aca="1" ref="B476" ca="1">interpolexp(A476,serie_du,Taxas_DI)</f>
        <v>0.12280954507570829</v>
      </c>
      <c r="C476" s="37">
        <f t="shared" ca="1" si="22"/>
        <v>1.2440074989227181</v>
      </c>
      <c r="D476" s="36">
        <f t="shared" ca="1" si="24"/>
        <v>0.12251708413825346</v>
      </c>
      <c r="E476" s="32">
        <v>0.11921629209112883</v>
      </c>
      <c r="F476" s="35">
        <f t="shared" ca="1" si="23"/>
        <v>3.5932529845794647E-3</v>
      </c>
    </row>
    <row r="477" spans="1:6" x14ac:dyDescent="0.25">
      <c r="A477" s="23">
        <v>476</v>
      </c>
      <c r="B477" s="7" cm="1">
        <f t="array" aca="1" ref="B477" ca="1">interpolexp(A477,serie_du,Taxas_DI)</f>
        <v>0.12280893058178588</v>
      </c>
      <c r="C477" s="37">
        <f t="shared" ca="1" si="22"/>
        <v>1.2445781630090886</v>
      </c>
      <c r="D477" s="36">
        <f t="shared" ca="1" si="24"/>
        <v>0.12251708398426109</v>
      </c>
      <c r="E477" s="32">
        <v>0.11921727449910602</v>
      </c>
      <c r="F477" s="35">
        <f t="shared" ca="1" si="23"/>
        <v>3.5916560826798616E-3</v>
      </c>
    </row>
    <row r="478" spans="1:6" x14ac:dyDescent="0.25">
      <c r="A478" s="23">
        <v>477</v>
      </c>
      <c r="B478" s="7" cm="1">
        <f t="array" aca="1" ref="B478" ca="1">interpolexp(A478,serie_du,Taxas_DI)</f>
        <v>0.12280831866435804</v>
      </c>
      <c r="C478" s="37">
        <f t="shared" ca="1" si="22"/>
        <v>1.2451490888757357</v>
      </c>
      <c r="D478" s="36">
        <f t="shared" ca="1" si="24"/>
        <v>0.12251708382496851</v>
      </c>
      <c r="E478" s="32">
        <v>0.11921825278800036</v>
      </c>
      <c r="F478" s="35">
        <f t="shared" ca="1" si="23"/>
        <v>3.5900658763576843E-3</v>
      </c>
    </row>
    <row r="479" spans="1:6" x14ac:dyDescent="0.25">
      <c r="A479" s="23">
        <v>478</v>
      </c>
      <c r="B479" s="7" cm="1">
        <f t="array" aca="1" ref="B479" ca="1">interpolexp(A479,serie_du,Taxas_DI)</f>
        <v>0.12280770930723772</v>
      </c>
      <c r="C479" s="37">
        <f t="shared" ca="1" si="22"/>
        <v>1.2457202766427149</v>
      </c>
      <c r="D479" s="36">
        <f t="shared" ca="1" si="24"/>
        <v>0.12251708365873282</v>
      </c>
      <c r="E479" s="32">
        <v>0.11921922698363563</v>
      </c>
      <c r="F479" s="35">
        <f t="shared" ca="1" si="23"/>
        <v>3.5884823236020935E-3</v>
      </c>
    </row>
    <row r="480" spans="1:6" x14ac:dyDescent="0.25">
      <c r="A480" s="23">
        <v>479</v>
      </c>
      <c r="B480" s="7" cm="1">
        <f t="array" aca="1" ref="B480" ca="1">interpolexp(A480,serie_du,Taxas_DI)</f>
        <v>0.12280710249439331</v>
      </c>
      <c r="C480" s="37">
        <f t="shared" ca="1" si="22"/>
        <v>1.2462917264301794</v>
      </c>
      <c r="D480" s="36">
        <f t="shared" ca="1" si="24"/>
        <v>0.12251708349528534</v>
      </c>
      <c r="E480" s="32">
        <v>0.11922019711165799</v>
      </c>
      <c r="F480" s="35">
        <f t="shared" ca="1" si="23"/>
        <v>3.586905382735317E-3</v>
      </c>
    </row>
    <row r="481" spans="1:6" x14ac:dyDescent="0.25">
      <c r="A481" s="23">
        <v>480</v>
      </c>
      <c r="B481" s="7" cm="1">
        <f t="array" aca="1" ref="B481" ca="1">interpolexp(A481,serie_du,Taxas_DI)</f>
        <v>0.1228064982099708</v>
      </c>
      <c r="C481" s="37">
        <f t="shared" ca="1" si="22"/>
        <v>1.2468634383584305</v>
      </c>
      <c r="D481" s="36">
        <f t="shared" ca="1" si="24"/>
        <v>0.12251708335572253</v>
      </c>
      <c r="E481" s="32">
        <v>0.11922116319749154</v>
      </c>
      <c r="F481" s="35">
        <f t="shared" ca="1" si="23"/>
        <v>3.5853350124792627E-3</v>
      </c>
    </row>
    <row r="482" spans="1:6" x14ac:dyDescent="0.25">
      <c r="A482" s="23">
        <v>481</v>
      </c>
      <c r="B482" s="7" cm="1">
        <f t="array" aca="1" ref="B482" ca="1">interpolexp(A482,serie_du,Taxas_DI)</f>
        <v>0.12280589643818285</v>
      </c>
      <c r="C482" s="37">
        <f t="shared" ca="1" si="22"/>
        <v>1.2474354125476865</v>
      </c>
      <c r="D482" s="36">
        <f t="shared" ca="1" si="24"/>
        <v>0.12251708320863486</v>
      </c>
      <c r="E482" s="32">
        <v>0.11922212526636056</v>
      </c>
      <c r="F482" s="35">
        <f t="shared" ca="1" si="23"/>
        <v>3.583771171822292E-3</v>
      </c>
    </row>
    <row r="483" spans="1:6" x14ac:dyDescent="0.25">
      <c r="A483" s="23">
        <v>482</v>
      </c>
      <c r="B483" s="7" cm="1">
        <f t="array" aca="1" ref="B483" ca="1">interpolexp(A483,serie_du,Taxas_DI)</f>
        <v>0.12280529716335309</v>
      </c>
      <c r="C483" s="37">
        <f t="shared" ca="1" si="22"/>
        <v>1.2480076491181786</v>
      </c>
      <c r="D483" s="36">
        <f t="shared" ca="1" si="24"/>
        <v>0.12251708304453079</v>
      </c>
      <c r="E483" s="32">
        <v>0.11922308334324505</v>
      </c>
      <c r="F483" s="35">
        <f t="shared" ca="1" si="23"/>
        <v>3.5822138201080378E-3</v>
      </c>
    </row>
    <row r="484" spans="1:6" x14ac:dyDescent="0.25">
      <c r="A484" s="23">
        <v>483</v>
      </c>
      <c r="B484" s="7" cm="1">
        <f t="array" aca="1" ref="B484" ca="1">interpolexp(A484,serie_du,Taxas_DI)</f>
        <v>0.12280470036998281</v>
      </c>
      <c r="C484" s="37">
        <f t="shared" ca="1" si="22"/>
        <v>1.2485801481902945</v>
      </c>
      <c r="D484" s="36">
        <f t="shared" ca="1" si="24"/>
        <v>0.12251708288627539</v>
      </c>
      <c r="E484" s="32">
        <v>0.1192240374529252</v>
      </c>
      <c r="F484" s="35">
        <f t="shared" ca="1" si="23"/>
        <v>3.5806629170576088E-3</v>
      </c>
    </row>
    <row r="485" spans="1:6" x14ac:dyDescent="0.25">
      <c r="A485" s="23">
        <v>484</v>
      </c>
      <c r="B485" s="7" cm="1">
        <f t="array" aca="1" ref="B485" ca="1">interpolexp(A485,serie_du,Taxas_DI)</f>
        <v>0.12280410604275094</v>
      </c>
      <c r="C485" s="37">
        <f t="shared" ca="1" si="22"/>
        <v>1.2491529098845833</v>
      </c>
      <c r="D485" s="36">
        <f t="shared" ca="1" si="24"/>
        <v>0.12251708275799889</v>
      </c>
      <c r="E485" s="32">
        <v>0.11922498762002576</v>
      </c>
      <c r="F485" s="35">
        <f t="shared" ca="1" si="23"/>
        <v>3.5791184227251804E-3</v>
      </c>
    </row>
    <row r="486" spans="1:6" x14ac:dyDescent="0.25">
      <c r="A486" s="23">
        <v>485</v>
      </c>
      <c r="B486" s="7" cm="1">
        <f t="array" aca="1" ref="B486" ca="1">interpolexp(A486,serie_du,Taxas_DI)</f>
        <v>0.12280351416631419</v>
      </c>
      <c r="C486" s="37">
        <f t="shared" ca="1" si="22"/>
        <v>1.2497259343213309</v>
      </c>
      <c r="D486" s="36">
        <f t="shared" ca="1" si="24"/>
        <v>0.12251708258753036</v>
      </c>
      <c r="E486" s="32">
        <v>0.11922593386892721</v>
      </c>
      <c r="F486" s="35">
        <f t="shared" ca="1" si="23"/>
        <v>3.577580297386973E-3</v>
      </c>
    </row>
    <row r="487" spans="1:6" x14ac:dyDescent="0.25">
      <c r="A487" s="23">
        <v>486</v>
      </c>
      <c r="B487" s="7" cm="1">
        <f t="array" aca="1" ref="B487" ca="1">interpolexp(A487,serie_du,Taxas_DI)</f>
        <v>0.12280292472559573</v>
      </c>
      <c r="C487" s="37">
        <f t="shared" ca="1" si="22"/>
        <v>1.2502992216211797</v>
      </c>
      <c r="D487" s="36">
        <f t="shared" ca="1" si="24"/>
        <v>0.12251708244307702</v>
      </c>
      <c r="E487" s="32">
        <v>0.11922687622378803</v>
      </c>
      <c r="F487" s="35">
        <f t="shared" ca="1" si="23"/>
        <v>3.5760485018077048E-3</v>
      </c>
    </row>
    <row r="488" spans="1:6" x14ac:dyDescent="0.25">
      <c r="A488" s="23">
        <v>487</v>
      </c>
      <c r="B488" s="7" cm="1">
        <f t="array" aca="1" ref="B488" ca="1">interpolexp(A488,serie_du,Taxas_DI)</f>
        <v>0.12280233770558535</v>
      </c>
      <c r="C488" s="37">
        <f t="shared" ca="1" si="22"/>
        <v>1.2508727719047039</v>
      </c>
      <c r="D488" s="36">
        <f t="shared" ca="1" si="24"/>
        <v>0.12251708229679625</v>
      </c>
      <c r="E488" s="32">
        <v>0.11922781470863342</v>
      </c>
      <c r="F488" s="35">
        <f t="shared" ca="1" si="23"/>
        <v>3.5745229969519343E-3</v>
      </c>
    </row>
    <row r="489" spans="1:6" x14ac:dyDescent="0.25">
      <c r="A489" s="23">
        <v>488</v>
      </c>
      <c r="B489" s="7" cm="1">
        <f t="array" aca="1" ref="B489" ca="1">interpolexp(A489,serie_du,Taxas_DI)</f>
        <v>0.12280175309140606</v>
      </c>
      <c r="C489" s="37">
        <f t="shared" ca="1" si="22"/>
        <v>1.2514465852925551</v>
      </c>
      <c r="D489" s="36">
        <f t="shared" ca="1" si="24"/>
        <v>0.12251708215353174</v>
      </c>
      <c r="E489" s="32">
        <v>0.11922874934724437</v>
      </c>
      <c r="F489" s="35">
        <f t="shared" ca="1" si="23"/>
        <v>3.5730037441616957E-3</v>
      </c>
    </row>
    <row r="490" spans="1:6" x14ac:dyDescent="0.25">
      <c r="A490" s="23">
        <v>489</v>
      </c>
      <c r="B490" s="7" cm="1">
        <f t="array" aca="1" ref="B490" ca="1">interpolexp(A490,serie_du,Taxas_DI)</f>
        <v>0.12280117086826969</v>
      </c>
      <c r="C490" s="37">
        <f t="shared" ca="1" si="22"/>
        <v>1.2520206619053693</v>
      </c>
      <c r="D490" s="36">
        <f t="shared" ca="1" si="24"/>
        <v>0.12251708199728384</v>
      </c>
      <c r="E490" s="32">
        <v>0.11922968016320201</v>
      </c>
      <c r="F490" s="35">
        <f t="shared" ca="1" si="23"/>
        <v>3.5714907050676814E-3</v>
      </c>
    </row>
    <row r="491" spans="1:6" x14ac:dyDescent="0.25">
      <c r="A491" s="23">
        <v>490</v>
      </c>
      <c r="B491" s="7" cm="1">
        <f t="array" aca="1" ref="B491" ca="1">interpolexp(A491,serie_du,Taxas_DI)</f>
        <v>0.12280059102158791</v>
      </c>
      <c r="C491" s="37">
        <f t="shared" ca="1" si="22"/>
        <v>1.2525950018640089</v>
      </c>
      <c r="D491" s="36">
        <f t="shared" ca="1" si="24"/>
        <v>0.12251708186674959</v>
      </c>
      <c r="E491" s="32">
        <v>0.11923060717993206</v>
      </c>
      <c r="F491" s="35">
        <f t="shared" ca="1" si="23"/>
        <v>3.5699838416558549E-3</v>
      </c>
    </row>
    <row r="492" spans="1:6" x14ac:dyDescent="0.25">
      <c r="A492" s="23">
        <v>491</v>
      </c>
      <c r="B492" s="7" cm="1">
        <f t="array" aca="1" ref="B492" ca="1">interpolexp(A492,serie_du,Taxas_DI)</f>
        <v>0.12280001353679459</v>
      </c>
      <c r="C492" s="37">
        <f t="shared" ca="1" si="22"/>
        <v>1.2531696052891821</v>
      </c>
      <c r="D492" s="36">
        <f t="shared" ca="1" si="24"/>
        <v>0.12251708171447295</v>
      </c>
      <c r="E492" s="32">
        <v>0.11923153042061596</v>
      </c>
      <c r="F492" s="35">
        <f t="shared" ca="1" si="23"/>
        <v>3.5684831161786335E-3</v>
      </c>
    </row>
    <row r="493" spans="1:6" x14ac:dyDescent="0.25">
      <c r="A493" s="23">
        <v>492</v>
      </c>
      <c r="B493" s="7" cm="1">
        <f t="array" aca="1" ref="B493" ca="1">interpolexp(A493,serie_du,Taxas_DI)</f>
        <v>0.12279943839950125</v>
      </c>
      <c r="C493" s="37">
        <f t="shared" ca="1" si="22"/>
        <v>1.2537444723017812</v>
      </c>
      <c r="D493" s="36">
        <f t="shared" ca="1" si="24"/>
        <v>0.12251708156970831</v>
      </c>
      <c r="E493" s="32">
        <v>0.11923244990830195</v>
      </c>
      <c r="F493" s="35">
        <f t="shared" ca="1" si="23"/>
        <v>3.5669884911992966E-3</v>
      </c>
    </row>
    <row r="494" spans="1:6" x14ac:dyDescent="0.25">
      <c r="A494" s="23">
        <v>493</v>
      </c>
      <c r="B494" s="7" cm="1">
        <f t="array" aca="1" ref="B494" ca="1">interpolexp(A494,serie_du,Taxas_DI)</f>
        <v>0.1227988655954082</v>
      </c>
      <c r="C494" s="37">
        <f t="shared" ca="1" si="22"/>
        <v>1.2543196030226933</v>
      </c>
      <c r="D494" s="36">
        <f t="shared" ca="1" si="24"/>
        <v>0.12251708141859807</v>
      </c>
      <c r="E494" s="32">
        <v>0.11923336566581622</v>
      </c>
      <c r="F494" s="35">
        <f t="shared" ca="1" si="23"/>
        <v>3.5654999295919865E-3</v>
      </c>
    </row>
    <row r="495" spans="1:6" x14ac:dyDescent="0.25">
      <c r="A495" s="23">
        <v>494</v>
      </c>
      <c r="B495" s="7" cm="1">
        <f t="array" aca="1" ref="B495" ca="1">interpolexp(A495,serie_du,Taxas_DI)</f>
        <v>0.12279829511039342</v>
      </c>
      <c r="C495" s="37">
        <f t="shared" ca="1" si="22"/>
        <v>1.2548949975729955</v>
      </c>
      <c r="D495" s="36">
        <f t="shared" ca="1" si="24"/>
        <v>0.12251708129151484</v>
      </c>
      <c r="E495" s="32">
        <v>0.11923427771582951</v>
      </c>
      <c r="F495" s="35">
        <f t="shared" ca="1" si="23"/>
        <v>3.564017394563912E-3</v>
      </c>
    </row>
    <row r="496" spans="1:6" x14ac:dyDescent="0.25">
      <c r="A496" s="23">
        <v>495</v>
      </c>
      <c r="B496" s="7" cm="1">
        <f t="array" aca="1" ref="B496" ca="1">interpolexp(A496,serie_du,Taxas_DI)</f>
        <v>0.12279772693035707</v>
      </c>
      <c r="C496" s="37">
        <f t="shared" ca="1" si="22"/>
        <v>1.25547065607362</v>
      </c>
      <c r="D496" s="36">
        <f t="shared" ca="1" si="24"/>
        <v>0.12251708114330961</v>
      </c>
      <c r="E496" s="32">
        <v>0.11923518608079053</v>
      </c>
      <c r="F496" s="35">
        <f t="shared" ca="1" si="23"/>
        <v>3.5625408495665312E-3</v>
      </c>
    </row>
    <row r="497" spans="1:6" x14ac:dyDescent="0.25">
      <c r="A497" s="23">
        <v>496</v>
      </c>
      <c r="B497" s="7" cm="1">
        <f t="array" aca="1" ref="B497" ca="1">interpolexp(A497,serie_du,Taxas_DI)</f>
        <v>0.12279716104137695</v>
      </c>
      <c r="C497" s="37">
        <f t="shared" ca="1" si="22"/>
        <v>1.2560465786456936</v>
      </c>
      <c r="D497" s="36">
        <f t="shared" ca="1" si="24"/>
        <v>0.12251708100537129</v>
      </c>
      <c r="E497" s="32">
        <v>0.11923609078301478</v>
      </c>
      <c r="F497" s="35">
        <f t="shared" ca="1" si="23"/>
        <v>3.5610702583621645E-3</v>
      </c>
    </row>
    <row r="498" spans="1:6" x14ac:dyDescent="0.25">
      <c r="A498" s="23">
        <v>497</v>
      </c>
      <c r="B498" s="7" cm="1">
        <f t="array" aca="1" ref="B498" ca="1">interpolexp(A498,serie_du,Taxas_DI)</f>
        <v>0.12279659742961968</v>
      </c>
      <c r="C498" s="37">
        <f t="shared" ca="1" si="22"/>
        <v>1.2566227654103488</v>
      </c>
      <c r="D498" s="36">
        <f t="shared" ca="1" si="24"/>
        <v>0.12251708086631719</v>
      </c>
      <c r="E498" s="32">
        <v>0.11923699184459569</v>
      </c>
      <c r="F498" s="35">
        <f t="shared" ca="1" si="23"/>
        <v>3.5596055850239949E-3</v>
      </c>
    </row>
    <row r="499" spans="1:6" x14ac:dyDescent="0.25">
      <c r="A499" s="23">
        <v>498</v>
      </c>
      <c r="B499" s="7" cm="1">
        <f t="array" aca="1" ref="B499" ca="1">interpolexp(A499,serie_du,Taxas_DI)</f>
        <v>0.12279603608136291</v>
      </c>
      <c r="C499" s="37">
        <f t="shared" ca="1" si="22"/>
        <v>1.2571992164887726</v>
      </c>
      <c r="D499" s="36">
        <f t="shared" ca="1" si="24"/>
        <v>0.12251708072605361</v>
      </c>
      <c r="E499" s="32">
        <v>0.11923788928744905</v>
      </c>
      <c r="F499" s="35">
        <f t="shared" ca="1" si="23"/>
        <v>3.5581467939138633E-3</v>
      </c>
    </row>
    <row r="500" spans="1:6" x14ac:dyDescent="0.25">
      <c r="A500" s="23">
        <v>499</v>
      </c>
      <c r="B500" s="7" cm="1">
        <f t="array" aca="1" ref="B500" ca="1">interpolexp(A500,serie_du,Taxas_DI)</f>
        <v>0.12279547698299531</v>
      </c>
      <c r="C500" s="37">
        <f t="shared" ca="1" si="22"/>
        <v>1.2577759320022099</v>
      </c>
      <c r="D500" s="36">
        <f t="shared" ca="1" si="24"/>
        <v>0.12251708058504951</v>
      </c>
      <c r="E500" s="32">
        <v>0.11923878313335745</v>
      </c>
      <c r="F500" s="35">
        <f t="shared" ca="1" si="23"/>
        <v>3.5566938496378597E-3</v>
      </c>
    </row>
    <row r="501" spans="1:6" x14ac:dyDescent="0.25">
      <c r="A501" s="23">
        <v>500</v>
      </c>
      <c r="B501" s="7" cm="1">
        <f t="array" aca="1" ref="B501" ca="1">interpolexp(A501,serie_du,Taxas_DI)</f>
        <v>0.12279492012103876</v>
      </c>
      <c r="C501" s="37">
        <f t="shared" ca="1" si="22"/>
        <v>1.2583529120720154</v>
      </c>
      <c r="D501" s="36">
        <f t="shared" ca="1" si="24"/>
        <v>0.12251708045546739</v>
      </c>
      <c r="E501" s="32">
        <v>0.11923967340388142</v>
      </c>
      <c r="F501" s="35">
        <f t="shared" ca="1" si="23"/>
        <v>3.5552467171573454E-3</v>
      </c>
    </row>
    <row r="502" spans="1:6" x14ac:dyDescent="0.25">
      <c r="A502" s="23">
        <v>501</v>
      </c>
      <c r="B502" s="7" cm="1">
        <f t="array" aca="1" ref="B502" ca="1">interpolexp(A502,serie_du,Taxas_DI)</f>
        <v>0.12279436548208178</v>
      </c>
      <c r="C502" s="37">
        <f t="shared" ca="1" si="22"/>
        <v>1.2589301568195086</v>
      </c>
      <c r="D502" s="36">
        <f t="shared" ca="1" si="24"/>
        <v>0.12251708031689867</v>
      </c>
      <c r="E502" s="32">
        <v>0.11924056012042605</v>
      </c>
      <c r="F502" s="35">
        <f t="shared" ca="1" si="23"/>
        <v>3.5538053616557264E-3</v>
      </c>
    </row>
    <row r="503" spans="1:6" x14ac:dyDescent="0.25">
      <c r="A503" s="23">
        <v>502</v>
      </c>
      <c r="B503" s="7" cm="1">
        <f t="array" aca="1" ref="B503" ca="1">interpolexp(A503,serie_du,Taxas_DI)</f>
        <v>0.12279381305284609</v>
      </c>
      <c r="C503" s="37">
        <f t="shared" ca="1" si="22"/>
        <v>1.2595076663661224</v>
      </c>
      <c r="D503" s="36">
        <f t="shared" ca="1" si="24"/>
        <v>0.12251708018236784</v>
      </c>
      <c r="E503" s="32">
        <v>0.11924144330426323</v>
      </c>
      <c r="F503" s="35">
        <f t="shared" ca="1" si="23"/>
        <v>3.552369748582862E-3</v>
      </c>
    </row>
    <row r="504" spans="1:6" x14ac:dyDescent="0.25">
      <c r="A504" s="23">
        <v>503</v>
      </c>
      <c r="B504" s="7" cm="1">
        <f t="array" aca="1" ref="B504" ca="1">interpolexp(A504,serie_du,Taxas_DI)</f>
        <v>0.12279326282014225</v>
      </c>
      <c r="C504" s="37">
        <f t="shared" ca="1" si="22"/>
        <v>1.2600854408333086</v>
      </c>
      <c r="D504" s="36">
        <f t="shared" ca="1" si="24"/>
        <v>0.12251708004348405</v>
      </c>
      <c r="E504" s="32">
        <v>0.11924232297644277</v>
      </c>
      <c r="F504" s="35">
        <f t="shared" ca="1" si="23"/>
        <v>3.5509398436994744E-3</v>
      </c>
    </row>
    <row r="505" spans="1:6" x14ac:dyDescent="0.25">
      <c r="A505" s="23">
        <v>504</v>
      </c>
      <c r="B505" s="7" cm="1">
        <f t="array" aca="1" ref="B505" ca="1">interpolexp(A505,serie_du,Taxas_DI)</f>
        <v>0.12279271477091402</v>
      </c>
      <c r="C505" s="37">
        <f t="shared" ca="1" si="22"/>
        <v>1.2606634803426391</v>
      </c>
      <c r="D505" s="36">
        <f t="shared" ca="1" si="24"/>
        <v>0.12251707991478589</v>
      </c>
      <c r="E505" s="32">
        <v>0.11924319915785908</v>
      </c>
      <c r="F505" s="35">
        <f t="shared" ca="1" si="23"/>
        <v>3.5495156130549432E-3</v>
      </c>
    </row>
    <row r="506" spans="1:6" x14ac:dyDescent="0.25">
      <c r="A506" s="23">
        <v>505</v>
      </c>
      <c r="B506" s="7" cm="1">
        <f t="array" aca="1" ref="B506" ca="1">interpolexp(A506,serie_du,Taxas_DI)</f>
        <v>0.12279216889217182</v>
      </c>
      <c r="C506" s="37">
        <f t="shared" ca="1" si="22"/>
        <v>1.2612417850156576</v>
      </c>
      <c r="D506" s="36">
        <f t="shared" ca="1" si="24"/>
        <v>0.12251707977748372</v>
      </c>
      <c r="E506" s="32">
        <v>0.11924407186927333</v>
      </c>
      <c r="F506" s="35">
        <f t="shared" ca="1" si="23"/>
        <v>3.5480970228984887E-3</v>
      </c>
    </row>
    <row r="507" spans="1:6" x14ac:dyDescent="0.25">
      <c r="A507" s="23">
        <v>506</v>
      </c>
      <c r="B507" s="7" cm="1">
        <f t="array" aca="1" ref="B507" ca="1">interpolexp(A507,serie_du,Taxas_DI)</f>
        <v>0.12279162517108144</v>
      </c>
      <c r="C507" s="37">
        <f t="shared" ca="1" si="22"/>
        <v>1.2618203549740838</v>
      </c>
      <c r="D507" s="36">
        <f t="shared" ca="1" si="24"/>
        <v>0.12251707965843939</v>
      </c>
      <c r="E507" s="32">
        <v>0.11924494113122464</v>
      </c>
      <c r="F507" s="35">
        <f t="shared" ca="1" si="23"/>
        <v>3.5466840398568067E-3</v>
      </c>
    </row>
    <row r="508" spans="1:6" x14ac:dyDescent="0.25">
      <c r="A508" s="23">
        <v>507</v>
      </c>
      <c r="B508" s="7" cm="1">
        <f t="array" aca="1" ref="B508" ca="1">interpolexp(A508,serie_du,Taxas_DI)</f>
        <v>0.12279108359483093</v>
      </c>
      <c r="C508" s="37">
        <f t="shared" ca="1" si="22"/>
        <v>1.2623991903395133</v>
      </c>
      <c r="D508" s="36">
        <f t="shared" ca="1" si="24"/>
        <v>0.12251707951731539</v>
      </c>
      <c r="E508" s="32">
        <v>0.11924580696414111</v>
      </c>
      <c r="F508" s="35">
        <f t="shared" ca="1" si="23"/>
        <v>3.5452766306898198E-3</v>
      </c>
    </row>
    <row r="509" spans="1:6" x14ac:dyDescent="0.25">
      <c r="A509" s="23">
        <v>508</v>
      </c>
      <c r="B509" s="7" cm="1">
        <f t="array" aca="1" ref="B509" ca="1">interpolexp(A509,serie_du,Taxas_DI)</f>
        <v>0.12279054415076374</v>
      </c>
      <c r="C509" s="37">
        <f t="shared" ca="1" si="22"/>
        <v>1.262978291233722</v>
      </c>
      <c r="D509" s="36">
        <f t="shared" ca="1" si="24"/>
        <v>0.12251707938207512</v>
      </c>
      <c r="E509" s="32">
        <v>0.11924666938827322</v>
      </c>
      <c r="F509" s="35">
        <f t="shared" ca="1" si="23"/>
        <v>3.5438747624905176E-3</v>
      </c>
    </row>
    <row r="510" spans="1:6" x14ac:dyDescent="0.25">
      <c r="A510" s="23">
        <v>509</v>
      </c>
      <c r="B510" s="7" cm="1">
        <f t="array" aca="1" ref="B510" ca="1">interpolexp(A510,serie_du,Taxas_DI)</f>
        <v>0.12279000682632635</v>
      </c>
      <c r="C510" s="37">
        <f t="shared" ca="1" si="22"/>
        <v>1.2635576577785492</v>
      </c>
      <c r="D510" s="36">
        <f t="shared" ca="1" si="24"/>
        <v>0.12251707925442901</v>
      </c>
      <c r="E510" s="32">
        <v>0.119247528423716</v>
      </c>
      <c r="F510" s="35">
        <f t="shared" ca="1" si="23"/>
        <v>3.5424784026103495E-3</v>
      </c>
    </row>
    <row r="511" spans="1:6" x14ac:dyDescent="0.25">
      <c r="A511" s="23">
        <v>510</v>
      </c>
      <c r="B511" s="7" cm="1">
        <f t="array" aca="1" ref="B511" ca="1">interpolexp(A511,serie_du,Taxas_DI)</f>
        <v>0.12278458908274725</v>
      </c>
      <c r="C511" s="37">
        <f t="shared" ca="1" si="22"/>
        <v>1.2641261648614321</v>
      </c>
      <c r="D511" s="36">
        <f t="shared" ca="1" si="24"/>
        <v>0.12003034792754907</v>
      </c>
      <c r="E511" s="32">
        <v>0.11924838409043126</v>
      </c>
      <c r="F511" s="35">
        <f t="shared" ca="1" si="23"/>
        <v>3.5362049923159944E-3</v>
      </c>
    </row>
    <row r="512" spans="1:6" x14ac:dyDescent="0.25">
      <c r="A512" s="23">
        <v>511</v>
      </c>
      <c r="B512" s="7" cm="1">
        <f t="array" aca="1" ref="B512" ca="1">interpolexp(A512,serie_du,Taxas_DI)</f>
        <v>0.12277919254395364</v>
      </c>
      <c r="C512" s="37">
        <f t="shared" ca="1" si="22"/>
        <v>1.2646949276716177</v>
      </c>
      <c r="D512" s="36">
        <f t="shared" ca="1" si="24"/>
        <v>0.12003033483764391</v>
      </c>
      <c r="E512" s="32">
        <v>0.11924923640811436</v>
      </c>
      <c r="F512" s="35">
        <f t="shared" ca="1" si="23"/>
        <v>3.529956135839285E-3</v>
      </c>
    </row>
    <row r="513" spans="1:6" x14ac:dyDescent="0.25">
      <c r="A513" s="23">
        <v>512</v>
      </c>
      <c r="B513" s="7" cm="1">
        <f t="array" aca="1" ref="B513" ca="1">interpolexp(A513,serie_du,Taxas_DI)</f>
        <v>0.12277381708563073</v>
      </c>
      <c r="C513" s="37">
        <f t="shared" ca="1" si="22"/>
        <v>1.2652639463243036</v>
      </c>
      <c r="D513" s="36">
        <f t="shared" ca="1" si="24"/>
        <v>0.12003032179066619</v>
      </c>
      <c r="E513" s="32">
        <v>0.11925008539646065</v>
      </c>
      <c r="F513" s="35">
        <f t="shared" ca="1" si="23"/>
        <v>3.5237316891700843E-3</v>
      </c>
    </row>
    <row r="514" spans="1:6" x14ac:dyDescent="0.25">
      <c r="A514" s="23">
        <v>513</v>
      </c>
      <c r="B514" s="7" cm="1">
        <f t="array" aca="1" ref="B514" ca="1">interpolexp(A514,serie_du,Taxas_DI)</f>
        <v>0.12276846258458818</v>
      </c>
      <c r="C514" s="37">
        <f t="shared" ref="C514:C577" ca="1" si="25">(1+B514)^(A514/252)</f>
        <v>1.265833220935092</v>
      </c>
      <c r="D514" s="36">
        <f t="shared" ca="1" si="24"/>
        <v>0.12003030886507493</v>
      </c>
      <c r="E514" s="32">
        <v>0.11925093107492124</v>
      </c>
      <c r="F514" s="35">
        <f t="shared" ref="F514:F577" ca="1" si="26">B514-E514</f>
        <v>3.5175315096669379E-3</v>
      </c>
    </row>
    <row r="515" spans="1:6" x14ac:dyDescent="0.25">
      <c r="A515" s="23">
        <v>514</v>
      </c>
      <c r="B515" s="7" cm="1">
        <f t="array" aca="1" ref="B515" ca="1">interpolexp(A515,serie_du,Taxas_DI)</f>
        <v>0.1227631289184572</v>
      </c>
      <c r="C515" s="37">
        <f t="shared" ca="1" si="25"/>
        <v>1.2664027516193201</v>
      </c>
      <c r="D515" s="36">
        <f t="shared" ca="1" si="24"/>
        <v>0.12003029599010717</v>
      </c>
      <c r="E515" s="32">
        <v>0.11925177346281401</v>
      </c>
      <c r="F515" s="35">
        <f t="shared" ca="1" si="26"/>
        <v>3.5113554556431836E-3</v>
      </c>
    </row>
    <row r="516" spans="1:6" x14ac:dyDescent="0.25">
      <c r="A516" s="23">
        <v>515</v>
      </c>
      <c r="B516" s="7" cm="1">
        <f t="array" aca="1" ref="B516" ca="1">interpolexp(A516,serie_du,Taxas_DI)</f>
        <v>0.12275781596586821</v>
      </c>
      <c r="C516" s="37">
        <f t="shared" ca="1" si="25"/>
        <v>1.2669725384924873</v>
      </c>
      <c r="D516" s="36">
        <f t="shared" ref="D516:D579" ca="1" si="27">((((1+B516)^(A516/252))/((1+B515)^(A515/252)))^(252/1))-1</f>
        <v>0.12003028319031239</v>
      </c>
      <c r="E516" s="32">
        <v>0.11925261257930142</v>
      </c>
      <c r="F516" s="35">
        <f t="shared" ca="1" si="26"/>
        <v>3.5052033865667909E-3</v>
      </c>
    </row>
    <row r="517" spans="1:6" x14ac:dyDescent="0.25">
      <c r="A517" s="23">
        <v>516</v>
      </c>
      <c r="B517" s="7" cm="1">
        <f t="array" aca="1" ref="B517" ca="1">interpolexp(A517,serie_du,Taxas_DI)</f>
        <v>0.12275252360638422</v>
      </c>
      <c r="C517" s="37">
        <f t="shared" ca="1" si="25"/>
        <v>1.2675425816701233</v>
      </c>
      <c r="D517" s="36">
        <f t="shared" ca="1" si="27"/>
        <v>0.12003027046088666</v>
      </c>
      <c r="E517" s="32">
        <v>0.11925344844339048</v>
      </c>
      <c r="F517" s="35">
        <f t="shared" ca="1" si="26"/>
        <v>3.4990751629937478E-3</v>
      </c>
    </row>
    <row r="518" spans="1:6" x14ac:dyDescent="0.25">
      <c r="A518" s="23">
        <v>517</v>
      </c>
      <c r="B518" s="7" cm="1">
        <f t="array" aca="1" ref="B518" ca="1">interpolexp(A518,serie_du,Taxas_DI)</f>
        <v>0.12274725172054524</v>
      </c>
      <c r="C518" s="37">
        <f t="shared" ca="1" si="25"/>
        <v>1.2681128812679123</v>
      </c>
      <c r="D518" s="36">
        <f t="shared" ca="1" si="27"/>
        <v>0.12003025782425802</v>
      </c>
      <c r="E518" s="32">
        <v>0.11925428107397718</v>
      </c>
      <c r="F518" s="35">
        <f t="shared" ca="1" si="26"/>
        <v>3.492970646568061E-3</v>
      </c>
    </row>
    <row r="519" spans="1:6" x14ac:dyDescent="0.25">
      <c r="A519" s="23">
        <v>518</v>
      </c>
      <c r="B519" s="7" cm="1">
        <f t="array" aca="1" ref="B519" ca="1">interpolexp(A519,serie_du,Taxas_DI)</f>
        <v>0.12274200018975723</v>
      </c>
      <c r="C519" s="37">
        <f t="shared" ca="1" si="25"/>
        <v>1.2686834374014575</v>
      </c>
      <c r="D519" s="36">
        <f t="shared" ca="1" si="27"/>
        <v>0.12003024525096406</v>
      </c>
      <c r="E519" s="32">
        <v>0.11925511048980209</v>
      </c>
      <c r="F519" s="35">
        <f t="shared" ca="1" si="26"/>
        <v>3.4868896999551424E-3</v>
      </c>
    </row>
    <row r="520" spans="1:6" x14ac:dyDescent="0.25">
      <c r="A520" s="23">
        <v>519</v>
      </c>
      <c r="B520" s="7" cm="1">
        <f t="array" aca="1" ref="B520" ca="1">interpolexp(A520,serie_du,Taxas_DI)</f>
        <v>0.12273676889633656</v>
      </c>
      <c r="C520" s="37">
        <f t="shared" ca="1" si="25"/>
        <v>1.2692542501864033</v>
      </c>
      <c r="D520" s="36">
        <f t="shared" ca="1" si="27"/>
        <v>0.12003023273847568</v>
      </c>
      <c r="E520" s="32">
        <v>0.11925593670940593</v>
      </c>
      <c r="F520" s="35">
        <f t="shared" ca="1" si="26"/>
        <v>3.4808321869306269E-3</v>
      </c>
    </row>
    <row r="521" spans="1:6" x14ac:dyDescent="0.25">
      <c r="A521" s="23">
        <v>520</v>
      </c>
      <c r="B521" s="7" cm="1">
        <f t="array" aca="1" ref="B521" ca="1">interpolexp(A521,serie_du,Taxas_DI)</f>
        <v>0.12273155772355437</v>
      </c>
      <c r="C521" s="37">
        <f t="shared" ca="1" si="25"/>
        <v>1.2698253197385592</v>
      </c>
      <c r="D521" s="36">
        <f t="shared" ca="1" si="27"/>
        <v>0.12003022031178534</v>
      </c>
      <c r="E521" s="32">
        <v>0.11925675975126282</v>
      </c>
      <c r="F521" s="35">
        <f t="shared" ca="1" si="26"/>
        <v>3.4747979722915545E-3</v>
      </c>
    </row>
    <row r="522" spans="1:6" x14ac:dyDescent="0.25">
      <c r="A522" s="23">
        <v>521</v>
      </c>
      <c r="B522" s="7" cm="1">
        <f t="array" aca="1" ref="B522" ca="1">interpolexp(A522,serie_du,Taxas_DI)</f>
        <v>0.12272636655554781</v>
      </c>
      <c r="C522" s="37">
        <f t="shared" ca="1" si="25"/>
        <v>1.2703966461737148</v>
      </c>
      <c r="D522" s="36">
        <f t="shared" ca="1" si="27"/>
        <v>0.12003020795488517</v>
      </c>
      <c r="E522" s="32">
        <v>0.11925757963364703</v>
      </c>
      <c r="F522" s="35">
        <f t="shared" ca="1" si="26"/>
        <v>3.4687869219007794E-3</v>
      </c>
    </row>
    <row r="523" spans="1:6" x14ac:dyDescent="0.25">
      <c r="A523" s="23">
        <v>522</v>
      </c>
      <c r="B523" s="7" cm="1">
        <f t="array" aca="1" ref="B523" ca="1">interpolexp(A523,serie_du,Taxas_DI)</f>
        <v>0.12272119527734215</v>
      </c>
      <c r="C523" s="37">
        <f t="shared" ca="1" si="25"/>
        <v>1.2709682296077096</v>
      </c>
      <c r="D523" s="36">
        <f t="shared" ca="1" si="27"/>
        <v>0.1200301956670029</v>
      </c>
      <c r="E523" s="32">
        <v>0.1192583963747218</v>
      </c>
      <c r="F523" s="35">
        <f t="shared" ca="1" si="26"/>
        <v>3.4627989026203565E-3</v>
      </c>
    </row>
    <row r="524" spans="1:6" x14ac:dyDescent="0.25">
      <c r="A524" s="23">
        <v>523</v>
      </c>
      <c r="B524" s="7" cm="1">
        <f t="array" aca="1" ref="B524" ca="1">interpolexp(A524,serie_du,Taxas_DI)</f>
        <v>0.1227160437748287</v>
      </c>
      <c r="C524" s="37">
        <f t="shared" ca="1" si="25"/>
        <v>1.2715400701564028</v>
      </c>
      <c r="D524" s="36">
        <f t="shared" ca="1" si="27"/>
        <v>0.12003018344110084</v>
      </c>
      <c r="E524" s="32">
        <v>0.11925920999251716</v>
      </c>
      <c r="F524" s="35">
        <f t="shared" ca="1" si="26"/>
        <v>3.4568337823115414E-3</v>
      </c>
    </row>
    <row r="525" spans="1:6" x14ac:dyDescent="0.25">
      <c r="A525" s="23">
        <v>524</v>
      </c>
      <c r="B525" s="7" cm="1">
        <f t="array" aca="1" ref="B525" ca="1">interpolexp(A525,serie_du,Taxas_DI)</f>
        <v>0.1227109119348091</v>
      </c>
      <c r="C525" s="37">
        <f t="shared" ca="1" si="25"/>
        <v>1.2721121679357952</v>
      </c>
      <c r="D525" s="36">
        <f t="shared" ca="1" si="27"/>
        <v>0.1200301712967724</v>
      </c>
      <c r="E525" s="32">
        <v>0.11926002050490991</v>
      </c>
      <c r="F525" s="35">
        <f t="shared" ca="1" si="26"/>
        <v>3.4508914298991833E-3</v>
      </c>
    </row>
    <row r="526" spans="1:6" x14ac:dyDescent="0.25">
      <c r="A526" s="23">
        <v>525</v>
      </c>
      <c r="B526" s="7" cm="1">
        <f t="array" aca="1" ref="B526" ca="1">interpolexp(A526,serie_du,Taxas_DI)</f>
        <v>0.12270579964492878</v>
      </c>
      <c r="C526" s="37">
        <f t="shared" ca="1" si="25"/>
        <v>1.2726845230618944</v>
      </c>
      <c r="D526" s="36">
        <f t="shared" ca="1" si="27"/>
        <v>0.12003015922403759</v>
      </c>
      <c r="E526" s="32">
        <v>0.11925966038932589</v>
      </c>
      <c r="F526" s="35">
        <f t="shared" ca="1" si="26"/>
        <v>3.4461392556028869E-3</v>
      </c>
    </row>
    <row r="527" spans="1:6" x14ac:dyDescent="0.25">
      <c r="A527" s="23">
        <v>526</v>
      </c>
      <c r="B527" s="7" cm="1">
        <f t="array" aca="1" ref="B527" ca="1">interpolexp(A527,serie_du,Taxas_DI)</f>
        <v>0.12270070679365475</v>
      </c>
      <c r="C527" s="37">
        <f t="shared" ca="1" si="25"/>
        <v>1.2732571356506801</v>
      </c>
      <c r="D527" s="36">
        <f t="shared" ca="1" si="27"/>
        <v>0.12003014720483129</v>
      </c>
      <c r="E527" s="32">
        <v>0.11925930164300436</v>
      </c>
      <c r="F527" s="35">
        <f t="shared" ca="1" si="26"/>
        <v>3.4414051506503895E-3</v>
      </c>
    </row>
    <row r="528" spans="1:6" x14ac:dyDescent="0.25">
      <c r="A528" s="23">
        <v>527</v>
      </c>
      <c r="B528" s="7" cm="1">
        <f t="array" aca="1" ref="B528" ca="1">interpolexp(A528,serie_du,Taxas_DI)</f>
        <v>0.12269563327036437</v>
      </c>
      <c r="C528" s="37">
        <f t="shared" ca="1" si="25"/>
        <v>1.2738300058183338</v>
      </c>
      <c r="D528" s="36">
        <f t="shared" ca="1" si="27"/>
        <v>0.12003013527241047</v>
      </c>
      <c r="E528" s="32">
        <v>0.11925894425814931</v>
      </c>
      <c r="F528" s="35">
        <f t="shared" ca="1" si="26"/>
        <v>3.4366890122150551E-3</v>
      </c>
    </row>
    <row r="529" spans="1:6" x14ac:dyDescent="0.25">
      <c r="A529" s="23">
        <v>528</v>
      </c>
      <c r="B529" s="7" cm="1">
        <f t="array" aca="1" ref="B529" ca="1">interpolexp(A529,serie_du,Taxas_DI)</f>
        <v>0.12269057896521218</v>
      </c>
      <c r="C529" s="37">
        <f t="shared" ca="1" si="25"/>
        <v>1.2744031336809423</v>
      </c>
      <c r="D529" s="36">
        <f t="shared" ca="1" si="27"/>
        <v>0.12003012339396113</v>
      </c>
      <c r="E529" s="32">
        <v>0.11925858822701141</v>
      </c>
      <c r="F529" s="35">
        <f t="shared" ca="1" si="26"/>
        <v>3.4319907382007742E-3</v>
      </c>
    </row>
    <row r="530" spans="1:6" x14ac:dyDescent="0.25">
      <c r="A530" s="23">
        <v>529</v>
      </c>
      <c r="B530" s="7" cm="1">
        <f t="array" aca="1" ref="B530" ca="1">interpolexp(A530,serie_du,Taxas_DI)</f>
        <v>0.1226855437692409</v>
      </c>
      <c r="C530" s="37">
        <f t="shared" ca="1" si="25"/>
        <v>1.27497651935478</v>
      </c>
      <c r="D530" s="36">
        <f t="shared" ca="1" si="27"/>
        <v>0.12003011159954835</v>
      </c>
      <c r="E530" s="32">
        <v>0.11925823354195231</v>
      </c>
      <c r="F530" s="35">
        <f t="shared" ca="1" si="26"/>
        <v>3.4273102272885936E-3</v>
      </c>
    </row>
    <row r="531" spans="1:6" x14ac:dyDescent="0.25">
      <c r="A531" s="23">
        <v>530</v>
      </c>
      <c r="B531" s="7" cm="1">
        <f t="array" aca="1" ref="B531" ca="1">interpolexp(A531,serie_du,Taxas_DI)</f>
        <v>0.12268052757422598</v>
      </c>
      <c r="C531" s="37">
        <f t="shared" ca="1" si="25"/>
        <v>1.2755501629559578</v>
      </c>
      <c r="D531" s="36">
        <f t="shared" ca="1" si="27"/>
        <v>0.12003009984126023</v>
      </c>
      <c r="E531" s="32">
        <v>0.11925788019531147</v>
      </c>
      <c r="F531" s="35">
        <f t="shared" ca="1" si="26"/>
        <v>3.4226473789145118E-3</v>
      </c>
    </row>
    <row r="532" spans="1:6" x14ac:dyDescent="0.25">
      <c r="A532" s="23">
        <v>531</v>
      </c>
      <c r="B532" s="7" cm="1">
        <f t="array" aca="1" ref="B532" ca="1">interpolexp(A532,serie_du,Taxas_DI)</f>
        <v>0.12267553027287548</v>
      </c>
      <c r="C532" s="37">
        <f t="shared" ca="1" si="25"/>
        <v>1.276124064600918</v>
      </c>
      <c r="D532" s="36">
        <f t="shared" ca="1" si="27"/>
        <v>0.12003008818067729</v>
      </c>
      <c r="E532" s="32">
        <v>0.11925752817953938</v>
      </c>
      <c r="F532" s="35">
        <f t="shared" ca="1" si="26"/>
        <v>3.4180020933360922E-3</v>
      </c>
    </row>
    <row r="533" spans="1:6" x14ac:dyDescent="0.25">
      <c r="A533" s="23">
        <v>532</v>
      </c>
      <c r="B533" s="7" cm="1">
        <f t="array" aca="1" ref="B533" ca="1">interpolexp(A533,serie_du,Taxas_DI)</f>
        <v>0.12267055175860797</v>
      </c>
      <c r="C533" s="37">
        <f t="shared" ca="1" si="25"/>
        <v>1.2766982244059222</v>
      </c>
      <c r="D533" s="36">
        <f t="shared" ca="1" si="27"/>
        <v>0.12003007656628939</v>
      </c>
      <c r="E533" s="32">
        <v>0.11925717748715314</v>
      </c>
      <c r="F533" s="35">
        <f t="shared" ca="1" si="26"/>
        <v>3.4133742714548276E-3</v>
      </c>
    </row>
    <row r="534" spans="1:6" x14ac:dyDescent="0.25">
      <c r="A534" s="23">
        <v>533</v>
      </c>
      <c r="B534" s="7" cm="1">
        <f t="array" aca="1" ref="B534" ca="1">interpolexp(A534,serie_du,Taxas_DI)</f>
        <v>0.12266559192568582</v>
      </c>
      <c r="C534" s="37">
        <f t="shared" ca="1" si="25"/>
        <v>1.2772726424873881</v>
      </c>
      <c r="D534" s="36">
        <f t="shared" ca="1" si="27"/>
        <v>0.12003006502091695</v>
      </c>
      <c r="E534" s="32">
        <v>0.11925682811069205</v>
      </c>
      <c r="F534" s="35">
        <f t="shared" ca="1" si="26"/>
        <v>3.408763814993776E-3</v>
      </c>
    </row>
    <row r="535" spans="1:6" x14ac:dyDescent="0.25">
      <c r="A535" s="23">
        <v>534</v>
      </c>
      <c r="B535" s="7" cm="1">
        <f t="array" aca="1" ref="B535" ca="1">interpolexp(A535,serie_du,Taxas_DI)</f>
        <v>0.12266065066917076</v>
      </c>
      <c r="C535" s="37">
        <f t="shared" ca="1" si="25"/>
        <v>1.277847318961802</v>
      </c>
      <c r="D535" s="36">
        <f t="shared" ca="1" si="27"/>
        <v>0.12003005354812135</v>
      </c>
      <c r="E535" s="32">
        <v>0.11925648004273981</v>
      </c>
      <c r="F535" s="35">
        <f t="shared" ca="1" si="26"/>
        <v>3.4041706264309468E-3</v>
      </c>
    </row>
    <row r="536" spans="1:6" x14ac:dyDescent="0.25">
      <c r="A536" s="23">
        <v>535</v>
      </c>
      <c r="B536" s="7" cm="1">
        <f t="array" aca="1" ref="B536" ca="1">interpolexp(A536,serie_du,Taxas_DI)</f>
        <v>0.12265572788487944</v>
      </c>
      <c r="C536" s="37">
        <f t="shared" ca="1" si="25"/>
        <v>1.2784222539456287</v>
      </c>
      <c r="D536" s="36">
        <f t="shared" ca="1" si="27"/>
        <v>0.12003004213137358</v>
      </c>
      <c r="E536" s="32">
        <v>0.11925613327599116</v>
      </c>
      <c r="F536" s="35">
        <f t="shared" ca="1" si="26"/>
        <v>3.3995946088882789E-3</v>
      </c>
    </row>
    <row r="537" spans="1:6" x14ac:dyDescent="0.25">
      <c r="A537" s="23">
        <v>536</v>
      </c>
      <c r="B537" s="7" cm="1">
        <f t="array" aca="1" ref="B537" ca="1">interpolexp(A537,serie_du,Taxas_DI)</f>
        <v>0.12265082346942791</v>
      </c>
      <c r="C537" s="37">
        <f t="shared" ca="1" si="25"/>
        <v>1.2789974475554369</v>
      </c>
      <c r="D537" s="36">
        <f t="shared" ca="1" si="27"/>
        <v>0.1200300307820803</v>
      </c>
      <c r="E537" s="32">
        <v>0.11925578780314083</v>
      </c>
      <c r="F537" s="35">
        <f t="shared" ca="1" si="26"/>
        <v>3.3950356662870718E-3</v>
      </c>
    </row>
    <row r="538" spans="1:6" x14ac:dyDescent="0.25">
      <c r="A538" s="23">
        <v>537</v>
      </c>
      <c r="B538" s="7" cm="1">
        <f t="array" aca="1" ref="B538" ca="1">interpolexp(A538,serie_du,Taxas_DI)</f>
        <v>0.12264593732020934</v>
      </c>
      <c r="C538" s="37">
        <f t="shared" ca="1" si="25"/>
        <v>1.2795728999078624</v>
      </c>
      <c r="D538" s="36">
        <f t="shared" ca="1" si="27"/>
        <v>0.12003001950333436</v>
      </c>
      <c r="E538" s="32">
        <v>0.11925544361697238</v>
      </c>
      <c r="F538" s="35">
        <f t="shared" ca="1" si="26"/>
        <v>3.3904937032369631E-3</v>
      </c>
    </row>
    <row r="539" spans="1:6" x14ac:dyDescent="0.25">
      <c r="A539" s="23">
        <v>538</v>
      </c>
      <c r="B539" s="7" cm="1">
        <f t="array" aca="1" ref="B539" ca="1">interpolexp(A539,serie_du,Taxas_DI)</f>
        <v>0.12264106933534968</v>
      </c>
      <c r="C539" s="37">
        <f t="shared" ca="1" si="25"/>
        <v>1.2801486111195197</v>
      </c>
      <c r="D539" s="36">
        <f t="shared" ca="1" si="27"/>
        <v>0.12003000827873955</v>
      </c>
      <c r="E539" s="32">
        <v>0.11925510071031376</v>
      </c>
      <c r="F539" s="35">
        <f t="shared" ca="1" si="26"/>
        <v>3.3859686250359289E-3</v>
      </c>
    </row>
    <row r="540" spans="1:6" x14ac:dyDescent="0.25">
      <c r="A540" s="23">
        <v>539</v>
      </c>
      <c r="B540" s="7" cm="1">
        <f t="array" aca="1" ref="B540" ca="1">interpolexp(A540,serie_du,Taxas_DI)</f>
        <v>0.12263621941372982</v>
      </c>
      <c r="C540" s="37">
        <f t="shared" ca="1" si="25"/>
        <v>1.2807245813070698</v>
      </c>
      <c r="D540" s="36">
        <f t="shared" ca="1" si="27"/>
        <v>0.12002999710700335</v>
      </c>
      <c r="E540" s="32">
        <v>0.11925475907603733</v>
      </c>
      <c r="F540" s="35">
        <f t="shared" ca="1" si="26"/>
        <v>3.3814603376924879E-3</v>
      </c>
    </row>
    <row r="541" spans="1:6" x14ac:dyDescent="0.25">
      <c r="A541" s="23">
        <v>540</v>
      </c>
      <c r="B541" s="7" cm="1">
        <f t="array" aca="1" ref="B541" ca="1">interpolexp(A541,serie_du,Taxas_DI)</f>
        <v>0.12263138745502999</v>
      </c>
      <c r="C541" s="37">
        <f t="shared" ca="1" si="25"/>
        <v>1.2813008105873485</v>
      </c>
      <c r="D541" s="36">
        <f t="shared" ca="1" si="27"/>
        <v>0.1200299860150027</v>
      </c>
      <c r="E541" s="32">
        <v>0.11925441870705988</v>
      </c>
      <c r="F541" s="35">
        <f t="shared" ca="1" si="26"/>
        <v>3.3769687479701105E-3</v>
      </c>
    </row>
    <row r="542" spans="1:6" x14ac:dyDescent="0.25">
      <c r="A542" s="23">
        <v>541</v>
      </c>
      <c r="B542" s="7" cm="1">
        <f t="array" aca="1" ref="B542" ca="1">interpolexp(A542,serie_du,Taxas_DI)</f>
        <v>0.1226265733596188</v>
      </c>
      <c r="C542" s="37">
        <f t="shared" ca="1" si="25"/>
        <v>1.2818772990771115</v>
      </c>
      <c r="D542" s="36">
        <f t="shared" ca="1" si="27"/>
        <v>0.12002997497334422</v>
      </c>
      <c r="E542" s="32">
        <v>0.11925407959638701</v>
      </c>
      <c r="F542" s="35">
        <f t="shared" ca="1" si="26"/>
        <v>3.3724937632317875E-3</v>
      </c>
    </row>
    <row r="543" spans="1:6" x14ac:dyDescent="0.25">
      <c r="A543" s="23">
        <v>542</v>
      </c>
      <c r="B543" s="7" cm="1">
        <f t="array" aca="1" ref="B543" ca="1">interpolexp(A543,serie_du,Taxas_DI)</f>
        <v>0.12262177702861976</v>
      </c>
      <c r="C543" s="37">
        <f t="shared" ca="1" si="25"/>
        <v>1.2824540468932129</v>
      </c>
      <c r="D543" s="36">
        <f t="shared" ca="1" si="27"/>
        <v>0.12002996399215049</v>
      </c>
      <c r="E543" s="32">
        <v>0.1192537417370243</v>
      </c>
      <c r="F543" s="35">
        <f t="shared" ca="1" si="26"/>
        <v>3.3680352915954614E-3</v>
      </c>
    </row>
    <row r="544" spans="1:6" x14ac:dyDescent="0.25">
      <c r="A544" s="23">
        <v>543</v>
      </c>
      <c r="B544" s="7" cm="1">
        <f t="array" aca="1" ref="B544" ca="1">interpolexp(A544,serie_du,Taxas_DI)</f>
        <v>0.12261699836391138</v>
      </c>
      <c r="C544" s="37">
        <f t="shared" ca="1" si="25"/>
        <v>1.2830310541526238</v>
      </c>
      <c r="D544" s="36">
        <f t="shared" ca="1" si="27"/>
        <v>0.12002995308546205</v>
      </c>
      <c r="E544" s="32">
        <v>0.11925340512211058</v>
      </c>
      <c r="F544" s="35">
        <f t="shared" ca="1" si="26"/>
        <v>3.3635932418007997E-3</v>
      </c>
    </row>
    <row r="545" spans="1:6" x14ac:dyDescent="0.25">
      <c r="A545" s="23">
        <v>544</v>
      </c>
      <c r="B545" s="7" cm="1">
        <f t="array" aca="1" ref="B545" ca="1">interpolexp(A545,serie_du,Taxas_DI)</f>
        <v>0.12261223726803827</v>
      </c>
      <c r="C545" s="37">
        <f t="shared" ca="1" si="25"/>
        <v>1.2836083209722293</v>
      </c>
      <c r="D545" s="36">
        <f t="shared" ca="1" si="27"/>
        <v>0.12002994222272578</v>
      </c>
      <c r="E545" s="32">
        <v>0.11925306974474026</v>
      </c>
      <c r="F545" s="35">
        <f t="shared" ca="1" si="26"/>
        <v>3.3591675232980123E-3</v>
      </c>
    </row>
    <row r="546" spans="1:6" x14ac:dyDescent="0.25">
      <c r="A546" s="23">
        <v>545</v>
      </c>
      <c r="B546" s="7" cm="1">
        <f t="array" aca="1" ref="B546" ca="1">interpolexp(A546,serie_du,Taxas_DI)</f>
        <v>0.12260749364432222</v>
      </c>
      <c r="C546" s="37">
        <f t="shared" ca="1" si="25"/>
        <v>1.2841858474691188</v>
      </c>
      <c r="D546" s="36">
        <f t="shared" ca="1" si="27"/>
        <v>0.12002993143716667</v>
      </c>
      <c r="E546" s="32">
        <v>0.11925273559811878</v>
      </c>
      <c r="F546" s="35">
        <f t="shared" ca="1" si="26"/>
        <v>3.3547580462034432E-3</v>
      </c>
    </row>
    <row r="547" spans="1:6" x14ac:dyDescent="0.25">
      <c r="A547" s="23">
        <v>546</v>
      </c>
      <c r="B547" s="7" cm="1">
        <f t="array" aca="1" ref="B547" ca="1">interpolexp(A547,serie_du,Taxas_DI)</f>
        <v>0.12260276739670672</v>
      </c>
      <c r="C547" s="37">
        <f t="shared" ca="1" si="25"/>
        <v>1.2847636337602177</v>
      </c>
      <c r="D547" s="36">
        <f t="shared" ca="1" si="27"/>
        <v>0.12002992068123119</v>
      </c>
      <c r="E547" s="32">
        <v>0.11925240267547377</v>
      </c>
      <c r="F547" s="35">
        <f t="shared" ca="1" si="26"/>
        <v>3.3503647212329568E-3</v>
      </c>
    </row>
    <row r="548" spans="1:6" x14ac:dyDescent="0.25">
      <c r="A548" s="23">
        <v>547</v>
      </c>
      <c r="B548" s="7" cm="1">
        <f t="array" aca="1" ref="B548" ca="1">interpolexp(A548,serie_du,Taxas_DI)</f>
        <v>0.12259805842995686</v>
      </c>
      <c r="C548" s="37">
        <f t="shared" ca="1" si="25"/>
        <v>1.2853416799627988</v>
      </c>
      <c r="D548" s="36">
        <f t="shared" ca="1" si="27"/>
        <v>0.12002991001945795</v>
      </c>
      <c r="E548" s="32">
        <v>0.11925207097012169</v>
      </c>
      <c r="F548" s="35">
        <f t="shared" ca="1" si="26"/>
        <v>3.3459874598351647E-3</v>
      </c>
    </row>
    <row r="549" spans="1:6" x14ac:dyDescent="0.25">
      <c r="A549" s="23">
        <v>548</v>
      </c>
      <c r="B549" s="7" cm="1">
        <f t="array" aca="1" ref="B549" ca="1">interpolexp(A549,serie_du,Taxas_DI)</f>
        <v>0.122593366649415</v>
      </c>
      <c r="C549" s="37">
        <f t="shared" ca="1" si="25"/>
        <v>1.2859199861938926</v>
      </c>
      <c r="D549" s="36">
        <f t="shared" ca="1" si="27"/>
        <v>0.12002989938704944</v>
      </c>
      <c r="E549" s="32">
        <v>0.1192517404753346</v>
      </c>
      <c r="F549" s="35">
        <f t="shared" ca="1" si="26"/>
        <v>3.3416261740804032E-3</v>
      </c>
    </row>
    <row r="550" spans="1:6" x14ac:dyDescent="0.25">
      <c r="A550" s="23">
        <v>549</v>
      </c>
      <c r="B550" s="7" cm="1">
        <f t="array" aca="1" ref="B550" ca="1">interpolexp(A550,serie_du,Taxas_DI)</f>
        <v>0.1225886919612007</v>
      </c>
      <c r="C550" s="37">
        <f t="shared" ca="1" si="25"/>
        <v>1.2864985525707981</v>
      </c>
      <c r="D550" s="36">
        <f t="shared" ca="1" si="27"/>
        <v>0.12002988883141286</v>
      </c>
      <c r="E550" s="32">
        <v>0.11925141118456217</v>
      </c>
      <c r="F550" s="35">
        <f t="shared" ca="1" si="26"/>
        <v>3.3372807766385293E-3</v>
      </c>
    </row>
    <row r="551" spans="1:6" x14ac:dyDescent="0.25">
      <c r="A551" s="23">
        <v>550</v>
      </c>
      <c r="B551" s="7" cm="1">
        <f t="array" aca="1" ref="B551" ca="1">interpolexp(A551,serie_du,Taxas_DI)</f>
        <v>0.12258403427205522</v>
      </c>
      <c r="C551" s="37">
        <f t="shared" ca="1" si="25"/>
        <v>1.2870773792107144</v>
      </c>
      <c r="D551" s="36">
        <f t="shared" ca="1" si="27"/>
        <v>0.12002987831873901</v>
      </c>
      <c r="E551" s="32">
        <v>0.11925108309120969</v>
      </c>
      <c r="F551" s="35">
        <f t="shared" ca="1" si="26"/>
        <v>3.3329511808455337E-3</v>
      </c>
    </row>
    <row r="552" spans="1:6" x14ac:dyDescent="0.25">
      <c r="A552" s="23">
        <v>551</v>
      </c>
      <c r="B552" s="7" cm="1">
        <f t="array" aca="1" ref="B552" ca="1">interpolexp(A552,serie_du,Taxas_DI)</f>
        <v>0.12257939348945257</v>
      </c>
      <c r="C552" s="37">
        <f t="shared" ca="1" si="25"/>
        <v>1.2876564662310297</v>
      </c>
      <c r="D552" s="36">
        <f t="shared" ca="1" si="27"/>
        <v>0.1200298678790952</v>
      </c>
      <c r="E552" s="32">
        <v>0.11925075618874903</v>
      </c>
      <c r="F552" s="35">
        <f t="shared" ca="1" si="26"/>
        <v>3.3286373007035408E-3</v>
      </c>
    </row>
    <row r="553" spans="1:6" x14ac:dyDescent="0.25">
      <c r="A553" s="23">
        <v>552</v>
      </c>
      <c r="B553" s="7" cm="1">
        <f t="array" aca="1" ref="B553" ca="1">interpolexp(A553,serie_du,Taxas_DI)</f>
        <v>0.12257476952148849</v>
      </c>
      <c r="C553" s="37">
        <f t="shared" ca="1" si="25"/>
        <v>1.2882358137490622</v>
      </c>
      <c r="D553" s="36">
        <f t="shared" ca="1" si="27"/>
        <v>0.12002985748528472</v>
      </c>
      <c r="E553" s="32">
        <v>0.1192504304707187</v>
      </c>
      <c r="F553" s="35">
        <f t="shared" ca="1" si="26"/>
        <v>3.3243390507697868E-3</v>
      </c>
    </row>
    <row r="554" spans="1:6" x14ac:dyDescent="0.25">
      <c r="A554" s="23">
        <v>553</v>
      </c>
      <c r="B554" s="7" cm="1">
        <f t="array" aca="1" ref="B554" ca="1">interpolexp(A554,serie_du,Taxas_DI)</f>
        <v>0.12257016227694706</v>
      </c>
      <c r="C554" s="37">
        <f t="shared" ca="1" si="25"/>
        <v>1.2888154218822401</v>
      </c>
      <c r="D554" s="36">
        <f t="shared" ca="1" si="27"/>
        <v>0.12002984714995724</v>
      </c>
      <c r="E554" s="32">
        <v>0.11925010593070162</v>
      </c>
      <c r="F554" s="35">
        <f t="shared" ca="1" si="26"/>
        <v>3.3200563462454369E-3</v>
      </c>
    </row>
    <row r="555" spans="1:6" x14ac:dyDescent="0.25">
      <c r="A555" s="23">
        <v>554</v>
      </c>
      <c r="B555" s="7" cm="1">
        <f t="array" aca="1" ref="B555" ca="1">interpolexp(A555,serie_du,Taxas_DI)</f>
        <v>0.12256557166527848</v>
      </c>
      <c r="C555" s="37">
        <f t="shared" ca="1" si="25"/>
        <v>1.2893952907480619</v>
      </c>
      <c r="D555" s="36">
        <f t="shared" ca="1" si="27"/>
        <v>0.12002983687675051</v>
      </c>
      <c r="E555" s="32">
        <v>0.1192497825623251</v>
      </c>
      <c r="F555" s="35">
        <f t="shared" ca="1" si="26"/>
        <v>3.3157891029533815E-3</v>
      </c>
    </row>
    <row r="556" spans="1:6" x14ac:dyDescent="0.25">
      <c r="A556" s="23">
        <v>555</v>
      </c>
      <c r="B556" s="7" cm="1">
        <f t="array" aca="1" ref="B556" ca="1">interpolexp(A556,serie_du,Taxas_DI)</f>
        <v>0.1225609975965547</v>
      </c>
      <c r="C556" s="37">
        <f t="shared" ca="1" si="25"/>
        <v>1.2899754204639997</v>
      </c>
      <c r="D556" s="36">
        <f t="shared" ca="1" si="27"/>
        <v>0.12002982664833772</v>
      </c>
      <c r="E556" s="32">
        <v>0.11924946035921646</v>
      </c>
      <c r="F556" s="35">
        <f t="shared" ca="1" si="26"/>
        <v>3.3115372373382357E-3</v>
      </c>
    </row>
    <row r="557" spans="1:6" x14ac:dyDescent="0.25">
      <c r="A557" s="23">
        <v>556</v>
      </c>
      <c r="B557" s="7" cm="1">
        <f t="array" aca="1" ref="B557" ca="1">interpolexp(A557,serie_du,Taxas_DI)</f>
        <v>0.12255643998153598</v>
      </c>
      <c r="C557" s="37">
        <f t="shared" ca="1" si="25"/>
        <v>1.2905558111476814</v>
      </c>
      <c r="D557" s="36">
        <f t="shared" ca="1" si="27"/>
        <v>0.12002981648708899</v>
      </c>
      <c r="E557" s="32">
        <v>0.11924913931511405</v>
      </c>
      <c r="F557" s="35">
        <f t="shared" ca="1" si="26"/>
        <v>3.3073006664219307E-3</v>
      </c>
    </row>
    <row r="558" spans="1:6" x14ac:dyDescent="0.25">
      <c r="A558" s="23">
        <v>557</v>
      </c>
      <c r="B558" s="7" cm="1">
        <f t="array" aca="1" ref="B558" ca="1">interpolexp(A558,serie_du,Taxas_DI)</f>
        <v>0.12255189873155992</v>
      </c>
      <c r="C558" s="37">
        <f t="shared" ca="1" si="25"/>
        <v>1.2911364629166246</v>
      </c>
      <c r="D558" s="36">
        <f t="shared" ca="1" si="27"/>
        <v>0.12002980635729199</v>
      </c>
      <c r="E558" s="32">
        <v>0.11924881942377841</v>
      </c>
      <c r="F558" s="35">
        <f t="shared" ca="1" si="26"/>
        <v>3.303079307781509E-3</v>
      </c>
    </row>
    <row r="559" spans="1:6" x14ac:dyDescent="0.25">
      <c r="A559" s="23">
        <v>558</v>
      </c>
      <c r="B559" s="7" cm="1">
        <f t="array" aca="1" ref="B559" ca="1">interpolexp(A559,serie_du,Taxas_DI)</f>
        <v>0.12254737375869684</v>
      </c>
      <c r="C559" s="37">
        <f t="shared" ca="1" si="25"/>
        <v>1.2917173758886467</v>
      </c>
      <c r="D559" s="36">
        <f t="shared" ca="1" si="27"/>
        <v>0.12002979631282518</v>
      </c>
      <c r="E559" s="32">
        <v>0.11924850067901449</v>
      </c>
      <c r="F559" s="35">
        <f t="shared" ca="1" si="26"/>
        <v>3.2988730796823518E-3</v>
      </c>
    </row>
    <row r="560" spans="1:6" x14ac:dyDescent="0.25">
      <c r="A560" s="23">
        <v>559</v>
      </c>
      <c r="B560" s="7" cm="1">
        <f t="array" aca="1" ref="B560" ca="1">interpolexp(A560,serie_du,Taxas_DI)</f>
        <v>0.12254286497555</v>
      </c>
      <c r="C560" s="37">
        <f t="shared" ca="1" si="25"/>
        <v>1.29229855018137</v>
      </c>
      <c r="D560" s="36">
        <f t="shared" ca="1" si="27"/>
        <v>0.12002978629939998</v>
      </c>
      <c r="E560" s="32">
        <v>0.11924818307464946</v>
      </c>
      <c r="F560" s="35">
        <f t="shared" ca="1" si="26"/>
        <v>3.2946819009005424E-3</v>
      </c>
    </row>
    <row r="561" spans="1:6" x14ac:dyDescent="0.25">
      <c r="A561" s="23">
        <v>560</v>
      </c>
      <c r="B561" s="7" cm="1">
        <f t="array" aca="1" ref="B561" ca="1">interpolexp(A561,serie_du,Taxas_DI)</f>
        <v>0.12253837229541098</v>
      </c>
      <c r="C561" s="37">
        <f t="shared" ca="1" si="25"/>
        <v>1.2928799859126321</v>
      </c>
      <c r="D561" s="36">
        <f t="shared" ca="1" si="27"/>
        <v>0.12002977635250978</v>
      </c>
      <c r="E561" s="32">
        <v>0.1192478666045993</v>
      </c>
      <c r="F561" s="35">
        <f t="shared" ca="1" si="26"/>
        <v>3.2905056908116848E-3</v>
      </c>
    </row>
    <row r="562" spans="1:6" x14ac:dyDescent="0.25">
      <c r="A562" s="23">
        <v>561</v>
      </c>
      <c r="B562" s="7" cm="1">
        <f t="array" aca="1" ref="B562" ca="1">interpolexp(A562,serie_du,Taxas_DI)</f>
        <v>0.12253389563214867</v>
      </c>
      <c r="C562" s="37">
        <f t="shared" ca="1" si="25"/>
        <v>1.2934616832002181</v>
      </c>
      <c r="D562" s="36">
        <f t="shared" ca="1" si="27"/>
        <v>0.12002976644892116</v>
      </c>
      <c r="E562" s="32">
        <v>0.11924755126280218</v>
      </c>
      <c r="F562" s="35">
        <f t="shared" ca="1" si="26"/>
        <v>3.2863443693464944E-3</v>
      </c>
    </row>
    <row r="563" spans="1:6" x14ac:dyDescent="0.25">
      <c r="A563" s="23">
        <v>562</v>
      </c>
      <c r="B563" s="7" cm="1">
        <f t="array" aca="1" ref="B563" ca="1">interpolexp(A563,serie_du,Taxas_DI)</f>
        <v>0.12252943490029811</v>
      </c>
      <c r="C563" s="37">
        <f t="shared" ca="1" si="25"/>
        <v>1.2940436421621004</v>
      </c>
      <c r="D563" s="36">
        <f t="shared" ca="1" si="27"/>
        <v>0.12002975661788784</v>
      </c>
      <c r="E563" s="32">
        <v>0.11924723704319629</v>
      </c>
      <c r="F563" s="35">
        <f t="shared" ca="1" si="26"/>
        <v>3.2821978571018207E-3</v>
      </c>
    </row>
    <row r="564" spans="1:6" x14ac:dyDescent="0.25">
      <c r="A564" s="23">
        <v>563</v>
      </c>
      <c r="B564" s="7" cm="1">
        <f t="array" aca="1" ref="B564" ca="1">interpolexp(A564,serie_du,Taxas_DI)</f>
        <v>0.12252499001490502</v>
      </c>
      <c r="C564" s="37">
        <f t="shared" ca="1" si="25"/>
        <v>1.2946258629160545</v>
      </c>
      <c r="D564" s="36">
        <f t="shared" ca="1" si="27"/>
        <v>0.12002974680493494</v>
      </c>
      <c r="E564" s="32">
        <v>0.11924692393980862</v>
      </c>
      <c r="F564" s="35">
        <f t="shared" ca="1" si="26"/>
        <v>3.2780660750963975E-3</v>
      </c>
    </row>
    <row r="565" spans="1:6" x14ac:dyDescent="0.25">
      <c r="A565" s="23">
        <v>564</v>
      </c>
      <c r="B565" s="7" cm="1">
        <f t="array" aca="1" ref="B565" ca="1">interpolexp(A565,serie_du,Taxas_DI)</f>
        <v>0.12252056089172569</v>
      </c>
      <c r="C565" s="37">
        <f t="shared" ca="1" si="25"/>
        <v>1.2952083455801866</v>
      </c>
      <c r="D565" s="36">
        <f t="shared" ca="1" si="27"/>
        <v>0.12002973707049103</v>
      </c>
      <c r="E565" s="32">
        <v>0.11924661194673281</v>
      </c>
      <c r="F565" s="35">
        <f t="shared" ca="1" si="26"/>
        <v>3.2739489449928882E-3</v>
      </c>
    </row>
    <row r="566" spans="1:6" x14ac:dyDescent="0.25">
      <c r="A566" s="23">
        <v>565</v>
      </c>
      <c r="B566" s="7" cm="1">
        <f t="array" aca="1" ref="B566" ca="1">interpolexp(A566,serie_du,Taxas_DI)</f>
        <v>0.12251614744707151</v>
      </c>
      <c r="C566" s="37">
        <f t="shared" ca="1" si="25"/>
        <v>1.2957910902725476</v>
      </c>
      <c r="D566" s="36">
        <f t="shared" ca="1" si="27"/>
        <v>0.12002972739078954</v>
      </c>
      <c r="E566" s="32">
        <v>0.11924630105806244</v>
      </c>
      <c r="F566" s="35">
        <f t="shared" ca="1" si="26"/>
        <v>3.2698463890090679E-3</v>
      </c>
    </row>
    <row r="567" spans="1:6" x14ac:dyDescent="0.25">
      <c r="A567" s="23">
        <v>566</v>
      </c>
      <c r="B567" s="7" cm="1">
        <f t="array" aca="1" ref="B567" ca="1">interpolexp(A567,serie_du,Taxas_DI)</f>
        <v>0.12251174959778677</v>
      </c>
      <c r="C567" s="37">
        <f t="shared" ca="1" si="25"/>
        <v>1.2963740971110882</v>
      </c>
      <c r="D567" s="36">
        <f t="shared" ca="1" si="27"/>
        <v>0.12002971773250137</v>
      </c>
      <c r="E567" s="32">
        <v>0.11924599126793556</v>
      </c>
      <c r="F567" s="35">
        <f t="shared" ca="1" si="26"/>
        <v>3.2657583298512094E-3</v>
      </c>
    </row>
    <row r="568" spans="1:6" x14ac:dyDescent="0.25">
      <c r="A568" s="23">
        <v>567</v>
      </c>
      <c r="B568" s="7" cm="1">
        <f t="array" aca="1" ref="B568" ca="1">interpolexp(A568,serie_du,Taxas_DI)</f>
        <v>0.1225073672614263</v>
      </c>
      <c r="C568" s="37">
        <f t="shared" ca="1" si="25"/>
        <v>1.2969573662141332</v>
      </c>
      <c r="D568" s="36">
        <f t="shared" ca="1" si="27"/>
        <v>0.12002970816525926</v>
      </c>
      <c r="E568" s="32">
        <v>0.11924568257055679</v>
      </c>
      <c r="F568" s="35">
        <f t="shared" ca="1" si="26"/>
        <v>3.2616846908695152E-3</v>
      </c>
    </row>
    <row r="569" spans="1:6" x14ac:dyDescent="0.25">
      <c r="A569" s="23">
        <v>568</v>
      </c>
      <c r="B569" s="7" cm="1">
        <f t="array" aca="1" ref="B569" ca="1">interpolexp(A569,serie_du,Taxas_DI)</f>
        <v>0.12250300035598904</v>
      </c>
      <c r="C569" s="37">
        <f t="shared" ca="1" si="25"/>
        <v>1.2975408976997032</v>
      </c>
      <c r="D569" s="36">
        <f t="shared" ca="1" si="27"/>
        <v>0.12002969861147217</v>
      </c>
      <c r="E569" s="32">
        <v>0.11924537496010856</v>
      </c>
      <c r="F569" s="35">
        <f t="shared" ca="1" si="26"/>
        <v>3.2576253958804813E-3</v>
      </c>
    </row>
    <row r="570" spans="1:6" x14ac:dyDescent="0.25">
      <c r="A570" s="23">
        <v>569</v>
      </c>
      <c r="B570" s="7" cm="1">
        <f t="array" aca="1" ref="B570" ca="1">interpolexp(A570,serie_du,Taxas_DI)</f>
        <v>0.12249864880016226</v>
      </c>
      <c r="C570" s="37">
        <f t="shared" ca="1" si="25"/>
        <v>1.2981246916861631</v>
      </c>
      <c r="D570" s="36">
        <f t="shared" ca="1" si="27"/>
        <v>0.12002968913422274</v>
      </c>
      <c r="E570" s="32">
        <v>0.11924506843092875</v>
      </c>
      <c r="F570" s="35">
        <f t="shared" ca="1" si="26"/>
        <v>3.2535803692335108E-3</v>
      </c>
    </row>
    <row r="571" spans="1:6" x14ac:dyDescent="0.25">
      <c r="A571" s="23">
        <v>570</v>
      </c>
      <c r="B571" s="7" cm="1">
        <f t="array" aca="1" ref="B571" ca="1">interpolexp(A571,serie_du,Taxas_DI)</f>
        <v>0.12249431251312171</v>
      </c>
      <c r="C571" s="37">
        <f t="shared" ca="1" si="25"/>
        <v>1.2987087482917146</v>
      </c>
      <c r="D571" s="36">
        <f t="shared" ca="1" si="27"/>
        <v>0.1200296796864786</v>
      </c>
      <c r="E571" s="32">
        <v>0.11924476297726638</v>
      </c>
      <c r="F571" s="35">
        <f t="shared" ca="1" si="26"/>
        <v>3.2495495358553228E-3</v>
      </c>
    </row>
    <row r="572" spans="1:6" x14ac:dyDescent="0.25">
      <c r="A572" s="23">
        <v>571</v>
      </c>
      <c r="B572" s="7" cm="1">
        <f t="array" aca="1" ref="B572" ca="1">interpolexp(A572,serie_du,Taxas_DI)</f>
        <v>0.12248999141469308</v>
      </c>
      <c r="C572" s="37">
        <f t="shared" ca="1" si="25"/>
        <v>1.2992930676348307</v>
      </c>
      <c r="D572" s="36">
        <f t="shared" ca="1" si="27"/>
        <v>0.12002967031555056</v>
      </c>
      <c r="E572" s="32">
        <v>0.11924445859350374</v>
      </c>
      <c r="F572" s="35">
        <f t="shared" ca="1" si="26"/>
        <v>3.2455328211893342E-3</v>
      </c>
    </row>
    <row r="573" spans="1:6" x14ac:dyDescent="0.25">
      <c r="A573" s="23">
        <v>572</v>
      </c>
      <c r="B573" s="7" cm="1">
        <f t="array" aca="1" ref="B573" ca="1">interpolexp(A573,serie_du,Taxas_DI)</f>
        <v>0.12249183004202635</v>
      </c>
      <c r="C573" s="37">
        <f t="shared" ca="1" si="25"/>
        <v>1.2998938013564352</v>
      </c>
      <c r="D573" s="36">
        <f t="shared" ca="1" si="27"/>
        <v>0.12354217822345559</v>
      </c>
      <c r="E573" s="32">
        <v>0.1192441552740453</v>
      </c>
      <c r="F573" s="35">
        <f t="shared" ca="1" si="26"/>
        <v>3.2476747679810458E-3</v>
      </c>
    </row>
    <row r="574" spans="1:6" x14ac:dyDescent="0.25">
      <c r="A574" s="23">
        <v>573</v>
      </c>
      <c r="B574" s="7" cm="1">
        <f t="array" aca="1" ref="B574" ca="1">interpolexp(A574,serie_du,Taxas_DI)</f>
        <v>0.12249366225183245</v>
      </c>
      <c r="C574" s="37">
        <f t="shared" ca="1" si="25"/>
        <v>1.3004948128220128</v>
      </c>
      <c r="D574" s="36">
        <f t="shared" ca="1" si="27"/>
        <v>0.1235421765167577</v>
      </c>
      <c r="E574" s="32">
        <v>0.11924385301327334</v>
      </c>
      <c r="F574" s="35">
        <f t="shared" ca="1" si="26"/>
        <v>3.2498092385591093E-3</v>
      </c>
    </row>
    <row r="575" spans="1:6" x14ac:dyDescent="0.25">
      <c r="A575" s="23">
        <v>574</v>
      </c>
      <c r="B575" s="7" cm="1">
        <f t="array" aca="1" ref="B575" ca="1">interpolexp(A575,serie_du,Taxas_DI)</f>
        <v>0.12249548807767852</v>
      </c>
      <c r="C575" s="37">
        <f t="shared" ca="1" si="25"/>
        <v>1.3010961021600829</v>
      </c>
      <c r="D575" s="36">
        <f t="shared" ca="1" si="27"/>
        <v>0.12354217483410901</v>
      </c>
      <c r="E575" s="32">
        <v>0.11924355180565893</v>
      </c>
      <c r="F575" s="35">
        <f t="shared" ca="1" si="26"/>
        <v>3.2519362720195844E-3</v>
      </c>
    </row>
    <row r="576" spans="1:6" x14ac:dyDescent="0.25">
      <c r="A576" s="23">
        <v>575</v>
      </c>
      <c r="B576" s="7" cm="1">
        <f t="array" aca="1" ref="B576" ca="1">interpolexp(A576,serie_du,Taxas_DI)</f>
        <v>0.12249730755287125</v>
      </c>
      <c r="C576" s="37">
        <f t="shared" ca="1" si="25"/>
        <v>1.301697669499152</v>
      </c>
      <c r="D576" s="36">
        <f t="shared" ca="1" si="27"/>
        <v>0.12354217315978056</v>
      </c>
      <c r="E576" s="32">
        <v>0.11924325164573979</v>
      </c>
      <c r="F576" s="35">
        <f t="shared" ca="1" si="26"/>
        <v>3.254055907131459E-3</v>
      </c>
    </row>
    <row r="577" spans="1:6" x14ac:dyDescent="0.25">
      <c r="A577" s="23">
        <v>576</v>
      </c>
      <c r="B577" s="7" cm="1">
        <f t="array" aca="1" ref="B577" ca="1">interpolexp(A577,serie_du,Taxas_DI)</f>
        <v>0.12249912071045088</v>
      </c>
      <c r="C577" s="37">
        <f t="shared" ca="1" si="25"/>
        <v>1.3022995149676933</v>
      </c>
      <c r="D577" s="36">
        <f t="shared" ca="1" si="27"/>
        <v>0.12354217147355517</v>
      </c>
      <c r="E577" s="32">
        <v>0.11924295252805361</v>
      </c>
      <c r="F577" s="35">
        <f t="shared" ca="1" si="26"/>
        <v>3.2561681823972677E-3</v>
      </c>
    </row>
    <row r="578" spans="1:6" x14ac:dyDescent="0.25">
      <c r="A578" s="23">
        <v>577</v>
      </c>
      <c r="B578" s="7" cm="1">
        <f t="array" aca="1" ref="B578" ca="1">interpolexp(A578,serie_du,Taxas_DI)</f>
        <v>0.12250092758330222</v>
      </c>
      <c r="C578" s="37">
        <f t="shared" ref="C578:C641" ca="1" si="28">(1+B578)^(A578/252)</f>
        <v>1.3029016386944341</v>
      </c>
      <c r="D578" s="36">
        <f t="shared" ca="1" si="27"/>
        <v>0.12354216981781851</v>
      </c>
      <c r="E578" s="32">
        <v>0.11924265444716031</v>
      </c>
      <c r="F578" s="35">
        <f t="shared" ref="F578:F641" ca="1" si="29">B578-E578</f>
        <v>3.2582731361419093E-3</v>
      </c>
    </row>
    <row r="579" spans="1:6" x14ac:dyDescent="0.25">
      <c r="A579" s="23">
        <v>578</v>
      </c>
      <c r="B579" s="7" cm="1">
        <f t="array" aca="1" ref="B579" ca="1">interpolexp(A579,serie_du,Taxas_DI)</f>
        <v>0.12250272820402142</v>
      </c>
      <c r="C579" s="37">
        <f t="shared" ca="1" si="28"/>
        <v>1.3035040408079992</v>
      </c>
      <c r="D579" s="36">
        <f t="shared" ca="1" si="27"/>
        <v>0.12354216815721109</v>
      </c>
      <c r="E579" s="32">
        <v>0.1192423573976864</v>
      </c>
      <c r="F579" s="35">
        <f t="shared" ca="1" si="29"/>
        <v>3.2603708063350112E-3</v>
      </c>
    </row>
    <row r="580" spans="1:6" x14ac:dyDescent="0.25">
      <c r="A580" s="23">
        <v>579</v>
      </c>
      <c r="B580" s="7" cm="1">
        <f t="array" aca="1" ref="B580" ca="1">interpolexp(A580,serie_du,Taxas_DI)</f>
        <v>0.12250452260502698</v>
      </c>
      <c r="C580" s="37">
        <f t="shared" ca="1" si="28"/>
        <v>1.3041067214371986</v>
      </c>
      <c r="D580" s="36">
        <f t="shared" ref="D580:D643" ca="1" si="30">((((1+B580)^(A580/252))/((1+B579)^(A579/252)))^(252/1))-1</f>
        <v>0.12354216651920136</v>
      </c>
      <c r="E580" s="32">
        <v>0.11924206137428062</v>
      </c>
      <c r="F580" s="35">
        <f t="shared" ca="1" si="29"/>
        <v>3.2624612307463607E-3</v>
      </c>
    </row>
    <row r="581" spans="1:6" x14ac:dyDescent="0.25">
      <c r="A581" s="23">
        <v>580</v>
      </c>
      <c r="B581" s="7" cm="1">
        <f t="array" aca="1" ref="B581" ca="1">interpolexp(A581,serie_du,Taxas_DI)</f>
        <v>0.12250631081847096</v>
      </c>
      <c r="C581" s="37">
        <f t="shared" ca="1" si="28"/>
        <v>1.3047096807107876</v>
      </c>
      <c r="D581" s="36">
        <f t="shared" ca="1" si="30"/>
        <v>0.12354216487885239</v>
      </c>
      <c r="E581" s="32">
        <v>0.11924176637168049</v>
      </c>
      <c r="F581" s="35">
        <f t="shared" ca="1" si="29"/>
        <v>3.2645444467904738E-3</v>
      </c>
    </row>
    <row r="582" spans="1:6" x14ac:dyDescent="0.25">
      <c r="A582" s="23">
        <v>581</v>
      </c>
      <c r="B582" s="7" cm="1">
        <f t="array" aca="1" ref="B582" ca="1">interpolexp(A582,serie_du,Taxas_DI)</f>
        <v>0.12250809287628339</v>
      </c>
      <c r="C582" s="37">
        <f t="shared" ca="1" si="28"/>
        <v>1.3053129187575789</v>
      </c>
      <c r="D582" s="36">
        <f t="shared" ca="1" si="30"/>
        <v>0.12354216323581579</v>
      </c>
      <c r="E582" s="32">
        <v>0.11924147238455696</v>
      </c>
      <c r="F582" s="35">
        <f t="shared" ca="1" si="29"/>
        <v>3.2666204917264352E-3</v>
      </c>
    </row>
    <row r="583" spans="1:6" x14ac:dyDescent="0.25">
      <c r="A583" s="23">
        <v>582</v>
      </c>
      <c r="B583" s="7" cm="1">
        <f t="array" aca="1" ref="B583" ca="1">interpolexp(A583,serie_du,Taxas_DI)</f>
        <v>0.12250986881023884</v>
      </c>
      <c r="C583" s="37">
        <f t="shared" ca="1" si="28"/>
        <v>1.3059164357066162</v>
      </c>
      <c r="D583" s="36">
        <f t="shared" ca="1" si="30"/>
        <v>0.12354216162705445</v>
      </c>
      <c r="E583" s="32">
        <v>0.11924117940769197</v>
      </c>
      <c r="F583" s="35">
        <f t="shared" ca="1" si="29"/>
        <v>3.268689402546876E-3</v>
      </c>
    </row>
    <row r="584" spans="1:6" x14ac:dyDescent="0.25">
      <c r="A584" s="23">
        <v>583</v>
      </c>
      <c r="B584" s="7" cm="1">
        <f t="array" aca="1" ref="B584" ca="1">interpolexp(A584,serie_du,Taxas_DI)</f>
        <v>0.12251163865184544</v>
      </c>
      <c r="C584" s="37">
        <f t="shared" ca="1" si="28"/>
        <v>1.3065202316868723</v>
      </c>
      <c r="D584" s="36">
        <f t="shared" ca="1" si="30"/>
        <v>0.12354216002448237</v>
      </c>
      <c r="E584" s="32">
        <v>0.11924088743591188</v>
      </c>
      <c r="F584" s="35">
        <f t="shared" ca="1" si="29"/>
        <v>3.270751215933565E-3</v>
      </c>
    </row>
    <row r="585" spans="1:6" x14ac:dyDescent="0.25">
      <c r="A585" s="23">
        <v>584</v>
      </c>
      <c r="B585" s="7" cm="1">
        <f t="array" aca="1" ref="B585" ca="1">interpolexp(A585,serie_du,Taxas_DI)</f>
        <v>0.12251340243234488</v>
      </c>
      <c r="C585" s="37">
        <f t="shared" ca="1" si="28"/>
        <v>1.3071243068272429</v>
      </c>
      <c r="D585" s="36">
        <f t="shared" ca="1" si="30"/>
        <v>0.1235421583983487</v>
      </c>
      <c r="E585" s="32">
        <v>0.11924059646402085</v>
      </c>
      <c r="F585" s="35">
        <f t="shared" ca="1" si="29"/>
        <v>3.2728059683240218E-3</v>
      </c>
    </row>
    <row r="586" spans="1:6" x14ac:dyDescent="0.25">
      <c r="A586" s="23">
        <v>585</v>
      </c>
      <c r="B586" s="7" cm="1">
        <f t="array" aca="1" ref="B586" ca="1">interpolexp(A586,serie_du,Taxas_DI)</f>
        <v>0.12251516018288999</v>
      </c>
      <c r="C586" s="37">
        <f t="shared" ca="1" si="28"/>
        <v>1.3077286612570205</v>
      </c>
      <c r="D586" s="36">
        <f t="shared" ca="1" si="30"/>
        <v>0.12354215682163039</v>
      </c>
      <c r="E586" s="32">
        <v>0.11924030648693407</v>
      </c>
      <c r="F586" s="35">
        <f t="shared" ca="1" si="29"/>
        <v>3.274853695955926E-3</v>
      </c>
    </row>
    <row r="587" spans="1:6" x14ac:dyDescent="0.25">
      <c r="A587" s="23">
        <v>586</v>
      </c>
      <c r="B587" s="7" cm="1">
        <f t="array" aca="1" ref="B587" ca="1">interpolexp(A587,serie_du,Taxas_DI)</f>
        <v>0.12251691193427838</v>
      </c>
      <c r="C587" s="37">
        <f t="shared" ca="1" si="28"/>
        <v>1.3083332951051707</v>
      </c>
      <c r="D587" s="36">
        <f t="shared" ca="1" si="30"/>
        <v>0.12354215521076339</v>
      </c>
      <c r="E587" s="32">
        <v>0.11924001749950808</v>
      </c>
      <c r="F587" s="35">
        <f t="shared" ca="1" si="29"/>
        <v>3.2768944347703055E-3</v>
      </c>
    </row>
    <row r="588" spans="1:6" x14ac:dyDescent="0.25">
      <c r="A588" s="23">
        <v>587</v>
      </c>
      <c r="B588" s="7" cm="1">
        <f t="array" aca="1" ref="B588" ca="1">interpolexp(A588,serie_du,Taxas_DI)</f>
        <v>0.12251865771724102</v>
      </c>
      <c r="C588" s="37">
        <f t="shared" ca="1" si="28"/>
        <v>1.3089382085011074</v>
      </c>
      <c r="D588" s="36">
        <f t="shared" ca="1" si="30"/>
        <v>0.12354215364965437</v>
      </c>
      <c r="E588" s="32">
        <v>0.11924588635254807</v>
      </c>
      <c r="F588" s="35">
        <f t="shared" ca="1" si="29"/>
        <v>3.2727713646929502E-3</v>
      </c>
    </row>
    <row r="589" spans="1:6" x14ac:dyDescent="0.25">
      <c r="A589" s="23">
        <v>588</v>
      </c>
      <c r="B589" s="7" cm="1">
        <f t="array" aca="1" ref="B589" ca="1">interpolexp(A589,serie_du,Taxas_DI)</f>
        <v>0.12252039756217581</v>
      </c>
      <c r="C589" s="37">
        <f t="shared" ca="1" si="28"/>
        <v>1.3095434015739669</v>
      </c>
      <c r="D589" s="36">
        <f t="shared" ca="1" si="30"/>
        <v>0.12354215206540431</v>
      </c>
      <c r="E589" s="32">
        <v>0.11925173524385269</v>
      </c>
      <c r="F589" s="35">
        <f t="shared" ca="1" si="29"/>
        <v>3.2686623183231234E-3</v>
      </c>
    </row>
    <row r="590" spans="1:6" x14ac:dyDescent="0.25">
      <c r="A590" s="23">
        <v>589</v>
      </c>
      <c r="B590" s="7" cm="1">
        <f t="array" aca="1" ref="B590" ca="1">interpolexp(A590,serie_du,Taxas_DI)</f>
        <v>0.12252213149936964</v>
      </c>
      <c r="C590" s="37">
        <f t="shared" ca="1" si="28"/>
        <v>1.3101488744532048</v>
      </c>
      <c r="D590" s="36">
        <f t="shared" ca="1" si="30"/>
        <v>0.12354215051423845</v>
      </c>
      <c r="E590" s="32">
        <v>0.11925756427508816</v>
      </c>
      <c r="F590" s="35">
        <f t="shared" ca="1" si="29"/>
        <v>3.2645672242814783E-3</v>
      </c>
    </row>
    <row r="591" spans="1:6" x14ac:dyDescent="0.25">
      <c r="A591" s="23">
        <v>590</v>
      </c>
      <c r="B591" s="7" cm="1">
        <f t="array" aca="1" ref="B591" ca="1">interpolexp(A591,serie_du,Taxas_DI)</f>
        <v>0.12252385955882072</v>
      </c>
      <c r="C591" s="37">
        <f t="shared" ca="1" si="28"/>
        <v>1.3107546272681092</v>
      </c>
      <c r="D591" s="36">
        <f t="shared" ca="1" si="30"/>
        <v>0.12354214894679361</v>
      </c>
      <c r="E591" s="32">
        <v>0.11926337354721817</v>
      </c>
      <c r="F591" s="35">
        <f t="shared" ca="1" si="29"/>
        <v>3.2604860116025591E-3</v>
      </c>
    </row>
    <row r="592" spans="1:6" x14ac:dyDescent="0.25">
      <c r="A592" s="23">
        <v>591</v>
      </c>
      <c r="B592" s="7" cm="1">
        <f t="array" aca="1" ref="B592" ca="1">interpolexp(A592,serie_du,Taxas_DI)</f>
        <v>0.12252558177039408</v>
      </c>
      <c r="C592" s="37">
        <f t="shared" ca="1" si="28"/>
        <v>1.3113606601482184</v>
      </c>
      <c r="D592" s="36">
        <f t="shared" ca="1" si="30"/>
        <v>0.12354214740427105</v>
      </c>
      <c r="E592" s="32">
        <v>0.11926916316058467</v>
      </c>
      <c r="F592" s="35">
        <f t="shared" ca="1" si="29"/>
        <v>3.2564186098094083E-3</v>
      </c>
    </row>
    <row r="593" spans="1:6" x14ac:dyDescent="0.25">
      <c r="A593" s="23">
        <v>592</v>
      </c>
      <c r="B593" s="7" cm="1">
        <f t="array" aca="1" ref="B593" ca="1">interpolexp(A593,serie_du,Taxas_DI)</f>
        <v>0.12252729816371044</v>
      </c>
      <c r="C593" s="37">
        <f t="shared" ca="1" si="28"/>
        <v>1.3119669732230141</v>
      </c>
      <c r="D593" s="36">
        <f t="shared" ca="1" si="30"/>
        <v>0.12354214586156065</v>
      </c>
      <c r="E593" s="32">
        <v>0.11927493321477467</v>
      </c>
      <c r="F593" s="35">
        <f t="shared" ca="1" si="29"/>
        <v>3.2523649489357709E-3</v>
      </c>
    </row>
    <row r="594" spans="1:6" x14ac:dyDescent="0.25">
      <c r="A594" s="23">
        <v>593</v>
      </c>
      <c r="B594" s="7" cm="1">
        <f t="array" aca="1" ref="B594" ca="1">interpolexp(A594,serie_du,Taxas_DI)</f>
        <v>0.12252900876821293</v>
      </c>
      <c r="C594" s="37">
        <f t="shared" ca="1" si="28"/>
        <v>1.3125735666220988</v>
      </c>
      <c r="D594" s="36">
        <f t="shared" ca="1" si="30"/>
        <v>0.12354214433182742</v>
      </c>
      <c r="E594" s="32">
        <v>0.11928068380873125</v>
      </c>
      <c r="F594" s="35">
        <f t="shared" ca="1" si="29"/>
        <v>3.2483249594816854E-3</v>
      </c>
    </row>
    <row r="595" spans="1:6" x14ac:dyDescent="0.25">
      <c r="A595" s="23">
        <v>594</v>
      </c>
      <c r="B595" s="7" cm="1">
        <f t="array" aca="1" ref="B595" ca="1">interpolexp(A595,serie_du,Taxas_DI)</f>
        <v>0.12253071361314483</v>
      </c>
      <c r="C595" s="37">
        <f t="shared" ca="1" si="28"/>
        <v>1.3131804404751299</v>
      </c>
      <c r="D595" s="36">
        <f t="shared" ca="1" si="30"/>
        <v>0.12354214281387321</v>
      </c>
      <c r="E595" s="32">
        <v>0.11928641504075355</v>
      </c>
      <c r="F595" s="35">
        <f t="shared" ca="1" si="29"/>
        <v>3.2442985723912798E-3</v>
      </c>
    </row>
    <row r="596" spans="1:6" x14ac:dyDescent="0.25">
      <c r="A596" s="23">
        <v>595</v>
      </c>
      <c r="B596" s="7" cm="1">
        <f t="array" aca="1" ref="B596" ca="1">interpolexp(A596,serie_du,Taxas_DI)</f>
        <v>0.12253241272750515</v>
      </c>
      <c r="C596" s="37">
        <f t="shared" ca="1" si="28"/>
        <v>1.3137875949116935</v>
      </c>
      <c r="D596" s="36">
        <f t="shared" ca="1" si="30"/>
        <v>0.12354214127941776</v>
      </c>
      <c r="E596" s="32">
        <v>0.11929212700843017</v>
      </c>
      <c r="F596" s="35">
        <f t="shared" ca="1" si="29"/>
        <v>3.2402857190749756E-3</v>
      </c>
    </row>
    <row r="597" spans="1:6" x14ac:dyDescent="0.25">
      <c r="A597" s="23">
        <v>596</v>
      </c>
      <c r="B597" s="7" cm="1">
        <f t="array" aca="1" ref="B597" ca="1">interpolexp(A597,serie_du,Taxas_DI)</f>
        <v>0.1225341061402041</v>
      </c>
      <c r="C597" s="37">
        <f t="shared" ca="1" si="28"/>
        <v>1.314395030061728</v>
      </c>
      <c r="D597" s="36">
        <f t="shared" ca="1" si="30"/>
        <v>0.12354213979157791</v>
      </c>
      <c r="E597" s="32">
        <v>0.11929781980879461</v>
      </c>
      <c r="F597" s="35">
        <f t="shared" ca="1" si="29"/>
        <v>3.2362863314094881E-3</v>
      </c>
    </row>
    <row r="598" spans="1:6" x14ac:dyDescent="0.25">
      <c r="A598" s="23">
        <v>597</v>
      </c>
      <c r="B598" s="7" cm="1">
        <f t="array" aca="1" ref="B598" ca="1">interpolexp(A598,serie_du,Taxas_DI)</f>
        <v>0.12253579387981883</v>
      </c>
      <c r="C598" s="37">
        <f t="shared" ca="1" si="28"/>
        <v>1.3150027460548448</v>
      </c>
      <c r="D598" s="36">
        <f t="shared" ca="1" si="30"/>
        <v>0.12354213826677363</v>
      </c>
      <c r="E598" s="32">
        <v>0.11930349353808101</v>
      </c>
      <c r="F598" s="35">
        <f t="shared" ca="1" si="29"/>
        <v>3.232300341737826E-3</v>
      </c>
    </row>
    <row r="599" spans="1:6" x14ac:dyDescent="0.25">
      <c r="A599" s="23">
        <v>598</v>
      </c>
      <c r="B599" s="7" cm="1">
        <f t="array" aca="1" ref="B599" ca="1">interpolexp(A599,serie_du,Taxas_DI)</f>
        <v>0.12253747597485987</v>
      </c>
      <c r="C599" s="37">
        <f t="shared" ca="1" si="28"/>
        <v>1.3156107430210617</v>
      </c>
      <c r="D599" s="36">
        <f t="shared" ca="1" si="30"/>
        <v>0.12354213677983483</v>
      </c>
      <c r="E599" s="32">
        <v>0.11930914829203498</v>
      </c>
      <c r="F599" s="35">
        <f t="shared" ca="1" si="29"/>
        <v>3.228327682824883E-3</v>
      </c>
    </row>
    <row r="600" spans="1:6" x14ac:dyDescent="0.25">
      <c r="A600" s="23">
        <v>599</v>
      </c>
      <c r="B600" s="7" cm="1">
        <f t="array" aca="1" ref="B600" ca="1">interpolexp(A600,serie_du,Taxas_DI)</f>
        <v>0.12253915245359348</v>
      </c>
      <c r="C600" s="37">
        <f t="shared" ca="1" si="28"/>
        <v>1.3162190210903064</v>
      </c>
      <c r="D600" s="36">
        <f t="shared" ca="1" si="30"/>
        <v>0.12354213529814628</v>
      </c>
      <c r="E600" s="32">
        <v>0.11931478416564723</v>
      </c>
      <c r="F600" s="35">
        <f t="shared" ca="1" si="29"/>
        <v>3.2243682879462554E-3</v>
      </c>
    </row>
    <row r="601" spans="1:6" x14ac:dyDescent="0.25">
      <c r="A601" s="23">
        <v>600</v>
      </c>
      <c r="B601" s="7" cm="1">
        <f t="array" aca="1" ref="B601" ca="1">interpolexp(A601,serie_du,Taxas_DI)</f>
        <v>0.12254082334408611</v>
      </c>
      <c r="C601" s="37">
        <f t="shared" ca="1" si="28"/>
        <v>1.3168275803925344</v>
      </c>
      <c r="D601" s="36">
        <f t="shared" ca="1" si="30"/>
        <v>0.12354213381495893</v>
      </c>
      <c r="E601" s="32">
        <v>0.1193204012533533</v>
      </c>
      <c r="F601" s="35">
        <f t="shared" ca="1" si="29"/>
        <v>3.2204220907328107E-3</v>
      </c>
    </row>
    <row r="602" spans="1:6" x14ac:dyDescent="0.25">
      <c r="A602" s="23">
        <v>601</v>
      </c>
      <c r="B602" s="7" cm="1">
        <f t="array" aca="1" ref="B602" ca="1">interpolexp(A602,serie_du,Taxas_DI)</f>
        <v>0.12254248867424877</v>
      </c>
      <c r="C602" s="37">
        <f t="shared" ca="1" si="28"/>
        <v>1.3174364210578491</v>
      </c>
      <c r="D602" s="36">
        <f t="shared" ca="1" si="30"/>
        <v>0.12354213234903089</v>
      </c>
      <c r="E602" s="32">
        <v>0.11932599964887824</v>
      </c>
      <c r="F602" s="35">
        <f t="shared" ca="1" si="29"/>
        <v>3.2164890253705281E-3</v>
      </c>
    </row>
    <row r="603" spans="1:6" x14ac:dyDescent="0.25">
      <c r="A603" s="23">
        <v>602</v>
      </c>
      <c r="B603" s="7" cm="1">
        <f t="array" aca="1" ref="B603" ca="1">interpolexp(A603,serie_du,Taxas_DI)</f>
        <v>0.12254414847179262</v>
      </c>
      <c r="C603" s="37">
        <f t="shared" ca="1" si="28"/>
        <v>1.3180455432163729</v>
      </c>
      <c r="D603" s="36">
        <f t="shared" ca="1" si="30"/>
        <v>0.12354213089161692</v>
      </c>
      <c r="E603" s="32">
        <v>0.11933157944539197</v>
      </c>
      <c r="F603" s="35">
        <f t="shared" ca="1" si="29"/>
        <v>3.2125690264006579E-3</v>
      </c>
    </row>
    <row r="604" spans="1:6" x14ac:dyDescent="0.25">
      <c r="A604" s="23">
        <v>603</v>
      </c>
      <c r="B604" s="7" cm="1">
        <f t="array" aca="1" ref="B604" ca="1">interpolexp(A604,serie_du,Taxas_DI)</f>
        <v>0.12254580276420679</v>
      </c>
      <c r="C604" s="37">
        <f t="shared" ca="1" si="28"/>
        <v>1.3186549469981816</v>
      </c>
      <c r="D604" s="36">
        <f t="shared" ca="1" si="30"/>
        <v>0.12354212941967058</v>
      </c>
      <c r="E604" s="32">
        <v>0.11933714073542045</v>
      </c>
      <c r="F604" s="35">
        <f t="shared" ca="1" si="29"/>
        <v>3.2086620287863354E-3</v>
      </c>
    </row>
    <row r="605" spans="1:6" x14ac:dyDescent="0.25">
      <c r="A605" s="23">
        <v>604</v>
      </c>
      <c r="B605" s="7" cm="1">
        <f t="array" aca="1" ref="B605" ca="1">interpolexp(A605,serie_du,Taxas_DI)</f>
        <v>0.12254745157884717</v>
      </c>
      <c r="C605" s="37">
        <f t="shared" ca="1" si="28"/>
        <v>1.319264632533548</v>
      </c>
      <c r="D605" s="36">
        <f t="shared" ca="1" si="30"/>
        <v>0.12354212796263897</v>
      </c>
      <c r="E605" s="32">
        <v>0.11934268361091238</v>
      </c>
      <c r="F605" s="35">
        <f t="shared" ca="1" si="29"/>
        <v>3.2047679679347851E-3</v>
      </c>
    </row>
    <row r="606" spans="1:6" x14ac:dyDescent="0.25">
      <c r="A606" s="23">
        <v>605</v>
      </c>
      <c r="B606" s="7" cm="1">
        <f t="array" aca="1" ref="B606" ca="1">interpolexp(A606,serie_du,Taxas_DI)</f>
        <v>0.12254909494291422</v>
      </c>
      <c r="C606" s="37">
        <f t="shared" ca="1" si="28"/>
        <v>1.3198745999528769</v>
      </c>
      <c r="D606" s="36">
        <f t="shared" ca="1" si="30"/>
        <v>0.12354212653594043</v>
      </c>
      <c r="E606" s="32">
        <v>0.11934820816315028</v>
      </c>
      <c r="F606" s="35">
        <f t="shared" ca="1" si="29"/>
        <v>3.200886779763934E-3</v>
      </c>
    </row>
    <row r="607" spans="1:6" x14ac:dyDescent="0.25">
      <c r="A607" s="23">
        <v>606</v>
      </c>
      <c r="B607" s="7" cm="1">
        <f t="array" aca="1" ref="B607" ca="1">interpolexp(A607,serie_du,Taxas_DI)</f>
        <v>0.12255073288336416</v>
      </c>
      <c r="C607" s="37">
        <f t="shared" ca="1" si="28"/>
        <v>1.3204848493864498</v>
      </c>
      <c r="D607" s="36">
        <f t="shared" ca="1" si="30"/>
        <v>0.12354212510006413</v>
      </c>
      <c r="E607" s="32">
        <v>0.11935371448283938</v>
      </c>
      <c r="F607" s="35">
        <f t="shared" ca="1" si="29"/>
        <v>3.1970184005247759E-3</v>
      </c>
    </row>
    <row r="608" spans="1:6" x14ac:dyDescent="0.25">
      <c r="A608" s="23">
        <v>607</v>
      </c>
      <c r="B608" s="7" cm="1">
        <f t="array" aca="1" ref="B608" ca="1">interpolexp(A608,serie_du,Taxas_DI)</f>
        <v>0.12255236542699777</v>
      </c>
      <c r="C608" s="37">
        <f t="shared" ca="1" si="28"/>
        <v>1.3210953809646717</v>
      </c>
      <c r="D608" s="36">
        <f t="shared" ca="1" si="30"/>
        <v>0.12354212366866157</v>
      </c>
      <c r="E608" s="32">
        <v>0.11935920266008537</v>
      </c>
      <c r="F608" s="35">
        <f t="shared" ca="1" si="29"/>
        <v>3.1931627669123941E-3</v>
      </c>
    </row>
    <row r="609" spans="1:6" x14ac:dyDescent="0.25">
      <c r="A609" s="23">
        <v>608</v>
      </c>
      <c r="B609" s="7" cm="1">
        <f t="array" aca="1" ref="B609" ca="1">interpolexp(A609,serie_du,Taxas_DI)</f>
        <v>0.1225539926004382</v>
      </c>
      <c r="C609" s="37">
        <f t="shared" ca="1" si="28"/>
        <v>1.321706194818004</v>
      </c>
      <c r="D609" s="36">
        <f t="shared" ca="1" si="30"/>
        <v>0.12354212224083971</v>
      </c>
      <c r="E609" s="32">
        <v>0.11936467278443885</v>
      </c>
      <c r="F609" s="35">
        <f t="shared" ca="1" si="29"/>
        <v>3.1893198159993474E-3</v>
      </c>
    </row>
    <row r="610" spans="1:6" x14ac:dyDescent="0.25">
      <c r="A610" s="23">
        <v>609</v>
      </c>
      <c r="B610" s="7" cm="1">
        <f t="array" aca="1" ref="B610" ca="1">interpolexp(A610,serie_du,Taxas_DI)</f>
        <v>0.12255561443015317</v>
      </c>
      <c r="C610" s="37">
        <f t="shared" ca="1" si="28"/>
        <v>1.3223172910770229</v>
      </c>
      <c r="D610" s="36">
        <f t="shared" ca="1" si="30"/>
        <v>0.12354212082827232</v>
      </c>
      <c r="E610" s="32">
        <v>0.11937012494478427</v>
      </c>
      <c r="F610" s="35">
        <f t="shared" ca="1" si="29"/>
        <v>3.1854894853688975E-3</v>
      </c>
    </row>
    <row r="611" spans="1:6" x14ac:dyDescent="0.25">
      <c r="A611" s="23">
        <v>610</v>
      </c>
      <c r="B611" s="7" cm="1">
        <f t="array" aca="1" ref="B611" ca="1">interpolexp(A611,serie_du,Taxas_DI)</f>
        <v>0.12255723094241056</v>
      </c>
      <c r="C611" s="37">
        <f t="shared" ca="1" si="28"/>
        <v>1.3229286698722904</v>
      </c>
      <c r="D611" s="36">
        <f t="shared" ca="1" si="30"/>
        <v>0.12354211941500903</v>
      </c>
      <c r="E611" s="32">
        <v>0.11937555922949539</v>
      </c>
      <c r="F611" s="35">
        <f t="shared" ca="1" si="29"/>
        <v>3.1816717129151684E-3</v>
      </c>
    </row>
    <row r="612" spans="1:6" x14ac:dyDescent="0.25">
      <c r="A612" s="23">
        <v>611</v>
      </c>
      <c r="B612" s="7" cm="1">
        <f t="array" aca="1" ref="B612" ca="1">interpolexp(A612,serie_du,Taxas_DI)</f>
        <v>0.12255884216334501</v>
      </c>
      <c r="C612" s="37">
        <f t="shared" ca="1" si="28"/>
        <v>1.3235403313345395</v>
      </c>
      <c r="D612" s="36">
        <f t="shared" ca="1" si="30"/>
        <v>0.12354211802470827</v>
      </c>
      <c r="E612" s="32">
        <v>0.11938097572634643</v>
      </c>
      <c r="F612" s="35">
        <f t="shared" ca="1" si="29"/>
        <v>3.1778664369985776E-3</v>
      </c>
    </row>
    <row r="613" spans="1:6" x14ac:dyDescent="0.25">
      <c r="A613" s="23">
        <v>612</v>
      </c>
      <c r="B613" s="7" cm="1">
        <f t="array" aca="1" ref="B613" ca="1">interpolexp(A613,serie_du,Taxas_DI)</f>
        <v>0.12256044811889133</v>
      </c>
      <c r="C613" s="37">
        <f t="shared" ca="1" si="28"/>
        <v>1.3241522755944799</v>
      </c>
      <c r="D613" s="36">
        <f t="shared" ca="1" si="30"/>
        <v>0.12354211663940973</v>
      </c>
      <c r="E613" s="32">
        <v>0.11938637452251211</v>
      </c>
      <c r="F613" s="35">
        <f t="shared" ca="1" si="29"/>
        <v>3.1740735963792233E-3</v>
      </c>
    </row>
    <row r="614" spans="1:6" x14ac:dyDescent="0.25">
      <c r="A614" s="23">
        <v>613</v>
      </c>
      <c r="B614" s="7" cm="1">
        <f t="array" aca="1" ref="B614" ca="1">interpolexp(A614,serie_du,Taxas_DI)</f>
        <v>0.12256204883476229</v>
      </c>
      <c r="C614" s="37">
        <f t="shared" ca="1" si="28"/>
        <v>1.3247645027827304</v>
      </c>
      <c r="D614" s="36">
        <f t="shared" ca="1" si="30"/>
        <v>0.12354211522684966</v>
      </c>
      <c r="E614" s="32">
        <v>0.11939175570461202</v>
      </c>
      <c r="F614" s="35">
        <f t="shared" ca="1" si="29"/>
        <v>3.1702931301502701E-3</v>
      </c>
    </row>
    <row r="615" spans="1:6" x14ac:dyDescent="0.25">
      <c r="A615" s="23">
        <v>614</v>
      </c>
      <c r="B615" s="7" cm="1">
        <f t="array" aca="1" ref="B615" ca="1">interpolexp(A615,serie_du,Taxas_DI)</f>
        <v>0.12256364433664846</v>
      </c>
      <c r="C615" s="37">
        <f t="shared" ca="1" si="28"/>
        <v>1.3253770130303875</v>
      </c>
      <c r="D615" s="36">
        <f t="shared" ca="1" si="30"/>
        <v>0.12354211387604996</v>
      </c>
      <c r="E615" s="32">
        <v>0.11939711935873287</v>
      </c>
      <c r="F615" s="35">
        <f t="shared" ca="1" si="29"/>
        <v>3.1665249779155857E-3</v>
      </c>
    </row>
    <row r="616" spans="1:6" x14ac:dyDescent="0.25">
      <c r="A616" s="23">
        <v>615</v>
      </c>
      <c r="B616" s="7" cm="1">
        <f t="array" aca="1" ref="B616" ca="1">interpolexp(A616,serie_du,Taxas_DI)</f>
        <v>0.12256523464990732</v>
      </c>
      <c r="C616" s="37">
        <f t="shared" ca="1" si="28"/>
        <v>1.3259898064681301</v>
      </c>
      <c r="D616" s="36">
        <f t="shared" ca="1" si="30"/>
        <v>0.12354211248500024</v>
      </c>
      <c r="E616" s="32">
        <v>0.11940246557036183</v>
      </c>
      <c r="F616" s="35">
        <f t="shared" ca="1" si="29"/>
        <v>3.162769079545491E-3</v>
      </c>
    </row>
    <row r="617" spans="1:6" x14ac:dyDescent="0.25">
      <c r="A617" s="23">
        <v>616</v>
      </c>
      <c r="B617" s="7" cm="1">
        <f t="array" aca="1" ref="B617" ca="1">interpolexp(A617,serie_du,Taxas_DI)</f>
        <v>0.12256681979982975</v>
      </c>
      <c r="C617" s="37">
        <f t="shared" ca="1" si="28"/>
        <v>1.3266028832269805</v>
      </c>
      <c r="D617" s="36">
        <f t="shared" ca="1" si="30"/>
        <v>0.12354211111397495</v>
      </c>
      <c r="E617" s="32">
        <v>0.11940779442443095</v>
      </c>
      <c r="F617" s="35">
        <f t="shared" ca="1" si="29"/>
        <v>3.1590253753988051E-3</v>
      </c>
    </row>
    <row r="618" spans="1:6" x14ac:dyDescent="0.25">
      <c r="A618" s="23">
        <v>617</v>
      </c>
      <c r="B618" s="7" cm="1">
        <f t="array" aca="1" ref="B618" ca="1">interpolexp(A618,serie_du,Taxas_DI)</f>
        <v>0.12256839981155121</v>
      </c>
      <c r="C618" s="37">
        <f t="shared" ca="1" si="28"/>
        <v>1.3272162434380461</v>
      </c>
      <c r="D618" s="36">
        <f t="shared" ca="1" si="30"/>
        <v>0.12354210976834379</v>
      </c>
      <c r="E618" s="32">
        <v>0.11941310600536159</v>
      </c>
      <c r="F618" s="35">
        <f t="shared" ca="1" si="29"/>
        <v>3.1552938061896185E-3</v>
      </c>
    </row>
    <row r="619" spans="1:6" x14ac:dyDescent="0.25">
      <c r="A619" s="23">
        <v>618</v>
      </c>
      <c r="B619" s="7" cm="1">
        <f t="array" aca="1" ref="B619" ca="1">interpolexp(A619,serie_du,Taxas_DI)</f>
        <v>0.12256997470996289</v>
      </c>
      <c r="C619" s="37">
        <f t="shared" ca="1" si="28"/>
        <v>1.3278298872322583</v>
      </c>
      <c r="D619" s="36">
        <f t="shared" ca="1" si="30"/>
        <v>0.12354210839750479</v>
      </c>
      <c r="E619" s="32">
        <v>0.1194184003969978</v>
      </c>
      <c r="F619" s="35">
        <f t="shared" ca="1" si="29"/>
        <v>3.1515743129650886E-3</v>
      </c>
    </row>
    <row r="620" spans="1:6" x14ac:dyDescent="0.25">
      <c r="A620" s="23">
        <v>619</v>
      </c>
      <c r="B620" s="7" cm="1">
        <f t="array" aca="1" ref="B620" ca="1">interpolexp(A620,serie_du,Taxas_DI)</f>
        <v>0.12257154451988939</v>
      </c>
      <c r="C620" s="37">
        <f t="shared" ca="1" si="28"/>
        <v>1.3284438147408819</v>
      </c>
      <c r="D620" s="36">
        <f t="shared" ca="1" si="30"/>
        <v>0.12354210705973379</v>
      </c>
      <c r="E620" s="32">
        <v>0.11942367768262852</v>
      </c>
      <c r="F620" s="35">
        <f t="shared" ca="1" si="29"/>
        <v>3.1478668372608709E-3</v>
      </c>
    </row>
    <row r="621" spans="1:6" x14ac:dyDescent="0.25">
      <c r="A621" s="23">
        <v>620</v>
      </c>
      <c r="B621" s="7" cm="1">
        <f t="array" aca="1" ref="B621" ca="1">interpolexp(A621,serie_du,Taxas_DI)</f>
        <v>0.12257310926595544</v>
      </c>
      <c r="C621" s="37">
        <f t="shared" ca="1" si="28"/>
        <v>1.3290580260951281</v>
      </c>
      <c r="D621" s="36">
        <f t="shared" ca="1" si="30"/>
        <v>0.1235421057305035</v>
      </c>
      <c r="E621" s="32">
        <v>0.11942893794503195</v>
      </c>
      <c r="F621" s="35">
        <f t="shared" ca="1" si="29"/>
        <v>3.1441713209234834E-3</v>
      </c>
    </row>
    <row r="622" spans="1:6" x14ac:dyDescent="0.25">
      <c r="A622" s="23">
        <v>621</v>
      </c>
      <c r="B622" s="7" cm="1">
        <f t="array" aca="1" ref="B622" ca="1">interpolexp(A622,serie_du,Taxas_DI)</f>
        <v>0.12257466897258595</v>
      </c>
      <c r="C622" s="37">
        <f t="shared" ca="1" si="28"/>
        <v>1.3296725214261476</v>
      </c>
      <c r="D622" s="36">
        <f t="shared" ca="1" si="30"/>
        <v>0.12354210438411894</v>
      </c>
      <c r="E622" s="32">
        <v>0.11943418126645344</v>
      </c>
      <c r="F622" s="35">
        <f t="shared" ca="1" si="29"/>
        <v>3.1404877061325109E-3</v>
      </c>
    </row>
    <row r="623" spans="1:6" x14ac:dyDescent="0.25">
      <c r="A623" s="23">
        <v>622</v>
      </c>
      <c r="B623" s="7" cm="1">
        <f t="array" aca="1" ref="B623" ca="1">interpolexp(A623,serie_du,Taxas_DI)</f>
        <v>0.12257622366409482</v>
      </c>
      <c r="C623" s="37">
        <f t="shared" ca="1" si="28"/>
        <v>1.3302873008652856</v>
      </c>
      <c r="D623" s="36">
        <f t="shared" ca="1" si="30"/>
        <v>0.12354210304908886</v>
      </c>
      <c r="E623" s="32">
        <v>0.1194394077286054</v>
      </c>
      <c r="F623" s="35">
        <f t="shared" ca="1" si="29"/>
        <v>3.1368159354894232E-3</v>
      </c>
    </row>
    <row r="624" spans="1:6" x14ac:dyDescent="0.25">
      <c r="A624" s="23">
        <v>623</v>
      </c>
      <c r="B624" s="7" cm="1">
        <f t="array" aca="1" ref="B624" ca="1">interpolexp(A624,serie_du,Taxas_DI)</f>
        <v>0.12257777336466269</v>
      </c>
      <c r="C624" s="37">
        <f t="shared" ca="1" si="28"/>
        <v>1.3309023645440159</v>
      </c>
      <c r="D624" s="36">
        <f t="shared" ca="1" si="30"/>
        <v>0.1235421017398477</v>
      </c>
      <c r="E624" s="32">
        <v>0.11944461741264512</v>
      </c>
      <c r="F624" s="35">
        <f t="shared" ca="1" si="29"/>
        <v>3.1331559520175745E-3</v>
      </c>
    </row>
    <row r="625" spans="1:6" x14ac:dyDescent="0.25">
      <c r="A625" s="23">
        <v>624</v>
      </c>
      <c r="B625" s="7" cm="1">
        <f t="array" aca="1" ref="B625" ca="1">interpolexp(A625,serie_du,Taxas_DI)</f>
        <v>0.12257931809827038</v>
      </c>
      <c r="C625" s="37">
        <f t="shared" ca="1" si="28"/>
        <v>1.3315177125937407</v>
      </c>
      <c r="D625" s="36">
        <f t="shared" ca="1" si="30"/>
        <v>0.1235421004281525</v>
      </c>
      <c r="E625" s="32">
        <v>0.11944981039924141</v>
      </c>
      <c r="F625" s="35">
        <f t="shared" ca="1" si="29"/>
        <v>3.1295076990289772E-3</v>
      </c>
    </row>
    <row r="626" spans="1:6" x14ac:dyDescent="0.25">
      <c r="A626" s="23">
        <v>625</v>
      </c>
      <c r="B626" s="7" cm="1">
        <f t="array" aca="1" ref="B626" ca="1">interpolexp(A626,serie_du,Taxas_DI)</f>
        <v>0.12258085788874329</v>
      </c>
      <c r="C626" s="37">
        <f t="shared" ca="1" si="28"/>
        <v>1.3321333451459179</v>
      </c>
      <c r="D626" s="36">
        <f t="shared" ca="1" si="30"/>
        <v>0.12354209911286174</v>
      </c>
      <c r="E626" s="32">
        <v>0.11945498676855237</v>
      </c>
      <c r="F626" s="35">
        <f t="shared" ca="1" si="29"/>
        <v>3.1258711201909151E-3</v>
      </c>
    </row>
    <row r="627" spans="1:6" x14ac:dyDescent="0.25">
      <c r="A627" s="23">
        <v>626</v>
      </c>
      <c r="B627" s="7" cm="1">
        <f t="array" aca="1" ref="B627" ca="1">interpolexp(A627,serie_du,Taxas_DI)</f>
        <v>0.12258239275977356</v>
      </c>
      <c r="C627" s="37">
        <f t="shared" ca="1" si="28"/>
        <v>1.3327492623321204</v>
      </c>
      <c r="D627" s="36">
        <f t="shared" ca="1" si="30"/>
        <v>0.12354209780575043</v>
      </c>
      <c r="E627" s="32">
        <v>0.11946014660020321</v>
      </c>
      <c r="F627" s="35">
        <f t="shared" ca="1" si="29"/>
        <v>3.1222461595703521E-3</v>
      </c>
    </row>
    <row r="628" spans="1:6" x14ac:dyDescent="0.25">
      <c r="A628" s="23">
        <v>627</v>
      </c>
      <c r="B628" s="7" cm="1">
        <f t="array" aca="1" ref="B628" ca="1">interpolexp(A628,serie_du,Taxas_DI)</f>
        <v>0.12258392273492014</v>
      </c>
      <c r="C628" s="37">
        <f t="shared" ca="1" si="28"/>
        <v>1.3333654642840365</v>
      </c>
      <c r="D628" s="36">
        <f t="shared" ca="1" si="30"/>
        <v>0.12354209651811665</v>
      </c>
      <c r="E628" s="32">
        <v>0.11946528997335282</v>
      </c>
      <c r="F628" s="35">
        <f t="shared" ca="1" si="29"/>
        <v>3.1186327615673193E-3</v>
      </c>
    </row>
    <row r="629" spans="1:6" x14ac:dyDescent="0.25">
      <c r="A629" s="23">
        <v>628</v>
      </c>
      <c r="B629" s="7" cm="1">
        <f t="array" aca="1" ref="B629" ca="1">interpolexp(A629,serie_du,Taxas_DI)</f>
        <v>0.12258544783754211</v>
      </c>
      <c r="C629" s="37">
        <f t="shared" ca="1" si="28"/>
        <v>1.3339819511332669</v>
      </c>
      <c r="D629" s="36">
        <f t="shared" ca="1" si="30"/>
        <v>0.12354209521859993</v>
      </c>
      <c r="E629" s="32">
        <v>0.11947041696656058</v>
      </c>
      <c r="F629" s="35">
        <f t="shared" ca="1" si="29"/>
        <v>3.1150308709815278E-3</v>
      </c>
    </row>
    <row r="630" spans="1:6" x14ac:dyDescent="0.25">
      <c r="A630" s="23">
        <v>629</v>
      </c>
      <c r="B630" s="7" cm="1">
        <f t="array" aca="1" ref="B630" ca="1">interpolexp(A630,serie_du,Taxas_DI)</f>
        <v>0.12258696809090974</v>
      </c>
      <c r="C630" s="37">
        <f t="shared" ca="1" si="28"/>
        <v>1.3345987230116503</v>
      </c>
      <c r="D630" s="36">
        <f t="shared" ca="1" si="30"/>
        <v>0.12354209394471871</v>
      </c>
      <c r="E630" s="32">
        <v>0.1194755276580084</v>
      </c>
      <c r="F630" s="35">
        <f t="shared" ca="1" si="29"/>
        <v>3.1114404329013468E-3</v>
      </c>
    </row>
    <row r="631" spans="1:6" x14ac:dyDescent="0.25">
      <c r="A631" s="23">
        <v>630</v>
      </c>
      <c r="B631" s="7" cm="1">
        <f t="array" aca="1" ref="B631" ca="1">interpolexp(A631,serie_du,Taxas_DI)</f>
        <v>0.12258848351811569</v>
      </c>
      <c r="C631" s="37">
        <f t="shared" ca="1" si="28"/>
        <v>1.3352157800509976</v>
      </c>
      <c r="D631" s="36">
        <f t="shared" ca="1" si="30"/>
        <v>0.12354209267771354</v>
      </c>
      <c r="E631" s="32">
        <v>0.11948062212530086</v>
      </c>
      <c r="F631" s="35">
        <f t="shared" ca="1" si="29"/>
        <v>3.1078613928148258E-3</v>
      </c>
    </row>
    <row r="632" spans="1:6" x14ac:dyDescent="0.25">
      <c r="A632" s="23">
        <v>631</v>
      </c>
      <c r="B632" s="7" cm="1">
        <f t="array" aca="1" ref="B632" ca="1">interpolexp(A632,serie_du,Taxas_DI)</f>
        <v>0.12258999414205274</v>
      </c>
      <c r="C632" s="37">
        <f t="shared" ca="1" si="28"/>
        <v>1.3358331223830209</v>
      </c>
      <c r="D632" s="36">
        <f t="shared" ca="1" si="30"/>
        <v>0.12354209138351457</v>
      </c>
      <c r="E632" s="32">
        <v>0.11948570044555407</v>
      </c>
      <c r="F632" s="35">
        <f t="shared" ca="1" si="29"/>
        <v>3.1042936964986723E-3</v>
      </c>
    </row>
    <row r="633" spans="1:6" x14ac:dyDescent="0.25">
      <c r="A633" s="23">
        <v>632</v>
      </c>
      <c r="B633" s="7" cm="1">
        <f t="array" aca="1" ref="B633" ca="1">interpolexp(A633,serie_du,Taxas_DI)</f>
        <v>0.12259278296951059</v>
      </c>
      <c r="C633" s="37">
        <f t="shared" ca="1" si="28"/>
        <v>1.3364545807621748</v>
      </c>
      <c r="D633" s="36">
        <f t="shared" ca="1" si="30"/>
        <v>0.12435391527721396</v>
      </c>
      <c r="E633" s="32">
        <v>0.11949076269544001</v>
      </c>
      <c r="F633" s="35">
        <f t="shared" ca="1" si="29"/>
        <v>3.1020202740705827E-3</v>
      </c>
    </row>
    <row r="634" spans="1:6" x14ac:dyDescent="0.25">
      <c r="A634" s="23">
        <v>633</v>
      </c>
      <c r="B634" s="7" cm="1">
        <f t="array" aca="1" ref="B634" ca="1">interpolexp(A634,serie_du,Taxas_DI)</f>
        <v>0.1225955629855946</v>
      </c>
      <c r="C634" s="37">
        <f t="shared" ca="1" si="28"/>
        <v>1.3370763282368012</v>
      </c>
      <c r="D634" s="36">
        <f t="shared" ca="1" si="30"/>
        <v>0.12435391096092552</v>
      </c>
      <c r="E634" s="32">
        <v>0.11949580895109779</v>
      </c>
      <c r="F634" s="35">
        <f t="shared" ca="1" si="29"/>
        <v>3.0997540344968044E-3</v>
      </c>
    </row>
    <row r="635" spans="1:6" x14ac:dyDescent="0.25">
      <c r="A635" s="23">
        <v>634</v>
      </c>
      <c r="B635" s="7" cm="1">
        <f t="array" aca="1" ref="B635" ca="1">interpolexp(A635,serie_du,Taxas_DI)</f>
        <v>0.12259833423198252</v>
      </c>
      <c r="C635" s="37">
        <f t="shared" ca="1" si="28"/>
        <v>1.3376983649414231</v>
      </c>
      <c r="D635" s="36">
        <f t="shared" ca="1" si="30"/>
        <v>0.12435390665485713</v>
      </c>
      <c r="E635" s="32">
        <v>0.11950083928822242</v>
      </c>
      <c r="F635" s="35">
        <f t="shared" ca="1" si="29"/>
        <v>3.097494943760104E-3</v>
      </c>
    </row>
    <row r="636" spans="1:6" x14ac:dyDescent="0.25">
      <c r="A636" s="23">
        <v>635</v>
      </c>
      <c r="B636" s="7" cm="1">
        <f t="array" aca="1" ref="B636" ca="1">interpolexp(A636,serie_du,Taxas_DI)</f>
        <v>0.12260109675010789</v>
      </c>
      <c r="C636" s="37">
        <f t="shared" ca="1" si="28"/>
        <v>1.3383206910106809</v>
      </c>
      <c r="D636" s="36">
        <f t="shared" ca="1" si="30"/>
        <v>0.12435390237065169</v>
      </c>
      <c r="E636" s="32">
        <v>0.11950585378204259</v>
      </c>
      <c r="F636" s="35">
        <f t="shared" ca="1" si="29"/>
        <v>3.0952429680652926E-3</v>
      </c>
    </row>
    <row r="637" spans="1:6" x14ac:dyDescent="0.25">
      <c r="A637" s="23">
        <v>636</v>
      </c>
      <c r="B637" s="7" cm="1">
        <f t="array" aca="1" ref="B637" ca="1">interpolexp(A637,serie_du,Taxas_DI)</f>
        <v>0.12260385058113776</v>
      </c>
      <c r="C637" s="37">
        <f t="shared" ca="1" si="28"/>
        <v>1.3389433065792586</v>
      </c>
      <c r="D637" s="36">
        <f t="shared" ca="1" si="30"/>
        <v>0.12435389810435193</v>
      </c>
      <c r="E637" s="32">
        <v>0.11951085250725413</v>
      </c>
      <c r="F637" s="35">
        <f t="shared" ca="1" si="29"/>
        <v>3.0929980738836349E-3</v>
      </c>
    </row>
    <row r="638" spans="1:6" x14ac:dyDescent="0.25">
      <c r="A638" s="23">
        <v>637</v>
      </c>
      <c r="B638" s="7" cm="1">
        <f t="array" aca="1" ref="B638" ca="1">interpolexp(A638,serie_du,Taxas_DI)</f>
        <v>0.12260659576599497</v>
      </c>
      <c r="C638" s="37">
        <f t="shared" ca="1" si="28"/>
        <v>1.339566211781946</v>
      </c>
      <c r="D638" s="36">
        <f t="shared" ca="1" si="30"/>
        <v>0.12435389386490847</v>
      </c>
      <c r="E638" s="32">
        <v>0.11951583553810874</v>
      </c>
      <c r="F638" s="35">
        <f t="shared" ca="1" si="29"/>
        <v>3.0907602278862356E-3</v>
      </c>
    </row>
    <row r="639" spans="1:6" x14ac:dyDescent="0.25">
      <c r="A639" s="23">
        <v>638</v>
      </c>
      <c r="B639" s="7" cm="1">
        <f t="array" aca="1" ref="B639" ca="1">interpolexp(A639,serie_du,Taxas_DI)</f>
        <v>0.12260933234535809</v>
      </c>
      <c r="C639" s="37">
        <f t="shared" ca="1" si="28"/>
        <v>1.3401894067536324</v>
      </c>
      <c r="D639" s="36">
        <f t="shared" ca="1" si="30"/>
        <v>0.12435388966012995</v>
      </c>
      <c r="E639" s="32">
        <v>0.11952080294843626</v>
      </c>
      <c r="F639" s="35">
        <f t="shared" ca="1" si="29"/>
        <v>3.0885293969218353E-3</v>
      </c>
    </row>
    <row r="640" spans="1:6" x14ac:dyDescent="0.25">
      <c r="A640" s="23">
        <v>639</v>
      </c>
      <c r="B640" s="7" cm="1">
        <f t="array" aca="1" ref="B640" ca="1">interpolexp(A640,serie_du,Taxas_DI)</f>
        <v>0.12261206035957262</v>
      </c>
      <c r="C640" s="37">
        <f t="shared" ca="1" si="28"/>
        <v>1.3408128916290316</v>
      </c>
      <c r="D640" s="36">
        <f t="shared" ca="1" si="30"/>
        <v>0.12435388543960868</v>
      </c>
      <c r="E640" s="32">
        <v>0.11952575481155581</v>
      </c>
      <c r="F640" s="35">
        <f t="shared" ca="1" si="29"/>
        <v>3.08630554801681E-3</v>
      </c>
    </row>
    <row r="641" spans="1:6" x14ac:dyDescent="0.25">
      <c r="A641" s="23">
        <v>640</v>
      </c>
      <c r="B641" s="7" cm="1">
        <f t="array" aca="1" ref="B641" ca="1">interpolexp(A641,serie_du,Taxas_DI)</f>
        <v>0.12261477984882863</v>
      </c>
      <c r="C641" s="37">
        <f t="shared" ca="1" si="28"/>
        <v>1.3414366665432129</v>
      </c>
      <c r="D641" s="36">
        <f t="shared" ca="1" si="30"/>
        <v>0.12435388126520297</v>
      </c>
      <c r="E641" s="32">
        <v>0.11953069120036464</v>
      </c>
      <c r="F641" s="35">
        <f t="shared" ca="1" si="29"/>
        <v>3.0840886484639896E-3</v>
      </c>
    </row>
    <row r="642" spans="1:6" x14ac:dyDescent="0.25">
      <c r="A642" s="23">
        <v>641</v>
      </c>
      <c r="B642" s="7" cm="1">
        <f t="array" aca="1" ref="B642" ca="1">interpolexp(A642,serie_du,Taxas_DI)</f>
        <v>0.12261749085300533</v>
      </c>
      <c r="C642" s="37">
        <f t="shared" ref="C642:C705" ca="1" si="31">(1+B642)^(A642/252)</f>
        <v>1.3420607316311262</v>
      </c>
      <c r="D642" s="36">
        <f t="shared" ca="1" si="30"/>
        <v>0.1243538770983732</v>
      </c>
      <c r="E642" s="32">
        <v>0.11953561218724928</v>
      </c>
      <c r="F642" s="35">
        <f t="shared" ref="F642:F705" ca="1" si="32">B642-E642</f>
        <v>3.0818786657560437E-3</v>
      </c>
    </row>
    <row r="643" spans="1:6" x14ac:dyDescent="0.25">
      <c r="A643" s="23">
        <v>642</v>
      </c>
      <c r="B643" s="7" cm="1">
        <f t="array" aca="1" ref="B643" ca="1">interpolexp(A643,serie_du,Taxas_DI)</f>
        <v>0.12262019341175989</v>
      </c>
      <c r="C643" s="37">
        <f t="shared" ca="1" si="31"/>
        <v>1.3426850870278633</v>
      </c>
      <c r="D643" s="36">
        <f t="shared" ca="1" si="30"/>
        <v>0.12435387295593303</v>
      </c>
      <c r="E643" s="32">
        <v>0.11954051784419661</v>
      </c>
      <c r="F643" s="35">
        <f t="shared" ca="1" si="32"/>
        <v>3.0796755675632781E-3</v>
      </c>
    </row>
    <row r="644" spans="1:6" x14ac:dyDescent="0.25">
      <c r="A644" s="23">
        <v>643</v>
      </c>
      <c r="B644" s="7" cm="1">
        <f t="array" aca="1" ref="B644" ca="1">interpolexp(A644,serie_du,Taxas_DI)</f>
        <v>0.12262288756450523</v>
      </c>
      <c r="C644" s="37">
        <f t="shared" ca="1" si="31"/>
        <v>1.3433097328685861</v>
      </c>
      <c r="D644" s="36">
        <f t="shared" ref="D644:D707" ca="1" si="33">((((1+B644)^(A644/252))/((1+B643)^(A643/252)))^(252/1))-1</f>
        <v>0.12435386883921495</v>
      </c>
      <c r="E644" s="32">
        <v>0.11954540824272719</v>
      </c>
      <c r="F644" s="35">
        <f t="shared" ca="1" si="32"/>
        <v>3.0774793217780427E-3</v>
      </c>
    </row>
    <row r="645" spans="1:6" x14ac:dyDescent="0.25">
      <c r="A645" s="23">
        <v>644</v>
      </c>
      <c r="B645" s="7" cm="1">
        <f t="array" aca="1" ref="B645" ca="1">interpolexp(A645,serie_du,Taxas_DI)</f>
        <v>0.12262557335036561</v>
      </c>
      <c r="C645" s="37">
        <f t="shared" ca="1" si="31"/>
        <v>1.3439346692883851</v>
      </c>
      <c r="D645" s="36">
        <f t="shared" ca="1" si="33"/>
        <v>0.12435386471997778</v>
      </c>
      <c r="E645" s="32">
        <v>0.1195502834539397</v>
      </c>
      <c r="F645" s="35">
        <f t="shared" ca="1" si="32"/>
        <v>3.0752898964259145E-3</v>
      </c>
    </row>
    <row r="646" spans="1:6" x14ac:dyDescent="0.25">
      <c r="A646" s="23">
        <v>645</v>
      </c>
      <c r="B646" s="7" cm="1">
        <f t="array" aca="1" ref="B646" ca="1">interpolexp(A646,serie_du,Taxas_DI)</f>
        <v>0.12262825080830986</v>
      </c>
      <c r="C646" s="37">
        <f t="shared" ca="1" si="31"/>
        <v>1.3445598964226804</v>
      </c>
      <c r="D646" s="36">
        <f t="shared" ca="1" si="33"/>
        <v>0.12435386065440568</v>
      </c>
      <c r="E646" s="32">
        <v>0.11955514354844432</v>
      </c>
      <c r="F646" s="35">
        <f t="shared" ca="1" si="32"/>
        <v>3.0731072598655373E-3</v>
      </c>
    </row>
    <row r="647" spans="1:6" x14ac:dyDescent="0.25">
      <c r="A647" s="23">
        <v>646</v>
      </c>
      <c r="B647" s="7" cm="1">
        <f t="array" aca="1" ref="B647" ca="1">interpolexp(A647,serie_du,Taxas_DI)</f>
        <v>0.12263091997697373</v>
      </c>
      <c r="C647" s="37">
        <f t="shared" ca="1" si="31"/>
        <v>1.3451854144066724</v>
      </c>
      <c r="D647" s="36">
        <f t="shared" ca="1" si="33"/>
        <v>0.12435385658291032</v>
      </c>
      <c r="E647" s="32">
        <v>0.11955998859645156</v>
      </c>
      <c r="F647" s="35">
        <f t="shared" ca="1" si="32"/>
        <v>3.0709313805221683E-3</v>
      </c>
    </row>
    <row r="648" spans="1:6" x14ac:dyDescent="0.25">
      <c r="A648" s="23">
        <v>647</v>
      </c>
      <c r="B648" s="7" cm="1">
        <f t="array" aca="1" ref="B648" ca="1">interpolexp(A648,serie_du,Taxas_DI)</f>
        <v>0.12263358089479315</v>
      </c>
      <c r="C648" s="37">
        <f t="shared" ca="1" si="31"/>
        <v>1.345811223375744</v>
      </c>
      <c r="D648" s="36">
        <f t="shared" ca="1" si="33"/>
        <v>0.12435385253058895</v>
      </c>
      <c r="E648" s="32">
        <v>0.11956503268468754</v>
      </c>
      <c r="F648" s="35">
        <f t="shared" ca="1" si="32"/>
        <v>3.0685482101056039E-3</v>
      </c>
    </row>
    <row r="649" spans="1:6" x14ac:dyDescent="0.25">
      <c r="A649" s="23">
        <v>648</v>
      </c>
      <c r="B649" s="7" cm="1">
        <f t="array" aca="1" ref="B649" ca="1">interpolexp(A649,serie_du,Taxas_DI)</f>
        <v>0.12263623359995979</v>
      </c>
      <c r="C649" s="37">
        <f t="shared" ca="1" si="31"/>
        <v>1.3464373234653197</v>
      </c>
      <c r="D649" s="36">
        <f t="shared" ca="1" si="33"/>
        <v>0.12435384849302022</v>
      </c>
      <c r="E649" s="32">
        <v>0.1195700612049988</v>
      </c>
      <c r="F649" s="35">
        <f t="shared" ca="1" si="32"/>
        <v>3.0661723949609865E-3</v>
      </c>
    </row>
    <row r="650" spans="1:6" x14ac:dyDescent="0.25">
      <c r="A650" s="23">
        <v>649</v>
      </c>
      <c r="B650" s="7" cm="1">
        <f t="array" aca="1" ref="B650" ca="1">interpolexp(A650,serie_du,Taxas_DI)</f>
        <v>0.12263887813046548</v>
      </c>
      <c r="C650" s="37">
        <f t="shared" ca="1" si="31"/>
        <v>1.3470637148109961</v>
      </c>
      <c r="D650" s="36">
        <f t="shared" ca="1" si="33"/>
        <v>0.12435384449308517</v>
      </c>
      <c r="E650" s="32">
        <v>0.11957507422937219</v>
      </c>
      <c r="F650" s="35">
        <f t="shared" ca="1" si="32"/>
        <v>3.0638039010932872E-3</v>
      </c>
    </row>
    <row r="651" spans="1:6" x14ac:dyDescent="0.25">
      <c r="A651" s="23">
        <v>650</v>
      </c>
      <c r="B651" s="7" cm="1">
        <f t="array" aca="1" ref="B651" ca="1">interpolexp(A651,serie_du,Taxas_DI)</f>
        <v>0.1226415145240356</v>
      </c>
      <c r="C651" s="37">
        <f t="shared" ca="1" si="31"/>
        <v>1.3476903975483308</v>
      </c>
      <c r="D651" s="36">
        <f t="shared" ca="1" si="33"/>
        <v>0.12435384050931964</v>
      </c>
      <c r="E651" s="32">
        <v>0.11958007182928387</v>
      </c>
      <c r="F651" s="35">
        <f t="shared" ca="1" si="32"/>
        <v>3.0614426947517259E-3</v>
      </c>
    </row>
    <row r="652" spans="1:6" x14ac:dyDescent="0.25">
      <c r="A652" s="23">
        <v>651</v>
      </c>
      <c r="B652" s="7" cm="1">
        <f t="array" aca="1" ref="B652" ca="1">interpolexp(A652,serie_du,Taxas_DI)</f>
        <v>0.12264414281812908</v>
      </c>
      <c r="C652" s="37">
        <f t="shared" ca="1" si="31"/>
        <v>1.3483173718128374</v>
      </c>
      <c r="D652" s="36">
        <f t="shared" ca="1" si="33"/>
        <v>0.12435383651911325</v>
      </c>
      <c r="E652" s="32">
        <v>0.11958505407585474</v>
      </c>
      <c r="F652" s="35">
        <f t="shared" ca="1" si="32"/>
        <v>3.0590887422743407E-3</v>
      </c>
    </row>
    <row r="653" spans="1:6" x14ac:dyDescent="0.25">
      <c r="A653" s="23">
        <v>652</v>
      </c>
      <c r="B653" s="7" cm="1">
        <f t="array" aca="1" ref="B653" ca="1">interpolexp(A653,serie_du,Taxas_DI)</f>
        <v>0.12264676305007161</v>
      </c>
      <c r="C653" s="37">
        <f t="shared" ca="1" si="31"/>
        <v>1.348944637740392</v>
      </c>
      <c r="D653" s="36">
        <f t="shared" ca="1" si="33"/>
        <v>0.12435383258546184</v>
      </c>
      <c r="E653" s="32">
        <v>0.11959002103969496</v>
      </c>
      <c r="F653" s="35">
        <f t="shared" ca="1" si="32"/>
        <v>3.0567420103766452E-3</v>
      </c>
    </row>
    <row r="654" spans="1:6" x14ac:dyDescent="0.25">
      <c r="A654" s="23">
        <v>653</v>
      </c>
      <c r="B654" s="7" cm="1">
        <f t="array" aca="1" ref="B654" ca="1">interpolexp(A654,serie_du,Taxas_DI)</f>
        <v>0.12264937525683361</v>
      </c>
      <c r="C654" s="37">
        <f t="shared" ca="1" si="31"/>
        <v>1.3495721954665385</v>
      </c>
      <c r="D654" s="36">
        <f t="shared" ca="1" si="33"/>
        <v>0.12435382862525346</v>
      </c>
      <c r="E654" s="32">
        <v>0.11959497279101505</v>
      </c>
      <c r="F654" s="35">
        <f t="shared" ca="1" si="32"/>
        <v>3.054402465818562E-3</v>
      </c>
    </row>
    <row r="655" spans="1:6" x14ac:dyDescent="0.25">
      <c r="A655" s="23">
        <v>654</v>
      </c>
      <c r="B655" s="7" cm="1">
        <f t="array" aca="1" ref="B655" ca="1">interpolexp(A655,serie_du,Taxas_DI)</f>
        <v>0.12265197947527451</v>
      </c>
      <c r="C655" s="37">
        <f t="shared" ca="1" si="31"/>
        <v>1.3502000451272436</v>
      </c>
      <c r="D655" s="36">
        <f t="shared" ca="1" si="33"/>
        <v>0.1243538247139766</v>
      </c>
      <c r="E655" s="32">
        <v>0.11959990939962584</v>
      </c>
      <c r="F655" s="35">
        <f t="shared" ca="1" si="32"/>
        <v>3.0520700756486718E-3</v>
      </c>
    </row>
    <row r="656" spans="1:6" x14ac:dyDescent="0.25">
      <c r="A656" s="23">
        <v>655</v>
      </c>
      <c r="B656" s="7" cm="1">
        <f t="array" aca="1" ref="B656" ca="1">interpolexp(A656,serie_du,Taxas_DI)</f>
        <v>0.12265457574198724</v>
      </c>
      <c r="C656" s="37">
        <f t="shared" ca="1" si="31"/>
        <v>1.3508281868584067</v>
      </c>
      <c r="D656" s="36">
        <f t="shared" ca="1" si="33"/>
        <v>0.12435382082429625</v>
      </c>
      <c r="E656" s="32">
        <v>0.11960483093487184</v>
      </c>
      <c r="F656" s="35">
        <f t="shared" ca="1" si="32"/>
        <v>3.0497448071153954E-3</v>
      </c>
    </row>
    <row r="657" spans="1:6" x14ac:dyDescent="0.25">
      <c r="A657" s="23">
        <v>656</v>
      </c>
      <c r="B657" s="7" cm="1">
        <f t="array" aca="1" ref="B657" ca="1">interpolexp(A657,serie_du,Taxas_DI)</f>
        <v>0.1226571640933205</v>
      </c>
      <c r="C657" s="37">
        <f t="shared" ca="1" si="31"/>
        <v>1.3514566207959242</v>
      </c>
      <c r="D657" s="36">
        <f t="shared" ca="1" si="33"/>
        <v>0.12435381694218139</v>
      </c>
      <c r="E657" s="32">
        <v>0.11960973746567571</v>
      </c>
      <c r="F657" s="35">
        <f t="shared" ca="1" si="32"/>
        <v>3.0474266276447892E-3</v>
      </c>
    </row>
    <row r="658" spans="1:6" x14ac:dyDescent="0.25">
      <c r="A658" s="23">
        <v>657</v>
      </c>
      <c r="B658" s="7" cm="1">
        <f t="array" aca="1" ref="B658" ca="1">interpolexp(A658,serie_du,Taxas_DI)</f>
        <v>0.12265974456540096</v>
      </c>
      <c r="C658" s="37">
        <f t="shared" ca="1" si="31"/>
        <v>1.3520853470757532</v>
      </c>
      <c r="D658" s="36">
        <f t="shared" ca="1" si="33"/>
        <v>0.12435381306713267</v>
      </c>
      <c r="E658" s="32">
        <v>0.11961462906053821</v>
      </c>
      <c r="F658" s="35">
        <f t="shared" ca="1" si="32"/>
        <v>3.0451155048627498E-3</v>
      </c>
    </row>
    <row r="659" spans="1:6" x14ac:dyDescent="0.25">
      <c r="A659" s="23">
        <v>658</v>
      </c>
      <c r="B659" s="7" cm="1">
        <f t="array" aca="1" ref="B659" ca="1">interpolexp(A659,serie_du,Taxas_DI)</f>
        <v>0.12266231719417764</v>
      </c>
      <c r="C659" s="37">
        <f t="shared" ca="1" si="31"/>
        <v>1.352714365834045</v>
      </c>
      <c r="D659" s="36">
        <f t="shared" ca="1" si="33"/>
        <v>0.12435380922653971</v>
      </c>
      <c r="E659" s="32">
        <v>0.11961950578756042</v>
      </c>
      <c r="F659" s="35">
        <f t="shared" ca="1" si="32"/>
        <v>3.0428114066172185E-3</v>
      </c>
    </row>
    <row r="660" spans="1:6" x14ac:dyDescent="0.25">
      <c r="A660" s="23">
        <v>659</v>
      </c>
      <c r="B660" s="7" cm="1">
        <f t="array" aca="1" ref="B660" ca="1">interpolexp(A660,serie_du,Taxas_DI)</f>
        <v>0.1226648820153331</v>
      </c>
      <c r="C660" s="37">
        <f t="shared" ca="1" si="31"/>
        <v>1.3533436772068625</v>
      </c>
      <c r="D660" s="36">
        <f t="shared" ca="1" si="33"/>
        <v>0.12435380538863683</v>
      </c>
      <c r="E660" s="32">
        <v>0.11962436771446594</v>
      </c>
      <c r="F660" s="35">
        <f t="shared" ca="1" si="32"/>
        <v>3.0405143008671587E-3</v>
      </c>
    </row>
    <row r="661" spans="1:6" x14ac:dyDescent="0.25">
      <c r="A661" s="23">
        <v>660</v>
      </c>
      <c r="B661" s="7" cm="1">
        <f t="array" aca="1" ref="B661" ca="1">interpolexp(A661,serie_du,Taxas_DI)</f>
        <v>0.12266743906437227</v>
      </c>
      <c r="C661" s="37">
        <f t="shared" ca="1" si="31"/>
        <v>1.3539732813304528</v>
      </c>
      <c r="D661" s="36">
        <f t="shared" ca="1" si="33"/>
        <v>0.12435380157868892</v>
      </c>
      <c r="E661" s="32">
        <v>0.11962921490846767</v>
      </c>
      <c r="F661" s="35">
        <f t="shared" ca="1" si="32"/>
        <v>3.0382241559046008E-3</v>
      </c>
    </row>
    <row r="662" spans="1:6" x14ac:dyDescent="0.25">
      <c r="A662" s="23">
        <v>661</v>
      </c>
      <c r="B662" s="7" cm="1">
        <f t="array" aca="1" ref="B662" ca="1">interpolexp(A662,serie_du,Taxas_DI)</f>
        <v>0.12266998837657805</v>
      </c>
      <c r="C662" s="37">
        <f t="shared" ca="1" si="31"/>
        <v>1.3546031783411037</v>
      </c>
      <c r="D662" s="36">
        <f t="shared" ca="1" si="33"/>
        <v>0.1243537977919984</v>
      </c>
      <c r="E662" s="32">
        <v>0.11963404743646766</v>
      </c>
      <c r="F662" s="35">
        <f t="shared" ca="1" si="32"/>
        <v>3.0359409401103932E-3</v>
      </c>
    </row>
    <row r="663" spans="1:6" x14ac:dyDescent="0.25">
      <c r="A663" s="23">
        <v>662</v>
      </c>
      <c r="B663" s="7" cm="1">
        <f t="array" aca="1" ref="B663" ca="1">interpolexp(A663,serie_du,Taxas_DI)</f>
        <v>0.12267252998698908</v>
      </c>
      <c r="C663" s="37">
        <f t="shared" ca="1" si="31"/>
        <v>1.3552333683750672</v>
      </c>
      <c r="D663" s="36">
        <f t="shared" ca="1" si="33"/>
        <v>0.12435379400767399</v>
      </c>
      <c r="E663" s="32">
        <v>0.11963886536490165</v>
      </c>
      <c r="F663" s="35">
        <f t="shared" ca="1" si="32"/>
        <v>3.0336646220874286E-3</v>
      </c>
    </row>
    <row r="664" spans="1:6" x14ac:dyDescent="0.25">
      <c r="A664" s="23">
        <v>663</v>
      </c>
      <c r="B664" s="7" cm="1">
        <f t="array" aca="1" ref="B664" ca="1">interpolexp(A664,serie_du,Taxas_DI)</f>
        <v>0.12267506393046634</v>
      </c>
      <c r="C664" s="37">
        <f t="shared" ca="1" si="31"/>
        <v>1.3558638515687662</v>
      </c>
      <c r="D664" s="36">
        <f t="shared" ca="1" si="33"/>
        <v>0.12435379024825988</v>
      </c>
      <c r="E664" s="32">
        <v>0.11964366875987231</v>
      </c>
      <c r="F664" s="35">
        <f t="shared" ca="1" si="32"/>
        <v>3.0313951705940312E-3</v>
      </c>
    </row>
    <row r="665" spans="1:6" x14ac:dyDescent="0.25">
      <c r="A665" s="23">
        <v>664</v>
      </c>
      <c r="B665" s="7" cm="1">
        <f t="array" aca="1" ref="B665" ca="1">interpolexp(A665,serie_du,Taxas_DI)</f>
        <v>0.12267759024164882</v>
      </c>
      <c r="C665" s="37">
        <f t="shared" ca="1" si="31"/>
        <v>1.3564946280586474</v>
      </c>
      <c r="D665" s="36">
        <f t="shared" ca="1" si="33"/>
        <v>0.12435378650539652</v>
      </c>
      <c r="E665" s="32">
        <v>0.11964845768701604</v>
      </c>
      <c r="F665" s="35">
        <f t="shared" ca="1" si="32"/>
        <v>3.0291325546327741E-3</v>
      </c>
    </row>
    <row r="666" spans="1:6" x14ac:dyDescent="0.25">
      <c r="A666" s="23">
        <v>665</v>
      </c>
      <c r="B666" s="7" cm="1">
        <f t="array" aca="1" ref="B666" ca="1">interpolexp(A666,serie_du,Taxas_DI)</f>
        <v>0.1226801089549534</v>
      </c>
      <c r="C666" s="37">
        <f t="shared" ca="1" si="31"/>
        <v>1.3571256979811772</v>
      </c>
      <c r="D666" s="36">
        <f t="shared" ca="1" si="33"/>
        <v>0.12435378276996323</v>
      </c>
      <c r="E666" s="32">
        <v>0.11965323221156954</v>
      </c>
      <c r="F666" s="35">
        <f t="shared" ca="1" si="32"/>
        <v>3.0268767433838661E-3</v>
      </c>
    </row>
    <row r="667" spans="1:6" x14ac:dyDescent="0.25">
      <c r="A667" s="23">
        <v>666</v>
      </c>
      <c r="B667" s="7" cm="1">
        <f t="array" aca="1" ref="B667" ca="1">interpolexp(A667,serie_du,Taxas_DI)</f>
        <v>0.12268262010464159</v>
      </c>
      <c r="C667" s="37">
        <f t="shared" ca="1" si="31"/>
        <v>1.3577570614730499</v>
      </c>
      <c r="D667" s="36">
        <f t="shared" ca="1" si="33"/>
        <v>0.12435377907619349</v>
      </c>
      <c r="E667" s="32">
        <v>0.11965799239845865</v>
      </c>
      <c r="F667" s="35">
        <f t="shared" ca="1" si="32"/>
        <v>3.0246277061829474E-3</v>
      </c>
    </row>
    <row r="668" spans="1:6" x14ac:dyDescent="0.25">
      <c r="A668" s="23">
        <v>667</v>
      </c>
      <c r="B668" s="7" cm="1">
        <f t="array" aca="1" ref="B668" ca="1">interpolexp(A668,serie_du,Taxas_DI)</f>
        <v>0.12268512372468621</v>
      </c>
      <c r="C668" s="37">
        <f t="shared" ca="1" si="31"/>
        <v>1.3583887186707551</v>
      </c>
      <c r="D668" s="36">
        <f t="shared" ca="1" si="33"/>
        <v>0.12435377536822512</v>
      </c>
      <c r="E668" s="32">
        <v>0.11966273831216512</v>
      </c>
      <c r="F668" s="35">
        <f t="shared" ca="1" si="32"/>
        <v>3.0223854125210892E-3</v>
      </c>
    </row>
    <row r="669" spans="1:6" x14ac:dyDescent="0.25">
      <c r="A669" s="23">
        <v>668</v>
      </c>
      <c r="B669" s="7" cm="1">
        <f t="array" aca="1" ref="B669" ca="1">interpolexp(A669,serie_du,Taxas_DI)</f>
        <v>0.12268761984892684</v>
      </c>
      <c r="C669" s="37">
        <f t="shared" ca="1" si="31"/>
        <v>1.3590206697110716</v>
      </c>
      <c r="D669" s="36">
        <f t="shared" ca="1" si="33"/>
        <v>0.12435377169296435</v>
      </c>
      <c r="E669" s="32">
        <v>0.11966747001674882</v>
      </c>
      <c r="F669" s="35">
        <f t="shared" ca="1" si="32"/>
        <v>3.0201498321780207E-3</v>
      </c>
    </row>
    <row r="670" spans="1:6" x14ac:dyDescent="0.25">
      <c r="A670" s="23">
        <v>669</v>
      </c>
      <c r="B670" s="7" cm="1">
        <f t="array" aca="1" ref="B670" ca="1">interpolexp(A670,serie_du,Taxas_DI)</f>
        <v>0.12269010851098106</v>
      </c>
      <c r="C670" s="37">
        <f t="shared" ca="1" si="31"/>
        <v>1.3596529147307785</v>
      </c>
      <c r="D670" s="36">
        <f t="shared" ca="1" si="33"/>
        <v>0.12435376803724818</v>
      </c>
      <c r="E670" s="32">
        <v>0.11967218757593656</v>
      </c>
      <c r="F670" s="35">
        <f t="shared" ca="1" si="32"/>
        <v>3.0179209350444935E-3</v>
      </c>
    </row>
    <row r="671" spans="1:6" x14ac:dyDescent="0.25">
      <c r="A671" s="23">
        <v>670</v>
      </c>
      <c r="B671" s="7" cm="1">
        <f t="array" aca="1" ref="B671" ca="1">interpolexp(A671,serie_du,Taxas_DI)</f>
        <v>0.12269258974426656</v>
      </c>
      <c r="C671" s="37">
        <f t="shared" ca="1" si="31"/>
        <v>1.3602854538667197</v>
      </c>
      <c r="D671" s="36">
        <f t="shared" ca="1" si="33"/>
        <v>0.1243537644012136</v>
      </c>
      <c r="E671" s="32">
        <v>0.11967689105309987</v>
      </c>
      <c r="F671" s="35">
        <f t="shared" ca="1" si="32"/>
        <v>3.0156986911666905E-3</v>
      </c>
    </row>
    <row r="672" spans="1:6" x14ac:dyDescent="0.25">
      <c r="A672" s="23">
        <v>671</v>
      </c>
      <c r="B672" s="7" cm="1">
        <f t="array" aca="1" ref="B672" ca="1">interpolexp(A672,serie_du,Taxas_DI)</f>
        <v>0.12269506358197901</v>
      </c>
      <c r="C672" s="37">
        <f t="shared" ca="1" si="31"/>
        <v>1.3609182872557302</v>
      </c>
      <c r="D672" s="36">
        <f t="shared" ca="1" si="33"/>
        <v>0.12435376076983773</v>
      </c>
      <c r="E672" s="32">
        <v>0.11968158051118838</v>
      </c>
      <c r="F672" s="35">
        <f t="shared" ca="1" si="32"/>
        <v>3.0134830707906346E-3</v>
      </c>
    </row>
    <row r="673" spans="1:6" x14ac:dyDescent="0.25">
      <c r="A673" s="23">
        <v>672</v>
      </c>
      <c r="B673" s="7" cm="1">
        <f t="array" aca="1" ref="B673" ca="1">interpolexp(A673,serie_du,Taxas_DI)</f>
        <v>0.12269753005711426</v>
      </c>
      <c r="C673" s="37">
        <f t="shared" ca="1" si="31"/>
        <v>1.3615514150346995</v>
      </c>
      <c r="D673" s="36">
        <f t="shared" ca="1" si="33"/>
        <v>0.12435375714124786</v>
      </c>
      <c r="E673" s="32">
        <v>0.11968625601275207</v>
      </c>
      <c r="F673" s="35">
        <f t="shared" ca="1" si="32"/>
        <v>3.0112740443621888E-3</v>
      </c>
    </row>
    <row r="674" spans="1:6" x14ac:dyDescent="0.25">
      <c r="A674" s="23">
        <v>673</v>
      </c>
      <c r="B674" s="7" cm="1">
        <f t="array" aca="1" ref="B674" ca="1">interpolexp(A674,serie_du,Taxas_DI)</f>
        <v>0.12269998920255709</v>
      </c>
      <c r="C674" s="37">
        <f t="shared" ca="1" si="31"/>
        <v>1.3621848373408572</v>
      </c>
      <c r="D674" s="36">
        <f t="shared" ca="1" si="33"/>
        <v>0.12435375357275169</v>
      </c>
      <c r="E674" s="32">
        <v>0.11969091762005224</v>
      </c>
      <c r="F674" s="35">
        <f t="shared" ca="1" si="32"/>
        <v>3.009071582504852E-3</v>
      </c>
    </row>
    <row r="675" spans="1:6" x14ac:dyDescent="0.25">
      <c r="A675" s="23">
        <v>674</v>
      </c>
      <c r="B675" s="7" cm="1">
        <f t="array" aca="1" ref="B675" ca="1">interpolexp(A675,serie_du,Taxas_DI)</f>
        <v>0.12270244105088146</v>
      </c>
      <c r="C675" s="37">
        <f t="shared" ca="1" si="31"/>
        <v>1.3628185543111204</v>
      </c>
      <c r="D675" s="36">
        <f t="shared" ca="1" si="33"/>
        <v>0.12435374998621174</v>
      </c>
      <c r="E675" s="32">
        <v>0.11969556539488391</v>
      </c>
      <c r="F675" s="35">
        <f t="shared" ca="1" si="32"/>
        <v>3.006875655997554E-3</v>
      </c>
    </row>
    <row r="676" spans="1:6" x14ac:dyDescent="0.25">
      <c r="A676" s="23">
        <v>675</v>
      </c>
      <c r="B676" s="7" cm="1">
        <f t="array" aca="1" ref="B676" ca="1">interpolexp(A676,serie_du,Taxas_DI)</f>
        <v>0.12270488563450588</v>
      </c>
      <c r="C676" s="37">
        <f t="shared" ca="1" si="31"/>
        <v>1.3634525660825916</v>
      </c>
      <c r="D676" s="36">
        <f t="shared" ca="1" si="33"/>
        <v>0.12435374640683228</v>
      </c>
      <c r="E676" s="32">
        <v>0.11970019939875343</v>
      </c>
      <c r="F676" s="35">
        <f t="shared" ca="1" si="32"/>
        <v>3.0046862357524518E-3</v>
      </c>
    </row>
    <row r="677" spans="1:6" x14ac:dyDescent="0.25">
      <c r="A677" s="23">
        <v>676</v>
      </c>
      <c r="B677" s="7" cm="1">
        <f t="array" aca="1" ref="B677" ca="1">interpolexp(A677,serie_du,Taxas_DI)</f>
        <v>0.12270732298571563</v>
      </c>
      <c r="C677" s="37">
        <f t="shared" ca="1" si="31"/>
        <v>1.3640868727926283</v>
      </c>
      <c r="D677" s="36">
        <f t="shared" ca="1" si="33"/>
        <v>0.12435374287435619</v>
      </c>
      <c r="E677" s="32">
        <v>0.11970481969276747</v>
      </c>
      <c r="F677" s="35">
        <f t="shared" ca="1" si="32"/>
        <v>3.0025032929481554E-3</v>
      </c>
    </row>
    <row r="678" spans="1:6" x14ac:dyDescent="0.25">
      <c r="A678" s="23">
        <v>677</v>
      </c>
      <c r="B678" s="7" cm="1">
        <f t="array" aca="1" ref="B678" ca="1">interpolexp(A678,serie_du,Taxas_DI)</f>
        <v>0.12270975313652954</v>
      </c>
      <c r="C678" s="37">
        <f t="shared" ca="1" si="31"/>
        <v>1.3647214745784033</v>
      </c>
      <c r="D678" s="36">
        <f t="shared" ca="1" si="33"/>
        <v>0.12435373933707483</v>
      </c>
      <c r="E678" s="32">
        <v>0.11970942633765524</v>
      </c>
      <c r="F678" s="35">
        <f t="shared" ca="1" si="32"/>
        <v>3.0003267988742977E-3</v>
      </c>
    </row>
    <row r="679" spans="1:6" x14ac:dyDescent="0.25">
      <c r="A679" s="23">
        <v>678</v>
      </c>
      <c r="B679" s="7" cm="1">
        <f t="array" aca="1" ref="B679" ca="1">interpolexp(A679,serie_du,Taxas_DI)</f>
        <v>0.12271217611883323</v>
      </c>
      <c r="C679" s="37">
        <f t="shared" ca="1" si="31"/>
        <v>1.3653563715773367</v>
      </c>
      <c r="D679" s="36">
        <f t="shared" ca="1" si="33"/>
        <v>0.12435373583315368</v>
      </c>
      <c r="E679" s="32">
        <v>0.11971401939385728</v>
      </c>
      <c r="F679" s="35">
        <f t="shared" ca="1" si="32"/>
        <v>2.9981567249759422E-3</v>
      </c>
    </row>
    <row r="680" spans="1:6" x14ac:dyDescent="0.25">
      <c r="A680" s="23">
        <v>679</v>
      </c>
      <c r="B680" s="7" cm="1">
        <f t="array" aca="1" ref="B680" ca="1">interpolexp(A680,serie_du,Taxas_DI)</f>
        <v>0.12271459196424583</v>
      </c>
      <c r="C680" s="37">
        <f t="shared" ca="1" si="31"/>
        <v>1.3659915639266524</v>
      </c>
      <c r="D680" s="36">
        <f t="shared" ca="1" si="33"/>
        <v>0.12435373230855729</v>
      </c>
      <c r="E680" s="32">
        <v>0.11971859892137005</v>
      </c>
      <c r="F680" s="35">
        <f t="shared" ca="1" si="32"/>
        <v>2.9959930428757886E-3</v>
      </c>
    </row>
    <row r="681" spans="1:6" x14ac:dyDescent="0.25">
      <c r="A681" s="23">
        <v>680</v>
      </c>
      <c r="B681" s="7" cm="1">
        <f t="array" aca="1" ref="B681" ca="1">interpolexp(A681,serie_du,Taxas_DI)</f>
        <v>0.1227170007043199</v>
      </c>
      <c r="C681" s="37">
        <f t="shared" ca="1" si="31"/>
        <v>1.3666270517640315</v>
      </c>
      <c r="D681" s="36">
        <f t="shared" ca="1" si="33"/>
        <v>0.12435372884483975</v>
      </c>
      <c r="E681" s="32">
        <v>0.11972316497990132</v>
      </c>
      <c r="F681" s="35">
        <f t="shared" ca="1" si="32"/>
        <v>2.9938357244185809E-3</v>
      </c>
    </row>
    <row r="682" spans="1:6" x14ac:dyDescent="0.25">
      <c r="A682" s="23">
        <v>681</v>
      </c>
      <c r="B682" s="7" cm="1">
        <f t="array" aca="1" ref="B682" ca="1">interpolexp(A682,serie_du,Taxas_DI)</f>
        <v>0.12271940237031931</v>
      </c>
      <c r="C682" s="37">
        <f t="shared" ca="1" si="31"/>
        <v>1.3672628352268783</v>
      </c>
      <c r="D682" s="36">
        <f t="shared" ca="1" si="33"/>
        <v>0.1243537253712188</v>
      </c>
      <c r="E682" s="32">
        <v>0.11972771762878143</v>
      </c>
      <c r="F682" s="35">
        <f t="shared" ca="1" si="32"/>
        <v>2.9916847415378811E-3</v>
      </c>
    </row>
    <row r="683" spans="1:6" x14ac:dyDescent="0.25">
      <c r="A683" s="23">
        <v>682</v>
      </c>
      <c r="B683" s="7" cm="1">
        <f t="array" aca="1" ref="B683" ca="1">interpolexp(A683,serie_du,Taxas_DI)</f>
        <v>0.12272179699335251</v>
      </c>
      <c r="C683" s="37">
        <f t="shared" ca="1" si="31"/>
        <v>1.3678989144527525</v>
      </c>
      <c r="D683" s="36">
        <f t="shared" ca="1" si="33"/>
        <v>0.1243537219068731</v>
      </c>
      <c r="E683" s="32">
        <v>0.11973225692698541</v>
      </c>
      <c r="F683" s="35">
        <f t="shared" ca="1" si="32"/>
        <v>2.9895400663670912E-3</v>
      </c>
    </row>
    <row r="684" spans="1:6" x14ac:dyDescent="0.25">
      <c r="A684" s="23">
        <v>683</v>
      </c>
      <c r="B684" s="7" cm="1">
        <f t="array" aca="1" ref="B684" ca="1">interpolexp(A684,serie_du,Taxas_DI)</f>
        <v>0.12272418460437251</v>
      </c>
      <c r="C684" s="37">
        <f t="shared" ca="1" si="31"/>
        <v>1.3685352895793659</v>
      </c>
      <c r="D684" s="36">
        <f t="shared" ca="1" si="33"/>
        <v>0.12435371846988108</v>
      </c>
      <c r="E684" s="32">
        <v>0.11973678293315526</v>
      </c>
      <c r="F684" s="35">
        <f t="shared" ca="1" si="32"/>
        <v>2.9874016712172491E-3</v>
      </c>
    </row>
    <row r="685" spans="1:6" x14ac:dyDescent="0.25">
      <c r="A685" s="23">
        <v>684</v>
      </c>
      <c r="B685" s="7" cm="1">
        <f t="array" aca="1" ref="B685" ca="1">interpolexp(A685,serie_du,Taxas_DI)</f>
        <v>0.1227265652341325</v>
      </c>
      <c r="C685" s="37">
        <f t="shared" ca="1" si="31"/>
        <v>1.3691719607444321</v>
      </c>
      <c r="D685" s="36">
        <f t="shared" ca="1" si="33"/>
        <v>0.12435371504729553</v>
      </c>
      <c r="E685" s="32">
        <v>0.11974129570559988</v>
      </c>
      <c r="F685" s="35">
        <f t="shared" ca="1" si="32"/>
        <v>2.9852695285326192E-3</v>
      </c>
    </row>
    <row r="686" spans="1:6" x14ac:dyDescent="0.25">
      <c r="A686" s="23">
        <v>685</v>
      </c>
      <c r="B686" s="7" cm="1">
        <f t="array" aca="1" ref="B686" ca="1">interpolexp(A686,serie_du,Taxas_DI)</f>
        <v>0.12272893891323022</v>
      </c>
      <c r="C686" s="37">
        <f t="shared" ca="1" si="31"/>
        <v>1.3698089280858081</v>
      </c>
      <c r="D686" s="36">
        <f t="shared" ca="1" si="33"/>
        <v>0.12435371165557152</v>
      </c>
      <c r="E686" s="32">
        <v>0.11974579530227292</v>
      </c>
      <c r="F686" s="35">
        <f t="shared" ca="1" si="32"/>
        <v>2.9831436109573062E-3</v>
      </c>
    </row>
    <row r="687" spans="1:6" x14ac:dyDescent="0.25">
      <c r="A687" s="23">
        <v>686</v>
      </c>
      <c r="B687" s="7" cm="1">
        <f t="array" aca="1" ref="B687" ca="1">interpolexp(A687,serie_du,Taxas_DI)</f>
        <v>0.12273130567199697</v>
      </c>
      <c r="C687" s="37">
        <f t="shared" ca="1" si="31"/>
        <v>1.3704461917411224</v>
      </c>
      <c r="D687" s="36">
        <f t="shared" ca="1" si="33"/>
        <v>0.12435370823415726</v>
      </c>
      <c r="E687" s="32">
        <v>0.11975028178077274</v>
      </c>
      <c r="F687" s="35">
        <f t="shared" ca="1" si="32"/>
        <v>2.9810238912242326E-3</v>
      </c>
    </row>
    <row r="688" spans="1:6" x14ac:dyDescent="0.25">
      <c r="A688" s="23">
        <v>687</v>
      </c>
      <c r="B688" s="7" cm="1">
        <f t="array" aca="1" ref="B688" ca="1">interpolexp(A688,serie_du,Taxas_DI)</f>
        <v>0.12273366554071963</v>
      </c>
      <c r="C688" s="37">
        <f t="shared" ca="1" si="31"/>
        <v>1.3710837518485073</v>
      </c>
      <c r="D688" s="36">
        <f t="shared" ca="1" si="33"/>
        <v>0.12435370487392117</v>
      </c>
      <c r="E688" s="32">
        <v>0.11975475519840906</v>
      </c>
      <c r="F688" s="35">
        <f t="shared" ca="1" si="32"/>
        <v>2.9789103423105701E-3</v>
      </c>
    </row>
    <row r="689" spans="1:6" x14ac:dyDescent="0.25">
      <c r="A689" s="23">
        <v>688</v>
      </c>
      <c r="B689" s="7" cm="1">
        <f t="array" aca="1" ref="B689" ca="1">interpolexp(A689,serie_du,Taxas_DI)</f>
        <v>0.12273601854939642</v>
      </c>
      <c r="C689" s="37">
        <f t="shared" ca="1" si="31"/>
        <v>1.3717216085457831</v>
      </c>
      <c r="D689" s="36">
        <f t="shared" ca="1" si="33"/>
        <v>0.12435370149716407</v>
      </c>
      <c r="E689" s="32">
        <v>0.11975921561211411</v>
      </c>
      <c r="F689" s="35">
        <f t="shared" ca="1" si="32"/>
        <v>2.9768029372823079E-3</v>
      </c>
    </row>
    <row r="690" spans="1:6" x14ac:dyDescent="0.25">
      <c r="A690" s="23">
        <v>689</v>
      </c>
      <c r="B690" s="7" cm="1">
        <f t="array" aca="1" ref="B690" ca="1">interpolexp(A690,serie_du,Taxas_DI)</f>
        <v>0.12273836472793676</v>
      </c>
      <c r="C690" s="37">
        <f t="shared" ca="1" si="31"/>
        <v>1.3723597619711196</v>
      </c>
      <c r="D690" s="36">
        <f t="shared" ca="1" si="33"/>
        <v>0.12435369816280861</v>
      </c>
      <c r="E690" s="32">
        <v>0.11976366307853148</v>
      </c>
      <c r="F690" s="35">
        <f t="shared" ca="1" si="32"/>
        <v>2.9747016494052758E-3</v>
      </c>
    </row>
    <row r="691" spans="1:6" x14ac:dyDescent="0.25">
      <c r="A691" s="23">
        <v>690</v>
      </c>
      <c r="B691" s="7" cm="1">
        <f t="array" aca="1" ref="B691" ca="1">interpolexp(A691,serie_du,Taxas_DI)</f>
        <v>0.12274070410600579</v>
      </c>
      <c r="C691" s="37">
        <f t="shared" ca="1" si="31"/>
        <v>1.3729982122625133</v>
      </c>
      <c r="D691" s="36">
        <f t="shared" ca="1" si="33"/>
        <v>0.12435369482162772</v>
      </c>
      <c r="E691" s="32">
        <v>0.11976809765392726</v>
      </c>
      <c r="F691" s="35">
        <f t="shared" ca="1" si="32"/>
        <v>2.97260645207853E-3</v>
      </c>
    </row>
    <row r="692" spans="1:6" x14ac:dyDescent="0.25">
      <c r="A692" s="23">
        <v>691</v>
      </c>
      <c r="B692" s="7" cm="1">
        <f t="array" aca="1" ref="B692" ca="1">interpolexp(A692,serie_du,Taxas_DI)</f>
        <v>0.12274303671313547</v>
      </c>
      <c r="C692" s="37">
        <f t="shared" ca="1" si="31"/>
        <v>1.3736369595581532</v>
      </c>
      <c r="D692" s="36">
        <f t="shared" ca="1" si="33"/>
        <v>0.12435369150027231</v>
      </c>
      <c r="E692" s="32">
        <v>0.11977251939427891</v>
      </c>
      <c r="F692" s="35">
        <f t="shared" ca="1" si="32"/>
        <v>2.9705173188565581E-3</v>
      </c>
    </row>
    <row r="693" spans="1:6" x14ac:dyDescent="0.25">
      <c r="A693" s="23">
        <v>692</v>
      </c>
      <c r="B693" s="7" cm="1">
        <f t="array" aca="1" ref="B693" ca="1">interpolexp(A693,serie_du,Taxas_DI)</f>
        <v>0.12274536257865787</v>
      </c>
      <c r="C693" s="37">
        <f t="shared" ca="1" si="31"/>
        <v>1.3742760039961948</v>
      </c>
      <c r="D693" s="36">
        <f t="shared" ca="1" si="33"/>
        <v>0.12435368817849413</v>
      </c>
      <c r="E693" s="32">
        <v>0.119776928355253</v>
      </c>
      <c r="F693" s="35">
        <f t="shared" ca="1" si="32"/>
        <v>2.96843422340487E-3</v>
      </c>
    </row>
    <row r="694" spans="1:6" x14ac:dyDescent="0.25">
      <c r="A694" s="23">
        <v>693</v>
      </c>
      <c r="B694" s="7" cm="1">
        <f t="array" aca="1" ref="B694" ca="1">interpolexp(A694,serie_du,Taxas_DI)</f>
        <v>0.12274768173179407</v>
      </c>
      <c r="C694" s="37">
        <f t="shared" ca="1" si="31"/>
        <v>1.3749153457150536</v>
      </c>
      <c r="D694" s="36">
        <f t="shared" ca="1" si="33"/>
        <v>0.1243536848966329</v>
      </c>
      <c r="E694" s="32">
        <v>0.11978132459211643</v>
      </c>
      <c r="F694" s="35">
        <f t="shared" ca="1" si="32"/>
        <v>2.9663571396776334E-3</v>
      </c>
    </row>
    <row r="695" spans="1:6" x14ac:dyDescent="0.25">
      <c r="A695" s="23">
        <v>694</v>
      </c>
      <c r="B695" s="7" cm="1">
        <f t="array" aca="1" ref="B695" ca="1">interpolexp(A695,serie_du,Taxas_DI)</f>
        <v>0.12274999420156529</v>
      </c>
      <c r="C695" s="37">
        <f t="shared" ca="1" si="31"/>
        <v>1.375554984853103</v>
      </c>
      <c r="D695" s="36">
        <f t="shared" ca="1" si="33"/>
        <v>0.12435368163267513</v>
      </c>
      <c r="E695" s="32">
        <v>0.11978570815991407</v>
      </c>
      <c r="F695" s="35">
        <f t="shared" ca="1" si="32"/>
        <v>2.9642860416512207E-3</v>
      </c>
    </row>
    <row r="696" spans="1:6" x14ac:dyDescent="0.25">
      <c r="A696" s="23">
        <v>695</v>
      </c>
      <c r="B696" s="7" cm="1">
        <f t="array" aca="1" ref="B696" ca="1">interpolexp(A696,serie_du,Taxas_DI)</f>
        <v>0.12275318685113223</v>
      </c>
      <c r="C696" s="37">
        <f t="shared" ca="1" si="31"/>
        <v>1.3761979194895486</v>
      </c>
      <c r="D696" s="36">
        <f t="shared" ca="1" si="33"/>
        <v>0.12497107653284689</v>
      </c>
      <c r="E696" s="32">
        <v>0.1197900791133133</v>
      </c>
      <c r="F696" s="35">
        <f t="shared" ca="1" si="32"/>
        <v>2.9631077378189374E-3</v>
      </c>
    </row>
    <row r="697" spans="1:6" x14ac:dyDescent="0.25">
      <c r="A697" s="23">
        <v>696</v>
      </c>
      <c r="B697" s="7" cm="1">
        <f t="array" aca="1" ref="B697" ca="1">interpolexp(A697,serie_du,Taxas_DI)</f>
        <v>0.12275637032652664</v>
      </c>
      <c r="C697" s="37">
        <f t="shared" ca="1" si="31"/>
        <v>1.3768411546035029</v>
      </c>
      <c r="D697" s="36">
        <f t="shared" ca="1" si="33"/>
        <v>0.12497107030416443</v>
      </c>
      <c r="E697" s="32">
        <v>0.11979443750669283</v>
      </c>
      <c r="F697" s="35">
        <f t="shared" ca="1" si="32"/>
        <v>2.9619328198338124E-3</v>
      </c>
    </row>
    <row r="698" spans="1:6" x14ac:dyDescent="0.25">
      <c r="A698" s="23">
        <v>697</v>
      </c>
      <c r="B698" s="7" cm="1">
        <f t="array" aca="1" ref="B698" ca="1">interpolexp(A698,serie_du,Taxas_DI)</f>
        <v>0.12275954466722805</v>
      </c>
      <c r="C698" s="37">
        <f t="shared" ca="1" si="31"/>
        <v>1.3774846903354869</v>
      </c>
      <c r="D698" s="36">
        <f t="shared" ca="1" si="33"/>
        <v>0.12497106409731917</v>
      </c>
      <c r="E698" s="32">
        <v>0.11979878339412053</v>
      </c>
      <c r="F698" s="35">
        <f t="shared" ca="1" si="32"/>
        <v>2.960761273107515E-3</v>
      </c>
    </row>
    <row r="699" spans="1:6" x14ac:dyDescent="0.25">
      <c r="A699" s="23">
        <v>698</v>
      </c>
      <c r="B699" s="7" cm="1">
        <f t="array" aca="1" ref="B699" ca="1">interpolexp(A699,serie_du,Taxas_DI)</f>
        <v>0.12276270991249394</v>
      </c>
      <c r="C699" s="37">
        <f t="shared" ca="1" si="31"/>
        <v>1.3781285268261012</v>
      </c>
      <c r="D699" s="36">
        <f t="shared" ca="1" si="33"/>
        <v>0.12497105791512442</v>
      </c>
      <c r="E699" s="32">
        <v>0.1198031168293312</v>
      </c>
      <c r="F699" s="35">
        <f t="shared" ca="1" si="32"/>
        <v>2.9595930831627371E-3</v>
      </c>
    </row>
    <row r="700" spans="1:6" x14ac:dyDescent="0.25">
      <c r="A700" s="23">
        <v>699</v>
      </c>
      <c r="B700" s="7" cm="1">
        <f t="array" aca="1" ref="B700" ca="1">interpolexp(A700,serie_du,Taxas_DI)</f>
        <v>0.12276586610135976</v>
      </c>
      <c r="C700" s="37">
        <f t="shared" ca="1" si="31"/>
        <v>1.3787726642160205</v>
      </c>
      <c r="D700" s="36">
        <f t="shared" ca="1" si="33"/>
        <v>0.12497105175926548</v>
      </c>
      <c r="E700" s="32">
        <v>0.11980743786577097</v>
      </c>
      <c r="F700" s="35">
        <f t="shared" ca="1" si="32"/>
        <v>2.9584282355887837E-3</v>
      </c>
    </row>
    <row r="701" spans="1:6" x14ac:dyDescent="0.25">
      <c r="A701" s="23">
        <v>700</v>
      </c>
      <c r="B701" s="7" cm="1">
        <f t="array" aca="1" ref="B701" ca="1">interpolexp(A701,serie_du,Taxas_DI)</f>
        <v>0.12276901327263889</v>
      </c>
      <c r="C701" s="37">
        <f t="shared" ca="1" si="31"/>
        <v>1.379417102645988</v>
      </c>
      <c r="D701" s="36">
        <f t="shared" ca="1" si="33"/>
        <v>0.12497104563031103</v>
      </c>
      <c r="E701" s="32">
        <v>0.11981174655657512</v>
      </c>
      <c r="F701" s="35">
        <f t="shared" ca="1" si="32"/>
        <v>2.9572667160637778E-3</v>
      </c>
    </row>
    <row r="702" spans="1:6" x14ac:dyDescent="0.25">
      <c r="A702" s="23">
        <v>701</v>
      </c>
      <c r="B702" s="7" cm="1">
        <f t="array" aca="1" ref="B702" ca="1">interpolexp(A702,serie_du,Taxas_DI)</f>
        <v>0.12277215146494491</v>
      </c>
      <c r="C702" s="37">
        <f t="shared" ca="1" si="31"/>
        <v>1.380061842256886</v>
      </c>
      <c r="D702" s="36">
        <f t="shared" ca="1" si="33"/>
        <v>0.12497103954326239</v>
      </c>
      <c r="E702" s="32">
        <v>0.11981604295459025</v>
      </c>
      <c r="F702" s="35">
        <f t="shared" ca="1" si="32"/>
        <v>2.9561085103546603E-3</v>
      </c>
    </row>
    <row r="703" spans="1:6" x14ac:dyDescent="0.25">
      <c r="A703" s="23">
        <v>702</v>
      </c>
      <c r="B703" s="7" cm="1">
        <f t="array" aca="1" ref="B703" ca="1">interpolexp(A703,serie_du,Taxas_DI)</f>
        <v>0.12277528071662491</v>
      </c>
      <c r="C703" s="37">
        <f t="shared" ca="1" si="31"/>
        <v>1.3807068831895031</v>
      </c>
      <c r="D703" s="36">
        <f t="shared" ca="1" si="33"/>
        <v>0.12497103346527583</v>
      </c>
      <c r="E703" s="32">
        <v>0.11982032711232993</v>
      </c>
      <c r="F703" s="35">
        <f t="shared" ca="1" si="32"/>
        <v>2.9549536042949853E-3</v>
      </c>
    </row>
    <row r="704" spans="1:6" x14ac:dyDescent="0.25">
      <c r="A704" s="23">
        <v>703</v>
      </c>
      <c r="B704" s="7" cm="1">
        <f t="array" aca="1" ref="B704" ca="1">interpolexp(A704,serie_du,Taxas_DI)</f>
        <v>0.12277840106582616</v>
      </c>
      <c r="C704" s="37">
        <f t="shared" ca="1" si="31"/>
        <v>1.3813522255847559</v>
      </c>
      <c r="D704" s="36">
        <f t="shared" ca="1" si="33"/>
        <v>0.12497102740922039</v>
      </c>
      <c r="E704" s="32">
        <v>0.11982459908204124</v>
      </c>
      <c r="F704" s="35">
        <f t="shared" ca="1" si="32"/>
        <v>2.9538019837849205E-3</v>
      </c>
    </row>
    <row r="705" spans="1:6" x14ac:dyDescent="0.25">
      <c r="A705" s="23">
        <v>704</v>
      </c>
      <c r="B705" s="7" cm="1">
        <f t="array" aca="1" ref="B705" ca="1">interpolexp(A705,serie_du,Taxas_DI)</f>
        <v>0.12278151255049607</v>
      </c>
      <c r="C705" s="37">
        <f t="shared" ca="1" si="31"/>
        <v>1.381997869583685</v>
      </c>
      <c r="D705" s="36">
        <f t="shared" ca="1" si="33"/>
        <v>0.12497102138681981</v>
      </c>
      <c r="E705" s="32">
        <v>0.11982885891566042</v>
      </c>
      <c r="F705" s="35">
        <f t="shared" ca="1" si="32"/>
        <v>2.9526536348356558E-3</v>
      </c>
    </row>
    <row r="706" spans="1:6" x14ac:dyDescent="0.25">
      <c r="A706" s="23">
        <v>705</v>
      </c>
      <c r="B706" s="7" cm="1">
        <f t="array" aca="1" ref="B706" ca="1">interpolexp(A706,serie_du,Taxas_DI)</f>
        <v>0.12278461520836004</v>
      </c>
      <c r="C706" s="37">
        <f t="shared" ref="C706:C769" ca="1" si="34">(1+B706)^(A706/252)</f>
        <v>1.3826438153273726</v>
      </c>
      <c r="D706" s="36">
        <f t="shared" ca="1" si="33"/>
        <v>0.12497101539320887</v>
      </c>
      <c r="E706" s="32">
        <v>0.11983310666481284</v>
      </c>
      <c r="F706" s="35">
        <f t="shared" ref="F706:F769" ca="1" si="35">B706-E706</f>
        <v>2.9515085435471988E-3</v>
      </c>
    </row>
    <row r="707" spans="1:6" x14ac:dyDescent="0.25">
      <c r="A707" s="23">
        <v>706</v>
      </c>
      <c r="B707" s="7" cm="1">
        <f t="array" aca="1" ref="B707" ca="1">interpolexp(A707,serie_du,Taxas_DI)</f>
        <v>0.12278770907694359</v>
      </c>
      <c r="C707" s="37">
        <f t="shared" ca="1" si="34"/>
        <v>1.3832900629570142</v>
      </c>
      <c r="D707" s="36">
        <f t="shared" ca="1" si="33"/>
        <v>0.12497100943797479</v>
      </c>
      <c r="E707" s="32">
        <v>0.11983734238087962</v>
      </c>
      <c r="F707" s="35">
        <f t="shared" ca="1" si="35"/>
        <v>2.9503666960639663E-3</v>
      </c>
    </row>
    <row r="708" spans="1:6" x14ac:dyDescent="0.25">
      <c r="A708" s="23">
        <v>707</v>
      </c>
      <c r="B708" s="7" cm="1">
        <f t="array" aca="1" ref="B708" ca="1">interpolexp(A708,serie_du,Taxas_DI)</f>
        <v>0.1227907941934836</v>
      </c>
      <c r="C708" s="37">
        <f t="shared" ca="1" si="34"/>
        <v>1.3839366126136075</v>
      </c>
      <c r="D708" s="36">
        <f t="shared" ref="D708:D771" ca="1" si="36">((((1+B708)^(A708/252))/((1+B707)^(A707/252)))^(252/1))-1</f>
        <v>0.12497100346705881</v>
      </c>
      <c r="E708" s="32">
        <v>0.11984156611488661</v>
      </c>
      <c r="F708" s="35">
        <f t="shared" ca="1" si="35"/>
        <v>2.9492280785969882E-3</v>
      </c>
    </row>
    <row r="709" spans="1:6" x14ac:dyDescent="0.25">
      <c r="A709" s="23">
        <v>708</v>
      </c>
      <c r="B709" s="7" cm="1">
        <f t="array" aca="1" ref="B709" ca="1">interpolexp(A709,serie_du,Taxas_DI)</f>
        <v>0.12279387059510594</v>
      </c>
      <c r="C709" s="37">
        <f t="shared" ca="1" si="34"/>
        <v>1.3845834644385584</v>
      </c>
      <c r="D709" s="36">
        <f t="shared" ca="1" si="36"/>
        <v>0.12497099755055818</v>
      </c>
      <c r="E709" s="32">
        <v>0.11984577791761541</v>
      </c>
      <c r="F709" s="35">
        <f t="shared" ca="1" si="35"/>
        <v>2.9480926774905214E-3</v>
      </c>
    </row>
    <row r="710" spans="1:6" x14ac:dyDescent="0.25">
      <c r="A710" s="23">
        <v>709</v>
      </c>
      <c r="B710" s="7" cm="1">
        <f t="array" aca="1" ref="B710" ca="1">interpolexp(A710,serie_du,Taxas_DI)</f>
        <v>0.12279693831869221</v>
      </c>
      <c r="C710" s="37">
        <f t="shared" ca="1" si="34"/>
        <v>1.3852306185732188</v>
      </c>
      <c r="D710" s="36">
        <f t="shared" ca="1" si="36"/>
        <v>0.12497099166384729</v>
      </c>
      <c r="E710" s="32">
        <v>0.11984997783955897</v>
      </c>
      <c r="F710" s="35">
        <f t="shared" ca="1" si="35"/>
        <v>2.9469604791332316E-3</v>
      </c>
    </row>
    <row r="711" spans="1:6" x14ac:dyDescent="0.25">
      <c r="A711" s="23">
        <v>710</v>
      </c>
      <c r="B711" s="7" cm="1">
        <f t="array" aca="1" ref="B711" ca="1">interpolexp(A711,serie_du,Taxas_DI)</f>
        <v>0.12279999740090197</v>
      </c>
      <c r="C711" s="37">
        <f t="shared" ca="1" si="34"/>
        <v>1.3858780751589563</v>
      </c>
      <c r="D711" s="36">
        <f t="shared" ca="1" si="36"/>
        <v>0.12497098579647092</v>
      </c>
      <c r="E711" s="32">
        <v>0.11985534467815473</v>
      </c>
      <c r="F711" s="35">
        <f t="shared" ca="1" si="35"/>
        <v>2.944652722747243E-3</v>
      </c>
    </row>
    <row r="712" spans="1:6" x14ac:dyDescent="0.25">
      <c r="A712" s="23">
        <v>711</v>
      </c>
      <c r="B712" s="7" cm="1">
        <f t="array" aca="1" ref="B712" ca="1">interpolexp(A712,serie_du,Taxas_DI)</f>
        <v>0.12280304787817276</v>
      </c>
      <c r="C712" s="37">
        <f t="shared" ca="1" si="34"/>
        <v>1.3865258343371485</v>
      </c>
      <c r="D712" s="36">
        <f t="shared" ca="1" si="36"/>
        <v>0.12497097993703998</v>
      </c>
      <c r="E712" s="32">
        <v>0.1198606964204707</v>
      </c>
      <c r="F712" s="35">
        <f t="shared" ca="1" si="35"/>
        <v>2.9423514577020526E-3</v>
      </c>
    </row>
    <row r="713" spans="1:6" x14ac:dyDescent="0.25">
      <c r="A713" s="23">
        <v>712</v>
      </c>
      <c r="B713" s="7" cm="1">
        <f t="array" aca="1" ref="B713" ca="1">interpolexp(A713,serie_du,Taxas_DI)</f>
        <v>0.12280608978678664</v>
      </c>
      <c r="C713" s="37">
        <f t="shared" ca="1" si="34"/>
        <v>1.3871738962494109</v>
      </c>
      <c r="D713" s="36">
        <f t="shared" ca="1" si="36"/>
        <v>0.12497097412073255</v>
      </c>
      <c r="E713" s="32">
        <v>0.11986603313007826</v>
      </c>
      <c r="F713" s="35">
        <f t="shared" ca="1" si="35"/>
        <v>2.9400566567083786E-3</v>
      </c>
    </row>
    <row r="714" spans="1:6" x14ac:dyDescent="0.25">
      <c r="A714" s="23">
        <v>713</v>
      </c>
      <c r="B714" s="7" cm="1">
        <f t="array" aca="1" ref="B714" ca="1">interpolexp(A714,serie_du,Taxas_DI)</f>
        <v>0.12280912316278148</v>
      </c>
      <c r="C714" s="37">
        <f t="shared" ca="1" si="34"/>
        <v>1.3878222610372823</v>
      </c>
      <c r="D714" s="36">
        <f t="shared" ca="1" si="36"/>
        <v>0.12497096831826338</v>
      </c>
      <c r="E714" s="32">
        <v>0.11987135487021572</v>
      </c>
      <c r="F714" s="35">
        <f t="shared" ca="1" si="35"/>
        <v>2.9377682925657567E-3</v>
      </c>
    </row>
    <row r="715" spans="1:6" x14ac:dyDescent="0.25">
      <c r="A715" s="23">
        <v>714</v>
      </c>
      <c r="B715" s="7" cm="1">
        <f t="array" aca="1" ref="B715" ca="1">interpolexp(A715,serie_du,Taxas_DI)</f>
        <v>0.12281214804203966</v>
      </c>
      <c r="C715" s="37">
        <f t="shared" ca="1" si="34"/>
        <v>1.3884709288425294</v>
      </c>
      <c r="D715" s="36">
        <f t="shared" ca="1" si="36"/>
        <v>0.12497096256245221</v>
      </c>
      <c r="E715" s="32">
        <v>0.11987666170381051</v>
      </c>
      <c r="F715" s="35">
        <f t="shared" ca="1" si="35"/>
        <v>2.9354863382291541E-3</v>
      </c>
    </row>
    <row r="716" spans="1:6" x14ac:dyDescent="0.25">
      <c r="A716" s="23">
        <v>715</v>
      </c>
      <c r="B716" s="7" cm="1">
        <f t="array" aca="1" ref="B716" ca="1">interpolexp(A716,serie_du,Taxas_DI)</f>
        <v>0.12281516446017715</v>
      </c>
      <c r="C716" s="37">
        <f t="shared" ca="1" si="34"/>
        <v>1.3891198998067551</v>
      </c>
      <c r="D716" s="36">
        <f t="shared" ca="1" si="36"/>
        <v>0.12497095680655401</v>
      </c>
      <c r="E716" s="32">
        <v>0.11988195369341259</v>
      </c>
      <c r="F716" s="35">
        <f t="shared" ca="1" si="35"/>
        <v>2.9332107667645602E-3</v>
      </c>
    </row>
    <row r="717" spans="1:6" x14ac:dyDescent="0.25">
      <c r="A717" s="23">
        <v>716</v>
      </c>
      <c r="B717" s="7" cm="1">
        <f t="array" aca="1" ref="B717" ca="1">interpolexp(A717,serie_du,Taxas_DI)</f>
        <v>0.12281817245265447</v>
      </c>
      <c r="C717" s="37">
        <f t="shared" ca="1" si="34"/>
        <v>1.3897691740717797</v>
      </c>
      <c r="D717" s="36">
        <f t="shared" ca="1" si="36"/>
        <v>0.12497095108126643</v>
      </c>
      <c r="E717" s="32">
        <v>0.11988723090117226</v>
      </c>
      <c r="F717" s="35">
        <f t="shared" ca="1" si="35"/>
        <v>2.9309415514822135E-3</v>
      </c>
    </row>
    <row r="718" spans="1:6" x14ac:dyDescent="0.25">
      <c r="A718" s="23">
        <v>717</v>
      </c>
      <c r="B718" s="7" cm="1">
        <f t="array" aca="1" ref="B718" ca="1">interpolexp(A718,serie_du,Taxas_DI)</f>
        <v>0.1228211720547101</v>
      </c>
      <c r="C718" s="37">
        <f t="shared" ca="1" si="34"/>
        <v>1.3904187517794053</v>
      </c>
      <c r="D718" s="36">
        <f t="shared" ca="1" si="36"/>
        <v>0.12497094536932196</v>
      </c>
      <c r="E718" s="32">
        <v>0.11989249338899555</v>
      </c>
      <c r="F718" s="35">
        <f t="shared" ca="1" si="35"/>
        <v>2.9286786657145569E-3</v>
      </c>
    </row>
    <row r="719" spans="1:6" x14ac:dyDescent="0.25">
      <c r="A719" s="23">
        <v>718</v>
      </c>
      <c r="B719" s="7" cm="1">
        <f t="array" aca="1" ref="B719" ca="1">interpolexp(A719,serie_du,Taxas_DI)</f>
        <v>0.1228241633014493</v>
      </c>
      <c r="C719" s="37">
        <f t="shared" ca="1" si="34"/>
        <v>1.391068633071721</v>
      </c>
      <c r="D719" s="36">
        <f t="shared" ca="1" si="36"/>
        <v>0.12497093971577189</v>
      </c>
      <c r="E719" s="32">
        <v>0.1198977412183222</v>
      </c>
      <c r="F719" s="35">
        <f t="shared" ca="1" si="35"/>
        <v>2.9264220831271004E-3</v>
      </c>
    </row>
    <row r="720" spans="1:6" x14ac:dyDescent="0.25">
      <c r="A720" s="23">
        <v>719</v>
      </c>
      <c r="B720" s="7" cm="1">
        <f t="array" aca="1" ref="B720" ca="1">interpolexp(A720,serie_du,Taxas_DI)</f>
        <v>0.12282714622766644</v>
      </c>
      <c r="C720" s="37">
        <f t="shared" ca="1" si="34"/>
        <v>1.3917188180904747</v>
      </c>
      <c r="D720" s="36">
        <f t="shared" ca="1" si="36"/>
        <v>0.12497093403740456</v>
      </c>
      <c r="E720" s="32">
        <v>0.1199029744503477</v>
      </c>
      <c r="F720" s="35">
        <f t="shared" ca="1" si="35"/>
        <v>2.9241717773187403E-3</v>
      </c>
    </row>
    <row r="721" spans="1:6" x14ac:dyDescent="0.25">
      <c r="A721" s="23">
        <v>720</v>
      </c>
      <c r="B721" s="7" cm="1">
        <f t="array" aca="1" ref="B721" ca="1">interpolexp(A721,serie_du,Taxas_DI)</f>
        <v>0.12283012086808931</v>
      </c>
      <c r="C721" s="37">
        <f t="shared" ca="1" si="34"/>
        <v>1.3923693069779275</v>
      </c>
      <c r="D721" s="36">
        <f t="shared" ca="1" si="36"/>
        <v>0.12497092842539903</v>
      </c>
      <c r="E721" s="32">
        <v>0.11990819314591228</v>
      </c>
      <c r="F721" s="35">
        <f t="shared" ca="1" si="35"/>
        <v>2.9219277221770312E-3</v>
      </c>
    </row>
    <row r="722" spans="1:6" x14ac:dyDescent="0.25">
      <c r="A722" s="23">
        <v>721</v>
      </c>
      <c r="B722" s="7" cm="1">
        <f t="array" aca="1" ref="B722" ca="1">interpolexp(A722,serie_du,Taxas_DI)</f>
        <v>0.12283308725715703</v>
      </c>
      <c r="C722" s="37">
        <f t="shared" ca="1" si="34"/>
        <v>1.3930200998760665</v>
      </c>
      <c r="D722" s="36">
        <f t="shared" ca="1" si="36"/>
        <v>0.1249709228102458</v>
      </c>
      <c r="E722" s="32">
        <v>0.11991339736547868</v>
      </c>
      <c r="F722" s="35">
        <f t="shared" ca="1" si="35"/>
        <v>2.9196898916783454E-3</v>
      </c>
    </row>
    <row r="723" spans="1:6" x14ac:dyDescent="0.25">
      <c r="A723" s="23">
        <v>722</v>
      </c>
      <c r="B723" s="7" cm="1">
        <f t="array" aca="1" ref="B723" ca="1">interpolexp(A723,serie_du,Taxas_DI)</f>
        <v>0.12283604542919768</v>
      </c>
      <c r="C723" s="37">
        <f t="shared" ca="1" si="34"/>
        <v>1.3936711969272282</v>
      </c>
      <c r="D723" s="36">
        <f t="shared" ca="1" si="36"/>
        <v>0.12497091724954235</v>
      </c>
      <c r="E723" s="32">
        <v>0.11991858716917658</v>
      </c>
      <c r="F723" s="35">
        <f t="shared" ca="1" si="35"/>
        <v>2.9174582600210996E-3</v>
      </c>
    </row>
    <row r="724" spans="1:6" x14ac:dyDescent="0.25">
      <c r="A724" s="23">
        <v>723</v>
      </c>
      <c r="B724" s="7" cm="1">
        <f t="array" aca="1" ref="B724" ca="1">interpolexp(A724,serie_du,Taxas_DI)</f>
        <v>0.12283899541825072</v>
      </c>
      <c r="C724" s="37">
        <f t="shared" ca="1" si="34"/>
        <v>1.3943225982734637</v>
      </c>
      <c r="D724" s="36">
        <f t="shared" ca="1" si="36"/>
        <v>0.12497091167173213</v>
      </c>
      <c r="E724" s="32">
        <v>0.1199237626168248</v>
      </c>
      <c r="F724" s="35">
        <f t="shared" ca="1" si="35"/>
        <v>2.9152328014259155E-3</v>
      </c>
    </row>
    <row r="725" spans="1:6" x14ac:dyDescent="0.25">
      <c r="A725" s="23">
        <v>724</v>
      </c>
      <c r="B725" s="7" cm="1">
        <f t="array" aca="1" ref="B725" ca="1">interpolexp(A725,serie_du,Taxas_DI)</f>
        <v>0.12284193725824455</v>
      </c>
      <c r="C725" s="37">
        <f t="shared" ca="1" si="34"/>
        <v>1.3949743040571643</v>
      </c>
      <c r="D725" s="36">
        <f t="shared" ca="1" si="36"/>
        <v>0.12497090613239892</v>
      </c>
      <c r="E725" s="32">
        <v>0.1199289237679535</v>
      </c>
      <c r="F725" s="35">
        <f t="shared" ca="1" si="35"/>
        <v>2.9130134902910498E-3</v>
      </c>
    </row>
    <row r="726" spans="1:6" x14ac:dyDescent="0.25">
      <c r="A726" s="23">
        <v>725</v>
      </c>
      <c r="B726" s="7" cm="1">
        <f t="array" aca="1" ref="B726" ca="1">interpolexp(A726,serie_du,Taxas_DI)</f>
        <v>0.12284487098292995</v>
      </c>
      <c r="C726" s="37">
        <f t="shared" ca="1" si="34"/>
        <v>1.3956263144208219</v>
      </c>
      <c r="D726" s="36">
        <f t="shared" ca="1" si="36"/>
        <v>0.12497090063845628</v>
      </c>
      <c r="E726" s="32">
        <v>0.11993407068167095</v>
      </c>
      <c r="F726" s="35">
        <f t="shared" ca="1" si="35"/>
        <v>2.9108003012590089E-3</v>
      </c>
    </row>
    <row r="727" spans="1:6" x14ac:dyDescent="0.25">
      <c r="A727" s="23">
        <v>726</v>
      </c>
      <c r="B727" s="7" cm="1">
        <f t="array" aca="1" ref="B727" ca="1">interpolexp(A727,serie_du,Taxas_DI)</f>
        <v>0.12284779662579126</v>
      </c>
      <c r="C727" s="37">
        <f t="shared" ca="1" si="34"/>
        <v>1.3962786295067062</v>
      </c>
      <c r="D727" s="36">
        <f t="shared" ca="1" si="36"/>
        <v>0.1249708951312527</v>
      </c>
      <c r="E727" s="32">
        <v>0.11993920341684117</v>
      </c>
      <c r="F727" s="35">
        <f t="shared" ca="1" si="35"/>
        <v>2.9085932089500943E-3</v>
      </c>
    </row>
    <row r="728" spans="1:6" x14ac:dyDescent="0.25">
      <c r="A728" s="23">
        <v>727</v>
      </c>
      <c r="B728" s="7" cm="1">
        <f t="array" aca="1" ref="B728" ca="1">interpolexp(A728,serie_du,Taxas_DI)</f>
        <v>0.12285071422020177</v>
      </c>
      <c r="C728" s="37">
        <f t="shared" ca="1" si="34"/>
        <v>1.3969312494574153</v>
      </c>
      <c r="D728" s="36">
        <f t="shared" ca="1" si="36"/>
        <v>0.12497088966382908</v>
      </c>
      <c r="E728" s="32">
        <v>0.11994432203195071</v>
      </c>
      <c r="F728" s="35">
        <f t="shared" ca="1" si="35"/>
        <v>2.9063921882510613E-3</v>
      </c>
    </row>
    <row r="729" spans="1:6" x14ac:dyDescent="0.25">
      <c r="A729" s="23">
        <v>728</v>
      </c>
      <c r="B729" s="7" cm="1">
        <f t="array" aca="1" ref="B729" ca="1">interpolexp(A729,serie_du,Taxas_DI)</f>
        <v>0.12285362379935716</v>
      </c>
      <c r="C729" s="37">
        <f t="shared" ca="1" si="34"/>
        <v>1.3975841744156348</v>
      </c>
      <c r="D729" s="36">
        <f t="shared" ca="1" si="36"/>
        <v>0.12497088424047709</v>
      </c>
      <c r="E729" s="32">
        <v>0.11994942658517527</v>
      </c>
      <c r="F729" s="35">
        <f t="shared" ca="1" si="35"/>
        <v>2.9041972141818917E-3</v>
      </c>
    </row>
    <row r="730" spans="1:6" x14ac:dyDescent="0.25">
      <c r="A730" s="23">
        <v>729</v>
      </c>
      <c r="B730" s="7" cm="1">
        <f t="array" aca="1" ref="B730" ca="1">interpolexp(A730,serie_du,Taxas_DI)</f>
        <v>0.12285652539618663</v>
      </c>
      <c r="C730" s="37">
        <f t="shared" ca="1" si="34"/>
        <v>1.3982374045238122</v>
      </c>
      <c r="D730" s="36">
        <f t="shared" ca="1" si="36"/>
        <v>0.12497087879935709</v>
      </c>
      <c r="E730" s="32">
        <v>0.11995451713442407</v>
      </c>
      <c r="F730" s="35">
        <f t="shared" ca="1" si="35"/>
        <v>2.9020082617625675E-3</v>
      </c>
    </row>
    <row r="731" spans="1:6" x14ac:dyDescent="0.25">
      <c r="A731" s="23">
        <v>730</v>
      </c>
      <c r="B731" s="7" cm="1">
        <f t="array" aca="1" ref="B731" ca="1">interpolexp(A731,serie_du,Taxas_DI)</f>
        <v>0.12285941904350839</v>
      </c>
      <c r="C731" s="37">
        <f t="shared" ca="1" si="34"/>
        <v>1.3988909399247114</v>
      </c>
      <c r="D731" s="36">
        <f t="shared" ca="1" si="36"/>
        <v>0.12497087339104906</v>
      </c>
      <c r="E731" s="32">
        <v>0.11995959373720666</v>
      </c>
      <c r="F731" s="35">
        <f t="shared" ca="1" si="35"/>
        <v>2.8998253063017287E-3</v>
      </c>
    </row>
    <row r="732" spans="1:6" x14ac:dyDescent="0.25">
      <c r="A732" s="23">
        <v>731</v>
      </c>
      <c r="B732" s="7" cm="1">
        <f t="array" aca="1" ref="B732" ca="1">interpolexp(A732,serie_du,Taxas_DI)</f>
        <v>0.12286230477398519</v>
      </c>
      <c r="C732" s="37">
        <f t="shared" ca="1" si="34"/>
        <v>1.3995447807612504</v>
      </c>
      <c r="D732" s="36">
        <f t="shared" ca="1" si="36"/>
        <v>0.12497086803322954</v>
      </c>
      <c r="E732" s="32">
        <v>0.11996465645076615</v>
      </c>
      <c r="F732" s="35">
        <f t="shared" ca="1" si="35"/>
        <v>2.8976483232190375E-3</v>
      </c>
    </row>
    <row r="733" spans="1:6" x14ac:dyDescent="0.25">
      <c r="A733" s="23">
        <v>732</v>
      </c>
      <c r="B733" s="7" cm="1">
        <f t="array" aca="1" ref="B733" ca="1">interpolexp(A733,serie_du,Taxas_DI)</f>
        <v>0.12286518262001334</v>
      </c>
      <c r="C733" s="37">
        <f t="shared" ca="1" si="34"/>
        <v>1.4001989271760951</v>
      </c>
      <c r="D733" s="36">
        <f t="shared" ca="1" si="36"/>
        <v>0.12497086266123869</v>
      </c>
      <c r="E733" s="32">
        <v>0.11996970533203477</v>
      </c>
      <c r="F733" s="35">
        <f t="shared" ca="1" si="35"/>
        <v>2.8954772879785651E-3</v>
      </c>
    </row>
    <row r="734" spans="1:6" x14ac:dyDescent="0.25">
      <c r="A734" s="23">
        <v>733</v>
      </c>
      <c r="B734" s="7" cm="1">
        <f t="array" aca="1" ref="B734" ca="1">interpolexp(A734,serie_du,Taxas_DI)</f>
        <v>0.12286805261390032</v>
      </c>
      <c r="C734" s="37">
        <f t="shared" ca="1" si="34"/>
        <v>1.4008533793122961</v>
      </c>
      <c r="D734" s="36">
        <f t="shared" ca="1" si="36"/>
        <v>0.12497085733958202</v>
      </c>
      <c r="E734" s="32">
        <v>0.11997474043761169</v>
      </c>
      <c r="F734" s="35">
        <f t="shared" ca="1" si="35"/>
        <v>2.8933121762886316E-3</v>
      </c>
    </row>
    <row r="735" spans="1:6" x14ac:dyDescent="0.25">
      <c r="A735" s="23">
        <v>734</v>
      </c>
      <c r="B735" s="7" cm="1">
        <f t="array" aca="1" ref="B735" ca="1">interpolexp(A735,serie_du,Taxas_DI)</f>
        <v>0.1228709147877094</v>
      </c>
      <c r="C735" s="37">
        <f t="shared" ca="1" si="34"/>
        <v>1.4015081373127227</v>
      </c>
      <c r="D735" s="36">
        <f t="shared" ca="1" si="36"/>
        <v>0.12497085201787317</v>
      </c>
      <c r="E735" s="32">
        <v>0.11997976182380743</v>
      </c>
      <c r="F735" s="35">
        <f t="shared" ca="1" si="35"/>
        <v>2.8911529639019662E-3</v>
      </c>
    </row>
    <row r="736" spans="1:6" x14ac:dyDescent="0.25">
      <c r="A736" s="23">
        <v>735</v>
      </c>
      <c r="B736" s="7" cm="1">
        <f t="array" aca="1" ref="B736" ca="1">interpolexp(A736,serie_du,Taxas_DI)</f>
        <v>0.12287376917339277</v>
      </c>
      <c r="C736" s="37">
        <f t="shared" ca="1" si="34"/>
        <v>1.4021632013205423</v>
      </c>
      <c r="D736" s="36">
        <f t="shared" ca="1" si="36"/>
        <v>0.12497084674281034</v>
      </c>
      <c r="E736" s="32">
        <v>0.11998476954664383</v>
      </c>
      <c r="F736" s="35">
        <f t="shared" ca="1" si="35"/>
        <v>2.8889996267489337E-3</v>
      </c>
    </row>
    <row r="737" spans="1:6" x14ac:dyDescent="0.25">
      <c r="A737" s="23">
        <v>736</v>
      </c>
      <c r="B737" s="7" cm="1">
        <f t="array" aca="1" ref="B737" ca="1">interpolexp(A737,serie_du,Taxas_DI)</f>
        <v>0.12287661580265841</v>
      </c>
      <c r="C737" s="37">
        <f t="shared" ca="1" si="34"/>
        <v>1.4028185714787305</v>
      </c>
      <c r="D737" s="36">
        <f t="shared" ca="1" si="36"/>
        <v>0.12497084146225323</v>
      </c>
      <c r="E737" s="32">
        <v>0.11998976366176528</v>
      </c>
      <c r="F737" s="35">
        <f t="shared" ca="1" si="35"/>
        <v>2.8868521408931258E-3</v>
      </c>
    </row>
    <row r="738" spans="1:6" x14ac:dyDescent="0.25">
      <c r="A738" s="23">
        <v>737</v>
      </c>
      <c r="B738" s="7" cm="1">
        <f t="array" aca="1" ref="B738" ca="1">interpolexp(A738,serie_du,Taxas_DI)</f>
        <v>0.12287945470708106</v>
      </c>
      <c r="C738" s="37">
        <f t="shared" ca="1" si="34"/>
        <v>1.4034742479304716</v>
      </c>
      <c r="D738" s="36">
        <f t="shared" ca="1" si="36"/>
        <v>0.12497083620477922</v>
      </c>
      <c r="E738" s="32">
        <v>0.11999474422459411</v>
      </c>
      <c r="F738" s="35">
        <f t="shared" ca="1" si="35"/>
        <v>2.8847104824869518E-3</v>
      </c>
    </row>
    <row r="739" spans="1:6" x14ac:dyDescent="0.25">
      <c r="A739" s="23">
        <v>738</v>
      </c>
      <c r="B739" s="7" cm="1">
        <f t="array" aca="1" ref="B739" ca="1">interpolexp(A739,serie_du,Taxas_DI)</f>
        <v>0.12288228591810224</v>
      </c>
      <c r="C739" s="37">
        <f t="shared" ca="1" si="34"/>
        <v>1.4041302308191548</v>
      </c>
      <c r="D739" s="36">
        <f t="shared" ca="1" si="36"/>
        <v>0.1249708309981914</v>
      </c>
      <c r="E739" s="32">
        <v>0.11999971129019738</v>
      </c>
      <c r="F739" s="35">
        <f t="shared" ca="1" si="35"/>
        <v>2.8825746279048658E-3</v>
      </c>
    </row>
    <row r="740" spans="1:6" x14ac:dyDescent="0.25">
      <c r="A740" s="23">
        <v>739</v>
      </c>
      <c r="B740" s="7" cm="1">
        <f t="array" aca="1" ref="B740" ca="1">interpolexp(A740,serie_du,Taxas_DI)</f>
        <v>0.12288510946691922</v>
      </c>
      <c r="C740" s="37">
        <f t="shared" ca="1" si="34"/>
        <v>1.404786520287965</v>
      </c>
      <c r="D740" s="36">
        <f t="shared" ca="1" si="36"/>
        <v>0.12497082578772001</v>
      </c>
      <c r="E740" s="32">
        <v>0.12000466491337569</v>
      </c>
      <c r="F740" s="35">
        <f t="shared" ca="1" si="35"/>
        <v>2.8804445535435264E-3</v>
      </c>
    </row>
    <row r="741" spans="1:6" x14ac:dyDescent="0.25">
      <c r="A741" s="23">
        <v>740</v>
      </c>
      <c r="B741" s="7" cm="1">
        <f t="array" aca="1" ref="B741" ca="1">interpolexp(A741,serie_du,Taxas_DI)</f>
        <v>0.12288792538459603</v>
      </c>
      <c r="C741" s="37">
        <f t="shared" ca="1" si="34"/>
        <v>1.405443116480283</v>
      </c>
      <c r="D741" s="36">
        <f t="shared" ca="1" si="36"/>
        <v>0.12497082059925924</v>
      </c>
      <c r="E741" s="32">
        <v>0.12000960514864101</v>
      </c>
      <c r="F741" s="35">
        <f t="shared" ca="1" si="35"/>
        <v>2.8783202359550231E-3</v>
      </c>
    </row>
    <row r="742" spans="1:6" x14ac:dyDescent="0.25">
      <c r="A742" s="23">
        <v>741</v>
      </c>
      <c r="B742" s="7" cm="1">
        <f t="array" aca="1" ref="B742" ca="1">interpolexp(A742,serie_du,Taxas_DI)</f>
        <v>0.12289073370204129</v>
      </c>
      <c r="C742" s="37">
        <f t="shared" ca="1" si="34"/>
        <v>1.4061000195396018</v>
      </c>
      <c r="D742" s="36">
        <f t="shared" ca="1" si="36"/>
        <v>0.124970815442075</v>
      </c>
      <c r="E742" s="32">
        <v>0.12001453205017221</v>
      </c>
      <c r="F742" s="35">
        <f t="shared" ca="1" si="35"/>
        <v>2.8762016518690814E-3</v>
      </c>
    </row>
    <row r="743" spans="1:6" x14ac:dyDescent="0.25">
      <c r="A743" s="23">
        <v>742</v>
      </c>
      <c r="B743" s="7" cm="1">
        <f t="array" aca="1" ref="B743" ca="1">interpolexp(A743,serie_du,Taxas_DI)</f>
        <v>0.12289353444996376</v>
      </c>
      <c r="C743" s="37">
        <f t="shared" ca="1" si="34"/>
        <v>1.4067572296093578</v>
      </c>
      <c r="D743" s="36">
        <f t="shared" ca="1" si="36"/>
        <v>0.12497081029106094</v>
      </c>
      <c r="E743" s="32">
        <v>0.12001944567188172</v>
      </c>
      <c r="F743" s="35">
        <f t="shared" ca="1" si="35"/>
        <v>2.8740887780820401E-3</v>
      </c>
    </row>
    <row r="744" spans="1:6" x14ac:dyDescent="0.25">
      <c r="A744" s="23">
        <v>743</v>
      </c>
      <c r="B744" s="7" cm="1">
        <f t="array" aca="1" ref="B744" ca="1">interpolexp(A744,serie_du,Taxas_DI)</f>
        <v>0.12289632765896119</v>
      </c>
      <c r="C744" s="37">
        <f t="shared" ca="1" si="34"/>
        <v>1.4074147468332554</v>
      </c>
      <c r="D744" s="36">
        <f t="shared" ca="1" si="36"/>
        <v>0.12497080518679016</v>
      </c>
      <c r="E744" s="32">
        <v>0.12002434606741552</v>
      </c>
      <c r="F744" s="35">
        <f t="shared" ca="1" si="35"/>
        <v>2.8719815915456692E-3</v>
      </c>
    </row>
    <row r="745" spans="1:6" x14ac:dyDescent="0.25">
      <c r="A745" s="23">
        <v>744</v>
      </c>
      <c r="B745" s="7" cm="1">
        <f t="array" aca="1" ref="B745" ca="1">interpolexp(A745,serie_du,Taxas_DI)</f>
        <v>0.12289911335938708</v>
      </c>
      <c r="C745" s="37">
        <f t="shared" ca="1" si="34"/>
        <v>1.4080725713547699</v>
      </c>
      <c r="D745" s="36">
        <f t="shared" ca="1" si="36"/>
        <v>0.12497080006948758</v>
      </c>
      <c r="E745" s="32">
        <v>0.12002923329006432</v>
      </c>
      <c r="F745" s="35">
        <f t="shared" ca="1" si="35"/>
        <v>2.8698800693227611E-3</v>
      </c>
    </row>
    <row r="746" spans="1:6" x14ac:dyDescent="0.25">
      <c r="A746" s="23">
        <v>745</v>
      </c>
      <c r="B746" s="7" cm="1">
        <f t="array" aca="1" ref="B746" ca="1">interpolexp(A746,serie_du,Taxas_DI)</f>
        <v>0.12290189158150611</v>
      </c>
      <c r="C746" s="37">
        <f t="shared" ca="1" si="34"/>
        <v>1.408730703317719</v>
      </c>
      <c r="D746" s="36">
        <f t="shared" ca="1" si="36"/>
        <v>0.12497079499462105</v>
      </c>
      <c r="E746" s="32">
        <v>0.12003410739289677</v>
      </c>
      <c r="F746" s="35">
        <f t="shared" ca="1" si="35"/>
        <v>2.8677841886093347E-3</v>
      </c>
    </row>
    <row r="747" spans="1:6" x14ac:dyDescent="0.25">
      <c r="A747" s="23">
        <v>746</v>
      </c>
      <c r="B747" s="7" cm="1">
        <f t="array" aca="1" ref="B747" ca="1">interpolexp(A747,serie_du,Taxas_DI)</f>
        <v>0.12290466235538311</v>
      </c>
      <c r="C747" s="37">
        <f t="shared" ca="1" si="34"/>
        <v>1.4093891428658467</v>
      </c>
      <c r="D747" s="36">
        <f t="shared" ca="1" si="36"/>
        <v>0.12497078993379995</v>
      </c>
      <c r="E747" s="32">
        <v>0.12003896842867068</v>
      </c>
      <c r="F747" s="35">
        <f t="shared" ca="1" si="35"/>
        <v>2.8656939267124315E-3</v>
      </c>
    </row>
    <row r="748" spans="1:6" x14ac:dyDescent="0.25">
      <c r="A748" s="23">
        <v>747</v>
      </c>
      <c r="B748" s="7" cm="1">
        <f t="array" aca="1" ref="B748" ca="1">interpolexp(A748,serie_du,Taxas_DI)</f>
        <v>0.1229074257109497</v>
      </c>
      <c r="C748" s="37">
        <f t="shared" ca="1" si="34"/>
        <v>1.410047890143068</v>
      </c>
      <c r="D748" s="36">
        <f t="shared" ca="1" si="36"/>
        <v>0.12497078490781921</v>
      </c>
      <c r="E748" s="32">
        <v>0.12004381644983297</v>
      </c>
      <c r="F748" s="35">
        <f t="shared" ca="1" si="35"/>
        <v>2.8636092611167285E-3</v>
      </c>
    </row>
    <row r="749" spans="1:6" x14ac:dyDescent="0.25">
      <c r="A749" s="23">
        <v>748</v>
      </c>
      <c r="B749" s="7" cm="1">
        <f t="array" aca="1" ref="B749" ca="1">interpolexp(A749,serie_du,Taxas_DI)</f>
        <v>0.12291018167791545</v>
      </c>
      <c r="C749" s="37">
        <f t="shared" ca="1" si="34"/>
        <v>1.4107069452931327</v>
      </c>
      <c r="D749" s="36">
        <f t="shared" ca="1" si="36"/>
        <v>0.12497077986991667</v>
      </c>
      <c r="E749" s="32">
        <v>0.12004865150863075</v>
      </c>
      <c r="F749" s="35">
        <f t="shared" ca="1" si="35"/>
        <v>2.8615301692846984E-3</v>
      </c>
    </row>
    <row r="750" spans="1:6" x14ac:dyDescent="0.25">
      <c r="A750" s="23">
        <v>749</v>
      </c>
      <c r="B750" s="7" cm="1">
        <f t="array" aca="1" ref="B750" ca="1">interpolexp(A750,serie_du,Taxas_DI)</f>
        <v>0.12291293028592332</v>
      </c>
      <c r="C750" s="37">
        <f t="shared" ca="1" si="34"/>
        <v>1.4113663084602022</v>
      </c>
      <c r="D750" s="36">
        <f t="shared" ca="1" si="36"/>
        <v>0.12497077488934893</v>
      </c>
      <c r="E750" s="32">
        <v>0.12005347365695584</v>
      </c>
      <c r="F750" s="35">
        <f t="shared" ca="1" si="35"/>
        <v>2.8594566289674717E-3</v>
      </c>
    </row>
    <row r="751" spans="1:6" x14ac:dyDescent="0.25">
      <c r="A751" s="23">
        <v>750</v>
      </c>
      <c r="B751" s="7" cm="1">
        <f t="array" aca="1" ref="B751" ca="1">interpolexp(A751,serie_du,Taxas_DI)</f>
        <v>0.122915671564372</v>
      </c>
      <c r="C751" s="37">
        <f t="shared" ca="1" si="34"/>
        <v>1.4120259797881818</v>
      </c>
      <c r="D751" s="36">
        <f t="shared" ca="1" si="36"/>
        <v>0.12497076990109468</v>
      </c>
      <c r="E751" s="32">
        <v>0.12005828294643361</v>
      </c>
      <c r="F751" s="35">
        <f t="shared" ca="1" si="35"/>
        <v>2.8573886179383834E-3</v>
      </c>
    </row>
    <row r="752" spans="1:6" x14ac:dyDescent="0.25">
      <c r="A752" s="23">
        <v>751</v>
      </c>
      <c r="B752" s="7" cm="1">
        <f t="array" aca="1" ref="B752" ca="1">interpolexp(A752,serie_du,Taxas_DI)</f>
        <v>0.12291840554254918</v>
      </c>
      <c r="C752" s="37">
        <f t="shared" ca="1" si="34"/>
        <v>1.4126859594212147</v>
      </c>
      <c r="D752" s="36">
        <f t="shared" ca="1" si="36"/>
        <v>0.12497076493938564</v>
      </c>
      <c r="E752" s="32">
        <v>0.12006307942846739</v>
      </c>
      <c r="F752" s="35">
        <f t="shared" ca="1" si="35"/>
        <v>2.8553261140817909E-3</v>
      </c>
    </row>
    <row r="753" spans="1:6" x14ac:dyDescent="0.25">
      <c r="A753" s="23">
        <v>752</v>
      </c>
      <c r="B753" s="7" cm="1">
        <f t="array" aca="1" ref="B753" ca="1">interpolexp(A753,serie_du,Taxas_DI)</f>
        <v>0.12292113224958712</v>
      </c>
      <c r="C753" s="37">
        <f t="shared" ca="1" si="34"/>
        <v>1.4133462475035121</v>
      </c>
      <c r="D753" s="36">
        <f t="shared" ca="1" si="36"/>
        <v>0.12497076000432639</v>
      </c>
      <c r="E753" s="32">
        <v>0.12006786315410523</v>
      </c>
      <c r="F753" s="35">
        <f t="shared" ca="1" si="35"/>
        <v>2.8532690954818918E-3</v>
      </c>
    </row>
    <row r="754" spans="1:6" x14ac:dyDescent="0.25">
      <c r="A754" s="23">
        <v>753</v>
      </c>
      <c r="B754" s="7" cm="1">
        <f t="array" aca="1" ref="B754" ca="1">interpolexp(A754,serie_du,Taxas_DI)</f>
        <v>0.12292385171444042</v>
      </c>
      <c r="C754" s="37">
        <f t="shared" ca="1" si="34"/>
        <v>1.4140068441792666</v>
      </c>
      <c r="D754" s="36">
        <f t="shared" ca="1" si="36"/>
        <v>0.12497075507858568</v>
      </c>
      <c r="E754" s="32">
        <v>0.12007263417421754</v>
      </c>
      <c r="F754" s="35">
        <f t="shared" ca="1" si="35"/>
        <v>2.8512175402228834E-3</v>
      </c>
    </row>
    <row r="755" spans="1:6" x14ac:dyDescent="0.25">
      <c r="A755" s="23">
        <v>754</v>
      </c>
      <c r="B755" s="7" cm="1">
        <f t="array" aca="1" ref="B755" ca="1">interpolexp(A755,serie_du,Taxas_DI)</f>
        <v>0.1229265639659527</v>
      </c>
      <c r="C755" s="37">
        <f t="shared" ca="1" si="34"/>
        <v>1.4146677495928979</v>
      </c>
      <c r="D755" s="36">
        <f t="shared" ca="1" si="36"/>
        <v>0.12497075019422899</v>
      </c>
      <c r="E755" s="32">
        <v>0.12007739253931948</v>
      </c>
      <c r="F755" s="35">
        <f t="shared" ca="1" si="35"/>
        <v>2.8491714266332124E-3</v>
      </c>
    </row>
    <row r="756" spans="1:6" x14ac:dyDescent="0.25">
      <c r="A756" s="23">
        <v>755</v>
      </c>
      <c r="B756" s="7" cm="1">
        <f t="array" aca="1" ref="B756" ca="1">interpolexp(A756,serie_du,Taxas_DI)</f>
        <v>0.12292926903274548</v>
      </c>
      <c r="C756" s="37">
        <f t="shared" ca="1" si="34"/>
        <v>1.4153289638886315</v>
      </c>
      <c r="D756" s="36">
        <f t="shared" ca="1" si="36"/>
        <v>0.12497074529877983</v>
      </c>
      <c r="E756" s="32">
        <v>0.12008213829968195</v>
      </c>
      <c r="F756" s="35">
        <f t="shared" ca="1" si="35"/>
        <v>2.8471307330635298E-3</v>
      </c>
    </row>
    <row r="757" spans="1:6" x14ac:dyDescent="0.25">
      <c r="A757" s="23">
        <v>756</v>
      </c>
      <c r="B757" s="7" cm="1">
        <f t="array" aca="1" ref="B757" ca="1">interpolexp(A757,serie_du,Taxas_DI)</f>
        <v>0.12293196694337372</v>
      </c>
      <c r="C757" s="37">
        <f t="shared" ca="1" si="34"/>
        <v>1.4159904872110807</v>
      </c>
      <c r="D757" s="36">
        <f t="shared" ca="1" si="36"/>
        <v>0.12497074045630718</v>
      </c>
      <c r="E757" s="32">
        <v>0.120086871505376</v>
      </c>
      <c r="F757" s="35">
        <f t="shared" ca="1" si="35"/>
        <v>2.8450954379977134E-3</v>
      </c>
    </row>
    <row r="758" spans="1:6" x14ac:dyDescent="0.25">
      <c r="A758" s="23">
        <v>757</v>
      </c>
      <c r="B758" s="7" cm="1">
        <f t="array" aca="1" ref="B758" ca="1">interpolexp(A758,serie_du,Taxas_DI)</f>
        <v>0.12293465772614809</v>
      </c>
      <c r="C758" s="37">
        <f t="shared" ca="1" si="34"/>
        <v>1.4166523197045724</v>
      </c>
      <c r="D758" s="36">
        <f t="shared" ca="1" si="36"/>
        <v>0.12497073559603966</v>
      </c>
      <c r="E758" s="32">
        <v>0.12009159220611743</v>
      </c>
      <c r="F758" s="35">
        <f t="shared" ca="1" si="35"/>
        <v>2.8430655200306632E-3</v>
      </c>
    </row>
    <row r="759" spans="1:6" x14ac:dyDescent="0.25">
      <c r="A759" s="23">
        <v>758</v>
      </c>
      <c r="B759" s="7" cm="1">
        <f t="array" aca="1" ref="B759" ca="1">interpolexp(A759,serie_du,Taxas_DI)</f>
        <v>0.12293734140933488</v>
      </c>
      <c r="C759" s="37">
        <f t="shared" ca="1" si="34"/>
        <v>1.4173144615138988</v>
      </c>
      <c r="D759" s="36">
        <f t="shared" ca="1" si="36"/>
        <v>0.12497073079750476</v>
      </c>
      <c r="E759" s="32">
        <v>0.12009630045142217</v>
      </c>
      <c r="F759" s="35">
        <f t="shared" ca="1" si="35"/>
        <v>2.8410409579127105E-3</v>
      </c>
    </row>
    <row r="760" spans="1:6" x14ac:dyDescent="0.25">
      <c r="A760" s="23">
        <v>759</v>
      </c>
      <c r="B760" s="7" cm="1">
        <f t="array" aca="1" ref="B760" ca="1">interpolexp(A760,serie_du,Taxas_DI)</f>
        <v>0.12294001802093391</v>
      </c>
      <c r="C760" s="37">
        <f t="shared" ca="1" si="34"/>
        <v>1.4179769127834734</v>
      </c>
      <c r="D760" s="36">
        <f t="shared" ca="1" si="36"/>
        <v>0.12497072597132197</v>
      </c>
      <c r="E760" s="32">
        <v>0.12010099629047311</v>
      </c>
      <c r="F760" s="35">
        <f t="shared" ca="1" si="35"/>
        <v>2.8390217304608001E-3</v>
      </c>
    </row>
    <row r="761" spans="1:6" x14ac:dyDescent="0.25">
      <c r="A761" s="23">
        <v>760</v>
      </c>
      <c r="B761" s="7" cm="1">
        <f t="array" aca="1" ref="B761" ca="1">interpolexp(A761,serie_du,Taxas_DI)</f>
        <v>0.12294139121140635</v>
      </c>
      <c r="C761" s="37">
        <f t="shared" ca="1" si="34"/>
        <v>1.4186347344362567</v>
      </c>
      <c r="D761" s="36">
        <f t="shared" ca="1" si="36"/>
        <v>0.12398412724742403</v>
      </c>
      <c r="E761" s="32">
        <v>0.12010567977229769</v>
      </c>
      <c r="F761" s="35">
        <f t="shared" ca="1" si="35"/>
        <v>2.8357114391086569E-3</v>
      </c>
    </row>
    <row r="762" spans="1:6" x14ac:dyDescent="0.25">
      <c r="A762" s="23">
        <v>761</v>
      </c>
      <c r="B762" s="7" cm="1">
        <f t="array" aca="1" ref="B762" ca="1">interpolexp(A762,serie_du,Taxas_DI)</f>
        <v>0.12294276079296562</v>
      </c>
      <c r="C762" s="37">
        <f t="shared" ca="1" si="34"/>
        <v>1.4192928612563924</v>
      </c>
      <c r="D762" s="36">
        <f t="shared" ca="1" si="36"/>
        <v>0.12398412597138364</v>
      </c>
      <c r="E762" s="32">
        <v>0.1201103509455681</v>
      </c>
      <c r="F762" s="35">
        <f t="shared" ca="1" si="35"/>
        <v>2.8324098473975212E-3</v>
      </c>
    </row>
    <row r="763" spans="1:6" x14ac:dyDescent="0.25">
      <c r="A763" s="23">
        <v>762</v>
      </c>
      <c r="B763" s="7" cm="1">
        <f t="array" aca="1" ref="B763" ca="1">interpolexp(A763,serie_du,Taxas_DI)</f>
        <v>0.12294412677986699</v>
      </c>
      <c r="C763" s="37">
        <f t="shared" ca="1" si="34"/>
        <v>1.4199512933856515</v>
      </c>
      <c r="D763" s="36">
        <f t="shared" ca="1" si="36"/>
        <v>0.12398412473621812</v>
      </c>
      <c r="E763" s="32">
        <v>0.12011500985877888</v>
      </c>
      <c r="F763" s="35">
        <f t="shared" ca="1" si="35"/>
        <v>2.8291169210881151E-3</v>
      </c>
    </row>
    <row r="764" spans="1:6" x14ac:dyDescent="0.25">
      <c r="A764" s="23">
        <v>763</v>
      </c>
      <c r="B764" s="7" cm="1">
        <f t="array" aca="1" ref="B764" ca="1">interpolexp(A764,serie_du,Taxas_DI)</f>
        <v>0.12294548918621029</v>
      </c>
      <c r="C764" s="37">
        <f t="shared" ca="1" si="34"/>
        <v>1.4206100309655612</v>
      </c>
      <c r="D764" s="36">
        <f t="shared" ca="1" si="36"/>
        <v>0.12398412348022592</v>
      </c>
      <c r="E764" s="32">
        <v>0.12011965656009149</v>
      </c>
      <c r="F764" s="35">
        <f t="shared" ca="1" si="35"/>
        <v>2.825832626118796E-3</v>
      </c>
    </row>
    <row r="765" spans="1:6" x14ac:dyDescent="0.25">
      <c r="A765" s="23">
        <v>764</v>
      </c>
      <c r="B765" s="7" cm="1">
        <f t="array" aca="1" ref="B765" ca="1">interpolexp(A765,serie_du,Taxas_DI)</f>
        <v>0.12294684802605094</v>
      </c>
      <c r="C765" s="37">
        <f t="shared" ca="1" si="34"/>
        <v>1.4212690741378273</v>
      </c>
      <c r="D765" s="36">
        <f t="shared" ca="1" si="36"/>
        <v>0.1239841222258129</v>
      </c>
      <c r="E765" s="32">
        <v>0.12012429109748979</v>
      </c>
      <c r="F765" s="35">
        <f t="shared" ca="1" si="35"/>
        <v>2.8225569285611485E-3</v>
      </c>
    </row>
    <row r="766" spans="1:6" x14ac:dyDescent="0.25">
      <c r="A766" s="23">
        <v>765</v>
      </c>
      <c r="B766" s="7" cm="1">
        <f t="array" aca="1" ref="B766" ca="1">interpolexp(A766,serie_du,Taxas_DI)</f>
        <v>0.12294820331339995</v>
      </c>
      <c r="C766" s="37">
        <f t="shared" ca="1" si="34"/>
        <v>1.4219284230443328</v>
      </c>
      <c r="D766" s="36">
        <f t="shared" ca="1" si="36"/>
        <v>0.12398412099533718</v>
      </c>
      <c r="E766" s="32">
        <v>0.12012891351866894</v>
      </c>
      <c r="F766" s="35">
        <f t="shared" ca="1" si="35"/>
        <v>2.8192897947310058E-3</v>
      </c>
    </row>
    <row r="767" spans="1:6" x14ac:dyDescent="0.25">
      <c r="A767" s="23">
        <v>766</v>
      </c>
      <c r="B767" s="7" cm="1">
        <f t="array" aca="1" ref="B767" ca="1">interpolexp(A767,serie_du,Taxas_DI)</f>
        <v>0.12294955506215732</v>
      </c>
      <c r="C767" s="37">
        <f t="shared" ca="1" si="34"/>
        <v>1.4225880778268809</v>
      </c>
      <c r="D767" s="36">
        <f t="shared" ca="1" si="36"/>
        <v>0.12398411975962986</v>
      </c>
      <c r="E767" s="32">
        <v>0.12013352387105769</v>
      </c>
      <c r="F767" s="35">
        <f t="shared" ca="1" si="35"/>
        <v>2.8160311910996327E-3</v>
      </c>
    </row>
    <row r="768" spans="1:6" x14ac:dyDescent="0.25">
      <c r="A768" s="23">
        <v>767</v>
      </c>
      <c r="B768" s="7" cm="1">
        <f t="array" aca="1" ref="B768" ca="1">interpolexp(A768,serie_du,Taxas_DI)</f>
        <v>0.12295090328617864</v>
      </c>
      <c r="C768" s="37">
        <f t="shared" ca="1" si="34"/>
        <v>1.4232480386274486</v>
      </c>
      <c r="D768" s="36">
        <f t="shared" ca="1" si="36"/>
        <v>0.12398411854033298</v>
      </c>
      <c r="E768" s="32">
        <v>0.12013812220188491</v>
      </c>
      <c r="F768" s="35">
        <f t="shared" ca="1" si="35"/>
        <v>2.8127810842937251E-3</v>
      </c>
    </row>
    <row r="769" spans="1:6" x14ac:dyDescent="0.25">
      <c r="A769" s="23">
        <v>768</v>
      </c>
      <c r="B769" s="7" cm="1">
        <f t="array" aca="1" ref="B769" ca="1">interpolexp(A769,serie_du,Taxas_DI)</f>
        <v>0.12295224799920845</v>
      </c>
      <c r="C769" s="37">
        <f t="shared" ca="1" si="34"/>
        <v>1.4239083055879289</v>
      </c>
      <c r="D769" s="36">
        <f t="shared" ca="1" si="36"/>
        <v>0.12398411730745118</v>
      </c>
      <c r="E769" s="32">
        <v>0.12014270855811304</v>
      </c>
      <c r="F769" s="35">
        <f t="shared" ca="1" si="35"/>
        <v>2.80953944109541E-3</v>
      </c>
    </row>
    <row r="770" spans="1:6" x14ac:dyDescent="0.25">
      <c r="A770" s="23">
        <v>769</v>
      </c>
      <c r="B770" s="7" cm="1">
        <f t="array" aca="1" ref="B770" ca="1">interpolexp(A770,serie_du,Taxas_DI)</f>
        <v>0.12295358921492472</v>
      </c>
      <c r="C770" s="37">
        <f t="shared" ref="C770:C833" ca="1" si="37">(1+B770)^(A770/252)</f>
        <v>1.424568878850299</v>
      </c>
      <c r="D770" s="36">
        <f t="shared" ca="1" si="36"/>
        <v>0.12398411606481208</v>
      </c>
      <c r="E770" s="32">
        <v>0.12014728298643806</v>
      </c>
      <c r="F770" s="35">
        <f t="shared" ref="F770:F833" ca="1" si="38">B770-E770</f>
        <v>2.8063062284866547E-3</v>
      </c>
    </row>
    <row r="771" spans="1:6" x14ac:dyDescent="0.25">
      <c r="A771" s="23">
        <v>770</v>
      </c>
      <c r="B771" s="7" cm="1">
        <f t="array" aca="1" ref="B771" ca="1">interpolexp(A771,serie_du,Taxas_DI)</f>
        <v>0.12295492694700538</v>
      </c>
      <c r="C771" s="37">
        <f t="shared" ca="1" si="37"/>
        <v>1.4252297585568772</v>
      </c>
      <c r="D771" s="36">
        <f t="shared" ca="1" si="36"/>
        <v>0.12398411486702243</v>
      </c>
      <c r="E771" s="32">
        <v>0.12015184553333391</v>
      </c>
      <c r="F771" s="35">
        <f t="shared" ca="1" si="38"/>
        <v>2.803081413671471E-3</v>
      </c>
    </row>
    <row r="772" spans="1:6" x14ac:dyDescent="0.25">
      <c r="A772" s="23">
        <v>771</v>
      </c>
      <c r="B772" s="7" cm="1">
        <f t="array" aca="1" ref="B772" ca="1">interpolexp(A772,serie_du,Taxas_DI)</f>
        <v>0.12295626120899517</v>
      </c>
      <c r="C772" s="37">
        <f t="shared" ca="1" si="37"/>
        <v>1.4258909448498067</v>
      </c>
      <c r="D772" s="36">
        <f t="shared" ref="D772:D835" ca="1" si="39">((((1+B772)^(A772/252))/((1+B771)^(A771/252)))^(252/1))-1</f>
        <v>0.12398411366619189</v>
      </c>
      <c r="E772" s="32">
        <v>0.12015639624505248</v>
      </c>
      <c r="F772" s="35">
        <f t="shared" ca="1" si="38"/>
        <v>2.7998649639426887E-3</v>
      </c>
    </row>
    <row r="773" spans="1:6" x14ac:dyDescent="0.25">
      <c r="A773" s="23">
        <v>772</v>
      </c>
      <c r="B773" s="7" cm="1">
        <f t="array" aca="1" ref="B773" ca="1">interpolexp(A773,serie_du,Taxas_DI)</f>
        <v>0.12295759201434997</v>
      </c>
      <c r="C773" s="37">
        <f t="shared" ca="1" si="37"/>
        <v>1.4265524378712233</v>
      </c>
      <c r="D773" s="36">
        <f t="shared" ca="1" si="39"/>
        <v>0.12398411244770702</v>
      </c>
      <c r="E773" s="32">
        <v>0.12016093516755699</v>
      </c>
      <c r="F773" s="35">
        <f t="shared" ca="1" si="38"/>
        <v>2.7966568467929775E-3</v>
      </c>
    </row>
    <row r="774" spans="1:6" x14ac:dyDescent="0.25">
      <c r="A774" s="23">
        <v>773</v>
      </c>
      <c r="B774" s="7" cm="1">
        <f t="array" aca="1" ref="B774" ca="1">interpolexp(A774,serie_du,Taxas_DI)</f>
        <v>0.12295891937650349</v>
      </c>
      <c r="C774" s="37">
        <f t="shared" ca="1" si="37"/>
        <v>1.4272142377635135</v>
      </c>
      <c r="D774" s="36">
        <f t="shared" ca="1" si="39"/>
        <v>0.1239841112483191</v>
      </c>
      <c r="E774" s="32">
        <v>0.12016546234661085</v>
      </c>
      <c r="F774" s="35">
        <f t="shared" ca="1" si="38"/>
        <v>2.7934570298926431E-3</v>
      </c>
    </row>
    <row r="775" spans="1:6" x14ac:dyDescent="0.25">
      <c r="A775" s="23">
        <v>774</v>
      </c>
      <c r="B775" s="7" cm="1">
        <f t="array" aca="1" ref="B775" ca="1">interpolexp(A775,serie_du,Taxas_DI)</f>
        <v>0.12296024330880062</v>
      </c>
      <c r="C775" s="37">
        <f t="shared" ca="1" si="37"/>
        <v>1.4278763446690546</v>
      </c>
      <c r="D775" s="36">
        <f t="shared" ca="1" si="39"/>
        <v>0.12398411005298082</v>
      </c>
      <c r="E775" s="32">
        <v>0.1201699778277332</v>
      </c>
      <c r="F775" s="35">
        <f t="shared" ca="1" si="38"/>
        <v>2.7902654810674221E-3</v>
      </c>
    </row>
    <row r="776" spans="1:6" x14ac:dyDescent="0.25">
      <c r="A776" s="23">
        <v>775</v>
      </c>
      <c r="B776" s="7" cm="1">
        <f t="array" aca="1" ref="B776" ca="1">interpolexp(A776,serie_du,Taxas_DI)</f>
        <v>0.12296156382449741</v>
      </c>
      <c r="C776" s="37">
        <f t="shared" ca="1" si="37"/>
        <v>1.4285387587302114</v>
      </c>
      <c r="D776" s="36">
        <f t="shared" ca="1" si="39"/>
        <v>0.12398410884625388</v>
      </c>
      <c r="E776" s="32">
        <v>0.12017066383067654</v>
      </c>
      <c r="F776" s="35">
        <f t="shared" ca="1" si="38"/>
        <v>2.7908999938208723E-3</v>
      </c>
    </row>
    <row r="777" spans="1:6" x14ac:dyDescent="0.25">
      <c r="A777" s="23">
        <v>776</v>
      </c>
      <c r="B777" s="7" cm="1">
        <f t="array" aca="1" ref="B777" ca="1">interpolexp(A777,serie_du,Taxas_DI)</f>
        <v>0.12296288093684993</v>
      </c>
      <c r="C777" s="37">
        <f t="shared" ca="1" si="37"/>
        <v>1.4292014800896824</v>
      </c>
      <c r="D777" s="36">
        <f t="shared" ca="1" si="39"/>
        <v>0.12398410768107748</v>
      </c>
      <c r="E777" s="32">
        <v>0.12017134806558971</v>
      </c>
      <c r="F777" s="35">
        <f t="shared" ca="1" si="38"/>
        <v>2.7915328712602161E-3</v>
      </c>
    </row>
    <row r="778" spans="1:6" x14ac:dyDescent="0.25">
      <c r="A778" s="23">
        <v>777</v>
      </c>
      <c r="B778" s="7" cm="1">
        <f t="array" aca="1" ref="B778" ca="1">interpolexp(A778,serie_du,Taxas_DI)</f>
        <v>0.1229641946589366</v>
      </c>
      <c r="C778" s="37">
        <f t="shared" ca="1" si="37"/>
        <v>1.4298645088898032</v>
      </c>
      <c r="D778" s="36">
        <f t="shared" ca="1" si="39"/>
        <v>0.12398410647246427</v>
      </c>
      <c r="E778" s="32">
        <v>0.12017203053928949</v>
      </c>
      <c r="F778" s="35">
        <f t="shared" ca="1" si="38"/>
        <v>2.7921641196471114E-3</v>
      </c>
    </row>
    <row r="779" spans="1:6" x14ac:dyDescent="0.25">
      <c r="A779" s="23">
        <v>778</v>
      </c>
      <c r="B779" s="7" cm="1">
        <f t="array" aca="1" ref="B779" ca="1">interpolexp(A779,serie_du,Taxas_DI)</f>
        <v>0.12296550500388026</v>
      </c>
      <c r="C779" s="37">
        <f t="shared" ca="1" si="37"/>
        <v>1.4305278452734136</v>
      </c>
      <c r="D779" s="36">
        <f t="shared" ca="1" si="39"/>
        <v>0.12398410530722592</v>
      </c>
      <c r="E779" s="32">
        <v>0.12017271125854823</v>
      </c>
      <c r="F779" s="35">
        <f t="shared" ca="1" si="38"/>
        <v>2.792793745332034E-3</v>
      </c>
    </row>
    <row r="780" spans="1:6" x14ac:dyDescent="0.25">
      <c r="A780" s="23">
        <v>779</v>
      </c>
      <c r="B780" s="7" cm="1">
        <f t="array" aca="1" ref="B780" ca="1">interpolexp(A780,serie_du,Taxas_DI)</f>
        <v>0.12296681198467052</v>
      </c>
      <c r="C780" s="37">
        <f t="shared" ca="1" si="37"/>
        <v>1.431191489383161</v>
      </c>
      <c r="D780" s="36">
        <f t="shared" ca="1" si="39"/>
        <v>0.1239841041339802</v>
      </c>
      <c r="E780" s="32">
        <v>0.12017339023013829</v>
      </c>
      <c r="F780" s="35">
        <f t="shared" ca="1" si="38"/>
        <v>2.7934217545322326E-3</v>
      </c>
    </row>
    <row r="781" spans="1:6" x14ac:dyDescent="0.25">
      <c r="A781" s="23">
        <v>780</v>
      </c>
      <c r="B781" s="7" cm="1">
        <f t="array" aca="1" ref="B781" ca="1">interpolexp(A781,serie_du,Taxas_DI)</f>
        <v>0.12296811561425258</v>
      </c>
      <c r="C781" s="37">
        <f t="shared" ca="1" si="37"/>
        <v>1.4318554413618463</v>
      </c>
      <c r="D781" s="36">
        <f t="shared" ca="1" si="39"/>
        <v>0.12398410297025197</v>
      </c>
      <c r="E781" s="32">
        <v>0.12017406746078763</v>
      </c>
      <c r="F781" s="35">
        <f t="shared" ca="1" si="38"/>
        <v>2.7940481534649564E-3</v>
      </c>
    </row>
    <row r="782" spans="1:6" x14ac:dyDescent="0.25">
      <c r="A782" s="23">
        <v>781</v>
      </c>
      <c r="B782" s="7" cm="1">
        <f t="array" aca="1" ref="B782" ca="1">interpolexp(A782,serie_du,Taxas_DI)</f>
        <v>0.12296941590548283</v>
      </c>
      <c r="C782" s="37">
        <f t="shared" ca="1" si="37"/>
        <v>1.4325197013522475</v>
      </c>
      <c r="D782" s="36">
        <f t="shared" ca="1" si="39"/>
        <v>0.1239841017981782</v>
      </c>
      <c r="E782" s="32">
        <v>0.12017474295715758</v>
      </c>
      <c r="F782" s="35">
        <f t="shared" ca="1" si="38"/>
        <v>2.7946729483252497E-3</v>
      </c>
    </row>
    <row r="783" spans="1:6" x14ac:dyDescent="0.25">
      <c r="A783" s="23">
        <v>782</v>
      </c>
      <c r="B783" s="7" cm="1">
        <f t="array" aca="1" ref="B783" ca="1">interpolexp(A783,serie_du,Taxas_DI)</f>
        <v>0.12297071287117323</v>
      </c>
      <c r="C783" s="37">
        <f t="shared" ca="1" si="37"/>
        <v>1.4331842694972929</v>
      </c>
      <c r="D783" s="36">
        <f t="shared" ca="1" si="39"/>
        <v>0.12398410063456655</v>
      </c>
      <c r="E783" s="32">
        <v>0.12017541672593168</v>
      </c>
      <c r="F783" s="35">
        <f t="shared" ca="1" si="38"/>
        <v>2.7952961452415437E-3</v>
      </c>
    </row>
    <row r="784" spans="1:6" x14ac:dyDescent="0.25">
      <c r="A784" s="23">
        <v>783</v>
      </c>
      <c r="B784" s="7" cm="1">
        <f t="array" aca="1" ref="B784" ca="1">interpolexp(A784,serie_du,Taxas_DI)</f>
        <v>0.12297200652406914</v>
      </c>
      <c r="C784" s="37">
        <f t="shared" ca="1" si="37"/>
        <v>1.4338491459399729</v>
      </c>
      <c r="D784" s="36">
        <f t="shared" ca="1" si="39"/>
        <v>0.12398409947839251</v>
      </c>
      <c r="E784" s="32">
        <v>0.12017608877372687</v>
      </c>
      <c r="F784" s="35">
        <f t="shared" ca="1" si="38"/>
        <v>2.7959177503422694E-3</v>
      </c>
    </row>
    <row r="785" spans="1:6" x14ac:dyDescent="0.25">
      <c r="A785" s="23">
        <v>784</v>
      </c>
      <c r="B785" s="7" cm="1">
        <f t="array" aca="1" ref="B785" ca="1">interpolexp(A785,serie_du,Taxas_DI)</f>
        <v>0.12297329687684933</v>
      </c>
      <c r="C785" s="37">
        <f t="shared" ca="1" si="37"/>
        <v>1.4345143308233379</v>
      </c>
      <c r="D785" s="36">
        <f t="shared" ca="1" si="39"/>
        <v>0.12398409832855029</v>
      </c>
      <c r="E785" s="32">
        <v>0.12017675910711567</v>
      </c>
      <c r="F785" s="35">
        <f t="shared" ca="1" si="38"/>
        <v>2.7965377697336535E-3</v>
      </c>
    </row>
    <row r="786" spans="1:6" x14ac:dyDescent="0.25">
      <c r="A786" s="23">
        <v>785</v>
      </c>
      <c r="B786" s="7" cm="1">
        <f t="array" aca="1" ref="B786" ca="1">interpolexp(A786,serie_du,Taxas_DI)</f>
        <v>0.1229745839421259</v>
      </c>
      <c r="C786" s="37">
        <f t="shared" ca="1" si="37"/>
        <v>1.4351798242904961</v>
      </c>
      <c r="D786" s="36">
        <f t="shared" ca="1" si="39"/>
        <v>0.12398409718329284</v>
      </c>
      <c r="E786" s="32">
        <v>0.12017742773264839</v>
      </c>
      <c r="F786" s="35">
        <f t="shared" ca="1" si="38"/>
        <v>2.7971562094775138E-3</v>
      </c>
    </row>
    <row r="787" spans="1:6" x14ac:dyDescent="0.25">
      <c r="A787" s="23">
        <v>786</v>
      </c>
      <c r="B787" s="7" cm="1">
        <f t="array" aca="1" ref="B787" ca="1">interpolexp(A787,serie_du,Taxas_DI)</f>
        <v>0.1229758677324444</v>
      </c>
      <c r="C787" s="37">
        <f t="shared" ca="1" si="37"/>
        <v>1.4358456264846129</v>
      </c>
      <c r="D787" s="36">
        <f t="shared" ca="1" si="39"/>
        <v>0.12398409604074678</v>
      </c>
      <c r="E787" s="32">
        <v>0.12017809465685314</v>
      </c>
      <c r="F787" s="35">
        <f t="shared" ca="1" si="38"/>
        <v>2.7977730755912589E-3</v>
      </c>
    </row>
    <row r="788" spans="1:6" x14ac:dyDescent="0.25">
      <c r="A788" s="23">
        <v>787</v>
      </c>
      <c r="B788" s="7" cm="1">
        <f t="array" aca="1" ref="B788" ca="1">interpolexp(A788,serie_du,Taxas_DI)</f>
        <v>0.12297714826028372</v>
      </c>
      <c r="C788" s="37">
        <f t="shared" ca="1" si="37"/>
        <v>1.436511737548908</v>
      </c>
      <c r="D788" s="36">
        <f t="shared" ca="1" si="39"/>
        <v>0.12398409489856732</v>
      </c>
      <c r="E788" s="32">
        <v>0.12017875988619142</v>
      </c>
      <c r="F788" s="35">
        <f t="shared" ca="1" si="38"/>
        <v>2.7983883740922977E-3</v>
      </c>
    </row>
    <row r="789" spans="1:6" x14ac:dyDescent="0.25">
      <c r="A789" s="23">
        <v>788</v>
      </c>
      <c r="B789" s="7" cm="1">
        <f t="array" aca="1" ref="B789" ca="1">interpolexp(A789,serie_du,Taxas_DI)</f>
        <v>0.12297842553805616</v>
      </c>
      <c r="C789" s="37">
        <f t="shared" ca="1" si="37"/>
        <v>1.4371781576266549</v>
      </c>
      <c r="D789" s="36">
        <f t="shared" ca="1" si="39"/>
        <v>0.12398409375424668</v>
      </c>
      <c r="E789" s="32">
        <v>0.12017942342714694</v>
      </c>
      <c r="F789" s="35">
        <f t="shared" ca="1" si="38"/>
        <v>2.7990021109092211E-3</v>
      </c>
    </row>
    <row r="790" spans="1:6" x14ac:dyDescent="0.25">
      <c r="A790" s="23">
        <v>789</v>
      </c>
      <c r="B790" s="7" cm="1">
        <f t="array" aca="1" ref="B790" ca="1">interpolexp(A790,serie_du,Taxas_DI)</f>
        <v>0.1229796995781518</v>
      </c>
      <c r="C790" s="37">
        <f t="shared" ca="1" si="37"/>
        <v>1.4378448868613565</v>
      </c>
      <c r="D790" s="36">
        <f t="shared" ca="1" si="39"/>
        <v>0.12398409263995402</v>
      </c>
      <c r="E790" s="32">
        <v>0.12018008528613677</v>
      </c>
      <c r="F790" s="35">
        <f t="shared" ca="1" si="38"/>
        <v>2.7996142920150291E-3</v>
      </c>
    </row>
    <row r="791" spans="1:6" x14ac:dyDescent="0.25">
      <c r="A791" s="23">
        <v>790</v>
      </c>
      <c r="B791" s="7" cm="1">
        <f t="array" aca="1" ref="B791" ca="1">interpolexp(A791,serie_du,Taxas_DI)</f>
        <v>0.12298097039284972</v>
      </c>
      <c r="C791" s="37">
        <f t="shared" ca="1" si="37"/>
        <v>1.4385119253963883</v>
      </c>
      <c r="D791" s="36">
        <f t="shared" ca="1" si="39"/>
        <v>0.12398409151737666</v>
      </c>
      <c r="E791" s="32">
        <v>0.12018074546953361</v>
      </c>
      <c r="F791" s="35">
        <f t="shared" ca="1" si="38"/>
        <v>2.8002249233161081E-3</v>
      </c>
    </row>
    <row r="792" spans="1:6" x14ac:dyDescent="0.25">
      <c r="A792" s="23">
        <v>791</v>
      </c>
      <c r="B792" s="7" cm="1">
        <f t="array" aca="1" ref="B792" ca="1">interpolexp(A792,serie_du,Taxas_DI)</f>
        <v>0.12298223799436236</v>
      </c>
      <c r="C792" s="37">
        <f t="shared" ca="1" si="37"/>
        <v>1.439179273375174</v>
      </c>
      <c r="D792" s="36">
        <f t="shared" ca="1" si="39"/>
        <v>0.12398409038292657</v>
      </c>
      <c r="E792" s="32">
        <v>0.12018140398368793</v>
      </c>
      <c r="F792" s="35">
        <f t="shared" ca="1" si="38"/>
        <v>2.8008340106744356E-3</v>
      </c>
    </row>
    <row r="793" spans="1:6" x14ac:dyDescent="0.25">
      <c r="A793" s="23">
        <v>792</v>
      </c>
      <c r="B793" s="7" cm="1">
        <f t="array" aca="1" ref="B793" ca="1">interpolexp(A793,serie_du,Taxas_DI)</f>
        <v>0.12298350239487998</v>
      </c>
      <c r="C793" s="37">
        <f t="shared" ca="1" si="37"/>
        <v>1.4398469309413633</v>
      </c>
      <c r="D793" s="36">
        <f t="shared" ca="1" si="39"/>
        <v>0.12398408926806015</v>
      </c>
      <c r="E793" s="32">
        <v>0.1201820608349502</v>
      </c>
      <c r="F793" s="35">
        <f t="shared" ca="1" si="38"/>
        <v>2.8014415599297848E-3</v>
      </c>
    </row>
    <row r="794" spans="1:6" x14ac:dyDescent="0.25">
      <c r="A794" s="23">
        <v>793</v>
      </c>
      <c r="B794" s="7" cm="1">
        <f t="array" aca="1" ref="B794" ca="1">interpolexp(A794,serie_du,Taxas_DI)</f>
        <v>0.12298476360650401</v>
      </c>
      <c r="C794" s="37">
        <f t="shared" ca="1" si="37"/>
        <v>1.4405148982385612</v>
      </c>
      <c r="D794" s="36">
        <f t="shared" ca="1" si="39"/>
        <v>0.12398408815076278</v>
      </c>
      <c r="E794" s="32">
        <v>0.12018271602958208</v>
      </c>
      <c r="F794" s="35">
        <f t="shared" ca="1" si="38"/>
        <v>2.8020475769219289E-3</v>
      </c>
    </row>
    <row r="795" spans="1:6" x14ac:dyDescent="0.25">
      <c r="A795" s="23">
        <v>794</v>
      </c>
      <c r="B795" s="7" cm="1">
        <f t="array" aca="1" ref="B795" ca="1">interpolexp(A795,serie_du,Taxas_DI)</f>
        <v>0.12298602164131367</v>
      </c>
      <c r="C795" s="37">
        <f t="shared" ca="1" si="37"/>
        <v>1.4411831754105966</v>
      </c>
      <c r="D795" s="36">
        <f t="shared" ca="1" si="39"/>
        <v>0.12398408706203301</v>
      </c>
      <c r="E795" s="32">
        <v>0.12018336957386744</v>
      </c>
      <c r="F795" s="35">
        <f t="shared" ca="1" si="38"/>
        <v>2.8026520674462319E-3</v>
      </c>
    </row>
    <row r="796" spans="1:6" x14ac:dyDescent="0.25">
      <c r="A796" s="23">
        <v>795</v>
      </c>
      <c r="B796" s="7" cm="1">
        <f t="array" aca="1" ref="B796" ca="1">interpolexp(A796,serie_du,Taxas_DI)</f>
        <v>0.12298727651123276</v>
      </c>
      <c r="C796" s="37">
        <f t="shared" ca="1" si="37"/>
        <v>1.4418517626009817</v>
      </c>
      <c r="D796" s="36">
        <f t="shared" ca="1" si="39"/>
        <v>0.12398408592640076</v>
      </c>
      <c r="E796" s="32">
        <v>0.12018402147400131</v>
      </c>
      <c r="F796" s="35">
        <f t="shared" ca="1" si="38"/>
        <v>2.8032550372314446E-3</v>
      </c>
    </row>
    <row r="797" spans="1:6" x14ac:dyDescent="0.25">
      <c r="A797" s="23">
        <v>796</v>
      </c>
      <c r="B797" s="7" cm="1">
        <f t="array" aca="1" ref="B797" ca="1">interpolexp(A797,serie_du,Taxas_DI)</f>
        <v>0.12298852822827389</v>
      </c>
      <c r="C797" s="37">
        <f t="shared" ca="1" si="37"/>
        <v>1.4425206599538984</v>
      </c>
      <c r="D797" s="36">
        <f t="shared" ca="1" si="39"/>
        <v>0.12398408486251378</v>
      </c>
      <c r="E797" s="32">
        <v>0.12018467173620095</v>
      </c>
      <c r="F797" s="35">
        <f t="shared" ca="1" si="38"/>
        <v>2.8038564920729314E-3</v>
      </c>
    </row>
    <row r="798" spans="1:6" x14ac:dyDescent="0.25">
      <c r="A798" s="23">
        <v>797</v>
      </c>
      <c r="B798" s="7" cm="1">
        <f t="array" aca="1" ref="B798" ca="1">interpolexp(A798,serie_du,Taxas_DI)</f>
        <v>0.12298977680422762</v>
      </c>
      <c r="C798" s="37">
        <f t="shared" ca="1" si="37"/>
        <v>1.4431898676129384</v>
      </c>
      <c r="D798" s="36">
        <f t="shared" ca="1" si="39"/>
        <v>0.12398408374114589</v>
      </c>
      <c r="E798" s="32">
        <v>0.1201853203666392</v>
      </c>
      <c r="F798" s="35">
        <f t="shared" ca="1" si="38"/>
        <v>2.8044564375884207E-3</v>
      </c>
    </row>
    <row r="799" spans="1:6" x14ac:dyDescent="0.25">
      <c r="A799" s="23">
        <v>798</v>
      </c>
      <c r="B799" s="7" cm="1">
        <f t="array" aca="1" ref="B799" ca="1">interpolexp(A799,serie_du,Taxas_DI)</f>
        <v>0.12299102225095115</v>
      </c>
      <c r="C799" s="37">
        <f t="shared" ca="1" si="37"/>
        <v>1.443859385722271</v>
      </c>
      <c r="D799" s="36">
        <f t="shared" ca="1" si="39"/>
        <v>0.12398408266276872</v>
      </c>
      <c r="E799" s="32">
        <v>0.12018596737142229</v>
      </c>
      <c r="F799" s="35">
        <f t="shared" ca="1" si="38"/>
        <v>2.8050548795288677E-3</v>
      </c>
    </row>
    <row r="800" spans="1:6" x14ac:dyDescent="0.25">
      <c r="A800" s="23">
        <v>799</v>
      </c>
      <c r="B800" s="7" cm="1">
        <f t="array" aca="1" ref="B800" ca="1">interpolexp(A800,serie_du,Taxas_DI)</f>
        <v>0.12299226458014623</v>
      </c>
      <c r="C800" s="37">
        <f t="shared" ca="1" si="37"/>
        <v>1.4445292144257413</v>
      </c>
      <c r="D800" s="36">
        <f t="shared" ca="1" si="39"/>
        <v>0.1239840815505322</v>
      </c>
      <c r="E800" s="32">
        <v>0.12018661275670084</v>
      </c>
      <c r="F800" s="35">
        <f t="shared" ca="1" si="38"/>
        <v>2.8056518234453875E-3</v>
      </c>
    </row>
    <row r="801" spans="1:6" x14ac:dyDescent="0.25">
      <c r="A801" s="23">
        <v>800</v>
      </c>
      <c r="B801" s="7" cm="1">
        <f t="array" aca="1" ref="B801" ca="1">interpolexp(A801,serie_du,Taxas_DI)</f>
        <v>0.122993503803559</v>
      </c>
      <c r="C801" s="37">
        <f t="shared" ca="1" si="37"/>
        <v>1.4451993538676808</v>
      </c>
      <c r="D801" s="36">
        <f t="shared" ca="1" si="39"/>
        <v>0.1239840804867578</v>
      </c>
      <c r="E801" s="32">
        <v>0.12018725652849227</v>
      </c>
      <c r="F801" s="35">
        <f t="shared" ca="1" si="38"/>
        <v>2.8062472750667311E-3</v>
      </c>
    </row>
    <row r="802" spans="1:6" x14ac:dyDescent="0.25">
      <c r="A802" s="23">
        <v>801</v>
      </c>
      <c r="B802" s="7" cm="1">
        <f t="array" aca="1" ref="B802" ca="1">interpolexp(A802,serie_du,Taxas_DI)</f>
        <v>0.12299473993280241</v>
      </c>
      <c r="C802" s="37">
        <f t="shared" ca="1" si="37"/>
        <v>1.4458698041921834</v>
      </c>
      <c r="D802" s="36">
        <f t="shared" ca="1" si="39"/>
        <v>0.1239840794117153</v>
      </c>
      <c r="E802" s="32">
        <v>0.1201878986928806</v>
      </c>
      <c r="F802" s="35">
        <f t="shared" ca="1" si="38"/>
        <v>2.806841239921809E-3</v>
      </c>
    </row>
    <row r="803" spans="1:6" x14ac:dyDescent="0.25">
      <c r="A803" s="23">
        <v>802</v>
      </c>
      <c r="B803" s="7" cm="1">
        <f t="array" aca="1" ref="B803" ca="1">interpolexp(A803,serie_du,Taxas_DI)</f>
        <v>0.12299597297942277</v>
      </c>
      <c r="C803" s="37">
        <f t="shared" ca="1" si="37"/>
        <v>1.4465405655433734</v>
      </c>
      <c r="D803" s="36">
        <f t="shared" ca="1" si="39"/>
        <v>0.12398407831838609</v>
      </c>
      <c r="E803" s="32">
        <v>0.12018853925588324</v>
      </c>
      <c r="F803" s="35">
        <f t="shared" ca="1" si="38"/>
        <v>2.8074337235395319E-3</v>
      </c>
    </row>
    <row r="804" spans="1:6" x14ac:dyDescent="0.25">
      <c r="A804" s="23">
        <v>803</v>
      </c>
      <c r="B804" s="7" cm="1">
        <f t="array" aca="1" ref="B804" ca="1">interpolexp(A804,serie_du,Taxas_DI)</f>
        <v>0.12299720295496641</v>
      </c>
      <c r="C804" s="37">
        <f t="shared" ca="1" si="37"/>
        <v>1.4472116380656788</v>
      </c>
      <c r="D804" s="36">
        <f t="shared" ca="1" si="39"/>
        <v>0.12398407725298188</v>
      </c>
      <c r="E804" s="32">
        <v>0.12018917822345099</v>
      </c>
      <c r="F804" s="35">
        <f t="shared" ca="1" si="38"/>
        <v>2.8080247315154239E-3</v>
      </c>
    </row>
    <row r="805" spans="1:6" x14ac:dyDescent="0.25">
      <c r="A805" s="23">
        <v>804</v>
      </c>
      <c r="B805" s="7" cm="1">
        <f t="array" aca="1" ref="B805" ca="1">interpolexp(A805,serie_du,Taxas_DI)</f>
        <v>0.12299842987089082</v>
      </c>
      <c r="C805" s="37">
        <f t="shared" ca="1" si="37"/>
        <v>1.4478830219034651</v>
      </c>
      <c r="D805" s="36">
        <f t="shared" ca="1" si="39"/>
        <v>0.12398407619023155</v>
      </c>
      <c r="E805" s="32">
        <v>0.12018981560153463</v>
      </c>
      <c r="F805" s="35">
        <f t="shared" ca="1" si="38"/>
        <v>2.8086142693561911E-3</v>
      </c>
    </row>
    <row r="806" spans="1:6" x14ac:dyDescent="0.25">
      <c r="A806" s="23">
        <v>805</v>
      </c>
      <c r="B806" s="7" cm="1">
        <f t="array" aca="1" ref="B806" ca="1">interpolexp(A806,serie_du,Taxas_DI)</f>
        <v>0.1229996537385869</v>
      </c>
      <c r="C806" s="37">
        <f t="shared" ca="1" si="37"/>
        <v>1.4485547172011246</v>
      </c>
      <c r="D806" s="36">
        <f t="shared" ca="1" si="39"/>
        <v>0.12398407512229692</v>
      </c>
      <c r="E806" s="32">
        <v>0.12019045139608497</v>
      </c>
      <c r="F806" s="35">
        <f t="shared" ca="1" si="38"/>
        <v>2.8092023425019264E-3</v>
      </c>
    </row>
    <row r="807" spans="1:6" x14ac:dyDescent="0.25">
      <c r="A807" s="23">
        <v>806</v>
      </c>
      <c r="B807" s="7" cm="1">
        <f t="array" aca="1" ref="B807" ca="1">interpolexp(A807,serie_du,Taxas_DI)</f>
        <v>0.12300087456940112</v>
      </c>
      <c r="C807" s="37">
        <f t="shared" ca="1" si="37"/>
        <v>1.4492267241031669</v>
      </c>
      <c r="D807" s="36">
        <f t="shared" ca="1" si="39"/>
        <v>0.12398407405887935</v>
      </c>
      <c r="E807" s="32">
        <v>0.12019108561298619</v>
      </c>
      <c r="F807" s="35">
        <f t="shared" ca="1" si="38"/>
        <v>2.809788956414927E-3</v>
      </c>
    </row>
    <row r="808" spans="1:6" x14ac:dyDescent="0.25">
      <c r="A808" s="23">
        <v>807</v>
      </c>
      <c r="B808" s="7" cm="1">
        <f t="array" aca="1" ref="B808" ca="1">interpolexp(A808,serie_du,Taxas_DI)</f>
        <v>0.12300209237463555</v>
      </c>
      <c r="C808" s="37">
        <f t="shared" ca="1" si="37"/>
        <v>1.4498990427542173</v>
      </c>
      <c r="D808" s="36">
        <f t="shared" ca="1" si="39"/>
        <v>0.12398407300970149</v>
      </c>
      <c r="E808" s="32">
        <v>0.12019171825812247</v>
      </c>
      <c r="F808" s="35">
        <f t="shared" ca="1" si="38"/>
        <v>2.8103741165130813E-3</v>
      </c>
    </row>
    <row r="809" spans="1:6" x14ac:dyDescent="0.25">
      <c r="A809" s="23">
        <v>808</v>
      </c>
      <c r="B809" s="7" cm="1">
        <f t="array" aca="1" ref="B809" ca="1">interpolexp(A809,serie_du,Taxas_DI)</f>
        <v>0.12300330716550345</v>
      </c>
      <c r="C809" s="37">
        <f t="shared" ca="1" si="37"/>
        <v>1.4505716732988323</v>
      </c>
      <c r="D809" s="36">
        <f t="shared" ca="1" si="39"/>
        <v>0.12398407194798411</v>
      </c>
      <c r="E809" s="32">
        <v>0.12019234933728917</v>
      </c>
      <c r="F809" s="35">
        <f t="shared" ca="1" si="38"/>
        <v>2.8109578282142778E-3</v>
      </c>
    </row>
    <row r="810" spans="1:6" x14ac:dyDescent="0.25">
      <c r="A810" s="23">
        <v>809</v>
      </c>
      <c r="B810" s="7" cm="1">
        <f t="array" aca="1" ref="B810" ca="1">interpolexp(A810,serie_du,Taxas_DI)</f>
        <v>0.12300451895321807</v>
      </c>
      <c r="C810" s="37">
        <f t="shared" ca="1" si="37"/>
        <v>1.4512446158818646</v>
      </c>
      <c r="D810" s="36">
        <f t="shared" ca="1" si="39"/>
        <v>0.1239840709185922</v>
      </c>
      <c r="E810" s="32">
        <v>0.12019297885632607</v>
      </c>
      <c r="F810" s="35">
        <f t="shared" ca="1" si="38"/>
        <v>2.8115400968919957E-3</v>
      </c>
    </row>
    <row r="811" spans="1:6" x14ac:dyDescent="0.25">
      <c r="A811" s="23">
        <v>810</v>
      </c>
      <c r="B811" s="7" cm="1">
        <f t="array" aca="1" ref="B811" ca="1">interpolexp(A811,serie_du,Taxas_DI)</f>
        <v>0.12300572774885943</v>
      </c>
      <c r="C811" s="37">
        <f t="shared" ca="1" si="37"/>
        <v>1.4519178706479117</v>
      </c>
      <c r="D811" s="36">
        <f t="shared" ca="1" si="39"/>
        <v>0.1239840698585839</v>
      </c>
      <c r="E811" s="32">
        <v>0.12019360682098412</v>
      </c>
      <c r="F811" s="35">
        <f t="shared" ca="1" si="38"/>
        <v>2.8121209278753057E-3</v>
      </c>
    </row>
    <row r="812" spans="1:6" x14ac:dyDescent="0.25">
      <c r="A812" s="23">
        <v>811</v>
      </c>
      <c r="B812" s="7" cm="1">
        <f t="array" aca="1" ref="B812" ca="1">interpolexp(A812,serie_du,Taxas_DI)</f>
        <v>0.12300693356350756</v>
      </c>
      <c r="C812" s="37">
        <f t="shared" ca="1" si="37"/>
        <v>1.4525914377418645</v>
      </c>
      <c r="D812" s="36">
        <f t="shared" ca="1" si="39"/>
        <v>0.12398406881217383</v>
      </c>
      <c r="E812" s="32">
        <v>0.12019423323703649</v>
      </c>
      <c r="F812" s="35">
        <f t="shared" ca="1" si="38"/>
        <v>2.8127003264710737E-3</v>
      </c>
    </row>
    <row r="813" spans="1:6" x14ac:dyDescent="0.25">
      <c r="A813" s="23">
        <v>812</v>
      </c>
      <c r="B813" s="7" cm="1">
        <f t="array" aca="1" ref="B813" ca="1">interpolexp(A813,serie_du,Taxas_DI)</f>
        <v>0.12300813640819808</v>
      </c>
      <c r="C813" s="37">
        <f t="shared" ca="1" si="37"/>
        <v>1.4532653173087238</v>
      </c>
      <c r="D813" s="36">
        <f t="shared" ca="1" si="39"/>
        <v>0.12398406778748639</v>
      </c>
      <c r="E813" s="32">
        <v>0.12019485811018971</v>
      </c>
      <c r="F813" s="35">
        <f t="shared" ca="1" si="38"/>
        <v>2.8132782980083704E-3</v>
      </c>
    </row>
    <row r="814" spans="1:6" x14ac:dyDescent="0.25">
      <c r="A814" s="23">
        <v>813</v>
      </c>
      <c r="B814" s="7" cm="1">
        <f t="array" aca="1" ref="B814" ca="1">interpolexp(A814,serie_du,Taxas_DI)</f>
        <v>0.12300933629387778</v>
      </c>
      <c r="C814" s="37">
        <f t="shared" ca="1" si="37"/>
        <v>1.4539395094934138</v>
      </c>
      <c r="D814" s="36">
        <f t="shared" ca="1" si="39"/>
        <v>0.12398406675665608</v>
      </c>
      <c r="E814" s="32">
        <v>0.12019548144615033</v>
      </c>
      <c r="F814" s="35">
        <f t="shared" ca="1" si="38"/>
        <v>2.8138548477274483E-3</v>
      </c>
    </row>
    <row r="815" spans="1:6" x14ac:dyDescent="0.25">
      <c r="A815" s="23">
        <v>814</v>
      </c>
      <c r="B815" s="7" cm="1">
        <f t="array" aca="1" ref="B815" ca="1">interpolexp(A815,serie_du,Taxas_DI)</f>
        <v>0.12301053323144906</v>
      </c>
      <c r="C815" s="37">
        <f t="shared" ca="1" si="37"/>
        <v>1.4546140144409647</v>
      </c>
      <c r="D815" s="36">
        <f t="shared" ca="1" si="39"/>
        <v>0.12398406572713161</v>
      </c>
      <c r="E815" s="32">
        <v>0.12019610325055829</v>
      </c>
      <c r="F815" s="35">
        <f t="shared" ca="1" si="38"/>
        <v>2.8144299808907647E-3</v>
      </c>
    </row>
    <row r="816" spans="1:6" x14ac:dyDescent="0.25">
      <c r="A816" s="23">
        <v>815</v>
      </c>
      <c r="B816" s="7" cm="1">
        <f t="array" aca="1" ref="B816" ca="1">interpolexp(A816,serie_du,Taxas_DI)</f>
        <v>0.12301172723174769</v>
      </c>
      <c r="C816" s="37">
        <f t="shared" ca="1" si="37"/>
        <v>1.455288832296419</v>
      </c>
      <c r="D816" s="36">
        <f t="shared" ca="1" si="39"/>
        <v>0.12398406468824263</v>
      </c>
      <c r="E816" s="32">
        <v>0.12019672352909794</v>
      </c>
      <c r="F816" s="35">
        <f t="shared" ca="1" si="38"/>
        <v>2.8150037026497543E-3</v>
      </c>
    </row>
    <row r="817" spans="1:6" x14ac:dyDescent="0.25">
      <c r="A817" s="23">
        <v>816</v>
      </c>
      <c r="B817" s="7" cm="1">
        <f t="array" aca="1" ref="B817" ca="1">interpolexp(A817,serie_du,Taxas_DI)</f>
        <v>0.12301291830560945</v>
      </c>
      <c r="C817" s="37">
        <f t="shared" ca="1" si="37"/>
        <v>1.4559639632051096</v>
      </c>
      <c r="D817" s="36">
        <f t="shared" ca="1" si="39"/>
        <v>0.12398406368343307</v>
      </c>
      <c r="E817" s="32">
        <v>0.12019734228734258</v>
      </c>
      <c r="F817" s="35">
        <f t="shared" ca="1" si="38"/>
        <v>2.8155760182668743E-3</v>
      </c>
    </row>
    <row r="818" spans="1:6" x14ac:dyDescent="0.25">
      <c r="A818" s="23">
        <v>817</v>
      </c>
      <c r="B818" s="7" cm="1">
        <f t="array" aca="1" ref="B818" ca="1">interpolexp(A818,serie_du,Taxas_DI)</f>
        <v>0.1230141064637591</v>
      </c>
      <c r="C818" s="37">
        <f t="shared" ca="1" si="37"/>
        <v>1.4566394073121929</v>
      </c>
      <c r="D818" s="36">
        <f t="shared" ca="1" si="39"/>
        <v>0.12398406266516848</v>
      </c>
      <c r="E818" s="32">
        <v>0.12019795953086554</v>
      </c>
      <c r="F818" s="35">
        <f t="shared" ca="1" si="38"/>
        <v>2.8161469328935596E-3</v>
      </c>
    </row>
    <row r="819" spans="1:6" x14ac:dyDescent="0.25">
      <c r="A819" s="23">
        <v>818</v>
      </c>
      <c r="B819" s="7" cm="1">
        <f t="array" aca="1" ref="B819" ca="1">interpolexp(A819,serie_du,Taxas_DI)</f>
        <v>0.12301529171687697</v>
      </c>
      <c r="C819" s="37">
        <f t="shared" ca="1" si="37"/>
        <v>1.4573151647629261</v>
      </c>
      <c r="D819" s="36">
        <f t="shared" ca="1" si="39"/>
        <v>0.12398406164005293</v>
      </c>
      <c r="E819" s="32">
        <v>0.12019857526526234</v>
      </c>
      <c r="F819" s="35">
        <f t="shared" ca="1" si="38"/>
        <v>2.8167164516146315E-3</v>
      </c>
    </row>
    <row r="820" spans="1:6" x14ac:dyDescent="0.25">
      <c r="A820" s="23">
        <v>819</v>
      </c>
      <c r="B820" s="7" cm="1">
        <f t="array" aca="1" ref="B820" ca="1">interpolexp(A820,serie_du,Taxas_DI)</f>
        <v>0.12301647407562122</v>
      </c>
      <c r="C820" s="37">
        <f t="shared" ca="1" si="37"/>
        <v>1.4579912357027609</v>
      </c>
      <c r="D820" s="36">
        <f t="shared" ca="1" si="39"/>
        <v>0.12398406063266432</v>
      </c>
      <c r="E820" s="32">
        <v>0.12019918949601749</v>
      </c>
      <c r="F820" s="35">
        <f t="shared" ca="1" si="38"/>
        <v>2.8172845796037294E-3</v>
      </c>
    </row>
    <row r="821" spans="1:6" x14ac:dyDescent="0.25">
      <c r="A821" s="23">
        <v>820</v>
      </c>
      <c r="B821" s="7" cm="1">
        <f t="array" aca="1" ref="B821" ca="1">interpolexp(A821,serie_du,Taxas_DI)</f>
        <v>0.12301765355058336</v>
      </c>
      <c r="C821" s="37">
        <f t="shared" ca="1" si="37"/>
        <v>1.4586676202771536</v>
      </c>
      <c r="D821" s="36">
        <f t="shared" ca="1" si="39"/>
        <v>0.12398405963091164</v>
      </c>
      <c r="E821" s="32">
        <v>0.1201998022286821</v>
      </c>
      <c r="F821" s="35">
        <f t="shared" ca="1" si="38"/>
        <v>2.8178513219012657E-3</v>
      </c>
    </row>
    <row r="822" spans="1:6" x14ac:dyDescent="0.25">
      <c r="A822" s="23">
        <v>821</v>
      </c>
      <c r="B822" s="7" cm="1">
        <f t="array" aca="1" ref="B822" ca="1">interpolexp(A822,serie_du,Taxas_DI)</f>
        <v>0.12301883015228832</v>
      </c>
      <c r="C822" s="37">
        <f t="shared" ca="1" si="37"/>
        <v>1.4593443186315651</v>
      </c>
      <c r="D822" s="36">
        <f t="shared" ca="1" si="39"/>
        <v>0.12398405862255069</v>
      </c>
      <c r="E822" s="32">
        <v>0.12020041346867405</v>
      </c>
      <c r="F822" s="35">
        <f t="shared" ca="1" si="38"/>
        <v>2.8184166836142666E-3</v>
      </c>
    </row>
    <row r="823" spans="1:6" x14ac:dyDescent="0.25">
      <c r="A823" s="23">
        <v>822</v>
      </c>
      <c r="B823" s="7" cm="1">
        <f t="array" aca="1" ref="B823" ca="1">interpolexp(A823,serie_du,Taxas_DI)</f>
        <v>0.12302000389123879</v>
      </c>
      <c r="C823" s="37">
        <f t="shared" ca="1" si="37"/>
        <v>1.4600213309116465</v>
      </c>
      <c r="D823" s="36">
        <f t="shared" ca="1" si="39"/>
        <v>0.1239840576313036</v>
      </c>
      <c r="E823" s="32">
        <v>0.12020102322147785</v>
      </c>
      <c r="F823" s="35">
        <f t="shared" ca="1" si="38"/>
        <v>2.8189806697609399E-3</v>
      </c>
    </row>
    <row r="824" spans="1:6" x14ac:dyDescent="0.25">
      <c r="A824" s="23">
        <v>823</v>
      </c>
      <c r="B824" s="7" cm="1">
        <f t="array" aca="1" ref="B824" ca="1">interpolexp(A824,serie_du,Taxas_DI)</f>
        <v>0.12302375907768948</v>
      </c>
      <c r="C824" s="37">
        <f t="shared" ca="1" si="37"/>
        <v>1.4607096350806055</v>
      </c>
      <c r="D824" s="36">
        <f t="shared" ca="1" si="39"/>
        <v>0.12611477357100132</v>
      </c>
      <c r="E824" s="32">
        <v>0.12020163149248919</v>
      </c>
      <c r="F824" s="35">
        <f t="shared" ca="1" si="38"/>
        <v>2.8221275852002847E-3</v>
      </c>
    </row>
    <row r="825" spans="1:6" x14ac:dyDescent="0.25">
      <c r="A825" s="23">
        <v>824</v>
      </c>
      <c r="B825" s="7" cm="1">
        <f t="array" aca="1" ref="B825" ca="1">interpolexp(A825,serie_du,Taxas_DI)</f>
        <v>0.12302750514976424</v>
      </c>
      <c r="C825" s="37">
        <f t="shared" ca="1" si="37"/>
        <v>1.4613982636871963</v>
      </c>
      <c r="D825" s="36">
        <f t="shared" ca="1" si="39"/>
        <v>0.12611476336105532</v>
      </c>
      <c r="E825" s="32">
        <v>0.12020223828712595</v>
      </c>
      <c r="F825" s="35">
        <f t="shared" ca="1" si="38"/>
        <v>2.8252668626382871E-3</v>
      </c>
    </row>
    <row r="826" spans="1:6" x14ac:dyDescent="0.25">
      <c r="A826" s="23">
        <v>825</v>
      </c>
      <c r="B826" s="7" cm="1">
        <f t="array" aca="1" ref="B826" ca="1">interpolexp(A826,serie_du,Taxas_DI)</f>
        <v>0.12303124214056993</v>
      </c>
      <c r="C826" s="37">
        <f t="shared" ca="1" si="37"/>
        <v>1.4620872168843597</v>
      </c>
      <c r="D826" s="36">
        <f t="shared" ca="1" si="39"/>
        <v>0.12611475315866949</v>
      </c>
      <c r="E826" s="32">
        <v>0.12020284361076161</v>
      </c>
      <c r="F826" s="35">
        <f t="shared" ca="1" si="38"/>
        <v>2.8283985298083181E-3</v>
      </c>
    </row>
    <row r="827" spans="1:6" x14ac:dyDescent="0.25">
      <c r="A827" s="23">
        <v>826</v>
      </c>
      <c r="B827" s="7" cm="1">
        <f t="array" aca="1" ref="B827" ca="1">interpolexp(A827,serie_du,Taxas_DI)</f>
        <v>0.12303497008312458</v>
      </c>
      <c r="C827" s="37">
        <f t="shared" ca="1" si="37"/>
        <v>1.4627764948254129</v>
      </c>
      <c r="D827" s="36">
        <f t="shared" ca="1" si="39"/>
        <v>0.12611474302306935</v>
      </c>
      <c r="E827" s="32">
        <v>0.12020344746872524</v>
      </c>
      <c r="F827" s="35">
        <f t="shared" ca="1" si="38"/>
        <v>2.8315226143993399E-3</v>
      </c>
    </row>
    <row r="828" spans="1:6" x14ac:dyDescent="0.25">
      <c r="A828" s="23">
        <v>827</v>
      </c>
      <c r="B828" s="7" cm="1">
        <f t="array" aca="1" ref="B828" ca="1">interpolexp(A828,serie_du,Taxas_DI)</f>
        <v>0.12303868901024639</v>
      </c>
      <c r="C828" s="37">
        <f t="shared" ca="1" si="37"/>
        <v>1.4634660976635732</v>
      </c>
      <c r="D828" s="36">
        <f t="shared" ca="1" si="39"/>
        <v>0.12611473292049635</v>
      </c>
      <c r="E828" s="32">
        <v>0.12020404986632371</v>
      </c>
      <c r="F828" s="35">
        <f t="shared" ca="1" si="38"/>
        <v>2.8346391439226792E-3</v>
      </c>
    </row>
    <row r="829" spans="1:6" x14ac:dyDescent="0.25">
      <c r="A829" s="23">
        <v>828</v>
      </c>
      <c r="B829" s="7" cm="1">
        <f t="array" aca="1" ref="B829" ca="1">interpolexp(A829,serie_du,Taxas_DI)</f>
        <v>0.12304239895457592</v>
      </c>
      <c r="C829" s="37">
        <f t="shared" ca="1" si="37"/>
        <v>1.4641560255520472</v>
      </c>
      <c r="D829" s="36">
        <f t="shared" ca="1" si="39"/>
        <v>0.12611472283517067</v>
      </c>
      <c r="E829" s="32">
        <v>0.12020465080886389</v>
      </c>
      <c r="F829" s="35">
        <f t="shared" ca="1" si="38"/>
        <v>2.8377481457120268E-3</v>
      </c>
    </row>
    <row r="830" spans="1:6" x14ac:dyDescent="0.25">
      <c r="A830" s="23">
        <v>829</v>
      </c>
      <c r="B830" s="7" cm="1">
        <f t="array" aca="1" ref="B830" ca="1">interpolexp(A830,serie_du,Taxas_DI)</f>
        <v>0.12304609994864268</v>
      </c>
      <c r="C830" s="37">
        <f t="shared" ca="1" si="37"/>
        <v>1.4648462786443128</v>
      </c>
      <c r="D830" s="36">
        <f t="shared" ca="1" si="39"/>
        <v>0.12611471280539477</v>
      </c>
      <c r="E830" s="32">
        <v>0.12020525030160822</v>
      </c>
      <c r="F830" s="35">
        <f t="shared" ca="1" si="38"/>
        <v>2.8408496470344602E-3</v>
      </c>
    </row>
    <row r="831" spans="1:6" x14ac:dyDescent="0.25">
      <c r="A831" s="23">
        <v>830</v>
      </c>
      <c r="B831" s="7" cm="1">
        <f t="array" aca="1" ref="B831" ca="1">interpolexp(A831,serie_du,Taxas_DI)</f>
        <v>0.12304979202477639</v>
      </c>
      <c r="C831" s="37">
        <f t="shared" ca="1" si="37"/>
        <v>1.4655368570937344</v>
      </c>
      <c r="D831" s="36">
        <f t="shared" ca="1" si="39"/>
        <v>0.12611470279519388</v>
      </c>
      <c r="E831" s="32">
        <v>0.12020584834979697</v>
      </c>
      <c r="F831" s="35">
        <f t="shared" ca="1" si="38"/>
        <v>2.8439436749794211E-3</v>
      </c>
    </row>
    <row r="832" spans="1:6" x14ac:dyDescent="0.25">
      <c r="A832" s="23">
        <v>831</v>
      </c>
      <c r="B832" s="7" cm="1">
        <f t="array" aca="1" ref="B832" ca="1">interpolexp(A832,serie_du,Taxas_DI)</f>
        <v>0.12305347521519572</v>
      </c>
      <c r="C832" s="37">
        <f t="shared" ca="1" si="37"/>
        <v>1.4662277610539398</v>
      </c>
      <c r="D832" s="36">
        <f t="shared" ca="1" si="39"/>
        <v>0.12611469284152554</v>
      </c>
      <c r="E832" s="32">
        <v>0.12020644495864818</v>
      </c>
      <c r="F832" s="35">
        <f t="shared" ca="1" si="38"/>
        <v>2.8470302565475336E-3</v>
      </c>
    </row>
    <row r="833" spans="1:6" x14ac:dyDescent="0.25">
      <c r="A833" s="23">
        <v>832</v>
      </c>
      <c r="B833" s="7" cm="1">
        <f t="array" aca="1" ref="B833" ca="1">interpolexp(A833,serie_du,Taxas_DI)</f>
        <v>0.12305714955191949</v>
      </c>
      <c r="C833" s="37">
        <f t="shared" ca="1" si="37"/>
        <v>1.466918990678435</v>
      </c>
      <c r="D833" s="36">
        <f t="shared" ca="1" si="39"/>
        <v>0.12611468290669592</v>
      </c>
      <c r="E833" s="32">
        <v>0.1202070401333355</v>
      </c>
      <c r="F833" s="35">
        <f t="shared" ca="1" si="38"/>
        <v>2.8501094185839904E-3</v>
      </c>
    </row>
    <row r="834" spans="1:6" x14ac:dyDescent="0.25">
      <c r="A834" s="23">
        <v>833</v>
      </c>
      <c r="B834" s="7" cm="1">
        <f t="array" aca="1" ref="B834" ca="1">interpolexp(A834,serie_du,Taxas_DI)</f>
        <v>0.12306081506685551</v>
      </c>
      <c r="C834" s="37">
        <f t="shared" ref="C834:C897" ca="1" si="40">(1+B834)^(A834/252)</f>
        <v>1.4676105461209825</v>
      </c>
      <c r="D834" s="36">
        <f t="shared" ca="1" si="39"/>
        <v>0.12611467302639956</v>
      </c>
      <c r="E834" s="32">
        <v>0.12020763387903255</v>
      </c>
      <c r="F834" s="35">
        <f t="shared" ref="F834:F897" ca="1" si="41">B834-E834</f>
        <v>2.8531811878229618E-3</v>
      </c>
    </row>
    <row r="835" spans="1:6" x14ac:dyDescent="0.25">
      <c r="A835" s="23">
        <v>834</v>
      </c>
      <c r="B835" s="7" cm="1">
        <f t="array" aca="1" ref="B835" ca="1">interpolexp(A835,serie_du,Taxas_DI)</f>
        <v>0.12306447179168956</v>
      </c>
      <c r="C835" s="37">
        <f t="shared" ca="1" si="40"/>
        <v>1.4683024275351173</v>
      </c>
      <c r="D835" s="36">
        <f t="shared" ca="1" si="39"/>
        <v>0.12611466314245989</v>
      </c>
      <c r="E835" s="32">
        <v>0.12020822620089078</v>
      </c>
      <c r="F835" s="35">
        <f t="shared" ca="1" si="41"/>
        <v>2.8562455907987783E-3</v>
      </c>
    </row>
    <row r="836" spans="1:6" x14ac:dyDescent="0.25">
      <c r="A836" s="23">
        <v>835</v>
      </c>
      <c r="B836" s="7" cm="1">
        <f t="array" aca="1" ref="B836" ca="1">interpolexp(A836,serie_du,Taxas_DI)</f>
        <v>0.12306811975806298</v>
      </c>
      <c r="C836" s="37">
        <f t="shared" ca="1" si="40"/>
        <v>1.4689946350749119</v>
      </c>
      <c r="D836" s="36">
        <f t="shared" ref="D836:D899" ca="1" si="42">((((1+B836)^(A836/252))/((1+B835)^(A835/252)))^(252/1))-1</f>
        <v>0.12611465334486205</v>
      </c>
      <c r="E836" s="32">
        <v>0.12020881710401721</v>
      </c>
      <c r="F836" s="35">
        <f t="shared" ca="1" si="41"/>
        <v>2.85930265404577E-3</v>
      </c>
    </row>
    <row r="837" spans="1:6" x14ac:dyDescent="0.25">
      <c r="A837" s="23">
        <v>836</v>
      </c>
      <c r="B837" s="7" cm="1">
        <f t="array" aca="1" ref="B837" ca="1">interpolexp(A837,serie_du,Taxas_DI)</f>
        <v>0.12307175899737288</v>
      </c>
      <c r="C837" s="37">
        <f t="shared" ca="1" si="40"/>
        <v>1.4696871688941078</v>
      </c>
      <c r="D837" s="36">
        <f t="shared" ca="1" si="42"/>
        <v>0.12611464355546609</v>
      </c>
      <c r="E837" s="32">
        <v>0.12020940659349666</v>
      </c>
      <c r="F837" s="35">
        <f t="shared" ca="1" si="41"/>
        <v>2.8623524038762227E-3</v>
      </c>
    </row>
    <row r="838" spans="1:6" x14ac:dyDescent="0.25">
      <c r="A838" s="23">
        <v>837</v>
      </c>
      <c r="B838" s="7" cm="1">
        <f t="array" aca="1" ref="B838" ca="1">interpolexp(A838,serie_du,Taxas_DI)</f>
        <v>0.12307538954088315</v>
      </c>
      <c r="C838" s="37">
        <f t="shared" ca="1" si="40"/>
        <v>1.4703800291465912</v>
      </c>
      <c r="D838" s="36">
        <f t="shared" ca="1" si="42"/>
        <v>0.12611463378820664</v>
      </c>
      <c r="E838" s="32">
        <v>0.12020999467441396</v>
      </c>
      <c r="F838" s="35">
        <f t="shared" ca="1" si="41"/>
        <v>2.8653948664691953E-3</v>
      </c>
    </row>
    <row r="839" spans="1:6" x14ac:dyDescent="0.25">
      <c r="A839" s="23">
        <v>838</v>
      </c>
      <c r="B839" s="7" cm="1">
        <f t="array" aca="1" ref="B839" ca="1">interpolexp(A839,serie_du,Taxas_DI)</f>
        <v>0.12307901141976885</v>
      </c>
      <c r="C839" s="37">
        <f t="shared" ca="1" si="40"/>
        <v>1.4710732159865836</v>
      </c>
      <c r="D839" s="36">
        <f t="shared" ca="1" si="42"/>
        <v>0.12611462409377916</v>
      </c>
      <c r="E839" s="32">
        <v>0.12021374548192298</v>
      </c>
      <c r="F839" s="35">
        <f t="shared" ca="1" si="41"/>
        <v>2.8652659378458623E-3</v>
      </c>
    </row>
    <row r="840" spans="1:6" x14ac:dyDescent="0.25">
      <c r="A840" s="23">
        <v>839</v>
      </c>
      <c r="B840" s="7" cm="1">
        <f t="array" aca="1" ref="B840" ca="1">interpolexp(A840,serie_du,Taxas_DI)</f>
        <v>0.12308262466496078</v>
      </c>
      <c r="C840" s="37">
        <f t="shared" ca="1" si="40"/>
        <v>1.4717667295679608</v>
      </c>
      <c r="D840" s="36">
        <f t="shared" ca="1" si="42"/>
        <v>0.12611461439148441</v>
      </c>
      <c r="E840" s="32">
        <v>0.12021748734840632</v>
      </c>
      <c r="F840" s="35">
        <f t="shared" ca="1" si="41"/>
        <v>2.8651373165544669E-3</v>
      </c>
    </row>
    <row r="841" spans="1:6" x14ac:dyDescent="0.25">
      <c r="A841" s="23">
        <v>840</v>
      </c>
      <c r="B841" s="7" cm="1">
        <f t="array" aca="1" ref="B841" ca="1">interpolexp(A841,serie_du,Taxas_DI)</f>
        <v>0.12308622930734536</v>
      </c>
      <c r="C841" s="37">
        <f t="shared" ca="1" si="40"/>
        <v>1.472460570045121</v>
      </c>
      <c r="D841" s="36">
        <f t="shared" ca="1" si="42"/>
        <v>0.12611460476786185</v>
      </c>
      <c r="E841" s="32">
        <v>0.12022122030583837</v>
      </c>
      <c r="F841" s="35">
        <f t="shared" ca="1" si="41"/>
        <v>2.8650090015069907E-3</v>
      </c>
    </row>
    <row r="842" spans="1:6" x14ac:dyDescent="0.25">
      <c r="A842" s="23">
        <v>841</v>
      </c>
      <c r="B842" s="7" cm="1">
        <f t="array" aca="1" ref="B842" ca="1">interpolexp(A842,serie_du,Taxas_DI)</f>
        <v>0.12308982537754254</v>
      </c>
      <c r="C842" s="37">
        <f t="shared" ca="1" si="40"/>
        <v>1.4731547375720104</v>
      </c>
      <c r="D842" s="36">
        <f t="shared" ca="1" si="42"/>
        <v>0.12611459512187806</v>
      </c>
      <c r="E842" s="32">
        <v>0.12022494438597153</v>
      </c>
      <c r="F842" s="35">
        <f t="shared" ca="1" si="41"/>
        <v>2.8648809915710061E-3</v>
      </c>
    </row>
    <row r="843" spans="1:6" x14ac:dyDescent="0.25">
      <c r="A843" s="23">
        <v>842</v>
      </c>
      <c r="B843" s="7" cm="1">
        <f t="array" aca="1" ref="B843" ca="1">interpolexp(A843,serie_du,Taxas_DI)</f>
        <v>0.12309341290617226</v>
      </c>
      <c r="C843" s="37">
        <f t="shared" ca="1" si="40"/>
        <v>1.4738492323032857</v>
      </c>
      <c r="D843" s="36">
        <f t="shared" ca="1" si="42"/>
        <v>0.1261145855762722</v>
      </c>
      <c r="E843" s="32">
        <v>0.12022865962046936</v>
      </c>
      <c r="F843" s="35">
        <f t="shared" ca="1" si="41"/>
        <v>2.8647532857029034E-3</v>
      </c>
    </row>
    <row r="844" spans="1:6" x14ac:dyDescent="0.25">
      <c r="A844" s="23">
        <v>843</v>
      </c>
      <c r="B844" s="7" cm="1">
        <f t="array" aca="1" ref="B844" ca="1">interpolexp(A844,serie_du,Taxas_DI)</f>
        <v>0.12309699192358803</v>
      </c>
      <c r="C844" s="37">
        <f t="shared" ca="1" si="40"/>
        <v>1.4745440543931427</v>
      </c>
      <c r="D844" s="36">
        <f t="shared" ca="1" si="42"/>
        <v>0.12611457602827914</v>
      </c>
      <c r="E844" s="32">
        <v>0.12023236604077336</v>
      </c>
      <c r="F844" s="35">
        <f t="shared" ca="1" si="41"/>
        <v>2.8646258828146642E-3</v>
      </c>
    </row>
    <row r="845" spans="1:6" x14ac:dyDescent="0.25">
      <c r="A845" s="23">
        <v>844</v>
      </c>
      <c r="B845" s="7" cm="1">
        <f t="array" aca="1" ref="B845" ca="1">interpolexp(A845,serie_du,Taxas_DI)</f>
        <v>0.12310056246003231</v>
      </c>
      <c r="C845" s="37">
        <f t="shared" ca="1" si="40"/>
        <v>1.4752392039959947</v>
      </c>
      <c r="D845" s="36">
        <f t="shared" ca="1" si="42"/>
        <v>0.12611456650570929</v>
      </c>
      <c r="E845" s="32">
        <v>0.12023606367821404</v>
      </c>
      <c r="F845" s="35">
        <f t="shared" ca="1" si="41"/>
        <v>2.8644987818182699E-3</v>
      </c>
    </row>
    <row r="846" spans="1:6" x14ac:dyDescent="0.25">
      <c r="A846" s="23">
        <v>845</v>
      </c>
      <c r="B846" s="7" cm="1">
        <f t="array" aca="1" ref="B846" ca="1">interpolexp(A846,serie_du,Taxas_DI)</f>
        <v>0.12310412454563657</v>
      </c>
      <c r="C846" s="37">
        <f t="shared" ca="1" si="40"/>
        <v>1.4759346812664682</v>
      </c>
      <c r="D846" s="36">
        <f t="shared" ca="1" si="42"/>
        <v>0.1261145570354858</v>
      </c>
      <c r="E846" s="32">
        <v>0.12023975256401087</v>
      </c>
      <c r="F846" s="35">
        <f t="shared" ca="1" si="41"/>
        <v>2.8643719816257018E-3</v>
      </c>
    </row>
    <row r="847" spans="1:6" x14ac:dyDescent="0.25">
      <c r="A847" s="23">
        <v>846</v>
      </c>
      <c r="B847" s="7" cm="1">
        <f t="array" aca="1" ref="B847" ca="1">interpolexp(A847,serie_du,Taxas_DI)</f>
        <v>0.12310767821035462</v>
      </c>
      <c r="C847" s="37">
        <f t="shared" ca="1" si="40"/>
        <v>1.4766304863591073</v>
      </c>
      <c r="D847" s="36">
        <f t="shared" ca="1" si="42"/>
        <v>0.12611454758783713</v>
      </c>
      <c r="E847" s="32">
        <v>0.12024343272916127</v>
      </c>
      <c r="F847" s="35">
        <f t="shared" ca="1" si="41"/>
        <v>2.8642454811933504E-3</v>
      </c>
    </row>
    <row r="848" spans="1:6" x14ac:dyDescent="0.25">
      <c r="A848" s="23">
        <v>847</v>
      </c>
      <c r="B848" s="7" cm="1">
        <f t="array" aca="1" ref="B848" ca="1">interpolexp(A848,serie_du,Taxas_DI)</f>
        <v>0.12311122348402925</v>
      </c>
      <c r="C848" s="37">
        <f t="shared" ca="1" si="40"/>
        <v>1.4773266194286618</v>
      </c>
      <c r="D848" s="36">
        <f t="shared" ca="1" si="42"/>
        <v>0.12611453818816498</v>
      </c>
      <c r="E848" s="32">
        <v>0.12024710420457385</v>
      </c>
      <c r="F848" s="35">
        <f t="shared" ca="1" si="41"/>
        <v>2.8641192794554016E-3</v>
      </c>
    </row>
    <row r="849" spans="1:6" x14ac:dyDescent="0.25">
      <c r="A849" s="23">
        <v>848</v>
      </c>
      <c r="B849" s="7" cm="1">
        <f t="array" aca="1" ref="B849" ca="1">interpolexp(A849,serie_du,Taxas_DI)</f>
        <v>0.12311476039632563</v>
      </c>
      <c r="C849" s="37">
        <f t="shared" ca="1" si="40"/>
        <v>1.4780230806297918</v>
      </c>
      <c r="D849" s="36">
        <f t="shared" ca="1" si="42"/>
        <v>0.12611452880514129</v>
      </c>
      <c r="E849" s="32">
        <v>0.12025076702095738</v>
      </c>
      <c r="F849" s="35">
        <f t="shared" ca="1" si="41"/>
        <v>2.8639933753682456E-3</v>
      </c>
    </row>
    <row r="850" spans="1:6" x14ac:dyDescent="0.25">
      <c r="A850" s="23">
        <v>849</v>
      </c>
      <c r="B850" s="7" cm="1">
        <f t="array" aca="1" ref="B850" ca="1">interpolexp(A850,serie_du,Taxas_DI)</f>
        <v>0.12311828897679788</v>
      </c>
      <c r="C850" s="37">
        <f t="shared" ca="1" si="40"/>
        <v>1.4787198701173567</v>
      </c>
      <c r="D850" s="36">
        <f t="shared" ca="1" si="42"/>
        <v>0.1261145194630251</v>
      </c>
      <c r="E850" s="32">
        <v>0.12025442120895402</v>
      </c>
      <c r="F850" s="35">
        <f t="shared" ca="1" si="41"/>
        <v>2.863867767843864E-3</v>
      </c>
    </row>
    <row r="851" spans="1:6" x14ac:dyDescent="0.25">
      <c r="A851" s="23">
        <v>850</v>
      </c>
      <c r="B851" s="7" cm="1">
        <f t="array" aca="1" ref="B851" ca="1">interpolexp(A851,serie_du,Taxas_DI)</f>
        <v>0.12312180925484473</v>
      </c>
      <c r="C851" s="37">
        <f t="shared" ca="1" si="40"/>
        <v>1.4794169880462154</v>
      </c>
      <c r="D851" s="36">
        <f t="shared" ca="1" si="42"/>
        <v>0.12611451014770858</v>
      </c>
      <c r="E851" s="32">
        <v>0.12025806679898388</v>
      </c>
      <c r="F851" s="35">
        <f t="shared" ca="1" si="41"/>
        <v>2.8637424558608515E-3</v>
      </c>
    </row>
    <row r="852" spans="1:6" x14ac:dyDescent="0.25">
      <c r="A852" s="23">
        <v>851</v>
      </c>
      <c r="B852" s="7" cm="1">
        <f t="array" aca="1" ref="B852" ca="1">interpolexp(A852,serie_du,Taxas_DI)</f>
        <v>0.12312532125975384</v>
      </c>
      <c r="C852" s="37">
        <f t="shared" ca="1" si="40"/>
        <v>1.4801144345714201</v>
      </c>
      <c r="D852" s="36">
        <f t="shared" ca="1" si="42"/>
        <v>0.12611450088222953</v>
      </c>
      <c r="E852" s="32">
        <v>0.12026170382137824</v>
      </c>
      <c r="F852" s="35">
        <f t="shared" ca="1" si="41"/>
        <v>2.8636174383755986E-3</v>
      </c>
    </row>
    <row r="853" spans="1:6" x14ac:dyDescent="0.25">
      <c r="A853" s="23">
        <v>852</v>
      </c>
      <c r="B853" s="7" cm="1">
        <f t="array" aca="1" ref="B853" ca="1">interpolexp(A853,serie_du,Taxas_DI)</f>
        <v>0.12312882502063527</v>
      </c>
      <c r="C853" s="37">
        <f t="shared" ca="1" si="40"/>
        <v>1.4808122098479171</v>
      </c>
      <c r="D853" s="36">
        <f t="shared" ca="1" si="42"/>
        <v>0.12611449163213595</v>
      </c>
      <c r="E853" s="32">
        <v>0.12026533230626857</v>
      </c>
      <c r="F853" s="35">
        <f t="shared" ca="1" si="41"/>
        <v>2.8634927143666999E-3</v>
      </c>
    </row>
    <row r="854" spans="1:6" x14ac:dyDescent="0.25">
      <c r="A854" s="23">
        <v>853</v>
      </c>
      <c r="B854" s="7" cm="1">
        <f t="array" aca="1" ref="B854" ca="1">interpolexp(A854,serie_du,Taxas_DI)</f>
        <v>0.12313232056651024</v>
      </c>
      <c r="C854" s="37">
        <f t="shared" ca="1" si="40"/>
        <v>1.4815103140309376</v>
      </c>
      <c r="D854" s="36">
        <f t="shared" ca="1" si="42"/>
        <v>0.12611448243811951</v>
      </c>
      <c r="E854" s="32">
        <v>0.1202689522837197</v>
      </c>
      <c r="F854" s="35">
        <f t="shared" ca="1" si="41"/>
        <v>2.863368282790546E-3</v>
      </c>
    </row>
    <row r="855" spans="1:6" x14ac:dyDescent="0.25">
      <c r="A855" s="23">
        <v>854</v>
      </c>
      <c r="B855" s="7" cm="1">
        <f t="array" aca="1" ref="B855" ca="1">interpolexp(A855,serie_du,Taxas_DI)</f>
        <v>0.12313580792620016</v>
      </c>
      <c r="C855" s="37">
        <f t="shared" ca="1" si="40"/>
        <v>1.4822087472754997</v>
      </c>
      <c r="D855" s="36">
        <f t="shared" ca="1" si="42"/>
        <v>0.12611447324515113</v>
      </c>
      <c r="E855" s="32">
        <v>0.12027256378361884</v>
      </c>
      <c r="F855" s="35">
        <f t="shared" ca="1" si="41"/>
        <v>2.8632441425813226E-3</v>
      </c>
    </row>
    <row r="856" spans="1:6" x14ac:dyDescent="0.25">
      <c r="A856" s="23">
        <v>855</v>
      </c>
      <c r="B856" s="7" cm="1">
        <f t="array" aca="1" ref="B856" ca="1">interpolexp(A856,serie_du,Taxas_DI)</f>
        <v>0.12313928712843758</v>
      </c>
      <c r="C856" s="37">
        <f t="shared" ca="1" si="40"/>
        <v>1.4829075097369004</v>
      </c>
      <c r="D856" s="36">
        <f t="shared" ca="1" si="42"/>
        <v>0.12611446409275406</v>
      </c>
      <c r="E856" s="32">
        <v>0.12027616683567555</v>
      </c>
      <c r="F856" s="35">
        <f t="shared" ca="1" si="41"/>
        <v>2.8631202927620336E-3</v>
      </c>
    </row>
    <row r="857" spans="1:6" x14ac:dyDescent="0.25">
      <c r="A857" s="23">
        <v>856</v>
      </c>
      <c r="B857" s="7" cm="1">
        <f t="array" aca="1" ref="B857" ca="1">interpolexp(A857,serie_du,Taxas_DI)</f>
        <v>0.12314275820182186</v>
      </c>
      <c r="C857" s="37">
        <f t="shared" ca="1" si="40"/>
        <v>1.4836066015705132</v>
      </c>
      <c r="D857" s="36">
        <f t="shared" ca="1" si="42"/>
        <v>0.12611445498143126</v>
      </c>
      <c r="E857" s="32">
        <v>0.12027976146951058</v>
      </c>
      <c r="F857" s="35">
        <f t="shared" ca="1" si="41"/>
        <v>2.8629967323112737E-3</v>
      </c>
    </row>
    <row r="858" spans="1:6" x14ac:dyDescent="0.25">
      <c r="A858" s="23">
        <v>857</v>
      </c>
      <c r="B858" s="7" cm="1">
        <f t="array" aca="1" ref="B858" ca="1">interpolexp(A858,serie_du,Taxas_DI)</f>
        <v>0.1231462211748191</v>
      </c>
      <c r="C858" s="37">
        <f t="shared" ca="1" si="40"/>
        <v>1.4843060229317862</v>
      </c>
      <c r="D858" s="36">
        <f t="shared" ca="1" si="42"/>
        <v>0.1261144459113972</v>
      </c>
      <c r="E858" s="32">
        <v>0.12028334771461147</v>
      </c>
      <c r="F858" s="35">
        <f t="shared" ca="1" si="41"/>
        <v>2.8628734602076378E-3</v>
      </c>
    </row>
    <row r="859" spans="1:6" x14ac:dyDescent="0.25">
      <c r="A859" s="23">
        <v>858</v>
      </c>
      <c r="B859" s="7" cm="1">
        <f t="array" aca="1" ref="B859" ca="1">interpolexp(A859,serie_du,Taxas_DI)</f>
        <v>0.12314967607574001</v>
      </c>
      <c r="C859" s="37">
        <f t="shared" ca="1" si="40"/>
        <v>1.4850057739761378</v>
      </c>
      <c r="D859" s="36">
        <f t="shared" ca="1" si="42"/>
        <v>0.12611443686290502</v>
      </c>
      <c r="E859" s="32">
        <v>0.12028692560028809</v>
      </c>
      <c r="F859" s="35">
        <f t="shared" ca="1" si="41"/>
        <v>2.8627504754519251E-3</v>
      </c>
    </row>
    <row r="860" spans="1:6" x14ac:dyDescent="0.25">
      <c r="A860" s="23">
        <v>859</v>
      </c>
      <c r="B860" s="7" cm="1">
        <f t="array" aca="1" ref="B860" ca="1">interpolexp(A860,serie_du,Taxas_DI)</f>
        <v>0.12315312293276204</v>
      </c>
      <c r="C860" s="37">
        <f t="shared" ca="1" si="40"/>
        <v>1.4857058548590525</v>
      </c>
      <c r="D860" s="36">
        <f t="shared" ca="1" si="42"/>
        <v>0.12611442783464843</v>
      </c>
      <c r="E860" s="32">
        <v>0.12029049515573931</v>
      </c>
      <c r="F860" s="35">
        <f t="shared" ca="1" si="41"/>
        <v>2.8626277770227304E-3</v>
      </c>
    </row>
    <row r="861" spans="1:6" x14ac:dyDescent="0.25">
      <c r="A861" s="23">
        <v>860</v>
      </c>
      <c r="B861" s="7" cm="1">
        <f t="array" aca="1" ref="B861" ca="1">interpolexp(A861,serie_du,Taxas_DI)</f>
        <v>0.12315656177395162</v>
      </c>
      <c r="C861" s="37">
        <f t="shared" ca="1" si="40"/>
        <v>1.4864062657361781</v>
      </c>
      <c r="D861" s="36">
        <f t="shared" ca="1" si="42"/>
        <v>0.12611441884367891</v>
      </c>
      <c r="E861" s="32">
        <v>0.12029405641003077</v>
      </c>
      <c r="F861" s="35">
        <f t="shared" ca="1" si="41"/>
        <v>2.8625053639208531E-3</v>
      </c>
    </row>
    <row r="862" spans="1:6" x14ac:dyDescent="0.25">
      <c r="A862" s="23">
        <v>861</v>
      </c>
      <c r="B862" s="7" cm="1">
        <f t="array" aca="1" ref="B862" ca="1">interpolexp(A862,serie_du,Taxas_DI)</f>
        <v>0.12315999262724198</v>
      </c>
      <c r="C862" s="37">
        <f t="shared" ca="1" si="40"/>
        <v>1.4871070067632226</v>
      </c>
      <c r="D862" s="36">
        <f t="shared" ca="1" si="42"/>
        <v>0.12611440988755285</v>
      </c>
      <c r="E862" s="32">
        <v>0.12029760939209488</v>
      </c>
      <c r="F862" s="35">
        <f t="shared" ca="1" si="41"/>
        <v>2.8623832351470924E-3</v>
      </c>
    </row>
    <row r="863" spans="1:6" x14ac:dyDescent="0.25">
      <c r="A863" s="23">
        <v>862</v>
      </c>
      <c r="B863" s="7" cm="1">
        <f t="array" aca="1" ref="B863" ca="1">interpolexp(A863,serie_du,Taxas_DI)</f>
        <v>0.12316341552043308</v>
      </c>
      <c r="C863" s="37">
        <f t="shared" ca="1" si="40"/>
        <v>1.4878080780959499</v>
      </c>
      <c r="D863" s="36">
        <f t="shared" ca="1" si="42"/>
        <v>0.12611440096268356</v>
      </c>
      <c r="E863" s="32">
        <v>0.12030115413068643</v>
      </c>
      <c r="F863" s="35">
        <f t="shared" ca="1" si="41"/>
        <v>2.8622613897466564E-3</v>
      </c>
    </row>
    <row r="864" spans="1:6" x14ac:dyDescent="0.25">
      <c r="A864" s="23">
        <v>863</v>
      </c>
      <c r="B864" s="7" cm="1">
        <f t="array" aca="1" ref="B864" ca="1">interpolexp(A864,serie_du,Taxas_DI)</f>
        <v>0.1231668304811917</v>
      </c>
      <c r="C864" s="37">
        <f t="shared" ca="1" si="40"/>
        <v>1.4885094798901777</v>
      </c>
      <c r="D864" s="36">
        <f t="shared" ca="1" si="42"/>
        <v>0.1261143920655039</v>
      </c>
      <c r="E864" s="32">
        <v>0.12030469065447136</v>
      </c>
      <c r="F864" s="35">
        <f t="shared" ca="1" si="41"/>
        <v>2.8621398267203446E-3</v>
      </c>
    </row>
    <row r="865" spans="1:6" x14ac:dyDescent="0.25">
      <c r="A865" s="23">
        <v>864</v>
      </c>
      <c r="B865" s="7" cm="1">
        <f t="array" aca="1" ref="B865" ca="1">interpolexp(A865,serie_du,Taxas_DI)</f>
        <v>0.12317023753707357</v>
      </c>
      <c r="C865" s="37">
        <f t="shared" ca="1" si="40"/>
        <v>1.4892112123018737</v>
      </c>
      <c r="D865" s="36">
        <f t="shared" ca="1" si="42"/>
        <v>0.12611438321047874</v>
      </c>
      <c r="E865" s="32">
        <v>0.12030821899200461</v>
      </c>
      <c r="F865" s="35">
        <f t="shared" ca="1" si="41"/>
        <v>2.8620185450689561E-3</v>
      </c>
    </row>
    <row r="866" spans="1:6" x14ac:dyDescent="0.25">
      <c r="A866" s="23">
        <v>865</v>
      </c>
      <c r="B866" s="7" cm="1">
        <f t="array" aca="1" ref="B866" ca="1">interpolexp(A866,serie_du,Taxas_DI)</f>
        <v>0.12317363671547898</v>
      </c>
      <c r="C866" s="37">
        <f t="shared" ca="1" si="40"/>
        <v>1.4899132754869508</v>
      </c>
      <c r="D866" s="36">
        <f t="shared" ca="1" si="42"/>
        <v>0.12611437437313722</v>
      </c>
      <c r="E866" s="32">
        <v>0.12031173917166349</v>
      </c>
      <c r="F866" s="35">
        <f t="shared" ca="1" si="41"/>
        <v>2.8618975438154948E-3</v>
      </c>
    </row>
    <row r="867" spans="1:6" x14ac:dyDescent="0.25">
      <c r="A867" s="23">
        <v>866</v>
      </c>
      <c r="B867" s="7" cm="1">
        <f t="array" aca="1" ref="B867" ca="1">interpolexp(A867,serie_du,Taxas_DI)</f>
        <v>0.12317702804371944</v>
      </c>
      <c r="C867" s="37">
        <f t="shared" ca="1" si="40"/>
        <v>1.4906156696015678</v>
      </c>
      <c r="D867" s="36">
        <f t="shared" ca="1" si="42"/>
        <v>0.12611436558614209</v>
      </c>
      <c r="E867" s="32">
        <v>0.12031525122166986</v>
      </c>
      <c r="F867" s="35">
        <f t="shared" ca="1" si="41"/>
        <v>2.8617768220495776E-3</v>
      </c>
    </row>
    <row r="868" spans="1:6" x14ac:dyDescent="0.25">
      <c r="A868" s="23">
        <v>867</v>
      </c>
      <c r="B868" s="7" cm="1">
        <f t="array" aca="1" ref="B868" ca="1">interpolexp(A868,serie_du,Taxas_DI)</f>
        <v>0.12318041154892878</v>
      </c>
      <c r="C868" s="37">
        <f t="shared" ca="1" si="40"/>
        <v>1.4913183948017203</v>
      </c>
      <c r="D868" s="36">
        <f t="shared" ca="1" si="42"/>
        <v>0.12611435680465921</v>
      </c>
      <c r="E868" s="32">
        <v>0.12031875517020119</v>
      </c>
      <c r="F868" s="35">
        <f t="shared" ca="1" si="41"/>
        <v>2.861656378727595E-3</v>
      </c>
    </row>
    <row r="869" spans="1:6" x14ac:dyDescent="0.25">
      <c r="A869" s="23">
        <v>868</v>
      </c>
      <c r="B869" s="7" cm="1">
        <f t="array" aca="1" ref="B869" ca="1">interpolexp(A869,serie_du,Taxas_DI)</f>
        <v>0.12318378725815204</v>
      </c>
      <c r="C869" s="37">
        <f t="shared" ca="1" si="40"/>
        <v>1.492021451243642</v>
      </c>
      <c r="D869" s="36">
        <f t="shared" ca="1" si="42"/>
        <v>0.12611434805969157</v>
      </c>
      <c r="E869" s="32">
        <v>0.12032225104525729</v>
      </c>
      <c r="F869" s="35">
        <f t="shared" ca="1" si="41"/>
        <v>2.8615362128947552E-3</v>
      </c>
    </row>
    <row r="870" spans="1:6" x14ac:dyDescent="0.25">
      <c r="A870" s="23">
        <v>869</v>
      </c>
      <c r="B870" s="7" cm="1">
        <f t="array" aca="1" ref="B870" ca="1">interpolexp(A870,serie_du,Taxas_DI)</f>
        <v>0.12318715519830103</v>
      </c>
      <c r="C870" s="37">
        <f t="shared" ca="1" si="40"/>
        <v>1.4927248390836005</v>
      </c>
      <c r="D870" s="36">
        <f t="shared" ca="1" si="42"/>
        <v>0.12611433934377891</v>
      </c>
      <c r="E870" s="32">
        <v>0.12032573887466036</v>
      </c>
      <c r="F870" s="35">
        <f t="shared" ca="1" si="41"/>
        <v>2.8614163236406753E-3</v>
      </c>
    </row>
    <row r="871" spans="1:6" x14ac:dyDescent="0.25">
      <c r="A871" s="23">
        <v>870</v>
      </c>
      <c r="B871" s="7" cm="1">
        <f t="array" aca="1" ref="B871" ca="1">interpolexp(A871,serie_du,Taxas_DI)</f>
        <v>0.12319051539619874</v>
      </c>
      <c r="C871" s="37">
        <f t="shared" ca="1" si="40"/>
        <v>1.4934285584780964</v>
      </c>
      <c r="D871" s="36">
        <f t="shared" ca="1" si="42"/>
        <v>0.12611433068709599</v>
      </c>
      <c r="E871" s="32">
        <v>0.12032921868621038</v>
      </c>
      <c r="F871" s="35">
        <f t="shared" ca="1" si="41"/>
        <v>2.8612967099883591E-3</v>
      </c>
    </row>
    <row r="872" spans="1:6" x14ac:dyDescent="0.25">
      <c r="A872" s="23">
        <v>871</v>
      </c>
      <c r="B872" s="7" cm="1">
        <f t="array" aca="1" ref="B872" ca="1">interpolexp(A872,serie_du,Taxas_DI)</f>
        <v>0.12319386787846831</v>
      </c>
      <c r="C872" s="37">
        <f t="shared" ca="1" si="40"/>
        <v>1.4941326095833514</v>
      </c>
      <c r="D872" s="36">
        <f t="shared" ca="1" si="42"/>
        <v>0.12611432202267392</v>
      </c>
      <c r="E872" s="32">
        <v>0.1203326905074853</v>
      </c>
      <c r="F872" s="35">
        <f t="shared" ca="1" si="41"/>
        <v>2.8611773709830146E-3</v>
      </c>
    </row>
    <row r="873" spans="1:6" x14ac:dyDescent="0.25">
      <c r="A873" s="23">
        <v>872</v>
      </c>
      <c r="B873" s="7" cm="1">
        <f t="array" aca="1" ref="B873" ca="1">interpolexp(A873,serie_du,Taxas_DI)</f>
        <v>0.12319721267166628</v>
      </c>
      <c r="C873" s="37">
        <f t="shared" ca="1" si="40"/>
        <v>1.4948369925559155</v>
      </c>
      <c r="D873" s="36">
        <f t="shared" ca="1" si="42"/>
        <v>0.12611431339882406</v>
      </c>
      <c r="E873" s="32">
        <v>0.12033615436599643</v>
      </c>
      <c r="F873" s="35">
        <f t="shared" ca="1" si="41"/>
        <v>2.8610583056698502E-3</v>
      </c>
    </row>
    <row r="874" spans="1:6" x14ac:dyDescent="0.25">
      <c r="A874" s="23">
        <v>873</v>
      </c>
      <c r="B874" s="7" cm="1">
        <f t="array" aca="1" ref="B874" ca="1">interpolexp(A874,serie_du,Taxas_DI)</f>
        <v>0.12320054980223816</v>
      </c>
      <c r="C874" s="37">
        <f t="shared" ca="1" si="40"/>
        <v>1.4955417075524613</v>
      </c>
      <c r="D874" s="36">
        <f t="shared" ca="1" si="42"/>
        <v>0.12611430482473462</v>
      </c>
      <c r="E874" s="32">
        <v>0.12033961028907747</v>
      </c>
      <c r="F874" s="35">
        <f t="shared" ca="1" si="41"/>
        <v>2.8609395131606874E-3</v>
      </c>
    </row>
    <row r="875" spans="1:6" x14ac:dyDescent="0.25">
      <c r="A875" s="23">
        <v>874</v>
      </c>
      <c r="B875" s="7" cm="1">
        <f t="array" aca="1" ref="B875" ca="1">interpolexp(A875,serie_du,Taxas_DI)</f>
        <v>0.12320387929645182</v>
      </c>
      <c r="C875" s="37">
        <f t="shared" ca="1" si="40"/>
        <v>1.4962467547294735</v>
      </c>
      <c r="D875" s="36">
        <f t="shared" ca="1" si="42"/>
        <v>0.12611429625067982</v>
      </c>
      <c r="E875" s="32">
        <v>0.1203430583040177</v>
      </c>
      <c r="F875" s="35">
        <f t="shared" ca="1" si="41"/>
        <v>2.860820992434121E-3</v>
      </c>
    </row>
    <row r="876" spans="1:6" x14ac:dyDescent="0.25">
      <c r="A876" s="23">
        <v>875</v>
      </c>
      <c r="B876" s="7" cm="1">
        <f t="array" aca="1" ref="B876" ca="1">interpolexp(A876,serie_du,Taxas_DI)</f>
        <v>0.12320720118048634</v>
      </c>
      <c r="C876" s="37">
        <f t="shared" ca="1" si="40"/>
        <v>1.4969521342436543</v>
      </c>
      <c r="D876" s="36">
        <f t="shared" ca="1" si="42"/>
        <v>0.12611428770398003</v>
      </c>
      <c r="E876" s="32">
        <v>0.12034649843788436</v>
      </c>
      <c r="F876" s="35">
        <f t="shared" ca="1" si="41"/>
        <v>2.8607027426019727E-3</v>
      </c>
    </row>
    <row r="877" spans="1:6" x14ac:dyDescent="0.25">
      <c r="A877" s="23">
        <v>876</v>
      </c>
      <c r="B877" s="7" cm="1">
        <f t="array" aca="1" ref="B877" ca="1">interpolexp(A877,serie_du,Taxas_DI)</f>
        <v>0.12321051548043194</v>
      </c>
      <c r="C877" s="37">
        <f t="shared" ca="1" si="40"/>
        <v>1.4976578462519219</v>
      </c>
      <c r="D877" s="36">
        <f t="shared" ca="1" si="42"/>
        <v>0.12611427921151486</v>
      </c>
      <c r="E877" s="32">
        <v>0.12034993071767808</v>
      </c>
      <c r="F877" s="35">
        <f t="shared" ca="1" si="41"/>
        <v>2.8605847627538594E-3</v>
      </c>
    </row>
    <row r="878" spans="1:6" x14ac:dyDescent="0.25">
      <c r="A878" s="23">
        <v>877</v>
      </c>
      <c r="B878" s="7" cm="1">
        <f t="array" aca="1" ref="B878" ca="1">interpolexp(A878,serie_du,Taxas_DI)</f>
        <v>0.12321382222224564</v>
      </c>
      <c r="C878" s="37">
        <f t="shared" ca="1" si="40"/>
        <v>1.4983638909112014</v>
      </c>
      <c r="D878" s="36">
        <f t="shared" ca="1" si="42"/>
        <v>0.12611427076043968</v>
      </c>
      <c r="E878" s="32">
        <v>0.12035335517026624</v>
      </c>
      <c r="F878" s="35">
        <f t="shared" ca="1" si="41"/>
        <v>2.8604670519793984E-3</v>
      </c>
    </row>
    <row r="879" spans="1:6" x14ac:dyDescent="0.25">
      <c r="A879" s="23">
        <v>878</v>
      </c>
      <c r="B879" s="7" cm="1">
        <f t="array" aca="1" ref="B879" ca="1">interpolexp(A879,serie_du,Taxas_DI)</f>
        <v>0.12321712143168462</v>
      </c>
      <c r="C879" s="37">
        <f t="shared" ca="1" si="40"/>
        <v>1.499070268378113</v>
      </c>
      <c r="D879" s="36">
        <f t="shared" ca="1" si="42"/>
        <v>0.12611426227906364</v>
      </c>
      <c r="E879" s="32">
        <v>0.12035677182240523</v>
      </c>
      <c r="F879" s="35">
        <f t="shared" ca="1" si="41"/>
        <v>2.860349609279389E-3</v>
      </c>
    </row>
    <row r="880" spans="1:6" x14ac:dyDescent="0.25">
      <c r="A880" s="23">
        <v>879</v>
      </c>
      <c r="B880" s="7" cm="1">
        <f t="array" aca="1" ref="B880" ca="1">interpolexp(A880,serie_du,Taxas_DI)</f>
        <v>0.12322041313452825</v>
      </c>
      <c r="C880" s="37">
        <f t="shared" ca="1" si="40"/>
        <v>1.4997769788099986</v>
      </c>
      <c r="D880" s="36">
        <f t="shared" ca="1" si="42"/>
        <v>0.12611425388999176</v>
      </c>
      <c r="E880" s="32">
        <v>0.12036018070069598</v>
      </c>
      <c r="F880" s="35">
        <f t="shared" ca="1" si="41"/>
        <v>2.860232433832266E-3</v>
      </c>
    </row>
    <row r="881" spans="1:6" x14ac:dyDescent="0.25">
      <c r="A881" s="23">
        <v>880</v>
      </c>
      <c r="B881" s="7" cm="1">
        <f t="array" aca="1" ref="B881" ca="1">interpolexp(A881,serie_du,Taxas_DI)</f>
        <v>0.12322369735633387</v>
      </c>
      <c r="C881" s="37">
        <f t="shared" ca="1" si="40"/>
        <v>1.500484022363785</v>
      </c>
      <c r="D881" s="36">
        <f t="shared" ca="1" si="42"/>
        <v>0.12611424550050865</v>
      </c>
      <c r="E881" s="32">
        <v>0.12036358183167284</v>
      </c>
      <c r="F881" s="35">
        <f t="shared" ca="1" si="41"/>
        <v>2.8601155246610332E-3</v>
      </c>
    </row>
    <row r="882" spans="1:6" x14ac:dyDescent="0.25">
      <c r="A882" s="23">
        <v>881</v>
      </c>
      <c r="B882" s="7" cm="1">
        <f t="array" aca="1" ref="B882" ca="1">interpolexp(A882,serie_du,Taxas_DI)</f>
        <v>0.12322697412257</v>
      </c>
      <c r="C882" s="37">
        <f t="shared" ca="1" si="40"/>
        <v>1.5011913991965995</v>
      </c>
      <c r="D882" s="36">
        <f t="shared" ca="1" si="42"/>
        <v>0.12611423713461534</v>
      </c>
      <c r="E882" s="32">
        <v>0.12036697524167028</v>
      </c>
      <c r="F882" s="35">
        <f t="shared" ca="1" si="41"/>
        <v>2.8599988808997168E-3</v>
      </c>
    </row>
    <row r="883" spans="1:6" x14ac:dyDescent="0.25">
      <c r="A883" s="23">
        <v>882</v>
      </c>
      <c r="B883" s="7" cm="1">
        <f t="array" aca="1" ref="B883" ca="1">interpolexp(A883,serie_du,Taxas_DI)</f>
        <v>0.12323024345861633</v>
      </c>
      <c r="C883" s="37">
        <f t="shared" ca="1" si="40"/>
        <v>1.5018991094657677</v>
      </c>
      <c r="D883" s="36">
        <f t="shared" ca="1" si="42"/>
        <v>0.12611422881573175</v>
      </c>
      <c r="E883" s="32">
        <v>0.12037036095697839</v>
      </c>
      <c r="F883" s="35">
        <f t="shared" ca="1" si="41"/>
        <v>2.8598825016379337E-3</v>
      </c>
    </row>
    <row r="884" spans="1:6" x14ac:dyDescent="0.25">
      <c r="A884" s="23">
        <v>883</v>
      </c>
      <c r="B884" s="7" cm="1">
        <f t="array" aca="1" ref="B884" ca="1">interpolexp(A884,serie_du,Taxas_DI)</f>
        <v>0.12323350538969713</v>
      </c>
      <c r="C884" s="37">
        <f t="shared" ca="1" si="40"/>
        <v>1.5026071533284999</v>
      </c>
      <c r="D884" s="36">
        <f t="shared" ca="1" si="42"/>
        <v>0.12611422050806076</v>
      </c>
      <c r="E884" s="32">
        <v>0.12037373900375403</v>
      </c>
      <c r="F884" s="35">
        <f t="shared" ca="1" si="41"/>
        <v>2.8597663859430966E-3</v>
      </c>
    </row>
    <row r="885" spans="1:6" x14ac:dyDescent="0.25">
      <c r="A885" s="23">
        <v>884</v>
      </c>
      <c r="B885" s="7" cm="1">
        <f t="array" aca="1" ref="B885" ca="1">interpolexp(A885,serie_du,Taxas_DI)</f>
        <v>0.12323675994094785</v>
      </c>
      <c r="C885" s="37">
        <f t="shared" ca="1" si="40"/>
        <v>1.5033155309421982</v>
      </c>
      <c r="D885" s="36">
        <f t="shared" ca="1" si="42"/>
        <v>0.12611421223364583</v>
      </c>
      <c r="E885" s="32">
        <v>0.12037710940799862</v>
      </c>
      <c r="F885" s="35">
        <f t="shared" ca="1" si="41"/>
        <v>2.8596505329492317E-3</v>
      </c>
    </row>
    <row r="886" spans="1:6" x14ac:dyDescent="0.25">
      <c r="A886" s="23">
        <v>885</v>
      </c>
      <c r="B886" s="7" cm="1">
        <f t="array" aca="1" ref="B886" ca="1">interpolexp(A886,serie_du,Taxas_DI)</f>
        <v>0.12324000713739292</v>
      </c>
      <c r="C886" s="37">
        <f t="shared" ca="1" si="40"/>
        <v>1.5040242424643502</v>
      </c>
      <c r="D886" s="36">
        <f t="shared" ca="1" si="42"/>
        <v>0.12611420399477558</v>
      </c>
      <c r="E886" s="32">
        <v>0.12038047219562475</v>
      </c>
      <c r="F886" s="35">
        <f t="shared" ca="1" si="41"/>
        <v>2.8595349417681604E-3</v>
      </c>
    </row>
    <row r="887" spans="1:6" x14ac:dyDescent="0.25">
      <c r="A887" s="23">
        <v>886</v>
      </c>
      <c r="B887" s="7" cm="1">
        <f t="array" aca="1" ref="B887" ca="1">interpolexp(A887,serie_du,Taxas_DI)</f>
        <v>0.12324595791155524</v>
      </c>
      <c r="C887" s="37">
        <f t="shared" ca="1" si="40"/>
        <v>1.504746056406931</v>
      </c>
      <c r="D887" s="36">
        <f t="shared" ca="1" si="42"/>
        <v>0.12852477244570859</v>
      </c>
      <c r="E887" s="32">
        <v>0.12038382739241182</v>
      </c>
      <c r="F887" s="35">
        <f t="shared" ca="1" si="41"/>
        <v>2.8621305191434132E-3</v>
      </c>
    </row>
    <row r="888" spans="1:6" x14ac:dyDescent="0.25">
      <c r="A888" s="23">
        <v>887</v>
      </c>
      <c r="B888" s="7" cm="1">
        <f t="array" aca="1" ref="B888" ca="1">interpolexp(A888,serie_du,Taxas_DI)</f>
        <v>0.12325189526833924</v>
      </c>
      <c r="C888" s="37">
        <f t="shared" ca="1" si="40"/>
        <v>1.5054682166172706</v>
      </c>
      <c r="D888" s="36">
        <f t="shared" ca="1" si="42"/>
        <v>0.1285247447807536</v>
      </c>
      <c r="E888" s="32">
        <v>0.12038717502405039</v>
      </c>
      <c r="F888" s="35">
        <f t="shared" ca="1" si="41"/>
        <v>2.8647202442888542E-3</v>
      </c>
    </row>
    <row r="889" spans="1:6" x14ac:dyDescent="0.25">
      <c r="A889" s="23">
        <v>888</v>
      </c>
      <c r="B889" s="7" cm="1">
        <f t="array" aca="1" ref="B889" ca="1">interpolexp(A889,serie_du,Taxas_DI)</f>
        <v>0.12325781925301982</v>
      </c>
      <c r="C889" s="37">
        <f t="shared" ca="1" si="40"/>
        <v>1.5061907232616567</v>
      </c>
      <c r="D889" s="36">
        <f t="shared" ca="1" si="42"/>
        <v>0.12852471716251657</v>
      </c>
      <c r="E889" s="32">
        <v>0.12039051511607557</v>
      </c>
      <c r="F889" s="35">
        <f t="shared" ca="1" si="41"/>
        <v>2.8673041369442487E-3</v>
      </c>
    </row>
    <row r="890" spans="1:6" x14ac:dyDescent="0.25">
      <c r="A890" s="23">
        <v>889</v>
      </c>
      <c r="B890" s="7" cm="1">
        <f t="array" aca="1" ref="B890" ca="1">interpolexp(A890,serie_du,Taxas_DI)</f>
        <v>0.12326372991078305</v>
      </c>
      <c r="C890" s="37">
        <f t="shared" ca="1" si="40"/>
        <v>1.5069135765069985</v>
      </c>
      <c r="D890" s="36">
        <f t="shared" ca="1" si="42"/>
        <v>0.12852468969307584</v>
      </c>
      <c r="E890" s="32">
        <v>0.12039384769395589</v>
      </c>
      <c r="F890" s="35">
        <f t="shared" ca="1" si="41"/>
        <v>2.8698822168271576E-3</v>
      </c>
    </row>
    <row r="891" spans="1:6" x14ac:dyDescent="0.25">
      <c r="A891" s="23">
        <v>890</v>
      </c>
      <c r="B891" s="7" cm="1">
        <f t="array" aca="1" ref="B891" ca="1">interpolexp(A891,serie_du,Taxas_DI)</f>
        <v>0.12326962728648194</v>
      </c>
      <c r="C891" s="37">
        <f t="shared" ca="1" si="40"/>
        <v>1.5076367765196683</v>
      </c>
      <c r="D891" s="36">
        <f t="shared" ca="1" si="42"/>
        <v>0.12852466225577586</v>
      </c>
      <c r="E891" s="32">
        <v>0.12039717278300444</v>
      </c>
      <c r="F891" s="35">
        <f t="shared" ca="1" si="41"/>
        <v>2.8724545034775062E-3</v>
      </c>
    </row>
    <row r="892" spans="1:6" x14ac:dyDescent="0.25">
      <c r="A892" s="23">
        <v>891</v>
      </c>
      <c r="B892" s="7" cm="1">
        <f t="array" aca="1" ref="B892" ca="1">interpolexp(A892,serie_du,Taxas_DI)</f>
        <v>0.12327551142490289</v>
      </c>
      <c r="C892" s="37">
        <f t="shared" ca="1" si="40"/>
        <v>1.508360323466756</v>
      </c>
      <c r="D892" s="36">
        <f t="shared" ca="1" si="42"/>
        <v>0.12852463497084954</v>
      </c>
      <c r="E892" s="32">
        <v>0.12040049040844547</v>
      </c>
      <c r="F892" s="35">
        <f t="shared" ca="1" si="41"/>
        <v>2.8750210164574241E-3</v>
      </c>
    </row>
    <row r="893" spans="1:6" x14ac:dyDescent="0.25">
      <c r="A893" s="23">
        <v>892</v>
      </c>
      <c r="B893" s="7" cm="1">
        <f t="array" aca="1" ref="B893" ca="1">interpolexp(A893,serie_du,Taxas_DI)</f>
        <v>0.12328138237052144</v>
      </c>
      <c r="C893" s="37">
        <f t="shared" ca="1" si="40"/>
        <v>1.5090842175149064</v>
      </c>
      <c r="D893" s="36">
        <f t="shared" ca="1" si="42"/>
        <v>0.12852460773926788</v>
      </c>
      <c r="E893" s="32">
        <v>0.12040380059537004</v>
      </c>
      <c r="F893" s="35">
        <f t="shared" ca="1" si="41"/>
        <v>2.8775817751514055E-3</v>
      </c>
    </row>
    <row r="894" spans="1:6" x14ac:dyDescent="0.25">
      <c r="A894" s="23">
        <v>893</v>
      </c>
      <c r="B894" s="7" cm="1">
        <f t="array" aca="1" ref="B894" ca="1">interpolexp(A894,serie_du,Taxas_DI)</f>
        <v>0.12328724016765769</v>
      </c>
      <c r="C894" s="37">
        <f t="shared" ca="1" si="40"/>
        <v>1.5098084588310516</v>
      </c>
      <c r="D894" s="36">
        <f t="shared" ca="1" si="42"/>
        <v>0.12852458059985938</v>
      </c>
      <c r="E894" s="32">
        <v>0.12040710336875815</v>
      </c>
      <c r="F894" s="35">
        <f t="shared" ca="1" si="41"/>
        <v>2.8801367988995352E-3</v>
      </c>
    </row>
    <row r="895" spans="1:6" x14ac:dyDescent="0.25">
      <c r="A895" s="23">
        <v>894</v>
      </c>
      <c r="B895" s="7" cm="1">
        <f t="array" aca="1" ref="B895" ca="1">interpolexp(A895,serie_du,Taxas_DI)</f>
        <v>0.12329308486045409</v>
      </c>
      <c r="C895" s="37">
        <f t="shared" ca="1" si="40"/>
        <v>1.5105330475823013</v>
      </c>
      <c r="D895" s="36">
        <f t="shared" ca="1" si="42"/>
        <v>0.12852455357094783</v>
      </c>
      <c r="E895" s="32">
        <v>0.12041039875352322</v>
      </c>
      <c r="F895" s="35">
        <f t="shared" ca="1" si="41"/>
        <v>2.8826861069308762E-3</v>
      </c>
    </row>
    <row r="896" spans="1:6" x14ac:dyDescent="0.25">
      <c r="A896" s="23">
        <v>895</v>
      </c>
      <c r="B896" s="7" cm="1">
        <f t="array" aca="1" ref="B896" ca="1">interpolexp(A896,serie_du,Taxas_DI)</f>
        <v>0.12329891649283109</v>
      </c>
      <c r="C896" s="37">
        <f t="shared" ca="1" si="40"/>
        <v>1.5112579839357245</v>
      </c>
      <c r="D896" s="36">
        <f t="shared" ca="1" si="42"/>
        <v>0.12852452662957159</v>
      </c>
      <c r="E896" s="32">
        <v>0.12041368677440101</v>
      </c>
      <c r="F896" s="35">
        <f t="shared" ca="1" si="41"/>
        <v>2.8852297184300824E-3</v>
      </c>
    </row>
    <row r="897" spans="1:6" x14ac:dyDescent="0.25">
      <c r="A897" s="23">
        <v>896</v>
      </c>
      <c r="B897" s="7" cm="1">
        <f t="array" aca="1" ref="B897" ca="1">interpolexp(A897,serie_du,Taxas_DI)</f>
        <v>0.12330473510848705</v>
      </c>
      <c r="C897" s="37">
        <f t="shared" ca="1" si="40"/>
        <v>1.5119832680583454</v>
      </c>
      <c r="D897" s="36">
        <f t="shared" ca="1" si="42"/>
        <v>0.12852449975219415</v>
      </c>
      <c r="E897" s="32">
        <v>0.12041696745603847</v>
      </c>
      <c r="F897" s="35">
        <f t="shared" ca="1" si="41"/>
        <v>2.8877676524485807E-3</v>
      </c>
    </row>
    <row r="898" spans="1:6" x14ac:dyDescent="0.25">
      <c r="A898" s="23">
        <v>897</v>
      </c>
      <c r="B898" s="7" cm="1">
        <f t="array" aca="1" ref="B898" ca="1">interpolexp(A898,serie_du,Taxas_DI)</f>
        <v>0.12331054075098713</v>
      </c>
      <c r="C898" s="37">
        <f t="shared" ref="C898:C961" ca="1" si="43">(1+B898)^(A898/252)</f>
        <v>1.5127089001175613</v>
      </c>
      <c r="D898" s="36">
        <f t="shared" ca="1" si="42"/>
        <v>0.12852447299373138</v>
      </c>
      <c r="E898" s="32">
        <v>0.12042024082301594</v>
      </c>
      <c r="F898" s="35">
        <f t="shared" ref="F898:F961" ca="1" si="44">B898-E898</f>
        <v>2.890299927971185E-3</v>
      </c>
    </row>
    <row r="899" spans="1:6" x14ac:dyDescent="0.25">
      <c r="A899" s="23">
        <v>898</v>
      </c>
      <c r="B899" s="7" cm="1">
        <f t="array" aca="1" ref="B899" ca="1">interpolexp(A899,serie_du,Taxas_DI)</f>
        <v>0.12331633346367443</v>
      </c>
      <c r="C899" s="37">
        <f t="shared" ca="1" si="43"/>
        <v>1.5134348802807145</v>
      </c>
      <c r="D899" s="36">
        <f t="shared" ca="1" si="42"/>
        <v>0.12852444632864213</v>
      </c>
      <c r="E899" s="32">
        <v>0.12042350689973613</v>
      </c>
      <c r="F899" s="35">
        <f t="shared" ca="1" si="44"/>
        <v>2.8928265639383E-3</v>
      </c>
    </row>
    <row r="900" spans="1:6" x14ac:dyDescent="0.25">
      <c r="A900" s="23">
        <v>899</v>
      </c>
      <c r="B900" s="7" cm="1">
        <f t="array" aca="1" ref="B900" ca="1">interpolexp(A900,serie_du,Taxas_DI)</f>
        <v>0.12332211328967002</v>
      </c>
      <c r="C900" s="37">
        <f t="shared" ca="1" si="43"/>
        <v>1.5141612087150857</v>
      </c>
      <c r="D900" s="36">
        <f t="shared" ref="D900:D963" ca="1" si="45">((((1+B900)^(A900/252))/((1+B899)^(A899/252)))^(252/1))-1</f>
        <v>0.12852441973021889</v>
      </c>
      <c r="E900" s="32">
        <v>0.12042676571053512</v>
      </c>
      <c r="F900" s="35">
        <f t="shared" ca="1" si="44"/>
        <v>2.8953475791348993E-3</v>
      </c>
    </row>
    <row r="901" spans="1:6" x14ac:dyDescent="0.25">
      <c r="A901" s="23">
        <v>900</v>
      </c>
      <c r="B901" s="7" cm="1">
        <f t="array" aca="1" ref="B901" ca="1">interpolexp(A901,serie_du,Taxas_DI)</f>
        <v>0.12332788027193953</v>
      </c>
      <c r="C901" s="37">
        <f t="shared" ca="1" si="43"/>
        <v>1.5148878855882089</v>
      </c>
      <c r="D901" s="36">
        <f t="shared" ca="1" si="45"/>
        <v>0.12852439323072806</v>
      </c>
      <c r="E901" s="32">
        <v>0.12043001727966018</v>
      </c>
      <c r="F901" s="35">
        <f t="shared" ca="1" si="44"/>
        <v>2.8978629922793431E-3</v>
      </c>
    </row>
    <row r="902" spans="1:6" x14ac:dyDescent="0.25">
      <c r="A902" s="23">
        <v>901</v>
      </c>
      <c r="B902" s="7" cm="1">
        <f t="array" aca="1" ref="B902" ca="1">interpolexp(A902,serie_du,Taxas_DI)</f>
        <v>0.12333363445327095</v>
      </c>
      <c r="C902" s="37">
        <f t="shared" ca="1" si="43"/>
        <v>1.5156149110677593</v>
      </c>
      <c r="D902" s="36">
        <f t="shared" ca="1" si="45"/>
        <v>0.12852436684158475</v>
      </c>
      <c r="E902" s="32">
        <v>0.12043561214596377</v>
      </c>
      <c r="F902" s="35">
        <f t="shared" ca="1" si="44"/>
        <v>2.8980223073071798E-3</v>
      </c>
    </row>
    <row r="903" spans="1:6" x14ac:dyDescent="0.25">
      <c r="A903" s="23">
        <v>902</v>
      </c>
      <c r="B903" s="7" cm="1">
        <f t="array" aca="1" ref="B903" ca="1">interpolexp(A903,serie_du,Taxas_DI)</f>
        <v>0.12333937587618582</v>
      </c>
      <c r="C903" s="37">
        <f t="shared" ca="1" si="43"/>
        <v>1.5163422853211213</v>
      </c>
      <c r="D903" s="36">
        <f t="shared" ca="1" si="45"/>
        <v>0.12852434049293393</v>
      </c>
      <c r="E903" s="32">
        <v>0.12044119460712377</v>
      </c>
      <c r="F903" s="35">
        <f t="shared" ca="1" si="44"/>
        <v>2.8981812690620501E-3</v>
      </c>
    </row>
    <row r="904" spans="1:6" x14ac:dyDescent="0.25">
      <c r="A904" s="23">
        <v>903</v>
      </c>
      <c r="B904" s="7" cm="1">
        <f t="array" aca="1" ref="B904" ca="1">interpolexp(A904,serie_du,Taxas_DI)</f>
        <v>0.12334510458311687</v>
      </c>
      <c r="C904" s="37">
        <f t="shared" ca="1" si="43"/>
        <v>1.5170700085162396</v>
      </c>
      <c r="D904" s="36">
        <f t="shared" ca="1" si="45"/>
        <v>0.12852431427474742</v>
      </c>
      <c r="E904" s="32">
        <v>0.12044676470432947</v>
      </c>
      <c r="F904" s="35">
        <f t="shared" ca="1" si="44"/>
        <v>2.8983398787874037E-3</v>
      </c>
    </row>
    <row r="905" spans="1:6" x14ac:dyDescent="0.25">
      <c r="A905" s="23">
        <v>904</v>
      </c>
      <c r="B905" s="7" cm="1">
        <f t="array" aca="1" ref="B905" ca="1">interpolexp(A905,serie_du,Taxas_DI)</f>
        <v>0.12335082061623037</v>
      </c>
      <c r="C905" s="37">
        <f t="shared" ca="1" si="43"/>
        <v>1.5177980808207563</v>
      </c>
      <c r="D905" s="36">
        <f t="shared" ca="1" si="45"/>
        <v>0.12852428811504968</v>
      </c>
      <c r="E905" s="32">
        <v>0.12045232247863691</v>
      </c>
      <c r="F905" s="35">
        <f t="shared" ca="1" si="44"/>
        <v>2.8984981375934638E-3</v>
      </c>
    </row>
    <row r="906" spans="1:6" x14ac:dyDescent="0.25">
      <c r="A906" s="23">
        <v>905</v>
      </c>
      <c r="B906" s="7" cm="1">
        <f t="array" aca="1" ref="B906" ca="1">interpolexp(A906,serie_du,Taxas_DI)</f>
        <v>0.12335652401755937</v>
      </c>
      <c r="C906" s="37">
        <f t="shared" ca="1" si="43"/>
        <v>1.5185265024026504</v>
      </c>
      <c r="D906" s="36">
        <f t="shared" ca="1" si="45"/>
        <v>0.12852426206177192</v>
      </c>
      <c r="E906" s="32">
        <v>0.12045786797085789</v>
      </c>
      <c r="F906" s="35">
        <f t="shared" ca="1" si="44"/>
        <v>2.8986560467014755E-3</v>
      </c>
    </row>
    <row r="907" spans="1:6" x14ac:dyDescent="0.25">
      <c r="A907" s="23">
        <v>906</v>
      </c>
      <c r="B907" s="7" cm="1">
        <f t="array" aca="1" ref="B907" ca="1">interpolexp(A907,serie_du,Taxas_DI)</f>
        <v>0.12336221482893706</v>
      </c>
      <c r="C907" s="37">
        <f t="shared" ca="1" si="43"/>
        <v>1.5192552734299114</v>
      </c>
      <c r="D907" s="36">
        <f t="shared" ca="1" si="45"/>
        <v>0.12852423610169628</v>
      </c>
      <c r="E907" s="32">
        <v>0.12046340122169319</v>
      </c>
      <c r="F907" s="35">
        <f t="shared" ca="1" si="44"/>
        <v>2.8988136072438664E-3</v>
      </c>
    </row>
    <row r="908" spans="1:6" x14ac:dyDescent="0.25">
      <c r="A908" s="23">
        <v>907</v>
      </c>
      <c r="B908" s="7" cm="1">
        <f t="array" aca="1" ref="B908" ca="1">interpolexp(A908,serie_du,Taxas_DI)</f>
        <v>0.1233678930919524</v>
      </c>
      <c r="C908" s="37">
        <f t="shared" ca="1" si="43"/>
        <v>1.5199843940703159</v>
      </c>
      <c r="D908" s="36">
        <f t="shared" ca="1" si="45"/>
        <v>0.12852421017976523</v>
      </c>
      <c r="E908" s="32">
        <v>0.12046892227159933</v>
      </c>
      <c r="F908" s="35">
        <f t="shared" ca="1" si="44"/>
        <v>2.898970820353064E-3</v>
      </c>
    </row>
    <row r="909" spans="1:6" x14ac:dyDescent="0.25">
      <c r="A909" s="23">
        <v>908</v>
      </c>
      <c r="B909" s="7" cm="1">
        <f t="array" aca="1" ref="B909" ca="1">interpolexp(A909,serie_du,Taxas_DI)</f>
        <v>0.12337355884812773</v>
      </c>
      <c r="C909" s="37">
        <f t="shared" ca="1" si="43"/>
        <v>1.5207138644922886</v>
      </c>
      <c r="D909" s="36">
        <f t="shared" ca="1" si="45"/>
        <v>0.12852418440214453</v>
      </c>
      <c r="E909" s="32">
        <v>0.12047443116092182</v>
      </c>
      <c r="F909" s="35">
        <f t="shared" ca="1" si="44"/>
        <v>2.8991276872059046E-3</v>
      </c>
    </row>
    <row r="910" spans="1:6" x14ac:dyDescent="0.25">
      <c r="A910" s="23">
        <v>909</v>
      </c>
      <c r="B910" s="7" cm="1">
        <f t="array" aca="1" ref="B910" ca="1">interpolexp(A910,serie_du,Taxas_DI)</f>
        <v>0.12337921213871894</v>
      </c>
      <c r="C910" s="37">
        <f t="shared" ca="1" si="43"/>
        <v>1.5214436848639248</v>
      </c>
      <c r="D910" s="36">
        <f t="shared" ca="1" si="45"/>
        <v>0.12852415869187528</v>
      </c>
      <c r="E910" s="32">
        <v>0.12047992792978413</v>
      </c>
      <c r="F910" s="35">
        <f t="shared" ca="1" si="44"/>
        <v>2.8992842089348159E-3</v>
      </c>
    </row>
    <row r="911" spans="1:6" x14ac:dyDescent="0.25">
      <c r="A911" s="23">
        <v>910</v>
      </c>
      <c r="B911" s="7" cm="1">
        <f t="array" aca="1" ref="B911" ca="1">interpolexp(A911,serie_du,Taxas_DI)</f>
        <v>0.12338485300480428</v>
      </c>
      <c r="C911" s="37">
        <f t="shared" ca="1" si="43"/>
        <v>1.5221738553534165</v>
      </c>
      <c r="D911" s="36">
        <f t="shared" ca="1" si="45"/>
        <v>0.12852413305193844</v>
      </c>
      <c r="E911" s="32">
        <v>0.12048541261810986</v>
      </c>
      <c r="F911" s="35">
        <f t="shared" ca="1" si="44"/>
        <v>2.8994403866944296E-3</v>
      </c>
    </row>
    <row r="912" spans="1:6" x14ac:dyDescent="0.25">
      <c r="A912" s="23">
        <v>911</v>
      </c>
      <c r="B912" s="7" cm="1">
        <f t="array" aca="1" ref="B912" ca="1">interpolexp(A912,serie_du,Taxas_DI)</f>
        <v>0.12339048148730658</v>
      </c>
      <c r="C912" s="37">
        <f t="shared" ca="1" si="43"/>
        <v>1.5229043761291581</v>
      </c>
      <c r="D912" s="36">
        <f t="shared" ca="1" si="45"/>
        <v>0.12852410750486709</v>
      </c>
      <c r="E912" s="32">
        <v>0.12049088526573382</v>
      </c>
      <c r="F912" s="35">
        <f t="shared" ca="1" si="44"/>
        <v>2.8995962215727644E-3</v>
      </c>
    </row>
    <row r="913" spans="1:6" x14ac:dyDescent="0.25">
      <c r="A913" s="23">
        <v>912</v>
      </c>
      <c r="B913" s="7" cm="1">
        <f t="array" aca="1" ref="B913" ca="1">interpolexp(A913,serie_du,Taxas_DI)</f>
        <v>0.12339609762694881</v>
      </c>
      <c r="C913" s="37">
        <f t="shared" ca="1" si="43"/>
        <v>1.5236352473595225</v>
      </c>
      <c r="D913" s="36">
        <f t="shared" ca="1" si="45"/>
        <v>0.12852408203160715</v>
      </c>
      <c r="E913" s="32">
        <v>0.12049634591222436</v>
      </c>
      <c r="F913" s="35">
        <f t="shared" ca="1" si="44"/>
        <v>2.8997517147244523E-3</v>
      </c>
    </row>
    <row r="914" spans="1:6" x14ac:dyDescent="0.25">
      <c r="A914" s="23">
        <v>913</v>
      </c>
      <c r="B914" s="7" cm="1">
        <f t="array" aca="1" ref="B914" ca="1">interpolexp(A914,serie_du,Taxas_DI)</f>
        <v>0.12340170146432072</v>
      </c>
      <c r="C914" s="37">
        <f t="shared" ca="1" si="43"/>
        <v>1.5243664692131844</v>
      </c>
      <c r="D914" s="36">
        <f t="shared" ca="1" si="45"/>
        <v>0.12852405667314248</v>
      </c>
      <c r="E914" s="32">
        <v>0.1205017945970388</v>
      </c>
      <c r="F914" s="35">
        <f t="shared" ca="1" si="44"/>
        <v>2.8999068672819206E-3</v>
      </c>
    </row>
    <row r="915" spans="1:6" x14ac:dyDescent="0.25">
      <c r="A915" s="23">
        <v>914</v>
      </c>
      <c r="B915" s="7" cm="1">
        <f t="array" aca="1" ref="B915" ca="1">interpolexp(A915,serie_du,Taxas_DI)</f>
        <v>0.12340729303976783</v>
      </c>
      <c r="C915" s="37">
        <f t="shared" ca="1" si="43"/>
        <v>1.5250980418585705</v>
      </c>
      <c r="D915" s="36">
        <f t="shared" ca="1" si="45"/>
        <v>0.12852403136806956</v>
      </c>
      <c r="E915" s="32">
        <v>0.12050723135941244</v>
      </c>
      <c r="F915" s="35">
        <f t="shared" ca="1" si="44"/>
        <v>2.9000616803553925E-3</v>
      </c>
    </row>
    <row r="916" spans="1:6" x14ac:dyDescent="0.25">
      <c r="A916" s="23">
        <v>915</v>
      </c>
      <c r="B916" s="7" cm="1">
        <f t="array" aca="1" ref="B916" ca="1">interpolexp(A916,serie_du,Taxas_DI)</f>
        <v>0.1234128723935024</v>
      </c>
      <c r="C916" s="37">
        <f t="shared" ca="1" si="43"/>
        <v>1.5258299654643988</v>
      </c>
      <c r="D916" s="36">
        <f t="shared" ca="1" si="45"/>
        <v>0.12852400615562187</v>
      </c>
      <c r="E916" s="32">
        <v>0.12051265623844731</v>
      </c>
      <c r="F916" s="35">
        <f t="shared" ca="1" si="44"/>
        <v>2.9002161550550909E-3</v>
      </c>
    </row>
    <row r="917" spans="1:6" x14ac:dyDescent="0.25">
      <c r="A917" s="23">
        <v>916</v>
      </c>
      <c r="B917" s="7" cm="1">
        <f t="array" aca="1" ref="B917" ca="1">interpolexp(A917,serie_du,Taxas_DI)</f>
        <v>0.12341843956555909</v>
      </c>
      <c r="C917" s="37">
        <f t="shared" ca="1" si="43"/>
        <v>1.5265622401994576</v>
      </c>
      <c r="D917" s="36">
        <f t="shared" ca="1" si="45"/>
        <v>0.12852398103358653</v>
      </c>
      <c r="E917" s="32">
        <v>0.12051806927304565</v>
      </c>
      <c r="F917" s="35">
        <f t="shared" ca="1" si="44"/>
        <v>2.9003702925134434E-3</v>
      </c>
    </row>
    <row r="918" spans="1:6" x14ac:dyDescent="0.25">
      <c r="A918" s="23">
        <v>917</v>
      </c>
      <c r="B918" s="7" cm="1">
        <f t="array" aca="1" ref="B918" ca="1">interpolexp(A918,serie_du,Taxas_DI)</f>
        <v>0.12342399459577269</v>
      </c>
      <c r="C918" s="37">
        <f t="shared" ca="1" si="43"/>
        <v>1.5272948662324897</v>
      </c>
      <c r="D918" s="36">
        <f t="shared" ca="1" si="45"/>
        <v>0.1285239559782847</v>
      </c>
      <c r="E918" s="32">
        <v>0.12052347050199863</v>
      </c>
      <c r="F918" s="35">
        <f t="shared" ca="1" si="44"/>
        <v>2.9005240937740595E-3</v>
      </c>
    </row>
    <row r="919" spans="1:6" x14ac:dyDescent="0.25">
      <c r="A919" s="23">
        <v>918</v>
      </c>
      <c r="B919" s="7" cm="1">
        <f t="array" aca="1" ref="B919" ca="1">interpolexp(A919,serie_du,Taxas_DI)</f>
        <v>0.12342953752384478</v>
      </c>
      <c r="C919" s="37">
        <f t="shared" ca="1" si="43"/>
        <v>1.528027843732517</v>
      </c>
      <c r="D919" s="36">
        <f t="shared" ca="1" si="45"/>
        <v>0.12852393102658999</v>
      </c>
      <c r="E919" s="32">
        <v>0.12052885996385321</v>
      </c>
      <c r="F919" s="35">
        <f t="shared" ca="1" si="44"/>
        <v>2.9006775599915713E-3</v>
      </c>
    </row>
    <row r="920" spans="1:6" x14ac:dyDescent="0.25">
      <c r="A920" s="23">
        <v>919</v>
      </c>
      <c r="B920" s="7" cm="1">
        <f t="array" aca="1" ref="B920" ca="1">interpolexp(A920,serie_du,Taxas_DI)</f>
        <v>0.12343506838925489</v>
      </c>
      <c r="C920" s="37">
        <f t="shared" ca="1" si="43"/>
        <v>1.5287611728683976</v>
      </c>
      <c r="D920" s="36">
        <f t="shared" ca="1" si="45"/>
        <v>0.12852390613282161</v>
      </c>
      <c r="E920" s="32">
        <v>0.12053423769702309</v>
      </c>
      <c r="F920" s="35">
        <f t="shared" ca="1" si="44"/>
        <v>2.9008306922317928E-3</v>
      </c>
    </row>
    <row r="921" spans="1:6" x14ac:dyDescent="0.25">
      <c r="A921" s="23">
        <v>920</v>
      </c>
      <c r="B921" s="7" cm="1">
        <f t="array" aca="1" ref="B921" ca="1">interpolexp(A921,serie_du,Taxas_DI)</f>
        <v>0.12344058723134932</v>
      </c>
      <c r="C921" s="37">
        <f t="shared" ca="1" si="43"/>
        <v>1.5294948538092599</v>
      </c>
      <c r="D921" s="36">
        <f t="shared" ca="1" si="45"/>
        <v>0.12852388133199555</v>
      </c>
      <c r="E921" s="32">
        <v>0.12053960373974437</v>
      </c>
      <c r="F921" s="35">
        <f t="shared" ca="1" si="44"/>
        <v>2.9009834916049471E-3</v>
      </c>
    </row>
    <row r="922" spans="1:6" x14ac:dyDescent="0.25">
      <c r="A922" s="23">
        <v>921</v>
      </c>
      <c r="B922" s="7" cm="1">
        <f t="array" aca="1" ref="B922" ca="1">interpolexp(A922,serie_du,Taxas_DI)</f>
        <v>0.12344609408929674</v>
      </c>
      <c r="C922" s="37">
        <f t="shared" ca="1" si="43"/>
        <v>1.5302288867242777</v>
      </c>
      <c r="D922" s="36">
        <f t="shared" ca="1" si="45"/>
        <v>0.12852385661746335</v>
      </c>
      <c r="E922" s="32">
        <v>0.12054495813011989</v>
      </c>
      <c r="F922" s="35">
        <f t="shared" ca="1" si="44"/>
        <v>2.9011359591768482E-3</v>
      </c>
    </row>
    <row r="923" spans="1:6" x14ac:dyDescent="0.25">
      <c r="A923" s="23">
        <v>922</v>
      </c>
      <c r="B923" s="7" cm="1">
        <f t="array" aca="1" ref="B923" ca="1">interpolexp(A923,serie_du,Taxas_DI)</f>
        <v>0.12345158900208819</v>
      </c>
      <c r="C923" s="37">
        <f t="shared" ca="1" si="43"/>
        <v>1.5309632717826673</v>
      </c>
      <c r="D923" s="36">
        <f t="shared" ca="1" si="45"/>
        <v>0.12852383198180117</v>
      </c>
      <c r="E923" s="32">
        <v>0.12055030090605268</v>
      </c>
      <c r="F923" s="35">
        <f t="shared" ca="1" si="44"/>
        <v>2.9012880960355147E-3</v>
      </c>
    </row>
    <row r="924" spans="1:6" x14ac:dyDescent="0.25">
      <c r="A924" s="23">
        <v>923</v>
      </c>
      <c r="B924" s="7" cm="1">
        <f t="array" aca="1" ref="B924" ca="1">interpolexp(A924,serie_du,Taxas_DI)</f>
        <v>0.12345707200851486</v>
      </c>
      <c r="C924" s="37">
        <f t="shared" ca="1" si="43"/>
        <v>1.5316980091535704</v>
      </c>
      <c r="D924" s="36">
        <f t="shared" ca="1" si="45"/>
        <v>0.12852380739608948</v>
      </c>
      <c r="E924" s="32">
        <v>0.1205556321052903</v>
      </c>
      <c r="F924" s="35">
        <f t="shared" ca="1" si="44"/>
        <v>2.9014399032245564E-3</v>
      </c>
    </row>
    <row r="925" spans="1:6" x14ac:dyDescent="0.25">
      <c r="A925" s="23">
        <v>924</v>
      </c>
      <c r="B925" s="7" cm="1">
        <f t="array" aca="1" ref="B925" ca="1">interpolexp(A925,serie_du,Taxas_DI)</f>
        <v>0.12346254314727911</v>
      </c>
      <c r="C925" s="37">
        <f t="shared" ca="1" si="43"/>
        <v>1.5324330990066033</v>
      </c>
      <c r="D925" s="36">
        <f t="shared" ca="1" si="45"/>
        <v>0.12852378293324751</v>
      </c>
      <c r="E925" s="32">
        <v>0.12056095176540271</v>
      </c>
      <c r="F925" s="35">
        <f t="shared" ca="1" si="44"/>
        <v>2.9015913818764005E-3</v>
      </c>
    </row>
    <row r="926" spans="1:6" x14ac:dyDescent="0.25">
      <c r="A926" s="23">
        <v>925</v>
      </c>
      <c r="B926" s="7" cm="1">
        <f t="array" aca="1" ref="B926" ca="1">interpolexp(A926,serie_du,Taxas_DI)</f>
        <v>0.12346800245686129</v>
      </c>
      <c r="C926" s="37">
        <f t="shared" ca="1" si="43"/>
        <v>1.5331685415111895</v>
      </c>
      <c r="D926" s="36">
        <f t="shared" ca="1" si="45"/>
        <v>0.12852375854231268</v>
      </c>
      <c r="E926" s="32">
        <v>0.12056625992384884</v>
      </c>
      <c r="F926" s="35">
        <f t="shared" ca="1" si="44"/>
        <v>2.9017425330124524E-3</v>
      </c>
    </row>
    <row r="927" spans="1:6" x14ac:dyDescent="0.25">
      <c r="A927" s="23">
        <v>926</v>
      </c>
      <c r="B927" s="7" cm="1">
        <f t="array" aca="1" ref="B927" ca="1">interpolexp(A927,serie_du,Taxas_DI)</f>
        <v>0.12347344997558629</v>
      </c>
      <c r="C927" s="37">
        <f t="shared" ca="1" si="43"/>
        <v>1.5339043368368865</v>
      </c>
      <c r="D927" s="36">
        <f t="shared" ca="1" si="45"/>
        <v>0.12852373423286978</v>
      </c>
      <c r="E927" s="32">
        <v>0.12057155661786556</v>
      </c>
      <c r="F927" s="35">
        <f t="shared" ca="1" si="44"/>
        <v>2.9018933577207306E-3</v>
      </c>
    </row>
    <row r="928" spans="1:6" x14ac:dyDescent="0.25">
      <c r="A928" s="23">
        <v>927</v>
      </c>
      <c r="B928" s="7" cm="1">
        <f t="array" aca="1" ref="B928" ca="1">interpolexp(A928,serie_du,Taxas_DI)</f>
        <v>0.12347888574157917</v>
      </c>
      <c r="C928" s="37">
        <f t="shared" ca="1" si="43"/>
        <v>1.5346404851531583</v>
      </c>
      <c r="D928" s="36">
        <f t="shared" ca="1" si="45"/>
        <v>0.12852370997245743</v>
      </c>
      <c r="E928" s="32">
        <v>0.12057684188455653</v>
      </c>
      <c r="F928" s="35">
        <f t="shared" ca="1" si="44"/>
        <v>2.9020438570226403E-3</v>
      </c>
    </row>
    <row r="929" spans="1:6" x14ac:dyDescent="0.25">
      <c r="A929" s="23">
        <v>928</v>
      </c>
      <c r="B929" s="7" cm="1">
        <f t="array" aca="1" ref="B929" ca="1">interpolexp(A929,serie_du,Taxas_DI)</f>
        <v>0.12348430979285396</v>
      </c>
      <c r="C929" s="37">
        <f t="shared" ca="1" si="43"/>
        <v>1.5353769866298168</v>
      </c>
      <c r="D929" s="36">
        <f t="shared" ca="1" si="45"/>
        <v>0.12852368581041995</v>
      </c>
      <c r="E929" s="32">
        <v>0.12058211576086997</v>
      </c>
      <c r="F929" s="35">
        <f t="shared" ca="1" si="44"/>
        <v>2.9021940319839956E-3</v>
      </c>
    </row>
    <row r="930" spans="1:6" x14ac:dyDescent="0.25">
      <c r="A930" s="23">
        <v>929</v>
      </c>
      <c r="B930" s="7" cm="1">
        <f t="array" aca="1" ref="B930" ca="1">interpolexp(A930,serie_du,Taxas_DI)</f>
        <v>0.12348972216724707</v>
      </c>
      <c r="C930" s="37">
        <f t="shared" ca="1" si="43"/>
        <v>1.5361138414366844</v>
      </c>
      <c r="D930" s="36">
        <f t="shared" ca="1" si="45"/>
        <v>0.12852366173343799</v>
      </c>
      <c r="E930" s="32">
        <v>0.12058737828357646</v>
      </c>
      <c r="F930" s="35">
        <f t="shared" ca="1" si="44"/>
        <v>2.9023438836706106E-3</v>
      </c>
    </row>
    <row r="931" spans="1:6" x14ac:dyDescent="0.25">
      <c r="A931" s="23">
        <v>930</v>
      </c>
      <c r="B931" s="7" cm="1">
        <f t="array" aca="1" ref="B931" ca="1">interpolexp(A931,serie_du,Taxas_DI)</f>
        <v>0.12349512290241726</v>
      </c>
      <c r="C931" s="37">
        <f t="shared" ca="1" si="43"/>
        <v>1.5368510497435881</v>
      </c>
      <c r="D931" s="36">
        <f t="shared" ca="1" si="45"/>
        <v>0.12852363772725006</v>
      </c>
      <c r="E931" s="32">
        <v>0.12059262948929117</v>
      </c>
      <c r="F931" s="35">
        <f t="shared" ca="1" si="44"/>
        <v>2.9024934131260949E-3</v>
      </c>
    </row>
    <row r="932" spans="1:6" x14ac:dyDescent="0.25">
      <c r="A932" s="23">
        <v>931</v>
      </c>
      <c r="B932" s="7" cm="1">
        <f t="array" aca="1" ref="B932" ca="1">interpolexp(A932,serie_du,Taxas_DI)</f>
        <v>0.12350051203584567</v>
      </c>
      <c r="C932" s="37">
        <f t="shared" ca="1" si="43"/>
        <v>1.5375886117203552</v>
      </c>
      <c r="D932" s="36">
        <f t="shared" ca="1" si="45"/>
        <v>0.12852361377668475</v>
      </c>
      <c r="E932" s="32">
        <v>0.12059786941451822</v>
      </c>
      <c r="F932" s="35">
        <f t="shared" ca="1" si="44"/>
        <v>2.9026426213274448E-3</v>
      </c>
    </row>
    <row r="933" spans="1:6" x14ac:dyDescent="0.25">
      <c r="A933" s="23">
        <v>932</v>
      </c>
      <c r="B933" s="7" cm="1">
        <f t="array" aca="1" ref="B933" ca="1">interpolexp(A933,serie_du,Taxas_DI)</f>
        <v>0.12350588960492459</v>
      </c>
      <c r="C933" s="37">
        <f t="shared" ca="1" si="43"/>
        <v>1.5383265275372575</v>
      </c>
      <c r="D933" s="36">
        <f t="shared" ca="1" si="45"/>
        <v>0.12852358994879998</v>
      </c>
      <c r="E933" s="32">
        <v>0.12060309809553971</v>
      </c>
      <c r="F933" s="35">
        <f t="shared" ca="1" si="44"/>
        <v>2.9027915093848833E-3</v>
      </c>
    </row>
    <row r="934" spans="1:6" x14ac:dyDescent="0.25">
      <c r="A934" s="23">
        <v>933</v>
      </c>
      <c r="B934" s="7" cm="1">
        <f t="array" aca="1" ref="B934" ca="1">interpolexp(A934,serie_du,Taxas_DI)</f>
        <v>0.1235112556468021</v>
      </c>
      <c r="C934" s="37">
        <f t="shared" ca="1" si="43"/>
        <v>1.5390647973642224</v>
      </c>
      <c r="D934" s="36">
        <f t="shared" ca="1" si="45"/>
        <v>0.12852356616474125</v>
      </c>
      <c r="E934" s="32">
        <v>0.12060831556850449</v>
      </c>
      <c r="F934" s="35">
        <f t="shared" ca="1" si="44"/>
        <v>2.9029400782976111E-3</v>
      </c>
    </row>
    <row r="935" spans="1:6" x14ac:dyDescent="0.25">
      <c r="A935" s="23">
        <v>934</v>
      </c>
      <c r="B935" s="7" cm="1">
        <f t="array" aca="1" ref="B935" ca="1">interpolexp(A935,serie_du,Taxas_DI)</f>
        <v>0.12351661019851523</v>
      </c>
      <c r="C935" s="37">
        <f t="shared" ca="1" si="43"/>
        <v>1.5398034213715011</v>
      </c>
      <c r="D935" s="36">
        <f t="shared" ca="1" si="45"/>
        <v>0.12852354246908759</v>
      </c>
      <c r="E935" s="32">
        <v>0.1206135218694282</v>
      </c>
      <c r="F935" s="35">
        <f t="shared" ca="1" si="44"/>
        <v>2.9030883290870335E-3</v>
      </c>
    </row>
    <row r="936" spans="1:6" x14ac:dyDescent="0.25">
      <c r="A936" s="23">
        <v>935</v>
      </c>
      <c r="B936" s="7" cm="1">
        <f t="array" aca="1" ref="B936" ca="1">interpolexp(A936,serie_du,Taxas_DI)</f>
        <v>0.12352195329692339</v>
      </c>
      <c r="C936" s="37">
        <f t="shared" ca="1" si="43"/>
        <v>1.5405423997293275</v>
      </c>
      <c r="D936" s="36">
        <f t="shared" ca="1" si="45"/>
        <v>0.12852351884355739</v>
      </c>
      <c r="E936" s="32">
        <v>0.12061871703414884</v>
      </c>
      <c r="F936" s="35">
        <f t="shared" ca="1" si="44"/>
        <v>2.9032362627745556E-3</v>
      </c>
    </row>
    <row r="937" spans="1:6" x14ac:dyDescent="0.25">
      <c r="A937" s="23">
        <v>936</v>
      </c>
      <c r="B937" s="7" cm="1">
        <f t="array" aca="1" ref="B937" ca="1">interpolexp(A937,serie_du,Taxas_DI)</f>
        <v>0.12352728497875276</v>
      </c>
      <c r="C937" s="37">
        <f t="shared" ca="1" si="43"/>
        <v>1.5412817326081403</v>
      </c>
      <c r="D937" s="36">
        <f t="shared" ca="1" si="45"/>
        <v>0.12852349531082607</v>
      </c>
      <c r="E937" s="32">
        <v>0.12062390109834897</v>
      </c>
      <c r="F937" s="35">
        <f t="shared" ca="1" si="44"/>
        <v>2.903383880403787E-3</v>
      </c>
    </row>
    <row r="938" spans="1:6" x14ac:dyDescent="0.25">
      <c r="A938" s="23">
        <v>937</v>
      </c>
      <c r="B938" s="7" cm="1">
        <f t="array" aca="1" ref="B938" ca="1">interpolexp(A938,serie_du,Taxas_DI)</f>
        <v>0.12353260528052967</v>
      </c>
      <c r="C938" s="37">
        <f t="shared" ca="1" si="43"/>
        <v>1.5420214201782383</v>
      </c>
      <c r="D938" s="36">
        <f t="shared" ca="1" si="45"/>
        <v>0.12852347182972057</v>
      </c>
      <c r="E938" s="32">
        <v>0.12062907409760015</v>
      </c>
      <c r="F938" s="35">
        <f t="shared" ca="1" si="44"/>
        <v>2.9035311829295196E-3</v>
      </c>
    </row>
    <row r="939" spans="1:6" x14ac:dyDescent="0.25">
      <c r="A939" s="23">
        <v>938</v>
      </c>
      <c r="B939" s="7" cm="1">
        <f t="array" aca="1" ref="B939" ca="1">interpolexp(A939,serie_du,Taxas_DI)</f>
        <v>0.12353791423866944</v>
      </c>
      <c r="C939" s="37">
        <f t="shared" ca="1" si="43"/>
        <v>1.5427614626102302</v>
      </c>
      <c r="D939" s="36">
        <f t="shared" ca="1" si="45"/>
        <v>0.1285234484423865</v>
      </c>
      <c r="E939" s="32">
        <v>0.12063423606725188</v>
      </c>
      <c r="F939" s="35">
        <f t="shared" ca="1" si="44"/>
        <v>2.9036781714175675E-3</v>
      </c>
    </row>
    <row r="940" spans="1:6" x14ac:dyDescent="0.25">
      <c r="A940" s="23">
        <v>939</v>
      </c>
      <c r="B940" s="7" cm="1">
        <f t="array" aca="1" ref="B940" ca="1">interpolexp(A940,serie_du,Taxas_DI)</f>
        <v>0.12354321188938755</v>
      </c>
      <c r="C940" s="37">
        <f t="shared" ca="1" si="43"/>
        <v>1.5435018600745753</v>
      </c>
      <c r="D940" s="36">
        <f t="shared" ca="1" si="45"/>
        <v>0.12852342510609205</v>
      </c>
      <c r="E940" s="32">
        <v>0.12063938704256483</v>
      </c>
      <c r="F940" s="35">
        <f t="shared" ca="1" si="44"/>
        <v>2.9038248468227223E-3</v>
      </c>
    </row>
    <row r="941" spans="1:6" x14ac:dyDescent="0.25">
      <c r="A941" s="23">
        <v>940</v>
      </c>
      <c r="B941" s="7" cm="1">
        <f t="array" aca="1" ref="B941" ca="1">interpolexp(A941,serie_du,Taxas_DI)</f>
        <v>0.12354849826881065</v>
      </c>
      <c r="C941" s="37">
        <f t="shared" ca="1" si="43"/>
        <v>1.5442426127421491</v>
      </c>
      <c r="D941" s="36">
        <f t="shared" ca="1" si="45"/>
        <v>0.12852340188223255</v>
      </c>
      <c r="E941" s="32">
        <v>0.12064452705859985</v>
      </c>
      <c r="F941" s="35">
        <f t="shared" ca="1" si="44"/>
        <v>2.9039712102107984E-3</v>
      </c>
    </row>
    <row r="942" spans="1:6" x14ac:dyDescent="0.25">
      <c r="A942" s="23">
        <v>941</v>
      </c>
      <c r="B942" s="7" cm="1">
        <f t="array" aca="1" ref="B942" ca="1">interpolexp(A942,serie_du,Taxas_DI)</f>
        <v>0.12355377341284335</v>
      </c>
      <c r="C942" s="37">
        <f t="shared" ca="1" si="43"/>
        <v>1.5449837207835564</v>
      </c>
      <c r="D942" s="36">
        <f t="shared" ca="1" si="45"/>
        <v>0.12852337870585706</v>
      </c>
      <c r="E942" s="32">
        <v>0.12064965615035117</v>
      </c>
      <c r="F942" s="35">
        <f t="shared" ca="1" si="44"/>
        <v>2.9041172624921785E-3</v>
      </c>
    </row>
    <row r="943" spans="1:6" x14ac:dyDescent="0.25">
      <c r="A943" s="23">
        <v>942</v>
      </c>
      <c r="B943" s="7" cm="1">
        <f t="array" aca="1" ref="B943" ca="1">interpolexp(A943,serie_du,Taxas_DI)</f>
        <v>0.12355903735725704</v>
      </c>
      <c r="C943" s="37">
        <f t="shared" ca="1" si="43"/>
        <v>1.5457251843695803</v>
      </c>
      <c r="D943" s="36">
        <f t="shared" ca="1" si="45"/>
        <v>0.12852335559459682</v>
      </c>
      <c r="E943" s="32">
        <v>0.12065477435254657</v>
      </c>
      <c r="F943" s="35">
        <f t="shared" ca="1" si="44"/>
        <v>2.9042630047104723E-3</v>
      </c>
    </row>
    <row r="944" spans="1:6" x14ac:dyDescent="0.25">
      <c r="A944" s="23">
        <v>943</v>
      </c>
      <c r="B944" s="7" cm="1">
        <f t="array" aca="1" ref="B944" ca="1">interpolexp(A944,serie_du,Taxas_DI)</f>
        <v>0.12356429013771209</v>
      </c>
      <c r="C944" s="37">
        <f t="shared" ca="1" si="43"/>
        <v>1.546467003671296</v>
      </c>
      <c r="D944" s="36">
        <f t="shared" ca="1" si="45"/>
        <v>0.12852333258707538</v>
      </c>
      <c r="E944" s="32">
        <v>0.12065988169986941</v>
      </c>
      <c r="F944" s="35">
        <f t="shared" ca="1" si="44"/>
        <v>2.904408437842676E-3</v>
      </c>
    </row>
    <row r="945" spans="1:6" x14ac:dyDescent="0.25">
      <c r="A945" s="23">
        <v>944</v>
      </c>
      <c r="B945" s="7" cm="1">
        <f t="array" aca="1" ref="B945" ca="1">interpolexp(A945,serie_du,Taxas_DI)</f>
        <v>0.1235695317896468</v>
      </c>
      <c r="C945" s="37">
        <f t="shared" ca="1" si="43"/>
        <v>1.5472091788594919</v>
      </c>
      <c r="D945" s="36">
        <f t="shared" ca="1" si="45"/>
        <v>0.12852330961529779</v>
      </c>
      <c r="E945" s="32">
        <v>0.12066497822680322</v>
      </c>
      <c r="F945" s="35">
        <f t="shared" ca="1" si="44"/>
        <v>2.9045535628435815E-3</v>
      </c>
    </row>
    <row r="946" spans="1:6" x14ac:dyDescent="0.25">
      <c r="A946" s="23">
        <v>945</v>
      </c>
      <c r="B946" s="7" cm="1">
        <f t="array" aca="1" ref="B946" ca="1">interpolexp(A946,serie_du,Taxas_DI)</f>
        <v>0.1235747623484329</v>
      </c>
      <c r="C946" s="37">
        <f t="shared" ca="1" si="43"/>
        <v>1.5479517101054694</v>
      </c>
      <c r="D946" s="36">
        <f t="shared" ca="1" si="45"/>
        <v>0.12852328675844493</v>
      </c>
      <c r="E946" s="32">
        <v>0.1206700639676761</v>
      </c>
      <c r="F946" s="35">
        <f t="shared" ca="1" si="44"/>
        <v>2.9046983807567983E-3</v>
      </c>
    </row>
    <row r="947" spans="1:6" x14ac:dyDescent="0.25">
      <c r="A947" s="23">
        <v>946</v>
      </c>
      <c r="B947" s="7" cm="1">
        <f t="array" aca="1" ref="B947" ca="1">interpolexp(A947,serie_du,Taxas_DI)</f>
        <v>0.12357998184921848</v>
      </c>
      <c r="C947" s="37">
        <f t="shared" ca="1" si="43"/>
        <v>1.5486945975802269</v>
      </c>
      <c r="D947" s="36">
        <f t="shared" ca="1" si="45"/>
        <v>0.12852326394560665</v>
      </c>
      <c r="E947" s="32">
        <v>0.12067513895672732</v>
      </c>
      <c r="F947" s="35">
        <f t="shared" ca="1" si="44"/>
        <v>2.9048428924911551E-3</v>
      </c>
    </row>
    <row r="948" spans="1:6" x14ac:dyDescent="0.25">
      <c r="A948" s="23">
        <v>947</v>
      </c>
      <c r="B948" s="7" cm="1">
        <f t="array" aca="1" ref="B948" ca="1">interpolexp(A948,serie_du,Taxas_DI)</f>
        <v>0.12358281484505795</v>
      </c>
      <c r="C948" s="37">
        <f t="shared" ca="1" si="43"/>
        <v>1.5494255311712444</v>
      </c>
      <c r="D948" s="36">
        <f t="shared" ca="1" si="45"/>
        <v>0.12626603107640055</v>
      </c>
      <c r="E948" s="32">
        <v>0.12068020322799633</v>
      </c>
      <c r="F948" s="35">
        <f t="shared" ca="1" si="44"/>
        <v>2.9026116170616234E-3</v>
      </c>
    </row>
    <row r="949" spans="1:6" x14ac:dyDescent="0.25">
      <c r="A949" s="23">
        <v>948</v>
      </c>
      <c r="B949" s="7" cm="1">
        <f t="array" aca="1" ref="B949" ca="1">interpolexp(A949,serie_du,Taxas_DI)</f>
        <v>0.12358564186418786</v>
      </c>
      <c r="C949" s="37">
        <f t="shared" ca="1" si="43"/>
        <v>1.5501568097026288</v>
      </c>
      <c r="D949" s="36">
        <f t="shared" ca="1" si="45"/>
        <v>0.12626602438120837</v>
      </c>
      <c r="E949" s="32">
        <v>0.12068525681538933</v>
      </c>
      <c r="F949" s="35">
        <f t="shared" ca="1" si="44"/>
        <v>2.9003850487985261E-3</v>
      </c>
    </row>
    <row r="950" spans="1:6" x14ac:dyDescent="0.25">
      <c r="A950" s="23">
        <v>949</v>
      </c>
      <c r="B950" s="7" cm="1">
        <f t="array" aca="1" ref="B950" ca="1">interpolexp(A950,serie_du,Taxas_DI)</f>
        <v>0.12358846292550574</v>
      </c>
      <c r="C950" s="37">
        <f t="shared" ca="1" si="43"/>
        <v>1.5508884333372828</v>
      </c>
      <c r="D950" s="36">
        <f t="shared" ca="1" si="45"/>
        <v>0.1262660177110595</v>
      </c>
      <c r="E950" s="32">
        <v>0.12069029975272372</v>
      </c>
      <c r="F950" s="35">
        <f t="shared" ca="1" si="44"/>
        <v>2.8981631727820201E-3</v>
      </c>
    </row>
    <row r="951" spans="1:6" x14ac:dyDescent="0.25">
      <c r="A951" s="23">
        <v>950</v>
      </c>
      <c r="B951" s="7" cm="1">
        <f t="array" aca="1" ref="B951" ca="1">interpolexp(A951,serie_du,Taxas_DI)</f>
        <v>0.12359127804784098</v>
      </c>
      <c r="C951" s="37">
        <f t="shared" ca="1" si="43"/>
        <v>1.5516204022382458</v>
      </c>
      <c r="D951" s="36">
        <f t="shared" ca="1" si="45"/>
        <v>0.12626601107682411</v>
      </c>
      <c r="E951" s="32">
        <v>0.12069533207357264</v>
      </c>
      <c r="F951" s="35">
        <f t="shared" ca="1" si="44"/>
        <v>2.8959459742683435E-3</v>
      </c>
    </row>
    <row r="952" spans="1:6" x14ac:dyDescent="0.25">
      <c r="A952" s="23">
        <v>951</v>
      </c>
      <c r="B952" s="7" cm="1">
        <f t="array" aca="1" ref="B952" ca="1">interpolexp(A952,serie_du,Taxas_DI)</f>
        <v>0.12359408724988974</v>
      </c>
      <c r="C952" s="37">
        <f t="shared" ca="1" si="43"/>
        <v>1.5523527165683519</v>
      </c>
      <c r="D952" s="36">
        <f t="shared" ca="1" si="45"/>
        <v>0.12626600442681335</v>
      </c>
      <c r="E952" s="32">
        <v>0.12070035381146482</v>
      </c>
      <c r="F952" s="35">
        <f t="shared" ca="1" si="44"/>
        <v>2.8937334384249169E-3</v>
      </c>
    </row>
    <row r="953" spans="1:6" x14ac:dyDescent="0.25">
      <c r="A953" s="23">
        <v>952</v>
      </c>
      <c r="B953" s="7" cm="1">
        <f t="array" aca="1" ref="B953" ca="1">interpolexp(A953,serie_du,Taxas_DI)</f>
        <v>0.12359689055034817</v>
      </c>
      <c r="C953" s="37">
        <f t="shared" ca="1" si="43"/>
        <v>1.5530853764909216</v>
      </c>
      <c r="D953" s="36">
        <f t="shared" ca="1" si="45"/>
        <v>0.12626599783589576</v>
      </c>
      <c r="E953" s="32">
        <v>0.12070536499975137</v>
      </c>
      <c r="F953" s="35">
        <f t="shared" ca="1" si="44"/>
        <v>2.8915255505967963E-3</v>
      </c>
    </row>
    <row r="954" spans="1:6" x14ac:dyDescent="0.25">
      <c r="A954" s="23">
        <v>953</v>
      </c>
      <c r="B954" s="7" cm="1">
        <f t="array" aca="1" ref="B954" ca="1">interpolexp(A954,serie_du,Taxas_DI)</f>
        <v>0.1235996879677792</v>
      </c>
      <c r="C954" s="37">
        <f t="shared" ca="1" si="43"/>
        <v>1.5538183821690661</v>
      </c>
      <c r="D954" s="36">
        <f t="shared" ca="1" si="45"/>
        <v>0.12626599125174387</v>
      </c>
      <c r="E954" s="32">
        <v>0.12071036567162796</v>
      </c>
      <c r="F954" s="35">
        <f t="shared" ca="1" si="44"/>
        <v>2.8893222961512421E-3</v>
      </c>
    </row>
    <row r="955" spans="1:6" x14ac:dyDescent="0.25">
      <c r="A955" s="23">
        <v>954</v>
      </c>
      <c r="B955" s="7" cm="1">
        <f t="array" aca="1" ref="B955" ca="1">interpolexp(A955,serie_du,Taxas_DI)</f>
        <v>0.12360247952067915</v>
      </c>
      <c r="C955" s="37">
        <f t="shared" ca="1" si="43"/>
        <v>1.5545517337660317</v>
      </c>
      <c r="D955" s="36">
        <f t="shared" ca="1" si="45"/>
        <v>0.12626598468493611</v>
      </c>
      <c r="E955" s="32">
        <v>0.12071535586013482</v>
      </c>
      <c r="F955" s="35">
        <f t="shared" ca="1" si="44"/>
        <v>2.8871236605443329E-3</v>
      </c>
    </row>
    <row r="956" spans="1:6" x14ac:dyDescent="0.25">
      <c r="A956" s="23">
        <v>955</v>
      </c>
      <c r="B956" s="7" cm="1">
        <f t="array" aca="1" ref="B956" ca="1">interpolexp(A956,serie_du,Taxas_DI)</f>
        <v>0.12360526522747772</v>
      </c>
      <c r="C956" s="37">
        <f t="shared" ca="1" si="43"/>
        <v>1.5552854314451987</v>
      </c>
      <c r="D956" s="36">
        <f t="shared" ca="1" si="45"/>
        <v>0.12626597814580753</v>
      </c>
      <c r="E956" s="32">
        <v>0.12072033559826778</v>
      </c>
      <c r="F956" s="35">
        <f t="shared" ca="1" si="44"/>
        <v>2.8849296292099424E-3</v>
      </c>
    </row>
    <row r="957" spans="1:6" x14ac:dyDescent="0.25">
      <c r="A957" s="23">
        <v>956</v>
      </c>
      <c r="B957" s="7" cm="1">
        <f t="array" aca="1" ref="B957" ca="1">interpolexp(A957,serie_du,Taxas_DI)</f>
        <v>0.12360804510649359</v>
      </c>
      <c r="C957" s="37">
        <f t="shared" ca="1" si="43"/>
        <v>1.556019475369846</v>
      </c>
      <c r="D957" s="36">
        <f t="shared" ca="1" si="45"/>
        <v>0.1262659716018224</v>
      </c>
      <c r="E957" s="32">
        <v>0.12072530491875622</v>
      </c>
      <c r="F957" s="35">
        <f t="shared" ca="1" si="44"/>
        <v>2.8827401877373759E-3</v>
      </c>
    </row>
    <row r="958" spans="1:6" x14ac:dyDescent="0.25">
      <c r="A958" s="23">
        <v>957</v>
      </c>
      <c r="B958" s="7" cm="1">
        <f t="array" aca="1" ref="B958" ca="1">interpolexp(A958,serie_du,Taxas_DI)</f>
        <v>0.12361081917604544</v>
      </c>
      <c r="C958" s="37">
        <f t="shared" ca="1" si="43"/>
        <v>1.5567538657037316</v>
      </c>
      <c r="D958" s="36">
        <f t="shared" ca="1" si="45"/>
        <v>0.12626596512625587</v>
      </c>
      <c r="E958" s="32">
        <v>0.1207302638543073</v>
      </c>
      <c r="F958" s="35">
        <f t="shared" ca="1" si="44"/>
        <v>2.880555321738143E-3</v>
      </c>
    </row>
    <row r="959" spans="1:6" x14ac:dyDescent="0.25">
      <c r="A959" s="23">
        <v>958</v>
      </c>
      <c r="B959" s="7" cm="1">
        <f t="array" aca="1" ref="B959" ca="1">interpolexp(A959,serie_du,Taxas_DI)</f>
        <v>0.12361358745427431</v>
      </c>
      <c r="C959" s="37">
        <f t="shared" ca="1" si="43"/>
        <v>1.557488602610158</v>
      </c>
      <c r="D959" s="36">
        <f t="shared" ca="1" si="45"/>
        <v>0.12626595862190881</v>
      </c>
      <c r="E959" s="32">
        <v>0.12073521243740615</v>
      </c>
      <c r="F959" s="35">
        <f t="shared" ca="1" si="44"/>
        <v>2.8783750168681621E-3</v>
      </c>
    </row>
    <row r="960" spans="1:6" x14ac:dyDescent="0.25">
      <c r="A960" s="23">
        <v>959</v>
      </c>
      <c r="B960" s="7" cm="1">
        <f t="array" aca="1" ref="B960" ca="1">interpolexp(A960,serie_du,Taxas_DI)</f>
        <v>0.12361634995932125</v>
      </c>
      <c r="C960" s="37">
        <f t="shared" ca="1" si="43"/>
        <v>1.5582236862529035</v>
      </c>
      <c r="D960" s="36">
        <f t="shared" ca="1" si="45"/>
        <v>0.12626595216150172</v>
      </c>
      <c r="E960" s="32">
        <v>0.12074015070047128</v>
      </c>
      <c r="F960" s="35">
        <f t="shared" ca="1" si="44"/>
        <v>2.8761992588499652E-3</v>
      </c>
    </row>
    <row r="961" spans="1:6" x14ac:dyDescent="0.25">
      <c r="A961" s="23">
        <v>960</v>
      </c>
      <c r="B961" s="7" cm="1">
        <f t="array" aca="1" ref="B961" ca="1">interpolexp(A961,serie_du,Taxas_DI)</f>
        <v>0.12361910670923848</v>
      </c>
      <c r="C961" s="37">
        <f t="shared" ca="1" si="43"/>
        <v>1.5589591167957535</v>
      </c>
      <c r="D961" s="36">
        <f t="shared" ca="1" si="45"/>
        <v>0.12626594573217953</v>
      </c>
      <c r="E961" s="32">
        <v>0.12074507867569917</v>
      </c>
      <c r="F961" s="35">
        <f t="shared" ca="1" si="44"/>
        <v>2.8740280335393109E-3</v>
      </c>
    </row>
    <row r="962" spans="1:6" x14ac:dyDescent="0.25">
      <c r="A962" s="23">
        <v>961</v>
      </c>
      <c r="B962" s="7" cm="1">
        <f t="array" aca="1" ref="B962" ca="1">interpolexp(A962,serie_du,Taxas_DI)</f>
        <v>0.12362185772196721</v>
      </c>
      <c r="C962" s="37">
        <f t="shared" ref="C962:C1025" ca="1" si="46">(1+B962)^(A962/252)</f>
        <v>1.5596948944023803</v>
      </c>
      <c r="D962" s="36">
        <f t="shared" ca="1" si="45"/>
        <v>0.12626593929916385</v>
      </c>
      <c r="E962" s="32">
        <v>0.12074999639526562</v>
      </c>
      <c r="F962" s="35">
        <f t="shared" ref="F962:F1025" ca="1" si="47">B962-E962</f>
        <v>2.8718613267015858E-3</v>
      </c>
    </row>
    <row r="963" spans="1:6" x14ac:dyDescent="0.25">
      <c r="A963" s="23">
        <v>962</v>
      </c>
      <c r="B963" s="7" cm="1">
        <f t="array" aca="1" ref="B963" ca="1">interpolexp(A963,serie_du,Taxas_DI)</f>
        <v>0.12362460301542644</v>
      </c>
      <c r="C963" s="37">
        <f t="shared" ca="1" si="46"/>
        <v>1.5604310192368109</v>
      </c>
      <c r="D963" s="36">
        <f t="shared" ca="1" si="45"/>
        <v>0.1262659329131246</v>
      </c>
      <c r="E963" s="32">
        <v>0.12075249347700545</v>
      </c>
      <c r="F963" s="35">
        <f t="shared" ca="1" si="47"/>
        <v>2.872109538420986E-3</v>
      </c>
    </row>
    <row r="964" spans="1:6" x14ac:dyDescent="0.25">
      <c r="A964" s="23">
        <v>963</v>
      </c>
      <c r="B964" s="7" cm="1">
        <f t="array" aca="1" ref="B964" ca="1">interpolexp(A964,serie_du,Taxas_DI)</f>
        <v>0.12362734260740194</v>
      </c>
      <c r="C964" s="37">
        <f t="shared" ca="1" si="46"/>
        <v>1.5611674914628375</v>
      </c>
      <c r="D964" s="36">
        <f t="shared" ref="D964:D1027" ca="1" si="48">((((1+B964)^(A964/252))/((1+B963)^(A963/252)))^(252/1))-1</f>
        <v>0.12626592651703072</v>
      </c>
      <c r="E964" s="32">
        <v>0.12075498537273965</v>
      </c>
      <c r="F964" s="35">
        <f t="shared" ca="1" si="47"/>
        <v>2.8723572346622817E-3</v>
      </c>
    </row>
    <row r="965" spans="1:6" x14ac:dyDescent="0.25">
      <c r="A965" s="23">
        <v>964</v>
      </c>
      <c r="B965" s="7" cm="1">
        <f t="array" aca="1" ref="B965" ca="1">interpolexp(A965,serie_du,Taxas_DI)</f>
        <v>0.12363007651565727</v>
      </c>
      <c r="C965" s="37">
        <f t="shared" ca="1" si="46"/>
        <v>1.5619043112446034</v>
      </c>
      <c r="D965" s="36">
        <f t="shared" ca="1" si="48"/>
        <v>0.126265920160745</v>
      </c>
      <c r="E965" s="32">
        <v>0.12075747209863152</v>
      </c>
      <c r="F965" s="35">
        <f t="shared" ca="1" si="47"/>
        <v>2.8726044170257481E-3</v>
      </c>
    </row>
    <row r="966" spans="1:6" x14ac:dyDescent="0.25">
      <c r="A966" s="23">
        <v>965</v>
      </c>
      <c r="B966" s="7" cm="1">
        <f t="array" aca="1" ref="B966" ca="1">interpolexp(A966,serie_du,Taxas_DI)</f>
        <v>0.12363280475784499</v>
      </c>
      <c r="C966" s="37">
        <f t="shared" ca="1" si="46"/>
        <v>1.56264147874613</v>
      </c>
      <c r="D966" s="36">
        <f t="shared" ca="1" si="48"/>
        <v>0.12626591380806573</v>
      </c>
      <c r="E966" s="32">
        <v>0.12075995367075709</v>
      </c>
      <c r="F966" s="35">
        <f t="shared" ca="1" si="47"/>
        <v>2.872851087087902E-3</v>
      </c>
    </row>
    <row r="967" spans="1:6" x14ac:dyDescent="0.25">
      <c r="A967" s="23">
        <v>966</v>
      </c>
      <c r="B967" s="7" cm="1">
        <f t="array" aca="1" ref="B967" ca="1">interpolexp(A967,serie_du,Taxas_DI)</f>
        <v>0.12363552735157324</v>
      </c>
      <c r="C967" s="37">
        <f t="shared" ca="1" si="46"/>
        <v>1.5633789941316685</v>
      </c>
      <c r="D967" s="36">
        <f t="shared" ca="1" si="48"/>
        <v>0.12626590748659816</v>
      </c>
      <c r="E967" s="32">
        <v>0.12076243010510357</v>
      </c>
      <c r="F967" s="35">
        <f t="shared" ca="1" si="47"/>
        <v>2.8730972464696691E-3</v>
      </c>
    </row>
    <row r="968" spans="1:6" x14ac:dyDescent="0.25">
      <c r="A968" s="23">
        <v>967</v>
      </c>
      <c r="B968" s="7" cm="1">
        <f t="array" aca="1" ref="B968" ca="1">interpolexp(A968,serie_du,Taxas_DI)</f>
        <v>0.12363824431438353</v>
      </c>
      <c r="C968" s="37">
        <f t="shared" ca="1" si="46"/>
        <v>1.5641168575655806</v>
      </c>
      <c r="D968" s="36">
        <f t="shared" ca="1" si="48"/>
        <v>0.12626590120223558</v>
      </c>
      <c r="E968" s="32">
        <v>0.12076490141763596</v>
      </c>
      <c r="F968" s="35">
        <f t="shared" ca="1" si="47"/>
        <v>2.873342896747566E-3</v>
      </c>
    </row>
    <row r="969" spans="1:6" x14ac:dyDescent="0.25">
      <c r="A969" s="23">
        <v>968</v>
      </c>
      <c r="B969" s="7" cm="1">
        <f t="array" aca="1" ref="B969" ca="1">interpolexp(A969,serie_du,Taxas_DI)</f>
        <v>0.12364095566368416</v>
      </c>
      <c r="C969" s="37">
        <f t="shared" ca="1" si="46"/>
        <v>1.5648550692119811</v>
      </c>
      <c r="D969" s="36">
        <f t="shared" ca="1" si="48"/>
        <v>0.12626589489610329</v>
      </c>
      <c r="E969" s="32">
        <v>0.12076736762418605</v>
      </c>
      <c r="F969" s="35">
        <f t="shared" ca="1" si="47"/>
        <v>2.8735880394981095E-3</v>
      </c>
    </row>
    <row r="970" spans="1:6" x14ac:dyDescent="0.25">
      <c r="A970" s="23">
        <v>969</v>
      </c>
      <c r="B970" s="7" cm="1">
        <f t="array" aca="1" ref="B970" ca="1">interpolexp(A970,serie_du,Taxas_DI)</f>
        <v>0.12364366141690564</v>
      </c>
      <c r="C970" s="37">
        <f t="shared" ca="1" si="46"/>
        <v>1.5655936292355646</v>
      </c>
      <c r="D970" s="36">
        <f t="shared" ca="1" si="48"/>
        <v>0.12626588865931621</v>
      </c>
      <c r="E970" s="32">
        <v>0.12076982874060782</v>
      </c>
      <c r="F970" s="35">
        <f t="shared" ca="1" si="47"/>
        <v>2.8738326762978161E-3</v>
      </c>
    </row>
    <row r="971" spans="1:6" x14ac:dyDescent="0.25">
      <c r="A971" s="23">
        <v>970</v>
      </c>
      <c r="B971" s="7" cm="1">
        <f t="array" aca="1" ref="B971" ca="1">interpolexp(A971,serie_du,Taxas_DI)</f>
        <v>0.12364636159130082</v>
      </c>
      <c r="C971" s="37">
        <f t="shared" ca="1" si="46"/>
        <v>1.5663325378005368</v>
      </c>
      <c r="D971" s="36">
        <f t="shared" ca="1" si="48"/>
        <v>0.12626588238921599</v>
      </c>
      <c r="E971" s="32">
        <v>0.12077228478262203</v>
      </c>
      <c r="F971" s="35">
        <f t="shared" ca="1" si="47"/>
        <v>2.8740768086787938E-3</v>
      </c>
    </row>
    <row r="972" spans="1:6" x14ac:dyDescent="0.25">
      <c r="A972" s="23">
        <v>971</v>
      </c>
      <c r="B972" s="7" cm="1">
        <f t="array" aca="1" ref="B972" ca="1">interpolexp(A972,serie_du,Taxas_DI)</f>
        <v>0.12364905620414479</v>
      </c>
      <c r="C972" s="37">
        <f t="shared" ca="1" si="46"/>
        <v>1.5670717950716813</v>
      </c>
      <c r="D972" s="36">
        <f t="shared" ca="1" si="48"/>
        <v>0.12626587617631579</v>
      </c>
      <c r="E972" s="32">
        <v>0.12077473576590503</v>
      </c>
      <c r="F972" s="35">
        <f t="shared" ca="1" si="47"/>
        <v>2.8743204382397636E-3</v>
      </c>
    </row>
    <row r="973" spans="1:6" x14ac:dyDescent="0.25">
      <c r="A973" s="23">
        <v>972</v>
      </c>
      <c r="B973" s="7" cm="1">
        <f t="array" aca="1" ref="B973" ca="1">interpolexp(A973,serie_du,Taxas_DI)</f>
        <v>0.12365174527257938</v>
      </c>
      <c r="C973" s="37">
        <f t="shared" ca="1" si="46"/>
        <v>1.5678114012135245</v>
      </c>
      <c r="D973" s="36">
        <f t="shared" ca="1" si="48"/>
        <v>0.12626586996002787</v>
      </c>
      <c r="E973" s="32">
        <v>0.12077718170606655</v>
      </c>
      <c r="F973" s="35">
        <f t="shared" ca="1" si="47"/>
        <v>2.8745635665128333E-3</v>
      </c>
    </row>
    <row r="974" spans="1:6" x14ac:dyDescent="0.25">
      <c r="A974" s="23">
        <v>973</v>
      </c>
      <c r="B974" s="7" cm="1">
        <f t="array" aca="1" ref="B974" ca="1">interpolexp(A974,serie_du,Taxas_DI)</f>
        <v>0.12365442881372424</v>
      </c>
      <c r="C974" s="37">
        <f t="shared" ca="1" si="46"/>
        <v>1.5685513563909306</v>
      </c>
      <c r="D974" s="36">
        <f t="shared" ca="1" si="48"/>
        <v>0.12626586378737903</v>
      </c>
      <c r="E974" s="32">
        <v>0.12077962261867192</v>
      </c>
      <c r="F974" s="35">
        <f t="shared" ca="1" si="47"/>
        <v>2.8748061950523152E-3</v>
      </c>
    </row>
    <row r="975" spans="1:6" x14ac:dyDescent="0.25">
      <c r="A975" s="23">
        <v>974</v>
      </c>
      <c r="B975" s="7" cm="1">
        <f t="array" aca="1" ref="B975" ca="1">interpolexp(A975,serie_du,Taxas_DI)</f>
        <v>0.12365710684458797</v>
      </c>
      <c r="C975" s="37">
        <f t="shared" ca="1" si="46"/>
        <v>1.5692916607686218</v>
      </c>
      <c r="D975" s="36">
        <f t="shared" ca="1" si="48"/>
        <v>0.12626585761848941</v>
      </c>
      <c r="E975" s="32">
        <v>0.12078205851919765</v>
      </c>
      <c r="F975" s="35">
        <f t="shared" ca="1" si="47"/>
        <v>2.875048325390317E-3</v>
      </c>
    </row>
    <row r="976" spans="1:6" x14ac:dyDescent="0.25">
      <c r="A976" s="23">
        <v>975</v>
      </c>
      <c r="B976" s="7" cm="1">
        <f t="array" aca="1" ref="B976" ca="1">interpolexp(A976,serie_du,Taxas_DI)</f>
        <v>0.12365977938211259</v>
      </c>
      <c r="C976" s="37">
        <f t="shared" ca="1" si="46"/>
        <v>1.5700323145114143</v>
      </c>
      <c r="D976" s="36">
        <f t="shared" ca="1" si="48"/>
        <v>0.12626585145637392</v>
      </c>
      <c r="E976" s="32">
        <v>0.12078448942305364</v>
      </c>
      <c r="F976" s="35">
        <f t="shared" ca="1" si="47"/>
        <v>2.8752899590589465E-3</v>
      </c>
    </row>
    <row r="977" spans="1:6" x14ac:dyDescent="0.25">
      <c r="A977" s="23">
        <v>976</v>
      </c>
      <c r="B977" s="7" cm="1">
        <f t="array" aca="1" ref="B977" ca="1">interpolexp(A977,serie_du,Taxas_DI)</f>
        <v>0.12366244644321789</v>
      </c>
      <c r="C977" s="37">
        <f t="shared" ca="1" si="46"/>
        <v>1.5707733177844578</v>
      </c>
      <c r="D977" s="36">
        <f t="shared" ca="1" si="48"/>
        <v>0.12626584534719432</v>
      </c>
      <c r="E977" s="32">
        <v>0.12078691534560537</v>
      </c>
      <c r="F977" s="35">
        <f t="shared" ca="1" si="47"/>
        <v>2.8755310976125159E-3</v>
      </c>
    </row>
    <row r="978" spans="1:6" x14ac:dyDescent="0.25">
      <c r="A978" s="23">
        <v>977</v>
      </c>
      <c r="B978" s="7" cm="1">
        <f t="array" aca="1" ref="B978" ca="1">interpolexp(A978,serie_du,Taxas_DI)</f>
        <v>0.12366510804469044</v>
      </c>
      <c r="C978" s="37">
        <f t="shared" ca="1" si="46"/>
        <v>1.5715146707526331</v>
      </c>
      <c r="D978" s="36">
        <f t="shared" ca="1" si="48"/>
        <v>0.12626583922836088</v>
      </c>
      <c r="E978" s="32">
        <v>0.12078933630215172</v>
      </c>
      <c r="F978" s="35">
        <f t="shared" ca="1" si="47"/>
        <v>2.8757717425387241E-3</v>
      </c>
    </row>
    <row r="979" spans="1:6" x14ac:dyDescent="0.25">
      <c r="A979" s="23">
        <v>978</v>
      </c>
      <c r="B979" s="7" cm="1">
        <f t="array" aca="1" ref="B979" ca="1">interpolexp(A979,serie_du,Taxas_DI)</f>
        <v>0.12366776420327241</v>
      </c>
      <c r="C979" s="37">
        <f t="shared" ca="1" si="46"/>
        <v>1.5722563735810293</v>
      </c>
      <c r="D979" s="36">
        <f t="shared" ca="1" si="48"/>
        <v>0.12626583312328044</v>
      </c>
      <c r="E979" s="32">
        <v>0.12079175230792494</v>
      </c>
      <c r="F979" s="35">
        <f t="shared" ca="1" si="47"/>
        <v>2.8760118953474745E-3</v>
      </c>
    </row>
    <row r="980" spans="1:6" x14ac:dyDescent="0.25">
      <c r="A980" s="23">
        <v>979</v>
      </c>
      <c r="B980" s="7" cm="1">
        <f t="array" aca="1" ref="B980" ca="1">interpolexp(A980,serie_du,Taxas_DI)</f>
        <v>0.12367041493566155</v>
      </c>
      <c r="C980" s="37">
        <f t="shared" ca="1" si="46"/>
        <v>1.5729984264349446</v>
      </c>
      <c r="D980" s="36">
        <f t="shared" ca="1" si="48"/>
        <v>0.12626582705563139</v>
      </c>
      <c r="E980" s="32">
        <v>0.12079416337811288</v>
      </c>
      <c r="F980" s="35">
        <f t="shared" ca="1" si="47"/>
        <v>2.8762515575486702E-3</v>
      </c>
    </row>
    <row r="981" spans="1:6" x14ac:dyDescent="0.25">
      <c r="A981" s="23">
        <v>980</v>
      </c>
      <c r="B981" s="7" cm="1">
        <f t="array" aca="1" ref="B981" ca="1">interpolexp(A981,serie_du,Taxas_DI)</f>
        <v>0.12367306025848901</v>
      </c>
      <c r="C981" s="37">
        <f t="shared" ca="1" si="46"/>
        <v>1.5737408294797626</v>
      </c>
      <c r="D981" s="36">
        <f t="shared" ca="1" si="48"/>
        <v>0.12626582102679929</v>
      </c>
      <c r="E981" s="32">
        <v>0.12079656952777018</v>
      </c>
      <c r="F981" s="35">
        <f t="shared" ca="1" si="47"/>
        <v>2.8764907307188281E-3</v>
      </c>
    </row>
    <row r="982" spans="1:6" x14ac:dyDescent="0.25">
      <c r="A982" s="23">
        <v>981</v>
      </c>
      <c r="B982" s="7" cm="1">
        <f t="array" aca="1" ref="B982" ca="1">interpolexp(A982,serie_du,Taxas_DI)</f>
        <v>0.12367570018825269</v>
      </c>
      <c r="C982" s="37">
        <f t="shared" ca="1" si="46"/>
        <v>1.5744835828805885</v>
      </c>
      <c r="D982" s="36">
        <f t="shared" ca="1" si="48"/>
        <v>0.12626581497243228</v>
      </c>
      <c r="E982" s="32">
        <v>0.12079897077201807</v>
      </c>
      <c r="F982" s="35">
        <f t="shared" ca="1" si="47"/>
        <v>2.8767294162346246E-3</v>
      </c>
    </row>
    <row r="983" spans="1:6" x14ac:dyDescent="0.25">
      <c r="A983" s="23">
        <v>982</v>
      </c>
      <c r="B983" s="7" cm="1">
        <f t="array" aca="1" ref="B983" ca="1">interpolexp(A983,serie_du,Taxas_DI)</f>
        <v>0.12367833474142831</v>
      </c>
      <c r="C983" s="37">
        <f t="shared" ca="1" si="46"/>
        <v>1.5752266868028504</v>
      </c>
      <c r="D983" s="36">
        <f t="shared" ca="1" si="48"/>
        <v>0.1262658089366766</v>
      </c>
      <c r="E983" s="32">
        <v>0.12080136712580014</v>
      </c>
      <c r="F983" s="35">
        <f t="shared" ca="1" si="47"/>
        <v>2.8769676156281676E-3</v>
      </c>
    </row>
    <row r="984" spans="1:6" x14ac:dyDescent="0.25">
      <c r="A984" s="23">
        <v>983</v>
      </c>
      <c r="B984" s="7" cm="1">
        <f t="array" aca="1" ref="B984" ca="1">interpolexp(A984,serie_du,Taxas_DI)</f>
        <v>0.12368096393444716</v>
      </c>
      <c r="C984" s="37">
        <f t="shared" ca="1" si="46"/>
        <v>1.5759701414121778</v>
      </c>
      <c r="D984" s="36">
        <f t="shared" ca="1" si="48"/>
        <v>0.12626580294172318</v>
      </c>
      <c r="E984" s="32">
        <v>0.1208037586040378</v>
      </c>
      <c r="F984" s="35">
        <f t="shared" ca="1" si="47"/>
        <v>2.8772053304093603E-3</v>
      </c>
    </row>
    <row r="985" spans="1:6" x14ac:dyDescent="0.25">
      <c r="A985" s="23">
        <v>984</v>
      </c>
      <c r="B985" s="7" cm="1">
        <f t="array" aca="1" ref="B985" ca="1">interpolexp(A985,serie_du,Taxas_DI)</f>
        <v>0.12368358778367394</v>
      </c>
      <c r="C985" s="37">
        <f t="shared" ca="1" si="46"/>
        <v>1.5767139468742799</v>
      </c>
      <c r="D985" s="36">
        <f t="shared" ca="1" si="48"/>
        <v>0.12626579698777052</v>
      </c>
      <c r="E985" s="32">
        <v>0.12080614522160804</v>
      </c>
      <c r="F985" s="35">
        <f t="shared" ca="1" si="47"/>
        <v>2.8774425620659017E-3</v>
      </c>
    </row>
    <row r="986" spans="1:6" x14ac:dyDescent="0.25">
      <c r="A986" s="23">
        <v>985</v>
      </c>
      <c r="B986" s="7" cm="1">
        <f t="array" aca="1" ref="B986" ca="1">interpolexp(A986,serie_du,Taxas_DI)</f>
        <v>0.12368620630534011</v>
      </c>
      <c r="C986" s="37">
        <f t="shared" ca="1" si="46"/>
        <v>1.5774581033545769</v>
      </c>
      <c r="D986" s="36">
        <f t="shared" ca="1" si="48"/>
        <v>0.1262657910088123</v>
      </c>
      <c r="E986" s="32">
        <v>0.12080852699329903</v>
      </c>
      <c r="F986" s="35">
        <f t="shared" ca="1" si="47"/>
        <v>2.8776793120410815E-3</v>
      </c>
    </row>
    <row r="987" spans="1:6" x14ac:dyDescent="0.25">
      <c r="A987" s="23">
        <v>986</v>
      </c>
      <c r="B987" s="7" cm="1">
        <f t="array" aca="1" ref="B987" ca="1">interpolexp(A987,serie_du,Taxas_DI)</f>
        <v>0.12368881951565491</v>
      </c>
      <c r="C987" s="37">
        <f t="shared" ca="1" si="46"/>
        <v>1.5782026110188063</v>
      </c>
      <c r="D987" s="36">
        <f t="shared" ca="1" si="48"/>
        <v>0.12626578504781194</v>
      </c>
      <c r="E987" s="32">
        <v>0.12081090393387672</v>
      </c>
      <c r="F987" s="35">
        <f t="shared" ca="1" si="47"/>
        <v>2.8779155817781898E-3</v>
      </c>
    </row>
    <row r="988" spans="1:6" x14ac:dyDescent="0.25">
      <c r="A988" s="23">
        <v>987</v>
      </c>
      <c r="B988" s="7" cm="1">
        <f t="array" aca="1" ref="B988" ca="1">interpolexp(A988,serie_du,Taxas_DI)</f>
        <v>0.12369142743080541</v>
      </c>
      <c r="C988" s="37">
        <f t="shared" ca="1" si="46"/>
        <v>1.5789474700330237</v>
      </c>
      <c r="D988" s="36">
        <f t="shared" ca="1" si="48"/>
        <v>0.126265779147827</v>
      </c>
      <c r="E988" s="32">
        <v>0.12081327605801828</v>
      </c>
      <c r="F988" s="35">
        <f t="shared" ca="1" si="47"/>
        <v>2.87815137278713E-3</v>
      </c>
    </row>
    <row r="989" spans="1:6" x14ac:dyDescent="0.25">
      <c r="A989" s="23">
        <v>988</v>
      </c>
      <c r="B989" s="7" cm="1">
        <f t="array" aca="1" ref="B989" ca="1">interpolexp(A989,serie_du,Taxas_DI)</f>
        <v>0.12369403006684543</v>
      </c>
      <c r="C989" s="37">
        <f t="shared" ca="1" si="46"/>
        <v>1.5796926805629887</v>
      </c>
      <c r="D989" s="36">
        <f t="shared" ca="1" si="48"/>
        <v>0.12626577324164412</v>
      </c>
      <c r="E989" s="32">
        <v>0.12081564338033424</v>
      </c>
      <c r="F989" s="35">
        <f t="shared" ca="1" si="47"/>
        <v>2.8783866865111918E-3</v>
      </c>
    </row>
    <row r="990" spans="1:6" x14ac:dyDescent="0.25">
      <c r="A990" s="23">
        <v>989</v>
      </c>
      <c r="B990" s="7" cm="1">
        <f t="array" aca="1" ref="B990" ca="1">interpolexp(A990,serie_du,Taxas_DI)</f>
        <v>0.12369662743976217</v>
      </c>
      <c r="C990" s="37">
        <f t="shared" ca="1" si="46"/>
        <v>1.5804382427745307</v>
      </c>
      <c r="D990" s="36">
        <f t="shared" ca="1" si="48"/>
        <v>0.12626576732761574</v>
      </c>
      <c r="E990" s="32">
        <v>0.12081800591541292</v>
      </c>
      <c r="F990" s="35">
        <f t="shared" ca="1" si="47"/>
        <v>2.8786215243492563E-3</v>
      </c>
    </row>
    <row r="991" spans="1:6" x14ac:dyDescent="0.25">
      <c r="A991" s="23">
        <v>990</v>
      </c>
      <c r="B991" s="7" cm="1">
        <f t="array" aca="1" ref="B991" ca="1">interpolexp(A991,serie_du,Taxas_DI)</f>
        <v>0.12369921956554286</v>
      </c>
      <c r="C991" s="37">
        <f t="shared" ca="1" si="46"/>
        <v>1.5811841568339131</v>
      </c>
      <c r="D991" s="36">
        <f t="shared" ca="1" si="48"/>
        <v>0.12626576146973179</v>
      </c>
      <c r="E991" s="32">
        <v>0.12082036367773163</v>
      </c>
      <c r="F991" s="35">
        <f t="shared" ca="1" si="47"/>
        <v>2.8788558878112269E-3</v>
      </c>
    </row>
    <row r="992" spans="1:6" x14ac:dyDescent="0.25">
      <c r="A992" s="23">
        <v>991</v>
      </c>
      <c r="B992" s="7" cm="1">
        <f t="array" aca="1" ref="B992" ca="1">interpolexp(A992,serie_du,Taxas_DI)</f>
        <v>0.12370180646006368</v>
      </c>
      <c r="C992" s="37">
        <f t="shared" ca="1" si="46"/>
        <v>1.5819304229072204</v>
      </c>
      <c r="D992" s="36">
        <f t="shared" ca="1" si="48"/>
        <v>0.12626575562168241</v>
      </c>
      <c r="E992" s="32">
        <v>0.1208227166817899</v>
      </c>
      <c r="F992" s="35">
        <f t="shared" ca="1" si="47"/>
        <v>2.8790897782737801E-3</v>
      </c>
    </row>
    <row r="993" spans="1:6" x14ac:dyDescent="0.25">
      <c r="A993" s="23">
        <v>992</v>
      </c>
      <c r="B993" s="7" cm="1">
        <f t="array" aca="1" ref="B993" ca="1">interpolexp(A993,serie_du,Taxas_DI)</f>
        <v>0.123704388139112</v>
      </c>
      <c r="C993" s="37">
        <f t="shared" ca="1" si="46"/>
        <v>1.582677041160478</v>
      </c>
      <c r="D993" s="36">
        <f t="shared" ca="1" si="48"/>
        <v>0.12626574975881555</v>
      </c>
      <c r="E993" s="32">
        <v>0.12082506494190959</v>
      </c>
      <c r="F993" s="35">
        <f t="shared" ca="1" si="47"/>
        <v>2.8793231972024103E-3</v>
      </c>
    </row>
    <row r="994" spans="1:6" x14ac:dyDescent="0.25">
      <c r="A994" s="23">
        <v>993</v>
      </c>
      <c r="B994" s="7" cm="1">
        <f t="array" aca="1" ref="B994" ca="1">interpolexp(A994,serie_du,Taxas_DI)</f>
        <v>0.12370696461849739</v>
      </c>
      <c r="C994" s="37">
        <f t="shared" ca="1" si="46"/>
        <v>1.5834240117602656</v>
      </c>
      <c r="D994" s="36">
        <f t="shared" ca="1" si="48"/>
        <v>0.12626574396643675</v>
      </c>
      <c r="E994" s="32">
        <v>0.12082740847247919</v>
      </c>
      <c r="F994" s="35">
        <f t="shared" ca="1" si="47"/>
        <v>2.8795561460182029E-3</v>
      </c>
    </row>
    <row r="995" spans="1:6" x14ac:dyDescent="0.25">
      <c r="A995" s="23">
        <v>994</v>
      </c>
      <c r="B995" s="7" cm="1">
        <f t="array" aca="1" ref="B995" ca="1">interpolexp(A995,serie_du,Taxas_DI)</f>
        <v>0.12370953591387401</v>
      </c>
      <c r="C995" s="37">
        <f t="shared" ca="1" si="46"/>
        <v>1.5841713348727304</v>
      </c>
      <c r="D995" s="36">
        <f t="shared" ca="1" si="48"/>
        <v>0.12626573815295639</v>
      </c>
      <c r="E995" s="32">
        <v>0.12082974728773177</v>
      </c>
      <c r="F995" s="35">
        <f t="shared" ca="1" si="47"/>
        <v>2.8797886261422434E-3</v>
      </c>
    </row>
    <row r="996" spans="1:6" x14ac:dyDescent="0.25">
      <c r="A996" s="23">
        <v>995</v>
      </c>
      <c r="B996" s="7" cm="1">
        <f t="array" aca="1" ref="B996" ca="1">interpolexp(A996,serie_du,Taxas_DI)</f>
        <v>0.123712102040896</v>
      </c>
      <c r="C996" s="37">
        <f t="shared" ca="1" si="46"/>
        <v>1.5849190106644488</v>
      </c>
      <c r="D996" s="36">
        <f t="shared" ca="1" si="48"/>
        <v>0.12626573238119509</v>
      </c>
      <c r="E996" s="32">
        <v>0.12083208140192259</v>
      </c>
      <c r="F996" s="35">
        <f t="shared" ca="1" si="47"/>
        <v>2.8800206389734129E-3</v>
      </c>
    </row>
    <row r="997" spans="1:6" x14ac:dyDescent="0.25">
      <c r="A997" s="23">
        <v>996</v>
      </c>
      <c r="B997" s="7" cm="1">
        <f t="array" aca="1" ref="B997" ca="1">interpolexp(A997,serie_du,Taxas_DI)</f>
        <v>0.12371466301508427</v>
      </c>
      <c r="C997" s="37">
        <f t="shared" ca="1" si="46"/>
        <v>1.585667039301683</v>
      </c>
      <c r="D997" s="36">
        <f t="shared" ca="1" si="48"/>
        <v>0.12626572658069346</v>
      </c>
      <c r="E997" s="32">
        <v>0.12083441082917368</v>
      </c>
      <c r="F997" s="35">
        <f t="shared" ca="1" si="47"/>
        <v>2.8802521859105923E-3</v>
      </c>
    </row>
    <row r="998" spans="1:6" x14ac:dyDescent="0.25">
      <c r="A998" s="23">
        <v>997</v>
      </c>
      <c r="B998" s="7" cm="1">
        <f t="array" aca="1" ref="B998" ca="1">interpolexp(A998,serie_du,Taxas_DI)</f>
        <v>0.12371721885200415</v>
      </c>
      <c r="C998" s="37">
        <f t="shared" ca="1" si="46"/>
        <v>1.5864154209513681</v>
      </c>
      <c r="D998" s="36">
        <f t="shared" ca="1" si="48"/>
        <v>0.12626572085792187</v>
      </c>
      <c r="E998" s="32">
        <v>0.12083673558360708</v>
      </c>
      <c r="F998" s="35">
        <f t="shared" ca="1" si="47"/>
        <v>2.8804832683970716E-3</v>
      </c>
    </row>
    <row r="999" spans="1:6" x14ac:dyDescent="0.25">
      <c r="A999" s="23">
        <v>998</v>
      </c>
      <c r="B999" s="7" cm="1">
        <f t="array" aca="1" ref="B999" ca="1">interpolexp(A999,serie_du,Taxas_DI)</f>
        <v>0.12371976956706554</v>
      </c>
      <c r="C999" s="37">
        <f t="shared" ca="1" si="46"/>
        <v>1.5871641557799989</v>
      </c>
      <c r="D999" s="36">
        <f t="shared" ca="1" si="48"/>
        <v>0.12626571511996665</v>
      </c>
      <c r="E999" s="32">
        <v>0.12083905567927822</v>
      </c>
      <c r="F999" s="35">
        <f t="shared" ca="1" si="47"/>
        <v>2.8807138877873228E-3</v>
      </c>
    </row>
    <row r="1000" spans="1:6" x14ac:dyDescent="0.25">
      <c r="A1000" s="23">
        <v>999</v>
      </c>
      <c r="B1000" s="7" cm="1">
        <f t="array" aca="1" ref="B1000" ca="1">interpolexp(A1000,serie_du,Taxas_DI)</f>
        <v>0.12372231517565613</v>
      </c>
      <c r="C1000" s="37">
        <f t="shared" ca="1" si="46"/>
        <v>1.5879132439543691</v>
      </c>
      <c r="D1000" s="36">
        <f t="shared" ca="1" si="48"/>
        <v>0.12626570940612303</v>
      </c>
      <c r="E1000" s="32">
        <v>0.1208413711301537</v>
      </c>
      <c r="F1000" s="35">
        <f t="shared" ca="1" si="47"/>
        <v>2.8809440455024315E-3</v>
      </c>
    </row>
    <row r="1001" spans="1:6" x14ac:dyDescent="0.25">
      <c r="A1001" s="23">
        <v>1000</v>
      </c>
      <c r="B1001" s="7" cm="1">
        <f t="array" aca="1" ref="B1001" ca="1">interpolexp(A1001,serie_du,Taxas_DI)</f>
        <v>0.12372485569309699</v>
      </c>
      <c r="C1001" s="37">
        <f t="shared" ca="1" si="46"/>
        <v>1.5886626856413222</v>
      </c>
      <c r="D1001" s="36">
        <f t="shared" ca="1" si="48"/>
        <v>0.12626570371139167</v>
      </c>
      <c r="E1001" s="32">
        <v>0.12084368195020012</v>
      </c>
      <c r="F1001" s="35">
        <f t="shared" ca="1" si="47"/>
        <v>2.8811737428968698E-3</v>
      </c>
    </row>
    <row r="1002" spans="1:6" x14ac:dyDescent="0.25">
      <c r="A1002" s="23">
        <v>1001</v>
      </c>
      <c r="B1002" s="7" cm="1">
        <f t="array" aca="1" ref="B1002" ca="1">interpolexp(A1002,serie_du,Taxas_DI)</f>
        <v>0.12372739113464259</v>
      </c>
      <c r="C1002" s="37">
        <f t="shared" ca="1" si="46"/>
        <v>1.5894124810077499</v>
      </c>
      <c r="D1002" s="36">
        <f t="shared" ca="1" si="48"/>
        <v>0.12626569803014731</v>
      </c>
      <c r="E1002" s="32">
        <v>0.12084598815325087</v>
      </c>
      <c r="F1002" s="35">
        <f t="shared" ca="1" si="47"/>
        <v>2.881402981391723E-3</v>
      </c>
    </row>
    <row r="1003" spans="1:6" x14ac:dyDescent="0.25">
      <c r="A1003" s="23">
        <v>1002</v>
      </c>
      <c r="B1003" s="7" cm="1">
        <f t="array" aca="1" ref="B1003" ca="1">interpolexp(A1003,serie_du,Taxas_DI)</f>
        <v>0.12372992151550299</v>
      </c>
      <c r="C1003" s="37">
        <f t="shared" ca="1" si="46"/>
        <v>1.5901626302207155</v>
      </c>
      <c r="D1003" s="36">
        <f t="shared" ca="1" si="48"/>
        <v>0.12626569237898311</v>
      </c>
      <c r="E1003" s="32">
        <v>0.12084828975318374</v>
      </c>
      <c r="F1003" s="35">
        <f t="shared" ca="1" si="47"/>
        <v>2.8816317623192589E-3</v>
      </c>
    </row>
    <row r="1004" spans="1:6" x14ac:dyDescent="0.25">
      <c r="A1004" s="23">
        <v>1003</v>
      </c>
      <c r="B1004" s="7" cm="1">
        <f t="array" aca="1" ref="B1004" ca="1">interpolexp(A1004,serie_du,Taxas_DI)</f>
        <v>0.12373244685077722</v>
      </c>
      <c r="C1004" s="37">
        <f t="shared" ca="1" si="46"/>
        <v>1.5909131334470772</v>
      </c>
      <c r="D1004" s="36">
        <f t="shared" ca="1" si="48"/>
        <v>0.12626568670715477</v>
      </c>
      <c r="E1004" s="32">
        <v>0.12085058676372107</v>
      </c>
      <c r="F1004" s="35">
        <f t="shared" ca="1" si="47"/>
        <v>2.8818600870561539E-3</v>
      </c>
    </row>
    <row r="1005" spans="1:6" x14ac:dyDescent="0.25">
      <c r="A1005" s="23">
        <v>1004</v>
      </c>
      <c r="B1005" s="7" cm="1">
        <f t="array" aca="1" ref="B1005" ca="1">interpolexp(A1005,serie_du,Taxas_DI)</f>
        <v>0.12373496715558652</v>
      </c>
      <c r="C1005" s="37">
        <f t="shared" ca="1" si="46"/>
        <v>1.5916639908542356</v>
      </c>
      <c r="D1005" s="36">
        <f t="shared" ca="1" si="48"/>
        <v>0.1262656810974625</v>
      </c>
      <c r="E1005" s="32">
        <v>0.12085287919858523</v>
      </c>
      <c r="F1005" s="35">
        <f t="shared" ca="1" si="47"/>
        <v>2.8820879570012892E-3</v>
      </c>
    </row>
    <row r="1006" spans="1:6" x14ac:dyDescent="0.25">
      <c r="A1006" s="23">
        <v>1005</v>
      </c>
      <c r="B1006" s="7" cm="1">
        <f t="array" aca="1" ref="B1006" ca="1">interpolexp(A1006,serie_du,Taxas_DI)</f>
        <v>0.12373748244491889</v>
      </c>
      <c r="C1006" s="37">
        <f t="shared" ca="1" si="46"/>
        <v>1.5924152026092584</v>
      </c>
      <c r="D1006" s="36">
        <f t="shared" ca="1" si="48"/>
        <v>0.12626567547637202</v>
      </c>
      <c r="E1006" s="32">
        <v>0.12085516707145416</v>
      </c>
      <c r="F1006" s="35">
        <f t="shared" ca="1" si="47"/>
        <v>2.8823153734647278E-3</v>
      </c>
    </row>
    <row r="1007" spans="1:6" x14ac:dyDescent="0.25">
      <c r="A1007" s="23">
        <v>1006</v>
      </c>
      <c r="B1007" s="7" cm="1">
        <f t="array" aca="1" ref="B1007" ca="1">interpolexp(A1007,serie_du,Taxas_DI)</f>
        <v>0.12373999273371794</v>
      </c>
      <c r="C1007" s="37">
        <f t="shared" ca="1" si="46"/>
        <v>1.5931667688793767</v>
      </c>
      <c r="D1007" s="36">
        <f t="shared" ca="1" si="48"/>
        <v>0.12626566985892662</v>
      </c>
      <c r="E1007" s="32">
        <v>0.120857450395917</v>
      </c>
      <c r="F1007" s="35">
        <f t="shared" ca="1" si="47"/>
        <v>2.8825423378009418E-3</v>
      </c>
    </row>
    <row r="1008" spans="1:6" x14ac:dyDescent="0.25">
      <c r="A1008" s="23">
        <v>1007</v>
      </c>
      <c r="B1008" s="7" cm="1">
        <f t="array" aca="1" ref="B1008" ca="1">interpolexp(A1008,serie_du,Taxas_DI)</f>
        <v>0.12374249803692727</v>
      </c>
      <c r="C1008" s="37">
        <f t="shared" ca="1" si="46"/>
        <v>1.5939186898322375</v>
      </c>
      <c r="D1008" s="36">
        <f t="shared" ca="1" si="48"/>
        <v>0.12626566430513186</v>
      </c>
      <c r="E1008" s="32">
        <v>0.12085972918554067</v>
      </c>
      <c r="F1008" s="35">
        <f t="shared" ca="1" si="47"/>
        <v>2.8827688513866079E-3</v>
      </c>
    </row>
    <row r="1009" spans="1:6" x14ac:dyDescent="0.25">
      <c r="A1009" s="23">
        <v>1008</v>
      </c>
      <c r="B1009" s="7" cm="1">
        <f t="array" aca="1" ref="B1009" ca="1">interpolexp(A1009,serie_du,Taxas_DI)</f>
        <v>0.12374499836935726</v>
      </c>
      <c r="C1009" s="37">
        <f t="shared" ca="1" si="46"/>
        <v>1.5946709656351468</v>
      </c>
      <c r="D1009" s="36">
        <f t="shared" ca="1" si="48"/>
        <v>0.12626565874016005</v>
      </c>
      <c r="E1009" s="32">
        <v>0.12086200345378106</v>
      </c>
      <c r="F1009" s="35">
        <f t="shared" ca="1" si="47"/>
        <v>2.882994915576198E-3</v>
      </c>
    </row>
    <row r="1010" spans="1:6" x14ac:dyDescent="0.25">
      <c r="A1010" s="23">
        <v>1009</v>
      </c>
      <c r="B1010" s="7" cm="1">
        <f t="array" aca="1" ref="B1010" ca="1">interpolexp(A1010,serie_du,Taxas_DI)</f>
        <v>0.12374749374579608</v>
      </c>
      <c r="C1010" s="37">
        <f t="shared" ca="1" si="46"/>
        <v>1.5954235964556966</v>
      </c>
      <c r="D1010" s="36">
        <f t="shared" ca="1" si="48"/>
        <v>0.12626565320088323</v>
      </c>
      <c r="E1010" s="32">
        <v>0.12086427321413851</v>
      </c>
      <c r="F1010" s="35">
        <f t="shared" ca="1" si="47"/>
        <v>2.883220531657571E-3</v>
      </c>
    </row>
    <row r="1011" spans="1:6" x14ac:dyDescent="0.25">
      <c r="A1011" s="23">
        <v>1010</v>
      </c>
      <c r="B1011" s="7" cm="1">
        <f t="array" aca="1" ref="B1011" ca="1">interpolexp(A1011,serie_du,Taxas_DI)</f>
        <v>0.12374998418095173</v>
      </c>
      <c r="C1011" s="37">
        <f t="shared" ca="1" si="46"/>
        <v>1.5961765824614353</v>
      </c>
      <c r="D1011" s="36">
        <f t="shared" ca="1" si="48"/>
        <v>0.12626564766538451</v>
      </c>
      <c r="E1011" s="32">
        <v>0.12086653847995787</v>
      </c>
      <c r="F1011" s="35">
        <f t="shared" ca="1" si="47"/>
        <v>2.8834457009938586E-3</v>
      </c>
    </row>
    <row r="1012" spans="1:6" x14ac:dyDescent="0.25">
      <c r="A1012" s="23">
        <v>1011</v>
      </c>
      <c r="B1012" s="7" cm="1">
        <f t="array" aca="1" ref="B1012" ca="1">interpolexp(A1012,serie_du,Taxas_DI)</f>
        <v>0.12374945491053779</v>
      </c>
      <c r="C1012" s="37">
        <f t="shared" ca="1" si="46"/>
        <v>1.596912736050041</v>
      </c>
      <c r="D1012" s="36">
        <f t="shared" ca="1" si="48"/>
        <v>0.12321501904290266</v>
      </c>
      <c r="E1012" s="32">
        <v>0.12086879926458405</v>
      </c>
      <c r="F1012" s="35">
        <f t="shared" ca="1" si="47"/>
        <v>2.8806556459537447E-3</v>
      </c>
    </row>
    <row r="1013" spans="1:6" x14ac:dyDescent="0.25">
      <c r="A1013" s="23">
        <v>1012</v>
      </c>
      <c r="B1013" s="7" cm="1">
        <f t="array" aca="1" ref="B1013" ca="1">interpolexp(A1013,serie_du,Taxas_DI)</f>
        <v>0.12374892668609583</v>
      </c>
      <c r="C1013" s="37">
        <f t="shared" ca="1" si="46"/>
        <v>1.5976492291497586</v>
      </c>
      <c r="D1013" s="36">
        <f t="shared" ca="1" si="48"/>
        <v>0.12321501877429042</v>
      </c>
      <c r="E1013" s="32">
        <v>0.1208710555813175</v>
      </c>
      <c r="F1013" s="35">
        <f t="shared" ca="1" si="47"/>
        <v>2.877871104778329E-3</v>
      </c>
    </row>
    <row r="1014" spans="1:6" x14ac:dyDescent="0.25">
      <c r="A1014" s="23">
        <v>1013</v>
      </c>
      <c r="B1014" s="7" cm="1">
        <f t="array" aca="1" ref="B1014" ca="1">interpolexp(A1014,serie_du,Taxas_DI)</f>
        <v>0.12374839950457517</v>
      </c>
      <c r="C1014" s="37">
        <f t="shared" ca="1" si="46"/>
        <v>1.5983860619174415</v>
      </c>
      <c r="D1014" s="36">
        <f t="shared" ca="1" si="48"/>
        <v>0.12321501855404748</v>
      </c>
      <c r="E1014" s="32">
        <v>0.12087330744336988</v>
      </c>
      <c r="F1014" s="35">
        <f t="shared" ca="1" si="47"/>
        <v>2.8750920612052866E-3</v>
      </c>
    </row>
    <row r="1015" spans="1:6" x14ac:dyDescent="0.25">
      <c r="A1015" s="23">
        <v>1014</v>
      </c>
      <c r="B1015" s="7" cm="1">
        <f t="array" aca="1" ref="B1015" ca="1">interpolexp(A1015,serie_du,Taxas_DI)</f>
        <v>0.12374787336286719</v>
      </c>
      <c r="C1015" s="37">
        <f t="shared" ca="1" si="46"/>
        <v>1.5991232345096142</v>
      </c>
      <c r="D1015" s="36">
        <f t="shared" ca="1" si="48"/>
        <v>0.12321501831106163</v>
      </c>
      <c r="E1015" s="32">
        <v>0.12087555486393065</v>
      </c>
      <c r="F1015" s="35">
        <f t="shared" ca="1" si="47"/>
        <v>2.8723184989365436E-3</v>
      </c>
    </row>
    <row r="1016" spans="1:6" x14ac:dyDescent="0.25">
      <c r="A1016" s="23">
        <v>1015</v>
      </c>
      <c r="B1016" s="7" cm="1">
        <f t="array" aca="1" ref="B1016" ca="1">interpolexp(A1016,serie_du,Taxas_DI)</f>
        <v>0.12374734825788547</v>
      </c>
      <c r="C1016" s="37">
        <f t="shared" ca="1" si="46"/>
        <v>1.599860747082932</v>
      </c>
      <c r="D1016" s="36">
        <f t="shared" ca="1" si="48"/>
        <v>0.12321501805568169</v>
      </c>
      <c r="E1016" s="32">
        <v>0.12087779785612263</v>
      </c>
      <c r="F1016" s="35">
        <f t="shared" ca="1" si="47"/>
        <v>2.8695504017628437E-3</v>
      </c>
    </row>
    <row r="1017" spans="1:6" x14ac:dyDescent="0.25">
      <c r="A1017" s="23">
        <v>1016</v>
      </c>
      <c r="B1017" s="7" cm="1">
        <f t="array" aca="1" ref="B1017" ca="1">interpolexp(A1017,serie_du,Taxas_DI)</f>
        <v>0.1237468241865658</v>
      </c>
      <c r="C1017" s="37">
        <f t="shared" ca="1" si="46"/>
        <v>1.6005985997941785</v>
      </c>
      <c r="D1017" s="36">
        <f t="shared" ca="1" si="48"/>
        <v>0.12321501779793009</v>
      </c>
      <c r="E1017" s="32">
        <v>0.12088003643304646</v>
      </c>
      <c r="F1017" s="35">
        <f t="shared" ca="1" si="47"/>
        <v>2.8667877535193398E-3</v>
      </c>
    </row>
    <row r="1018" spans="1:6" x14ac:dyDescent="0.25">
      <c r="A1018" s="23">
        <v>1017</v>
      </c>
      <c r="B1018" s="7" cm="1">
        <f t="array" aca="1" ref="B1018" ca="1">interpolexp(A1018,serie_du,Taxas_DI)</f>
        <v>0.12374630114588836</v>
      </c>
      <c r="C1018" s="37">
        <f t="shared" ca="1" si="46"/>
        <v>1.6013367928003965</v>
      </c>
      <c r="D1018" s="36">
        <f t="shared" ca="1" si="48"/>
        <v>0.12321501757077935</v>
      </c>
      <c r="E1018" s="32">
        <v>0.12088227060769174</v>
      </c>
      <c r="F1018" s="35">
        <f t="shared" ca="1" si="47"/>
        <v>2.8640305381966158E-3</v>
      </c>
    </row>
    <row r="1019" spans="1:6" x14ac:dyDescent="0.25">
      <c r="A1019" s="23">
        <v>1018</v>
      </c>
      <c r="B1019" s="7" cm="1">
        <f t="array" aca="1" ref="B1019" ca="1">interpolexp(A1019,serie_du,Taxas_DI)</f>
        <v>0.12374577913278895</v>
      </c>
      <c r="C1019" s="37">
        <f t="shared" ca="1" si="46"/>
        <v>1.6020753262583767</v>
      </c>
      <c r="D1019" s="36">
        <f t="shared" ca="1" si="48"/>
        <v>0.12321501731679585</v>
      </c>
      <c r="E1019" s="32">
        <v>0.1208845003930481</v>
      </c>
      <c r="F1019" s="35">
        <f t="shared" ca="1" si="47"/>
        <v>2.8612787397408468E-3</v>
      </c>
    </row>
    <row r="1020" spans="1:6" x14ac:dyDescent="0.25">
      <c r="A1020" s="23">
        <v>1019</v>
      </c>
      <c r="B1020" s="7" cm="1">
        <f t="array" aca="1" ref="B1020" ca="1">interpolexp(A1020,serie_du,Taxas_DI)</f>
        <v>0.12374525814426995</v>
      </c>
      <c r="C1020" s="37">
        <f t="shared" ca="1" si="46"/>
        <v>1.6028142003252972</v>
      </c>
      <c r="D1020" s="36">
        <f t="shared" ca="1" si="48"/>
        <v>0.12321501709178162</v>
      </c>
      <c r="E1020" s="32">
        <v>0.12088672580201631</v>
      </c>
      <c r="F1020" s="35">
        <f t="shared" ca="1" si="47"/>
        <v>2.8585323422536391E-3</v>
      </c>
    </row>
    <row r="1021" spans="1:6" x14ac:dyDescent="0.25">
      <c r="A1021" s="23">
        <v>1020</v>
      </c>
      <c r="B1021" s="7" cm="1">
        <f t="array" aca="1" ref="B1021" ca="1">interpolexp(A1021,serie_du,Taxas_DI)</f>
        <v>0.12374473817726717</v>
      </c>
      <c r="C1021" s="37">
        <f t="shared" ca="1" si="46"/>
        <v>1.6035534151579562</v>
      </c>
      <c r="D1021" s="36">
        <f t="shared" ca="1" si="48"/>
        <v>0.12321501681580194</v>
      </c>
      <c r="E1021" s="32">
        <v>0.12088894684751939</v>
      </c>
      <c r="F1021" s="35">
        <f t="shared" ca="1" si="47"/>
        <v>2.855791329747781E-3</v>
      </c>
    </row>
    <row r="1022" spans="1:6" x14ac:dyDescent="0.25">
      <c r="A1022" s="23">
        <v>1021</v>
      </c>
      <c r="B1022" s="7" cm="1">
        <f t="array" aca="1" ref="B1022" ca="1">interpolexp(A1022,serie_du,Taxas_DI)</f>
        <v>0.12374421922882739</v>
      </c>
      <c r="C1022" s="37">
        <f t="shared" ca="1" si="46"/>
        <v>1.6042929709137963</v>
      </c>
      <c r="D1022" s="36">
        <f t="shared" ca="1" si="48"/>
        <v>0.12321501658974654</v>
      </c>
      <c r="E1022" s="32">
        <v>0.12089116354232488</v>
      </c>
      <c r="F1022" s="35">
        <f t="shared" ca="1" si="47"/>
        <v>2.8530556865025147E-3</v>
      </c>
    </row>
    <row r="1023" spans="1:6" x14ac:dyDescent="0.25">
      <c r="A1023" s="23">
        <v>1022</v>
      </c>
      <c r="B1023" s="7" cm="1">
        <f t="array" aca="1" ref="B1023" ca="1">interpolexp(A1023,serie_du,Taxas_DI)</f>
        <v>0.12374370129595302</v>
      </c>
      <c r="C1023" s="37">
        <f t="shared" ca="1" si="46"/>
        <v>1.6050328677500088</v>
      </c>
      <c r="D1023" s="36">
        <f t="shared" ca="1" si="48"/>
        <v>0.12321501635662724</v>
      </c>
      <c r="E1023" s="32">
        <v>0.12089337589922255</v>
      </c>
      <c r="F1023" s="35">
        <f t="shared" ca="1" si="47"/>
        <v>2.8503253967304687E-3</v>
      </c>
    </row>
    <row r="1024" spans="1:6" x14ac:dyDescent="0.25">
      <c r="A1024" s="23">
        <v>1023</v>
      </c>
      <c r="B1024" s="7" cm="1">
        <f t="array" aca="1" ref="B1024" ca="1">interpolexp(A1024,serie_du,Taxas_DI)</f>
        <v>0.12374318437564646</v>
      </c>
      <c r="C1024" s="37">
        <f t="shared" ca="1" si="46"/>
        <v>1.6057731058237896</v>
      </c>
      <c r="D1024" s="36">
        <f t="shared" ca="1" si="48"/>
        <v>0.12321501610440899</v>
      </c>
      <c r="E1024" s="32">
        <v>0.12089558393095778</v>
      </c>
      <c r="F1024" s="35">
        <f t="shared" ca="1" si="47"/>
        <v>2.8476004446886805E-3</v>
      </c>
    </row>
    <row r="1025" spans="1:6" x14ac:dyDescent="0.25">
      <c r="A1025" s="23">
        <v>1024</v>
      </c>
      <c r="B1025" s="7" cm="1">
        <f t="array" aca="1" ref="B1025" ca="1">interpolexp(A1025,serie_du,Taxas_DI)</f>
        <v>0.12374266846495452</v>
      </c>
      <c r="C1025" s="37">
        <f t="shared" ca="1" si="46"/>
        <v>1.6065136852925972</v>
      </c>
      <c r="D1025" s="36">
        <f t="shared" ca="1" si="48"/>
        <v>0.12321501586652017</v>
      </c>
      <c r="E1025" s="32">
        <v>0.1208977876501649</v>
      </c>
      <c r="F1025" s="35">
        <f t="shared" ca="1" si="47"/>
        <v>2.8448808147896187E-3</v>
      </c>
    </row>
    <row r="1026" spans="1:6" x14ac:dyDescent="0.25">
      <c r="A1026" s="23">
        <v>1025</v>
      </c>
      <c r="B1026" s="7" cm="1">
        <f t="array" aca="1" ref="B1026" ca="1">interpolexp(A1026,serie_du,Taxas_DI)</f>
        <v>0.1237421535609462</v>
      </c>
      <c r="C1026" s="37">
        <f t="shared" ref="C1026:C1089" ca="1" si="49">(1+B1026)^(A1026/252)</f>
        <v>1.6072546063140243</v>
      </c>
      <c r="D1026" s="36">
        <f t="shared" ca="1" si="48"/>
        <v>0.12321501565386828</v>
      </c>
      <c r="E1026" s="32">
        <v>0.12089998706947047</v>
      </c>
      <c r="F1026" s="35">
        <f t="shared" ref="F1026:F1089" ca="1" si="50">B1026-E1026</f>
        <v>2.8421664914757283E-3</v>
      </c>
    </row>
    <row r="1027" spans="1:6" x14ac:dyDescent="0.25">
      <c r="A1027" s="23">
        <v>1026</v>
      </c>
      <c r="B1027" s="7" cm="1">
        <f t="array" aca="1" ref="B1027" ca="1">interpolexp(A1027,serie_du,Taxas_DI)</f>
        <v>0.1237416396606239</v>
      </c>
      <c r="C1027" s="37">
        <f t="shared" ca="1" si="49"/>
        <v>1.6079958690452825</v>
      </c>
      <c r="D1027" s="36">
        <f t="shared" ca="1" si="48"/>
        <v>0.1232150153864966</v>
      </c>
      <c r="E1027" s="32">
        <v>0.12089945834574678</v>
      </c>
      <c r="F1027" s="35">
        <f t="shared" ca="1" si="50"/>
        <v>2.8421813148771236E-3</v>
      </c>
    </row>
    <row r="1028" spans="1:6" x14ac:dyDescent="0.25">
      <c r="A1028" s="23">
        <v>1027</v>
      </c>
      <c r="B1028" s="7" cm="1">
        <f t="array" aca="1" ref="B1028" ca="1">interpolexp(A1028,serie_du,Taxas_DI)</f>
        <v>0.12374112676107885</v>
      </c>
      <c r="C1028" s="37">
        <f t="shared" ca="1" si="49"/>
        <v>1.6087374736441045</v>
      </c>
      <c r="D1028" s="36">
        <f t="shared" ref="D1028:D1091" ca="1" si="51">((((1+B1028)^(A1028/252))/((1+B1027)^(A1027/252)))^(252/1))-1</f>
        <v>0.12321501514349631</v>
      </c>
      <c r="E1028" s="32">
        <v>0.12089893065168056</v>
      </c>
      <c r="F1028" s="35">
        <f t="shared" ca="1" si="50"/>
        <v>2.8421961093982873E-3</v>
      </c>
    </row>
    <row r="1029" spans="1:6" x14ac:dyDescent="0.25">
      <c r="A1029" s="23">
        <v>1028</v>
      </c>
      <c r="B1029" s="7" cm="1">
        <f t="array" aca="1" ref="B1029" ca="1">interpolexp(A1029,serie_du,Taxas_DI)</f>
        <v>0.12374061485940224</v>
      </c>
      <c r="C1029" s="37">
        <f t="shared" ca="1" si="49"/>
        <v>1.6094794202682312</v>
      </c>
      <c r="D1029" s="36">
        <f t="shared" ca="1" si="51"/>
        <v>0.12321501491340525</v>
      </c>
      <c r="E1029" s="32">
        <v>0.12089840398423757</v>
      </c>
      <c r="F1029" s="35">
        <f t="shared" ca="1" si="50"/>
        <v>2.8422108751646746E-3</v>
      </c>
    </row>
    <row r="1030" spans="1:6" x14ac:dyDescent="0.25">
      <c r="A1030" s="23">
        <v>1029</v>
      </c>
      <c r="B1030" s="7" cm="1">
        <f t="array" aca="1" ref="B1030" ca="1">interpolexp(A1030,serie_du,Taxas_DI)</f>
        <v>0.12374010395268531</v>
      </c>
      <c r="C1030" s="37">
        <f t="shared" ca="1" si="49"/>
        <v>1.610221709075409</v>
      </c>
      <c r="D1030" s="36">
        <f t="shared" ca="1" si="51"/>
        <v>0.1232150146843336</v>
      </c>
      <c r="E1030" s="32">
        <v>0.12089787834046462</v>
      </c>
      <c r="F1030" s="35">
        <f t="shared" ca="1" si="50"/>
        <v>2.8422256122206946E-3</v>
      </c>
    </row>
    <row r="1031" spans="1:6" x14ac:dyDescent="0.25">
      <c r="A1031" s="23">
        <v>1030</v>
      </c>
      <c r="B1031" s="7" cm="1">
        <f t="array" aca="1" ref="B1031" ca="1">interpolexp(A1031,serie_du,Taxas_DI)</f>
        <v>0.12373959403801926</v>
      </c>
      <c r="C1031" s="37">
        <f t="shared" ca="1" si="49"/>
        <v>1.6109643402233913</v>
      </c>
      <c r="D1031" s="36">
        <f t="shared" ca="1" si="51"/>
        <v>0.12321501444487426</v>
      </c>
      <c r="E1031" s="32">
        <v>0.1208973537173641</v>
      </c>
      <c r="F1031" s="35">
        <f t="shared" ca="1" si="50"/>
        <v>2.842240320655165E-3</v>
      </c>
    </row>
    <row r="1032" spans="1:6" x14ac:dyDescent="0.25">
      <c r="A1032" s="23">
        <v>1031</v>
      </c>
      <c r="B1032" s="7" cm="1">
        <f t="array" aca="1" ref="B1032" ca="1">interpolexp(A1032,serie_du,Taxas_DI)</f>
        <v>0.12373908511251752</v>
      </c>
      <c r="C1032" s="37">
        <f t="shared" ca="1" si="49"/>
        <v>1.6117073138700684</v>
      </c>
      <c r="D1032" s="36">
        <f t="shared" ca="1" si="51"/>
        <v>0.1232150142062034</v>
      </c>
      <c r="E1032" s="32">
        <v>0.12089683011196062</v>
      </c>
      <c r="F1032" s="35">
        <f t="shared" ca="1" si="50"/>
        <v>2.8422550005569036E-3</v>
      </c>
    </row>
    <row r="1033" spans="1:6" x14ac:dyDescent="0.25">
      <c r="A1033" s="23">
        <v>1032</v>
      </c>
      <c r="B1033" s="7" cm="1">
        <f t="array" aca="1" ref="B1033" ca="1">interpolexp(A1033,serie_du,Taxas_DI)</f>
        <v>0.12373857717331571</v>
      </c>
      <c r="C1033" s="37">
        <f t="shared" ca="1" si="49"/>
        <v>1.6124506301734678</v>
      </c>
      <c r="D1033" s="36">
        <f t="shared" ca="1" si="51"/>
        <v>0.12321501397968704</v>
      </c>
      <c r="E1033" s="32">
        <v>0.12089630752130098</v>
      </c>
      <c r="F1033" s="35">
        <f t="shared" ca="1" si="50"/>
        <v>2.8422696520147284E-3</v>
      </c>
    </row>
    <row r="1034" spans="1:6" x14ac:dyDescent="0.25">
      <c r="A1034" s="23">
        <v>1033</v>
      </c>
      <c r="B1034" s="7" cm="1">
        <f t="array" aca="1" ref="B1034" ca="1">interpolexp(A1034,serie_du,Taxas_DI)</f>
        <v>0.12373807021754946</v>
      </c>
      <c r="C1034" s="37">
        <f t="shared" ca="1" si="49"/>
        <v>1.6131942892916249</v>
      </c>
      <c r="D1034" s="36">
        <f t="shared" ca="1" si="51"/>
        <v>0.12321501375378463</v>
      </c>
      <c r="E1034" s="32">
        <v>0.12089578594240979</v>
      </c>
      <c r="F1034" s="35">
        <f t="shared" ca="1" si="50"/>
        <v>2.8422842751396615E-3</v>
      </c>
    </row>
    <row r="1035" spans="1:6" x14ac:dyDescent="0.25">
      <c r="A1035" s="23">
        <v>1034</v>
      </c>
      <c r="B1035" s="7" cm="1">
        <f t="array" aca="1" ref="B1035" ca="1">interpolexp(A1035,serie_du,Taxas_DI)</f>
        <v>0.12373756424233218</v>
      </c>
      <c r="C1035" s="37">
        <f t="shared" ca="1" si="49"/>
        <v>1.6139382913824518</v>
      </c>
      <c r="D1035" s="36">
        <f t="shared" ca="1" si="51"/>
        <v>0.12321501349427266</v>
      </c>
      <c r="E1035" s="32">
        <v>0.12089526537240047</v>
      </c>
      <c r="F1035" s="35">
        <f t="shared" ca="1" si="50"/>
        <v>2.8422988699317031E-3</v>
      </c>
    </row>
    <row r="1036" spans="1:6" x14ac:dyDescent="0.25">
      <c r="A1036" s="23">
        <v>1035</v>
      </c>
      <c r="B1036" s="7" cm="1">
        <f t="array" aca="1" ref="B1036" ca="1">interpolexp(A1036,serie_du,Taxas_DI)</f>
        <v>0.12373705924486611</v>
      </c>
      <c r="C1036" s="37">
        <f t="shared" ca="1" si="49"/>
        <v>1.6146826366043916</v>
      </c>
      <c r="D1036" s="36">
        <f t="shared" ca="1" si="51"/>
        <v>0.12321501328131479</v>
      </c>
      <c r="E1036" s="32">
        <v>0.12089474580831983</v>
      </c>
      <c r="F1036" s="35">
        <f t="shared" ca="1" si="50"/>
        <v>2.8423134365462843E-3</v>
      </c>
    </row>
    <row r="1037" spans="1:6" x14ac:dyDescent="0.25">
      <c r="A1037" s="23">
        <v>1036</v>
      </c>
      <c r="B1037" s="7" cm="1">
        <f t="array" aca="1" ref="B1037" ca="1">interpolexp(A1037,serie_du,Taxas_DI)</f>
        <v>0.12373655522228688</v>
      </c>
      <c r="C1037" s="37">
        <f t="shared" ca="1" si="49"/>
        <v>1.6154273251155029</v>
      </c>
      <c r="D1037" s="36">
        <f t="shared" ca="1" si="51"/>
        <v>0.12321501303484816</v>
      </c>
      <c r="E1037" s="32">
        <v>0.12089422724728127</v>
      </c>
      <c r="F1037" s="35">
        <f t="shared" ca="1" si="50"/>
        <v>2.8423279750056096E-3</v>
      </c>
    </row>
    <row r="1038" spans="1:6" x14ac:dyDescent="0.25">
      <c r="A1038" s="23">
        <v>1037</v>
      </c>
      <c r="B1038" s="7" cm="1">
        <f t="array" aca="1" ref="B1038" ca="1">interpolexp(A1038,serie_du,Taxas_DI)</f>
        <v>0.12373605217179673</v>
      </c>
      <c r="C1038" s="37">
        <f t="shared" ca="1" si="49"/>
        <v>1.6161723570742459</v>
      </c>
      <c r="D1038" s="36">
        <f t="shared" ca="1" si="51"/>
        <v>0.1232150128123497</v>
      </c>
      <c r="E1038" s="32">
        <v>0.12089370968635382</v>
      </c>
      <c r="F1038" s="35">
        <f t="shared" ca="1" si="50"/>
        <v>2.8423424854429058E-3</v>
      </c>
    </row>
    <row r="1039" spans="1:6" x14ac:dyDescent="0.25">
      <c r="A1039" s="23">
        <v>1038</v>
      </c>
      <c r="B1039" s="7" cm="1">
        <f t="array" aca="1" ref="B1039" ca="1">interpolexp(A1039,serie_du,Taxas_DI)</f>
        <v>0.12373555009059789</v>
      </c>
      <c r="C1039" s="37">
        <f t="shared" ca="1" si="49"/>
        <v>1.6169177326390907</v>
      </c>
      <c r="D1039" s="36">
        <f t="shared" ca="1" si="51"/>
        <v>0.12321501260285106</v>
      </c>
      <c r="E1039" s="32">
        <v>0.1208931931226509</v>
      </c>
      <c r="F1039" s="35">
        <f t="shared" ca="1" si="50"/>
        <v>2.8423569679469907E-3</v>
      </c>
    </row>
    <row r="1040" spans="1:6" x14ac:dyDescent="0.25">
      <c r="A1040" s="23">
        <v>1039</v>
      </c>
      <c r="B1040" s="7" cm="1">
        <f t="array" aca="1" ref="B1040" ca="1">interpolexp(A1040,serie_du,Taxas_DI)</f>
        <v>0.12373504897584819</v>
      </c>
      <c r="C1040" s="37">
        <f t="shared" ca="1" si="49"/>
        <v>1.6176634519682522</v>
      </c>
      <c r="D1040" s="36">
        <f t="shared" ca="1" si="51"/>
        <v>0.12321501234879206</v>
      </c>
      <c r="E1040" s="32">
        <v>0.12089267755328592</v>
      </c>
      <c r="F1040" s="35">
        <f t="shared" ca="1" si="50"/>
        <v>2.8423714225622732E-3</v>
      </c>
    </row>
    <row r="1041" spans="1:6" x14ac:dyDescent="0.25">
      <c r="A1041" s="23">
        <v>1040</v>
      </c>
      <c r="B1041" s="7" cm="1">
        <f t="array" aca="1" ref="B1041" ca="1">interpolexp(A1041,serie_du,Taxas_DI)</f>
        <v>0.12373454882479429</v>
      </c>
      <c r="C1041" s="37">
        <f t="shared" ca="1" si="49"/>
        <v>1.6184095152204818</v>
      </c>
      <c r="D1041" s="36">
        <f t="shared" ca="1" si="51"/>
        <v>0.12321501213131247</v>
      </c>
      <c r="E1041" s="32">
        <v>0.12089216297541672</v>
      </c>
      <c r="F1041" s="35">
        <f t="shared" ca="1" si="50"/>
        <v>2.8423858493775711E-3</v>
      </c>
    </row>
    <row r="1042" spans="1:6" x14ac:dyDescent="0.25">
      <c r="A1042" s="23">
        <v>1041</v>
      </c>
      <c r="B1042" s="7" cm="1">
        <f t="array" aca="1" ref="B1042" ca="1">interpolexp(A1042,serie_du,Taxas_DI)</f>
        <v>0.12373404963463841</v>
      </c>
      <c r="C1042" s="37">
        <f t="shared" ca="1" si="49"/>
        <v>1.6191559225542762</v>
      </c>
      <c r="D1042" s="36">
        <f t="shared" ca="1" si="51"/>
        <v>0.12321501189308037</v>
      </c>
      <c r="E1042" s="32">
        <v>0.12089164938615671</v>
      </c>
      <c r="F1042" s="35">
        <f t="shared" ca="1" si="50"/>
        <v>2.8424002484817024E-3</v>
      </c>
    </row>
    <row r="1043" spans="1:6" x14ac:dyDescent="0.25">
      <c r="A1043" s="23">
        <v>1042</v>
      </c>
      <c r="B1043" s="7" cm="1">
        <f t="array" aca="1" ref="B1043" ca="1">interpolexp(A1043,serie_du,Taxas_DI)</f>
        <v>0.12373355140262721</v>
      </c>
      <c r="C1043" s="37">
        <f t="shared" ca="1" si="49"/>
        <v>1.6199026741284059</v>
      </c>
      <c r="D1043" s="36">
        <f t="shared" ca="1" si="51"/>
        <v>0.1232150116691979</v>
      </c>
      <c r="E1043" s="32">
        <v>0.12089113678270813</v>
      </c>
      <c r="F1043" s="35">
        <f t="shared" ca="1" si="50"/>
        <v>2.8424146199190758E-3</v>
      </c>
    </row>
    <row r="1044" spans="1:6" x14ac:dyDescent="0.25">
      <c r="A1044" s="23">
        <v>1043</v>
      </c>
      <c r="B1044" s="7" cm="1">
        <f t="array" aca="1" ref="B1044" ca="1">interpolexp(A1044,serie_du,Taxas_DI)</f>
        <v>0.12373305412598512</v>
      </c>
      <c r="C1044" s="37">
        <f t="shared" ca="1" si="49"/>
        <v>1.6206497701015197</v>
      </c>
      <c r="D1044" s="36">
        <f t="shared" ca="1" si="51"/>
        <v>0.1232150114255417</v>
      </c>
      <c r="E1044" s="32">
        <v>0.12089062516218441</v>
      </c>
      <c r="F1044" s="35">
        <f t="shared" ca="1" si="50"/>
        <v>2.8424289638007139E-3</v>
      </c>
    </row>
    <row r="1045" spans="1:6" x14ac:dyDescent="0.25">
      <c r="A1045" s="23">
        <v>1044</v>
      </c>
      <c r="B1045" s="7" cm="1">
        <f t="array" aca="1" ref="B1045" ca="1">interpolexp(A1045,serie_du,Taxas_DI)</f>
        <v>0.12373255780200321</v>
      </c>
      <c r="C1045" s="37">
        <f t="shared" ca="1" si="49"/>
        <v>1.6213972106326733</v>
      </c>
      <c r="D1045" s="36">
        <f t="shared" ca="1" si="51"/>
        <v>0.12321501122049039</v>
      </c>
      <c r="E1045" s="32">
        <v>0.12089011452176557</v>
      </c>
      <c r="F1045" s="35">
        <f t="shared" ca="1" si="50"/>
        <v>2.8424432802376387E-3</v>
      </c>
    </row>
    <row r="1046" spans="1:6" x14ac:dyDescent="0.25">
      <c r="A1046" s="23">
        <v>1045</v>
      </c>
      <c r="B1046" s="7" cm="1">
        <f t="array" aca="1" ref="B1046" ca="1">interpolexp(A1046,serie_du,Taxas_DI)</f>
        <v>0.12373206242792811</v>
      </c>
      <c r="C1046" s="37">
        <f t="shared" ca="1" si="49"/>
        <v>1.6221449958806688</v>
      </c>
      <c r="D1046" s="36">
        <f t="shared" ca="1" si="51"/>
        <v>0.12321501099681686</v>
      </c>
      <c r="E1046" s="32">
        <v>0.12088960485867606</v>
      </c>
      <c r="F1046" s="35">
        <f t="shared" ca="1" si="50"/>
        <v>2.8424575692520548E-3</v>
      </c>
    </row>
    <row r="1047" spans="1:6" x14ac:dyDescent="0.25">
      <c r="A1047" s="23">
        <v>1046</v>
      </c>
      <c r="B1047" s="7" cm="1">
        <f t="array" aca="1" ref="B1047" ca="1">interpolexp(A1047,serie_du,Taxas_DI)</f>
        <v>0.12373156800100649</v>
      </c>
      <c r="C1047" s="37">
        <f t="shared" ca="1" si="49"/>
        <v>1.6228931260043178</v>
      </c>
      <c r="D1047" s="36">
        <f t="shared" ca="1" si="51"/>
        <v>0.1232150107435579</v>
      </c>
      <c r="E1047" s="32">
        <v>0.12088909617007371</v>
      </c>
      <c r="F1047" s="35">
        <f t="shared" ca="1" si="50"/>
        <v>2.8424718309327801E-3</v>
      </c>
    </row>
    <row r="1048" spans="1:6" x14ac:dyDescent="0.25">
      <c r="A1048" s="23">
        <v>1047</v>
      </c>
      <c r="B1048" s="7" cm="1">
        <f t="array" aca="1" ref="B1048" ca="1">interpolexp(A1048,serie_du,Taxas_DI)</f>
        <v>0.123731074518596</v>
      </c>
      <c r="C1048" s="37">
        <f t="shared" ca="1" si="49"/>
        <v>1.6236416011631083</v>
      </c>
      <c r="D1048" s="36">
        <f t="shared" ca="1" si="51"/>
        <v>0.12321501056587647</v>
      </c>
      <c r="E1048" s="32">
        <v>0.12088858845318295</v>
      </c>
      <c r="F1048" s="35">
        <f t="shared" ca="1" si="50"/>
        <v>2.8424860654130413E-3</v>
      </c>
    </row>
    <row r="1049" spans="1:6" x14ac:dyDescent="0.25">
      <c r="A1049" s="23">
        <v>1048</v>
      </c>
      <c r="B1049" s="7" cm="1">
        <f t="array" aca="1" ref="B1049" ca="1">interpolexp(A1049,serie_du,Taxas_DI)</f>
        <v>0.12373058197792108</v>
      </c>
      <c r="C1049" s="37">
        <f t="shared" ca="1" si="49"/>
        <v>1.624390421515741</v>
      </c>
      <c r="D1049" s="36">
        <f t="shared" ca="1" si="51"/>
        <v>0.1232150103135814</v>
      </c>
      <c r="E1049" s="32">
        <v>0.12088808170520604</v>
      </c>
      <c r="F1049" s="35">
        <f t="shared" ca="1" si="50"/>
        <v>2.8425002727150428E-3</v>
      </c>
    </row>
    <row r="1050" spans="1:6" x14ac:dyDescent="0.25">
      <c r="A1050" s="23">
        <v>1049</v>
      </c>
      <c r="B1050" s="7" cm="1">
        <f t="array" aca="1" ref="B1050" ca="1">interpolexp(A1050,serie_du,Taxas_DI)</f>
        <v>0.12373009037631721</v>
      </c>
      <c r="C1050" s="37">
        <f t="shared" ca="1" si="49"/>
        <v>1.6251395872215937</v>
      </c>
      <c r="D1050" s="36">
        <f t="shared" ca="1" si="51"/>
        <v>0.12321501009201952</v>
      </c>
      <c r="E1050" s="32">
        <v>0.12088757592341182</v>
      </c>
      <c r="F1050" s="35">
        <f t="shared" ca="1" si="50"/>
        <v>2.8425144529053981E-3</v>
      </c>
    </row>
    <row r="1051" spans="1:6" x14ac:dyDescent="0.25">
      <c r="A1051" s="23">
        <v>1050</v>
      </c>
      <c r="B1051" s="7" cm="1">
        <f t="array" aca="1" ref="B1051" ca="1">interpolexp(A1051,serie_du,Taxas_DI)</f>
        <v>0.12372959971109765</v>
      </c>
      <c r="C1051" s="37">
        <f t="shared" ca="1" si="49"/>
        <v>1.6258890984399232</v>
      </c>
      <c r="D1051" s="36">
        <f t="shared" ca="1" si="51"/>
        <v>0.12321500986725953</v>
      </c>
      <c r="E1051" s="32">
        <v>0.12088707110500252</v>
      </c>
      <c r="F1051" s="35">
        <f t="shared" ca="1" si="50"/>
        <v>2.8425286060951294E-3</v>
      </c>
    </row>
    <row r="1052" spans="1:6" x14ac:dyDescent="0.25">
      <c r="A1052" s="23">
        <v>1051</v>
      </c>
      <c r="B1052" s="7" cm="1">
        <f t="array" aca="1" ref="B1052" ca="1">interpolexp(A1052,serie_du,Taxas_DI)</f>
        <v>0.12372910997959785</v>
      </c>
      <c r="C1052" s="37">
        <f t="shared" ca="1" si="49"/>
        <v>1.6266389553301319</v>
      </c>
      <c r="D1052" s="36">
        <f t="shared" ca="1" si="51"/>
        <v>0.12321500965190824</v>
      </c>
      <c r="E1052" s="32">
        <v>0.120886567247247</v>
      </c>
      <c r="F1052" s="35">
        <f t="shared" ca="1" si="50"/>
        <v>2.8425427323508501E-3</v>
      </c>
    </row>
    <row r="1053" spans="1:6" x14ac:dyDescent="0.25">
      <c r="A1053" s="23">
        <v>1052</v>
      </c>
      <c r="B1053" s="7" cm="1">
        <f t="array" aca="1" ref="B1053" ca="1">interpolexp(A1053,serie_du,Taxas_DI)</f>
        <v>0.12372862117913108</v>
      </c>
      <c r="C1053" s="37">
        <f t="shared" ca="1" si="49"/>
        <v>1.6273891580514999</v>
      </c>
      <c r="D1053" s="36">
        <f t="shared" ca="1" si="51"/>
        <v>0.12321500941185848</v>
      </c>
      <c r="E1053" s="32">
        <v>0.12088606434739191</v>
      </c>
      <c r="F1053" s="35">
        <f t="shared" ca="1" si="50"/>
        <v>2.8425568317391736E-3</v>
      </c>
    </row>
    <row r="1054" spans="1:6" x14ac:dyDescent="0.25">
      <c r="A1054" s="23">
        <v>1053</v>
      </c>
      <c r="B1054" s="7" cm="1">
        <f t="array" aca="1" ref="B1054" ca="1">interpolexp(A1054,serie_du,Taxas_DI)</f>
        <v>0.12372813330707721</v>
      </c>
      <c r="C1054" s="37">
        <f t="shared" ca="1" si="49"/>
        <v>1.6281397067637222</v>
      </c>
      <c r="D1054" s="36">
        <f t="shared" ca="1" si="51"/>
        <v>0.12321500920649431</v>
      </c>
      <c r="E1054" s="32">
        <v>0.12088556240270609</v>
      </c>
      <c r="F1054" s="35">
        <f t="shared" ca="1" si="50"/>
        <v>2.8425709043711223E-3</v>
      </c>
    </row>
    <row r="1055" spans="1:6" x14ac:dyDescent="0.25">
      <c r="A1055" s="23">
        <v>1054</v>
      </c>
      <c r="B1055" s="7" cm="1">
        <f t="array" aca="1" ref="B1055" ca="1">interpolexp(A1055,serie_du,Taxas_DI)</f>
        <v>0.12372764636077171</v>
      </c>
      <c r="C1055" s="37">
        <f t="shared" ca="1" si="49"/>
        <v>1.6288906016262388</v>
      </c>
      <c r="D1055" s="36">
        <f t="shared" ca="1" si="51"/>
        <v>0.12321500897872784</v>
      </c>
      <c r="E1055" s="32">
        <v>0.12088506141050281</v>
      </c>
      <c r="F1055" s="35">
        <f t="shared" ca="1" si="50"/>
        <v>2.8425849502689005E-3</v>
      </c>
    </row>
    <row r="1056" spans="1:6" x14ac:dyDescent="0.25">
      <c r="A1056" s="23">
        <v>1055</v>
      </c>
      <c r="B1056" s="7" cm="1">
        <f t="array" aca="1" ref="B1056" ca="1">interpolexp(A1056,serie_du,Taxas_DI)</f>
        <v>0.12372716033761666</v>
      </c>
      <c r="C1056" s="37">
        <f t="shared" ca="1" si="49"/>
        <v>1.6296418427989054</v>
      </c>
      <c r="D1056" s="36">
        <f t="shared" ca="1" si="51"/>
        <v>0.1232150087879389</v>
      </c>
      <c r="E1056" s="32">
        <v>0.12088456136802872</v>
      </c>
      <c r="F1056" s="35">
        <f t="shared" ca="1" si="50"/>
        <v>2.8425989695879395E-3</v>
      </c>
    </row>
    <row r="1057" spans="1:6" x14ac:dyDescent="0.25">
      <c r="A1057" s="23">
        <v>1056</v>
      </c>
      <c r="B1057" s="7" cm="1">
        <f t="array" aca="1" ref="B1057" ca="1">interpolexp(A1057,serie_du,Taxas_DI)</f>
        <v>0.12372667523492531</v>
      </c>
      <c r="C1057" s="37">
        <f t="shared" ca="1" si="49"/>
        <v>1.6303934304410521</v>
      </c>
      <c r="D1057" s="36">
        <f t="shared" ca="1" si="51"/>
        <v>0.12321500853003831</v>
      </c>
      <c r="E1057" s="32">
        <v>0.12088406227261927</v>
      </c>
      <c r="F1057" s="35">
        <f t="shared" ca="1" si="50"/>
        <v>2.8426129623060348E-3</v>
      </c>
    </row>
    <row r="1058" spans="1:6" x14ac:dyDescent="0.25">
      <c r="A1058" s="23">
        <v>1057</v>
      </c>
      <c r="B1058" s="7" cm="1">
        <f t="array" aca="1" ref="B1058" ca="1">interpolexp(A1058,serie_du,Taxas_DI)</f>
        <v>0.12372619105014415</v>
      </c>
      <c r="C1058" s="37">
        <f t="shared" ca="1" si="49"/>
        <v>1.6311453647128316</v>
      </c>
      <c r="D1058" s="36">
        <f t="shared" ca="1" si="51"/>
        <v>0.1232150083351049</v>
      </c>
      <c r="E1058" s="32">
        <v>0.12088356412156553</v>
      </c>
      <c r="F1058" s="35">
        <f t="shared" ca="1" si="50"/>
        <v>2.8426269285786177E-3</v>
      </c>
    </row>
    <row r="1059" spans="1:6" x14ac:dyDescent="0.25">
      <c r="A1059" s="23">
        <v>1058</v>
      </c>
      <c r="B1059" s="7" cm="1">
        <f t="array" aca="1" ref="B1059" ca="1">interpolexp(A1059,serie_du,Taxas_DI)</f>
        <v>0.12372570778065306</v>
      </c>
      <c r="C1059" s="37">
        <f t="shared" ca="1" si="49"/>
        <v>1.6318976457740049</v>
      </c>
      <c r="D1059" s="36">
        <f t="shared" ca="1" si="51"/>
        <v>0.12321500812239283</v>
      </c>
      <c r="E1059" s="32">
        <v>0.12088306691220296</v>
      </c>
      <c r="F1059" s="35">
        <f t="shared" ca="1" si="50"/>
        <v>2.842640868450097E-3</v>
      </c>
    </row>
    <row r="1060" spans="1:6" x14ac:dyDescent="0.25">
      <c r="A1060" s="23">
        <v>1059</v>
      </c>
      <c r="B1060" s="7" cm="1">
        <f t="array" aca="1" ref="B1060" ca="1">interpolexp(A1060,serie_du,Taxas_DI)</f>
        <v>0.12372522542383191</v>
      </c>
      <c r="C1060" s="37">
        <f t="shared" ca="1" si="49"/>
        <v>1.6326502737843474</v>
      </c>
      <c r="D1060" s="36">
        <f t="shared" ca="1" si="51"/>
        <v>0.12321500788155304</v>
      </c>
      <c r="E1060" s="32">
        <v>0.12088257064184482</v>
      </c>
      <c r="F1060" s="35">
        <f t="shared" ca="1" si="50"/>
        <v>2.8426547819870862E-3</v>
      </c>
    </row>
    <row r="1061" spans="1:6" x14ac:dyDescent="0.25">
      <c r="A1061" s="23">
        <v>1060</v>
      </c>
      <c r="B1061" s="7" cm="1">
        <f t="array" aca="1" ref="B1061" ca="1">interpolexp(A1061,serie_du,Taxas_DI)</f>
        <v>0.12372474397714939</v>
      </c>
      <c r="C1061" s="37">
        <f t="shared" ca="1" si="49"/>
        <v>1.6334032489041892</v>
      </c>
      <c r="D1061" s="36">
        <f t="shared" ca="1" si="51"/>
        <v>0.12321500769603966</v>
      </c>
      <c r="E1061" s="32">
        <v>0.12088207530787098</v>
      </c>
      <c r="F1061" s="35">
        <f t="shared" ca="1" si="50"/>
        <v>2.8426686692784031E-3</v>
      </c>
    </row>
    <row r="1062" spans="1:6" x14ac:dyDescent="0.25">
      <c r="A1062" s="23">
        <v>1061</v>
      </c>
      <c r="B1062" s="7" cm="1">
        <f t="array" aca="1" ref="B1062" ca="1">interpolexp(A1062,serie_du,Taxas_DI)</f>
        <v>0.12372426343798537</v>
      </c>
      <c r="C1062" s="37">
        <f t="shared" ca="1" si="49"/>
        <v>1.6341565712933341</v>
      </c>
      <c r="D1062" s="36">
        <f t="shared" ca="1" si="51"/>
        <v>0.12321500746176883</v>
      </c>
      <c r="E1062" s="32">
        <v>0.12088158090759471</v>
      </c>
      <c r="F1062" s="35">
        <f t="shared" ca="1" si="50"/>
        <v>2.8426825303906611E-3</v>
      </c>
    </row>
    <row r="1063" spans="1:6" x14ac:dyDescent="0.25">
      <c r="A1063" s="23">
        <v>1062</v>
      </c>
      <c r="B1063" s="7" cm="1">
        <f t="array" aca="1" ref="B1063" ca="1">interpolexp(A1063,serie_du,Taxas_DI)</f>
        <v>0.12372378380378635</v>
      </c>
      <c r="C1063" s="37">
        <f t="shared" ca="1" si="49"/>
        <v>1.6349102411120056</v>
      </c>
      <c r="D1063" s="36">
        <f t="shared" ca="1" si="51"/>
        <v>0.12321500723870615</v>
      </c>
      <c r="E1063" s="32">
        <v>0.12088108743841808</v>
      </c>
      <c r="F1063" s="35">
        <f t="shared" ca="1" si="50"/>
        <v>2.8426963653682691E-3</v>
      </c>
    </row>
    <row r="1064" spans="1:6" x14ac:dyDescent="0.25">
      <c r="A1064" s="23">
        <v>1063</v>
      </c>
      <c r="B1064" s="7" cm="1">
        <f t="array" aca="1" ref="B1064" ca="1">interpolexp(A1064,serie_du,Taxas_DI)</f>
        <v>0.12372330507202101</v>
      </c>
      <c r="C1064" s="37">
        <f t="shared" ca="1" si="49"/>
        <v>1.6356642585205794</v>
      </c>
      <c r="D1064" s="36">
        <f t="shared" ca="1" si="51"/>
        <v>0.12321500704036992</v>
      </c>
      <c r="E1064" s="32">
        <v>0.12088059489767655</v>
      </c>
      <c r="F1064" s="35">
        <f t="shared" ca="1" si="50"/>
        <v>2.8427101743444538E-3</v>
      </c>
    </row>
    <row r="1065" spans="1:6" x14ac:dyDescent="0.25">
      <c r="A1065" s="23">
        <v>1064</v>
      </c>
      <c r="B1065" s="7" cm="1">
        <f t="array" aca="1" ref="B1065" ca="1">interpolexp(A1065,serie_du,Taxas_DI)</f>
        <v>0.12372282724011363</v>
      </c>
      <c r="C1065" s="37">
        <f t="shared" ca="1" si="49"/>
        <v>1.6364186236791736</v>
      </c>
      <c r="D1065" s="36">
        <f t="shared" ca="1" si="51"/>
        <v>0.12321500680944952</v>
      </c>
      <c r="E1065" s="32">
        <v>0.12088010328275001</v>
      </c>
      <c r="F1065" s="35">
        <f t="shared" ca="1" si="50"/>
        <v>2.8427239573636243E-3</v>
      </c>
    </row>
    <row r="1066" spans="1:6" x14ac:dyDescent="0.25">
      <c r="A1066" s="23">
        <v>1065</v>
      </c>
      <c r="B1066" s="7" cm="1">
        <f t="array" aca="1" ref="B1066" ca="1">interpolexp(A1066,serie_du,Taxas_DI)</f>
        <v>0.12372235030555512</v>
      </c>
      <c r="C1066" s="37">
        <f t="shared" ca="1" si="49"/>
        <v>1.6371733367483301</v>
      </c>
      <c r="D1066" s="36">
        <f t="shared" ca="1" si="51"/>
        <v>0.12321500660647033</v>
      </c>
      <c r="E1066" s="32">
        <v>0.12087961259106272</v>
      </c>
      <c r="F1066" s="35">
        <f t="shared" ca="1" si="50"/>
        <v>2.8427377144923938E-3</v>
      </c>
    </row>
    <row r="1067" spans="1:6" x14ac:dyDescent="0.25">
      <c r="A1067" s="23">
        <v>1066</v>
      </c>
      <c r="B1067" s="7" cm="1">
        <f t="array" aca="1" ref="B1067" ca="1">interpolexp(A1067,serie_du,Taxas_DI)</f>
        <v>0.12372187426581416</v>
      </c>
      <c r="C1067" s="37">
        <f t="shared" ca="1" si="49"/>
        <v>1.6379283978884709</v>
      </c>
      <c r="D1067" s="36">
        <f t="shared" ca="1" si="51"/>
        <v>0.12321500639785032</v>
      </c>
      <c r="E1067" s="32">
        <v>0.12087912281999458</v>
      </c>
      <c r="F1067" s="35">
        <f t="shared" ca="1" si="50"/>
        <v>2.8427514458195802E-3</v>
      </c>
    </row>
    <row r="1068" spans="1:6" x14ac:dyDescent="0.25">
      <c r="A1068" s="23">
        <v>1067</v>
      </c>
      <c r="B1068" s="7" cm="1">
        <f t="array" aca="1" ref="B1068" ca="1">interpolexp(A1068,serie_du,Taxas_DI)</f>
        <v>0.12372139911835944</v>
      </c>
      <c r="C1068" s="37">
        <f t="shared" ca="1" si="49"/>
        <v>1.6386838072600323</v>
      </c>
      <c r="D1068" s="36">
        <f t="shared" ca="1" si="51"/>
        <v>0.12321500617324643</v>
      </c>
      <c r="E1068" s="32">
        <v>0.12087863396696985</v>
      </c>
      <c r="F1068" s="35">
        <f t="shared" ca="1" si="50"/>
        <v>2.8427651513895924E-3</v>
      </c>
    </row>
    <row r="1069" spans="1:6" x14ac:dyDescent="0.25">
      <c r="A1069" s="23">
        <v>1068</v>
      </c>
      <c r="B1069" s="7" cm="1">
        <f t="array" aca="1" ref="B1069" ca="1">interpolexp(A1069,serie_du,Taxas_DI)</f>
        <v>0.12372092486072628</v>
      </c>
      <c r="C1069" s="37">
        <f t="shared" ca="1" si="49"/>
        <v>1.6394395650238787</v>
      </c>
      <c r="D1069" s="36">
        <f t="shared" ca="1" si="51"/>
        <v>0.123215005993909</v>
      </c>
      <c r="E1069" s="32">
        <v>0.12087814602939062</v>
      </c>
      <c r="F1069" s="35">
        <f t="shared" ca="1" si="50"/>
        <v>2.8427788313356572E-3</v>
      </c>
    </row>
    <row r="1070" spans="1:6" x14ac:dyDescent="0.25">
      <c r="A1070" s="23">
        <v>1069</v>
      </c>
      <c r="B1070" s="7" cm="1">
        <f t="array" aca="1" ref="B1070" ca="1">interpolexp(A1070,serie_du,Taxas_DI)</f>
        <v>0.12372045149036115</v>
      </c>
      <c r="C1070" s="37">
        <f t="shared" ca="1" si="49"/>
        <v>1.6401956713403412</v>
      </c>
      <c r="D1070" s="36">
        <f t="shared" ca="1" si="51"/>
        <v>0.12321500575486244</v>
      </c>
      <c r="E1070" s="32">
        <v>0.12087765900472558</v>
      </c>
      <c r="F1070" s="35">
        <f t="shared" ca="1" si="50"/>
        <v>2.8427924856355702E-3</v>
      </c>
    </row>
    <row r="1071" spans="1:6" x14ac:dyDescent="0.25">
      <c r="A1071" s="23">
        <v>1070</v>
      </c>
      <c r="B1071" s="7" cm="1">
        <f t="array" aca="1" ref="B1071" ca="1">interpolexp(A1071,serie_du,Taxas_DI)</f>
        <v>0.12371997900480958</v>
      </c>
      <c r="C1071" s="37">
        <f t="shared" ca="1" si="49"/>
        <v>1.6409521263703795</v>
      </c>
      <c r="D1071" s="36">
        <f t="shared" ca="1" si="51"/>
        <v>0.12321500555194542</v>
      </c>
      <c r="E1071" s="32">
        <v>0.1208771728903546</v>
      </c>
      <c r="F1071" s="35">
        <f t="shared" ca="1" si="50"/>
        <v>2.8428061144549766E-3</v>
      </c>
    </row>
    <row r="1072" spans="1:6" x14ac:dyDescent="0.25">
      <c r="A1072" s="23">
        <v>1071</v>
      </c>
      <c r="B1072" s="7" cm="1">
        <f t="array" aca="1" ref="B1072" ca="1">interpolexp(A1072,serie_du,Taxas_DI)</f>
        <v>0.12372015264938696</v>
      </c>
      <c r="C1072" s="37">
        <f t="shared" ca="1" si="49"/>
        <v>1.6417129366729486</v>
      </c>
      <c r="D1072" s="36">
        <f t="shared" ca="1" si="51"/>
        <v>0.12390596772278939</v>
      </c>
      <c r="E1072" s="32">
        <v>0.12087668768379078</v>
      </c>
      <c r="F1072" s="35">
        <f t="shared" ca="1" si="50"/>
        <v>2.8434649655961763E-3</v>
      </c>
    </row>
    <row r="1073" spans="1:6" x14ac:dyDescent="0.25">
      <c r="A1073" s="23">
        <v>1072</v>
      </c>
      <c r="B1073" s="7" cm="1">
        <f t="array" aca="1" ref="B1073" ca="1">interpolexp(A1073,serie_du,Taxas_DI)</f>
        <v>0.12372032597003368</v>
      </c>
      <c r="C1073" s="37">
        <f t="shared" ca="1" si="49"/>
        <v>1.6424740997173022</v>
      </c>
      <c r="D1073" s="36">
        <f t="shared" ca="1" si="51"/>
        <v>0.12390596772956308</v>
      </c>
      <c r="E1073" s="32">
        <v>0.12087620338245841</v>
      </c>
      <c r="F1073" s="35">
        <f t="shared" ca="1" si="50"/>
        <v>2.8441225875752707E-3</v>
      </c>
    </row>
    <row r="1074" spans="1:6" x14ac:dyDescent="0.25">
      <c r="A1074" s="23">
        <v>1073</v>
      </c>
      <c r="B1074" s="7" cm="1">
        <f t="array" aca="1" ref="B1074" ca="1">interpolexp(A1074,serie_du,Taxas_DI)</f>
        <v>0.12372049896760551</v>
      </c>
      <c r="C1074" s="37">
        <f t="shared" ca="1" si="49"/>
        <v>1.643235615666675</v>
      </c>
      <c r="D1074" s="36">
        <f t="shared" ca="1" si="51"/>
        <v>0.12390596768290951</v>
      </c>
      <c r="E1074" s="32">
        <v>0.12087571998382618</v>
      </c>
      <c r="F1074" s="35">
        <f t="shared" ca="1" si="50"/>
        <v>2.844778983779328E-3</v>
      </c>
    </row>
    <row r="1075" spans="1:6" x14ac:dyDescent="0.25">
      <c r="A1075" s="23">
        <v>1074</v>
      </c>
      <c r="B1075" s="7" cm="1">
        <f t="array" aca="1" ref="B1075" ca="1">interpolexp(A1075,serie_du,Taxas_DI)</f>
        <v>0.12372067164303502</v>
      </c>
      <c r="C1075" s="37">
        <f t="shared" ca="1" si="49"/>
        <v>1.6439974846848757</v>
      </c>
      <c r="D1075" s="36">
        <f t="shared" ca="1" si="51"/>
        <v>0.12390596766864403</v>
      </c>
      <c r="E1075" s="32">
        <v>0.12087523748538498</v>
      </c>
      <c r="F1075" s="35">
        <f t="shared" ca="1" si="50"/>
        <v>2.8454341576500397E-3</v>
      </c>
    </row>
    <row r="1076" spans="1:6" x14ac:dyDescent="0.25">
      <c r="A1076" s="23">
        <v>1075</v>
      </c>
      <c r="B1076" s="7" cm="1">
        <f t="array" aca="1" ref="B1076" ca="1">interpolexp(A1076,serie_du,Taxas_DI)</f>
        <v>0.12372084399718819</v>
      </c>
      <c r="C1076" s="37">
        <f t="shared" ca="1" si="49"/>
        <v>1.6447597069353954</v>
      </c>
      <c r="D1076" s="36">
        <f t="shared" ca="1" si="51"/>
        <v>0.12390596761899086</v>
      </c>
      <c r="E1076" s="32">
        <v>0.1208747558846035</v>
      </c>
      <c r="F1076" s="35">
        <f t="shared" ca="1" si="50"/>
        <v>2.8460881125846882E-3</v>
      </c>
    </row>
    <row r="1077" spans="1:6" x14ac:dyDescent="0.25">
      <c r="A1077" s="23">
        <v>1076</v>
      </c>
      <c r="B1077" s="7" cm="1">
        <f t="array" aca="1" ref="B1077" ca="1">interpolexp(A1077,serie_du,Taxas_DI)</f>
        <v>0.12372101603099761</v>
      </c>
      <c r="C1077" s="37">
        <f t="shared" ca="1" si="49"/>
        <v>1.6455222825822371</v>
      </c>
      <c r="D1077" s="36">
        <f t="shared" ca="1" si="51"/>
        <v>0.1239059676090617</v>
      </c>
      <c r="E1077" s="32">
        <v>0.12087427517901705</v>
      </c>
      <c r="F1077" s="35">
        <f t="shared" ca="1" si="50"/>
        <v>2.8467408519805559E-3</v>
      </c>
    </row>
    <row r="1078" spans="1:6" x14ac:dyDescent="0.25">
      <c r="A1078" s="23">
        <v>1077</v>
      </c>
      <c r="B1078" s="7" cm="1">
        <f t="array" aca="1" ref="B1078" ca="1">interpolexp(A1078,serie_du,Taxas_DI)</f>
        <v>0.12372118774532925</v>
      </c>
      <c r="C1078" s="37">
        <f t="shared" ca="1" si="49"/>
        <v>1.6462852117890845</v>
      </c>
      <c r="D1078" s="36">
        <f t="shared" ca="1" si="51"/>
        <v>0.12390596757086159</v>
      </c>
      <c r="E1078" s="32">
        <v>0.12087379536609433</v>
      </c>
      <c r="F1078" s="35">
        <f t="shared" ca="1" si="50"/>
        <v>2.8473923792349254E-3</v>
      </c>
    </row>
    <row r="1079" spans="1:6" x14ac:dyDescent="0.25">
      <c r="A1079" s="23">
        <v>1078</v>
      </c>
      <c r="B1079" s="7" cm="1">
        <f t="array" aca="1" ref="B1079" ca="1">interpolexp(A1079,serie_du,Taxas_DI)</f>
        <v>0.1237213591410935</v>
      </c>
      <c r="C1079" s="37">
        <f t="shared" ca="1" si="49"/>
        <v>1.6470484947199959</v>
      </c>
      <c r="D1079" s="36">
        <f t="shared" ca="1" si="51"/>
        <v>0.12390596755562266</v>
      </c>
      <c r="E1079" s="32">
        <v>0.12087331644337063</v>
      </c>
      <c r="F1079" s="35">
        <f t="shared" ca="1" si="50"/>
        <v>2.8480426977228745E-3</v>
      </c>
    </row>
    <row r="1080" spans="1:6" x14ac:dyDescent="0.25">
      <c r="A1080" s="23">
        <v>1079</v>
      </c>
      <c r="B1080" s="7" cm="1">
        <f t="array" aca="1" ref="B1080" ca="1">interpolexp(A1080,serie_du,Taxas_DI)</f>
        <v>0.12372153021915633</v>
      </c>
      <c r="C1080" s="37">
        <f t="shared" ca="1" si="49"/>
        <v>1.6478121315388481</v>
      </c>
      <c r="D1080" s="36">
        <f t="shared" ca="1" si="51"/>
        <v>0.12390596751918714</v>
      </c>
      <c r="E1080" s="32">
        <v>0.12087283840835905</v>
      </c>
      <c r="F1080" s="35">
        <f t="shared" ca="1" si="50"/>
        <v>2.848691810797277E-3</v>
      </c>
    </row>
    <row r="1081" spans="1:6" x14ac:dyDescent="0.25">
      <c r="A1081" s="23">
        <v>1080</v>
      </c>
      <c r="B1081" s="7" cm="1">
        <f t="array" aca="1" ref="B1081" ca="1">interpolexp(A1081,serie_du,Taxas_DI)</f>
        <v>0.12372170098038371</v>
      </c>
      <c r="C1081" s="37">
        <f t="shared" ca="1" si="49"/>
        <v>1.648576122409614</v>
      </c>
      <c r="D1081" s="36">
        <f t="shared" ca="1" si="51"/>
        <v>0.12390596746498317</v>
      </c>
      <c r="E1081" s="32">
        <v>0.12087236125859491</v>
      </c>
      <c r="F1081" s="35">
        <f t="shared" ca="1" si="50"/>
        <v>2.8493397217888017E-3</v>
      </c>
    </row>
    <row r="1082" spans="1:6" x14ac:dyDescent="0.25">
      <c r="A1082" s="23">
        <v>1081</v>
      </c>
      <c r="B1082" s="7" cm="1">
        <f t="array" aca="1" ref="B1082" ca="1">interpolexp(A1082,serie_du,Taxas_DI)</f>
        <v>0.12372187142570823</v>
      </c>
      <c r="C1082" s="37">
        <f t="shared" ca="1" si="49"/>
        <v>1.6493404674967818</v>
      </c>
      <c r="D1082" s="36">
        <f t="shared" ca="1" si="51"/>
        <v>0.12390596746845084</v>
      </c>
      <c r="E1082" s="32">
        <v>0.1208718849916357</v>
      </c>
      <c r="F1082" s="35">
        <f t="shared" ca="1" si="50"/>
        <v>2.8499864340725267E-3</v>
      </c>
    </row>
    <row r="1083" spans="1:6" x14ac:dyDescent="0.25">
      <c r="A1083" s="23">
        <v>1082</v>
      </c>
      <c r="B1083" s="7" cm="1">
        <f t="array" aca="1" ref="B1083" ca="1">interpolexp(A1083,serie_du,Taxas_DI)</f>
        <v>0.12372204155597366</v>
      </c>
      <c r="C1083" s="37">
        <f t="shared" ca="1" si="49"/>
        <v>1.6501051669643778</v>
      </c>
      <c r="D1083" s="36">
        <f t="shared" ca="1" si="51"/>
        <v>0.12390596743728177</v>
      </c>
      <c r="E1083" s="32">
        <v>0.12087140960501674</v>
      </c>
      <c r="F1083" s="35">
        <f t="shared" ca="1" si="50"/>
        <v>2.8506319509569167E-3</v>
      </c>
    </row>
    <row r="1084" spans="1:6" x14ac:dyDescent="0.25">
      <c r="A1084" s="23">
        <v>1083</v>
      </c>
      <c r="B1084" s="7" cm="1">
        <f t="array" aca="1" ref="B1084" ca="1">interpolexp(A1084,serie_du,Taxas_DI)</f>
        <v>0.12372221137206818</v>
      </c>
      <c r="C1084" s="37">
        <f t="shared" ca="1" si="49"/>
        <v>1.6508702209768051</v>
      </c>
      <c r="D1084" s="36">
        <f t="shared" ca="1" si="51"/>
        <v>0.1239059674228622</v>
      </c>
      <c r="E1084" s="32">
        <v>0.12087093509631774</v>
      </c>
      <c r="F1084" s="35">
        <f t="shared" ca="1" si="50"/>
        <v>2.8512762757504362E-3</v>
      </c>
    </row>
    <row r="1085" spans="1:6" x14ac:dyDescent="0.25">
      <c r="A1085" s="23">
        <v>1084</v>
      </c>
      <c r="B1085" s="7" cm="1">
        <f t="array" aca="1" ref="B1085" ca="1">interpolexp(A1085,serie_du,Taxas_DI)</f>
        <v>0.12372238087483556</v>
      </c>
      <c r="C1085" s="37">
        <f t="shared" ca="1" si="49"/>
        <v>1.6516356296982824</v>
      </c>
      <c r="D1085" s="36">
        <f t="shared" ca="1" si="51"/>
        <v>0.12390596738069481</v>
      </c>
      <c r="E1085" s="32">
        <v>0.12087046146309621</v>
      </c>
      <c r="F1085" s="35">
        <f t="shared" ca="1" si="50"/>
        <v>2.8519194117393454E-3</v>
      </c>
    </row>
    <row r="1086" spans="1:6" x14ac:dyDescent="0.25">
      <c r="A1086" s="23">
        <v>1085</v>
      </c>
      <c r="B1086" s="7" cm="1">
        <f t="array" aca="1" ref="B1086" ca="1">interpolexp(A1086,serie_du,Taxas_DI)</f>
        <v>0.12372255006514177</v>
      </c>
      <c r="C1086" s="37">
        <f t="shared" ca="1" si="49"/>
        <v>1.6524013932932644</v>
      </c>
      <c r="D1086" s="36">
        <f t="shared" ca="1" si="51"/>
        <v>0.12390596733820014</v>
      </c>
      <c r="E1086" s="32">
        <v>0.12086998870293963</v>
      </c>
      <c r="F1086" s="35">
        <f t="shared" ca="1" si="50"/>
        <v>2.8525613622021329E-3</v>
      </c>
    </row>
    <row r="1087" spans="1:6" x14ac:dyDescent="0.25">
      <c r="A1087" s="23">
        <v>1086</v>
      </c>
      <c r="B1087" s="7" cm="1">
        <f t="array" aca="1" ref="B1087" ca="1">interpolexp(A1087,serie_du,Taxas_DI)</f>
        <v>0.12372271894387499</v>
      </c>
      <c r="C1087" s="37">
        <f t="shared" ca="1" si="49"/>
        <v>1.6531675119264437</v>
      </c>
      <c r="D1087" s="36">
        <f t="shared" ca="1" si="51"/>
        <v>0.12390596732292636</v>
      </c>
      <c r="E1087" s="32">
        <v>0.12087154603603878</v>
      </c>
      <c r="F1087" s="35">
        <f t="shared" ca="1" si="50"/>
        <v>2.851172907836208E-3</v>
      </c>
    </row>
    <row r="1088" spans="1:6" x14ac:dyDescent="0.25">
      <c r="A1088" s="23">
        <v>1087</v>
      </c>
      <c r="B1088" s="7" cm="1">
        <f t="array" aca="1" ref="B1088" ca="1">interpolexp(A1088,serie_du,Taxas_DI)</f>
        <v>0.12372288751190119</v>
      </c>
      <c r="C1088" s="37">
        <f t="shared" ca="1" si="49"/>
        <v>1.6539339857624691</v>
      </c>
      <c r="D1088" s="36">
        <f t="shared" ca="1" si="51"/>
        <v>0.12390596731438874</v>
      </c>
      <c r="E1088" s="32">
        <v>0.12087310050377109</v>
      </c>
      <c r="F1088" s="35">
        <f t="shared" ca="1" si="50"/>
        <v>2.8497870081301002E-3</v>
      </c>
    </row>
    <row r="1089" spans="1:6" x14ac:dyDescent="0.25">
      <c r="A1089" s="23">
        <v>1088</v>
      </c>
      <c r="B1089" s="7" cm="1">
        <f t="array" aca="1" ref="B1089" ca="1">interpolexp(A1089,serie_du,Taxas_DI)</f>
        <v>0.12372305577004195</v>
      </c>
      <c r="C1089" s="37">
        <f t="shared" ca="1" si="49"/>
        <v>1.6547008149658029</v>
      </c>
      <c r="D1089" s="36">
        <f t="shared" ca="1" si="51"/>
        <v>0.12390596726761105</v>
      </c>
      <c r="E1089" s="32">
        <v>0.12087465211405579</v>
      </c>
      <c r="F1089" s="35">
        <f t="shared" ca="1" si="50"/>
        <v>2.8484036559861536E-3</v>
      </c>
    </row>
    <row r="1090" spans="1:6" x14ac:dyDescent="0.25">
      <c r="A1090" s="23">
        <v>1089</v>
      </c>
      <c r="B1090" s="7" cm="1">
        <f t="array" aca="1" ref="B1090" ca="1">interpolexp(A1090,serie_du,Taxas_DI)</f>
        <v>0.12372322371916322</v>
      </c>
      <c r="C1090" s="37">
        <f t="shared" ref="C1090:C1153" ca="1" si="52">(1+B1090)^(A1090/252)</f>
        <v>1.6554679997012867</v>
      </c>
      <c r="D1090" s="36">
        <f t="shared" ca="1" si="51"/>
        <v>0.12390596723437031</v>
      </c>
      <c r="E1090" s="32">
        <v>0.12087620087475326</v>
      </c>
      <c r="F1090" s="35">
        <f t="shared" ref="F1090:F1153" ca="1" si="53">B1090-E1090</f>
        <v>2.8470228444099632E-3</v>
      </c>
    </row>
    <row r="1091" spans="1:6" x14ac:dyDescent="0.25">
      <c r="A1091" s="23">
        <v>1090</v>
      </c>
      <c r="B1091" s="7" cm="1">
        <f t="array" aca="1" ref="B1091" ca="1">interpolexp(A1091,serie_du,Taxas_DI)</f>
        <v>0.123723391360131</v>
      </c>
      <c r="C1091" s="37">
        <f t="shared" ca="1" si="52"/>
        <v>1.6562355401338573</v>
      </c>
      <c r="D1091" s="36">
        <f t="shared" ca="1" si="51"/>
        <v>0.12390596721794078</v>
      </c>
      <c r="E1091" s="32">
        <v>0.12087774679372387</v>
      </c>
      <c r="F1091" s="35">
        <f t="shared" ca="1" si="53"/>
        <v>2.8456445664071239E-3</v>
      </c>
    </row>
    <row r="1092" spans="1:6" x14ac:dyDescent="0.25">
      <c r="A1092" s="23">
        <v>1091</v>
      </c>
      <c r="B1092" s="7" cm="1">
        <f t="array" aca="1" ref="B1092" ca="1">interpolexp(A1092,serie_du,Taxas_DI)</f>
        <v>0.12372355869378904</v>
      </c>
      <c r="C1092" s="37">
        <f t="shared" ca="1" si="52"/>
        <v>1.6570034364284079</v>
      </c>
      <c r="D1092" s="36">
        <f t="shared" ref="D1092:D1155" ca="1" si="54">((((1+B1092)^(A1092/252))/((1+B1091)^(A1091/252)))^(252/1))-1</f>
        <v>0.12390596719777003</v>
      </c>
      <c r="E1092" s="32">
        <v>0.1208792898787614</v>
      </c>
      <c r="F1092" s="35">
        <f t="shared" ca="1" si="53"/>
        <v>2.8442688150276396E-3</v>
      </c>
    </row>
    <row r="1093" spans="1:6" x14ac:dyDescent="0.25">
      <c r="A1093" s="23">
        <v>1092</v>
      </c>
      <c r="B1093" s="7" cm="1">
        <f t="array" aca="1" ref="B1093" ca="1">interpolexp(A1093,serie_du,Taxas_DI)</f>
        <v>0.12372372572095891</v>
      </c>
      <c r="C1093" s="37">
        <f t="shared" ca="1" si="52"/>
        <v>1.6577716887497853</v>
      </c>
      <c r="D1093" s="36">
        <f t="shared" ca="1" si="54"/>
        <v>0.12390596715284907</v>
      </c>
      <c r="E1093" s="32">
        <v>0.1208808301376596</v>
      </c>
      <c r="F1093" s="35">
        <f t="shared" ca="1" si="53"/>
        <v>2.8428955832993097E-3</v>
      </c>
    </row>
    <row r="1094" spans="1:6" x14ac:dyDescent="0.25">
      <c r="A1094" s="23">
        <v>1093</v>
      </c>
      <c r="B1094" s="7" cm="1">
        <f t="array" aca="1" ref="B1094" ca="1">interpolexp(A1094,serie_du,Taxas_DI)</f>
        <v>0.12372389244250659</v>
      </c>
      <c r="C1094" s="37">
        <f t="shared" ca="1" si="52"/>
        <v>1.6585402972632164</v>
      </c>
      <c r="D1094" s="36">
        <f t="shared" ca="1" si="54"/>
        <v>0.1239059671351006</v>
      </c>
      <c r="E1094" s="32">
        <v>0.12088236757819004</v>
      </c>
      <c r="F1094" s="35">
        <f t="shared" ca="1" si="53"/>
        <v>2.8415248643165469E-3</v>
      </c>
    </row>
    <row r="1095" spans="1:6" x14ac:dyDescent="0.25">
      <c r="A1095" s="23">
        <v>1094</v>
      </c>
      <c r="B1095" s="7" cm="1">
        <f t="array" aca="1" ref="B1095" ca="1">interpolexp(A1095,serie_du,Taxas_DI)</f>
        <v>0.12372405885927584</v>
      </c>
      <c r="C1095" s="37">
        <f t="shared" ca="1" si="52"/>
        <v>1.6593092621338825</v>
      </c>
      <c r="D1095" s="36">
        <f t="shared" ca="1" si="54"/>
        <v>0.12390596712359536</v>
      </c>
      <c r="E1095" s="32">
        <v>0.12088390220803547</v>
      </c>
      <c r="F1095" s="35">
        <f t="shared" ca="1" si="53"/>
        <v>2.8401566512403775E-3</v>
      </c>
    </row>
    <row r="1096" spans="1:6" x14ac:dyDescent="0.25">
      <c r="A1096" s="23">
        <v>1095</v>
      </c>
      <c r="B1096" s="7" cm="1">
        <f t="array" aca="1" ref="B1096" ca="1">interpolexp(A1096,serie_du,Taxas_DI)</f>
        <v>0.12372422497206603</v>
      </c>
      <c r="C1096" s="37">
        <f t="shared" ca="1" si="52"/>
        <v>1.6600785835267762</v>
      </c>
      <c r="D1096" s="36">
        <f t="shared" ca="1" si="54"/>
        <v>0.12390596707304713</v>
      </c>
      <c r="E1096" s="32">
        <v>0.12088543403496743</v>
      </c>
      <c r="F1096" s="35">
        <f t="shared" ca="1" si="53"/>
        <v>2.8387909370986009E-3</v>
      </c>
    </row>
    <row r="1097" spans="1:6" x14ac:dyDescent="0.25">
      <c r="A1097" s="23">
        <v>1096</v>
      </c>
      <c r="B1097" s="7" cm="1">
        <f t="array" aca="1" ref="B1097" ca="1">interpolexp(A1097,serie_du,Taxas_DI)</f>
        <v>0.12372439078174313</v>
      </c>
      <c r="C1097" s="37">
        <f t="shared" ca="1" si="52"/>
        <v>1.6608482616074141</v>
      </c>
      <c r="D1097" s="36">
        <f t="shared" ca="1" si="54"/>
        <v>0.12390596705993073</v>
      </c>
      <c r="E1097" s="32">
        <v>0.12088696306657987</v>
      </c>
      <c r="F1097" s="35">
        <f t="shared" ca="1" si="53"/>
        <v>2.8374277151632654E-3</v>
      </c>
    </row>
    <row r="1098" spans="1:6" x14ac:dyDescent="0.25">
      <c r="A1098" s="23">
        <v>1097</v>
      </c>
      <c r="B1098" s="7" cm="1">
        <f t="array" aca="1" ref="B1098" ca="1">interpolexp(A1098,serie_du,Taxas_DI)</f>
        <v>0.12372455628912871</v>
      </c>
      <c r="C1098" s="37">
        <f t="shared" ca="1" si="52"/>
        <v>1.661618296541123</v>
      </c>
      <c r="D1098" s="36">
        <f t="shared" ca="1" si="54"/>
        <v>0.12390596703868306</v>
      </c>
      <c r="E1098" s="32">
        <v>0.12088848931057772</v>
      </c>
      <c r="F1098" s="35">
        <f t="shared" ca="1" si="53"/>
        <v>2.8360669785509884E-3</v>
      </c>
    </row>
    <row r="1099" spans="1:6" x14ac:dyDescent="0.25">
      <c r="A1099" s="23">
        <v>1098</v>
      </c>
      <c r="B1099" s="7" cm="1">
        <f t="array" aca="1" ref="B1099" ca="1">interpolexp(A1099,serie_du,Taxas_DI)</f>
        <v>0.12372472149504432</v>
      </c>
      <c r="C1099" s="37">
        <f t="shared" ca="1" si="52"/>
        <v>1.6623886884933268</v>
      </c>
      <c r="D1099" s="36">
        <f t="shared" ca="1" si="54"/>
        <v>0.12390596701277334</v>
      </c>
      <c r="E1099" s="32">
        <v>0.12089001277455491</v>
      </c>
      <c r="F1099" s="35">
        <f t="shared" ca="1" si="53"/>
        <v>2.8347087204894095E-3</v>
      </c>
    </row>
    <row r="1100" spans="1:6" x14ac:dyDescent="0.25">
      <c r="A1100" s="23">
        <v>1099</v>
      </c>
      <c r="B1100" s="7" cm="1">
        <f t="array" aca="1" ref="B1100" ca="1">interpolexp(A1100,serie_du,Taxas_DI)</f>
        <v>0.12372488640028934</v>
      </c>
      <c r="C1100" s="37">
        <f t="shared" ca="1" si="52"/>
        <v>1.6631594376294014</v>
      </c>
      <c r="D1100" s="36">
        <f t="shared" ca="1" si="54"/>
        <v>0.12390596696106004</v>
      </c>
      <c r="E1100" s="32">
        <v>0.12089153346608317</v>
      </c>
      <c r="F1100" s="35">
        <f t="shared" ca="1" si="53"/>
        <v>2.8333529342061681E-3</v>
      </c>
    </row>
    <row r="1101" spans="1:6" x14ac:dyDescent="0.25">
      <c r="A1101" s="23">
        <v>1100</v>
      </c>
      <c r="B1101" s="7" cm="1">
        <f t="array" aca="1" ref="B1101" ca="1">interpolexp(A1101,serie_du,Taxas_DI)</f>
        <v>0.12372505100572972</v>
      </c>
      <c r="C1101" s="37">
        <f t="shared" ca="1" si="52"/>
        <v>1.6639305441152483</v>
      </c>
      <c r="D1101" s="36">
        <f t="shared" ca="1" si="54"/>
        <v>0.12390596695987011</v>
      </c>
      <c r="E1101" s="32">
        <v>0.12089305139275641</v>
      </c>
      <c r="F1101" s="35">
        <f t="shared" ca="1" si="53"/>
        <v>2.8319996129733127E-3</v>
      </c>
    </row>
    <row r="1102" spans="1:6" x14ac:dyDescent="0.25">
      <c r="A1102" s="23">
        <v>1101</v>
      </c>
      <c r="B1102" s="7" cm="1">
        <f t="array" aca="1" ref="B1102" ca="1">interpolexp(A1102,serie_du,Taxas_DI)</f>
        <v>0.12372521531214264</v>
      </c>
      <c r="C1102" s="37">
        <f t="shared" ca="1" si="52"/>
        <v>1.664702008116292</v>
      </c>
      <c r="D1102" s="36">
        <f t="shared" ca="1" si="54"/>
        <v>0.1239059669149134</v>
      </c>
      <c r="E1102" s="32">
        <v>0.12089456656210196</v>
      </c>
      <c r="F1102" s="35">
        <f t="shared" ca="1" si="53"/>
        <v>2.8306487500406874E-3</v>
      </c>
    </row>
    <row r="1103" spans="1:6" x14ac:dyDescent="0.25">
      <c r="A1103" s="23">
        <v>1102</v>
      </c>
      <c r="B1103" s="7" cm="1">
        <f t="array" aca="1" ref="B1103" ca="1">interpolexp(A1103,serie_du,Taxas_DI)</f>
        <v>0.12372537932037186</v>
      </c>
      <c r="C1103" s="37">
        <f t="shared" ca="1" si="52"/>
        <v>1.6654738297984841</v>
      </c>
      <c r="D1103" s="36">
        <f t="shared" ca="1" si="54"/>
        <v>0.12390596690296962</v>
      </c>
      <c r="E1103" s="32">
        <v>0.12089607898160271</v>
      </c>
      <c r="F1103" s="35">
        <f t="shared" ca="1" si="53"/>
        <v>2.8293003387691584E-3</v>
      </c>
    </row>
    <row r="1104" spans="1:6" x14ac:dyDescent="0.25">
      <c r="A1104" s="23">
        <v>1103</v>
      </c>
      <c r="B1104" s="7" cm="1">
        <f t="array" aca="1" ref="B1104" ca="1">interpolexp(A1104,serie_du,Taxas_DI)</f>
        <v>0.12372554303121674</v>
      </c>
      <c r="C1104" s="37">
        <f t="shared" ca="1" si="52"/>
        <v>1.6662460093275844</v>
      </c>
      <c r="D1104" s="36">
        <f t="shared" ca="1" si="54"/>
        <v>0.123905966878189</v>
      </c>
      <c r="E1104" s="32">
        <v>0.12089758865874156</v>
      </c>
      <c r="F1104" s="35">
        <f t="shared" ca="1" si="53"/>
        <v>2.8279543724751832E-3</v>
      </c>
    </row>
    <row r="1105" spans="1:6" x14ac:dyDescent="0.25">
      <c r="A1105" s="23">
        <v>1104</v>
      </c>
      <c r="B1105" s="7" cm="1">
        <f t="array" aca="1" ref="B1105" ca="1">interpolexp(A1105,serie_du,Taxas_DI)</f>
        <v>0.12372570644547665</v>
      </c>
      <c r="C1105" s="37">
        <f t="shared" ca="1" si="52"/>
        <v>1.6670185468694476</v>
      </c>
      <c r="D1105" s="36">
        <f t="shared" ca="1" si="54"/>
        <v>0.12390596684376054</v>
      </c>
      <c r="E1105" s="32">
        <v>0.12089909560100143</v>
      </c>
      <c r="F1105" s="35">
        <f t="shared" ca="1" si="53"/>
        <v>2.8266108444752192E-3</v>
      </c>
    </row>
    <row r="1106" spans="1:6" x14ac:dyDescent="0.25">
      <c r="A1106" s="23">
        <v>1105</v>
      </c>
      <c r="B1106" s="7" cm="1">
        <f t="array" aca="1" ref="B1106" ca="1">interpolexp(A1106,serie_du,Taxas_DI)</f>
        <v>0.12372586956397313</v>
      </c>
      <c r="C1106" s="37">
        <f t="shared" ca="1" si="52"/>
        <v>1.6677914425901696</v>
      </c>
      <c r="D1106" s="36">
        <f t="shared" ca="1" si="54"/>
        <v>0.12390596682754795</v>
      </c>
      <c r="E1106" s="32">
        <v>0.12090059981577639</v>
      </c>
      <c r="F1106" s="35">
        <f t="shared" ca="1" si="53"/>
        <v>2.8252697481967459E-3</v>
      </c>
    </row>
    <row r="1107" spans="1:6" x14ac:dyDescent="0.25">
      <c r="A1107" s="23">
        <v>1106</v>
      </c>
      <c r="B1107" s="7" cm="1">
        <f t="array" aca="1" ref="B1107" ca="1">interpolexp(A1107,serie_du,Taxas_DI)</f>
        <v>0.12372603238748336</v>
      </c>
      <c r="C1107" s="37">
        <f t="shared" ca="1" si="52"/>
        <v>1.6685646966556533</v>
      </c>
      <c r="D1107" s="36">
        <f t="shared" ca="1" si="54"/>
        <v>0.12390596678359733</v>
      </c>
      <c r="E1107" s="32">
        <v>0.12090210131048273</v>
      </c>
      <c r="F1107" s="35">
        <f t="shared" ca="1" si="53"/>
        <v>2.8239310770006298E-3</v>
      </c>
    </row>
    <row r="1108" spans="1:6" x14ac:dyDescent="0.25">
      <c r="A1108" s="23">
        <v>1107</v>
      </c>
      <c r="B1108" s="7" cm="1">
        <f t="array" aca="1" ref="B1108" ca="1">interpolexp(A1108,serie_du,Taxas_DI)</f>
        <v>0.12372619491685111</v>
      </c>
      <c r="C1108" s="37">
        <f t="shared" ca="1" si="52"/>
        <v>1.6693383092323308</v>
      </c>
      <c r="D1108" s="36">
        <f t="shared" ca="1" si="54"/>
        <v>0.12390596678881738</v>
      </c>
      <c r="E1108" s="32">
        <v>0.12090360009247014</v>
      </c>
      <c r="F1108" s="35">
        <f t="shared" ca="1" si="53"/>
        <v>2.822594824380964E-3</v>
      </c>
    </row>
    <row r="1109" spans="1:6" x14ac:dyDescent="0.25">
      <c r="A1109" s="23">
        <v>1108</v>
      </c>
      <c r="B1109" s="7" cm="1">
        <f t="array" aca="1" ref="B1109" ca="1">interpolexp(A1109,serie_du,Taxas_DI)</f>
        <v>0.12372635715283131</v>
      </c>
      <c r="C1109" s="37">
        <f t="shared" ca="1" si="52"/>
        <v>1.6701122804861519</v>
      </c>
      <c r="D1109" s="36">
        <f t="shared" ca="1" si="54"/>
        <v>0.12390596674821897</v>
      </c>
      <c r="E1109" s="32">
        <v>0.12090509616911049</v>
      </c>
      <c r="F1109" s="35">
        <f t="shared" ca="1" si="53"/>
        <v>2.8212609837208191E-3</v>
      </c>
    </row>
    <row r="1110" spans="1:6" x14ac:dyDescent="0.25">
      <c r="A1110" s="23">
        <v>1109</v>
      </c>
      <c r="B1110" s="7" cm="1">
        <f t="array" aca="1" ref="B1110" ca="1">interpolexp(A1110,serie_du,Taxas_DI)</f>
        <v>0.12372651909622334</v>
      </c>
      <c r="C1110" s="37">
        <f t="shared" ca="1" si="52"/>
        <v>1.6708866105834508</v>
      </c>
      <c r="D1110" s="36">
        <f t="shared" ca="1" si="54"/>
        <v>0.12390596671400966</v>
      </c>
      <c r="E1110" s="32">
        <v>0.12090658954768685</v>
      </c>
      <c r="F1110" s="35">
        <f t="shared" ca="1" si="53"/>
        <v>2.8199295485364928E-3</v>
      </c>
    </row>
    <row r="1111" spans="1:6" x14ac:dyDescent="0.25">
      <c r="A1111" s="23">
        <v>1110</v>
      </c>
      <c r="B1111" s="7" cm="1">
        <f t="array" aca="1" ref="B1111" ca="1">interpolexp(A1111,serie_du,Taxas_DI)</f>
        <v>0.12372668074782656</v>
      </c>
      <c r="C1111" s="37">
        <f t="shared" ca="1" si="52"/>
        <v>1.6716612996906579</v>
      </c>
      <c r="D1111" s="36">
        <f t="shared" ca="1" si="54"/>
        <v>0.12390596668932141</v>
      </c>
      <c r="E1111" s="32">
        <v>0.12090808023552668</v>
      </c>
      <c r="F1111" s="35">
        <f t="shared" ca="1" si="53"/>
        <v>2.8186005122998736E-3</v>
      </c>
    </row>
    <row r="1112" spans="1:6" x14ac:dyDescent="0.25">
      <c r="A1112" s="23">
        <v>1111</v>
      </c>
      <c r="B1112" s="7" cm="1">
        <f t="array" aca="1" ref="B1112" ca="1">interpolexp(A1112,serie_du,Taxas_DI)</f>
        <v>0.12372684210841811</v>
      </c>
      <c r="C1112" s="37">
        <f t="shared" ca="1" si="52"/>
        <v>1.6724363479741542</v>
      </c>
      <c r="D1112" s="36">
        <f t="shared" ca="1" si="54"/>
        <v>0.12390596665277642</v>
      </c>
      <c r="E1112" s="32">
        <v>0.12090956823989085</v>
      </c>
      <c r="F1112" s="35">
        <f t="shared" ca="1" si="53"/>
        <v>2.8172738685272591E-3</v>
      </c>
    </row>
    <row r="1113" spans="1:6" x14ac:dyDescent="0.25">
      <c r="A1113" s="23">
        <v>1112</v>
      </c>
      <c r="B1113" s="7" cm="1">
        <f t="array" aca="1" ref="B1113" ca="1">interpolexp(A1113,serie_du,Taxas_DI)</f>
        <v>0.12372700317881957</v>
      </c>
      <c r="C1113" s="37">
        <f t="shared" ca="1" si="52"/>
        <v>1.6732117556007078</v>
      </c>
      <c r="D1113" s="36">
        <f t="shared" ca="1" si="54"/>
        <v>0.1239059666568727</v>
      </c>
      <c r="E1113" s="32">
        <v>0.12091105356801801</v>
      </c>
      <c r="F1113" s="35">
        <f t="shared" ca="1" si="53"/>
        <v>2.8159496108015603E-3</v>
      </c>
    </row>
    <row r="1114" spans="1:6" x14ac:dyDescent="0.25">
      <c r="A1114" s="23">
        <v>1113</v>
      </c>
      <c r="B1114" s="7" cm="1">
        <f t="array" aca="1" ref="B1114" ca="1">interpolexp(A1114,serie_du,Taxas_DI)</f>
        <v>0.12372716395976369</v>
      </c>
      <c r="C1114" s="37">
        <f t="shared" ca="1" si="52"/>
        <v>1.6739875227365997</v>
      </c>
      <c r="D1114" s="36">
        <f t="shared" ca="1" si="54"/>
        <v>0.12390596660607511</v>
      </c>
      <c r="E1114" s="32">
        <v>0.12091253622710241</v>
      </c>
      <c r="F1114" s="35">
        <f t="shared" ca="1" si="53"/>
        <v>2.814627732661279E-3</v>
      </c>
    </row>
    <row r="1115" spans="1:6" x14ac:dyDescent="0.25">
      <c r="A1115" s="23">
        <v>1114</v>
      </c>
      <c r="B1115" s="7" cm="1">
        <f t="array" aca="1" ref="B1115" ca="1">interpolexp(A1115,serie_du,Taxas_DI)</f>
        <v>0.12372732445207202</v>
      </c>
      <c r="C1115" s="37">
        <f t="shared" ca="1" si="52"/>
        <v>1.6747636495487896</v>
      </c>
      <c r="D1115" s="36">
        <f t="shared" ca="1" si="54"/>
        <v>0.12390596660210318</v>
      </c>
      <c r="E1115" s="32">
        <v>0.12091401622433828</v>
      </c>
      <c r="F1115" s="35">
        <f t="shared" ca="1" si="53"/>
        <v>2.8133082277337351E-3</v>
      </c>
    </row>
    <row r="1116" spans="1:6" x14ac:dyDescent="0.25">
      <c r="A1116" s="23">
        <v>1115</v>
      </c>
      <c r="B1116" s="7" cm="1">
        <f t="array" aca="1" ref="B1116" ca="1">interpolexp(A1116,serie_du,Taxas_DI)</f>
        <v>0.12372748465649952</v>
      </c>
      <c r="C1116" s="37">
        <f t="shared" ca="1" si="52"/>
        <v>1.6755401362038957</v>
      </c>
      <c r="D1116" s="36">
        <f t="shared" ca="1" si="54"/>
        <v>0.12390596657415398</v>
      </c>
      <c r="E1116" s="32">
        <v>0.12091549356687548</v>
      </c>
      <c r="F1116" s="35">
        <f t="shared" ca="1" si="53"/>
        <v>2.8119910896240441E-3</v>
      </c>
    </row>
    <row r="1117" spans="1:6" x14ac:dyDescent="0.25">
      <c r="A1117" s="23">
        <v>1116</v>
      </c>
      <c r="B1117" s="7" cm="1">
        <f t="array" aca="1" ref="B1117" ca="1">interpolexp(A1117,serie_du,Taxas_DI)</f>
        <v>0.12372764457380114</v>
      </c>
      <c r="C1117" s="37">
        <f t="shared" ca="1" si="52"/>
        <v>1.67631698286863</v>
      </c>
      <c r="D1117" s="36">
        <f t="shared" ca="1" si="54"/>
        <v>0.12390596652504526</v>
      </c>
      <c r="E1117" s="32">
        <v>0.12091696826188603</v>
      </c>
      <c r="F1117" s="35">
        <f t="shared" ca="1" si="53"/>
        <v>2.8106763119151168E-3</v>
      </c>
    </row>
    <row r="1118" spans="1:6" x14ac:dyDescent="0.25">
      <c r="A1118" s="23">
        <v>1117</v>
      </c>
      <c r="B1118" s="7" cm="1">
        <f t="array" aca="1" ref="B1118" ca="1">interpolexp(A1118,serie_du,Taxas_DI)</f>
        <v>0.12372780420477625</v>
      </c>
      <c r="C1118" s="37">
        <f t="shared" ca="1" si="52"/>
        <v>1.6770941897100944</v>
      </c>
      <c r="D1118" s="36">
        <f t="shared" ca="1" si="54"/>
        <v>0.12390596650764518</v>
      </c>
      <c r="E1118" s="32">
        <v>0.12091844031647536</v>
      </c>
      <c r="F1118" s="35">
        <f t="shared" ca="1" si="53"/>
        <v>2.8093638883008865E-3</v>
      </c>
    </row>
    <row r="1119" spans="1:6" x14ac:dyDescent="0.25">
      <c r="A1119" s="23">
        <v>1118</v>
      </c>
      <c r="B1119" s="7" cm="1">
        <f t="array" aca="1" ref="B1119" ca="1">interpolexp(A1119,serie_du,Taxas_DI)</f>
        <v>0.12372796355020199</v>
      </c>
      <c r="C1119" s="37">
        <f t="shared" ca="1" si="52"/>
        <v>1.6778717568953394</v>
      </c>
      <c r="D1119" s="36">
        <f t="shared" ca="1" si="54"/>
        <v>0.12390596650003327</v>
      </c>
      <c r="E1119" s="32">
        <v>0.1209199097377045</v>
      </c>
      <c r="F1119" s="35">
        <f t="shared" ca="1" si="53"/>
        <v>2.8080538124974908E-3</v>
      </c>
    </row>
    <row r="1120" spans="1:6" x14ac:dyDescent="0.25">
      <c r="A1120" s="23">
        <v>1119</v>
      </c>
      <c r="B1120" s="7" cm="1">
        <f t="array" aca="1" ref="B1120" ca="1">interpolexp(A1120,serie_du,Taxas_DI)</f>
        <v>0.12372812261083332</v>
      </c>
      <c r="C1120" s="37">
        <f t="shared" ca="1" si="52"/>
        <v>1.6786496845913654</v>
      </c>
      <c r="D1120" s="36">
        <f t="shared" ca="1" si="54"/>
        <v>0.12390596648080976</v>
      </c>
      <c r="E1120" s="32">
        <v>0.12092137653263446</v>
      </c>
      <c r="F1120" s="35">
        <f t="shared" ca="1" si="53"/>
        <v>2.8067460781988629E-3</v>
      </c>
    </row>
    <row r="1121" spans="1:6" x14ac:dyDescent="0.25">
      <c r="A1121" s="23">
        <v>1120</v>
      </c>
      <c r="B1121" s="7" cm="1">
        <f t="array" aca="1" ref="B1121" ca="1">interpolexp(A1121,serie_du,Taxas_DI)</f>
        <v>0.12372828138740299</v>
      </c>
      <c r="C1121" s="37">
        <f t="shared" ca="1" si="52"/>
        <v>1.6794279729651196</v>
      </c>
      <c r="D1121" s="36">
        <f t="shared" ca="1" si="54"/>
        <v>0.12390596642781238</v>
      </c>
      <c r="E1121" s="32">
        <v>0.12092284070832626</v>
      </c>
      <c r="F1121" s="35">
        <f t="shared" ca="1" si="53"/>
        <v>2.8054406790767317E-3</v>
      </c>
    </row>
    <row r="1122" spans="1:6" x14ac:dyDescent="0.25">
      <c r="A1122" s="23">
        <v>1121</v>
      </c>
      <c r="B1122" s="7" cm="1">
        <f t="array" aca="1" ref="B1122" ca="1">interpolexp(A1122,serie_du,Taxas_DI)</f>
        <v>0.12372843988071036</v>
      </c>
      <c r="C1122" s="37">
        <f t="shared" ca="1" si="52"/>
        <v>1.6802066221840868</v>
      </c>
      <c r="D1122" s="36">
        <f t="shared" ca="1" si="54"/>
        <v>0.123905966418836</v>
      </c>
      <c r="E1122" s="32">
        <v>0.1209243022717521</v>
      </c>
      <c r="F1122" s="35">
        <f t="shared" ca="1" si="53"/>
        <v>2.804137608958257E-3</v>
      </c>
    </row>
    <row r="1123" spans="1:6" x14ac:dyDescent="0.25">
      <c r="A1123" s="23">
        <v>1122</v>
      </c>
      <c r="B1123" s="7" cm="1">
        <f t="array" aca="1" ref="B1123" ca="1">interpolexp(A1123,serie_du,Taxas_DI)</f>
        <v>0.12372859809148817</v>
      </c>
      <c r="C1123" s="37">
        <f t="shared" ca="1" si="52"/>
        <v>1.6809856324154056</v>
      </c>
      <c r="D1123" s="36">
        <f t="shared" ca="1" si="54"/>
        <v>0.12390596638224682</v>
      </c>
      <c r="E1123" s="32">
        <v>0.1209257612299286</v>
      </c>
      <c r="F1123" s="35">
        <f t="shared" ca="1" si="53"/>
        <v>2.8028368615595767E-3</v>
      </c>
    </row>
    <row r="1124" spans="1:6" x14ac:dyDescent="0.25">
      <c r="A1124" s="23">
        <v>1123</v>
      </c>
      <c r="B1124" s="7" cm="1">
        <f t="array" aca="1" ref="B1124" ca="1">interpolexp(A1124,serie_du,Taxas_DI)</f>
        <v>0.12372875602051359</v>
      </c>
      <c r="C1124" s="37">
        <f t="shared" ca="1" si="52"/>
        <v>1.681765003826605</v>
      </c>
      <c r="D1124" s="36">
        <f t="shared" ca="1" si="54"/>
        <v>0.12390596637092877</v>
      </c>
      <c r="E1124" s="32">
        <v>0.12092721758980574</v>
      </c>
      <c r="F1124" s="35">
        <f t="shared" ca="1" si="53"/>
        <v>2.8015384307078506E-3</v>
      </c>
    </row>
    <row r="1125" spans="1:6" x14ac:dyDescent="0.25">
      <c r="A1125" s="23">
        <v>1124</v>
      </c>
      <c r="B1125" s="7" cm="1">
        <f t="array" aca="1" ref="B1125" ca="1">interpolexp(A1125,serie_du,Taxas_DI)</f>
        <v>0.12372891366851935</v>
      </c>
      <c r="C1125" s="37">
        <f t="shared" ca="1" si="52"/>
        <v>1.6825447365850141</v>
      </c>
      <c r="D1125" s="36">
        <f t="shared" ca="1" si="54"/>
        <v>0.12390596633797224</v>
      </c>
      <c r="E1125" s="32">
        <v>0.12092867135831131</v>
      </c>
      <c r="F1125" s="35">
        <f t="shared" ca="1" si="53"/>
        <v>2.8002423102080343E-3</v>
      </c>
    </row>
    <row r="1126" spans="1:6" x14ac:dyDescent="0.25">
      <c r="A1126" s="23">
        <v>1125</v>
      </c>
      <c r="B1126" s="7" cm="1">
        <f t="array" aca="1" ref="B1126" ca="1">interpolexp(A1126,serie_du,Taxas_DI)</f>
        <v>0.12372907103628261</v>
      </c>
      <c r="C1126" s="37">
        <f t="shared" ca="1" si="52"/>
        <v>1.6833248308583537</v>
      </c>
      <c r="D1126" s="36">
        <f t="shared" ca="1" si="54"/>
        <v>0.12390596633634199</v>
      </c>
      <c r="E1126" s="32">
        <v>0.12093012254235092</v>
      </c>
      <c r="F1126" s="35">
        <f t="shared" ca="1" si="53"/>
        <v>2.7989484939316966E-3</v>
      </c>
    </row>
    <row r="1127" spans="1:6" x14ac:dyDescent="0.25">
      <c r="A1127" s="23">
        <v>1126</v>
      </c>
      <c r="B1127" s="7" cm="1">
        <f t="array" aca="1" ref="B1127" ca="1">interpolexp(A1127,serie_du,Taxas_DI)</f>
        <v>0.12372922812451392</v>
      </c>
      <c r="C1127" s="37">
        <f t="shared" ca="1" si="52"/>
        <v>1.684105286813995</v>
      </c>
      <c r="D1127" s="36">
        <f t="shared" ca="1" si="54"/>
        <v>0.12390596629417461</v>
      </c>
      <c r="E1127" s="32">
        <v>0.12093157114885233</v>
      </c>
      <c r="F1127" s="35">
        <f t="shared" ca="1" si="53"/>
        <v>2.7976569756615888E-3</v>
      </c>
    </row>
    <row r="1128" spans="1:6" x14ac:dyDescent="0.25">
      <c r="A1128" s="23">
        <v>1127</v>
      </c>
      <c r="B1128" s="7" cm="1">
        <f t="array" aca="1" ref="B1128" ca="1">interpolexp(A1128,serie_du,Taxas_DI)</f>
        <v>0.12372938493396823</v>
      </c>
      <c r="C1128" s="37">
        <f t="shared" ca="1" si="52"/>
        <v>1.6848861046197012</v>
      </c>
      <c r="D1128" s="36">
        <f t="shared" ca="1" si="54"/>
        <v>0.12390596626425077</v>
      </c>
      <c r="E1128" s="32">
        <v>0.12093301718461014</v>
      </c>
      <c r="F1128" s="35">
        <f t="shared" ca="1" si="53"/>
        <v>2.7963677493580974E-3</v>
      </c>
    </row>
    <row r="1129" spans="1:6" x14ac:dyDescent="0.25">
      <c r="A1129" s="23">
        <v>1128</v>
      </c>
      <c r="B1129" s="7" cm="1">
        <f t="array" aca="1" ref="B1129" ca="1">interpolexp(A1129,serie_du,Taxas_DI)</f>
        <v>0.12372954146540049</v>
      </c>
      <c r="C1129" s="37">
        <f t="shared" ca="1" si="52"/>
        <v>1.6856672844433314</v>
      </c>
      <c r="D1129" s="36">
        <f t="shared" ca="1" si="54"/>
        <v>0.12390596624966621</v>
      </c>
      <c r="E1129" s="32">
        <v>0.1209344606565077</v>
      </c>
      <c r="F1129" s="35">
        <f t="shared" ca="1" si="53"/>
        <v>2.7950808088927914E-3</v>
      </c>
    </row>
    <row r="1130" spans="1:6" x14ac:dyDescent="0.25">
      <c r="A1130" s="23">
        <v>1129</v>
      </c>
      <c r="B1130" s="7" cm="1">
        <f t="array" aca="1" ref="B1130" ca="1">interpolexp(A1130,serie_du,Taxas_DI)</f>
        <v>0.12372969771952125</v>
      </c>
      <c r="C1130" s="37">
        <f t="shared" ca="1" si="52"/>
        <v>1.6864488264525417</v>
      </c>
      <c r="D1130" s="36">
        <f t="shared" ca="1" si="54"/>
        <v>0.12390596620329375</v>
      </c>
      <c r="E1130" s="32">
        <v>0.1209359015713396</v>
      </c>
      <c r="F1130" s="35">
        <f t="shared" ca="1" si="53"/>
        <v>2.7937961481816487E-3</v>
      </c>
    </row>
    <row r="1131" spans="1:6" x14ac:dyDescent="0.25">
      <c r="A1131" s="23">
        <v>1130</v>
      </c>
      <c r="B1131" s="7" cm="1">
        <f t="array" aca="1" ref="B1131" ca="1">interpolexp(A1131,serie_du,Taxas_DI)</f>
        <v>0.12372985369710765</v>
      </c>
      <c r="C1131" s="37">
        <f t="shared" ca="1" si="52"/>
        <v>1.6872307308155314</v>
      </c>
      <c r="D1131" s="36">
        <f t="shared" ca="1" si="54"/>
        <v>0.1239059662032318</v>
      </c>
      <c r="E1131" s="32">
        <v>0.12093733993590039</v>
      </c>
      <c r="F1131" s="35">
        <f t="shared" ca="1" si="53"/>
        <v>2.7925137612072604E-3</v>
      </c>
    </row>
    <row r="1132" spans="1:6" x14ac:dyDescent="0.25">
      <c r="A1132" s="23">
        <v>1131</v>
      </c>
      <c r="B1132" s="7" cm="1">
        <f t="array" aca="1" ref="B1132" ca="1">interpolexp(A1132,serie_du,Taxas_DI)</f>
        <v>0.12373000939886047</v>
      </c>
      <c r="C1132" s="37">
        <f t="shared" ca="1" si="52"/>
        <v>1.688012997700082</v>
      </c>
      <c r="D1132" s="36">
        <f t="shared" ca="1" si="54"/>
        <v>0.12390596616619498</v>
      </c>
      <c r="E1132" s="32">
        <v>0.12093877575698464</v>
      </c>
      <c r="F1132" s="35">
        <f t="shared" ca="1" si="53"/>
        <v>2.7912336418758343E-3</v>
      </c>
    </row>
    <row r="1133" spans="1:6" x14ac:dyDescent="0.25">
      <c r="A1133" s="23">
        <v>1132</v>
      </c>
      <c r="B1133" s="7" cm="1">
        <f t="array" aca="1" ref="B1133" ca="1">interpolexp(A1133,serie_du,Taxas_DI)</f>
        <v>0.12373118101369762</v>
      </c>
      <c r="C1133" s="37">
        <f t="shared" ca="1" si="52"/>
        <v>1.6888024874583722</v>
      </c>
      <c r="D1133" s="36">
        <f t="shared" ca="1" si="54"/>
        <v>0.12505705966573011</v>
      </c>
      <c r="E1133" s="32">
        <v>0.12094020904127589</v>
      </c>
      <c r="F1133" s="35">
        <f t="shared" ca="1" si="53"/>
        <v>2.7909719724217297E-3</v>
      </c>
    </row>
    <row r="1134" spans="1:6" x14ac:dyDescent="0.25">
      <c r="A1134" s="23">
        <v>1133</v>
      </c>
      <c r="B1134" s="7" cm="1">
        <f t="array" aca="1" ref="B1134" ca="1">interpolexp(A1134,serie_du,Taxas_DI)</f>
        <v>0.12373235056037934</v>
      </c>
      <c r="C1134" s="37">
        <f t="shared" ca="1" si="52"/>
        <v>1.6895923464556872</v>
      </c>
      <c r="D1134" s="36">
        <f t="shared" ca="1" si="54"/>
        <v>0.12505705829337566</v>
      </c>
      <c r="E1134" s="32">
        <v>0.1209416397955243</v>
      </c>
      <c r="F1134" s="35">
        <f t="shared" ca="1" si="53"/>
        <v>2.7907107648550422E-3</v>
      </c>
    </row>
    <row r="1135" spans="1:6" x14ac:dyDescent="0.25">
      <c r="A1135" s="23">
        <v>1134</v>
      </c>
      <c r="B1135" s="7" cm="1">
        <f t="array" aca="1" ref="B1135" ca="1">interpolexp(A1135,serie_du,Taxas_DI)</f>
        <v>0.12373351804439991</v>
      </c>
      <c r="C1135" s="37">
        <f t="shared" ca="1" si="52"/>
        <v>1.6903825748648909</v>
      </c>
      <c r="D1135" s="36">
        <f t="shared" ca="1" si="54"/>
        <v>0.125057056950717</v>
      </c>
      <c r="E1135" s="32">
        <v>0.12094306802641341</v>
      </c>
      <c r="F1135" s="35">
        <f t="shared" ca="1" si="53"/>
        <v>2.7904500179865011E-3</v>
      </c>
    </row>
    <row r="1136" spans="1:6" x14ac:dyDescent="0.25">
      <c r="A1136" s="23">
        <v>1135</v>
      </c>
      <c r="B1136" s="7" cm="1">
        <f t="array" aca="1" ref="B1136" ca="1">interpolexp(A1136,serie_du,Taxas_DI)</f>
        <v>0.12373468347117722</v>
      </c>
      <c r="C1136" s="37">
        <f t="shared" ca="1" si="52"/>
        <v>1.6911731728585415</v>
      </c>
      <c r="D1136" s="36">
        <f t="shared" ca="1" si="54"/>
        <v>0.12505705557298419</v>
      </c>
      <c r="E1136" s="32">
        <v>0.12094449374060456</v>
      </c>
      <c r="F1136" s="35">
        <f t="shared" ca="1" si="53"/>
        <v>2.7901897305726564E-3</v>
      </c>
    </row>
    <row r="1137" spans="1:6" x14ac:dyDescent="0.25">
      <c r="A1137" s="23">
        <v>1136</v>
      </c>
      <c r="B1137" s="7" cm="1">
        <f t="array" aca="1" ref="B1137" ca="1">interpolexp(A1137,serie_du,Taxas_DI)</f>
        <v>0.12373584684615135</v>
      </c>
      <c r="C1137" s="37">
        <f t="shared" ca="1" si="52"/>
        <v>1.6919641406095582</v>
      </c>
      <c r="D1137" s="36">
        <f t="shared" ca="1" si="54"/>
        <v>0.12505705420706503</v>
      </c>
      <c r="E1137" s="32">
        <v>0.1209459169447813</v>
      </c>
      <c r="F1137" s="35">
        <f t="shared" ca="1" si="53"/>
        <v>2.7899299013700585E-3</v>
      </c>
    </row>
    <row r="1138" spans="1:6" x14ac:dyDescent="0.25">
      <c r="A1138" s="23">
        <v>1137</v>
      </c>
      <c r="B1138" s="7" cm="1">
        <f t="array" aca="1" ref="B1138" ca="1">interpolexp(A1138,serie_du,Taxas_DI)</f>
        <v>0.12373700817476241</v>
      </c>
      <c r="C1138" s="37">
        <f t="shared" ca="1" si="52"/>
        <v>1.6927554782910714</v>
      </c>
      <c r="D1138" s="36">
        <f t="shared" ca="1" si="54"/>
        <v>0.12505705287482827</v>
      </c>
      <c r="E1138" s="32">
        <v>0.12094733764551613</v>
      </c>
      <c r="F1138" s="35">
        <f t="shared" ca="1" si="53"/>
        <v>2.7896705292462798E-3</v>
      </c>
    </row>
    <row r="1139" spans="1:6" x14ac:dyDescent="0.25">
      <c r="A1139" s="23">
        <v>1138</v>
      </c>
      <c r="B1139" s="7" cm="1">
        <f t="array" aca="1" ref="B1139" ca="1">interpolexp(A1139,serie_du,Taxas_DI)</f>
        <v>0.12373816746238386</v>
      </c>
      <c r="C1139" s="37">
        <f t="shared" ca="1" si="52"/>
        <v>1.6935471860759688</v>
      </c>
      <c r="D1139" s="36">
        <f t="shared" ca="1" si="54"/>
        <v>0.12505705152211322</v>
      </c>
      <c r="E1139" s="32">
        <v>0.1209487558494482</v>
      </c>
      <c r="F1139" s="35">
        <f t="shared" ca="1" si="53"/>
        <v>2.7894116129356661E-3</v>
      </c>
    </row>
    <row r="1140" spans="1:6" x14ac:dyDescent="0.25">
      <c r="A1140" s="23">
        <v>1139</v>
      </c>
      <c r="B1140" s="7" cm="1">
        <f t="array" aca="1" ref="B1140" ca="1">interpolexp(A1140,serie_du,Taxas_DI)</f>
        <v>0.1237393247143892</v>
      </c>
      <c r="C1140" s="37">
        <f t="shared" ca="1" si="52"/>
        <v>1.6943392641373474</v>
      </c>
      <c r="D1140" s="36">
        <f t="shared" ca="1" si="54"/>
        <v>0.12505705017038138</v>
      </c>
      <c r="E1140" s="32">
        <v>0.12095017156315002</v>
      </c>
      <c r="F1140" s="35">
        <f t="shared" ca="1" si="53"/>
        <v>2.7891531512391765E-3</v>
      </c>
    </row>
    <row r="1141" spans="1:6" x14ac:dyDescent="0.25">
      <c r="A1141" s="23">
        <v>1140</v>
      </c>
      <c r="B1141" s="7" cm="1">
        <f t="array" aca="1" ref="B1141" ca="1">interpolexp(A1141,serie_du,Taxas_DI)</f>
        <v>0.12374047993615189</v>
      </c>
      <c r="C1141" s="37">
        <f t="shared" ca="1" si="52"/>
        <v>1.6951317126485144</v>
      </c>
      <c r="D1141" s="36">
        <f t="shared" ca="1" si="54"/>
        <v>0.12505704884124902</v>
      </c>
      <c r="E1141" s="32">
        <v>0.12095158479314971</v>
      </c>
      <c r="F1141" s="35">
        <f t="shared" ca="1" si="53"/>
        <v>2.7888951430021791E-3</v>
      </c>
    </row>
    <row r="1142" spans="1:6" x14ac:dyDescent="0.25">
      <c r="A1142" s="23">
        <v>1141</v>
      </c>
      <c r="B1142" s="7" cm="1">
        <f t="array" aca="1" ref="B1142" ca="1">interpolexp(A1142,serie_du,Taxas_DI)</f>
        <v>0.12374163313297881</v>
      </c>
      <c r="C1142" s="37">
        <f t="shared" ca="1" si="52"/>
        <v>1.6959245317825307</v>
      </c>
      <c r="D1142" s="36">
        <f t="shared" ca="1" si="54"/>
        <v>0.12505704747990753</v>
      </c>
      <c r="E1142" s="32">
        <v>0.12095299554597538</v>
      </c>
      <c r="F1142" s="35">
        <f t="shared" ca="1" si="53"/>
        <v>2.7886375870034286E-3</v>
      </c>
    </row>
    <row r="1143" spans="1:6" x14ac:dyDescent="0.25">
      <c r="A1143" s="23">
        <v>1142</v>
      </c>
      <c r="B1143" s="7" cm="1">
        <f t="array" aca="1" ref="B1143" ca="1">interpolexp(A1143,serie_du,Taxas_DI)</f>
        <v>0.12374278431022123</v>
      </c>
      <c r="C1143" s="37">
        <f t="shared" ca="1" si="52"/>
        <v>1.6967177217129699</v>
      </c>
      <c r="D1143" s="36">
        <f t="shared" ca="1" si="54"/>
        <v>0.12505704615863644</v>
      </c>
      <c r="E1143" s="32">
        <v>0.12095440382817735</v>
      </c>
      <c r="F1143" s="35">
        <f t="shared" ca="1" si="53"/>
        <v>2.788380482043884E-3</v>
      </c>
    </row>
    <row r="1144" spans="1:6" x14ac:dyDescent="0.25">
      <c r="A1144" s="23">
        <v>1143</v>
      </c>
      <c r="B1144" s="7" cm="1">
        <f t="array" aca="1" ref="B1144" ca="1">interpolexp(A1144,serie_du,Taxas_DI)</f>
        <v>0.12374393347318602</v>
      </c>
      <c r="C1144" s="37">
        <f t="shared" ca="1" si="52"/>
        <v>1.6975112826133101</v>
      </c>
      <c r="D1144" s="36">
        <f t="shared" ca="1" si="54"/>
        <v>0.12505704484789781</v>
      </c>
      <c r="E1144" s="32">
        <v>0.1209558096461949</v>
      </c>
      <c r="F1144" s="35">
        <f t="shared" ca="1" si="53"/>
        <v>2.7881238269911179E-3</v>
      </c>
    </row>
    <row r="1145" spans="1:6" x14ac:dyDescent="0.25">
      <c r="A1145" s="23">
        <v>1144</v>
      </c>
      <c r="B1145" s="7" cm="1">
        <f t="array" aca="1" ref="B1145" ca="1">interpolexp(A1145,serie_du,Taxas_DI)</f>
        <v>0.12374508062711342</v>
      </c>
      <c r="C1145" s="37">
        <f t="shared" ca="1" si="52"/>
        <v>1.6983052146567816</v>
      </c>
      <c r="D1145" s="36">
        <f t="shared" ca="1" si="54"/>
        <v>0.12505704349258995</v>
      </c>
      <c r="E1145" s="32">
        <v>0.12095721300651174</v>
      </c>
      <c r="F1145" s="35">
        <f t="shared" ca="1" si="53"/>
        <v>2.7878676206016806E-3</v>
      </c>
    </row>
    <row r="1146" spans="1:6" x14ac:dyDescent="0.25">
      <c r="A1146" s="23">
        <v>1145</v>
      </c>
      <c r="B1146" s="7" cm="1">
        <f t="array" aca="1" ref="B1146" ca="1">interpolexp(A1146,serie_du,Taxas_DI)</f>
        <v>0.12374622577731031</v>
      </c>
      <c r="C1146" s="37">
        <f t="shared" ca="1" si="52"/>
        <v>1.6990995180172783</v>
      </c>
      <c r="D1146" s="36">
        <f t="shared" ca="1" si="54"/>
        <v>0.12505704219012315</v>
      </c>
      <c r="E1146" s="32">
        <v>0.12095861391556717</v>
      </c>
      <c r="F1146" s="35">
        <f t="shared" ca="1" si="53"/>
        <v>2.7876118617431445E-3</v>
      </c>
    </row>
    <row r="1147" spans="1:6" x14ac:dyDescent="0.25">
      <c r="A1147" s="23">
        <v>1146</v>
      </c>
      <c r="B1147" s="7" cm="1">
        <f t="array" aca="1" ref="B1147" ca="1">interpolexp(A1147,serie_du,Taxas_DI)</f>
        <v>0.12374736892897253</v>
      </c>
      <c r="C1147" s="37">
        <f t="shared" ca="1" si="52"/>
        <v>1.6998941928681393</v>
      </c>
      <c r="D1147" s="36">
        <f t="shared" ca="1" si="54"/>
        <v>0.12505704083437696</v>
      </c>
      <c r="E1147" s="32">
        <v>0.12096001237978293</v>
      </c>
      <c r="F1147" s="35">
        <f t="shared" ca="1" si="53"/>
        <v>2.7873565491896013E-3</v>
      </c>
    </row>
    <row r="1148" spans="1:6" x14ac:dyDescent="0.25">
      <c r="A1148" s="23">
        <v>1147</v>
      </c>
      <c r="B1148" s="7" cm="1">
        <f t="array" aca="1" ref="B1148" ca="1">interpolexp(A1148,serie_du,Taxas_DI)</f>
        <v>0.12374851008738474</v>
      </c>
      <c r="C1148" s="37">
        <f t="shared" ca="1" si="52"/>
        <v>1.7006892393835218</v>
      </c>
      <c r="D1148" s="36">
        <f t="shared" ca="1" si="54"/>
        <v>0.12505703954815894</v>
      </c>
      <c r="E1148" s="32">
        <v>0.12095934285785148</v>
      </c>
      <c r="F1148" s="35">
        <f t="shared" ca="1" si="53"/>
        <v>2.7891672295332626E-3</v>
      </c>
    </row>
    <row r="1149" spans="1:6" x14ac:dyDescent="0.25">
      <c r="A1149" s="23">
        <v>1148</v>
      </c>
      <c r="B1149" s="7" cm="1">
        <f t="array" aca="1" ref="B1149" ca="1">interpolexp(A1149,serie_du,Taxas_DI)</f>
        <v>0.12374964925772058</v>
      </c>
      <c r="C1149" s="37">
        <f t="shared" ca="1" si="52"/>
        <v>1.7014846577370244</v>
      </c>
      <c r="D1149" s="36">
        <f t="shared" ca="1" si="54"/>
        <v>0.12505703822481529</v>
      </c>
      <c r="E1149" s="32">
        <v>0.120958674502325</v>
      </c>
      <c r="F1149" s="35">
        <f t="shared" ca="1" si="53"/>
        <v>2.790974755395581E-3</v>
      </c>
    </row>
    <row r="1150" spans="1:6" x14ac:dyDescent="0.25">
      <c r="A1150" s="23">
        <v>1149</v>
      </c>
      <c r="B1150" s="7" cm="1">
        <f t="array" aca="1" ref="B1150" ca="1">interpolexp(A1150,serie_du,Taxas_DI)</f>
        <v>0.1237507864451759</v>
      </c>
      <c r="C1150" s="37">
        <f t="shared" ca="1" si="52"/>
        <v>1.7022804481026064</v>
      </c>
      <c r="D1150" s="36">
        <f t="shared" ca="1" si="54"/>
        <v>0.12505703691091674</v>
      </c>
      <c r="E1150" s="32">
        <v>0.12095800731017903</v>
      </c>
      <c r="F1150" s="35">
        <f t="shared" ca="1" si="53"/>
        <v>2.79277913499687E-3</v>
      </c>
    </row>
    <row r="1151" spans="1:6" x14ac:dyDescent="0.25">
      <c r="A1151" s="23">
        <v>1150</v>
      </c>
      <c r="B1151" s="7" cm="1">
        <f t="array" aca="1" ref="B1151" ca="1">interpolexp(A1151,serie_du,Taxas_DI)</f>
        <v>0.12375192165494653</v>
      </c>
      <c r="C1151" s="37">
        <f t="shared" ca="1" si="52"/>
        <v>1.7030766106544317</v>
      </c>
      <c r="D1151" s="36">
        <f t="shared" ca="1" si="54"/>
        <v>0.12505703562697335</v>
      </c>
      <c r="E1151" s="32">
        <v>0.12095734127839375</v>
      </c>
      <c r="F1151" s="35">
        <f t="shared" ca="1" si="53"/>
        <v>2.7945803765527799E-3</v>
      </c>
    </row>
    <row r="1152" spans="1:6" x14ac:dyDescent="0.25">
      <c r="A1152" s="23">
        <v>1151</v>
      </c>
      <c r="B1152" s="7" cm="1">
        <f t="array" aca="1" ref="B1152" ca="1">interpolexp(A1152,serie_du,Taxas_DI)</f>
        <v>0.1237530548921395</v>
      </c>
      <c r="C1152" s="37">
        <f t="shared" ca="1" si="52"/>
        <v>1.7038731455662568</v>
      </c>
      <c r="D1152" s="36">
        <f t="shared" ca="1" si="54"/>
        <v>0.12505703429155379</v>
      </c>
      <c r="E1152" s="32">
        <v>0.12095667640390495</v>
      </c>
      <c r="F1152" s="35">
        <f t="shared" ca="1" si="53"/>
        <v>2.7963784882345522E-3</v>
      </c>
    </row>
    <row r="1153" spans="1:6" x14ac:dyDescent="0.25">
      <c r="A1153" s="23">
        <v>1152</v>
      </c>
      <c r="B1153" s="7" cm="1">
        <f t="array" aca="1" ref="B1153" ca="1">interpolexp(A1153,serie_du,Taxas_DI)</f>
        <v>0.12375418616195066</v>
      </c>
      <c r="C1153" s="37">
        <f t="shared" ca="1" si="52"/>
        <v>1.7046700530126575</v>
      </c>
      <c r="D1153" s="36">
        <f t="shared" ca="1" si="54"/>
        <v>0.12505703302752491</v>
      </c>
      <c r="E1153" s="32">
        <v>0.12095601268371503</v>
      </c>
      <c r="F1153" s="35">
        <f t="shared" ca="1" si="53"/>
        <v>2.7981734782356327E-3</v>
      </c>
    </row>
    <row r="1154" spans="1:6" x14ac:dyDescent="0.25">
      <c r="A1154" s="23">
        <v>1153</v>
      </c>
      <c r="B1154" s="7" cm="1">
        <f t="array" aca="1" ref="B1154" ca="1">interpolexp(A1154,serie_du,Taxas_DI)</f>
        <v>0.12375531546944263</v>
      </c>
      <c r="C1154" s="37">
        <f t="shared" ref="C1154:C1217" ca="1" si="55">(1+B1154)^(A1154/252)</f>
        <v>1.7054673331674917</v>
      </c>
      <c r="D1154" s="36">
        <f t="shared" ca="1" si="54"/>
        <v>0.12505703170192062</v>
      </c>
      <c r="E1154" s="32">
        <v>0.12095535011482639</v>
      </c>
      <c r="F1154" s="35">
        <f t="shared" ref="F1154:F1217" ca="1" si="56">B1154-E1154</f>
        <v>2.7999653546162406E-3</v>
      </c>
    </row>
    <row r="1155" spans="1:6" x14ac:dyDescent="0.25">
      <c r="A1155" s="23">
        <v>1154</v>
      </c>
      <c r="B1155" s="7" cm="1">
        <f t="array" aca="1" ref="B1155" ca="1">interpolexp(A1155,serie_du,Taxas_DI)</f>
        <v>0.12375644281974463</v>
      </c>
      <c r="C1155" s="37">
        <f t="shared" ca="1" si="55"/>
        <v>1.7062649862052837</v>
      </c>
      <c r="D1155" s="36">
        <f t="shared" ca="1" si="54"/>
        <v>0.12505703041193428</v>
      </c>
      <c r="E1155" s="32">
        <v>0.12095468869424142</v>
      </c>
      <c r="F1155" s="35">
        <f t="shared" ca="1" si="56"/>
        <v>2.8017541255032086E-3</v>
      </c>
    </row>
    <row r="1156" spans="1:6" x14ac:dyDescent="0.25">
      <c r="A1156" s="23">
        <v>1155</v>
      </c>
      <c r="B1156" s="7" cm="1">
        <f t="array" aca="1" ref="B1156" ca="1">interpolexp(A1156,serie_du,Taxas_DI)</f>
        <v>0.12375756821794148</v>
      </c>
      <c r="C1156" s="37">
        <f t="shared" ca="1" si="55"/>
        <v>1.7070630123004535</v>
      </c>
      <c r="D1156" s="36">
        <f t="shared" ref="D1156:D1219" ca="1" si="57">((((1+B1156)^(A1156/252))/((1+B1155)^(A1155/252)))^(252/1))-1</f>
        <v>0.12505702912678229</v>
      </c>
      <c r="E1156" s="32">
        <v>0.12095402841896252</v>
      </c>
      <c r="F1156" s="35">
        <f t="shared" ca="1" si="56"/>
        <v>2.8035397989789601E-3</v>
      </c>
    </row>
    <row r="1157" spans="1:6" x14ac:dyDescent="0.25">
      <c r="A1157" s="23">
        <v>1156</v>
      </c>
      <c r="B1157" s="7" cm="1">
        <f t="array" aca="1" ref="B1157" ca="1">interpolexp(A1157,serie_du,Taxas_DI)</f>
        <v>0.12375869166909581</v>
      </c>
      <c r="C1157" s="37">
        <f t="shared" ca="1" si="55"/>
        <v>1.7078614116274711</v>
      </c>
      <c r="D1157" s="36">
        <f t="shared" ca="1" si="57"/>
        <v>0.12505702784101413</v>
      </c>
      <c r="E1157" s="32">
        <v>0.12095336928605871</v>
      </c>
      <c r="F1157" s="35">
        <f t="shared" ca="1" si="56"/>
        <v>2.805322383037101E-3</v>
      </c>
    </row>
    <row r="1158" spans="1:6" x14ac:dyDescent="0.25">
      <c r="A1158" s="23">
        <v>1157</v>
      </c>
      <c r="B1158" s="7" cm="1">
        <f t="array" aca="1" ref="B1158" ca="1">interpolexp(A1158,serie_du,Taxas_DI)</f>
        <v>0.12375981317827023</v>
      </c>
      <c r="C1158" s="37">
        <f t="shared" ca="1" si="55"/>
        <v>1.7086601843610096</v>
      </c>
      <c r="D1158" s="36">
        <f t="shared" ca="1" si="57"/>
        <v>0.12505702657497886</v>
      </c>
      <c r="E1158" s="32">
        <v>0.12095271129253238</v>
      </c>
      <c r="F1158" s="35">
        <f t="shared" ca="1" si="56"/>
        <v>2.8071018857378505E-3</v>
      </c>
    </row>
    <row r="1159" spans="1:6" x14ac:dyDescent="0.25">
      <c r="A1159" s="23">
        <v>1158</v>
      </c>
      <c r="B1159" s="7" cm="1">
        <f t="array" aca="1" ref="B1159" ca="1">interpolexp(A1159,serie_du,Taxas_DI)</f>
        <v>0.12376093275046074</v>
      </c>
      <c r="C1159" s="37">
        <f t="shared" ca="1" si="55"/>
        <v>1.7094593306754811</v>
      </c>
      <c r="D1159" s="36">
        <f t="shared" ca="1" si="57"/>
        <v>0.12505702527173512</v>
      </c>
      <c r="E1159" s="32">
        <v>0.12095205443543033</v>
      </c>
      <c r="F1159" s="35">
        <f t="shared" ca="1" si="56"/>
        <v>2.8088783150304053E-3</v>
      </c>
    </row>
    <row r="1160" spans="1:6" x14ac:dyDescent="0.25">
      <c r="A1160" s="23">
        <v>1159</v>
      </c>
      <c r="B1160" s="7" cm="1">
        <f t="array" aca="1" ref="B1160" ca="1">interpolexp(A1160,serie_du,Taxas_DI)</f>
        <v>0.12376205039070776</v>
      </c>
      <c r="C1160" s="37">
        <f t="shared" ca="1" si="55"/>
        <v>1.7102588507458096</v>
      </c>
      <c r="D1160" s="36">
        <f t="shared" ca="1" si="57"/>
        <v>0.12505702400274066</v>
      </c>
      <c r="E1160" s="32">
        <v>0.12095139871184379</v>
      </c>
      <c r="F1160" s="35">
        <f t="shared" ca="1" si="56"/>
        <v>2.8106516788639624E-3</v>
      </c>
    </row>
    <row r="1161" spans="1:6" x14ac:dyDescent="0.25">
      <c r="A1161" s="23">
        <v>1160</v>
      </c>
      <c r="B1161" s="7" cm="1">
        <f t="array" aca="1" ref="B1161" ca="1">interpolexp(A1161,serie_du,Taxas_DI)</f>
        <v>0.12376316610400728</v>
      </c>
      <c r="C1161" s="37">
        <f t="shared" ca="1" si="55"/>
        <v>1.7110587447468129</v>
      </c>
      <c r="D1161" s="36">
        <f t="shared" ca="1" si="57"/>
        <v>0.12505702273666652</v>
      </c>
      <c r="E1161" s="32">
        <v>0.12095074411879736</v>
      </c>
      <c r="F1161" s="35">
        <f t="shared" ca="1" si="56"/>
        <v>2.812421985209923E-3</v>
      </c>
    </row>
    <row r="1162" spans="1:6" x14ac:dyDescent="0.25">
      <c r="A1162" s="23">
        <v>1161</v>
      </c>
      <c r="B1162" s="7" cm="1">
        <f t="array" aca="1" ref="B1162" ca="1">interpolexp(A1162,serie_du,Taxas_DI)</f>
        <v>0.12376427989531091</v>
      </c>
      <c r="C1162" s="37">
        <f t="shared" ca="1" si="55"/>
        <v>1.7118590128531983</v>
      </c>
      <c r="D1162" s="36">
        <f t="shared" ca="1" si="57"/>
        <v>0.12505702144177233</v>
      </c>
      <c r="E1162" s="32">
        <v>0.12095009065340445</v>
      </c>
      <c r="F1162" s="35">
        <f t="shared" ca="1" si="56"/>
        <v>2.8141892419064618E-3</v>
      </c>
    </row>
    <row r="1163" spans="1:6" x14ac:dyDescent="0.25">
      <c r="A1163" s="23">
        <v>1162</v>
      </c>
      <c r="B1163" s="7" cm="1">
        <f t="array" aca="1" ref="B1163" ca="1">interpolexp(A1163,serie_du,Taxas_DI)</f>
        <v>0.12376539176963686</v>
      </c>
      <c r="C1163" s="37">
        <f t="shared" ca="1" si="55"/>
        <v>1.7126596552403435</v>
      </c>
      <c r="D1163" s="36">
        <f t="shared" ca="1" si="57"/>
        <v>0.12505702021546394</v>
      </c>
      <c r="E1163" s="32">
        <v>0.12094943831273408</v>
      </c>
      <c r="F1163" s="35">
        <f t="shared" ca="1" si="56"/>
        <v>2.8159534569027755E-3</v>
      </c>
    </row>
    <row r="1164" spans="1:6" x14ac:dyDescent="0.25">
      <c r="A1164" s="23">
        <v>1163</v>
      </c>
      <c r="B1164" s="7" cm="1">
        <f t="array" aca="1" ref="B1164" ca="1">interpolexp(A1164,serie_du,Taxas_DI)</f>
        <v>0.12376650173187009</v>
      </c>
      <c r="C1164" s="37">
        <f t="shared" ca="1" si="55"/>
        <v>1.713460672082892</v>
      </c>
      <c r="D1164" s="36">
        <f t="shared" ca="1" si="57"/>
        <v>0.12505701892266963</v>
      </c>
      <c r="E1164" s="32">
        <v>0.12094878709389967</v>
      </c>
      <c r="F1164" s="35">
        <f t="shared" ca="1" si="56"/>
        <v>2.8177146379704254E-3</v>
      </c>
    </row>
    <row r="1165" spans="1:6" x14ac:dyDescent="0.25">
      <c r="A1165" s="23">
        <v>1164</v>
      </c>
      <c r="B1165" s="7" cm="1">
        <f t="array" aca="1" ref="B1165" ca="1">interpolexp(A1165,serie_du,Taxas_DI)</f>
        <v>0.12376760978696222</v>
      </c>
      <c r="C1165" s="37">
        <f t="shared" ca="1" si="55"/>
        <v>1.7142620635561563</v>
      </c>
      <c r="D1165" s="36">
        <f t="shared" ca="1" si="57"/>
        <v>0.12505701766058852</v>
      </c>
      <c r="E1165" s="32">
        <v>0.12094813699399243</v>
      </c>
      <c r="F1165" s="35">
        <f t="shared" ca="1" si="56"/>
        <v>2.8194727929697905E-3</v>
      </c>
    </row>
    <row r="1166" spans="1:6" x14ac:dyDescent="0.25">
      <c r="A1166" s="23">
        <v>1165</v>
      </c>
      <c r="B1166" s="7" cm="1">
        <f t="array" aca="1" ref="B1166" ca="1">interpolexp(A1166,serie_du,Taxas_DI)</f>
        <v>0.12376871593984262</v>
      </c>
      <c r="C1166" s="37">
        <f t="shared" ca="1" si="55"/>
        <v>1.7150638298354943</v>
      </c>
      <c r="D1166" s="36">
        <f t="shared" ca="1" si="57"/>
        <v>0.12505701642310707</v>
      </c>
      <c r="E1166" s="32">
        <v>0.12094748801014799</v>
      </c>
      <c r="F1166" s="35">
        <f t="shared" ca="1" si="56"/>
        <v>2.8212279296946363E-3</v>
      </c>
    </row>
    <row r="1167" spans="1:6" x14ac:dyDescent="0.25">
      <c r="A1167" s="23">
        <v>1166</v>
      </c>
      <c r="B1167" s="7" cm="1">
        <f t="array" aca="1" ref="B1167" ca="1">interpolexp(A1167,serie_du,Taxas_DI)</f>
        <v>0.12376982019537408</v>
      </c>
      <c r="C1167" s="37">
        <f t="shared" ca="1" si="55"/>
        <v>1.7158659710959951</v>
      </c>
      <c r="D1167" s="36">
        <f t="shared" ca="1" si="57"/>
        <v>0.12505701515231205</v>
      </c>
      <c r="E1167" s="32">
        <v>0.12094684013947976</v>
      </c>
      <c r="F1167" s="35">
        <f t="shared" ca="1" si="56"/>
        <v>2.8229800558943197E-3</v>
      </c>
    </row>
    <row r="1168" spans="1:6" x14ac:dyDescent="0.25">
      <c r="A1168" s="23">
        <v>1167</v>
      </c>
      <c r="B1168" s="7" cm="1">
        <f t="array" aca="1" ref="B1168" ca="1">interpolexp(A1168,serie_du,Taxas_DI)</f>
        <v>0.12377092255844158</v>
      </c>
      <c r="C1168" s="37">
        <f t="shared" ca="1" si="55"/>
        <v>1.716668487513104</v>
      </c>
      <c r="D1168" s="36">
        <f t="shared" ca="1" si="57"/>
        <v>0.12505701389349033</v>
      </c>
      <c r="E1168" s="32">
        <v>0.12094619337914558</v>
      </c>
      <c r="F1168" s="35">
        <f t="shared" ca="1" si="56"/>
        <v>2.8247291792959928E-3</v>
      </c>
    </row>
    <row r="1169" spans="1:6" x14ac:dyDescent="0.25">
      <c r="A1169" s="23">
        <v>1168</v>
      </c>
      <c r="B1169" s="7" cm="1">
        <f t="array" aca="1" ref="B1169" ca="1">interpolexp(A1169,serie_du,Taxas_DI)</f>
        <v>0.12377202303395229</v>
      </c>
      <c r="C1169" s="37">
        <f t="shared" ca="1" si="55"/>
        <v>1.7174713792626242</v>
      </c>
      <c r="D1169" s="36">
        <f t="shared" ca="1" si="57"/>
        <v>0.12505701269213643</v>
      </c>
      <c r="E1169" s="32">
        <v>0.12094554772625887</v>
      </c>
      <c r="F1169" s="35">
        <f t="shared" ca="1" si="56"/>
        <v>2.8264753076934213E-3</v>
      </c>
    </row>
    <row r="1170" spans="1:6" x14ac:dyDescent="0.25">
      <c r="A1170" s="23">
        <v>1169</v>
      </c>
      <c r="B1170" s="7" cm="1">
        <f t="array" aca="1" ref="B1170" ca="1">interpolexp(A1170,serie_du,Taxas_DI)</f>
        <v>0.12377312162668019</v>
      </c>
      <c r="C1170" s="37">
        <f t="shared" ca="1" si="55"/>
        <v>1.7182746465196155</v>
      </c>
      <c r="D1170" s="36">
        <f t="shared" ca="1" si="57"/>
        <v>0.12505701141196512</v>
      </c>
      <c r="E1170" s="32">
        <v>0.12094490317802187</v>
      </c>
      <c r="F1170" s="35">
        <f t="shared" ca="1" si="56"/>
        <v>2.8282184486583262E-3</v>
      </c>
    </row>
    <row r="1171" spans="1:6" x14ac:dyDescent="0.25">
      <c r="A1171" s="23">
        <v>1170</v>
      </c>
      <c r="B1171" s="7" cm="1">
        <f t="array" aca="1" ref="B1171" ca="1">interpolexp(A1171,serie_du,Taxas_DI)</f>
        <v>0.12377421834148805</v>
      </c>
      <c r="C1171" s="37">
        <f t="shared" ca="1" si="55"/>
        <v>1.7190782894599665</v>
      </c>
      <c r="D1171" s="36">
        <f t="shared" ca="1" si="57"/>
        <v>0.12505701017627002</v>
      </c>
      <c r="E1171" s="32">
        <v>0.12094425973157019</v>
      </c>
      <c r="F1171" s="35">
        <f t="shared" ca="1" si="56"/>
        <v>2.8299586099178597E-3</v>
      </c>
    </row>
    <row r="1172" spans="1:6" x14ac:dyDescent="0.25">
      <c r="A1172" s="23">
        <v>1171</v>
      </c>
      <c r="B1172" s="7" cm="1">
        <f t="array" aca="1" ref="B1172" ca="1">interpolexp(A1172,serie_du,Taxas_DI)</f>
        <v>0.12377531318317203</v>
      </c>
      <c r="C1172" s="37">
        <f t="shared" ca="1" si="55"/>
        <v>1.719882308259292</v>
      </c>
      <c r="D1172" s="36">
        <f t="shared" ca="1" si="57"/>
        <v>0.12505700892630389</v>
      </c>
      <c r="E1172" s="32">
        <v>0.12094361738410608</v>
      </c>
      <c r="F1172" s="35">
        <f t="shared" ca="1" si="56"/>
        <v>2.8316957990659475E-3</v>
      </c>
    </row>
    <row r="1173" spans="1:6" x14ac:dyDescent="0.25">
      <c r="A1173" s="23">
        <v>1172</v>
      </c>
      <c r="B1173" s="7" cm="1">
        <f t="array" aca="1" ref="B1173" ca="1">interpolexp(A1173,serie_du,Taxas_DI)</f>
        <v>0.1237764061565505</v>
      </c>
      <c r="C1173" s="37">
        <f t="shared" ca="1" si="55"/>
        <v>1.7206867030935629</v>
      </c>
      <c r="D1173" s="36">
        <f t="shared" ca="1" si="57"/>
        <v>0.12505700770723349</v>
      </c>
      <c r="E1173" s="32">
        <v>0.12094297613278737</v>
      </c>
      <c r="F1173" s="35">
        <f t="shared" ca="1" si="56"/>
        <v>2.8334300237631282E-3</v>
      </c>
    </row>
    <row r="1174" spans="1:6" x14ac:dyDescent="0.25">
      <c r="A1174" s="23">
        <v>1173</v>
      </c>
      <c r="B1174" s="7" cm="1">
        <f t="array" aca="1" ref="B1174" ca="1">interpolexp(A1174,serie_du,Taxas_DI)</f>
        <v>0.12377749726639742</v>
      </c>
      <c r="C1174" s="37">
        <f t="shared" ca="1" si="55"/>
        <v>1.7214914741386342</v>
      </c>
      <c r="D1174" s="36">
        <f t="shared" ca="1" si="57"/>
        <v>0.1250570064863632</v>
      </c>
      <c r="E1174" s="32">
        <v>0.1209423359748385</v>
      </c>
      <c r="F1174" s="35">
        <f t="shared" ca="1" si="56"/>
        <v>2.8351612915589186E-3</v>
      </c>
    </row>
    <row r="1175" spans="1:6" x14ac:dyDescent="0.25">
      <c r="A1175" s="23">
        <v>1174</v>
      </c>
      <c r="B1175" s="7" cm="1">
        <f t="array" aca="1" ref="B1175" ca="1">interpolexp(A1175,serie_du,Taxas_DI)</f>
        <v>0.12377858651744233</v>
      </c>
      <c r="C1175" s="37">
        <f t="shared" ca="1" si="55"/>
        <v>1.722296621570242</v>
      </c>
      <c r="D1175" s="36">
        <f t="shared" ca="1" si="57"/>
        <v>0.1250570052305553</v>
      </c>
      <c r="E1175" s="32">
        <v>0.1209416969074395</v>
      </c>
      <c r="F1175" s="35">
        <f t="shared" ca="1" si="56"/>
        <v>2.8368896100028351E-3</v>
      </c>
    </row>
    <row r="1176" spans="1:6" x14ac:dyDescent="0.25">
      <c r="A1176" s="23">
        <v>1175</v>
      </c>
      <c r="B1176" s="7" cm="1">
        <f t="array" aca="1" ref="B1176" ca="1">interpolexp(A1176,serie_du,Taxas_DI)</f>
        <v>0.12377967391448141</v>
      </c>
      <c r="C1176" s="37">
        <f t="shared" ca="1" si="55"/>
        <v>1.7231021455647946</v>
      </c>
      <c r="D1176" s="36">
        <f t="shared" ca="1" si="57"/>
        <v>0.12505700403701292</v>
      </c>
      <c r="E1176" s="32">
        <v>0.12094105892783702</v>
      </c>
      <c r="F1176" s="35">
        <f t="shared" ca="1" si="56"/>
        <v>2.8386149866443944E-3</v>
      </c>
    </row>
    <row r="1177" spans="1:6" x14ac:dyDescent="0.25">
      <c r="A1177" s="23">
        <v>1176</v>
      </c>
      <c r="B1177" s="7" cm="1">
        <f t="array" aca="1" ref="B1177" ca="1">interpolexp(A1177,serie_du,Taxas_DI)</f>
        <v>0.1237807594621998</v>
      </c>
      <c r="C1177" s="37">
        <f t="shared" ca="1" si="55"/>
        <v>1.7239080462981062</v>
      </c>
      <c r="D1177" s="36">
        <f t="shared" ca="1" si="57"/>
        <v>0.12505700279435339</v>
      </c>
      <c r="E1177" s="32">
        <v>0.1209404220332333</v>
      </c>
      <c r="F1177" s="35">
        <f t="shared" ca="1" si="56"/>
        <v>2.8403374289664995E-3</v>
      </c>
    </row>
    <row r="1178" spans="1:6" x14ac:dyDescent="0.25">
      <c r="A1178" s="23">
        <v>1177</v>
      </c>
      <c r="B1178" s="7" cm="1">
        <f t="array" aca="1" ref="B1178" ca="1">interpolexp(A1178,serie_du,Taxas_DI)</f>
        <v>0.12378184316532703</v>
      </c>
      <c r="C1178" s="37">
        <f t="shared" ca="1" si="55"/>
        <v>1.724714323946505</v>
      </c>
      <c r="D1178" s="36">
        <f t="shared" ca="1" si="57"/>
        <v>0.12505700157355992</v>
      </c>
      <c r="E1178" s="32">
        <v>0.12093978622085277</v>
      </c>
      <c r="F1178" s="35">
        <f t="shared" ca="1" si="56"/>
        <v>2.8420569444742583E-3</v>
      </c>
    </row>
    <row r="1179" spans="1:6" x14ac:dyDescent="0.25">
      <c r="A1179" s="23">
        <v>1178</v>
      </c>
      <c r="B1179" s="7" cm="1">
        <f t="array" aca="1" ref="B1179" ca="1">interpolexp(A1179,serie_du,Taxas_DI)</f>
        <v>0.12378292502857047</v>
      </c>
      <c r="C1179" s="37">
        <f t="shared" ca="1" si="55"/>
        <v>1.7255209786863572</v>
      </c>
      <c r="D1179" s="36">
        <f t="shared" ca="1" si="57"/>
        <v>0.12505700036734901</v>
      </c>
      <c r="E1179" s="32">
        <v>0.1209391514879643</v>
      </c>
      <c r="F1179" s="35">
        <f t="shared" ca="1" si="56"/>
        <v>2.8437735406061648E-3</v>
      </c>
    </row>
    <row r="1180" spans="1:6" x14ac:dyDescent="0.25">
      <c r="A1180" s="23">
        <v>1179</v>
      </c>
      <c r="B1180" s="7" cm="1">
        <f t="array" aca="1" ref="B1180" ca="1">interpolexp(A1180,serie_du,Taxas_DI)</f>
        <v>0.12378400505661524</v>
      </c>
      <c r="C1180" s="37">
        <f t="shared" ca="1" si="55"/>
        <v>1.7263280106940677</v>
      </c>
      <c r="D1180" s="36">
        <f t="shared" ca="1" si="57"/>
        <v>0.12505699916852819</v>
      </c>
      <c r="E1180" s="32">
        <v>0.12093851783181453</v>
      </c>
      <c r="F1180" s="35">
        <f t="shared" ca="1" si="56"/>
        <v>2.8454872248007135E-3</v>
      </c>
    </row>
    <row r="1181" spans="1:6" x14ac:dyDescent="0.25">
      <c r="A1181" s="23">
        <v>1180</v>
      </c>
      <c r="B1181" s="7" cm="1">
        <f t="array" aca="1" ref="B1181" ca="1">interpolexp(A1181,serie_du,Taxas_DI)</f>
        <v>0.12378508325410209</v>
      </c>
      <c r="C1181" s="37">
        <f t="shared" ca="1" si="55"/>
        <v>1.7271354201459175</v>
      </c>
      <c r="D1181" s="36">
        <f t="shared" ca="1" si="57"/>
        <v>0.12505699794307201</v>
      </c>
      <c r="E1181" s="32">
        <v>0.1209378852496501</v>
      </c>
      <c r="F1181" s="35">
        <f t="shared" ca="1" si="56"/>
        <v>2.8471980044519896E-3</v>
      </c>
    </row>
    <row r="1182" spans="1:6" x14ac:dyDescent="0.25">
      <c r="A1182" s="23">
        <v>1181</v>
      </c>
      <c r="B1182" s="7" cm="1">
        <f t="array" aca="1" ref="B1182" ca="1">interpolexp(A1182,serie_du,Taxas_DI)</f>
        <v>0.12378615962569395</v>
      </c>
      <c r="C1182" s="37">
        <f t="shared" ca="1" si="55"/>
        <v>1.7279432072185437</v>
      </c>
      <c r="D1182" s="36">
        <f t="shared" ca="1" si="57"/>
        <v>0.125056996736161</v>
      </c>
      <c r="E1182" s="32">
        <v>0.12093725373876207</v>
      </c>
      <c r="F1182" s="35">
        <f t="shared" ca="1" si="56"/>
        <v>2.848905886931874E-3</v>
      </c>
    </row>
    <row r="1183" spans="1:6" x14ac:dyDescent="0.25">
      <c r="A1183" s="23">
        <v>1182</v>
      </c>
      <c r="B1183" s="7" cm="1">
        <f t="array" aca="1" ref="B1183" ca="1">interpolexp(A1183,serie_du,Taxas_DI)</f>
        <v>0.12378723417600934</v>
      </c>
      <c r="C1183" s="37">
        <f t="shared" ca="1" si="55"/>
        <v>1.7287513720884595</v>
      </c>
      <c r="D1183" s="36">
        <f t="shared" ca="1" si="57"/>
        <v>0.12505699551365934</v>
      </c>
      <c r="E1183" s="32">
        <v>0.1209366232964193</v>
      </c>
      <c r="F1183" s="35">
        <f t="shared" ca="1" si="56"/>
        <v>2.8506108795900431E-3</v>
      </c>
    </row>
    <row r="1184" spans="1:6" x14ac:dyDescent="0.25">
      <c r="A1184" s="23">
        <v>1183</v>
      </c>
      <c r="B1184" s="7" cm="1">
        <f t="array" aca="1" ref="B1184" ca="1">interpolexp(A1184,serie_du,Taxas_DI)</f>
        <v>0.12378830690971121</v>
      </c>
      <c r="C1184" s="37">
        <f t="shared" ca="1" si="55"/>
        <v>1.7295599149326941</v>
      </c>
      <c r="D1184" s="36">
        <f t="shared" ca="1" si="57"/>
        <v>0.1250569943468236</v>
      </c>
      <c r="E1184" s="32">
        <v>0.12093599391991283</v>
      </c>
      <c r="F1184" s="35">
        <f t="shared" ca="1" si="56"/>
        <v>2.8523129897983779E-3</v>
      </c>
    </row>
    <row r="1185" spans="1:6" x14ac:dyDescent="0.25">
      <c r="A1185" s="23">
        <v>1184</v>
      </c>
      <c r="B1185" s="7" cm="1">
        <f t="array" aca="1" ref="B1185" ca="1">interpolexp(A1185,serie_du,Taxas_DI)</f>
        <v>0.12378937783135147</v>
      </c>
      <c r="C1185" s="37">
        <f t="shared" ca="1" si="55"/>
        <v>1.7303688359276703</v>
      </c>
      <c r="D1185" s="36">
        <f t="shared" ca="1" si="57"/>
        <v>0.12505699312252694</v>
      </c>
      <c r="E1185" s="32">
        <v>0.12093536560655593</v>
      </c>
      <c r="F1185" s="35">
        <f t="shared" ca="1" si="56"/>
        <v>2.8540122247955324E-3</v>
      </c>
    </row>
    <row r="1186" spans="1:6" x14ac:dyDescent="0.25">
      <c r="A1186" s="23">
        <v>1185</v>
      </c>
      <c r="B1186" s="7" cm="1">
        <f t="array" aca="1" ref="B1186" ca="1">interpolexp(A1186,serie_du,Taxas_DI)</f>
        <v>0.12379044694557084</v>
      </c>
      <c r="C1186" s="37">
        <f t="shared" ca="1" si="55"/>
        <v>1.7311781352506479</v>
      </c>
      <c r="D1186" s="36">
        <f t="shared" ca="1" si="57"/>
        <v>0.12505699196442976</v>
      </c>
      <c r="E1186" s="32">
        <v>0.12093473835366186</v>
      </c>
      <c r="F1186" s="35">
        <f t="shared" ca="1" si="56"/>
        <v>2.8557085919089786E-3</v>
      </c>
    </row>
    <row r="1187" spans="1:6" x14ac:dyDescent="0.25">
      <c r="A1187" s="23">
        <v>1186</v>
      </c>
      <c r="B1187" s="7" cm="1">
        <f t="array" aca="1" ref="B1187" ca="1">interpolexp(A1187,serie_du,Taxas_DI)</f>
        <v>0.12379151425687684</v>
      </c>
      <c r="C1187" s="37">
        <f t="shared" ca="1" si="55"/>
        <v>1.7319878130781174</v>
      </c>
      <c r="D1187" s="36">
        <f t="shared" ca="1" si="57"/>
        <v>0.12505699073299503</v>
      </c>
      <c r="E1187" s="32">
        <v>0.12093411215849947</v>
      </c>
      <c r="F1187" s="35">
        <f t="shared" ca="1" si="56"/>
        <v>2.8574020983773707E-3</v>
      </c>
    </row>
    <row r="1188" spans="1:6" x14ac:dyDescent="0.25">
      <c r="A1188" s="23">
        <v>1187</v>
      </c>
      <c r="B1188" s="7" cm="1">
        <f t="array" aca="1" ref="B1188" ca="1">interpolexp(A1188,serie_du,Taxas_DI)</f>
        <v>0.123792579769888</v>
      </c>
      <c r="C1188" s="37">
        <f t="shared" ca="1" si="55"/>
        <v>1.7327978695875674</v>
      </c>
      <c r="D1188" s="36">
        <f t="shared" ca="1" si="57"/>
        <v>0.12505698957816369</v>
      </c>
      <c r="E1188" s="32">
        <v>0.12093348701844864</v>
      </c>
      <c r="F1188" s="35">
        <f t="shared" ca="1" si="56"/>
        <v>2.8590927514393627E-3</v>
      </c>
    </row>
    <row r="1189" spans="1:6" x14ac:dyDescent="0.25">
      <c r="A1189" s="23">
        <v>1188</v>
      </c>
      <c r="B1189" s="7" cm="1">
        <f t="array" aca="1" ref="B1189" ca="1">interpolexp(A1189,serie_du,Taxas_DI)</f>
        <v>0.12379364348911182</v>
      </c>
      <c r="C1189" s="37">
        <f t="shared" ca="1" si="55"/>
        <v>1.7336083049558761</v>
      </c>
      <c r="D1189" s="36">
        <f t="shared" ca="1" si="57"/>
        <v>0.12505698838626134</v>
      </c>
      <c r="E1189" s="32">
        <v>0.12093286293082262</v>
      </c>
      <c r="F1189" s="35">
        <f t="shared" ca="1" si="56"/>
        <v>2.8607805582891999E-3</v>
      </c>
    </row>
    <row r="1190" spans="1:6" x14ac:dyDescent="0.25">
      <c r="A1190" s="23">
        <v>1189</v>
      </c>
      <c r="B1190" s="7" cm="1">
        <f t="array" aca="1" ref="B1190" ca="1">interpolexp(A1190,serie_du,Taxas_DI)</f>
        <v>0.12379470541905579</v>
      </c>
      <c r="C1190" s="37">
        <f t="shared" ca="1" si="55"/>
        <v>1.7344191193601148</v>
      </c>
      <c r="D1190" s="36">
        <f t="shared" ca="1" si="57"/>
        <v>0.1250569871755487</v>
      </c>
      <c r="E1190" s="32">
        <v>0.12093223989297908</v>
      </c>
      <c r="F1190" s="35">
        <f t="shared" ca="1" si="56"/>
        <v>2.8624655260767184E-3</v>
      </c>
    </row>
    <row r="1191" spans="1:6" x14ac:dyDescent="0.25">
      <c r="A1191" s="23">
        <v>1190</v>
      </c>
      <c r="B1191" s="7" cm="1">
        <f t="array" aca="1" ref="B1191" ca="1">interpolexp(A1191,serie_du,Taxas_DI)</f>
        <v>0.12379576556427185</v>
      </c>
      <c r="C1191" s="37">
        <f t="shared" ca="1" si="55"/>
        <v>1.7352303129778708</v>
      </c>
      <c r="D1191" s="36">
        <f t="shared" ca="1" si="57"/>
        <v>0.12505698601675785</v>
      </c>
      <c r="E1191" s="32">
        <v>0.12093161790225349</v>
      </c>
      <c r="F1191" s="35">
        <f t="shared" ca="1" si="56"/>
        <v>2.8641476620183681E-3</v>
      </c>
    </row>
    <row r="1192" spans="1:6" x14ac:dyDescent="0.25">
      <c r="A1192" s="23">
        <v>1191</v>
      </c>
      <c r="B1192" s="7" cm="1">
        <f t="array" aca="1" ref="B1192" ca="1">interpolexp(A1192,serie_du,Taxas_DI)</f>
        <v>0.12379682392924529</v>
      </c>
      <c r="C1192" s="37">
        <f t="shared" ca="1" si="55"/>
        <v>1.7360418859864406</v>
      </c>
      <c r="D1192" s="36">
        <f t="shared" ca="1" si="57"/>
        <v>0.12505698484886207</v>
      </c>
      <c r="E1192" s="32">
        <v>0.12093099695602572</v>
      </c>
      <c r="F1192" s="35">
        <f t="shared" ca="1" si="56"/>
        <v>2.8658269732195762E-3</v>
      </c>
    </row>
    <row r="1193" spans="1:6" x14ac:dyDescent="0.25">
      <c r="A1193" s="23">
        <v>1192</v>
      </c>
      <c r="B1193" s="7" cm="1">
        <f t="array" aca="1" ref="B1193" ca="1">interpolexp(A1193,serie_du,Taxas_DI)</f>
        <v>0.12379788051843921</v>
      </c>
      <c r="C1193" s="37">
        <f t="shared" ca="1" si="55"/>
        <v>1.7368538385631513</v>
      </c>
      <c r="D1193" s="36">
        <f t="shared" ca="1" si="57"/>
        <v>0.12505698366311013</v>
      </c>
      <c r="E1193" s="32">
        <v>0.12093037705165344</v>
      </c>
      <c r="F1193" s="35">
        <f t="shared" ca="1" si="56"/>
        <v>2.8675034667857702E-3</v>
      </c>
    </row>
    <row r="1194" spans="1:6" x14ac:dyDescent="0.25">
      <c r="A1194" s="23">
        <v>1193</v>
      </c>
      <c r="B1194" s="7" cm="1">
        <f t="array" aca="1" ref="B1194" ca="1">interpolexp(A1194,serie_du,Taxas_DI)</f>
        <v>0.1237989353363389</v>
      </c>
      <c r="C1194" s="37">
        <f t="shared" ca="1" si="55"/>
        <v>1.7376661708856849</v>
      </c>
      <c r="D1194" s="36">
        <f t="shared" ca="1" si="57"/>
        <v>0.1250569825040706</v>
      </c>
      <c r="E1194" s="32">
        <v>0.12092975818651652</v>
      </c>
      <c r="F1194" s="35">
        <f t="shared" ca="1" si="56"/>
        <v>2.8691771498223773E-3</v>
      </c>
    </row>
    <row r="1195" spans="1:6" x14ac:dyDescent="0.25">
      <c r="A1195" s="23">
        <v>1194</v>
      </c>
      <c r="B1195" s="7" cm="1">
        <f t="array" aca="1" ref="B1195" ca="1">interpolexp(A1195,serie_du,Taxas_DI)</f>
        <v>0.12379998838738526</v>
      </c>
      <c r="C1195" s="37">
        <f t="shared" ca="1" si="55"/>
        <v>1.7384788831315905</v>
      </c>
      <c r="D1195" s="36">
        <f t="shared" ca="1" si="57"/>
        <v>0.12505698133654497</v>
      </c>
      <c r="E1195" s="32">
        <v>0.12092914035799485</v>
      </c>
      <c r="F1195" s="35">
        <f t="shared" ca="1" si="56"/>
        <v>2.8708480293904159E-3</v>
      </c>
    </row>
    <row r="1196" spans="1:6" x14ac:dyDescent="0.25">
      <c r="A1196" s="23">
        <v>1195</v>
      </c>
      <c r="B1196" s="7" cm="1">
        <f t="array" aca="1" ref="B1196" ca="1">interpolexp(A1196,serie_du,Taxas_DI)</f>
        <v>0.12380210764588728</v>
      </c>
      <c r="C1196" s="37">
        <f t="shared" ca="1" si="55"/>
        <v>1.7392998135677822</v>
      </c>
      <c r="D1196" s="36">
        <f t="shared" ca="1" si="57"/>
        <v>0.12633535559328046</v>
      </c>
      <c r="E1196" s="32">
        <v>0.1209285235635349</v>
      </c>
      <c r="F1196" s="35">
        <f t="shared" ca="1" si="56"/>
        <v>2.8735840823523873E-3</v>
      </c>
    </row>
    <row r="1197" spans="1:6" x14ac:dyDescent="0.25">
      <c r="A1197" s="23">
        <v>1196</v>
      </c>
      <c r="B1197" s="7" cm="1">
        <f t="array" aca="1" ref="B1197" ca="1">interpolexp(A1197,serie_du,Taxas_DI)</f>
        <v>0.123804223360513</v>
      </c>
      <c r="C1197" s="37">
        <f t="shared" ca="1" si="55"/>
        <v>1.7401211316280598</v>
      </c>
      <c r="D1197" s="36">
        <f t="shared" ca="1" si="57"/>
        <v>0.12633535085577452</v>
      </c>
      <c r="E1197" s="32">
        <v>0.12092790780047213</v>
      </c>
      <c r="F1197" s="35">
        <f t="shared" ca="1" si="56"/>
        <v>2.8763155600408652E-3</v>
      </c>
    </row>
    <row r="1198" spans="1:6" x14ac:dyDescent="0.25">
      <c r="A1198" s="23">
        <v>1197</v>
      </c>
      <c r="B1198" s="7" cm="1">
        <f t="array" aca="1" ref="B1198" ca="1">interpolexp(A1198,serie_du,Taxas_DI)</f>
        <v>0.1238063355401664</v>
      </c>
      <c r="C1198" s="37">
        <f t="shared" ca="1" si="55"/>
        <v>1.7409428374956728</v>
      </c>
      <c r="D1198" s="36">
        <f t="shared" ca="1" si="57"/>
        <v>0.12633534615676556</v>
      </c>
      <c r="E1198" s="32">
        <v>0.12092729306627525</v>
      </c>
      <c r="F1198" s="35">
        <f t="shared" ca="1" si="56"/>
        <v>2.8790424738911469E-3</v>
      </c>
    </row>
    <row r="1199" spans="1:6" x14ac:dyDescent="0.25">
      <c r="A1199" s="23">
        <v>1198</v>
      </c>
      <c r="B1199" s="7" cm="1">
        <f t="array" aca="1" ref="B1199" ca="1">interpolexp(A1199,serie_du,Taxas_DI)</f>
        <v>0.12380844419368486</v>
      </c>
      <c r="C1199" s="37">
        <f t="shared" ca="1" si="55"/>
        <v>1.7417649313536854</v>
      </c>
      <c r="D1199" s="36">
        <f t="shared" ca="1" si="57"/>
        <v>0.12633534145187664</v>
      </c>
      <c r="E1199" s="32">
        <v>0.12092667935834633</v>
      </c>
      <c r="F1199" s="35">
        <f t="shared" ca="1" si="56"/>
        <v>2.8817648353385295E-3</v>
      </c>
    </row>
    <row r="1200" spans="1:6" x14ac:dyDescent="0.25">
      <c r="A1200" s="23">
        <v>1199</v>
      </c>
      <c r="B1200" s="7" cm="1">
        <f t="array" aca="1" ref="B1200" ca="1">interpolexp(A1200,serie_du,Taxas_DI)</f>
        <v>0.12381054932988356</v>
      </c>
      <c r="C1200" s="37">
        <f t="shared" ca="1" si="55"/>
        <v>1.7425874133853017</v>
      </c>
      <c r="D1200" s="36">
        <f t="shared" ca="1" si="57"/>
        <v>0.12633533674995023</v>
      </c>
      <c r="E1200" s="32">
        <v>0.12092606667413186</v>
      </c>
      <c r="F1200" s="35">
        <f t="shared" ca="1" si="56"/>
        <v>2.8844826557516967E-3</v>
      </c>
    </row>
    <row r="1201" spans="1:6" x14ac:dyDescent="0.25">
      <c r="A1201" s="23">
        <v>1200</v>
      </c>
      <c r="B1201" s="7" cm="1">
        <f t="array" aca="1" ref="B1201" ca="1">interpolexp(A1201,serie_du,Taxas_DI)</f>
        <v>0.12381265095757765</v>
      </c>
      <c r="C1201" s="37">
        <f t="shared" ca="1" si="55"/>
        <v>1.7434102837740291</v>
      </c>
      <c r="D1201" s="36">
        <f t="shared" ca="1" si="57"/>
        <v>0.12633533208616754</v>
      </c>
      <c r="E1201" s="32">
        <v>0.12092545501103391</v>
      </c>
      <c r="F1201" s="35">
        <f t="shared" ca="1" si="56"/>
        <v>2.8871959465437413E-3</v>
      </c>
    </row>
    <row r="1202" spans="1:6" x14ac:dyDescent="0.25">
      <c r="A1202" s="23">
        <v>1201</v>
      </c>
      <c r="B1202" s="7" cm="1">
        <f t="array" aca="1" ref="B1202" ca="1">interpolexp(A1202,serie_du,Taxas_DI)</f>
        <v>0.12381474908551571</v>
      </c>
      <c r="C1202" s="37">
        <f t="shared" ca="1" si="55"/>
        <v>1.7442335427031861</v>
      </c>
      <c r="D1202" s="36">
        <f t="shared" ca="1" si="57"/>
        <v>0.12633532741567466</v>
      </c>
      <c r="E1202" s="32">
        <v>0.12092484436654338</v>
      </c>
      <c r="F1202" s="35">
        <f t="shared" ca="1" si="56"/>
        <v>2.8899047189723248E-3</v>
      </c>
    </row>
    <row r="1203" spans="1:6" x14ac:dyDescent="0.25">
      <c r="A1203" s="23">
        <v>1202</v>
      </c>
      <c r="B1203" s="7" cm="1">
        <f t="array" aca="1" ref="B1203" ca="1">interpolexp(A1203,serie_du,Taxas_DI)</f>
        <v>0.12381684372244628</v>
      </c>
      <c r="C1203" s="37">
        <f t="shared" ca="1" si="55"/>
        <v>1.7450571903563934</v>
      </c>
      <c r="D1203" s="36">
        <f t="shared" ca="1" si="57"/>
        <v>0.12633532277346826</v>
      </c>
      <c r="E1203" s="32">
        <v>0.12092423473812897</v>
      </c>
      <c r="F1203" s="35">
        <f t="shared" ca="1" si="56"/>
        <v>2.8926089843173131E-3</v>
      </c>
    </row>
    <row r="1204" spans="1:6" x14ac:dyDescent="0.25">
      <c r="A1204" s="23">
        <v>1203</v>
      </c>
      <c r="B1204" s="7" cm="1">
        <f t="array" aca="1" ref="B1204" ca="1">interpolexp(A1204,serie_du,Taxas_DI)</f>
        <v>0.12381893487705131</v>
      </c>
      <c r="C1204" s="37">
        <f t="shared" ca="1" si="55"/>
        <v>1.7458812269170796</v>
      </c>
      <c r="D1204" s="36">
        <f t="shared" ca="1" si="57"/>
        <v>0.12633531811431475</v>
      </c>
      <c r="E1204" s="32">
        <v>0.12092362612319274</v>
      </c>
      <c r="F1204" s="35">
        <f t="shared" ca="1" si="56"/>
        <v>2.895308753858572E-3</v>
      </c>
    </row>
    <row r="1205" spans="1:6" x14ac:dyDescent="0.25">
      <c r="A1205" s="23">
        <v>1204</v>
      </c>
      <c r="B1205" s="7" cm="1">
        <f t="array" aca="1" ref="B1205" ca="1">interpolexp(A1205,serie_du,Taxas_DI)</f>
        <v>0.12382102255803495</v>
      </c>
      <c r="C1205" s="37">
        <f t="shared" ca="1" si="55"/>
        <v>1.7467056525691389</v>
      </c>
      <c r="D1205" s="36">
        <f t="shared" ca="1" si="57"/>
        <v>0.12633531349983662</v>
      </c>
      <c r="E1205" s="32">
        <v>0.12092301851927001</v>
      </c>
      <c r="F1205" s="35">
        <f t="shared" ca="1" si="56"/>
        <v>2.8980040387649453E-3</v>
      </c>
    </row>
    <row r="1206" spans="1:6" x14ac:dyDescent="0.25">
      <c r="A1206" s="23">
        <v>1205</v>
      </c>
      <c r="B1206" s="7" cm="1">
        <f t="array" aca="1" ref="B1206" ca="1">interpolexp(A1206,serie_du,Taxas_DI)</f>
        <v>0.12382310677401254</v>
      </c>
      <c r="C1206" s="37">
        <f t="shared" ca="1" si="55"/>
        <v>1.7475304674961072</v>
      </c>
      <c r="D1206" s="36">
        <f t="shared" ca="1" si="57"/>
        <v>0.12633530885757183</v>
      </c>
      <c r="E1206" s="32">
        <v>0.12092241192380726</v>
      </c>
      <c r="F1206" s="35">
        <f t="shared" ca="1" si="56"/>
        <v>2.9006948502052765E-3</v>
      </c>
    </row>
    <row r="1207" spans="1:6" x14ac:dyDescent="0.25">
      <c r="A1207" s="23">
        <v>1206</v>
      </c>
      <c r="B1207" s="7" cm="1">
        <f t="array" aca="1" ref="B1207" ca="1">interpolexp(A1207,serie_du,Taxas_DI)</f>
        <v>0.1238251875336438</v>
      </c>
      <c r="C1207" s="37">
        <f t="shared" ca="1" si="55"/>
        <v>1.7483556718821491</v>
      </c>
      <c r="D1207" s="36">
        <f t="shared" ca="1" si="57"/>
        <v>0.12633530427562212</v>
      </c>
      <c r="E1207" s="32">
        <v>0.1209218063343398</v>
      </c>
      <c r="F1207" s="35">
        <f t="shared" ca="1" si="56"/>
        <v>2.9033811993040004E-3</v>
      </c>
    </row>
    <row r="1208" spans="1:6" x14ac:dyDescent="0.25">
      <c r="A1208" s="23">
        <v>1207</v>
      </c>
      <c r="B1208" s="7" cm="1">
        <f t="array" aca="1" ref="B1208" ca="1">interpolexp(A1208,serie_du,Taxas_DI)</f>
        <v>0.12382726484547746</v>
      </c>
      <c r="C1208" s="37">
        <f t="shared" ca="1" si="55"/>
        <v>1.7491812659109034</v>
      </c>
      <c r="D1208" s="36">
        <f t="shared" ca="1" si="57"/>
        <v>0.12633529965442758</v>
      </c>
      <c r="E1208" s="32">
        <v>0.12092120174831411</v>
      </c>
      <c r="F1208" s="35">
        <f t="shared" ca="1" si="56"/>
        <v>2.9060630971633472E-3</v>
      </c>
    </row>
    <row r="1209" spans="1:6" x14ac:dyDescent="0.25">
      <c r="A1209" s="23">
        <v>1208</v>
      </c>
      <c r="B1209" s="7" cm="1">
        <f t="array" aca="1" ref="B1209" ca="1">interpolexp(A1209,serie_du,Taxas_DI)</f>
        <v>0.12382933871810664</v>
      </c>
      <c r="C1209" s="37">
        <f t="shared" ca="1" si="55"/>
        <v>1.7500072497666377</v>
      </c>
      <c r="D1209" s="36">
        <f t="shared" ca="1" si="57"/>
        <v>0.12633529508198893</v>
      </c>
      <c r="E1209" s="32">
        <v>0.1209205981632655</v>
      </c>
      <c r="F1209" s="35">
        <f t="shared" ca="1" si="56"/>
        <v>2.9087405548411382E-3</v>
      </c>
    </row>
    <row r="1210" spans="1:6" x14ac:dyDescent="0.25">
      <c r="A1210" s="23">
        <v>1209</v>
      </c>
      <c r="B1210" s="7" cm="1">
        <f t="array" aca="1" ref="B1210" ca="1">interpolexp(A1210,serie_du,Taxas_DI)</f>
        <v>0.12383140916005786</v>
      </c>
      <c r="C1210" s="37">
        <f t="shared" ca="1" si="55"/>
        <v>1.750833623633421</v>
      </c>
      <c r="D1210" s="36">
        <f t="shared" ca="1" si="57"/>
        <v>0.12633529051196635</v>
      </c>
      <c r="E1210" s="32">
        <v>0.12091999557670707</v>
      </c>
      <c r="F1210" s="35">
        <f t="shared" ca="1" si="56"/>
        <v>2.9114135833507859E-3</v>
      </c>
    </row>
    <row r="1211" spans="1:6" x14ac:dyDescent="0.25">
      <c r="A1211" s="23">
        <v>1210</v>
      </c>
      <c r="B1211" s="7" cm="1">
        <f t="array" aca="1" ref="B1211" ca="1">interpolexp(A1211,serie_du,Taxas_DI)</f>
        <v>0.12383347617983542</v>
      </c>
      <c r="C1211" s="37">
        <f t="shared" ca="1" si="55"/>
        <v>1.7516603876954546</v>
      </c>
      <c r="D1211" s="36">
        <f t="shared" ca="1" si="57"/>
        <v>0.12633528595166599</v>
      </c>
      <c r="E1211" s="32">
        <v>0.12092184770806647</v>
      </c>
      <c r="F1211" s="35">
        <f t="shared" ca="1" si="56"/>
        <v>2.9116284717689567E-3</v>
      </c>
    </row>
    <row r="1212" spans="1:6" x14ac:dyDescent="0.25">
      <c r="A1212" s="23">
        <v>1211</v>
      </c>
      <c r="B1212" s="7" cm="1">
        <f t="array" aca="1" ref="B1212" ca="1">interpolexp(A1212,serie_du,Taxas_DI)</f>
        <v>0.12383553978589923</v>
      </c>
      <c r="C1212" s="37">
        <f t="shared" ca="1" si="55"/>
        <v>1.7524875421369037</v>
      </c>
      <c r="D1212" s="36">
        <f t="shared" ca="1" si="57"/>
        <v>0.12633528138114158</v>
      </c>
      <c r="E1212" s="32">
        <v>0.1209236967806282</v>
      </c>
      <c r="F1212" s="35">
        <f t="shared" ca="1" si="56"/>
        <v>2.9118430052710309E-3</v>
      </c>
    </row>
    <row r="1213" spans="1:6" x14ac:dyDescent="0.25">
      <c r="A1213" s="23">
        <v>1212</v>
      </c>
      <c r="B1213" s="7" cm="1">
        <f t="array" aca="1" ref="B1213" ca="1">interpolexp(A1213,serie_du,Taxas_DI)</f>
        <v>0.12383759998673138</v>
      </c>
      <c r="C1213" s="37">
        <f t="shared" ca="1" si="55"/>
        <v>1.7533150871423957</v>
      </c>
      <c r="D1213" s="36">
        <f t="shared" ca="1" si="57"/>
        <v>0.12633527686124779</v>
      </c>
      <c r="E1213" s="32">
        <v>0.12092554280194179</v>
      </c>
      <c r="F1213" s="35">
        <f t="shared" ca="1" si="56"/>
        <v>2.912057184789596E-3</v>
      </c>
    </row>
    <row r="1214" spans="1:6" x14ac:dyDescent="0.25">
      <c r="A1214" s="23">
        <v>1213</v>
      </c>
      <c r="B1214" s="7" cm="1">
        <f t="array" aca="1" ref="B1214" ca="1">interpolexp(A1214,serie_du,Taxas_DI)</f>
        <v>0.12383965679072517</v>
      </c>
      <c r="C1214" s="37">
        <f t="shared" ca="1" si="55"/>
        <v>1.7541430228961896</v>
      </c>
      <c r="D1214" s="36">
        <f t="shared" ca="1" si="57"/>
        <v>0.12633527231813613</v>
      </c>
      <c r="E1214" s="32">
        <v>0.12092738577955675</v>
      </c>
      <c r="F1214" s="35">
        <f t="shared" ca="1" si="56"/>
        <v>2.9122710111684214E-3</v>
      </c>
    </row>
    <row r="1215" spans="1:6" x14ac:dyDescent="0.25">
      <c r="A1215" s="23">
        <v>1214</v>
      </c>
      <c r="B1215" s="7" cm="1">
        <f t="array" aca="1" ref="B1215" ca="1">interpolexp(A1215,serie_du,Taxas_DI)</f>
        <v>0.12384171020629609</v>
      </c>
      <c r="C1215" s="37">
        <f t="shared" ca="1" si="55"/>
        <v>1.754971349583005</v>
      </c>
      <c r="D1215" s="36">
        <f t="shared" ca="1" si="57"/>
        <v>0.12633526781218118</v>
      </c>
      <c r="E1215" s="32">
        <v>0.1209292257210004</v>
      </c>
      <c r="F1215" s="35">
        <f t="shared" ca="1" si="56"/>
        <v>2.9124844852956855E-3</v>
      </c>
    </row>
    <row r="1216" spans="1:6" x14ac:dyDescent="0.25">
      <c r="A1216" s="23">
        <v>1215</v>
      </c>
      <c r="B1216" s="7" cm="1">
        <f t="array" aca="1" ref="B1216" ca="1">interpolexp(A1216,serie_du,Taxas_DI)</f>
        <v>0.123843760241793</v>
      </c>
      <c r="C1216" s="37">
        <f t="shared" ca="1" si="55"/>
        <v>1.7558000673873557</v>
      </c>
      <c r="D1216" s="36">
        <f t="shared" ca="1" si="57"/>
        <v>0.12633526329609523</v>
      </c>
      <c r="E1216" s="32">
        <v>0.12093106263375564</v>
      </c>
      <c r="F1216" s="35">
        <f t="shared" ca="1" si="56"/>
        <v>2.9126976080373623E-3</v>
      </c>
    </row>
    <row r="1217" spans="1:6" x14ac:dyDescent="0.25">
      <c r="A1217" s="23">
        <v>1216</v>
      </c>
      <c r="B1217" s="7" cm="1">
        <f t="array" aca="1" ref="B1217" ca="1">interpolexp(A1217,serie_du,Taxas_DI)</f>
        <v>0.12384580690556479</v>
      </c>
      <c r="C1217" s="37">
        <f t="shared" ca="1" si="55"/>
        <v>1.7566291764940505</v>
      </c>
      <c r="D1217" s="36">
        <f t="shared" ca="1" si="57"/>
        <v>0.12633525880344632</v>
      </c>
      <c r="E1217" s="32">
        <v>0.12093289652532757</v>
      </c>
      <c r="F1217" s="35">
        <f t="shared" ca="1" si="56"/>
        <v>2.9129103802372214E-3</v>
      </c>
    </row>
    <row r="1218" spans="1:6" x14ac:dyDescent="0.25">
      <c r="A1218" s="23">
        <v>1217</v>
      </c>
      <c r="B1218" s="7" cm="1">
        <f t="array" aca="1" ref="B1218" ca="1">interpolexp(A1218,serie_du,Taxas_DI)</f>
        <v>0.12384785020591593</v>
      </c>
      <c r="C1218" s="37">
        <f t="shared" ref="C1218:C1281" ca="1" si="58">(1+B1218)^(A1218/252)</f>
        <v>1.757458677087856</v>
      </c>
      <c r="D1218" s="36">
        <f t="shared" ca="1" si="57"/>
        <v>0.12633525431325365</v>
      </c>
      <c r="E1218" s="32">
        <v>0.12093472740313249</v>
      </c>
      <c r="F1218" s="35">
        <f t="shared" ref="F1218:F1281" ca="1" si="59">B1218-E1218</f>
        <v>2.913122802783441E-3</v>
      </c>
    </row>
    <row r="1219" spans="1:6" x14ac:dyDescent="0.25">
      <c r="A1219" s="23">
        <v>1218</v>
      </c>
      <c r="B1219" s="7" cm="1">
        <f t="array" aca="1" ref="B1219" ca="1">interpolexp(A1219,serie_du,Taxas_DI)</f>
        <v>0.12384989015115089</v>
      </c>
      <c r="C1219" s="37">
        <f t="shared" ca="1" si="58"/>
        <v>1.7582885693538326</v>
      </c>
      <c r="D1219" s="36">
        <f t="shared" ca="1" si="57"/>
        <v>0.12633524985884148</v>
      </c>
      <c r="E1219" s="32">
        <v>0.12093655527460889</v>
      </c>
      <c r="F1219" s="35">
        <f t="shared" ca="1" si="59"/>
        <v>2.9133348765419953E-3</v>
      </c>
    </row>
    <row r="1220" spans="1:6" x14ac:dyDescent="0.25">
      <c r="A1220" s="23">
        <v>1219</v>
      </c>
      <c r="B1220" s="7" cm="1">
        <f t="array" aca="1" ref="B1220" ca="1">interpolexp(A1220,serie_du,Taxas_DI)</f>
        <v>0.12385192674950751</v>
      </c>
      <c r="C1220" s="37">
        <f t="shared" ca="1" si="58"/>
        <v>1.7591188534768301</v>
      </c>
      <c r="D1220" s="36">
        <f t="shared" ref="D1220:D1283" ca="1" si="60">((((1+B1220)^(A1220/252))/((1+B1219)^(A1219/252)))^(252/1))-1</f>
        <v>0.12633524539214402</v>
      </c>
      <c r="E1220" s="32">
        <v>0.12093838014715086</v>
      </c>
      <c r="F1220" s="35">
        <f t="shared" ca="1" si="59"/>
        <v>2.9135466023566536E-3</v>
      </c>
    </row>
    <row r="1221" spans="1:6" x14ac:dyDescent="0.25">
      <c r="A1221" s="23">
        <v>1220</v>
      </c>
      <c r="B1221" s="7" cm="1">
        <f t="array" aca="1" ref="B1221" ca="1">interpolexp(A1221,serie_du,Taxas_DI)</f>
        <v>0.12385396000920146</v>
      </c>
      <c r="C1221" s="37">
        <f t="shared" ca="1" si="58"/>
        <v>1.7599495296418219</v>
      </c>
      <c r="D1221" s="36">
        <f t="shared" ca="1" si="60"/>
        <v>0.12633524091909631</v>
      </c>
      <c r="E1221" s="32">
        <v>0.12094020202810807</v>
      </c>
      <c r="F1221" s="35">
        <f t="shared" ca="1" si="59"/>
        <v>2.91375798109339E-3</v>
      </c>
    </row>
    <row r="1222" spans="1:6" x14ac:dyDescent="0.25">
      <c r="A1222" s="23">
        <v>1221</v>
      </c>
      <c r="B1222" s="7" cm="1">
        <f t="array" aca="1" ref="B1222" ca="1">interpolexp(A1222,serie_du,Taxas_DI)</f>
        <v>0.12385598993847058</v>
      </c>
      <c r="C1222" s="37">
        <f t="shared" ca="1" si="58"/>
        <v>1.7607805980342408</v>
      </c>
      <c r="D1222" s="36">
        <f t="shared" ca="1" si="60"/>
        <v>0.12633523649951517</v>
      </c>
      <c r="E1222" s="32">
        <v>0.1209420209248746</v>
      </c>
      <c r="F1222" s="35">
        <f t="shared" ca="1" si="59"/>
        <v>2.9139690135959739E-3</v>
      </c>
    </row>
    <row r="1223" spans="1:6" x14ac:dyDescent="0.25">
      <c r="A1223" s="23">
        <v>1222</v>
      </c>
      <c r="B1223" s="7" cm="1">
        <f t="array" aca="1" ref="B1223" ca="1">interpolexp(A1223,serie_du,Taxas_DI)</f>
        <v>0.12385801654546391</v>
      </c>
      <c r="C1223" s="37">
        <f t="shared" ca="1" si="58"/>
        <v>1.7616120588391377</v>
      </c>
      <c r="D1223" s="36">
        <f t="shared" ca="1" si="60"/>
        <v>0.1263352320578297</v>
      </c>
      <c r="E1223" s="32">
        <v>0.12094383684475574</v>
      </c>
      <c r="F1223" s="35">
        <f t="shared" ca="1" si="59"/>
        <v>2.9141797007081749E-3</v>
      </c>
    </row>
    <row r="1224" spans="1:6" x14ac:dyDescent="0.25">
      <c r="A1224" s="23">
        <v>1223</v>
      </c>
      <c r="B1224" s="7" cm="1">
        <f t="array" aca="1" ref="B1224" ca="1">interpolexp(A1224,serie_du,Taxas_DI)</f>
        <v>0.1238600398383527</v>
      </c>
      <c r="C1224" s="37">
        <f t="shared" ca="1" si="58"/>
        <v>1.7624439122420221</v>
      </c>
      <c r="D1224" s="36">
        <f t="shared" ca="1" si="60"/>
        <v>0.12633522765375083</v>
      </c>
      <c r="E1224" s="32">
        <v>0.12094564979505673</v>
      </c>
      <c r="F1224" s="35">
        <f t="shared" ca="1" si="59"/>
        <v>2.9143900432959668E-3</v>
      </c>
    </row>
    <row r="1225" spans="1:6" x14ac:dyDescent="0.25">
      <c r="A1225" s="23">
        <v>1224</v>
      </c>
      <c r="B1225" s="7" cm="1">
        <f t="array" aca="1" ref="B1225" ca="1">interpolexp(A1225,serie_du,Taxas_DI)</f>
        <v>0.12386205982524157</v>
      </c>
      <c r="C1225" s="37">
        <f t="shared" ca="1" si="58"/>
        <v>1.7632761584281871</v>
      </c>
      <c r="D1225" s="36">
        <f t="shared" ca="1" si="60"/>
        <v>0.12633522323840252</v>
      </c>
      <c r="E1225" s="32">
        <v>0.12094745978306065</v>
      </c>
      <c r="F1225" s="35">
        <f t="shared" ca="1" si="59"/>
        <v>2.9146000421809148E-3</v>
      </c>
    </row>
    <row r="1226" spans="1:6" x14ac:dyDescent="0.25">
      <c r="A1226" s="23">
        <v>1225</v>
      </c>
      <c r="B1226" s="7" cm="1">
        <f t="array" aca="1" ref="B1226" ca="1">interpolexp(A1226,serie_du,Taxas_DI)</f>
        <v>0.12386407651423514</v>
      </c>
      <c r="C1226" s="37">
        <f t="shared" ca="1" si="58"/>
        <v>1.7641087975832146</v>
      </c>
      <c r="D1226" s="36">
        <f t="shared" ca="1" si="60"/>
        <v>0.12633521884413801</v>
      </c>
      <c r="E1226" s="32">
        <v>0.12094926681598395</v>
      </c>
      <c r="F1226" s="35">
        <f t="shared" ca="1" si="59"/>
        <v>2.9148096982511973E-3</v>
      </c>
    </row>
    <row r="1227" spans="1:6" x14ac:dyDescent="0.25">
      <c r="A1227" s="23">
        <v>1226</v>
      </c>
      <c r="B1227" s="7" cm="1">
        <f t="array" aca="1" ref="B1227" ca="1">interpolexp(A1227,serie_du,Taxas_DI)</f>
        <v>0.12386608991339365</v>
      </c>
      <c r="C1227" s="37">
        <f t="shared" ca="1" si="58"/>
        <v>1.7649418298926374</v>
      </c>
      <c r="D1227" s="36">
        <f t="shared" ca="1" si="60"/>
        <v>0.12633521444887608</v>
      </c>
      <c r="E1227" s="32">
        <v>0.12095107090110968</v>
      </c>
      <c r="F1227" s="35">
        <f t="shared" ca="1" si="59"/>
        <v>2.9150190122839703E-3</v>
      </c>
    </row>
    <row r="1228" spans="1:6" x14ac:dyDescent="0.25">
      <c r="A1228" s="23">
        <v>1227</v>
      </c>
      <c r="B1228" s="7" cm="1">
        <f t="array" aca="1" ref="B1228" ca="1">interpolexp(A1228,serie_du,Taxas_DI)</f>
        <v>0.12386810003077731</v>
      </c>
      <c r="C1228" s="37">
        <f t="shared" ca="1" si="58"/>
        <v>1.7657752555422761</v>
      </c>
      <c r="D1228" s="36">
        <f t="shared" ca="1" si="60"/>
        <v>0.12633521008493531</v>
      </c>
      <c r="E1228" s="32">
        <v>0.1209528720456321</v>
      </c>
      <c r="F1228" s="35">
        <f t="shared" ca="1" si="59"/>
        <v>2.9152279851452079E-3</v>
      </c>
    </row>
    <row r="1229" spans="1:6" x14ac:dyDescent="0.25">
      <c r="A1229" s="23">
        <v>1228</v>
      </c>
      <c r="B1229" s="7" cm="1">
        <f t="array" aca="1" ref="B1229" ca="1">interpolexp(A1229,serie_du,Taxas_DI)</f>
        <v>0.12387010687440192</v>
      </c>
      <c r="C1229" s="37">
        <f t="shared" ca="1" si="58"/>
        <v>1.7666090747179002</v>
      </c>
      <c r="D1229" s="36">
        <f t="shared" ca="1" si="60"/>
        <v>0.12633520572984724</v>
      </c>
      <c r="E1229" s="32">
        <v>0.12095467025670104</v>
      </c>
      <c r="F1229" s="35">
        <f t="shared" ca="1" si="59"/>
        <v>2.9154366177008839E-3</v>
      </c>
    </row>
    <row r="1230" spans="1:6" x14ac:dyDescent="0.25">
      <c r="A1230" s="23">
        <v>1229</v>
      </c>
      <c r="B1230" s="7" cm="1">
        <f t="array" aca="1" ref="B1230" ca="1">interpolexp(A1230,serie_du,Taxas_DI)</f>
        <v>0.12387211045223889</v>
      </c>
      <c r="C1230" s="37">
        <f t="shared" ca="1" si="58"/>
        <v>1.7674432876052268</v>
      </c>
      <c r="D1230" s="36">
        <f t="shared" ca="1" si="60"/>
        <v>0.12633520136119181</v>
      </c>
      <c r="E1230" s="32">
        <v>0.12095646554153294</v>
      </c>
      <c r="F1230" s="35">
        <f t="shared" ca="1" si="59"/>
        <v>2.9156449107059501E-3</v>
      </c>
    </row>
    <row r="1231" spans="1:6" x14ac:dyDescent="0.25">
      <c r="A1231" s="23">
        <v>1230</v>
      </c>
      <c r="B1231" s="7" cm="1">
        <f t="array" aca="1" ref="B1231" ca="1">interpolexp(A1231,serie_du,Taxas_DI)</f>
        <v>0.12387411077228183</v>
      </c>
      <c r="C1231" s="37">
        <f t="shared" ca="1" si="58"/>
        <v>1.7682778943904287</v>
      </c>
      <c r="D1231" s="36">
        <f t="shared" ca="1" si="60"/>
        <v>0.12633519703797558</v>
      </c>
      <c r="E1231" s="32">
        <v>0.12095825790721104</v>
      </c>
      <c r="F1231" s="35">
        <f t="shared" ca="1" si="59"/>
        <v>2.9158528650707893E-3</v>
      </c>
    </row>
    <row r="1232" spans="1:6" x14ac:dyDescent="0.25">
      <c r="A1232" s="23">
        <v>1231</v>
      </c>
      <c r="B1232" s="7" cm="1">
        <f t="array" aca="1" ref="B1232" ca="1">interpolexp(A1232,serie_du,Taxas_DI)</f>
        <v>0.12387610784243552</v>
      </c>
      <c r="C1232" s="37">
        <f t="shared" ca="1" si="58"/>
        <v>1.7691128952592847</v>
      </c>
      <c r="D1232" s="36">
        <f t="shared" ca="1" si="60"/>
        <v>0.1263351926829297</v>
      </c>
      <c r="E1232" s="32">
        <v>0.12096004736088517</v>
      </c>
      <c r="F1232" s="35">
        <f t="shared" ca="1" si="59"/>
        <v>2.9160604815503532E-3</v>
      </c>
    </row>
    <row r="1233" spans="1:6" x14ac:dyDescent="0.25">
      <c r="A1233" s="23">
        <v>1232</v>
      </c>
      <c r="B1233" s="7" cm="1">
        <f t="array" aca="1" ref="B1233" ca="1">interpolexp(A1233,serie_du,Taxas_DI)</f>
        <v>0.12387810167062696</v>
      </c>
      <c r="C1233" s="37">
        <f t="shared" ca="1" si="58"/>
        <v>1.7699482903980293</v>
      </c>
      <c r="D1233" s="36">
        <f t="shared" ca="1" si="60"/>
        <v>0.12633518835493307</v>
      </c>
      <c r="E1233" s="32">
        <v>0.12096183390963855</v>
      </c>
      <c r="F1233" s="35">
        <f t="shared" ca="1" si="59"/>
        <v>2.9162677609884113E-3</v>
      </c>
    </row>
    <row r="1234" spans="1:6" x14ac:dyDescent="0.25">
      <c r="A1234" s="23">
        <v>1233</v>
      </c>
      <c r="B1234" s="7" cm="1">
        <f t="array" aca="1" ref="B1234" ca="1">interpolexp(A1234,serie_du,Taxas_DI)</f>
        <v>0.12388009226478314</v>
      </c>
      <c r="C1234" s="37">
        <f t="shared" ca="1" si="58"/>
        <v>1.7707840799931822</v>
      </c>
      <c r="D1234" s="36">
        <f t="shared" ca="1" si="60"/>
        <v>0.1263351840857958</v>
      </c>
      <c r="E1234" s="32">
        <v>0.1209636175605322</v>
      </c>
      <c r="F1234" s="35">
        <f t="shared" ca="1" si="59"/>
        <v>2.9164747042509376E-3</v>
      </c>
    </row>
    <row r="1235" spans="1:6" x14ac:dyDescent="0.25">
      <c r="A1235" s="23">
        <v>1234</v>
      </c>
      <c r="B1235" s="7" cm="1">
        <f t="array" aca="1" ref="B1235" ca="1">interpolexp(A1235,serie_du,Taxas_DI)</f>
        <v>0.12388207963269782</v>
      </c>
      <c r="C1235" s="37">
        <f t="shared" ca="1" si="58"/>
        <v>1.7716202642305228</v>
      </c>
      <c r="D1235" s="36">
        <f t="shared" ca="1" si="60"/>
        <v>0.12633517974250608</v>
      </c>
      <c r="E1235" s="32">
        <v>0.12096539832060493</v>
      </c>
      <c r="F1235" s="35">
        <f t="shared" ca="1" si="59"/>
        <v>2.9166813120928836E-3</v>
      </c>
    </row>
    <row r="1236" spans="1:6" x14ac:dyDescent="0.25">
      <c r="A1236" s="23">
        <v>1235</v>
      </c>
      <c r="B1236" s="7" cm="1">
        <f t="array" aca="1" ref="B1236" ca="1">interpolexp(A1236,serie_du,Taxas_DI)</f>
        <v>0.12388406378225358</v>
      </c>
      <c r="C1236" s="37">
        <f t="shared" ca="1" si="58"/>
        <v>1.7724568432967978</v>
      </c>
      <c r="D1236" s="36">
        <f t="shared" ca="1" si="60"/>
        <v>0.12633517546619077</v>
      </c>
      <c r="E1236" s="32">
        <v>0.12096717619687336</v>
      </c>
      <c r="F1236" s="35">
        <f t="shared" ca="1" si="59"/>
        <v>2.9168875853802234E-3</v>
      </c>
    </row>
    <row r="1237" spans="1:6" x14ac:dyDescent="0.25">
      <c r="A1237" s="23">
        <v>1236</v>
      </c>
      <c r="B1237" s="7" cm="1">
        <f t="array" aca="1" ref="B1237" ca="1">interpolexp(A1237,serie_du,Taxas_DI)</f>
        <v>0.1238860447212442</v>
      </c>
      <c r="C1237" s="37">
        <f t="shared" ca="1" si="58"/>
        <v>1.7732938173783528</v>
      </c>
      <c r="D1237" s="36">
        <f t="shared" ca="1" si="60"/>
        <v>0.1263351711783034</v>
      </c>
      <c r="E1237" s="32">
        <v>0.1209689511963763</v>
      </c>
      <c r="F1237" s="35">
        <f t="shared" ca="1" si="59"/>
        <v>2.9170935248679086E-3</v>
      </c>
    </row>
    <row r="1238" spans="1:6" x14ac:dyDescent="0.25">
      <c r="A1238" s="23">
        <v>1237</v>
      </c>
      <c r="B1238" s="7" cm="1">
        <f t="array" aca="1" ref="B1238" ca="1">interpolexp(A1238,serie_du,Taxas_DI)</f>
        <v>0.12388802245746344</v>
      </c>
      <c r="C1238" s="37">
        <f t="shared" ca="1" si="58"/>
        <v>1.7741311866618166</v>
      </c>
      <c r="D1238" s="36">
        <f t="shared" ca="1" si="60"/>
        <v>0.12633516691023039</v>
      </c>
      <c r="E1238" s="32">
        <v>0.12097072332604153</v>
      </c>
      <c r="F1238" s="35">
        <f t="shared" ca="1" si="59"/>
        <v>2.9172991314219132E-3</v>
      </c>
    </row>
    <row r="1239" spans="1:6" x14ac:dyDescent="0.25">
      <c r="A1239" s="23">
        <v>1238</v>
      </c>
      <c r="B1239" s="7" cm="1">
        <f t="array" aca="1" ref="B1239" ca="1">interpolexp(A1239,serie_du,Taxas_DI)</f>
        <v>0.12388999699868286</v>
      </c>
      <c r="C1239" s="37">
        <f t="shared" ca="1" si="58"/>
        <v>1.7749689513339293</v>
      </c>
      <c r="D1239" s="36">
        <f t="shared" ca="1" si="60"/>
        <v>0.12633516266556177</v>
      </c>
      <c r="E1239" s="32">
        <v>0.12097249259286347</v>
      </c>
      <c r="F1239" s="35">
        <f t="shared" ca="1" si="59"/>
        <v>2.9175044058193933E-3</v>
      </c>
    </row>
    <row r="1240" spans="1:6" x14ac:dyDescent="0.25">
      <c r="A1240" s="23">
        <v>1239</v>
      </c>
      <c r="B1240" s="7" cm="1">
        <f t="array" aca="1" ref="B1240" ca="1">interpolexp(A1240,serie_du,Taxas_DI)</f>
        <v>0.12389196835262961</v>
      </c>
      <c r="C1240" s="37">
        <f t="shared" ca="1" si="58"/>
        <v>1.7758071115813685</v>
      </c>
      <c r="D1240" s="36">
        <f t="shared" ca="1" si="60"/>
        <v>0.12633515842020859</v>
      </c>
      <c r="E1240" s="32">
        <v>0.1209742590037699</v>
      </c>
      <c r="F1240" s="35">
        <f t="shared" ca="1" si="59"/>
        <v>2.9177093488597095E-3</v>
      </c>
    </row>
    <row r="1241" spans="1:6" x14ac:dyDescent="0.25">
      <c r="A1241" s="23">
        <v>1240</v>
      </c>
      <c r="B1241" s="7" cm="1">
        <f t="array" aca="1" ref="B1241" ca="1">interpolexp(A1241,serie_du,Taxas_DI)</f>
        <v>0.12389393652698644</v>
      </c>
      <c r="C1241" s="37">
        <f t="shared" ca="1" si="58"/>
        <v>1.7766456675907483</v>
      </c>
      <c r="D1241" s="36">
        <f t="shared" ca="1" si="60"/>
        <v>0.12633515414994201</v>
      </c>
      <c r="E1241" s="32">
        <v>0.12097602256564421</v>
      </c>
      <c r="F1241" s="35">
        <f t="shared" ca="1" si="59"/>
        <v>2.9179139613422223E-3</v>
      </c>
    </row>
    <row r="1242" spans="1:6" x14ac:dyDescent="0.25">
      <c r="A1242" s="23">
        <v>1241</v>
      </c>
      <c r="B1242" s="7" cm="1">
        <f t="array" aca="1" ref="B1242" ca="1">interpolexp(A1242,serie_du,Taxas_DI)</f>
        <v>0.12389590152948049</v>
      </c>
      <c r="C1242" s="37">
        <f t="shared" ca="1" si="58"/>
        <v>1.7774846195493097</v>
      </c>
      <c r="D1242" s="36">
        <f t="shared" ca="1" si="60"/>
        <v>0.12633514994082562</v>
      </c>
      <c r="E1242" s="32">
        <v>0.12097778328536979</v>
      </c>
      <c r="F1242" s="35">
        <f t="shared" ca="1" si="59"/>
        <v>2.9181182441107012E-3</v>
      </c>
    </row>
    <row r="1243" spans="1:6" x14ac:dyDescent="0.25">
      <c r="A1243" s="23">
        <v>1242</v>
      </c>
      <c r="B1243" s="7" cm="1">
        <f t="array" aca="1" ref="B1243" ca="1">interpolexp(A1243,serie_du,Taxas_DI)</f>
        <v>0.12389786336777231</v>
      </c>
      <c r="C1243" s="37">
        <f t="shared" ca="1" si="58"/>
        <v>1.778323967644057</v>
      </c>
      <c r="D1243" s="36">
        <f t="shared" ca="1" si="60"/>
        <v>0.12633514574090654</v>
      </c>
      <c r="E1243" s="32">
        <v>0.12097954116985221</v>
      </c>
      <c r="F1243" s="35">
        <f t="shared" ca="1" si="59"/>
        <v>2.9183221979200979E-3</v>
      </c>
    </row>
    <row r="1244" spans="1:6" x14ac:dyDescent="0.25">
      <c r="A1244" s="23">
        <v>1243</v>
      </c>
      <c r="B1244" s="7" cm="1">
        <f t="array" aca="1" ref="B1244" ca="1">interpolexp(A1244,serie_du,Taxas_DI)</f>
        <v>0.12389982204947803</v>
      </c>
      <c r="C1244" s="37">
        <f t="shared" ca="1" si="58"/>
        <v>1.7791637120619275</v>
      </c>
      <c r="D1244" s="36">
        <f t="shared" ca="1" si="60"/>
        <v>0.12633514152537884</v>
      </c>
      <c r="E1244" s="32">
        <v>0.12098129622590825</v>
      </c>
      <c r="F1244" s="35">
        <f t="shared" ca="1" si="59"/>
        <v>2.9185258235697731E-3</v>
      </c>
    </row>
    <row r="1245" spans="1:6" x14ac:dyDescent="0.25">
      <c r="A1245" s="23">
        <v>1244</v>
      </c>
      <c r="B1245" s="7" cm="1">
        <f t="array" aca="1" ref="B1245" ca="1">interpolexp(A1245,serie_du,Taxas_DI)</f>
        <v>0.12390177758219156</v>
      </c>
      <c r="C1245" s="37">
        <f t="shared" ca="1" si="58"/>
        <v>1.7800038529899653</v>
      </c>
      <c r="D1245" s="36">
        <f t="shared" ca="1" si="60"/>
        <v>0.12633513729722301</v>
      </c>
      <c r="E1245" s="32">
        <v>0.12098304846035468</v>
      </c>
      <c r="F1245" s="35">
        <f t="shared" ca="1" si="59"/>
        <v>2.9187291218368827E-3</v>
      </c>
    </row>
    <row r="1246" spans="1:6" x14ac:dyDescent="0.25">
      <c r="A1246" s="23">
        <v>1245</v>
      </c>
      <c r="B1246" s="7" cm="1">
        <f t="array" aca="1" ref="B1246" ca="1">interpolexp(A1246,serie_du,Taxas_DI)</f>
        <v>0.12390372997355126</v>
      </c>
      <c r="C1246" s="37">
        <f t="shared" ca="1" si="58"/>
        <v>1.7808443906158407</v>
      </c>
      <c r="D1246" s="36">
        <f t="shared" ca="1" si="60"/>
        <v>0.12633513314223999</v>
      </c>
      <c r="E1246" s="32">
        <v>0.12098479787998606</v>
      </c>
      <c r="F1246" s="35">
        <f t="shared" ca="1" si="59"/>
        <v>2.9189320935651963E-3</v>
      </c>
    </row>
    <row r="1247" spans="1:6" x14ac:dyDescent="0.25">
      <c r="A1247" s="23">
        <v>1246</v>
      </c>
      <c r="B1247" s="7" cm="1">
        <f t="array" aca="1" ref="B1247" ca="1">interpolexp(A1247,serie_du,Taxas_DI)</f>
        <v>0.12390567923108442</v>
      </c>
      <c r="C1247" s="37">
        <f t="shared" ca="1" si="58"/>
        <v>1.7816853251266347</v>
      </c>
      <c r="D1247" s="36">
        <f t="shared" ca="1" si="60"/>
        <v>0.12633512895226873</v>
      </c>
      <c r="E1247" s="32">
        <v>0.12098654449161916</v>
      </c>
      <c r="F1247" s="35">
        <f t="shared" ca="1" si="59"/>
        <v>2.9191347394652567E-3</v>
      </c>
    </row>
    <row r="1248" spans="1:6" x14ac:dyDescent="0.25">
      <c r="A1248" s="23">
        <v>1247</v>
      </c>
      <c r="B1248" s="7" cm="1">
        <f t="array" aca="1" ref="B1248" ca="1">interpolexp(A1248,serie_du,Taxas_DI)</f>
        <v>0.12390762536234057</v>
      </c>
      <c r="C1248" s="37">
        <f t="shared" ca="1" si="58"/>
        <v>1.7825266567098805</v>
      </c>
      <c r="D1248" s="36">
        <f t="shared" ca="1" si="60"/>
        <v>0.12633512478531417</v>
      </c>
      <c r="E1248" s="32">
        <v>0.12098828830195973</v>
      </c>
      <c r="F1248" s="35">
        <f t="shared" ca="1" si="59"/>
        <v>2.9193370603808333E-3</v>
      </c>
    </row>
    <row r="1249" spans="1:6" x14ac:dyDescent="0.25">
      <c r="A1249" s="23">
        <v>1248</v>
      </c>
      <c r="B1249" s="7" cm="1">
        <f t="array" aca="1" ref="B1249" ca="1">interpolexp(A1249,serie_du,Taxas_DI)</f>
        <v>0.12390956837484701</v>
      </c>
      <c r="C1249" s="37">
        <f t="shared" ca="1" si="58"/>
        <v>1.7833683855532154</v>
      </c>
      <c r="D1249" s="36">
        <f t="shared" ca="1" si="60"/>
        <v>0.12633512064380281</v>
      </c>
      <c r="E1249" s="32">
        <v>0.12099002931775793</v>
      </c>
      <c r="F1249" s="35">
        <f t="shared" ca="1" si="59"/>
        <v>2.9195390570890822E-3</v>
      </c>
    </row>
    <row r="1250" spans="1:6" x14ac:dyDescent="0.25">
      <c r="A1250" s="23">
        <v>1249</v>
      </c>
      <c r="B1250" s="7" cm="1">
        <f t="array" aca="1" ref="B1250" ca="1">interpolexp(A1250,serie_du,Taxas_DI)</f>
        <v>0.12391150827606445</v>
      </c>
      <c r="C1250" s="37">
        <f t="shared" ca="1" si="58"/>
        <v>1.7842105118440301</v>
      </c>
      <c r="D1250" s="36">
        <f t="shared" ca="1" si="60"/>
        <v>0.12633511647437046</v>
      </c>
      <c r="E1250" s="32">
        <v>0.1209917675457417</v>
      </c>
      <c r="F1250" s="35">
        <f t="shared" ca="1" si="59"/>
        <v>2.9197407303227507E-3</v>
      </c>
    </row>
    <row r="1251" spans="1:6" x14ac:dyDescent="0.25">
      <c r="A1251" s="23">
        <v>1250</v>
      </c>
      <c r="B1251" s="7" cm="1">
        <f t="array" aca="1" ref="B1251" ca="1">interpolexp(A1251,serie_du,Taxas_DI)</f>
        <v>0.12391344507347579</v>
      </c>
      <c r="C1251" s="37">
        <f t="shared" ca="1" si="58"/>
        <v>1.7850530357701675</v>
      </c>
      <c r="D1251" s="36">
        <f t="shared" ca="1" si="60"/>
        <v>0.12633511233492256</v>
      </c>
      <c r="E1251" s="32">
        <v>0.12099350299259459</v>
      </c>
      <c r="F1251" s="35">
        <f t="shared" ca="1" si="59"/>
        <v>2.9199420808811993E-3</v>
      </c>
    </row>
    <row r="1252" spans="1:6" x14ac:dyDescent="0.25">
      <c r="A1252" s="23">
        <v>1251</v>
      </c>
      <c r="B1252" s="7" cm="1">
        <f t="array" aca="1" ref="B1252" ca="1">interpolexp(A1252,serie_du,Taxas_DI)</f>
        <v>0.12391537877454173</v>
      </c>
      <c r="C1252" s="37">
        <f t="shared" ca="1" si="58"/>
        <v>1.7858959575195716</v>
      </c>
      <c r="D1252" s="36">
        <f t="shared" ca="1" si="60"/>
        <v>0.12633510822748284</v>
      </c>
      <c r="E1252" s="32">
        <v>0.12099523566497794</v>
      </c>
      <c r="F1252" s="35">
        <f t="shared" ca="1" si="59"/>
        <v>2.9201431095637886E-3</v>
      </c>
    </row>
    <row r="1253" spans="1:6" x14ac:dyDescent="0.25">
      <c r="A1253" s="23">
        <v>1252</v>
      </c>
      <c r="B1253" s="7" cm="1">
        <f t="array" aca="1" ref="B1253" ca="1">interpolexp(A1253,serie_du,Taxas_DI)</f>
        <v>0.12391730938665635</v>
      </c>
      <c r="C1253" s="37">
        <f t="shared" ca="1" si="58"/>
        <v>1.7867392772799386</v>
      </c>
      <c r="D1253" s="36">
        <f t="shared" ca="1" si="60"/>
        <v>0.12633510409839843</v>
      </c>
      <c r="E1253" s="32">
        <v>0.12099696556955308</v>
      </c>
      <c r="F1253" s="35">
        <f t="shared" ca="1" si="59"/>
        <v>2.9203438171032658E-3</v>
      </c>
    </row>
    <row r="1254" spans="1:6" x14ac:dyDescent="0.25">
      <c r="A1254" s="23">
        <v>1253</v>
      </c>
      <c r="B1254" s="7" cm="1">
        <f t="array" aca="1" ref="B1254" ca="1">interpolexp(A1254,serie_du,Taxas_DI)</f>
        <v>0.12391923691721374</v>
      </c>
      <c r="C1254" s="37">
        <f t="shared" ca="1" si="58"/>
        <v>1.7875829952392386</v>
      </c>
      <c r="D1254" s="36">
        <f t="shared" ca="1" si="60"/>
        <v>0.12633509997710646</v>
      </c>
      <c r="E1254" s="32">
        <v>0.12099869271291475</v>
      </c>
      <c r="F1254" s="35">
        <f t="shared" ca="1" si="59"/>
        <v>2.9205442042989915E-3</v>
      </c>
    </row>
    <row r="1255" spans="1:6" x14ac:dyDescent="0.25">
      <c r="A1255" s="23">
        <v>1254</v>
      </c>
      <c r="B1255" s="7" cm="1">
        <f t="array" aca="1" ref="B1255" ca="1">interpolexp(A1255,serie_du,Taxas_DI)</f>
        <v>0.12392116137360798</v>
      </c>
      <c r="C1255" s="37">
        <f t="shared" ca="1" si="58"/>
        <v>1.7884271115857175</v>
      </c>
      <c r="D1255" s="36">
        <f t="shared" ca="1" si="60"/>
        <v>0.12633509589342196</v>
      </c>
      <c r="E1255" s="32">
        <v>0.12100041710170206</v>
      </c>
      <c r="F1255" s="35">
        <f t="shared" ca="1" si="59"/>
        <v>2.9207442719059173E-3</v>
      </c>
    </row>
    <row r="1256" spans="1:6" x14ac:dyDescent="0.25">
      <c r="A1256" s="23">
        <v>1255</v>
      </c>
      <c r="B1256" s="7" cm="1">
        <f t="array" aca="1" ref="B1256" ca="1">interpolexp(A1256,serie_du,Taxas_DI)</f>
        <v>0.12392308276318875</v>
      </c>
      <c r="C1256" s="37">
        <f t="shared" ca="1" si="58"/>
        <v>1.7892716265075452</v>
      </c>
      <c r="D1256" s="36">
        <f t="shared" ca="1" si="60"/>
        <v>0.12633509182097025</v>
      </c>
      <c r="E1256" s="32">
        <v>0.12100213874250976</v>
      </c>
      <c r="F1256" s="35">
        <f t="shared" ca="1" si="59"/>
        <v>2.9209440206789949E-3</v>
      </c>
    </row>
    <row r="1257" spans="1:6" x14ac:dyDescent="0.25">
      <c r="A1257" s="23">
        <v>1256</v>
      </c>
      <c r="B1257" s="7" cm="1">
        <f t="array" aca="1" ref="B1257" ca="1">interpolexp(A1257,serie_du,Taxas_DI)</f>
        <v>0.12392500109323912</v>
      </c>
      <c r="C1257" s="37">
        <f t="shared" ca="1" si="58"/>
        <v>1.7901165401926364</v>
      </c>
      <c r="D1257" s="36">
        <f t="shared" ca="1" si="60"/>
        <v>0.12633508770536972</v>
      </c>
      <c r="E1257" s="32">
        <v>0.12100385764186594</v>
      </c>
      <c r="F1257" s="35">
        <f t="shared" ca="1" si="59"/>
        <v>2.921143451373176E-3</v>
      </c>
    </row>
    <row r="1258" spans="1:6" x14ac:dyDescent="0.25">
      <c r="A1258" s="23">
        <v>1257</v>
      </c>
      <c r="B1258" s="7" cm="1">
        <f t="array" aca="1" ref="B1258" ca="1">interpolexp(A1258,serie_du,Taxas_DI)</f>
        <v>0.12392691637110875</v>
      </c>
      <c r="C1258" s="37">
        <f t="shared" ca="1" si="58"/>
        <v>1.7909618528297091</v>
      </c>
      <c r="D1258" s="36">
        <f t="shared" ca="1" si="60"/>
        <v>0.12633508365983759</v>
      </c>
      <c r="E1258" s="32">
        <v>0.12100557380632093</v>
      </c>
      <c r="F1258" s="35">
        <f t="shared" ca="1" si="59"/>
        <v>2.9213425647878211E-3</v>
      </c>
    </row>
    <row r="1259" spans="1:6" x14ac:dyDescent="0.25">
      <c r="A1259" s="23">
        <v>1258</v>
      </c>
      <c r="B1259" s="7" cm="1">
        <f t="array" aca="1" ref="B1259" ca="1">interpolexp(A1259,serie_du,Taxas_DI)</f>
        <v>0.12392882860405852</v>
      </c>
      <c r="C1259" s="37">
        <f t="shared" ca="1" si="58"/>
        <v>1.7918075646070486</v>
      </c>
      <c r="D1259" s="36">
        <f t="shared" ca="1" si="60"/>
        <v>0.12633507960160872</v>
      </c>
      <c r="E1259" s="32">
        <v>0.12100728724240284</v>
      </c>
      <c r="F1259" s="35">
        <f t="shared" ca="1" si="59"/>
        <v>2.9215413616556773E-3</v>
      </c>
    </row>
    <row r="1260" spans="1:6" x14ac:dyDescent="0.25">
      <c r="A1260" s="23">
        <v>1259</v>
      </c>
      <c r="B1260" s="7" cm="1">
        <f t="array" aca="1" ref="B1260" ca="1">interpolexp(A1260,serie_du,Taxas_DI)</f>
        <v>0.12393073779934927</v>
      </c>
      <c r="C1260" s="37">
        <f t="shared" ca="1" si="58"/>
        <v>1.7926536757132132</v>
      </c>
      <c r="D1260" s="36">
        <f t="shared" ca="1" si="60"/>
        <v>0.12633507555981804</v>
      </c>
      <c r="E1260" s="32">
        <v>0.12100899795661757</v>
      </c>
      <c r="F1260" s="35">
        <f t="shared" ca="1" si="59"/>
        <v>2.9217398427316965E-3</v>
      </c>
    </row>
    <row r="1261" spans="1:6" x14ac:dyDescent="0.25">
      <c r="A1261" s="23">
        <v>1260</v>
      </c>
      <c r="B1261" s="7" cm="1">
        <f t="array" aca="1" ref="B1261" ca="1">interpolexp(A1261,serie_du,Taxas_DI)</f>
        <v>0.12393264396419745</v>
      </c>
      <c r="C1261" s="37">
        <f t="shared" ca="1" si="58"/>
        <v>1.7935001863366797</v>
      </c>
      <c r="D1261" s="36">
        <f t="shared" ca="1" si="60"/>
        <v>0.12633507150749845</v>
      </c>
      <c r="E1261" s="32">
        <v>0.12101070595544883</v>
      </c>
      <c r="F1261" s="35">
        <f t="shared" ca="1" si="59"/>
        <v>2.9219380087486257E-3</v>
      </c>
    </row>
    <row r="1262" spans="1:6" x14ac:dyDescent="0.25">
      <c r="A1262" s="23">
        <v>1261</v>
      </c>
      <c r="B1262" s="7" cm="1">
        <f t="array" aca="1" ref="B1262" ca="1">interpolexp(A1262,serie_du,Taxas_DI)</f>
        <v>0.12393454710581953</v>
      </c>
      <c r="C1262" s="37">
        <f t="shared" ca="1" si="58"/>
        <v>1.7943470966661965</v>
      </c>
      <c r="D1262" s="36">
        <f t="shared" ca="1" si="60"/>
        <v>0.12633506747355683</v>
      </c>
      <c r="E1262" s="32">
        <v>0.1210124112453359</v>
      </c>
      <c r="F1262" s="35">
        <f t="shared" ca="1" si="59"/>
        <v>2.9221358604836212E-3</v>
      </c>
    </row>
    <row r="1263" spans="1:6" x14ac:dyDescent="0.25">
      <c r="A1263" s="23">
        <v>1262</v>
      </c>
      <c r="B1263" s="7" cm="1">
        <f t="array" aca="1" ref="B1263" ca="1">interpolexp(A1263,serie_du,Taxas_DI)</f>
        <v>0.12393644723140973</v>
      </c>
      <c r="C1263" s="37">
        <f t="shared" ca="1" si="58"/>
        <v>1.7951944068906065</v>
      </c>
      <c r="D1263" s="36">
        <f t="shared" ca="1" si="60"/>
        <v>0.12633506345885381</v>
      </c>
      <c r="E1263" s="32">
        <v>0.1210141138327403</v>
      </c>
      <c r="F1263" s="35">
        <f t="shared" ca="1" si="59"/>
        <v>2.92233339866943E-3</v>
      </c>
    </row>
    <row r="1264" spans="1:6" x14ac:dyDescent="0.25">
      <c r="A1264" s="23">
        <v>1263</v>
      </c>
      <c r="B1264" s="7" cm="1">
        <f t="array" aca="1" ref="B1264" ca="1">interpolexp(A1264,serie_du,Taxas_DI)</f>
        <v>0.12393834434814011</v>
      </c>
      <c r="C1264" s="37">
        <f t="shared" ca="1" si="58"/>
        <v>1.7960421171988459</v>
      </c>
      <c r="D1264" s="36">
        <f t="shared" ca="1" si="60"/>
        <v>0.12633505946398382</v>
      </c>
      <c r="E1264" s="32">
        <v>0.1210158137240791</v>
      </c>
      <c r="F1264" s="35">
        <f t="shared" ca="1" si="59"/>
        <v>2.9225306240610038E-3</v>
      </c>
    </row>
    <row r="1265" spans="1:6" x14ac:dyDescent="0.25">
      <c r="A1265" s="23">
        <v>1264</v>
      </c>
      <c r="B1265" s="7" cm="1">
        <f t="array" aca="1" ref="B1265" ca="1">interpolexp(A1265,serie_du,Taxas_DI)</f>
        <v>0.12394023846311608</v>
      </c>
      <c r="C1265" s="37">
        <f t="shared" ca="1" si="58"/>
        <v>1.7968902277795888</v>
      </c>
      <c r="D1265" s="36">
        <f t="shared" ca="1" si="60"/>
        <v>0.12633505543340995</v>
      </c>
      <c r="E1265" s="32">
        <v>0.1210175109257472</v>
      </c>
      <c r="F1265" s="35">
        <f t="shared" ca="1" si="59"/>
        <v>2.9227275373688855E-3</v>
      </c>
    </row>
    <row r="1266" spans="1:6" x14ac:dyDescent="0.25">
      <c r="A1266" s="23">
        <v>1265</v>
      </c>
      <c r="B1266" s="7" cm="1">
        <f t="array" aca="1" ref="B1266" ca="1">interpolexp(A1266,serie_du,Taxas_DI)</f>
        <v>0.1239421295835097</v>
      </c>
      <c r="C1266" s="37">
        <f t="shared" ca="1" si="58"/>
        <v>1.7977387388223123</v>
      </c>
      <c r="D1266" s="36">
        <f t="shared" ca="1" si="60"/>
        <v>0.12633505147988422</v>
      </c>
      <c r="E1266" s="32">
        <v>0.12101920544411726</v>
      </c>
      <c r="F1266" s="35">
        <f t="shared" ca="1" si="59"/>
        <v>2.9229241393924354E-3</v>
      </c>
    </row>
    <row r="1267" spans="1:6" x14ac:dyDescent="0.25">
      <c r="A1267" s="23">
        <v>1266</v>
      </c>
      <c r="B1267" s="7" cm="1">
        <f t="array" aca="1" ref="B1267" ca="1">interpolexp(A1267,serie_du,Taxas_DI)</f>
        <v>0.12394401771635977</v>
      </c>
      <c r="C1267" s="37">
        <f t="shared" ca="1" si="58"/>
        <v>1.7985876505156948</v>
      </c>
      <c r="D1267" s="36">
        <f t="shared" ca="1" si="60"/>
        <v>0.12633504746313262</v>
      </c>
      <c r="E1267" s="32">
        <v>0.12102089728553977</v>
      </c>
      <c r="F1267" s="35">
        <f t="shared" ca="1" si="59"/>
        <v>2.9231204308199921E-3</v>
      </c>
    </row>
    <row r="1268" spans="1:6" x14ac:dyDescent="0.25">
      <c r="A1268" s="23">
        <v>1267</v>
      </c>
      <c r="B1268" s="7" cm="1">
        <f t="array" aca="1" ref="B1268" ca="1">interpolexp(A1268,serie_du,Taxas_DI)</f>
        <v>0.12394590286877172</v>
      </c>
      <c r="C1268" s="37">
        <f t="shared" ca="1" si="58"/>
        <v>1.7994369630492184</v>
      </c>
      <c r="D1268" s="36">
        <f t="shared" ca="1" si="60"/>
        <v>0.12633504349605817</v>
      </c>
      <c r="E1268" s="32">
        <v>0.12102258645636521</v>
      </c>
      <c r="F1268" s="35">
        <f t="shared" ca="1" si="59"/>
        <v>2.923316412406507E-3</v>
      </c>
    </row>
    <row r="1269" spans="1:6" x14ac:dyDescent="0.25">
      <c r="A1269" s="23">
        <v>1268</v>
      </c>
      <c r="B1269" s="7" cm="1">
        <f t="array" aca="1" ref="B1269" ca="1">interpolexp(A1269,serie_du,Taxas_DI)</f>
        <v>0.12394778504780657</v>
      </c>
      <c r="C1269" s="37">
        <f t="shared" ca="1" si="58"/>
        <v>1.8002866766122771</v>
      </c>
      <c r="D1269" s="36">
        <f t="shared" ca="1" si="60"/>
        <v>0.12633503955052361</v>
      </c>
      <c r="E1269" s="32">
        <v>0.12102427296294405</v>
      </c>
      <c r="F1269" s="35">
        <f t="shared" ca="1" si="59"/>
        <v>2.9235120848625229E-3</v>
      </c>
    </row>
    <row r="1270" spans="1:6" x14ac:dyDescent="0.25">
      <c r="A1270" s="23">
        <v>1269</v>
      </c>
      <c r="B1270" s="7" cm="1">
        <f t="array" aca="1" ref="B1270" ca="1">interpolexp(A1270,serie_du,Taxas_DI)</f>
        <v>0.12394966426045873</v>
      </c>
      <c r="C1270" s="37">
        <f t="shared" ca="1" si="58"/>
        <v>1.8011367913939971</v>
      </c>
      <c r="D1270" s="36">
        <f t="shared" ca="1" si="60"/>
        <v>0.12633503557019665</v>
      </c>
      <c r="E1270" s="32">
        <v>0.12102595681151573</v>
      </c>
      <c r="F1270" s="35">
        <f t="shared" ca="1" si="59"/>
        <v>2.9237074489429915E-3</v>
      </c>
    </row>
    <row r="1271" spans="1:6" x14ac:dyDescent="0.25">
      <c r="A1271" s="23">
        <v>1270</v>
      </c>
      <c r="B1271" s="7" cm="1">
        <f t="array" aca="1" ref="B1271" ca="1">interpolexp(A1271,serie_du,Taxas_DI)</f>
        <v>0.123951540513767</v>
      </c>
      <c r="C1271" s="37">
        <f t="shared" ca="1" si="58"/>
        <v>1.8019873075841295</v>
      </c>
      <c r="D1271" s="36">
        <f t="shared" ca="1" si="60"/>
        <v>0.12633503163953042</v>
      </c>
      <c r="E1271" s="32">
        <v>0.12102763800838634</v>
      </c>
      <c r="F1271" s="35">
        <f t="shared" ca="1" si="59"/>
        <v>2.92390250538066E-3</v>
      </c>
    </row>
    <row r="1272" spans="1:6" x14ac:dyDescent="0.25">
      <c r="A1272" s="23">
        <v>1271</v>
      </c>
      <c r="B1272" s="7" cm="1">
        <f t="array" aca="1" ref="B1272" ca="1">interpolexp(A1272,serie_du,Taxas_DI)</f>
        <v>0.1239534138147258</v>
      </c>
      <c r="C1272" s="37">
        <f t="shared" ca="1" si="58"/>
        <v>1.8028382253723356</v>
      </c>
      <c r="D1272" s="36">
        <f t="shared" ca="1" si="60"/>
        <v>0.1263350277302322</v>
      </c>
      <c r="E1272" s="32">
        <v>0.12102931655981752</v>
      </c>
      <c r="F1272" s="35">
        <f t="shared" ca="1" si="59"/>
        <v>2.9240972549082755E-3</v>
      </c>
    </row>
    <row r="1273" spans="1:6" x14ac:dyDescent="0.25">
      <c r="A1273" s="23">
        <v>1272</v>
      </c>
      <c r="B1273" s="7" cm="1">
        <f t="array" aca="1" ref="B1273" ca="1">interpolexp(A1273,serie_du,Taxas_DI)</f>
        <v>0.12395528417024071</v>
      </c>
      <c r="C1273" s="37">
        <f t="shared" ca="1" si="58"/>
        <v>1.8036895449478247</v>
      </c>
      <c r="D1273" s="36">
        <f t="shared" ca="1" si="60"/>
        <v>0.12633502375696115</v>
      </c>
      <c r="E1273" s="32">
        <v>0.12103099247202653</v>
      </c>
      <c r="F1273" s="35">
        <f t="shared" ca="1" si="59"/>
        <v>2.9242916982141764E-3</v>
      </c>
    </row>
    <row r="1274" spans="1:6" x14ac:dyDescent="0.25">
      <c r="A1274" s="23">
        <v>1273</v>
      </c>
      <c r="B1274" s="7" cm="1">
        <f t="array" aca="1" ref="B1274" ca="1">interpolexp(A1274,serie_du,Taxas_DI)</f>
        <v>0.12395715158732834</v>
      </c>
      <c r="C1274" s="37">
        <f t="shared" ca="1" si="58"/>
        <v>1.8045412665009712</v>
      </c>
      <c r="D1274" s="36">
        <f t="shared" ca="1" si="60"/>
        <v>0.12633501988908291</v>
      </c>
      <c r="E1274" s="32">
        <v>0.12103266575127503</v>
      </c>
      <c r="F1274" s="35">
        <f t="shared" ca="1" si="59"/>
        <v>2.9244858360533144E-3</v>
      </c>
    </row>
    <row r="1275" spans="1:6" x14ac:dyDescent="0.25">
      <c r="A1275" s="23">
        <v>1274</v>
      </c>
      <c r="B1275" s="7" cm="1">
        <f t="array" aca="1" ref="B1275" ca="1">interpolexp(A1275,serie_du,Taxas_DI)</f>
        <v>0.12395901607282767</v>
      </c>
      <c r="C1275" s="37">
        <f t="shared" ca="1" si="58"/>
        <v>1.8053933902209769</v>
      </c>
      <c r="D1275" s="36">
        <f t="shared" ca="1" si="60"/>
        <v>0.12633501592793528</v>
      </c>
      <c r="E1275" s="32">
        <v>0.12103433640373584</v>
      </c>
      <c r="F1275" s="35">
        <f t="shared" ca="1" si="59"/>
        <v>2.9246796690918231E-3</v>
      </c>
    </row>
    <row r="1276" spans="1:6" x14ac:dyDescent="0.25">
      <c r="A1276" s="23">
        <v>1275</v>
      </c>
      <c r="B1276" s="7" cm="1">
        <f t="array" aca="1" ref="B1276" ca="1">interpolexp(A1276,serie_du,Taxas_DI)</f>
        <v>0.12396087763371089</v>
      </c>
      <c r="C1276" s="37">
        <f t="shared" ca="1" si="58"/>
        <v>1.8062459162983888</v>
      </c>
      <c r="D1276" s="36">
        <f t="shared" ca="1" si="60"/>
        <v>0.12633501207107667</v>
      </c>
      <c r="E1276" s="32">
        <v>0.12103600443558182</v>
      </c>
      <c r="F1276" s="35">
        <f t="shared" ca="1" si="59"/>
        <v>2.9248731981290632E-3</v>
      </c>
    </row>
    <row r="1277" spans="1:6" x14ac:dyDescent="0.25">
      <c r="A1277" s="23">
        <v>1276</v>
      </c>
      <c r="B1277" s="7" cm="1">
        <f t="array" aca="1" ref="B1277" ca="1">interpolexp(A1277,serie_du,Taxas_DI)</f>
        <v>0.12396273627681698</v>
      </c>
      <c r="C1277" s="37">
        <f t="shared" ca="1" si="58"/>
        <v>1.807098844922939</v>
      </c>
      <c r="D1277" s="36">
        <f t="shared" ca="1" si="60"/>
        <v>0.12633500817611898</v>
      </c>
      <c r="E1277" s="32">
        <v>0.12103766985300801</v>
      </c>
      <c r="F1277" s="35">
        <f t="shared" ca="1" si="59"/>
        <v>2.9250664238089641E-3</v>
      </c>
    </row>
    <row r="1278" spans="1:6" x14ac:dyDescent="0.25">
      <c r="A1278" s="23">
        <v>1277</v>
      </c>
      <c r="B1278" s="7" cm="1">
        <f t="array" aca="1" ref="B1278" ca="1">interpolexp(A1278,serie_du,Taxas_DI)</f>
        <v>0.12396459200898491</v>
      </c>
      <c r="C1278" s="37">
        <f t="shared" ca="1" si="58"/>
        <v>1.8079521762846222</v>
      </c>
      <c r="D1278" s="36">
        <f t="shared" ca="1" si="60"/>
        <v>0.12633500427033306</v>
      </c>
      <c r="E1278" s="32">
        <v>0.12103933266212064</v>
      </c>
      <c r="F1278" s="35">
        <f t="shared" ca="1" si="59"/>
        <v>2.9252593468642729E-3</v>
      </c>
    </row>
    <row r="1279" spans="1:6" x14ac:dyDescent="0.25">
      <c r="A1279" s="23">
        <v>1278</v>
      </c>
      <c r="B1279" s="7" cm="1">
        <f t="array" aca="1" ref="B1279" ca="1">interpolexp(A1279,serie_du,Taxas_DI)</f>
        <v>0.12396644483709807</v>
      </c>
      <c r="C1279" s="37">
        <f t="shared" ca="1" si="58"/>
        <v>1.8088059105740601</v>
      </c>
      <c r="D1279" s="36">
        <f t="shared" ca="1" si="60"/>
        <v>0.12633500043804058</v>
      </c>
      <c r="E1279" s="32">
        <v>0.12104099286904813</v>
      </c>
      <c r="F1279" s="35">
        <f t="shared" ca="1" si="59"/>
        <v>2.9254519680499413E-3</v>
      </c>
    </row>
    <row r="1280" spans="1:6" x14ac:dyDescent="0.25">
      <c r="A1280" s="23">
        <v>1279</v>
      </c>
      <c r="B1280" s="7" cm="1">
        <f t="array" aca="1" ref="B1280" ca="1">interpolexp(A1280,serie_du,Taxas_DI)</f>
        <v>0.12396829476790661</v>
      </c>
      <c r="C1280" s="37">
        <f t="shared" ca="1" si="58"/>
        <v>1.8096600479810523</v>
      </c>
      <c r="D1280" s="36">
        <f t="shared" ca="1" si="60"/>
        <v>0.12633499653617508</v>
      </c>
      <c r="E1280" s="32">
        <v>0.12104265047989671</v>
      </c>
      <c r="F1280" s="35">
        <f t="shared" ca="1" si="59"/>
        <v>2.9256442880098987E-3</v>
      </c>
    </row>
    <row r="1281" spans="1:6" x14ac:dyDescent="0.25">
      <c r="A1281" s="23">
        <v>1280</v>
      </c>
      <c r="B1281" s="7" cm="1">
        <f t="array" aca="1" ref="B1281" ca="1">interpolexp(A1281,serie_du,Taxas_DI)</f>
        <v>0.1239701418082495</v>
      </c>
      <c r="C1281" s="37">
        <f t="shared" ca="1" si="58"/>
        <v>1.8105145886963865</v>
      </c>
      <c r="D1281" s="36">
        <f t="shared" ca="1" si="60"/>
        <v>0.12633499270554571</v>
      </c>
      <c r="E1281" s="32">
        <v>0.12104430550077261</v>
      </c>
      <c r="F1281" s="35">
        <f t="shared" ca="1" si="59"/>
        <v>2.9258363074768923E-3</v>
      </c>
    </row>
    <row r="1282" spans="1:6" x14ac:dyDescent="0.25">
      <c r="A1282" s="23">
        <v>1281</v>
      </c>
      <c r="B1282" s="7" cm="1">
        <f t="array" aca="1" ref="B1282" ca="1">interpolexp(A1282,serie_du,Taxas_DI)</f>
        <v>0.12397198596487691</v>
      </c>
      <c r="C1282" s="37">
        <f t="shared" ref="C1282:C1345" ca="1" si="61">(1+B1282)^(A1282/252)</f>
        <v>1.8113695329103876</v>
      </c>
      <c r="D1282" s="36">
        <f t="shared" ca="1" si="60"/>
        <v>0.12633498885946204</v>
      </c>
      <c r="E1282" s="32">
        <v>0.12104595793773765</v>
      </c>
      <c r="F1282" s="35">
        <f t="shared" ref="F1282:F1345" ca="1" si="62">B1282-E1282</f>
        <v>2.9260280271392602E-3</v>
      </c>
    </row>
    <row r="1283" spans="1:6" x14ac:dyDescent="0.25">
      <c r="A1283" s="23">
        <v>1282</v>
      </c>
      <c r="B1283" s="7" cm="1">
        <f t="array" aca="1" ref="B1283" ca="1">interpolexp(A1283,serie_du,Taxas_DI)</f>
        <v>0.12397382724453898</v>
      </c>
      <c r="C1283" s="37">
        <f t="shared" ca="1" si="61"/>
        <v>1.8122248808136434</v>
      </c>
      <c r="D1283" s="36">
        <f t="shared" ca="1" si="60"/>
        <v>0.12633498502509188</v>
      </c>
      <c r="E1283" s="32">
        <v>0.12104760779678703</v>
      </c>
      <c r="F1283" s="35">
        <f t="shared" ca="1" si="62"/>
        <v>2.9262194477519543E-3</v>
      </c>
    </row>
    <row r="1284" spans="1:6" x14ac:dyDescent="0.25">
      <c r="A1284" s="23">
        <v>1283</v>
      </c>
      <c r="B1284" s="7" cm="1">
        <f t="array" aca="1" ref="B1284" ca="1">interpolexp(A1284,serie_du,Taxas_DI)</f>
        <v>0.12397566565396367</v>
      </c>
      <c r="C1284" s="37">
        <f t="shared" ca="1" si="61"/>
        <v>1.8130806325968225</v>
      </c>
      <c r="D1284" s="36">
        <f t="shared" ref="D1284:D1347" ca="1" si="63">((((1+B1284)^(A1284/252))/((1+B1283)^(A1283/252)))^(252/1))-1</f>
        <v>0.12633498120095998</v>
      </c>
      <c r="E1284" s="32">
        <v>0.12104925508402697</v>
      </c>
      <c r="F1284" s="35">
        <f t="shared" ca="1" si="62"/>
        <v>2.9264105699366993E-3</v>
      </c>
    </row>
    <row r="1285" spans="1:6" x14ac:dyDescent="0.25">
      <c r="A1285" s="23">
        <v>1284</v>
      </c>
      <c r="B1285" s="7" cm="1">
        <f t="array" aca="1" ref="B1285" ca="1">interpolexp(A1285,serie_du,Taxas_DI)</f>
        <v>0.12397750119985673</v>
      </c>
      <c r="C1285" s="37">
        <f t="shared" ca="1" si="61"/>
        <v>1.8139367884506721</v>
      </c>
      <c r="D1285" s="36">
        <f t="shared" ca="1" si="63"/>
        <v>0.12633497738525223</v>
      </c>
      <c r="E1285" s="32">
        <v>0.12105089980538608</v>
      </c>
      <c r="F1285" s="35">
        <f t="shared" ca="1" si="62"/>
        <v>2.9266013944706515E-3</v>
      </c>
    </row>
    <row r="1286" spans="1:6" x14ac:dyDescent="0.25">
      <c r="A1286" s="23">
        <v>1285</v>
      </c>
      <c r="B1286" s="7" cm="1">
        <f t="array" aca="1" ref="B1286" ca="1">interpolexp(A1286,serie_du,Taxas_DI)</f>
        <v>0.1239793338889017</v>
      </c>
      <c r="C1286" s="37">
        <f t="shared" ca="1" si="61"/>
        <v>1.814793348566019</v>
      </c>
      <c r="D1286" s="36">
        <f t="shared" ca="1" si="63"/>
        <v>0.12633497357634682</v>
      </c>
      <c r="E1286" s="32">
        <v>0.12105254196692616</v>
      </c>
      <c r="F1286" s="35">
        <f t="shared" ca="1" si="62"/>
        <v>2.9267919219755356E-3</v>
      </c>
    </row>
    <row r="1287" spans="1:6" x14ac:dyDescent="0.25">
      <c r="A1287" s="23">
        <v>1286</v>
      </c>
      <c r="B1287" s="7" cm="1">
        <f t="array" aca="1" ref="B1287" ca="1">interpolexp(A1287,serie_du,Taxas_DI)</f>
        <v>0.12398116372775991</v>
      </c>
      <c r="C1287" s="37">
        <f t="shared" ca="1" si="61"/>
        <v>1.8156503131337687</v>
      </c>
      <c r="D1287" s="36">
        <f t="shared" ca="1" si="63"/>
        <v>0.12633496977241965</v>
      </c>
      <c r="E1287" s="32">
        <v>0.12105418157457581</v>
      </c>
      <c r="F1287" s="35">
        <f t="shared" ca="1" si="62"/>
        <v>2.9269821531840989E-3</v>
      </c>
    </row>
    <row r="1288" spans="1:6" x14ac:dyDescent="0.25">
      <c r="A1288" s="23">
        <v>1287</v>
      </c>
      <c r="B1288" s="7" cm="1">
        <f t="array" aca="1" ref="B1288" ca="1">interpolexp(A1288,serie_du,Taxas_DI)</f>
        <v>0.12398299072309271</v>
      </c>
      <c r="C1288" s="37">
        <f t="shared" ca="1" si="61"/>
        <v>1.8165076823450863</v>
      </c>
      <c r="D1288" s="36">
        <f t="shared" ca="1" si="63"/>
        <v>0.12633496599998928</v>
      </c>
      <c r="E1288" s="32">
        <v>0.12105581863428583</v>
      </c>
      <c r="F1288" s="35">
        <f t="shared" ca="1" si="62"/>
        <v>2.9271720888068842E-3</v>
      </c>
    </row>
    <row r="1289" spans="1:6" x14ac:dyDescent="0.25">
      <c r="A1289" s="23">
        <v>1288</v>
      </c>
      <c r="B1289" s="7" cm="1">
        <f t="array" aca="1" ref="B1289" ca="1">interpolexp(A1289,serie_du,Taxas_DI)</f>
        <v>0.12398481488149482</v>
      </c>
      <c r="C1289" s="37">
        <f t="shared" ca="1" si="61"/>
        <v>1.8173654563908495</v>
      </c>
      <c r="D1289" s="36">
        <f t="shared" ca="1" si="63"/>
        <v>0.12633496219994322</v>
      </c>
      <c r="E1289" s="32">
        <v>0.1210574531520292</v>
      </c>
      <c r="F1289" s="35">
        <f t="shared" ca="1" si="62"/>
        <v>2.9273617294656162E-3</v>
      </c>
    </row>
    <row r="1290" spans="1:6" x14ac:dyDescent="0.25">
      <c r="A1290" s="23">
        <v>1289</v>
      </c>
      <c r="B1290" s="7" cm="1">
        <f t="array" aca="1" ref="B1290" ca="1">interpolexp(A1290,serie_du,Taxas_DI)</f>
        <v>0.12398663620958317</v>
      </c>
      <c r="C1290" s="37">
        <f t="shared" ca="1" si="61"/>
        <v>1.8182236354623771</v>
      </c>
      <c r="D1290" s="36">
        <f t="shared" ca="1" si="63"/>
        <v>0.12633495842722242</v>
      </c>
      <c r="E1290" s="32">
        <v>0.12105908513369013</v>
      </c>
      <c r="F1290" s="35">
        <f t="shared" ca="1" si="62"/>
        <v>2.9275510758930423E-3</v>
      </c>
    </row>
    <row r="1291" spans="1:6" x14ac:dyDescent="0.25">
      <c r="A1291" s="23">
        <v>1290</v>
      </c>
      <c r="B1291" s="7" cm="1">
        <f t="array" aca="1" ref="B1291" ca="1">interpolexp(A1291,serie_du,Taxas_DI)</f>
        <v>0.12398845471395248</v>
      </c>
      <c r="C1291" s="37">
        <f t="shared" ca="1" si="61"/>
        <v>1.8190822197510652</v>
      </c>
      <c r="D1291" s="36">
        <f t="shared" ca="1" si="63"/>
        <v>0.12633495467964528</v>
      </c>
      <c r="E1291" s="32">
        <v>0.12106071458515277</v>
      </c>
      <c r="F1291" s="35">
        <f t="shared" ca="1" si="62"/>
        <v>2.9277401287997051E-3</v>
      </c>
    </row>
    <row r="1292" spans="1:6" x14ac:dyDescent="0.25">
      <c r="A1292" s="23">
        <v>1291</v>
      </c>
      <c r="B1292" s="7" cm="1">
        <f t="array" aca="1" ref="B1292" ca="1">interpolexp(A1292,serie_du,Taxas_DI)</f>
        <v>0.12399027040113086</v>
      </c>
      <c r="C1292" s="37">
        <f t="shared" ca="1" si="61"/>
        <v>1.8199412094480174</v>
      </c>
      <c r="D1292" s="36">
        <f t="shared" ca="1" si="63"/>
        <v>0.12633495089753488</v>
      </c>
      <c r="E1292" s="32">
        <v>0.12106234151234574</v>
      </c>
      <c r="F1292" s="35">
        <f t="shared" ca="1" si="62"/>
        <v>2.9279288887851251E-3</v>
      </c>
    </row>
    <row r="1293" spans="1:6" x14ac:dyDescent="0.25">
      <c r="A1293" s="23">
        <v>1292</v>
      </c>
      <c r="B1293" s="7" cm="1">
        <f t="array" aca="1" ref="B1293" ca="1">interpolexp(A1293,serie_du,Taxas_DI)</f>
        <v>0.12399208327769085</v>
      </c>
      <c r="C1293" s="37">
        <f t="shared" ca="1" si="61"/>
        <v>1.8208006047449632</v>
      </c>
      <c r="D1293" s="36">
        <f t="shared" ca="1" si="63"/>
        <v>0.12633494716447657</v>
      </c>
      <c r="E1293" s="32">
        <v>0.12106396592108659</v>
      </c>
      <c r="F1293" s="35">
        <f t="shared" ca="1" si="62"/>
        <v>2.928117356604254E-3</v>
      </c>
    </row>
    <row r="1294" spans="1:6" x14ac:dyDescent="0.25">
      <c r="A1294" s="23">
        <v>1293</v>
      </c>
      <c r="B1294" s="7" cm="1">
        <f t="array" aca="1" ref="B1294" ca="1">interpolexp(A1294,serie_du,Taxas_DI)</f>
        <v>0.12399389335016053</v>
      </c>
      <c r="C1294" s="37">
        <f t="shared" ca="1" si="61"/>
        <v>1.8216604058335228</v>
      </c>
      <c r="D1294" s="36">
        <f t="shared" ca="1" si="63"/>
        <v>0.12633494344917273</v>
      </c>
      <c r="E1294" s="32">
        <v>0.12106558781723731</v>
      </c>
      <c r="F1294" s="35">
        <f t="shared" ca="1" si="62"/>
        <v>2.9283055329232255E-3</v>
      </c>
    </row>
    <row r="1295" spans="1:6" x14ac:dyDescent="0.25">
      <c r="A1295" s="23">
        <v>1294</v>
      </c>
      <c r="B1295" s="7" cm="1">
        <f t="array" aca="1" ref="B1295" ca="1">interpolexp(A1295,serie_du,Taxas_DI)</f>
        <v>0.12399570062500143</v>
      </c>
      <c r="C1295" s="37">
        <f t="shared" ca="1" si="61"/>
        <v>1.8225206129050202</v>
      </c>
      <c r="D1295" s="36">
        <f t="shared" ca="1" si="63"/>
        <v>0.12633493969143106</v>
      </c>
      <c r="E1295" s="32">
        <v>0.12106720720661546</v>
      </c>
      <c r="F1295" s="35">
        <f t="shared" ca="1" si="62"/>
        <v>2.928493418385969E-3</v>
      </c>
    </row>
    <row r="1296" spans="1:6" x14ac:dyDescent="0.25">
      <c r="A1296" s="23">
        <v>1295</v>
      </c>
      <c r="B1296" s="7" cm="1">
        <f t="array" aca="1" ref="B1296" ca="1">interpolexp(A1296,serie_du,Taxas_DI)</f>
        <v>0.12399750510871943</v>
      </c>
      <c r="C1296" s="37">
        <f t="shared" ca="1" si="61"/>
        <v>1.8233812261514064</v>
      </c>
      <c r="D1296" s="36">
        <f t="shared" ca="1" si="63"/>
        <v>0.12633493597487244</v>
      </c>
      <c r="E1296" s="32">
        <v>0.12106882409503861</v>
      </c>
      <c r="F1296" s="35">
        <f t="shared" ca="1" si="62"/>
        <v>2.9286810136808228E-3</v>
      </c>
    </row>
    <row r="1297" spans="1:6" x14ac:dyDescent="0.25">
      <c r="A1297" s="23">
        <v>1296</v>
      </c>
      <c r="B1297" s="7" cm="1">
        <f t="array" aca="1" ref="B1297" ca="1">interpolexp(A1297,serie_du,Taxas_DI)</f>
        <v>0.12399930680777604</v>
      </c>
      <c r="C1297" s="37">
        <f t="shared" ca="1" si="61"/>
        <v>1.8242422457645189</v>
      </c>
      <c r="D1297" s="36">
        <f t="shared" ca="1" si="63"/>
        <v>0.12633493226755799</v>
      </c>
      <c r="E1297" s="32">
        <v>0.12107043848827992</v>
      </c>
      <c r="F1297" s="35">
        <f t="shared" ca="1" si="62"/>
        <v>2.9288683194961251E-3</v>
      </c>
    </row>
    <row r="1298" spans="1:6" x14ac:dyDescent="0.25">
      <c r="A1298" s="23">
        <v>1297</v>
      </c>
      <c r="B1298" s="7" cm="1">
        <f t="array" aca="1" ref="B1298" ca="1">interpolexp(A1298,serie_du,Taxas_DI)</f>
        <v>0.12400110572861056</v>
      </c>
      <c r="C1298" s="37">
        <f t="shared" ca="1" si="61"/>
        <v>1.8251036719362681</v>
      </c>
      <c r="D1298" s="36">
        <f t="shared" ca="1" si="63"/>
        <v>0.12633492856695039</v>
      </c>
      <c r="E1298" s="32">
        <v>0.12107205039213476</v>
      </c>
      <c r="F1298" s="35">
        <f t="shared" ca="1" si="62"/>
        <v>2.9290553364758054E-3</v>
      </c>
    </row>
    <row r="1299" spans="1:6" x14ac:dyDescent="0.25">
      <c r="A1299" s="23">
        <v>1298</v>
      </c>
      <c r="B1299" s="7" cm="1">
        <f t="array" aca="1" ref="B1299" ca="1">interpolexp(A1299,serie_du,Taxas_DI)</f>
        <v>0.12400290187766227</v>
      </c>
      <c r="C1299" s="37">
        <f t="shared" ca="1" si="61"/>
        <v>1.8259655048588197</v>
      </c>
      <c r="D1299" s="36">
        <f t="shared" ca="1" si="63"/>
        <v>0.12633492489846221</v>
      </c>
      <c r="E1299" s="32">
        <v>0.12107365981233187</v>
      </c>
      <c r="F1299" s="35">
        <f t="shared" ca="1" si="62"/>
        <v>2.9292420653304063E-3</v>
      </c>
    </row>
    <row r="1300" spans="1:6" x14ac:dyDescent="0.25">
      <c r="A1300" s="23">
        <v>1299</v>
      </c>
      <c r="B1300" s="7" cm="1">
        <f t="array" aca="1" ref="B1300" ca="1">interpolexp(A1300,serie_du,Taxas_DI)</f>
        <v>0.12400469526128166</v>
      </c>
      <c r="C1300" s="37">
        <f t="shared" ca="1" si="61"/>
        <v>1.826827744723853</v>
      </c>
      <c r="D1300" s="36">
        <f t="shared" ca="1" si="63"/>
        <v>0.12633492117239009</v>
      </c>
      <c r="E1300" s="32">
        <v>0.12107526675462221</v>
      </c>
      <c r="F1300" s="35">
        <f t="shared" ca="1" si="62"/>
        <v>2.9294285066594483E-3</v>
      </c>
    </row>
    <row r="1301" spans="1:6" x14ac:dyDescent="0.25">
      <c r="A1301" s="23">
        <v>1300</v>
      </c>
      <c r="B1301" s="7" cm="1">
        <f t="array" aca="1" ref="B1301" ca="1">interpolexp(A1301,serie_du,Taxas_DI)</f>
        <v>0.12400648588590801</v>
      </c>
      <c r="C1301" s="37">
        <f t="shared" ca="1" si="61"/>
        <v>1.8276903917240461</v>
      </c>
      <c r="D1301" s="36">
        <f t="shared" ca="1" si="63"/>
        <v>0.12633491752997372</v>
      </c>
      <c r="E1301" s="32">
        <v>0.12107687122471233</v>
      </c>
      <c r="F1301" s="35">
        <f t="shared" ca="1" si="62"/>
        <v>2.9296146611956786E-3</v>
      </c>
    </row>
    <row r="1302" spans="1:6" x14ac:dyDescent="0.25">
      <c r="A1302" s="23">
        <v>1301</v>
      </c>
      <c r="B1302" s="7" cm="1">
        <f t="array" aca="1" ref="B1302" ca="1">interpolexp(A1302,serie_du,Taxas_DI)</f>
        <v>0.1240082737578474</v>
      </c>
      <c r="C1302" s="37">
        <f t="shared" ca="1" si="61"/>
        <v>1.8285534460512156</v>
      </c>
      <c r="D1302" s="36">
        <f t="shared" ca="1" si="63"/>
        <v>0.12633491382312845</v>
      </c>
      <c r="E1302" s="32">
        <v>0.12107847322830878</v>
      </c>
      <c r="F1302" s="35">
        <f t="shared" ca="1" si="62"/>
        <v>2.9298005295386176E-3</v>
      </c>
    </row>
    <row r="1303" spans="1:6" x14ac:dyDescent="0.25">
      <c r="A1303" s="23">
        <v>1302</v>
      </c>
      <c r="B1303" s="7" cm="1">
        <f t="array" aca="1" ref="B1303" ca="1">interpolexp(A1303,serie_du,Taxas_DI)</f>
        <v>0.1240100588834947</v>
      </c>
      <c r="C1303" s="37">
        <f t="shared" ca="1" si="61"/>
        <v>1.8294169078981775</v>
      </c>
      <c r="D1303" s="36">
        <f t="shared" ca="1" si="63"/>
        <v>0.12633491019308174</v>
      </c>
      <c r="E1303" s="32">
        <v>0.1210800727711181</v>
      </c>
      <c r="F1303" s="35">
        <f t="shared" ca="1" si="62"/>
        <v>2.9299861123766036E-3</v>
      </c>
    </row>
    <row r="1304" spans="1:6" x14ac:dyDescent="0.25">
      <c r="A1304" s="23">
        <v>1303</v>
      </c>
      <c r="B1304" s="7" cm="1">
        <f t="array" aca="1" ref="B1304" ca="1">interpolexp(A1304,serie_du,Taxas_DI)</f>
        <v>0.12401184126913378</v>
      </c>
      <c r="C1304" s="37">
        <f t="shared" ca="1" si="61"/>
        <v>1.8302807774570706</v>
      </c>
      <c r="D1304" s="36">
        <f t="shared" ca="1" si="63"/>
        <v>0.1263349065204733</v>
      </c>
      <c r="E1304" s="32">
        <v>0.12108166985875801</v>
      </c>
      <c r="F1304" s="35">
        <f t="shared" ca="1" si="62"/>
        <v>2.9301714103757703E-3</v>
      </c>
    </row>
    <row r="1305" spans="1:6" x14ac:dyDescent="0.25">
      <c r="A1305" s="23">
        <v>1304</v>
      </c>
      <c r="B1305" s="7" cm="1">
        <f t="array" aca="1" ref="B1305" ca="1">interpolexp(A1305,serie_du,Taxas_DI)</f>
        <v>0.12401362092109292</v>
      </c>
      <c r="C1305" s="37">
        <f t="shared" ca="1" si="61"/>
        <v>1.8311450549206605</v>
      </c>
      <c r="D1305" s="36">
        <f t="shared" ca="1" si="63"/>
        <v>0.12633490288847105</v>
      </c>
      <c r="E1305" s="32">
        <v>0.12108326449691287</v>
      </c>
      <c r="F1305" s="35">
        <f t="shared" ca="1" si="62"/>
        <v>2.9303564241800473E-3</v>
      </c>
    </row>
    <row r="1306" spans="1:6" x14ac:dyDescent="0.25">
      <c r="A1306" s="23">
        <v>1305</v>
      </c>
      <c r="B1306" s="7" cm="1">
        <f t="array" aca="1" ref="B1306" ca="1">interpolexp(A1306,serie_du,Taxas_DI)</f>
        <v>0.12401539784565596</v>
      </c>
      <c r="C1306" s="37">
        <f t="shared" ca="1" si="61"/>
        <v>1.8320097404815923</v>
      </c>
      <c r="D1306" s="36">
        <f t="shared" ca="1" si="63"/>
        <v>0.12633489926433894</v>
      </c>
      <c r="E1306" s="32">
        <v>0.12108485669120039</v>
      </c>
      <c r="F1306" s="35">
        <f t="shared" ca="1" si="62"/>
        <v>2.9305411544555682E-3</v>
      </c>
    </row>
    <row r="1307" spans="1:6" x14ac:dyDescent="0.25">
      <c r="A1307" s="23">
        <v>1306</v>
      </c>
      <c r="B1307" s="7" cm="1">
        <f t="array" aca="1" ref="B1307" ca="1">interpolexp(A1307,serie_du,Taxas_DI)</f>
        <v>0.12401717204906237</v>
      </c>
      <c r="C1307" s="37">
        <f t="shared" ca="1" si="61"/>
        <v>1.8328748343323895</v>
      </c>
      <c r="D1307" s="36">
        <f t="shared" ca="1" si="63"/>
        <v>0.12633489561505562</v>
      </c>
      <c r="E1307" s="32">
        <v>0.12108644644723832</v>
      </c>
      <c r="F1307" s="35">
        <f t="shared" ca="1" si="62"/>
        <v>2.9307256018240579E-3</v>
      </c>
    </row>
    <row r="1308" spans="1:6" x14ac:dyDescent="0.25">
      <c r="A1308" s="23">
        <v>1307</v>
      </c>
      <c r="B1308" s="7" cm="1">
        <f t="array" aca="1" ref="B1308" ca="1">interpolexp(A1308,serie_du,Taxas_DI)</f>
        <v>0.12401894353757381</v>
      </c>
      <c r="C1308" s="37">
        <f t="shared" ca="1" si="61"/>
        <v>1.8337403366660168</v>
      </c>
      <c r="D1308" s="36">
        <f t="shared" ca="1" si="63"/>
        <v>0.12633489199494297</v>
      </c>
      <c r="E1308" s="32">
        <v>0.12108803377062216</v>
      </c>
      <c r="F1308" s="35">
        <f t="shared" ca="1" si="62"/>
        <v>2.9309097669516504E-3</v>
      </c>
    </row>
    <row r="1309" spans="1:6" x14ac:dyDescent="0.25">
      <c r="A1309" s="23">
        <v>1308</v>
      </c>
      <c r="B1309" s="7" cm="1">
        <f t="array" aca="1" ref="B1309" ca="1">interpolexp(A1309,serie_du,Taxas_DI)</f>
        <v>0.12402071231742973</v>
      </c>
      <c r="C1309" s="37">
        <f t="shared" ca="1" si="61"/>
        <v>1.8346062476755027</v>
      </c>
      <c r="D1309" s="36">
        <f t="shared" ca="1" si="63"/>
        <v>0.12633488839966622</v>
      </c>
      <c r="E1309" s="32">
        <v>0.12108961866692525</v>
      </c>
      <c r="F1309" s="35">
        <f t="shared" ca="1" si="62"/>
        <v>2.9310936505044793E-3</v>
      </c>
    </row>
    <row r="1310" spans="1:6" x14ac:dyDescent="0.25">
      <c r="A1310" s="23">
        <v>1309</v>
      </c>
      <c r="B1310" s="7" cm="1">
        <f t="array" aca="1" ref="B1310" ca="1">interpolexp(A1310,serie_du,Taxas_DI)</f>
        <v>0.12402247839482516</v>
      </c>
      <c r="C1310" s="37">
        <f t="shared" ca="1" si="61"/>
        <v>1.8354725675537522</v>
      </c>
      <c r="D1310" s="36">
        <f t="shared" ca="1" si="63"/>
        <v>0.12633488479604194</v>
      </c>
      <c r="E1310" s="32">
        <v>0.1210912011417431</v>
      </c>
      <c r="F1310" s="35">
        <f t="shared" ca="1" si="62"/>
        <v>2.9312772530820652E-3</v>
      </c>
    </row>
    <row r="1311" spans="1:6" x14ac:dyDescent="0.25">
      <c r="A1311" s="23">
        <v>1310</v>
      </c>
      <c r="B1311" s="7" cm="1">
        <f t="array" aca="1" ref="B1311" ca="1">interpolexp(A1311,serie_du,Taxas_DI)</f>
        <v>0.12402424177595517</v>
      </c>
      <c r="C1311" s="37">
        <f t="shared" ca="1" si="61"/>
        <v>1.8363392964939225</v>
      </c>
      <c r="D1311" s="36">
        <f t="shared" ca="1" si="63"/>
        <v>0.12633488120900216</v>
      </c>
      <c r="E1311" s="32">
        <v>0.12109278120056022</v>
      </c>
      <c r="F1311" s="35">
        <f t="shared" ca="1" si="62"/>
        <v>2.9314605753949508E-3</v>
      </c>
    </row>
    <row r="1312" spans="1:6" x14ac:dyDescent="0.25">
      <c r="A1312" s="23">
        <v>1311</v>
      </c>
      <c r="B1312" s="7" cm="1">
        <f t="array" aca="1" ref="B1312" ca="1">interpolexp(A1312,serie_du,Taxas_DI)</f>
        <v>0.12402600246697038</v>
      </c>
      <c r="C1312" s="37">
        <f t="shared" ca="1" si="61"/>
        <v>1.8372064346890444</v>
      </c>
      <c r="D1312" s="36">
        <f t="shared" ca="1" si="63"/>
        <v>0.12633487760496487</v>
      </c>
      <c r="E1312" s="32">
        <v>0.12109435884894992</v>
      </c>
      <c r="F1312" s="35">
        <f t="shared" ca="1" si="62"/>
        <v>2.9316436180204519E-3</v>
      </c>
    </row>
    <row r="1313" spans="1:6" x14ac:dyDescent="0.25">
      <c r="A1313" s="23">
        <v>1312</v>
      </c>
      <c r="B1313" s="7" cm="1">
        <f t="array" aca="1" ref="B1313" ca="1">interpolexp(A1313,serie_du,Taxas_DI)</f>
        <v>0.12402776047406583</v>
      </c>
      <c r="C1313" s="37">
        <f t="shared" ca="1" si="61"/>
        <v>1.8380739823327774</v>
      </c>
      <c r="D1313" s="36">
        <f t="shared" ca="1" si="63"/>
        <v>0.12633487406675115</v>
      </c>
      <c r="E1313" s="32">
        <v>0.12109593409241892</v>
      </c>
      <c r="F1313" s="35">
        <f t="shared" ca="1" si="62"/>
        <v>2.931826381646907E-3</v>
      </c>
    </row>
    <row r="1314" spans="1:6" x14ac:dyDescent="0.25">
      <c r="A1314" s="23">
        <v>1313</v>
      </c>
      <c r="B1314" s="7" cm="1">
        <f t="array" aca="1" ref="B1314" ca="1">interpolexp(A1314,serie_du,Taxas_DI)</f>
        <v>0.12402951580330335</v>
      </c>
      <c r="C1314" s="37">
        <f t="shared" ca="1" si="61"/>
        <v>1.8389419396178988</v>
      </c>
      <c r="D1314" s="36">
        <f t="shared" ca="1" si="63"/>
        <v>0.12633487044419067</v>
      </c>
      <c r="E1314" s="32">
        <v>0.12109750693645172</v>
      </c>
      <c r="F1314" s="35">
        <f t="shared" ca="1" si="62"/>
        <v>2.932008866851632E-3</v>
      </c>
    </row>
    <row r="1315" spans="1:6" x14ac:dyDescent="0.25">
      <c r="A1315" s="23">
        <v>1314</v>
      </c>
      <c r="B1315" s="7" cm="1">
        <f t="array" aca="1" ref="B1315" ca="1">interpolexp(A1315,serie_du,Taxas_DI)</f>
        <v>0.12403126846087797</v>
      </c>
      <c r="C1315" s="37">
        <f t="shared" ca="1" si="61"/>
        <v>1.8398103067385687</v>
      </c>
      <c r="D1315" s="36">
        <f t="shared" ca="1" si="63"/>
        <v>0.12633486693663953</v>
      </c>
      <c r="E1315" s="32">
        <v>0.12109907738653281</v>
      </c>
      <c r="F1315" s="35">
        <f t="shared" ca="1" si="62"/>
        <v>2.9321910743451696E-3</v>
      </c>
    </row>
    <row r="1316" spans="1:6" x14ac:dyDescent="0.25">
      <c r="A1316" s="23">
        <v>1315</v>
      </c>
      <c r="B1316" s="7" cm="1">
        <f t="array" aca="1" ref="B1316" ca="1">interpolexp(A1316,serie_du,Taxas_DI)</f>
        <v>0.12403301845280712</v>
      </c>
      <c r="C1316" s="37">
        <f t="shared" ca="1" si="61"/>
        <v>1.8406790838876852</v>
      </c>
      <c r="D1316" s="36">
        <f t="shared" ca="1" si="63"/>
        <v>0.12633486333518196</v>
      </c>
      <c r="E1316" s="32">
        <v>0.12110064544810228</v>
      </c>
      <c r="F1316" s="35">
        <f t="shared" ca="1" si="62"/>
        <v>2.9323730047048358E-3</v>
      </c>
    </row>
    <row r="1317" spans="1:6" x14ac:dyDescent="0.25">
      <c r="A1317" s="23">
        <v>1316</v>
      </c>
      <c r="B1317" s="7" cm="1">
        <f t="array" aca="1" ref="B1317" ca="1">interpolexp(A1317,serie_du,Taxas_DI)</f>
        <v>0.12403476578521921</v>
      </c>
      <c r="C1317" s="37">
        <f t="shared" ca="1" si="61"/>
        <v>1.8415482712593412</v>
      </c>
      <c r="D1317" s="36">
        <f t="shared" ca="1" si="63"/>
        <v>0.12633485981005133</v>
      </c>
      <c r="E1317" s="32">
        <v>0.12110221112664465</v>
      </c>
      <c r="F1317" s="35">
        <f t="shared" ca="1" si="62"/>
        <v>2.9325546585745599E-3</v>
      </c>
    </row>
    <row r="1318" spans="1:6" x14ac:dyDescent="0.25">
      <c r="A1318" s="23">
        <v>1317</v>
      </c>
      <c r="B1318" s="7" cm="1">
        <f t="array" aca="1" ref="B1318" ca="1">interpolexp(A1318,serie_du,Taxas_DI)</f>
        <v>0.12403651046417608</v>
      </c>
      <c r="C1318" s="37">
        <f t="shared" ca="1" si="61"/>
        <v>1.8424178690473112</v>
      </c>
      <c r="D1318" s="36">
        <f t="shared" ca="1" si="63"/>
        <v>0.12633485629805818</v>
      </c>
      <c r="E1318" s="32">
        <v>0.1211037744275778</v>
      </c>
      <c r="F1318" s="35">
        <f t="shared" ca="1" si="62"/>
        <v>2.9327360365982713E-3</v>
      </c>
    </row>
    <row r="1319" spans="1:6" x14ac:dyDescent="0.25">
      <c r="A1319" s="23">
        <v>1318</v>
      </c>
      <c r="B1319" s="7" cm="1">
        <f t="array" aca="1" ref="B1319" ca="1">interpolexp(A1319,serie_du,Taxas_DI)</f>
        <v>0.12403825249567291</v>
      </c>
      <c r="C1319" s="37">
        <f t="shared" ca="1" si="61"/>
        <v>1.843287877445047</v>
      </c>
      <c r="D1319" s="36">
        <f t="shared" ca="1" si="63"/>
        <v>0.1263348527352568</v>
      </c>
      <c r="E1319" s="32">
        <v>0.12110533535627521</v>
      </c>
      <c r="F1319" s="35">
        <f t="shared" ca="1" si="62"/>
        <v>2.9329171393976949E-3</v>
      </c>
    </row>
    <row r="1320" spans="1:6" x14ac:dyDescent="0.25">
      <c r="A1320" s="23">
        <v>1319</v>
      </c>
      <c r="B1320" s="7" cm="1">
        <f t="array" aca="1" ref="B1320" ca="1">interpolexp(A1320,serie_du,Taxas_DI)</f>
        <v>0.12403999188577153</v>
      </c>
      <c r="C1320" s="37">
        <f t="shared" ca="1" si="61"/>
        <v>1.8441582966468204</v>
      </c>
      <c r="D1320" s="36">
        <f t="shared" ca="1" si="63"/>
        <v>0.12633484923403082</v>
      </c>
      <c r="E1320" s="32">
        <v>0.12110689391817697</v>
      </c>
      <c r="F1320" s="35">
        <f t="shared" ca="1" si="62"/>
        <v>2.9330979675945557E-3</v>
      </c>
    </row>
    <row r="1321" spans="1:6" x14ac:dyDescent="0.25">
      <c r="A1321" s="23">
        <v>1320</v>
      </c>
      <c r="B1321" s="7" cm="1">
        <f t="array" aca="1" ref="B1321" ca="1">interpolexp(A1321,serie_du,Taxas_DI)</f>
        <v>0.12403890561021313</v>
      </c>
      <c r="C1321" s="37">
        <f t="shared" ca="1" si="61"/>
        <v>1.8450048547437137</v>
      </c>
      <c r="D1321" s="36">
        <f t="shared" ca="1" si="63"/>
        <v>0.12260702163617943</v>
      </c>
      <c r="E1321" s="32">
        <v>0.12110845011863436</v>
      </c>
      <c r="F1321" s="35">
        <f t="shared" ca="1" si="62"/>
        <v>2.9304554915787762E-3</v>
      </c>
    </row>
    <row r="1322" spans="1:6" x14ac:dyDescent="0.25">
      <c r="A1322" s="23">
        <v>1321</v>
      </c>
      <c r="B1322" s="7" cm="1">
        <f t="array" aca="1" ref="B1322" ca="1">interpolexp(A1322,serie_du,Taxas_DI)</f>
        <v>0.12403782097927252</v>
      </c>
      <c r="C1322" s="37">
        <f t="shared" ca="1" si="61"/>
        <v>1.8458518014427419</v>
      </c>
      <c r="D1322" s="36">
        <f t="shared" ca="1" si="63"/>
        <v>0.12260702024331005</v>
      </c>
      <c r="E1322" s="32">
        <v>0.12111000396304306</v>
      </c>
      <c r="F1322" s="35">
        <f t="shared" ca="1" si="62"/>
        <v>2.9278170162294614E-3</v>
      </c>
    </row>
    <row r="1323" spans="1:6" x14ac:dyDescent="0.25">
      <c r="A1323" s="23">
        <v>1322</v>
      </c>
      <c r="B1323" s="7" cm="1">
        <f t="array" aca="1" ref="B1323" ca="1">interpolexp(A1323,serie_du,Taxas_DI)</f>
        <v>0.12403673798926373</v>
      </c>
      <c r="C1323" s="37">
        <f t="shared" ca="1" si="61"/>
        <v>1.8466991369227026</v>
      </c>
      <c r="D1323" s="36">
        <f t="shared" ca="1" si="63"/>
        <v>0.12260701891455605</v>
      </c>
      <c r="E1323" s="32">
        <v>0.12111155545670993</v>
      </c>
      <c r="F1323" s="35">
        <f t="shared" ca="1" si="62"/>
        <v>2.925182532553805E-3</v>
      </c>
    </row>
    <row r="1324" spans="1:6" x14ac:dyDescent="0.25">
      <c r="A1324" s="23">
        <v>1323</v>
      </c>
      <c r="B1324" s="7" cm="1">
        <f t="array" aca="1" ref="B1324" ca="1">interpolexp(A1324,serie_du,Taxas_DI)</f>
        <v>0.12403565663641203</v>
      </c>
      <c r="C1324" s="37">
        <f t="shared" ca="1" si="61"/>
        <v>1.8475468613616126</v>
      </c>
      <c r="D1324" s="36">
        <f t="shared" ca="1" si="63"/>
        <v>0.12260701751781156</v>
      </c>
      <c r="E1324" s="32">
        <v>0.12111310460498625</v>
      </c>
      <c r="F1324" s="35">
        <f t="shared" ca="1" si="62"/>
        <v>2.9225520314257736E-3</v>
      </c>
    </row>
    <row r="1325" spans="1:6" x14ac:dyDescent="0.25">
      <c r="A1325" s="23">
        <v>1324</v>
      </c>
      <c r="B1325" s="7" cm="1">
        <f t="array" aca="1" ref="B1325" ca="1">interpolexp(A1325,serie_du,Taxas_DI)</f>
        <v>0.12403457691705366</v>
      </c>
      <c r="C1325" s="37">
        <f t="shared" ca="1" si="61"/>
        <v>1.8483949749384312</v>
      </c>
      <c r="D1325" s="36">
        <f t="shared" ca="1" si="63"/>
        <v>0.12260701618470016</v>
      </c>
      <c r="E1325" s="32">
        <v>0.1211146514131789</v>
      </c>
      <c r="F1325" s="35">
        <f t="shared" ca="1" si="62"/>
        <v>2.9199255038747651E-3</v>
      </c>
    </row>
    <row r="1326" spans="1:6" x14ac:dyDescent="0.25">
      <c r="A1326" s="23">
        <v>1325</v>
      </c>
      <c r="B1326" s="7" cm="1">
        <f t="array" aca="1" ref="B1326" ca="1">interpolexp(A1326,serie_du,Taxas_DI)</f>
        <v>0.12403349882748049</v>
      </c>
      <c r="C1326" s="37">
        <f t="shared" ca="1" si="61"/>
        <v>1.8492434778317199</v>
      </c>
      <c r="D1326" s="36">
        <f t="shared" ca="1" si="63"/>
        <v>0.12260701484196379</v>
      </c>
      <c r="E1326" s="32">
        <v>0.12111619588659472</v>
      </c>
      <c r="F1326" s="35">
        <f t="shared" ca="1" si="62"/>
        <v>2.9173029408857687E-3</v>
      </c>
    </row>
    <row r="1327" spans="1:6" x14ac:dyDescent="0.25">
      <c r="A1327" s="23">
        <v>1326</v>
      </c>
      <c r="B1327" s="7" cm="1">
        <f t="array" aca="1" ref="B1327" ca="1">interpolexp(A1327,serie_du,Taxas_DI)</f>
        <v>0.12403242236398437</v>
      </c>
      <c r="C1327" s="37">
        <f t="shared" ca="1" si="61"/>
        <v>1.850092370220026</v>
      </c>
      <c r="D1327" s="36">
        <f t="shared" ca="1" si="63"/>
        <v>0.12260701347478453</v>
      </c>
      <c r="E1327" s="32">
        <v>0.1211177380305184</v>
      </c>
      <c r="F1327" s="35">
        <f t="shared" ca="1" si="62"/>
        <v>2.9146843334659778E-3</v>
      </c>
    </row>
    <row r="1328" spans="1:6" x14ac:dyDescent="0.25">
      <c r="A1328" s="23">
        <v>1327</v>
      </c>
      <c r="B1328" s="7" cm="1">
        <f t="array" aca="1" ref="B1328" ca="1">interpolexp(A1328,serie_du,Taxas_DI)</f>
        <v>0.12403134752287936</v>
      </c>
      <c r="C1328" s="37">
        <f t="shared" ca="1" si="61"/>
        <v>1.8509416522820732</v>
      </c>
      <c r="D1328" s="36">
        <f t="shared" ca="1" si="63"/>
        <v>0.1226070120975824</v>
      </c>
      <c r="E1328" s="32">
        <v>0.12111927785021237</v>
      </c>
      <c r="F1328" s="35">
        <f t="shared" ca="1" si="62"/>
        <v>2.9120696726669948E-3</v>
      </c>
    </row>
    <row r="1329" spans="1:6" x14ac:dyDescent="0.25">
      <c r="A1329" s="23">
        <v>1328</v>
      </c>
      <c r="B1329" s="7" cm="1">
        <f t="array" aca="1" ref="B1329" ca="1">interpolexp(A1329,serie_du,Taxas_DI)</f>
        <v>0.12403027430056834</v>
      </c>
      <c r="C1329" s="37">
        <f t="shared" ca="1" si="61"/>
        <v>1.8517913241973423</v>
      </c>
      <c r="D1329" s="36">
        <f t="shared" ca="1" si="63"/>
        <v>0.12260701081361502</v>
      </c>
      <c r="E1329" s="32">
        <v>0.12112081535089469</v>
      </c>
      <c r="F1329" s="35">
        <f t="shared" ca="1" si="62"/>
        <v>2.9094589496736489E-3</v>
      </c>
    </row>
    <row r="1330" spans="1:6" x14ac:dyDescent="0.25">
      <c r="A1330" s="23">
        <v>1329</v>
      </c>
      <c r="B1330" s="7" cm="1">
        <f t="array" aca="1" ref="B1330" ca="1">interpolexp(A1330,serie_du,Taxas_DI)</f>
        <v>0.12402920269332096</v>
      </c>
      <c r="C1330" s="37">
        <f t="shared" ca="1" si="61"/>
        <v>1.8526413861441444</v>
      </c>
      <c r="D1330" s="36">
        <f t="shared" ca="1" si="63"/>
        <v>0.12260700943146396</v>
      </c>
      <c r="E1330" s="32">
        <v>0.12112235053787224</v>
      </c>
      <c r="F1330" s="35">
        <f t="shared" ca="1" si="62"/>
        <v>2.9068521554487248E-3</v>
      </c>
    </row>
    <row r="1331" spans="1:6" x14ac:dyDescent="0.25">
      <c r="A1331" s="23">
        <v>1330</v>
      </c>
      <c r="B1331" s="7" cm="1">
        <f t="array" aca="1" ref="B1331" ca="1">interpolexp(A1331,serie_du,Taxas_DI)</f>
        <v>0.12402813269754009</v>
      </c>
      <c r="C1331" s="37">
        <f t="shared" ca="1" si="61"/>
        <v>1.8534918383019348</v>
      </c>
      <c r="D1331" s="36">
        <f t="shared" ca="1" si="63"/>
        <v>0.12260700811344893</v>
      </c>
      <c r="E1331" s="32">
        <v>0.12112388341629643</v>
      </c>
      <c r="F1331" s="35">
        <f t="shared" ca="1" si="62"/>
        <v>2.9042492812436649E-3</v>
      </c>
    </row>
    <row r="1332" spans="1:6" x14ac:dyDescent="0.25">
      <c r="A1332" s="23">
        <v>1331</v>
      </c>
      <c r="B1332" s="7" cm="1">
        <f t="array" aca="1" ref="B1332" ca="1">interpolexp(A1332,serie_du,Taxas_DI)</f>
        <v>0.12402706430956201</v>
      </c>
      <c r="C1332" s="37">
        <f t="shared" ca="1" si="61"/>
        <v>1.8543426808495751</v>
      </c>
      <c r="D1332" s="36">
        <f t="shared" ca="1" si="63"/>
        <v>0.12260700675637537</v>
      </c>
      <c r="E1332" s="32">
        <v>0.12112541399138532</v>
      </c>
      <c r="F1332" s="35">
        <f t="shared" ca="1" si="62"/>
        <v>2.9016503181766851E-3</v>
      </c>
    </row>
    <row r="1333" spans="1:6" x14ac:dyDescent="0.25">
      <c r="A1333" s="23">
        <v>1332</v>
      </c>
      <c r="B1333" s="7" cm="1">
        <f t="array" aca="1" ref="B1333" ca="1">interpolexp(A1333,serie_du,Taxas_DI)</f>
        <v>0.12402599752578958</v>
      </c>
      <c r="C1333" s="37">
        <f t="shared" ca="1" si="61"/>
        <v>1.8551939139664957</v>
      </c>
      <c r="D1333" s="36">
        <f t="shared" ca="1" si="63"/>
        <v>0.12260700543452185</v>
      </c>
      <c r="E1333" s="32">
        <v>0.12112694226835696</v>
      </c>
      <c r="F1333" s="35">
        <f t="shared" ca="1" si="62"/>
        <v>2.8990552574326145E-3</v>
      </c>
    </row>
    <row r="1334" spans="1:6" x14ac:dyDescent="0.25">
      <c r="A1334" s="23">
        <v>1333</v>
      </c>
      <c r="B1334" s="7" cm="1">
        <f t="array" aca="1" ref="B1334" ca="1">interpolexp(A1334,serie_du,Taxas_DI)</f>
        <v>0.12402493234260348</v>
      </c>
      <c r="C1334" s="37">
        <f t="shared" ca="1" si="61"/>
        <v>1.8560455378319201</v>
      </c>
      <c r="D1334" s="36">
        <f t="shared" ca="1" si="63"/>
        <v>0.12260700410360803</v>
      </c>
      <c r="E1334" s="32">
        <v>0.12112846825236279</v>
      </c>
      <c r="F1334" s="35">
        <f t="shared" ca="1" si="62"/>
        <v>2.8964640902406913E-3</v>
      </c>
    </row>
    <row r="1335" spans="1:6" x14ac:dyDescent="0.25">
      <c r="A1335" s="23">
        <v>1334</v>
      </c>
      <c r="B1335" s="7" cm="1">
        <f t="array" aca="1" ref="B1335" ca="1">interpolexp(A1335,serie_du,Taxas_DI)</f>
        <v>0.12402386875640659</v>
      </c>
      <c r="C1335" s="37">
        <f t="shared" ca="1" si="61"/>
        <v>1.8568975526252536</v>
      </c>
      <c r="D1335" s="36">
        <f t="shared" ca="1" si="63"/>
        <v>0.12260700277901138</v>
      </c>
      <c r="E1335" s="32">
        <v>0.12112999194855423</v>
      </c>
      <c r="F1335" s="35">
        <f t="shared" ca="1" si="62"/>
        <v>2.893876807852358E-3</v>
      </c>
    </row>
    <row r="1336" spans="1:6" x14ac:dyDescent="0.25">
      <c r="A1336" s="23">
        <v>1335</v>
      </c>
      <c r="B1336" s="7" cm="1">
        <f t="array" aca="1" ref="B1336" ca="1">interpolexp(A1336,serie_du,Taxas_DI)</f>
        <v>0.12402280676360178</v>
      </c>
      <c r="C1336" s="37">
        <f t="shared" ca="1" si="61"/>
        <v>1.8577499585258892</v>
      </c>
      <c r="D1336" s="36">
        <f t="shared" ca="1" si="63"/>
        <v>0.12260700144619019</v>
      </c>
      <c r="E1336" s="32">
        <v>0.12112914338719971</v>
      </c>
      <c r="F1336" s="35">
        <f t="shared" ca="1" si="62"/>
        <v>2.8936633764020669E-3</v>
      </c>
    </row>
    <row r="1337" spans="1:6" x14ac:dyDescent="0.25">
      <c r="A1337" s="23">
        <v>1336</v>
      </c>
      <c r="B1337" s="7" cm="1">
        <f t="array" aca="1" ref="B1337" ca="1">interpolexp(A1337,serie_du,Taxas_DI)</f>
        <v>0.12402174636061414</v>
      </c>
      <c r="C1337" s="37">
        <f t="shared" ca="1" si="61"/>
        <v>1.8586027557134033</v>
      </c>
      <c r="D1337" s="36">
        <f t="shared" ca="1" si="63"/>
        <v>0.12260700012054171</v>
      </c>
      <c r="E1337" s="32">
        <v>0.12112829609616238</v>
      </c>
      <c r="F1337" s="35">
        <f t="shared" ca="1" si="62"/>
        <v>2.8934502644517579E-3</v>
      </c>
    </row>
    <row r="1338" spans="1:6" x14ac:dyDescent="0.25">
      <c r="A1338" s="23">
        <v>1337</v>
      </c>
      <c r="B1338" s="7" cm="1">
        <f t="array" aca="1" ref="B1338" ca="1">interpolexp(A1338,serie_du,Taxas_DI)</f>
        <v>0.12402068754389095</v>
      </c>
      <c r="C1338" s="37">
        <f t="shared" ca="1" si="61"/>
        <v>1.8594559443675542</v>
      </c>
      <c r="D1338" s="36">
        <f t="shared" ca="1" si="63"/>
        <v>0.12260699881721071</v>
      </c>
      <c r="E1338" s="32">
        <v>0.12112745007257786</v>
      </c>
      <c r="F1338" s="35">
        <f t="shared" ca="1" si="62"/>
        <v>2.8932374713130926E-3</v>
      </c>
    </row>
    <row r="1339" spans="1:6" x14ac:dyDescent="0.25">
      <c r="A1339" s="23">
        <v>1338</v>
      </c>
      <c r="B1339" s="7" cm="1">
        <f t="array" aca="1" ref="B1339" ca="1">interpolexp(A1339,serie_du,Taxas_DI)</f>
        <v>0.1240196303098573</v>
      </c>
      <c r="C1339" s="37">
        <f t="shared" ca="1" si="61"/>
        <v>1.8603095246678958</v>
      </c>
      <c r="D1339" s="36">
        <f t="shared" ca="1" si="63"/>
        <v>0.12260699749254322</v>
      </c>
      <c r="E1339" s="32">
        <v>0.12112660531362618</v>
      </c>
      <c r="F1339" s="35">
        <f t="shared" ca="1" si="62"/>
        <v>2.8930249962311194E-3</v>
      </c>
    </row>
    <row r="1340" spans="1:6" x14ac:dyDescent="0.25">
      <c r="A1340" s="23">
        <v>1339</v>
      </c>
      <c r="B1340" s="7" cm="1">
        <f t="array" aca="1" ref="B1340" ca="1">interpolexp(A1340,serie_du,Taxas_DI)</f>
        <v>0.12401857465498267</v>
      </c>
      <c r="C1340" s="37">
        <f t="shared" ca="1" si="61"/>
        <v>1.86116349679436</v>
      </c>
      <c r="D1340" s="36">
        <f t="shared" ca="1" si="63"/>
        <v>0.12260699619147464</v>
      </c>
      <c r="E1340" s="32">
        <v>0.12112576181644297</v>
      </c>
      <c r="F1340" s="35">
        <f t="shared" ca="1" si="62"/>
        <v>2.8928128385397045E-3</v>
      </c>
    </row>
    <row r="1341" spans="1:6" x14ac:dyDescent="0.25">
      <c r="A1341" s="23">
        <v>1340</v>
      </c>
      <c r="B1341" s="7" cm="1">
        <f t="array" aca="1" ref="B1341" ca="1">interpolexp(A1341,serie_du,Taxas_DI)</f>
        <v>0.12401752057573656</v>
      </c>
      <c r="C1341" s="37">
        <f t="shared" ca="1" si="61"/>
        <v>1.8620178609268692</v>
      </c>
      <c r="D1341" s="36">
        <f t="shared" ca="1" si="63"/>
        <v>0.12260699489995419</v>
      </c>
      <c r="E1341" s="32">
        <v>0.12112491957820826</v>
      </c>
      <c r="F1341" s="35">
        <f t="shared" ca="1" si="62"/>
        <v>2.8926009975283051E-3</v>
      </c>
    </row>
    <row r="1342" spans="1:6" x14ac:dyDescent="0.25">
      <c r="A1342" s="23">
        <v>1341</v>
      </c>
      <c r="B1342" s="7" cm="1">
        <f t="array" aca="1" ref="B1342" ca="1">interpolexp(A1342,serie_du,Taxas_DI)</f>
        <v>0.12401646806854405</v>
      </c>
      <c r="C1342" s="37">
        <f t="shared" ca="1" si="61"/>
        <v>1.8628726172449437</v>
      </c>
      <c r="D1342" s="36">
        <f t="shared" ca="1" si="63"/>
        <v>0.12260699354442806</v>
      </c>
      <c r="E1342" s="32">
        <v>0.12112407859612428</v>
      </c>
      <c r="F1342" s="35">
        <f t="shared" ca="1" si="62"/>
        <v>2.8923894724197652E-3</v>
      </c>
    </row>
    <row r="1343" spans="1:6" x14ac:dyDescent="0.25">
      <c r="A1343" s="23">
        <v>1342</v>
      </c>
      <c r="B1343" s="7" cm="1">
        <f t="array" aca="1" ref="B1343" ca="1">interpolexp(A1343,serie_du,Taxas_DI)</f>
        <v>0.12401541712996345</v>
      </c>
      <c r="C1343" s="37">
        <f t="shared" ca="1" si="61"/>
        <v>1.8637277659292681</v>
      </c>
      <c r="D1343" s="36">
        <f t="shared" ca="1" si="63"/>
        <v>0.12260699228921368</v>
      </c>
      <c r="E1343" s="32">
        <v>0.12112323886739329</v>
      </c>
      <c r="F1343" s="35">
        <f t="shared" ca="1" si="62"/>
        <v>2.8921782625701553E-3</v>
      </c>
    </row>
    <row r="1344" spans="1:6" x14ac:dyDescent="0.25">
      <c r="A1344" s="23">
        <v>1343</v>
      </c>
      <c r="B1344" s="7" cm="1">
        <f t="array" aca="1" ref="B1344" ca="1">interpolexp(A1344,serie_du,Taxas_DI)</f>
        <v>0.12401436775641983</v>
      </c>
      <c r="C1344" s="37">
        <f t="shared" ca="1" si="61"/>
        <v>1.8645833071593416</v>
      </c>
      <c r="D1344" s="36">
        <f t="shared" ca="1" si="63"/>
        <v>0.12260699094166849</v>
      </c>
      <c r="E1344" s="32">
        <v>0.1211224003891731</v>
      </c>
      <c r="F1344" s="35">
        <f t="shared" ca="1" si="62"/>
        <v>2.8919673672467283E-3</v>
      </c>
    </row>
    <row r="1345" spans="1:6" x14ac:dyDescent="0.25">
      <c r="A1345" s="23">
        <v>1344</v>
      </c>
      <c r="B1345" s="7" cm="1">
        <f t="array" aca="1" ref="B1345" ca="1">interpolexp(A1345,serie_du,Taxas_DI)</f>
        <v>0.12401331994449372</v>
      </c>
      <c r="C1345" s="37">
        <f t="shared" ca="1" si="61"/>
        <v>1.865439241116027</v>
      </c>
      <c r="D1345" s="36">
        <f t="shared" ca="1" si="63"/>
        <v>0.12260698969629158</v>
      </c>
      <c r="E1345" s="32">
        <v>0.12112156315871037</v>
      </c>
      <c r="F1345" s="35">
        <f t="shared" ca="1" si="62"/>
        <v>2.8917567857833504E-3</v>
      </c>
    </row>
    <row r="1346" spans="1:6" x14ac:dyDescent="0.25">
      <c r="A1346" s="23">
        <v>1345</v>
      </c>
      <c r="B1346" s="7" cm="1">
        <f t="array" aca="1" ref="B1346" ca="1">interpolexp(A1346,serie_du,Taxas_DI)</f>
        <v>0.12401227369063239</v>
      </c>
      <c r="C1346" s="37">
        <f t="shared" ref="C1346:C1409" ca="1" si="64">(1+B1346)^(A1346/252)</f>
        <v>1.8662955679790008</v>
      </c>
      <c r="D1346" s="36">
        <f t="shared" ca="1" si="63"/>
        <v>0.12260698836049055</v>
      </c>
      <c r="E1346" s="32">
        <v>0.12112072717318512</v>
      </c>
      <c r="F1346" s="35">
        <f t="shared" ref="F1346:F1409" ca="1" si="65">B1346-E1346</f>
        <v>2.8915465174472743E-3</v>
      </c>
    </row>
    <row r="1347" spans="1:6" x14ac:dyDescent="0.25">
      <c r="A1347" s="23">
        <v>1346</v>
      </c>
      <c r="B1347" s="7" cm="1">
        <f t="array" aca="1" ref="B1347" ca="1">interpolexp(A1347,serie_du,Taxas_DI)</f>
        <v>0.12401122899141637</v>
      </c>
      <c r="C1347" s="37">
        <f t="shared" ca="1" si="64"/>
        <v>1.867152287929108</v>
      </c>
      <c r="D1347" s="36">
        <f t="shared" ca="1" si="63"/>
        <v>0.12260698709892326</v>
      </c>
      <c r="E1347" s="32">
        <v>0.1211198924298662</v>
      </c>
      <c r="F1347" s="35">
        <f t="shared" ca="1" si="65"/>
        <v>2.8913365615501618E-3</v>
      </c>
    </row>
    <row r="1348" spans="1:6" x14ac:dyDescent="0.25">
      <c r="A1348" s="23">
        <v>1347</v>
      </c>
      <c r="B1348" s="7" cm="1">
        <f t="array" aca="1" ref="B1348" ca="1">interpolexp(A1348,serie_du,Taxas_DI)</f>
        <v>0.12401018584333734</v>
      </c>
      <c r="C1348" s="37">
        <f t="shared" ca="1" si="64"/>
        <v>1.8680094011463997</v>
      </c>
      <c r="D1348" s="36">
        <f t="shared" ref="D1348:D1411" ca="1" si="66">((((1+B1348)^(A1348/252))/((1+B1347)^(A1347/252)))^(252/1))-1</f>
        <v>0.1226069857787222</v>
      </c>
      <c r="E1348" s="32">
        <v>0.12111905892595587</v>
      </c>
      <c r="F1348" s="35">
        <f t="shared" ca="1" si="65"/>
        <v>2.8911269173814702E-3</v>
      </c>
    </row>
    <row r="1349" spans="1:6" x14ac:dyDescent="0.25">
      <c r="A1349" s="23">
        <v>1348</v>
      </c>
      <c r="B1349" s="7" cm="1">
        <f t="array" aca="1" ref="B1349" ca="1">interpolexp(A1349,serie_du,Taxas_DI)</f>
        <v>0.12400914424297582</v>
      </c>
      <c r="C1349" s="37">
        <f t="shared" ca="1" si="64"/>
        <v>1.8688669078117055</v>
      </c>
      <c r="D1349" s="36">
        <f t="shared" ca="1" si="66"/>
        <v>0.12260698450525509</v>
      </c>
      <c r="E1349" s="32">
        <v>0.12111822665870076</v>
      </c>
      <c r="F1349" s="35">
        <f t="shared" ca="1" si="65"/>
        <v>2.8909175842750656E-3</v>
      </c>
    </row>
    <row r="1350" spans="1:6" x14ac:dyDescent="0.25">
      <c r="A1350" s="23">
        <v>1349</v>
      </c>
      <c r="B1350" s="7" cm="1">
        <f t="array" aca="1" ref="B1350" ca="1">interpolexp(A1350,serie_du,Taxas_DI)</f>
        <v>0.12400810418689012</v>
      </c>
      <c r="C1350" s="37">
        <f t="shared" ca="1" si="64"/>
        <v>1.8697248081056499</v>
      </c>
      <c r="D1350" s="36">
        <f t="shared" ca="1" si="66"/>
        <v>0.12260698323493746</v>
      </c>
      <c r="E1350" s="32">
        <v>0.12111739562536972</v>
      </c>
      <c r="F1350" s="35">
        <f t="shared" ca="1" si="65"/>
        <v>2.8907085615204053E-3</v>
      </c>
    </row>
    <row r="1351" spans="1:6" x14ac:dyDescent="0.25">
      <c r="A1351" s="23">
        <v>1350</v>
      </c>
      <c r="B1351" s="7" cm="1">
        <f t="array" aca="1" ref="B1351" ca="1">interpolexp(A1351,serie_du,Taxas_DI)</f>
        <v>0.12400706567163855</v>
      </c>
      <c r="C1351" s="37">
        <f t="shared" ca="1" si="64"/>
        <v>1.8705831022088508</v>
      </c>
      <c r="D1351" s="36">
        <f t="shared" ca="1" si="66"/>
        <v>0.12260698195423503</v>
      </c>
      <c r="E1351" s="32">
        <v>0.12111656582318719</v>
      </c>
      <c r="F1351" s="35">
        <f t="shared" ca="1" si="65"/>
        <v>2.8904998484513555E-3</v>
      </c>
    </row>
    <row r="1352" spans="1:6" x14ac:dyDescent="0.25">
      <c r="A1352" s="23">
        <v>1351</v>
      </c>
      <c r="B1352" s="7" cm="1">
        <f t="array" aca="1" ref="B1352" ca="1">interpolexp(A1352,serie_du,Taxas_DI)</f>
        <v>0.12400602869380162</v>
      </c>
      <c r="C1352" s="37">
        <f t="shared" ca="1" si="64"/>
        <v>1.8714417903021148</v>
      </c>
      <c r="D1352" s="36">
        <f t="shared" ca="1" si="66"/>
        <v>0.12260698067901665</v>
      </c>
      <c r="E1352" s="32">
        <v>0.12111573724944424</v>
      </c>
      <c r="F1352" s="35">
        <f t="shared" ca="1" si="65"/>
        <v>2.8902914443573735E-3</v>
      </c>
    </row>
    <row r="1353" spans="1:6" x14ac:dyDescent="0.25">
      <c r="A1353" s="23">
        <v>1352</v>
      </c>
      <c r="B1353" s="7" cm="1">
        <f t="array" aca="1" ref="B1353" ca="1">interpolexp(A1353,serie_du,Taxas_DI)</f>
        <v>0.12400499324995984</v>
      </c>
      <c r="C1353" s="37">
        <f t="shared" ca="1" si="64"/>
        <v>1.8723008725662416</v>
      </c>
      <c r="D1353" s="36">
        <f t="shared" ca="1" si="66"/>
        <v>0.1226069793957707</v>
      </c>
      <c r="E1353" s="32">
        <v>0.12111490990140972</v>
      </c>
      <c r="F1353" s="35">
        <f t="shared" ca="1" si="65"/>
        <v>2.8900833485501209E-3</v>
      </c>
    </row>
    <row r="1354" spans="1:6" x14ac:dyDescent="0.25">
      <c r="A1354" s="23">
        <v>1353</v>
      </c>
      <c r="B1354" s="7" cm="1">
        <f t="array" aca="1" ref="B1354" ca="1">interpolexp(A1354,serie_du,Taxas_DI)</f>
        <v>0.12400395933671593</v>
      </c>
      <c r="C1354" s="37">
        <f t="shared" ca="1" si="64"/>
        <v>1.8731603491822217</v>
      </c>
      <c r="D1354" s="36">
        <f t="shared" ca="1" si="66"/>
        <v>0.12260697812089449</v>
      </c>
      <c r="E1354" s="32">
        <v>0.12111408377637467</v>
      </c>
      <c r="F1354" s="35">
        <f t="shared" ca="1" si="65"/>
        <v>2.8898755603412596E-3</v>
      </c>
    </row>
    <row r="1355" spans="1:6" x14ac:dyDescent="0.25">
      <c r="A1355" s="23">
        <v>1354</v>
      </c>
      <c r="B1355" s="7" cm="1">
        <f t="array" aca="1" ref="B1355" ca="1">interpolexp(A1355,serie_du,Taxas_DI)</f>
        <v>0.12400292695067261</v>
      </c>
      <c r="C1355" s="37">
        <f t="shared" ca="1" si="64"/>
        <v>1.8740202203310392</v>
      </c>
      <c r="D1355" s="36">
        <f t="shared" ca="1" si="66"/>
        <v>0.1226069768407414</v>
      </c>
      <c r="E1355" s="32">
        <v>0.12111325887160795</v>
      </c>
      <c r="F1355" s="35">
        <f t="shared" ca="1" si="65"/>
        <v>2.8896680790646556E-3</v>
      </c>
    </row>
    <row r="1356" spans="1:6" x14ac:dyDescent="0.25">
      <c r="A1356" s="23">
        <v>1355</v>
      </c>
      <c r="B1356" s="7" cm="1">
        <f t="array" aca="1" ref="B1356" ca="1">interpolexp(A1356,serie_du,Taxas_DI)</f>
        <v>0.124001896088477</v>
      </c>
      <c r="C1356" s="37">
        <f t="shared" ca="1" si="64"/>
        <v>1.8748804861940698</v>
      </c>
      <c r="D1356" s="36">
        <f t="shared" ca="1" si="66"/>
        <v>0.12260697560189127</v>
      </c>
      <c r="E1356" s="32">
        <v>0.12111243518442283</v>
      </c>
      <c r="F1356" s="35">
        <f t="shared" ca="1" si="65"/>
        <v>2.8894609040541752E-3</v>
      </c>
    </row>
    <row r="1357" spans="1:6" x14ac:dyDescent="0.25">
      <c r="A1357" s="23">
        <v>1356</v>
      </c>
      <c r="B1357" s="7" cm="1">
        <f t="array" aca="1" ref="B1357" ca="1">interpolexp(A1357,serie_du,Taxas_DI)</f>
        <v>0.12400086674673183</v>
      </c>
      <c r="C1357" s="37">
        <f t="shared" ca="1" si="64"/>
        <v>1.875741146952284</v>
      </c>
      <c r="D1357" s="36">
        <f t="shared" ca="1" si="66"/>
        <v>0.12260697433063616</v>
      </c>
      <c r="E1357" s="32">
        <v>0.12111161271213255</v>
      </c>
      <c r="F1357" s="35">
        <f t="shared" ca="1" si="65"/>
        <v>2.8892540345992757E-3</v>
      </c>
    </row>
    <row r="1358" spans="1:6" x14ac:dyDescent="0.25">
      <c r="A1358" s="23">
        <v>1357</v>
      </c>
      <c r="B1358" s="7" cm="1">
        <f t="array" aca="1" ref="B1358" ca="1">interpolexp(A1358,serie_du,Taxas_DI)</f>
        <v>0.12399983892206201</v>
      </c>
      <c r="C1358" s="37">
        <f t="shared" ca="1" si="64"/>
        <v>1.8766022027868459</v>
      </c>
      <c r="D1358" s="36">
        <f t="shared" ca="1" si="66"/>
        <v>0.1226069730436119</v>
      </c>
      <c r="E1358" s="32">
        <v>0.12111079145202819</v>
      </c>
      <c r="F1358" s="35">
        <f t="shared" ca="1" si="65"/>
        <v>2.8890474700338231E-3</v>
      </c>
    </row>
    <row r="1359" spans="1:6" x14ac:dyDescent="0.25">
      <c r="A1359" s="23">
        <v>1358</v>
      </c>
      <c r="B1359" s="7" cm="1">
        <f t="array" aca="1" ref="B1359" ca="1">interpolexp(A1359,serie_du,Taxas_DI)</f>
        <v>0.12399881261115908</v>
      </c>
      <c r="C1359" s="37">
        <f t="shared" ca="1" si="64"/>
        <v>1.8774636538795115</v>
      </c>
      <c r="D1359" s="36">
        <f t="shared" ca="1" si="66"/>
        <v>0.12260697181771008</v>
      </c>
      <c r="E1359" s="32">
        <v>0.12110997140144519</v>
      </c>
      <c r="F1359" s="35">
        <f t="shared" ca="1" si="65"/>
        <v>2.8888412097138882E-3</v>
      </c>
    </row>
    <row r="1360" spans="1:6" x14ac:dyDescent="0.25">
      <c r="A1360" s="23">
        <v>1359</v>
      </c>
      <c r="B1360" s="7" cm="1">
        <f t="array" aca="1" ref="B1360" ca="1">interpolexp(A1360,serie_du,Taxas_DI)</f>
        <v>0.12399778781064796</v>
      </c>
      <c r="C1360" s="37">
        <f t="shared" ca="1" si="64"/>
        <v>1.8783255004114336</v>
      </c>
      <c r="D1360" s="36">
        <f t="shared" ca="1" si="66"/>
        <v>0.12260697054922587</v>
      </c>
      <c r="E1360" s="32">
        <v>0.12110915255771904</v>
      </c>
      <c r="F1360" s="35">
        <f t="shared" ca="1" si="65"/>
        <v>2.8886352529289283E-3</v>
      </c>
    </row>
    <row r="1361" spans="1:6" x14ac:dyDescent="0.25">
      <c r="A1361" s="23">
        <v>1360</v>
      </c>
      <c r="B1361" s="7" cm="1">
        <f t="array" aca="1" ref="B1361" ca="1">interpolexp(A1361,serie_du,Taxas_DI)</f>
        <v>0.12399676451722019</v>
      </c>
      <c r="C1361" s="37">
        <f t="shared" ca="1" si="64"/>
        <v>1.8791877425643593</v>
      </c>
      <c r="D1361" s="36">
        <f t="shared" ca="1" si="66"/>
        <v>0.12260696931522075</v>
      </c>
      <c r="E1361" s="32">
        <v>0.12110833491818518</v>
      </c>
      <c r="F1361" s="35">
        <f t="shared" ca="1" si="65"/>
        <v>2.888429599035014E-3</v>
      </c>
    </row>
    <row r="1362" spans="1:6" x14ac:dyDescent="0.25">
      <c r="A1362" s="23">
        <v>1361</v>
      </c>
      <c r="B1362" s="7" cm="1">
        <f t="array" aca="1" ref="B1362" ca="1">interpolexp(A1362,serie_du,Taxas_DI)</f>
        <v>0.1239957427275229</v>
      </c>
      <c r="C1362" s="37">
        <f t="shared" ca="1" si="64"/>
        <v>1.8800503805196289</v>
      </c>
      <c r="D1362" s="36">
        <f t="shared" ca="1" si="66"/>
        <v>0.12260696804189575</v>
      </c>
      <c r="E1362" s="32">
        <v>0.12110751848017909</v>
      </c>
      <c r="F1362" s="35">
        <f t="shared" ca="1" si="65"/>
        <v>2.8882242473438069E-3</v>
      </c>
    </row>
    <row r="1363" spans="1:6" x14ac:dyDescent="0.25">
      <c r="A1363" s="23">
        <v>1362</v>
      </c>
      <c r="B1363" s="7" cm="1">
        <f t="array" aca="1" ref="B1363" ca="1">interpolexp(A1363,serie_du,Taxas_DI)</f>
        <v>0.12399472243826981</v>
      </c>
      <c r="C1363" s="37">
        <f t="shared" ca="1" si="64"/>
        <v>1.8809134144591808</v>
      </c>
      <c r="D1363" s="36">
        <f t="shared" ca="1" si="66"/>
        <v>0.12260696680674421</v>
      </c>
      <c r="E1363" s="32">
        <v>0.12110670324105843</v>
      </c>
      <c r="F1363" s="35">
        <f t="shared" ca="1" si="65"/>
        <v>2.8880191972113778E-3</v>
      </c>
    </row>
    <row r="1364" spans="1:6" x14ac:dyDescent="0.25">
      <c r="A1364" s="23">
        <v>1363</v>
      </c>
      <c r="B1364" s="7" cm="1">
        <f t="array" aca="1" ref="B1364" ca="1">interpolexp(A1364,serie_du,Taxas_DI)</f>
        <v>0.12399370364615248</v>
      </c>
      <c r="C1364" s="37">
        <f t="shared" ca="1" si="64"/>
        <v>1.8817768445647476</v>
      </c>
      <c r="D1364" s="36">
        <f t="shared" ca="1" si="66"/>
        <v>0.12260696556621431</v>
      </c>
      <c r="E1364" s="32">
        <v>0.12110588919818088</v>
      </c>
      <c r="F1364" s="35">
        <f t="shared" ca="1" si="65"/>
        <v>2.8878144479715928E-3</v>
      </c>
    </row>
    <row r="1365" spans="1:6" x14ac:dyDescent="0.25">
      <c r="A1365" s="23">
        <v>1364</v>
      </c>
      <c r="B1365" s="7" cm="1">
        <f t="array" aca="1" ref="B1365" ca="1">interpolexp(A1365,serie_du,Taxas_DI)</f>
        <v>0.12399268634786242</v>
      </c>
      <c r="C1365" s="37">
        <f t="shared" ca="1" si="64"/>
        <v>1.8826406710180579</v>
      </c>
      <c r="D1365" s="36">
        <f t="shared" ca="1" si="66"/>
        <v>0.12260696430715767</v>
      </c>
      <c r="E1365" s="32">
        <v>0.12110507634892631</v>
      </c>
      <c r="F1365" s="35">
        <f t="shared" ca="1" si="65"/>
        <v>2.8876099989361137E-3</v>
      </c>
    </row>
    <row r="1366" spans="1:6" x14ac:dyDescent="0.25">
      <c r="A1366" s="23">
        <v>1365</v>
      </c>
      <c r="B1366" s="7" cm="1">
        <f t="array" aca="1" ref="B1366" ca="1">interpolexp(A1366,serie_du,Taxas_DI)</f>
        <v>0.1239916705401356</v>
      </c>
      <c r="C1366" s="37">
        <f t="shared" ca="1" si="64"/>
        <v>1.883504894001238</v>
      </c>
      <c r="D1366" s="36">
        <f t="shared" ca="1" si="66"/>
        <v>0.12260696307684404</v>
      </c>
      <c r="E1366" s="32">
        <v>0.12110426469067459</v>
      </c>
      <c r="F1366" s="35">
        <f t="shared" ca="1" si="65"/>
        <v>2.8874058494610111E-3</v>
      </c>
    </row>
    <row r="1367" spans="1:6" x14ac:dyDescent="0.25">
      <c r="A1367" s="23">
        <v>1366</v>
      </c>
      <c r="B1367" s="7" cm="1">
        <f t="array" aca="1" ref="B1367" ca="1">interpolexp(A1367,serie_du,Taxas_DI)</f>
        <v>0.12399065621970795</v>
      </c>
      <c r="C1367" s="37">
        <f t="shared" ca="1" si="64"/>
        <v>1.8843695136964116</v>
      </c>
      <c r="D1367" s="36">
        <f t="shared" ca="1" si="66"/>
        <v>0.1226069618622927</v>
      </c>
      <c r="E1367" s="32">
        <v>0.1211034542208056</v>
      </c>
      <c r="F1367" s="35">
        <f t="shared" ca="1" si="65"/>
        <v>2.8872019989023556E-3</v>
      </c>
    </row>
    <row r="1368" spans="1:6" x14ac:dyDescent="0.25">
      <c r="A1368" s="23">
        <v>1367</v>
      </c>
      <c r="B1368" s="7" cm="1">
        <f t="array" aca="1" ref="B1368" ca="1">interpolexp(A1368,serie_du,Taxas_DI)</f>
        <v>0.12398964338327101</v>
      </c>
      <c r="C1368" s="37">
        <f t="shared" ca="1" si="64"/>
        <v>1.8852345302852951</v>
      </c>
      <c r="D1368" s="36">
        <f t="shared" ca="1" si="66"/>
        <v>0.1226069605897635</v>
      </c>
      <c r="E1368" s="32">
        <v>0.1211026449366992</v>
      </c>
      <c r="F1368" s="35">
        <f t="shared" ca="1" si="65"/>
        <v>2.886998446571809E-3</v>
      </c>
    </row>
    <row r="1369" spans="1:6" x14ac:dyDescent="0.25">
      <c r="A1369" s="23">
        <v>1368</v>
      </c>
      <c r="B1369" s="7" cm="1">
        <f t="array" aca="1" ref="B1369" ca="1">interpolexp(A1369,serie_du,Taxas_DI)</f>
        <v>0.12398863202762733</v>
      </c>
      <c r="C1369" s="37">
        <f t="shared" ca="1" si="64"/>
        <v>1.8860999439506108</v>
      </c>
      <c r="D1369" s="36">
        <f t="shared" ca="1" si="66"/>
        <v>0.12260695939778321</v>
      </c>
      <c r="E1369" s="32">
        <v>0.12110183683575748</v>
      </c>
      <c r="F1369" s="35">
        <f t="shared" ca="1" si="65"/>
        <v>2.8867951918698509E-3</v>
      </c>
    </row>
    <row r="1370" spans="1:6" x14ac:dyDescent="0.25">
      <c r="A1370" s="23">
        <v>1369</v>
      </c>
      <c r="B1370" s="7" cm="1">
        <f t="array" aca="1" ref="B1370" ca="1">interpolexp(A1370,serie_du,Taxas_DI)</f>
        <v>0.12398762214949066</v>
      </c>
      <c r="C1370" s="37">
        <f t="shared" ca="1" si="64"/>
        <v>1.8869657548742702</v>
      </c>
      <c r="D1370" s="36">
        <f t="shared" ca="1" si="66"/>
        <v>0.12260695815203437</v>
      </c>
      <c r="E1370" s="32">
        <v>0.12110102991540472</v>
      </c>
      <c r="F1370" s="35">
        <f t="shared" ca="1" si="65"/>
        <v>2.8865922340859385E-3</v>
      </c>
    </row>
    <row r="1371" spans="1:6" x14ac:dyDescent="0.25">
      <c r="A1371" s="23">
        <v>1370</v>
      </c>
      <c r="B1371" s="7" cm="1">
        <f t="array" aca="1" ref="B1371" ca="1">interpolexp(A1371,serie_du,Taxas_DI)</f>
        <v>0.12398661374564135</v>
      </c>
      <c r="C1371" s="37">
        <f t="shared" ca="1" si="64"/>
        <v>1.8878319632387888</v>
      </c>
      <c r="D1371" s="36">
        <f t="shared" ca="1" si="66"/>
        <v>0.12260695693056056</v>
      </c>
      <c r="E1371" s="32">
        <v>0.1211002241730208</v>
      </c>
      <c r="F1371" s="35">
        <f t="shared" ca="1" si="65"/>
        <v>2.8863895726205513E-3</v>
      </c>
    </row>
    <row r="1372" spans="1:6" x14ac:dyDescent="0.25">
      <c r="A1372" s="23">
        <v>1371</v>
      </c>
      <c r="B1372" s="7" cm="1">
        <f t="array" aca="1" ref="B1372" ca="1">interpolexp(A1372,serie_du,Taxas_DI)</f>
        <v>0.12398560681283755</v>
      </c>
      <c r="C1372" s="37">
        <f t="shared" ca="1" si="64"/>
        <v>1.8886985692264764</v>
      </c>
      <c r="D1372" s="36">
        <f t="shared" ca="1" si="66"/>
        <v>0.12260695569010127</v>
      </c>
      <c r="E1372" s="32">
        <v>0.1210994196060744</v>
      </c>
      <c r="F1372" s="35">
        <f t="shared" ca="1" si="65"/>
        <v>2.8861872067631467E-3</v>
      </c>
    </row>
    <row r="1373" spans="1:6" x14ac:dyDescent="0.25">
      <c r="A1373" s="23">
        <v>1372</v>
      </c>
      <c r="B1373" s="7" cm="1">
        <f t="array" aca="1" ref="B1373" ca="1">interpolexp(A1373,serie_du,Taxas_DI)</f>
        <v>0.12398460134790401</v>
      </c>
      <c r="C1373" s="37">
        <f t="shared" ca="1" si="64"/>
        <v>1.8895655730202507</v>
      </c>
      <c r="D1373" s="36">
        <f t="shared" ca="1" si="66"/>
        <v>0.1226069545090398</v>
      </c>
      <c r="E1373" s="32">
        <v>0.1210986162119676</v>
      </c>
      <c r="F1373" s="35">
        <f t="shared" ca="1" si="65"/>
        <v>2.8859851359364086E-3</v>
      </c>
    </row>
    <row r="1374" spans="1:6" x14ac:dyDescent="0.25">
      <c r="A1374" s="23">
        <v>1373</v>
      </c>
      <c r="B1374" s="7" cm="1">
        <f t="array" aca="1" ref="B1374" ca="1">interpolexp(A1374,serie_du,Taxas_DI)</f>
        <v>0.12398359734757669</v>
      </c>
      <c r="C1374" s="37">
        <f t="shared" ca="1" si="64"/>
        <v>1.8904329748022144</v>
      </c>
      <c r="D1374" s="36">
        <f t="shared" ca="1" si="66"/>
        <v>0.12260695325281712</v>
      </c>
      <c r="E1374" s="32">
        <v>0.1210978139881469</v>
      </c>
      <c r="F1374" s="35">
        <f t="shared" ca="1" si="65"/>
        <v>2.8857833594297944E-3</v>
      </c>
    </row>
    <row r="1375" spans="1:6" x14ac:dyDescent="0.25">
      <c r="A1375" s="23">
        <v>1374</v>
      </c>
      <c r="B1375" s="7" cm="1">
        <f t="array" aca="1" ref="B1375" ca="1">interpolexp(A1375,serie_du,Taxas_DI)</f>
        <v>0.12398259480870255</v>
      </c>
      <c r="C1375" s="37">
        <f t="shared" ca="1" si="64"/>
        <v>1.891300774755484</v>
      </c>
      <c r="D1375" s="36">
        <f t="shared" ca="1" si="66"/>
        <v>0.12260695206072625</v>
      </c>
      <c r="E1375" s="32">
        <v>0.12109701293203656</v>
      </c>
      <c r="F1375" s="35">
        <f t="shared" ca="1" si="65"/>
        <v>2.885581876665988E-3</v>
      </c>
    </row>
    <row r="1376" spans="1:6" x14ac:dyDescent="0.25">
      <c r="A1376" s="23">
        <v>1375</v>
      </c>
      <c r="B1376" s="7" cm="1">
        <f t="array" aca="1" ref="B1376" ca="1">interpolexp(A1376,serie_du,Taxas_DI)</f>
        <v>0.12398159372808415</v>
      </c>
      <c r="C1376" s="37">
        <f t="shared" ca="1" si="64"/>
        <v>1.8921689730627693</v>
      </c>
      <c r="D1376" s="36">
        <f t="shared" ca="1" si="66"/>
        <v>0.12260695085925621</v>
      </c>
      <c r="E1376" s="32">
        <v>0.1210962130411275</v>
      </c>
      <c r="F1376" s="35">
        <f t="shared" ca="1" si="65"/>
        <v>2.8853806869566512E-3</v>
      </c>
    </row>
    <row r="1377" spans="1:6" x14ac:dyDescent="0.25">
      <c r="A1377" s="23">
        <v>1376</v>
      </c>
      <c r="B1377" s="7" cm="1">
        <f t="array" aca="1" ref="B1377" ca="1">interpolexp(A1377,serie_du,Taxas_DI)</f>
        <v>0.12398059410252404</v>
      </c>
      <c r="C1377" s="37">
        <f t="shared" ca="1" si="64"/>
        <v>1.8930375699067781</v>
      </c>
      <c r="D1377" s="36">
        <f t="shared" ca="1" si="66"/>
        <v>0.12260694963552665</v>
      </c>
      <c r="E1377" s="32">
        <v>0.12109541431284399</v>
      </c>
      <c r="F1377" s="35">
        <f t="shared" ca="1" si="65"/>
        <v>2.8851797896800591E-3</v>
      </c>
    </row>
    <row r="1378" spans="1:6" x14ac:dyDescent="0.25">
      <c r="A1378" s="23">
        <v>1377</v>
      </c>
      <c r="B1378" s="7" cm="1">
        <f t="array" aca="1" ref="B1378" ca="1">interpolexp(A1378,serie_du,Taxas_DI)</f>
        <v>0.123979595928847</v>
      </c>
      <c r="C1378" s="37">
        <f t="shared" ca="1" si="64"/>
        <v>1.8939065654704201</v>
      </c>
      <c r="D1378" s="36">
        <f t="shared" ca="1" si="66"/>
        <v>0.12260694840734843</v>
      </c>
      <c r="E1378" s="32">
        <v>0.12109461674467692</v>
      </c>
      <c r="F1378" s="35">
        <f t="shared" ca="1" si="65"/>
        <v>2.8849791841700778E-3</v>
      </c>
    </row>
    <row r="1379" spans="1:6" x14ac:dyDescent="0.25">
      <c r="A1379" s="23">
        <v>1378</v>
      </c>
      <c r="B1379" s="7" cm="1">
        <f t="array" aca="1" ref="B1379" ca="1">interpolexp(A1379,serie_du,Taxas_DI)</f>
        <v>0.12397859920392218</v>
      </c>
      <c r="C1379" s="37">
        <f t="shared" ca="1" si="64"/>
        <v>1.8947759599370144</v>
      </c>
      <c r="D1379" s="36">
        <f t="shared" ca="1" si="66"/>
        <v>0.12260694722314636</v>
      </c>
      <c r="E1379" s="32">
        <v>0.12109382033407279</v>
      </c>
      <c r="F1379" s="35">
        <f t="shared" ca="1" si="65"/>
        <v>2.8847788698493915E-3</v>
      </c>
    </row>
    <row r="1380" spans="1:6" x14ac:dyDescent="0.25">
      <c r="A1380" s="23">
        <v>1379</v>
      </c>
      <c r="B1380" s="7" cm="1">
        <f t="array" aca="1" ref="B1380" ca="1">interpolexp(A1380,serie_du,Taxas_DI)</f>
        <v>0.12397760392459656</v>
      </c>
      <c r="C1380" s="37">
        <f t="shared" ca="1" si="64"/>
        <v>1.8956457534896751</v>
      </c>
      <c r="D1380" s="36">
        <f t="shared" ca="1" si="66"/>
        <v>0.12260694603984135</v>
      </c>
      <c r="E1380" s="32">
        <v>0.12109302507854469</v>
      </c>
      <c r="F1380" s="35">
        <f t="shared" ca="1" si="65"/>
        <v>2.8845788460518662E-3</v>
      </c>
    </row>
    <row r="1381" spans="1:6" x14ac:dyDescent="0.25">
      <c r="A1381" s="23">
        <v>1380</v>
      </c>
      <c r="B1381" s="7" cm="1">
        <f t="array" aca="1" ref="B1381" ca="1">interpolexp(A1381,serie_du,Taxas_DI)</f>
        <v>0.12397661008769489</v>
      </c>
      <c r="C1381" s="37">
        <f t="shared" ca="1" si="64"/>
        <v>1.8965159463113104</v>
      </c>
      <c r="D1381" s="36">
        <f t="shared" ca="1" si="66"/>
        <v>0.12260694481414092</v>
      </c>
      <c r="E1381" s="32">
        <v>0.12109223097553912</v>
      </c>
      <c r="F1381" s="35">
        <f t="shared" ca="1" si="65"/>
        <v>2.8843791121557771E-3</v>
      </c>
    </row>
    <row r="1382" spans="1:6" x14ac:dyDescent="0.25">
      <c r="A1382" s="23">
        <v>1381</v>
      </c>
      <c r="B1382" s="7" cm="1">
        <f t="array" aca="1" ref="B1382" ca="1">interpolexp(A1382,serie_du,Taxas_DI)</f>
        <v>0.12397561769010856</v>
      </c>
      <c r="C1382" s="37">
        <f t="shared" ca="1" si="64"/>
        <v>1.8973865385854445</v>
      </c>
      <c r="D1382" s="36">
        <f t="shared" ca="1" si="66"/>
        <v>0.12260694362536761</v>
      </c>
      <c r="E1382" s="32">
        <v>0.12109143802261357</v>
      </c>
      <c r="F1382" s="35">
        <f t="shared" ca="1" si="65"/>
        <v>2.8841796674949904E-3</v>
      </c>
    </row>
    <row r="1383" spans="1:6" x14ac:dyDescent="0.25">
      <c r="A1383" s="23">
        <v>1382</v>
      </c>
      <c r="B1383" s="7" cm="1">
        <f t="array" aca="1" ref="B1383" ca="1">interpolexp(A1383,serie_du,Taxas_DI)</f>
        <v>0.12397462672872894</v>
      </c>
      <c r="C1383" s="37">
        <f t="shared" ca="1" si="64"/>
        <v>1.8982575304956011</v>
      </c>
      <c r="D1383" s="36">
        <f t="shared" ca="1" si="66"/>
        <v>0.12260694246092352</v>
      </c>
      <c r="E1383" s="32">
        <v>0.12109064621723675</v>
      </c>
      <c r="F1383" s="35">
        <f t="shared" ca="1" si="65"/>
        <v>2.8839805114921901E-3</v>
      </c>
    </row>
    <row r="1384" spans="1:6" x14ac:dyDescent="0.25">
      <c r="A1384" s="23">
        <v>1383</v>
      </c>
      <c r="B1384" s="7" cm="1">
        <f t="array" aca="1" ref="B1384" ca="1">interpolexp(A1384,serie_du,Taxas_DI)</f>
        <v>0.123973637200403</v>
      </c>
      <c r="C1384" s="37">
        <f t="shared" ca="1" si="64"/>
        <v>1.8991289222248944</v>
      </c>
      <c r="D1384" s="36">
        <f t="shared" ca="1" si="66"/>
        <v>0.12260694124718818</v>
      </c>
      <c r="E1384" s="32">
        <v>0.12108985555689955</v>
      </c>
      <c r="F1384" s="35">
        <f t="shared" ca="1" si="65"/>
        <v>2.8837816435034469E-3</v>
      </c>
    </row>
    <row r="1385" spans="1:6" x14ac:dyDescent="0.25">
      <c r="A1385" s="23">
        <v>1384</v>
      </c>
      <c r="B1385" s="7" cm="1">
        <f t="array" aca="1" ref="B1385" ca="1">interpolexp(A1385,serie_du,Taxas_DI)</f>
        <v>0.12397264910204431</v>
      </c>
      <c r="C1385" s="37">
        <f t="shared" ca="1" si="64"/>
        <v>1.9000007139570552</v>
      </c>
      <c r="D1385" s="36">
        <f t="shared" ca="1" si="66"/>
        <v>0.122606940063539</v>
      </c>
      <c r="E1385" s="32">
        <v>0.12108906603915948</v>
      </c>
      <c r="F1385" s="35">
        <f t="shared" ca="1" si="65"/>
        <v>2.8835830628848313E-3</v>
      </c>
    </row>
    <row r="1386" spans="1:6" x14ac:dyDescent="0.25">
      <c r="A1386" s="23">
        <v>1385</v>
      </c>
      <c r="B1386" s="7" cm="1">
        <f t="array" aca="1" ref="B1386" ca="1">interpolexp(A1386,serie_du,Taxas_DI)</f>
        <v>0.12397166243054425</v>
      </c>
      <c r="C1386" s="37">
        <f t="shared" ca="1" si="64"/>
        <v>1.9008729058756106</v>
      </c>
      <c r="D1386" s="36">
        <f t="shared" ca="1" si="66"/>
        <v>0.12260693886715446</v>
      </c>
      <c r="E1386" s="32">
        <v>0.12108827766150743</v>
      </c>
      <c r="F1386" s="35">
        <f t="shared" ca="1" si="65"/>
        <v>2.8833847690368231E-3</v>
      </c>
    </row>
    <row r="1387" spans="1:6" x14ac:dyDescent="0.25">
      <c r="A1387" s="23">
        <v>1386</v>
      </c>
      <c r="B1387" s="7" cm="1">
        <f t="array" aca="1" ref="B1387" ca="1">interpolexp(A1387,serie_du,Taxas_DI)</f>
        <v>0.1239706771828164</v>
      </c>
      <c r="C1387" s="37">
        <f t="shared" ca="1" si="64"/>
        <v>1.9017454981642936</v>
      </c>
      <c r="D1387" s="36">
        <f t="shared" ca="1" si="66"/>
        <v>0.12260693767587028</v>
      </c>
      <c r="E1387" s="32">
        <v>0.12108749042150091</v>
      </c>
      <c r="F1387" s="35">
        <f t="shared" ca="1" si="65"/>
        <v>2.8831867613154927E-3</v>
      </c>
    </row>
    <row r="1388" spans="1:6" x14ac:dyDescent="0.25">
      <c r="A1388" s="23">
        <v>1387</v>
      </c>
      <c r="B1388" s="7" cm="1">
        <f t="array" aca="1" ref="B1388" ca="1">interpolexp(A1388,serie_du,Taxas_DI)</f>
        <v>0.12396969335579655</v>
      </c>
      <c r="C1388" s="37">
        <f t="shared" ca="1" si="64"/>
        <v>1.9026184910070465</v>
      </c>
      <c r="D1388" s="36">
        <f t="shared" ca="1" si="66"/>
        <v>0.12260693650861043</v>
      </c>
      <c r="E1388" s="32">
        <v>0.12108670431667523</v>
      </c>
      <c r="F1388" s="35">
        <f t="shared" ca="1" si="65"/>
        <v>2.8829890391213198E-3</v>
      </c>
    </row>
    <row r="1389" spans="1:6" x14ac:dyDescent="0.25">
      <c r="A1389" s="23">
        <v>1388</v>
      </c>
      <c r="B1389" s="7" cm="1">
        <f t="array" aca="1" ref="B1389" ca="1">interpolexp(A1389,serie_du,Taxas_DI)</f>
        <v>0.12396871094639828</v>
      </c>
      <c r="C1389" s="37">
        <f t="shared" ca="1" si="64"/>
        <v>1.9034918845876061</v>
      </c>
      <c r="D1389" s="36">
        <f t="shared" ca="1" si="66"/>
        <v>0.12260693532200473</v>
      </c>
      <c r="E1389" s="32">
        <v>0.1210859193445657</v>
      </c>
      <c r="F1389" s="35">
        <f t="shared" ca="1" si="65"/>
        <v>2.8827916018325794E-3</v>
      </c>
    </row>
    <row r="1390" spans="1:6" x14ac:dyDescent="0.25">
      <c r="A1390" s="23">
        <v>1389</v>
      </c>
      <c r="B1390" s="7" cm="1">
        <f t="array" aca="1" ref="B1390" ca="1">interpolexp(A1390,serie_du,Taxas_DI)</f>
        <v>0.12396772995157956</v>
      </c>
      <c r="C1390" s="37">
        <f t="shared" ca="1" si="64"/>
        <v>1.904365679090126</v>
      </c>
      <c r="D1390" s="36">
        <f t="shared" ca="1" si="66"/>
        <v>0.12260693416553536</v>
      </c>
      <c r="E1390" s="32">
        <v>0.12108513550272981</v>
      </c>
      <c r="F1390" s="35">
        <f t="shared" ca="1" si="65"/>
        <v>2.8825944488497512E-3</v>
      </c>
    </row>
    <row r="1391" spans="1:6" x14ac:dyDescent="0.25">
      <c r="A1391" s="23">
        <v>1390</v>
      </c>
      <c r="B1391" s="7" cm="1">
        <f t="array" aca="1" ref="B1391" ca="1">interpolexp(A1391,serie_du,Taxas_DI)</f>
        <v>0.1239667503682762</v>
      </c>
      <c r="C1391" s="37">
        <f t="shared" ca="1" si="64"/>
        <v>1.9052398746985535</v>
      </c>
      <c r="D1391" s="36">
        <f t="shared" ca="1" si="66"/>
        <v>0.12260693299605974</v>
      </c>
      <c r="E1391" s="32">
        <v>0.1210843527887473</v>
      </c>
      <c r="F1391" s="35">
        <f t="shared" ca="1" si="65"/>
        <v>2.8823975795289059E-3</v>
      </c>
    </row>
    <row r="1392" spans="1:6" x14ac:dyDescent="0.25">
      <c r="A1392" s="23">
        <v>1391</v>
      </c>
      <c r="B1392" s="7" cm="1">
        <f t="array" aca="1" ref="B1392" ca="1">interpolexp(A1392,serie_du,Taxas_DI)</f>
        <v>0.12396577219342397</v>
      </c>
      <c r="C1392" s="37">
        <f t="shared" ca="1" si="64"/>
        <v>1.9061144715968394</v>
      </c>
      <c r="D1392" s="36">
        <f t="shared" ca="1" si="66"/>
        <v>0.12260693180146021</v>
      </c>
      <c r="E1392" s="32">
        <v>0.12108357120015345</v>
      </c>
      <c r="F1392" s="35">
        <f t="shared" ca="1" si="65"/>
        <v>2.8822009932705228E-3</v>
      </c>
    </row>
    <row r="1393" spans="1:6" x14ac:dyDescent="0.25">
      <c r="A1393" s="23">
        <v>1392</v>
      </c>
      <c r="B1393" s="7" cm="1">
        <f t="array" aca="1" ref="B1393" ca="1">interpolexp(A1393,serie_du,Taxas_DI)</f>
        <v>0.12396479542400307</v>
      </c>
      <c r="C1393" s="37">
        <f t="shared" ca="1" si="64"/>
        <v>1.906989469969351</v>
      </c>
      <c r="D1393" s="36">
        <f t="shared" ca="1" si="66"/>
        <v>0.12260693063106309</v>
      </c>
      <c r="E1393" s="32">
        <v>0.12108279073452799</v>
      </c>
      <c r="F1393" s="35">
        <f t="shared" ca="1" si="65"/>
        <v>2.8820046894750817E-3</v>
      </c>
    </row>
    <row r="1394" spans="1:6" x14ac:dyDescent="0.25">
      <c r="A1394" s="23">
        <v>1393</v>
      </c>
      <c r="B1394" s="7" cm="1">
        <f t="array" aca="1" ref="B1394" ca="1">interpolexp(A1394,serie_du,Taxas_DI)</f>
        <v>0.12396382005701589</v>
      </c>
      <c r="C1394" s="37">
        <f t="shared" ca="1" si="64"/>
        <v>1.9078648700006684</v>
      </c>
      <c r="D1394" s="36">
        <f t="shared" ca="1" si="66"/>
        <v>0.12260692950392893</v>
      </c>
      <c r="E1394" s="32">
        <v>0.12108201138947283</v>
      </c>
      <c r="F1394" s="35">
        <f t="shared" ca="1" si="65"/>
        <v>2.8818086675430621E-3</v>
      </c>
    </row>
    <row r="1395" spans="1:6" x14ac:dyDescent="0.25">
      <c r="A1395" s="23">
        <v>1394</v>
      </c>
      <c r="B1395" s="7" cm="1">
        <f t="array" aca="1" ref="B1395" ca="1">interpolexp(A1395,serie_du,Taxas_DI)</f>
        <v>0.12396284608939823</v>
      </c>
      <c r="C1395" s="37">
        <f t="shared" ca="1" si="64"/>
        <v>1.9087406718747493</v>
      </c>
      <c r="D1395" s="36">
        <f t="shared" ca="1" si="66"/>
        <v>0.12260692831509168</v>
      </c>
      <c r="E1395" s="32">
        <v>0.12108123316256769</v>
      </c>
      <c r="F1395" s="35">
        <f t="shared" ca="1" si="65"/>
        <v>2.8816129268305346E-3</v>
      </c>
    </row>
    <row r="1396" spans="1:6" x14ac:dyDescent="0.25">
      <c r="A1396" s="23">
        <v>1395</v>
      </c>
      <c r="B1396" s="7" cm="1">
        <f t="array" aca="1" ref="B1396" ca="1">interpolexp(A1396,serie_du,Taxas_DI)</f>
        <v>0.12396187351815247</v>
      </c>
      <c r="C1396" s="37">
        <f t="shared" ca="1" si="64"/>
        <v>1.9096168757761796</v>
      </c>
      <c r="D1396" s="36">
        <f t="shared" ca="1" si="66"/>
        <v>0.12260692714525923</v>
      </c>
      <c r="E1396" s="32">
        <v>0.12108045605139228</v>
      </c>
      <c r="F1396" s="35">
        <f t="shared" ca="1" si="65"/>
        <v>2.8814174667601833E-3</v>
      </c>
    </row>
    <row r="1397" spans="1:6" x14ac:dyDescent="0.25">
      <c r="A1397" s="23">
        <v>1396</v>
      </c>
      <c r="B1397" s="7" cm="1">
        <f t="array" aca="1" ref="B1397" ca="1">interpolexp(A1397,serie_du,Taxas_DI)</f>
        <v>0.12396090234030321</v>
      </c>
      <c r="C1397" s="37">
        <f t="shared" ca="1" si="64"/>
        <v>1.9104934818897579</v>
      </c>
      <c r="D1397" s="36">
        <f t="shared" ca="1" si="66"/>
        <v>0.12260692601329115</v>
      </c>
      <c r="E1397" s="32">
        <v>0.12107968005357073</v>
      </c>
      <c r="F1397" s="35">
        <f t="shared" ca="1" si="65"/>
        <v>2.8812222867324877E-3</v>
      </c>
    </row>
    <row r="1398" spans="1:6" x14ac:dyDescent="0.25">
      <c r="A1398" s="23">
        <v>1397</v>
      </c>
      <c r="B1398" s="7" cm="1">
        <f t="array" aca="1" ref="B1398" ca="1">interpolexp(A1398,serie_du,Taxas_DI)</f>
        <v>0.12395993255283067</v>
      </c>
      <c r="C1398" s="37">
        <f t="shared" ca="1" si="64"/>
        <v>1.9113704903998701</v>
      </c>
      <c r="D1398" s="36">
        <f t="shared" ca="1" si="66"/>
        <v>0.1226069248455719</v>
      </c>
      <c r="E1398" s="32">
        <v>0.12107890516670494</v>
      </c>
      <c r="F1398" s="35">
        <f t="shared" ca="1" si="65"/>
        <v>2.881027386125723E-3</v>
      </c>
    </row>
    <row r="1399" spans="1:6" x14ac:dyDescent="0.25">
      <c r="A1399" s="23">
        <v>1398</v>
      </c>
      <c r="B1399" s="7" cm="1">
        <f t="array" aca="1" ref="B1399" ca="1">interpolexp(A1399,serie_du,Taxas_DI)</f>
        <v>0.12395896415275942</v>
      </c>
      <c r="C1399" s="37">
        <f t="shared" ca="1" si="64"/>
        <v>1.9122479014913221</v>
      </c>
      <c r="D1399" s="36">
        <f t="shared" ca="1" si="66"/>
        <v>0.12260692369168114</v>
      </c>
      <c r="E1399" s="32">
        <v>0.12107813138841905</v>
      </c>
      <c r="F1399" s="35">
        <f t="shared" ca="1" si="65"/>
        <v>2.8808327643403686E-3</v>
      </c>
    </row>
    <row r="1400" spans="1:6" x14ac:dyDescent="0.25">
      <c r="A1400" s="23">
        <v>1399</v>
      </c>
      <c r="B1400" s="7" cm="1">
        <f t="array" aca="1" ref="B1400" ca="1">interpolexp(A1400,serie_du,Taxas_DI)</f>
        <v>0.12395799713709188</v>
      </c>
      <c r="C1400" s="37">
        <f t="shared" ca="1" si="64"/>
        <v>1.913125715348716</v>
      </c>
      <c r="D1400" s="36">
        <f t="shared" ca="1" si="66"/>
        <v>0.12260692250894523</v>
      </c>
      <c r="E1400" s="32">
        <v>0.12107735871633718</v>
      </c>
      <c r="F1400" s="35">
        <f t="shared" ca="1" si="65"/>
        <v>2.8806384207546998E-3</v>
      </c>
    </row>
    <row r="1401" spans="1:6" x14ac:dyDescent="0.25">
      <c r="A1401" s="23">
        <v>1400</v>
      </c>
      <c r="B1401" s="7" cm="1">
        <f t="array" aca="1" ref="B1401" ca="1">interpolexp(A1401,serie_du,Taxas_DI)</f>
        <v>0.12395703150291926</v>
      </c>
      <c r="C1401" s="37">
        <f t="shared" ca="1" si="64"/>
        <v>1.9140039321574969</v>
      </c>
      <c r="D1401" s="36">
        <f t="shared" ca="1" si="66"/>
        <v>0.12260692140953933</v>
      </c>
      <c r="E1401" s="32">
        <v>0.12107658714803904</v>
      </c>
      <c r="F1401" s="35">
        <f t="shared" ca="1" si="65"/>
        <v>2.8804443548802183E-3</v>
      </c>
    </row>
    <row r="1402" spans="1:6" x14ac:dyDescent="0.25">
      <c r="A1402" s="23">
        <v>1401</v>
      </c>
      <c r="B1402" s="7" cm="1">
        <f t="array" aca="1" ref="B1402" ca="1">interpolexp(A1402,serie_du,Taxas_DI)</f>
        <v>0.12395606724724395</v>
      </c>
      <c r="C1402" s="37">
        <f t="shared" ca="1" si="64"/>
        <v>1.9148825521022761</v>
      </c>
      <c r="D1402" s="36">
        <f t="shared" ca="1" si="66"/>
        <v>0.12260692025752529</v>
      </c>
      <c r="E1402" s="32">
        <v>0.12107581668123757</v>
      </c>
      <c r="F1402" s="35">
        <f t="shared" ca="1" si="65"/>
        <v>2.8802505660063815E-3</v>
      </c>
    </row>
    <row r="1403" spans="1:6" x14ac:dyDescent="0.25">
      <c r="A1403" s="23">
        <v>1402</v>
      </c>
      <c r="B1403" s="7" cm="1">
        <f t="array" aca="1" ref="B1403" ca="1">interpolexp(A1403,serie_du,Taxas_DI)</f>
        <v>0.12395510436711277</v>
      </c>
      <c r="C1403" s="37">
        <f t="shared" ca="1" si="64"/>
        <v>1.9157615753680892</v>
      </c>
      <c r="D1403" s="36">
        <f t="shared" ca="1" si="66"/>
        <v>0.12260691910314514</v>
      </c>
      <c r="E1403" s="32">
        <v>0.12107504731353469</v>
      </c>
      <c r="F1403" s="35">
        <f t="shared" ca="1" si="65"/>
        <v>2.8800570535780778E-3</v>
      </c>
    </row>
    <row r="1404" spans="1:6" x14ac:dyDescent="0.25">
      <c r="A1404" s="23">
        <v>1403</v>
      </c>
      <c r="B1404" s="7" cm="1">
        <f t="array" aca="1" ref="B1404" ca="1">interpolexp(A1404,serie_du,Taxas_DI)</f>
        <v>0.12395414285959472</v>
      </c>
      <c r="C1404" s="37">
        <f t="shared" ca="1" si="64"/>
        <v>1.9166410021401867</v>
      </c>
      <c r="D1404" s="36">
        <f t="shared" ca="1" si="66"/>
        <v>0.12260691796556511</v>
      </c>
      <c r="E1404" s="32">
        <v>0.12107427904255452</v>
      </c>
      <c r="F1404" s="35">
        <f t="shared" ca="1" si="65"/>
        <v>2.8798638170401958E-3</v>
      </c>
    </row>
    <row r="1405" spans="1:6" x14ac:dyDescent="0.25">
      <c r="A1405" s="23">
        <v>1404</v>
      </c>
      <c r="B1405" s="7" cm="1">
        <f t="array" aca="1" ref="B1405" ca="1">interpolexp(A1405,serie_du,Taxas_DI)</f>
        <v>0.12395318272173661</v>
      </c>
      <c r="C1405" s="37">
        <f t="shared" ca="1" si="64"/>
        <v>1.9175208326036148</v>
      </c>
      <c r="D1405" s="36">
        <f t="shared" ca="1" si="66"/>
        <v>0.12260691680213243</v>
      </c>
      <c r="E1405" s="32">
        <v>0.12107351186601001</v>
      </c>
      <c r="F1405" s="35">
        <f t="shared" ca="1" si="65"/>
        <v>2.8796708557266015E-3</v>
      </c>
    </row>
    <row r="1406" spans="1:6" x14ac:dyDescent="0.25">
      <c r="A1406" s="23">
        <v>1405</v>
      </c>
      <c r="B1406" s="7" cm="1">
        <f t="array" aca="1" ref="B1406" ca="1">interpolexp(A1406,serie_du,Taxas_DI)</f>
        <v>0.12395222395065186</v>
      </c>
      <c r="C1406" s="37">
        <f t="shared" ca="1" si="64"/>
        <v>1.9184010669440581</v>
      </c>
      <c r="D1406" s="36">
        <f t="shared" ca="1" si="66"/>
        <v>0.12260691569438231</v>
      </c>
      <c r="E1406" s="32">
        <v>0.12107274578152527</v>
      </c>
      <c r="F1406" s="35">
        <f t="shared" ca="1" si="65"/>
        <v>2.8794781691265925E-3</v>
      </c>
    </row>
    <row r="1407" spans="1:6" x14ac:dyDescent="0.25">
      <c r="A1407" s="23">
        <v>1406</v>
      </c>
      <c r="B1407" s="7" cm="1">
        <f t="array" aca="1" ref="B1407" ca="1">interpolexp(A1407,serie_du,Taxas_DI)</f>
        <v>0.12395126654340949</v>
      </c>
      <c r="C1407" s="37">
        <f t="shared" ca="1" si="64"/>
        <v>1.9192817053467852</v>
      </c>
      <c r="D1407" s="36">
        <f t="shared" ca="1" si="66"/>
        <v>0.12260691456847228</v>
      </c>
      <c r="E1407" s="32">
        <v>0.12107198078679104</v>
      </c>
      <c r="F1407" s="35">
        <f t="shared" ca="1" si="65"/>
        <v>2.8792857566184438E-3</v>
      </c>
    </row>
    <row r="1408" spans="1:6" x14ac:dyDescent="0.25">
      <c r="A1408" s="23">
        <v>1407</v>
      </c>
      <c r="B1408" s="7" cm="1">
        <f t="array" aca="1" ref="B1408" ca="1">interpolexp(A1408,serie_du,Taxas_DI)</f>
        <v>0.1239503104970785</v>
      </c>
      <c r="C1408" s="37">
        <f t="shared" ca="1" si="64"/>
        <v>1.9201627479970702</v>
      </c>
      <c r="D1408" s="36">
        <f t="shared" ca="1" si="66"/>
        <v>0.12260691341268015</v>
      </c>
      <c r="E1408" s="32">
        <v>0.12107121687947586</v>
      </c>
      <c r="F1408" s="35">
        <f t="shared" ca="1" si="65"/>
        <v>2.8790936176026349E-3</v>
      </c>
    </row>
    <row r="1409" spans="1:6" x14ac:dyDescent="0.25">
      <c r="A1409" s="23">
        <v>1408</v>
      </c>
      <c r="B1409" s="7" cm="1">
        <f t="array" aca="1" ref="B1409" ca="1">interpolexp(A1409,serie_du,Taxas_DI)</f>
        <v>0.12394935580879451</v>
      </c>
      <c r="C1409" s="37">
        <f t="shared" ca="1" si="64"/>
        <v>1.9210441950808288</v>
      </c>
      <c r="D1409" s="36">
        <f t="shared" ca="1" si="66"/>
        <v>0.12260691230896104</v>
      </c>
      <c r="E1409" s="32">
        <v>0.12107045405724826</v>
      </c>
      <c r="F1409" s="35">
        <f t="shared" ca="1" si="65"/>
        <v>2.8789017515462589E-3</v>
      </c>
    </row>
    <row r="1410" spans="1:6" x14ac:dyDescent="0.25">
      <c r="A1410" s="23">
        <v>1409</v>
      </c>
      <c r="B1410" s="7" cm="1">
        <f t="array" aca="1" ref="B1410" ca="1">interpolexp(A1410,serie_du,Taxas_DI)</f>
        <v>0.12394840247564876</v>
      </c>
      <c r="C1410" s="37">
        <f t="shared" ref="C1410:C1473" ca="1" si="67">(1+B1410)^(A1410/252)</f>
        <v>1.9219260467835595</v>
      </c>
      <c r="D1410" s="36">
        <f t="shared" ca="1" si="66"/>
        <v>0.12260691118332634</v>
      </c>
      <c r="E1410" s="32">
        <v>0.12106969231782116</v>
      </c>
      <c r="F1410" s="35">
        <f t="shared" ref="F1410:F1473" ca="1" si="68">B1410-E1410</f>
        <v>2.8787101578275909E-3</v>
      </c>
    </row>
    <row r="1411" spans="1:6" x14ac:dyDescent="0.25">
      <c r="A1411" s="23">
        <v>1410</v>
      </c>
      <c r="B1411" s="7" cm="1">
        <f t="array" aca="1" ref="B1411" ca="1">interpolexp(A1411,serie_du,Taxas_DI)</f>
        <v>0.12394745049473244</v>
      </c>
      <c r="C1411" s="37">
        <f t="shared" ca="1" si="67"/>
        <v>1.9228083032907672</v>
      </c>
      <c r="D1411" s="36">
        <f t="shared" ca="1" si="66"/>
        <v>0.12260691002421864</v>
      </c>
      <c r="E1411" s="32">
        <v>0.12106893165888533</v>
      </c>
      <c r="F1411" s="35">
        <f t="shared" ca="1" si="68"/>
        <v>2.8785188358471103E-3</v>
      </c>
    </row>
    <row r="1412" spans="1:6" x14ac:dyDescent="0.25">
      <c r="A1412" s="23">
        <v>1411</v>
      </c>
      <c r="B1412" s="7" cm="1">
        <f t="array" aca="1" ref="B1412" ca="1">interpolexp(A1412,serie_du,Taxas_DI)</f>
        <v>0.12394649986322559</v>
      </c>
      <c r="C1412" s="37">
        <f t="shared" ca="1" si="67"/>
        <v>1.9236909647888141</v>
      </c>
      <c r="D1412" s="36">
        <f t="shared" ref="D1412:D1475" ca="1" si="69">((((1+B1412)^(A1412/252))/((1+B1411)^(A1411/252)))^(252/1))-1</f>
        <v>0.12260690894516113</v>
      </c>
      <c r="E1412" s="32">
        <v>0.12106817207813148</v>
      </c>
      <c r="F1412" s="35">
        <f t="shared" ca="1" si="68"/>
        <v>2.8783277850941147E-3</v>
      </c>
    </row>
    <row r="1413" spans="1:6" x14ac:dyDescent="0.25">
      <c r="A1413" s="23">
        <v>1412</v>
      </c>
      <c r="B1413" s="7" cm="1">
        <f t="array" aca="1" ref="B1413" ca="1">interpolexp(A1413,serie_du,Taxas_DI)</f>
        <v>0.12394555057821943</v>
      </c>
      <c r="C1413" s="37">
        <f t="shared" ca="1" si="67"/>
        <v>1.9245740314632185</v>
      </c>
      <c r="D1413" s="36">
        <f t="shared" ca="1" si="69"/>
        <v>0.12260690780950823</v>
      </c>
      <c r="E1413" s="32">
        <v>0.12106741357329476</v>
      </c>
      <c r="F1413" s="35">
        <f t="shared" ca="1" si="68"/>
        <v>2.8781370049246746E-3</v>
      </c>
    </row>
    <row r="1414" spans="1:6" x14ac:dyDescent="0.25">
      <c r="A1414" s="23">
        <v>1413</v>
      </c>
      <c r="B1414" s="7" cm="1">
        <f t="array" aca="1" ref="B1414" ca="1">interpolexp(A1414,serie_du,Taxas_DI)</f>
        <v>0.12394460263684959</v>
      </c>
      <c r="C1414" s="37">
        <f t="shared" ca="1" si="67"/>
        <v>1.9254575034999328</v>
      </c>
      <c r="D1414" s="36">
        <f t="shared" ca="1" si="69"/>
        <v>0.12260690666856555</v>
      </c>
      <c r="E1414" s="32">
        <v>0.12106665614206591</v>
      </c>
      <c r="F1414" s="35">
        <f t="shared" ca="1" si="68"/>
        <v>2.8779464947836786E-3</v>
      </c>
    </row>
    <row r="1415" spans="1:6" x14ac:dyDescent="0.25">
      <c r="A1415" s="23">
        <v>1414</v>
      </c>
      <c r="B1415" s="7" cm="1">
        <f t="array" aca="1" ref="B1415" ca="1">interpolexp(A1415,serie_du,Taxas_DI)</f>
        <v>0.12394365603629609</v>
      </c>
      <c r="C1415" s="37">
        <f t="shared" ca="1" si="67"/>
        <v>1.9263413810853416</v>
      </c>
      <c r="D1415" s="36">
        <f t="shared" ca="1" si="69"/>
        <v>0.12260690557324816</v>
      </c>
      <c r="E1415" s="32">
        <v>0.12106589978215787</v>
      </c>
      <c r="F1415" s="35">
        <f t="shared" ca="1" si="68"/>
        <v>2.8777562541382196E-3</v>
      </c>
    </row>
    <row r="1416" spans="1:6" x14ac:dyDescent="0.25">
      <c r="A1416" s="23">
        <v>1415</v>
      </c>
      <c r="B1416" s="7" cm="1">
        <f t="array" aca="1" ref="B1416" ca="1">interpolexp(A1416,serie_du,Taxas_DI)</f>
        <v>0.12394271077371677</v>
      </c>
      <c r="C1416" s="37">
        <f t="shared" ca="1" si="67"/>
        <v>1.9272256644056265</v>
      </c>
      <c r="D1416" s="36">
        <f t="shared" ca="1" si="69"/>
        <v>0.12260690448125522</v>
      </c>
      <c r="E1416" s="32">
        <v>0.12106514449132799</v>
      </c>
      <c r="F1416" s="35">
        <f t="shared" ca="1" si="68"/>
        <v>2.8775662823887771E-3</v>
      </c>
    </row>
    <row r="1417" spans="1:6" x14ac:dyDescent="0.25">
      <c r="A1417" s="23">
        <v>1416</v>
      </c>
      <c r="B1417" s="7" cm="1">
        <f t="array" aca="1" ref="B1417" ca="1">interpolexp(A1417,serie_du,Taxas_DI)</f>
        <v>0.12394176684624725</v>
      </c>
      <c r="C1417" s="37">
        <f t="shared" ca="1" si="67"/>
        <v>1.9281103536467628</v>
      </c>
      <c r="D1417" s="36">
        <f t="shared" ca="1" si="69"/>
        <v>0.12260690334963864</v>
      </c>
      <c r="E1417" s="32">
        <v>0.12106439026728921</v>
      </c>
      <c r="F1417" s="35">
        <f t="shared" ca="1" si="68"/>
        <v>2.8773765789580352E-3</v>
      </c>
    </row>
    <row r="1418" spans="1:6" x14ac:dyDescent="0.25">
      <c r="A1418" s="23">
        <v>1417</v>
      </c>
      <c r="B1418" s="7" cm="1">
        <f t="array" aca="1" ref="B1418" ca="1">interpolexp(A1418,serie_du,Taxas_DI)</f>
        <v>0.12394082425108977</v>
      </c>
      <c r="C1418" s="37">
        <f t="shared" ca="1" si="67"/>
        <v>1.9289954489953745</v>
      </c>
      <c r="D1418" s="36">
        <f t="shared" ca="1" si="69"/>
        <v>0.12260690226109539</v>
      </c>
      <c r="E1418" s="32">
        <v>0.12106363710779888</v>
      </c>
      <c r="F1418" s="35">
        <f t="shared" ca="1" si="68"/>
        <v>2.8771871432908824E-3</v>
      </c>
    </row>
    <row r="1419" spans="1:6" x14ac:dyDescent="0.25">
      <c r="A1419" s="23">
        <v>1418</v>
      </c>
      <c r="B1419" s="7" cm="1">
        <f t="array" aca="1" ref="B1419" ca="1">interpolexp(A1419,serie_du,Taxas_DI)</f>
        <v>0.12393988298540215</v>
      </c>
      <c r="C1419" s="37">
        <f t="shared" ca="1" si="67"/>
        <v>1.9298809506376682</v>
      </c>
      <c r="D1419" s="36">
        <f t="shared" ca="1" si="69"/>
        <v>0.12260690114193395</v>
      </c>
      <c r="E1419" s="32">
        <v>0.12106288501059215</v>
      </c>
      <c r="F1419" s="35">
        <f t="shared" ca="1" si="68"/>
        <v>2.8769979748100027E-3</v>
      </c>
    </row>
    <row r="1420" spans="1:6" x14ac:dyDescent="0.25">
      <c r="A1420" s="23">
        <v>1419</v>
      </c>
      <c r="B1420" s="7" cm="1">
        <f t="array" aca="1" ref="B1420" ca="1">interpolexp(A1420,serie_du,Taxas_DI)</f>
        <v>0.12393894304638664</v>
      </c>
      <c r="C1420" s="37">
        <f t="shared" ca="1" si="67"/>
        <v>1.9307668587602858</v>
      </c>
      <c r="D1420" s="36">
        <f t="shared" ca="1" si="69"/>
        <v>0.12260690004330077</v>
      </c>
      <c r="E1420" s="32">
        <v>0.12106213397344856</v>
      </c>
      <c r="F1420" s="35">
        <f t="shared" ca="1" si="68"/>
        <v>2.8768090729380802E-3</v>
      </c>
    </row>
    <row r="1421" spans="1:6" x14ac:dyDescent="0.25">
      <c r="A1421" s="23">
        <v>1420</v>
      </c>
      <c r="B1421" s="7" cm="1">
        <f t="array" aca="1" ref="B1421" ca="1">interpolexp(A1421,serie_du,Taxas_DI)</f>
        <v>0.12393800443124547</v>
      </c>
      <c r="C1421" s="37">
        <f t="shared" ca="1" si="67"/>
        <v>1.9316531735498801</v>
      </c>
      <c r="D1421" s="36">
        <f t="shared" ca="1" si="69"/>
        <v>0.12260689895431209</v>
      </c>
      <c r="E1421" s="32">
        <v>0.12106138399408106</v>
      </c>
      <c r="F1421" s="35">
        <f t="shared" ca="1" si="68"/>
        <v>2.8766204371644122E-3</v>
      </c>
    </row>
    <row r="1422" spans="1:6" x14ac:dyDescent="0.25">
      <c r="A1422" s="23">
        <v>1421</v>
      </c>
      <c r="B1422" s="7" cm="1">
        <f t="array" aca="1" ref="B1422" ca="1">interpolexp(A1422,serie_du,Taxas_DI)</f>
        <v>0.12393706713715869</v>
      </c>
      <c r="C1422" s="37">
        <f t="shared" ca="1" si="67"/>
        <v>1.9325398951928969</v>
      </c>
      <c r="D1422" s="36">
        <f t="shared" ca="1" si="69"/>
        <v>0.12260689783212642</v>
      </c>
      <c r="E1422" s="32">
        <v>0.12106063507031362</v>
      </c>
      <c r="F1422" s="35">
        <f t="shared" ca="1" si="68"/>
        <v>2.8764320668450694E-3</v>
      </c>
    </row>
    <row r="1423" spans="1:6" x14ac:dyDescent="0.25">
      <c r="A1423" s="23">
        <v>1422</v>
      </c>
      <c r="B1423" s="7" cm="1">
        <f t="array" aca="1" ref="B1423" ca="1">interpolexp(A1423,serie_du,Taxas_DI)</f>
        <v>0.12393613116137292</v>
      </c>
      <c r="C1423" s="37">
        <f t="shared" ca="1" si="67"/>
        <v>1.9334270238764379</v>
      </c>
      <c r="D1423" s="36">
        <f t="shared" ca="1" si="69"/>
        <v>0.12260689676009284</v>
      </c>
      <c r="E1423" s="32">
        <v>0.12105988719988137</v>
      </c>
      <c r="F1423" s="35">
        <f t="shared" ca="1" si="68"/>
        <v>2.8762439614915536E-3</v>
      </c>
    </row>
    <row r="1424" spans="1:6" x14ac:dyDescent="0.25">
      <c r="A1424" s="23">
        <v>1423</v>
      </c>
      <c r="B1424" s="7" cm="1">
        <f t="array" aca="1" ref="B1424" ca="1">interpolexp(A1424,serie_du,Taxas_DI)</f>
        <v>0.12393519650106821</v>
      </c>
      <c r="C1424" s="37">
        <f t="shared" ca="1" si="67"/>
        <v>1.9343145597869678</v>
      </c>
      <c r="D1424" s="36">
        <f t="shared" ca="1" si="69"/>
        <v>0.12260689563255189</v>
      </c>
      <c r="E1424" s="32">
        <v>0.12105914038056387</v>
      </c>
      <c r="F1424" s="35">
        <f t="shared" ca="1" si="68"/>
        <v>2.8760561205043444E-3</v>
      </c>
    </row>
    <row r="1425" spans="1:6" x14ac:dyDescent="0.25">
      <c r="A1425" s="23">
        <v>1424</v>
      </c>
      <c r="B1425" s="7" cm="1">
        <f t="array" aca="1" ref="B1425" ca="1">interpolexp(A1425,serie_du,Taxas_DI)</f>
        <v>0.12393426315351341</v>
      </c>
      <c r="C1425" s="37">
        <f t="shared" ca="1" si="67"/>
        <v>1.9352025031118236</v>
      </c>
      <c r="D1425" s="36">
        <f t="shared" ca="1" si="69"/>
        <v>0.12260689456463281</v>
      </c>
      <c r="E1425" s="32">
        <v>0.12105839461016288</v>
      </c>
      <c r="F1425" s="35">
        <f t="shared" ca="1" si="68"/>
        <v>2.8758685433505349E-3</v>
      </c>
    </row>
    <row r="1426" spans="1:6" x14ac:dyDescent="0.25">
      <c r="A1426" s="23">
        <v>1425</v>
      </c>
      <c r="B1426" s="7" cm="1">
        <f t="array" aca="1" ref="B1426" ca="1">interpolexp(A1426,serie_du,Taxas_DI)</f>
        <v>0.12393333111593297</v>
      </c>
      <c r="C1426" s="37">
        <f t="shared" ca="1" si="67"/>
        <v>1.9360908540379216</v>
      </c>
      <c r="D1426" s="36">
        <f t="shared" ca="1" si="69"/>
        <v>0.12260689348205989</v>
      </c>
      <c r="E1426" s="32">
        <v>0.12105764988645795</v>
      </c>
      <c r="F1426" s="35">
        <f t="shared" ca="1" si="68"/>
        <v>2.8756812294750134E-3</v>
      </c>
    </row>
    <row r="1427" spans="1:6" x14ac:dyDescent="0.25">
      <c r="A1427" s="23">
        <v>1426</v>
      </c>
      <c r="B1427" s="7" cm="1">
        <f t="array" aca="1" ref="B1427" ca="1">interpolexp(A1427,serie_du,Taxas_DI)</f>
        <v>0.12393240038557352</v>
      </c>
      <c r="C1427" s="37">
        <f t="shared" ca="1" si="67"/>
        <v>1.9369796127524044</v>
      </c>
      <c r="D1427" s="36">
        <f t="shared" ca="1" si="69"/>
        <v>0.12260689240550793</v>
      </c>
      <c r="E1427" s="32">
        <v>0.12105690620725085</v>
      </c>
      <c r="F1427" s="35">
        <f t="shared" ca="1" si="68"/>
        <v>2.8754941783226684E-3</v>
      </c>
    </row>
    <row r="1428" spans="1:6" x14ac:dyDescent="0.25">
      <c r="A1428" s="23">
        <v>1427</v>
      </c>
      <c r="B1428" s="7" cm="1">
        <f t="array" aca="1" ref="B1428" ca="1">interpolexp(A1428,serie_du,Taxas_DI)</f>
        <v>0.12393147095965951</v>
      </c>
      <c r="C1428" s="37">
        <f t="shared" ca="1" si="67"/>
        <v>1.9378687794422083</v>
      </c>
      <c r="D1428" s="36">
        <f t="shared" ca="1" si="69"/>
        <v>0.12260689129223157</v>
      </c>
      <c r="E1428" s="32">
        <v>0.12105616357034332</v>
      </c>
      <c r="F1428" s="35">
        <f t="shared" ca="1" si="68"/>
        <v>2.875307389316184E-3</v>
      </c>
    </row>
    <row r="1429" spans="1:6" x14ac:dyDescent="0.25">
      <c r="A1429" s="23">
        <v>1428</v>
      </c>
      <c r="B1429" s="7" cm="1">
        <f t="array" aca="1" ref="B1429" ca="1">interpolexp(A1429,serie_du,Taxas_DI)</f>
        <v>0.12393054283548199</v>
      </c>
      <c r="C1429" s="37">
        <f t="shared" ca="1" si="67"/>
        <v>1.9387583542949296</v>
      </c>
      <c r="D1429" s="36">
        <f t="shared" ca="1" si="69"/>
        <v>0.12260689022610149</v>
      </c>
      <c r="E1429" s="32">
        <v>0.12105542197355934</v>
      </c>
      <c r="F1429" s="35">
        <f t="shared" ca="1" si="68"/>
        <v>2.8751208619226531E-3</v>
      </c>
    </row>
    <row r="1430" spans="1:6" x14ac:dyDescent="0.25">
      <c r="A1430" s="23">
        <v>1429</v>
      </c>
      <c r="B1430" s="7" cm="1">
        <f t="array" aca="1" ref="B1430" ca="1">interpolexp(A1430,serie_du,Taxas_DI)</f>
        <v>0.12392961601030983</v>
      </c>
      <c r="C1430" s="37">
        <f t="shared" ca="1" si="67"/>
        <v>1.939648337497961</v>
      </c>
      <c r="D1430" s="36">
        <f t="shared" ca="1" si="69"/>
        <v>0.12260688916476825</v>
      </c>
      <c r="E1430" s="32">
        <v>0.12105468141470066</v>
      </c>
      <c r="F1430" s="35">
        <f t="shared" ca="1" si="68"/>
        <v>2.8749345956091688E-3</v>
      </c>
    </row>
    <row r="1431" spans="1:6" x14ac:dyDescent="0.25">
      <c r="A1431" s="23">
        <v>1430</v>
      </c>
      <c r="B1431" s="7" cm="1">
        <f t="array" aca="1" ref="B1431" ca="1">interpolexp(A1431,serie_du,Taxas_DI)</f>
        <v>0.12392869048138966</v>
      </c>
      <c r="C1431" s="37">
        <f t="shared" ca="1" si="67"/>
        <v>1.9405387292384872</v>
      </c>
      <c r="D1431" s="36">
        <f t="shared" ca="1" si="69"/>
        <v>0.12260688806544429</v>
      </c>
      <c r="E1431" s="32">
        <v>0.12105394189159124</v>
      </c>
      <c r="F1431" s="35">
        <f t="shared" ca="1" si="68"/>
        <v>2.8747485897984149E-3</v>
      </c>
    </row>
    <row r="1432" spans="1:6" x14ac:dyDescent="0.25">
      <c r="A1432" s="23">
        <v>1431</v>
      </c>
      <c r="B1432" s="7" cm="1">
        <f t="array" aca="1" ref="B1432" ca="1">interpolexp(A1432,serie_du,Taxas_DI)</f>
        <v>0.12392776624601254</v>
      </c>
      <c r="C1432" s="37">
        <f t="shared" ca="1" si="67"/>
        <v>1.9414295297041397</v>
      </c>
      <c r="D1432" s="36">
        <f t="shared" ca="1" si="69"/>
        <v>0.12260688698059585</v>
      </c>
      <c r="E1432" s="32">
        <v>0.12105320340207726</v>
      </c>
      <c r="F1432" s="35">
        <f t="shared" ca="1" si="68"/>
        <v>2.8745628439352799E-3</v>
      </c>
    </row>
    <row r="1433" spans="1:6" x14ac:dyDescent="0.25">
      <c r="A1433" s="23">
        <v>1432</v>
      </c>
      <c r="B1433" s="7" cm="1">
        <f t="array" aca="1" ref="B1433" ca="1">interpolexp(A1433,serie_du,Taxas_DI)</f>
        <v>0.12392684330149173</v>
      </c>
      <c r="C1433" s="37">
        <f t="shared" ca="1" si="67"/>
        <v>1.9423207390827792</v>
      </c>
      <c r="D1433" s="36">
        <f t="shared" ca="1" si="69"/>
        <v>0.12260688593125413</v>
      </c>
      <c r="E1433" s="32">
        <v>0.12105246594396046</v>
      </c>
      <c r="F1433" s="35">
        <f t="shared" ca="1" si="68"/>
        <v>2.8743773575312659E-3</v>
      </c>
    </row>
    <row r="1434" spans="1:6" x14ac:dyDescent="0.25">
      <c r="A1434" s="23">
        <v>1433</v>
      </c>
      <c r="B1434" s="7" cm="1">
        <f t="array" aca="1" ref="B1434" ca="1">interpolexp(A1434,serie_du,Taxas_DI)</f>
        <v>0.12392592164509608</v>
      </c>
      <c r="C1434" s="37">
        <f t="shared" ca="1" si="67"/>
        <v>1.9432123575618436</v>
      </c>
      <c r="D1434" s="36">
        <f t="shared" ca="1" si="69"/>
        <v>0.1226068848430879</v>
      </c>
      <c r="E1434" s="32">
        <v>0.12105172951510923</v>
      </c>
      <c r="F1434" s="35">
        <f t="shared" ca="1" si="68"/>
        <v>2.8741921299868523E-3</v>
      </c>
    </row>
    <row r="1435" spans="1:6" x14ac:dyDescent="0.25">
      <c r="A1435" s="23">
        <v>1434</v>
      </c>
      <c r="B1435" s="7" cm="1">
        <f t="array" aca="1" ref="B1435" ca="1">interpolexp(A1435,serie_du,Taxas_DI)</f>
        <v>0.12392500127416106</v>
      </c>
      <c r="C1435" s="37">
        <f t="shared" ca="1" si="67"/>
        <v>1.9441043853294355</v>
      </c>
      <c r="D1435" s="36">
        <f t="shared" ca="1" si="69"/>
        <v>0.12260688380043128</v>
      </c>
      <c r="E1435" s="32">
        <v>0.12105099411334752</v>
      </c>
      <c r="F1435" s="35">
        <f t="shared" ca="1" si="68"/>
        <v>2.8740071608135409E-3</v>
      </c>
    </row>
    <row r="1436" spans="1:6" x14ac:dyDescent="0.25">
      <c r="A1436" s="23">
        <v>1435</v>
      </c>
      <c r="B1436" s="7" cm="1">
        <f t="array" aca="1" ref="B1436" ca="1">interpolexp(A1436,serie_du,Taxas_DI)</f>
        <v>0.12392408218595552</v>
      </c>
      <c r="C1436" s="37">
        <f t="shared" ca="1" si="67"/>
        <v>1.9449968225730163</v>
      </c>
      <c r="D1436" s="36">
        <f t="shared" ca="1" si="69"/>
        <v>0.12260688269738207</v>
      </c>
      <c r="E1436" s="32">
        <v>0.12105025973656591</v>
      </c>
      <c r="F1436" s="35">
        <f t="shared" ca="1" si="68"/>
        <v>2.873822449389607E-3</v>
      </c>
    </row>
    <row r="1437" spans="1:6" x14ac:dyDescent="0.25">
      <c r="A1437" s="23">
        <v>1436</v>
      </c>
      <c r="B1437" s="7" cm="1">
        <f t="array" aca="1" ref="B1437" ca="1">interpolexp(A1437,serie_du,Taxas_DI)</f>
        <v>0.12392316437783713</v>
      </c>
      <c r="C1437" s="37">
        <f t="shared" ca="1" si="67"/>
        <v>1.9458896694809333</v>
      </c>
      <c r="D1437" s="36">
        <f t="shared" ca="1" si="69"/>
        <v>0.12260688165042866</v>
      </c>
      <c r="E1437" s="32">
        <v>0.12104952638258837</v>
      </c>
      <c r="F1437" s="35">
        <f t="shared" ca="1" si="68"/>
        <v>2.8736379952487567E-3</v>
      </c>
    </row>
    <row r="1438" spans="1:6" x14ac:dyDescent="0.25">
      <c r="A1438" s="23">
        <v>1437</v>
      </c>
      <c r="B1438" s="7" cm="1">
        <f t="array" aca="1" ref="B1438" ca="1">interpolexp(A1438,serie_du,Taxas_DI)</f>
        <v>0.12392224784711914</v>
      </c>
      <c r="C1438" s="37">
        <f t="shared" ca="1" si="67"/>
        <v>1.9467829262411087</v>
      </c>
      <c r="D1438" s="36">
        <f t="shared" ca="1" si="69"/>
        <v>0.12260688058492586</v>
      </c>
      <c r="E1438" s="32">
        <v>0.12104879404928326</v>
      </c>
      <c r="F1438" s="35">
        <f t="shared" ca="1" si="68"/>
        <v>2.8734537978358787E-3</v>
      </c>
    </row>
    <row r="1439" spans="1:6" x14ac:dyDescent="0.25">
      <c r="A1439" s="23">
        <v>1438</v>
      </c>
      <c r="B1439" s="7" cm="1">
        <f t="array" aca="1" ref="B1439" ca="1">interpolexp(A1439,serie_du,Taxas_DI)</f>
        <v>0.12392133259115923</v>
      </c>
      <c r="C1439" s="37">
        <f t="shared" ca="1" si="67"/>
        <v>1.9476765930419175</v>
      </c>
      <c r="D1439" s="36">
        <f t="shared" ca="1" si="69"/>
        <v>0.12260687955432981</v>
      </c>
      <c r="E1439" s="32">
        <v>0.12104806273451896</v>
      </c>
      <c r="F1439" s="35">
        <f t="shared" ca="1" si="68"/>
        <v>2.8732698566402703E-3</v>
      </c>
    </row>
    <row r="1440" spans="1:6" x14ac:dyDescent="0.25">
      <c r="A1440" s="23">
        <v>1439</v>
      </c>
      <c r="B1440" s="7" cm="1">
        <f t="array" aca="1" ref="B1440" ca="1">interpolexp(A1440,serie_du,Taxas_DI)</f>
        <v>0.12392041860724845</v>
      </c>
      <c r="C1440" s="37">
        <f t="shared" ca="1" si="67"/>
        <v>1.9485706700710883</v>
      </c>
      <c r="D1440" s="36">
        <f t="shared" ca="1" si="69"/>
        <v>0.12260687845211793</v>
      </c>
      <c r="E1440" s="32">
        <v>0.12104733243620824</v>
      </c>
      <c r="F1440" s="35">
        <f t="shared" ca="1" si="68"/>
        <v>2.8730861710402067E-3</v>
      </c>
    </row>
    <row r="1441" spans="1:6" x14ac:dyDescent="0.25">
      <c r="A1441" s="23">
        <v>1440</v>
      </c>
      <c r="B1441" s="7" cm="1">
        <f t="array" aca="1" ref="B1441" ca="1">interpolexp(A1441,serie_du,Taxas_DI)</f>
        <v>0.12391950589278888</v>
      </c>
      <c r="C1441" s="37">
        <f t="shared" ca="1" si="67"/>
        <v>1.9494651575174611</v>
      </c>
      <c r="D1441" s="36">
        <f t="shared" ca="1" si="69"/>
        <v>0.12260687742719067</v>
      </c>
      <c r="E1441" s="32">
        <v>0.12104660315217508</v>
      </c>
      <c r="F1441" s="35">
        <f t="shared" ca="1" si="68"/>
        <v>2.872902740613803E-3</v>
      </c>
    </row>
    <row r="1442" spans="1:6" x14ac:dyDescent="0.25">
      <c r="A1442" s="23">
        <v>1441</v>
      </c>
      <c r="B1442" s="7" cm="1">
        <f t="array" aca="1" ref="B1442" ca="1">interpolexp(A1442,serie_du,Taxas_DI)</f>
        <v>0.12391859444511599</v>
      </c>
      <c r="C1442" s="37">
        <f t="shared" ca="1" si="67"/>
        <v>1.9503600555692304</v>
      </c>
      <c r="D1442" s="36">
        <f t="shared" ca="1" si="69"/>
        <v>0.12260687637318313</v>
      </c>
      <c r="E1442" s="32">
        <v>0.12104587488035445</v>
      </c>
      <c r="F1442" s="35">
        <f t="shared" ca="1" si="68"/>
        <v>2.8727195647615389E-3</v>
      </c>
    </row>
    <row r="1443" spans="1:6" x14ac:dyDescent="0.25">
      <c r="A1443" s="23">
        <v>1442</v>
      </c>
      <c r="B1443" s="7" cm="1">
        <f t="array" aca="1" ref="B1443" ca="1">interpolexp(A1443,serie_du,Taxas_DI)</f>
        <v>0.12391768426158745</v>
      </c>
      <c r="C1443" s="37">
        <f t="shared" ca="1" si="67"/>
        <v>1.9512553644148247</v>
      </c>
      <c r="D1443" s="36">
        <f t="shared" ca="1" si="69"/>
        <v>0.12260687531163939</v>
      </c>
      <c r="E1443" s="32">
        <v>0.12104514761863694</v>
      </c>
      <c r="F1443" s="35">
        <f t="shared" ca="1" si="68"/>
        <v>2.8725366429505073E-3</v>
      </c>
    </row>
    <row r="1444" spans="1:6" x14ac:dyDescent="0.25">
      <c r="A1444" s="23">
        <v>1443</v>
      </c>
      <c r="B1444" s="7" cm="1">
        <f t="array" aca="1" ref="B1444" ca="1">interpolexp(A1444,serie_du,Taxas_DI)</f>
        <v>0.12391677533958312</v>
      </c>
      <c r="C1444" s="37">
        <f t="shared" ca="1" si="67"/>
        <v>1.9521510842429068</v>
      </c>
      <c r="D1444" s="36">
        <f t="shared" ca="1" si="69"/>
        <v>0.12260687426386663</v>
      </c>
      <c r="E1444" s="32">
        <v>0.12104442136489091</v>
      </c>
      <c r="F1444" s="35">
        <f t="shared" ca="1" si="68"/>
        <v>2.87235397469221E-3</v>
      </c>
    </row>
    <row r="1445" spans="1:6" x14ac:dyDescent="0.25">
      <c r="A1445" s="23">
        <v>1444</v>
      </c>
      <c r="B1445" s="7" cm="1">
        <f t="array" aca="1" ref="B1445" ca="1">interpolexp(A1445,serie_du,Taxas_DI)</f>
        <v>0.12391586767648288</v>
      </c>
      <c r="C1445" s="37">
        <f t="shared" ca="1" si="67"/>
        <v>1.9530472152421532</v>
      </c>
      <c r="D1445" s="36">
        <f t="shared" ca="1" si="69"/>
        <v>0.12260687321935348</v>
      </c>
      <c r="E1445" s="32">
        <v>0.12104369611705135</v>
      </c>
      <c r="F1445" s="35">
        <f t="shared" ca="1" si="68"/>
        <v>2.8721715594315356E-3</v>
      </c>
    </row>
    <row r="1446" spans="1:6" x14ac:dyDescent="0.25">
      <c r="A1446" s="23">
        <v>1445</v>
      </c>
      <c r="B1446" s="7" cm="1">
        <f t="array" aca="1" ref="B1446" ca="1">interpolexp(A1446,serie_du,Taxas_DI)</f>
        <v>0.12391496126968882</v>
      </c>
      <c r="C1446" s="37">
        <f t="shared" ca="1" si="67"/>
        <v>1.953943757601476</v>
      </c>
      <c r="D1446" s="36">
        <f t="shared" ca="1" si="69"/>
        <v>0.12260687219968469</v>
      </c>
      <c r="E1446" s="32">
        <v>0.12104297187300883</v>
      </c>
      <c r="F1446" s="35">
        <f t="shared" ca="1" si="68"/>
        <v>2.8719893966799859E-3</v>
      </c>
    </row>
    <row r="1447" spans="1:6" x14ac:dyDescent="0.25">
      <c r="A1447" s="23">
        <v>1446</v>
      </c>
      <c r="B1447" s="7" cm="1">
        <f t="array" aca="1" ref="B1447" ca="1">interpolexp(A1447,serie_du,Taxas_DI)</f>
        <v>0.12391405611655859</v>
      </c>
      <c r="C1447" s="37">
        <f t="shared" ca="1" si="67"/>
        <v>1.9548407115093607</v>
      </c>
      <c r="D1447" s="36">
        <f t="shared" ca="1" si="69"/>
        <v>0.12260687113052771</v>
      </c>
      <c r="E1447" s="32">
        <v>0.12104224863069835</v>
      </c>
      <c r="F1447" s="35">
        <f t="shared" ca="1" si="68"/>
        <v>2.8718074858602449E-3</v>
      </c>
    </row>
    <row r="1448" spans="1:6" x14ac:dyDescent="0.25">
      <c r="A1448" s="23">
        <v>1447</v>
      </c>
      <c r="B1448" s="7" cm="1">
        <f t="array" aca="1" ref="B1448" ca="1">interpolexp(A1448,serie_du,Taxas_DI)</f>
        <v>0.12391315221451649</v>
      </c>
      <c r="C1448" s="37">
        <f t="shared" ca="1" si="67"/>
        <v>1.9557380771549695</v>
      </c>
      <c r="D1448" s="36">
        <f t="shared" ca="1" si="69"/>
        <v>0.12260687009725912</v>
      </c>
      <c r="E1448" s="32">
        <v>0.12104152638803267</v>
      </c>
      <c r="F1448" s="35">
        <f t="shared" ca="1" si="68"/>
        <v>2.8716258264838146E-3</v>
      </c>
    </row>
    <row r="1449" spans="1:6" x14ac:dyDescent="0.25">
      <c r="A1449" s="23">
        <v>1448</v>
      </c>
      <c r="B1449" s="7" cm="1">
        <f t="array" aca="1" ref="B1449" ca="1">interpolexp(A1449,serie_du,Taxas_DI)</f>
        <v>0.12391224956096458</v>
      </c>
      <c r="C1449" s="37">
        <f t="shared" ca="1" si="67"/>
        <v>1.95663585472726</v>
      </c>
      <c r="D1449" s="36">
        <f t="shared" ca="1" si="69"/>
        <v>0.12260686905781948</v>
      </c>
      <c r="E1449" s="32">
        <v>0.121040805142969</v>
      </c>
      <c r="F1449" s="35">
        <f t="shared" ca="1" si="68"/>
        <v>2.8714444179955834E-3</v>
      </c>
    </row>
    <row r="1450" spans="1:6" x14ac:dyDescent="0.25">
      <c r="A1450" s="23">
        <v>1449</v>
      </c>
      <c r="B1450" s="7" cm="1">
        <f t="array" aca="1" ref="B1450" ca="1">interpolexp(A1450,serie_du,Taxas_DI)</f>
        <v>0.12391134815332716</v>
      </c>
      <c r="C1450" s="37">
        <f t="shared" ca="1" si="67"/>
        <v>1.9575340444154259</v>
      </c>
      <c r="D1450" s="36">
        <f t="shared" ca="1" si="69"/>
        <v>0.12260686803363963</v>
      </c>
      <c r="E1450" s="32">
        <v>0.1210400848933979</v>
      </c>
      <c r="F1450" s="35">
        <f t="shared" ca="1" si="68"/>
        <v>2.8712632599292576E-3</v>
      </c>
    </row>
    <row r="1451" spans="1:6" x14ac:dyDescent="0.25">
      <c r="A1451" s="23">
        <v>1450</v>
      </c>
      <c r="B1451" s="7" cm="1">
        <f t="array" aca="1" ref="B1451" ca="1">interpolexp(A1451,serie_du,Taxas_DI)</f>
        <v>0.1239104479890063</v>
      </c>
      <c r="C1451" s="37">
        <f t="shared" ca="1" si="67"/>
        <v>1.9584326464084547</v>
      </c>
      <c r="D1451" s="36">
        <f t="shared" ca="1" si="69"/>
        <v>0.12260686698251666</v>
      </c>
      <c r="E1451" s="32">
        <v>0.12103936563727657</v>
      </c>
      <c r="F1451" s="35">
        <f t="shared" ca="1" si="68"/>
        <v>2.8710823517297257E-3</v>
      </c>
    </row>
    <row r="1452" spans="1:6" x14ac:dyDescent="0.25">
      <c r="A1452" s="23">
        <v>1451</v>
      </c>
      <c r="B1452" s="7" cm="1">
        <f t="array" aca="1" ref="B1452" ca="1">interpolexp(A1452,serie_du,Taxas_DI)</f>
        <v>0.12390954906544849</v>
      </c>
      <c r="C1452" s="37">
        <f t="shared" ca="1" si="67"/>
        <v>1.959331660895794</v>
      </c>
      <c r="D1452" s="36">
        <f t="shared" ca="1" si="69"/>
        <v>0.1226068659583357</v>
      </c>
      <c r="E1452" s="32">
        <v>0.1210386473725622</v>
      </c>
      <c r="F1452" s="35">
        <f t="shared" ca="1" si="68"/>
        <v>2.8709016928862852E-3</v>
      </c>
    </row>
    <row r="1453" spans="1:6" x14ac:dyDescent="0.25">
      <c r="A1453" s="23">
        <v>1452</v>
      </c>
      <c r="B1453" s="7" cm="1">
        <f t="array" aca="1" ref="B1453" ca="1">interpolexp(A1453,serie_du,Taxas_DI)</f>
        <v>0.12390865138007801</v>
      </c>
      <c r="C1453" s="37">
        <f t="shared" ca="1" si="67"/>
        <v>1.9602310880666842</v>
      </c>
      <c r="D1453" s="36">
        <f t="shared" ca="1" si="69"/>
        <v>0.12260686491852435</v>
      </c>
      <c r="E1453" s="32">
        <v>0.12103793009718977</v>
      </c>
      <c r="F1453" s="35">
        <f t="shared" ca="1" si="68"/>
        <v>2.8707212828882334E-3</v>
      </c>
    </row>
    <row r="1454" spans="1:6" x14ac:dyDescent="0.25">
      <c r="A1454" s="23">
        <v>1453</v>
      </c>
      <c r="B1454" s="7" cm="1">
        <f t="array" aca="1" ref="B1454" ca="1">interpolexp(A1454,serie_du,Taxas_DI)</f>
        <v>0.12390775493036355</v>
      </c>
      <c r="C1454" s="37">
        <f t="shared" ca="1" si="67"/>
        <v>1.9611309281108291</v>
      </c>
      <c r="D1454" s="36">
        <f t="shared" ca="1" si="69"/>
        <v>0.12260686391758635</v>
      </c>
      <c r="E1454" s="32">
        <v>0.12103721380913868</v>
      </c>
      <c r="F1454" s="35">
        <f t="shared" ca="1" si="68"/>
        <v>2.8705411212248677E-3</v>
      </c>
    </row>
    <row r="1455" spans="1:6" x14ac:dyDescent="0.25">
      <c r="A1455" s="23">
        <v>1454</v>
      </c>
      <c r="B1455" s="7" cm="1">
        <f t="array" aca="1" ref="B1455" ca="1">interpolexp(A1455,serie_du,Taxas_DI)</f>
        <v>0.12390685971372939</v>
      </c>
      <c r="C1455" s="37">
        <f t="shared" ca="1" si="67"/>
        <v>1.9620311812175013</v>
      </c>
      <c r="D1455" s="36">
        <f t="shared" ca="1" si="69"/>
        <v>0.12260686288056899</v>
      </c>
      <c r="E1455" s="32">
        <v>0.1210364985063439</v>
      </c>
      <c r="F1455" s="35">
        <f t="shared" ca="1" si="68"/>
        <v>2.8703612073854856E-3</v>
      </c>
    </row>
    <row r="1456" spans="1:6" x14ac:dyDescent="0.25">
      <c r="A1456" s="23">
        <v>1455</v>
      </c>
      <c r="B1456" s="7" cm="1">
        <f t="array" aca="1" ref="B1456" ca="1">interpolexp(A1456,serie_du,Taxas_DI)</f>
        <v>0.12390596572764423</v>
      </c>
      <c r="C1456" s="37">
        <f t="shared" ca="1" si="67"/>
        <v>1.9629318475764364</v>
      </c>
      <c r="D1456" s="36">
        <f t="shared" ca="1" si="69"/>
        <v>0.12260686186194891</v>
      </c>
      <c r="E1456" s="32">
        <v>0.12103578418680705</v>
      </c>
      <c r="F1456" s="35">
        <f t="shared" ca="1" si="68"/>
        <v>2.87018154083718E-3</v>
      </c>
    </row>
    <row r="1457" spans="1:6" x14ac:dyDescent="0.25">
      <c r="A1457" s="23">
        <v>1456</v>
      </c>
      <c r="B1457" s="7" cm="1">
        <f t="array" aca="1" ref="B1457" ca="1">interpolexp(A1457,serie_du,Taxas_DI)</f>
        <v>0.12390507296955455</v>
      </c>
      <c r="C1457" s="37">
        <f t="shared" ca="1" si="67"/>
        <v>1.9638329273771635</v>
      </c>
      <c r="D1457" s="36">
        <f t="shared" ca="1" si="69"/>
        <v>0.12260686081916283</v>
      </c>
      <c r="E1457" s="32">
        <v>0.1210350708484631</v>
      </c>
      <c r="F1457" s="35">
        <f t="shared" ca="1" si="68"/>
        <v>2.8700021210914528E-3</v>
      </c>
    </row>
    <row r="1458" spans="1:6" x14ac:dyDescent="0.25">
      <c r="A1458" s="23">
        <v>1457</v>
      </c>
      <c r="B1458" s="7" cm="1">
        <f t="array" aca="1" ref="B1458" ca="1">interpolexp(A1458,serie_du,Taxas_DI)</f>
        <v>0.12390418143697346</v>
      </c>
      <c r="C1458" s="37">
        <f t="shared" ca="1" si="67"/>
        <v>1.9647344208099005</v>
      </c>
      <c r="D1458" s="36">
        <f t="shared" ca="1" si="69"/>
        <v>0.12260685983899466</v>
      </c>
      <c r="E1458" s="32">
        <v>0.12103435848931365</v>
      </c>
      <c r="F1458" s="35">
        <f t="shared" ca="1" si="68"/>
        <v>2.8698229476598058E-3</v>
      </c>
    </row>
    <row r="1459" spans="1:6" x14ac:dyDescent="0.25">
      <c r="A1459" s="23">
        <v>1458</v>
      </c>
      <c r="B1459" s="7" cm="1">
        <f t="array" aca="1" ref="B1459" ca="1">interpolexp(A1459,serie_du,Taxas_DI)</f>
        <v>0.12390329112732523</v>
      </c>
      <c r="C1459" s="37">
        <f t="shared" ca="1" si="67"/>
        <v>1.9656363280639855</v>
      </c>
      <c r="D1459" s="36">
        <f t="shared" ca="1" si="69"/>
        <v>0.12260685878225619</v>
      </c>
      <c r="E1459" s="32">
        <v>0.12103364710736031</v>
      </c>
      <c r="F1459" s="35">
        <f t="shared" ca="1" si="68"/>
        <v>2.8696440199649231E-3</v>
      </c>
    </row>
    <row r="1460" spans="1:6" x14ac:dyDescent="0.25">
      <c r="A1460" s="23">
        <v>1459</v>
      </c>
      <c r="B1460" s="7" cm="1">
        <f t="array" aca="1" ref="B1460" ca="1">interpolexp(A1460,serie_du,Taxas_DI)</f>
        <v>0.12390240203814518</v>
      </c>
      <c r="C1460" s="37">
        <f t="shared" ca="1" si="67"/>
        <v>1.9665386493298953</v>
      </c>
      <c r="D1460" s="36">
        <f t="shared" ca="1" si="69"/>
        <v>0.12260685780017866</v>
      </c>
      <c r="E1460" s="32">
        <v>0.12103293670056026</v>
      </c>
      <c r="F1460" s="35">
        <f t="shared" ca="1" si="68"/>
        <v>2.86946533758492E-3</v>
      </c>
    </row>
    <row r="1461" spans="1:6" x14ac:dyDescent="0.25">
      <c r="A1461" s="23">
        <v>1460</v>
      </c>
      <c r="B1461" s="7" cm="1">
        <f t="array" aca="1" ref="B1461" ca="1">interpolexp(A1461,serie_du,Taxas_DI)</f>
        <v>0.12390151416690198</v>
      </c>
      <c r="C1461" s="37">
        <f t="shared" ca="1" si="67"/>
        <v>1.9674413847974519</v>
      </c>
      <c r="D1461" s="36">
        <f t="shared" ca="1" si="69"/>
        <v>0.1226068567861065</v>
      </c>
      <c r="E1461" s="32">
        <v>0.1210322272669373</v>
      </c>
      <c r="F1461" s="35">
        <f t="shared" ca="1" si="68"/>
        <v>2.8692868999646848E-3</v>
      </c>
    </row>
    <row r="1462" spans="1:6" x14ac:dyDescent="0.25">
      <c r="A1462" s="23">
        <v>1461</v>
      </c>
      <c r="B1462" s="7" cm="1">
        <f t="array" aca="1" ref="B1462" ca="1">interpolexp(A1462,serie_du,Taxas_DI)</f>
        <v>0.12390062751108655</v>
      </c>
      <c r="C1462" s="37">
        <f t="shared" ca="1" si="67"/>
        <v>1.9683445346567181</v>
      </c>
      <c r="D1462" s="36">
        <f t="shared" ca="1" si="69"/>
        <v>0.12260685576211316</v>
      </c>
      <c r="E1462" s="32">
        <v>0.12103151880447083</v>
      </c>
      <c r="F1462" s="35">
        <f t="shared" ca="1" si="68"/>
        <v>2.8691087066157195E-3</v>
      </c>
    </row>
    <row r="1463" spans="1:6" x14ac:dyDescent="0.25">
      <c r="A1463" s="23">
        <v>1462</v>
      </c>
      <c r="B1463" s="7" cm="1">
        <f t="array" aca="1" ref="B1463" ca="1">interpolexp(A1463,serie_du,Taxas_DI)</f>
        <v>0.12389974206821197</v>
      </c>
      <c r="C1463" s="37">
        <f t="shared" ca="1" si="67"/>
        <v>1.9692480990980001</v>
      </c>
      <c r="D1463" s="36">
        <f t="shared" ca="1" si="69"/>
        <v>0.1226068547506467</v>
      </c>
      <c r="E1463" s="32">
        <v>0.12103081131118465</v>
      </c>
      <c r="F1463" s="35">
        <f t="shared" ca="1" si="68"/>
        <v>2.8689307570273215E-3</v>
      </c>
    </row>
    <row r="1464" spans="1:6" x14ac:dyDescent="0.25">
      <c r="A1464" s="23">
        <v>1463</v>
      </c>
      <c r="B1464" s="7" cm="1">
        <f t="array" aca="1" ref="B1464" ca="1">interpolexp(A1464,serie_du,Taxas_DI)</f>
        <v>0.12389885783579135</v>
      </c>
      <c r="C1464" s="37">
        <f t="shared" ca="1" si="67"/>
        <v>1.9701520783116229</v>
      </c>
      <c r="D1464" s="36">
        <f t="shared" ca="1" si="69"/>
        <v>0.12260685374171976</v>
      </c>
      <c r="E1464" s="32">
        <v>0.12103010478505816</v>
      </c>
      <c r="F1464" s="35">
        <f t="shared" ca="1" si="68"/>
        <v>2.8687530507331971E-3</v>
      </c>
    </row>
    <row r="1465" spans="1:6" x14ac:dyDescent="0.25">
      <c r="A1465" s="23">
        <v>1464</v>
      </c>
      <c r="B1465" s="7" cm="1">
        <f t="array" aca="1" ref="B1465" ca="1">interpolexp(A1465,serie_du,Taxas_DI)</f>
        <v>0.12389797481136</v>
      </c>
      <c r="C1465" s="37">
        <f t="shared" ca="1" si="67"/>
        <v>1.9710564724881545</v>
      </c>
      <c r="D1465" s="36">
        <f t="shared" ca="1" si="69"/>
        <v>0.12260685275788319</v>
      </c>
      <c r="E1465" s="32">
        <v>0.12102939922418177</v>
      </c>
      <c r="F1465" s="35">
        <f t="shared" ca="1" si="68"/>
        <v>2.8685755871782348E-3</v>
      </c>
    </row>
    <row r="1466" spans="1:6" x14ac:dyDescent="0.25">
      <c r="A1466" s="23">
        <v>1465</v>
      </c>
      <c r="B1466" s="7" cm="1">
        <f t="array" aca="1" ref="B1466" ca="1">interpolexp(A1466,serie_du,Taxas_DI)</f>
        <v>0.12389709299243101</v>
      </c>
      <c r="C1466" s="37">
        <f t="shared" ca="1" si="67"/>
        <v>1.9719612818179573</v>
      </c>
      <c r="D1466" s="36">
        <f t="shared" ca="1" si="69"/>
        <v>0.12260685175688057</v>
      </c>
      <c r="E1466" s="32">
        <v>0.12102869462651267</v>
      </c>
      <c r="F1466" s="35">
        <f t="shared" ca="1" si="68"/>
        <v>2.8683983659183454E-3</v>
      </c>
    </row>
    <row r="1467" spans="1:6" x14ac:dyDescent="0.25">
      <c r="A1467" s="23">
        <v>1466</v>
      </c>
      <c r="B1467" s="7" cm="1">
        <f t="array" aca="1" ref="B1467" ca="1">interpolexp(A1467,serie_du,Taxas_DI)</f>
        <v>0.12389621237651749</v>
      </c>
      <c r="C1467" s="37">
        <f t="shared" ca="1" si="67"/>
        <v>1.9728665064914095</v>
      </c>
      <c r="D1467" s="36">
        <f t="shared" ca="1" si="69"/>
        <v>0.12260685072855959</v>
      </c>
      <c r="E1467" s="32">
        <v>0.12102799099009687</v>
      </c>
      <c r="F1467" s="35">
        <f t="shared" ca="1" si="68"/>
        <v>2.8682213864206219E-3</v>
      </c>
    </row>
    <row r="1468" spans="1:6" x14ac:dyDescent="0.25">
      <c r="A1468" s="23">
        <v>1467</v>
      </c>
      <c r="B1468" s="7" cm="1">
        <f t="array" aca="1" ref="B1468" ca="1">interpolexp(A1468,serie_du,Taxas_DI)</f>
        <v>0.12389533296119914</v>
      </c>
      <c r="C1468" s="37">
        <f t="shared" ca="1" si="67"/>
        <v>1.9737721466995899</v>
      </c>
      <c r="D1468" s="36">
        <f t="shared" ca="1" si="69"/>
        <v>0.1226068497609003</v>
      </c>
      <c r="E1468" s="32">
        <v>0.12102728831295817</v>
      </c>
      <c r="F1468" s="35">
        <f t="shared" ca="1" si="68"/>
        <v>2.8680446482409749E-3</v>
      </c>
    </row>
    <row r="1469" spans="1:6" x14ac:dyDescent="0.25">
      <c r="A1469" s="23">
        <v>1468</v>
      </c>
      <c r="B1469" s="7" cm="1">
        <f t="array" aca="1" ref="B1469" ca="1">interpolexp(A1469,serie_du,Taxas_DI)</f>
        <v>0.12389445474398908</v>
      </c>
      <c r="C1469" s="37">
        <f t="shared" ca="1" si="67"/>
        <v>1.9746782026329155</v>
      </c>
      <c r="D1469" s="36">
        <f t="shared" ca="1" si="69"/>
        <v>0.12260684874631989</v>
      </c>
      <c r="E1469" s="32">
        <v>0.12102658659316479</v>
      </c>
      <c r="F1469" s="35">
        <f t="shared" ca="1" si="68"/>
        <v>2.8678681508242931E-3</v>
      </c>
    </row>
    <row r="1470" spans="1:6" x14ac:dyDescent="0.25">
      <c r="A1470" s="23">
        <v>1469</v>
      </c>
      <c r="B1470" s="7" cm="1">
        <f t="array" aca="1" ref="B1470" ca="1">interpolexp(A1470,serie_du,Taxas_DI)</f>
        <v>0.12389357772246701</v>
      </c>
      <c r="C1470" s="37">
        <f t="shared" ca="1" si="67"/>
        <v>1.975584674482503</v>
      </c>
      <c r="D1470" s="36">
        <f t="shared" ca="1" si="69"/>
        <v>0.12260684777256192</v>
      </c>
      <c r="E1470" s="32">
        <v>0.12102588582876272</v>
      </c>
      <c r="F1470" s="35">
        <f t="shared" ca="1" si="68"/>
        <v>2.8676918937042828E-3</v>
      </c>
    </row>
    <row r="1471" spans="1:6" x14ac:dyDescent="0.25">
      <c r="A1471" s="23">
        <v>1470</v>
      </c>
      <c r="B1471" s="7" cm="1">
        <f t="array" aca="1" ref="B1471" ca="1">interpolexp(A1471,serie_du,Taxas_DI)</f>
        <v>0.12389270189416823</v>
      </c>
      <c r="C1471" s="37">
        <f t="shared" ca="1" si="67"/>
        <v>1.9764915624390349</v>
      </c>
      <c r="D1471" s="36">
        <f t="shared" ca="1" si="69"/>
        <v>0.12260684676501055</v>
      </c>
      <c r="E1471" s="32">
        <v>0.12102518601775358</v>
      </c>
      <c r="F1471" s="35">
        <f t="shared" ca="1" si="68"/>
        <v>2.8675158764146502E-3</v>
      </c>
    </row>
    <row r="1472" spans="1:6" x14ac:dyDescent="0.25">
      <c r="A1472" s="23">
        <v>1471</v>
      </c>
      <c r="B1472" s="7" cm="1">
        <f t="array" aca="1" ref="B1472" ca="1">interpolexp(A1472,serie_du,Taxas_DI)</f>
        <v>0.12389182725667247</v>
      </c>
      <c r="C1472" s="37">
        <f t="shared" ca="1" si="67"/>
        <v>1.977398866693667</v>
      </c>
      <c r="D1472" s="36">
        <f t="shared" ca="1" si="69"/>
        <v>0.12260684577875036</v>
      </c>
      <c r="E1472" s="32">
        <v>0.12102448715824998</v>
      </c>
      <c r="F1472" s="35">
        <f t="shared" ca="1" si="68"/>
        <v>2.8673400984224884E-3</v>
      </c>
    </row>
    <row r="1473" spans="1:6" x14ac:dyDescent="0.25">
      <c r="A1473" s="23">
        <v>1472</v>
      </c>
      <c r="B1473" s="7" cm="1">
        <f t="array" aca="1" ref="B1473" ca="1">interpolexp(A1473,serie_du,Taxas_DI)</f>
        <v>0.12389095380753723</v>
      </c>
      <c r="C1473" s="37">
        <f t="shared" ca="1" si="67"/>
        <v>1.9783065874373487</v>
      </c>
      <c r="D1473" s="36">
        <f t="shared" ca="1" si="69"/>
        <v>0.1226068447717974</v>
      </c>
      <c r="E1473" s="32">
        <v>0.12102378924829793</v>
      </c>
      <c r="F1473" s="35">
        <f t="shared" ca="1" si="68"/>
        <v>2.8671645592392991E-3</v>
      </c>
    </row>
    <row r="1474" spans="1:6" x14ac:dyDescent="0.25">
      <c r="A1474" s="23">
        <v>1473</v>
      </c>
      <c r="B1474" s="7" cm="1">
        <f t="array" aca="1" ref="B1474" ca="1">interpolexp(A1474,serie_du,Taxas_DI)</f>
        <v>0.12389008154438663</v>
      </c>
      <c r="C1474" s="37">
        <f t="shared" ref="C1474:C1537" ca="1" si="70">(1+B1474)^(A1474/252)</f>
        <v>1.9792147248617324</v>
      </c>
      <c r="D1474" s="36">
        <f t="shared" ca="1" si="69"/>
        <v>0.12260684383204956</v>
      </c>
      <c r="E1474" s="32">
        <v>0.12102309228592123</v>
      </c>
      <c r="F1474" s="35">
        <f t="shared" ref="F1474:F1537" ca="1" si="71">B1474-E1474</f>
        <v>2.8669892584654022E-3</v>
      </c>
    </row>
    <row r="1475" spans="1:6" x14ac:dyDescent="0.25">
      <c r="A1475" s="23">
        <v>1474</v>
      </c>
      <c r="B1475" s="7" cm="1">
        <f t="array" aca="1" ref="B1475" ca="1">interpolexp(A1475,serie_du,Taxas_DI)</f>
        <v>0.12388921046475598</v>
      </c>
      <c r="C1475" s="37">
        <f t="shared" ca="1" si="70"/>
        <v>1.9801232791575791</v>
      </c>
      <c r="D1475" s="36">
        <f t="shared" ca="1" si="69"/>
        <v>0.12260684281953438</v>
      </c>
      <c r="E1475" s="32">
        <v>0.12102239626925471</v>
      </c>
      <c r="F1475" s="35">
        <f t="shared" ca="1" si="71"/>
        <v>2.8668141955012771E-3</v>
      </c>
    </row>
    <row r="1476" spans="1:6" x14ac:dyDescent="0.25">
      <c r="A1476" s="23">
        <v>1475</v>
      </c>
      <c r="B1476" s="7" cm="1">
        <f t="array" aca="1" ref="B1476" ca="1">interpolexp(A1476,serie_du,Taxas_DI)</f>
        <v>0.1238883405662472</v>
      </c>
      <c r="C1476" s="37">
        <f t="shared" ca="1" si="70"/>
        <v>1.9810322505163533</v>
      </c>
      <c r="D1476" s="36">
        <f t="shared" ref="D1476:D1539" ca="1" si="72">((((1+B1476)^(A1476/252))/((1+B1475)^(A1475/252)))^(252/1))-1</f>
        <v>0.12260684182231074</v>
      </c>
      <c r="E1476" s="32">
        <v>0.12102170119632216</v>
      </c>
      <c r="F1476" s="35">
        <f t="shared" ca="1" si="71"/>
        <v>2.8666393699250392E-3</v>
      </c>
    </row>
    <row r="1477" spans="1:6" x14ac:dyDescent="0.25">
      <c r="A1477" s="23">
        <v>1476</v>
      </c>
      <c r="B1477" s="7" cm="1">
        <f t="array" aca="1" ref="B1477" ca="1">interpolexp(A1477,serie_du,Taxas_DI)</f>
        <v>0.12388747184648441</v>
      </c>
      <c r="C1477" s="37">
        <f t="shared" ca="1" si="70"/>
        <v>1.9819416391297708</v>
      </c>
      <c r="D1477" s="36">
        <f t="shared" ca="1" si="72"/>
        <v>0.12260684086375284</v>
      </c>
      <c r="E1477" s="32">
        <v>0.12102100706523622</v>
      </c>
      <c r="F1477" s="35">
        <f t="shared" ca="1" si="71"/>
        <v>2.8664647812481903E-3</v>
      </c>
    </row>
    <row r="1478" spans="1:6" x14ac:dyDescent="0.25">
      <c r="A1478" s="23">
        <v>1477</v>
      </c>
      <c r="B1478" s="7" cm="1">
        <f t="array" aca="1" ref="B1478" ca="1">interpolexp(A1478,serie_du,Taxas_DI)</f>
        <v>0.12388660430306953</v>
      </c>
      <c r="C1478" s="37">
        <f t="shared" ca="1" si="70"/>
        <v>1.9828514451893393</v>
      </c>
      <c r="D1478" s="36">
        <f t="shared" ca="1" si="72"/>
        <v>0.12260683990132892</v>
      </c>
      <c r="E1478" s="32">
        <v>0.12102031387408729</v>
      </c>
      <c r="F1478" s="35">
        <f t="shared" ca="1" si="71"/>
        <v>2.8662904289822322E-3</v>
      </c>
    </row>
    <row r="1479" spans="1:6" x14ac:dyDescent="0.25">
      <c r="A1479" s="23">
        <v>1478</v>
      </c>
      <c r="B1479" s="7" cm="1">
        <f t="array" aca="1" ref="B1479" ca="1">interpolexp(A1479,serie_du,Taxas_DI)</f>
        <v>0.12388573793358226</v>
      </c>
      <c r="C1479" s="37">
        <f t="shared" ca="1" si="70"/>
        <v>1.9837616688863575</v>
      </c>
      <c r="D1479" s="36">
        <f t="shared" ca="1" si="72"/>
        <v>0.12260683889297441</v>
      </c>
      <c r="E1479" s="32">
        <v>0.1210196216209436</v>
      </c>
      <c r="F1479" s="35">
        <f t="shared" ca="1" si="71"/>
        <v>2.8661163126386668E-3</v>
      </c>
    </row>
    <row r="1480" spans="1:6" x14ac:dyDescent="0.25">
      <c r="A1480" s="23">
        <v>1479</v>
      </c>
      <c r="B1480" s="7" cm="1">
        <f t="array" aca="1" ref="B1480" ca="1">interpolexp(A1480,serie_du,Taxas_DI)</f>
        <v>0.12388487273566895</v>
      </c>
      <c r="C1480" s="37">
        <f t="shared" ca="1" si="70"/>
        <v>1.984672310412833</v>
      </c>
      <c r="D1480" s="36">
        <f t="shared" ca="1" si="72"/>
        <v>0.12260683792720184</v>
      </c>
      <c r="E1480" s="32">
        <v>0.12101893030391775</v>
      </c>
      <c r="F1480" s="35">
        <f t="shared" ca="1" si="71"/>
        <v>2.8659424317512006E-3</v>
      </c>
    </row>
    <row r="1481" spans="1:6" x14ac:dyDescent="0.25">
      <c r="A1481" s="23">
        <v>1480</v>
      </c>
      <c r="B1481" s="7" cm="1">
        <f t="array" aca="1" ref="B1481" ca="1">interpolexp(A1481,serie_du,Taxas_DI)</f>
        <v>0.12388400870697591</v>
      </c>
      <c r="C1481" s="37">
        <f t="shared" ca="1" si="70"/>
        <v>1.9855833699607974</v>
      </c>
      <c r="D1481" s="36">
        <f t="shared" ca="1" si="72"/>
        <v>0.12260683699466934</v>
      </c>
      <c r="E1481" s="32">
        <v>0.12101823992110017</v>
      </c>
      <c r="F1481" s="35">
        <f t="shared" ca="1" si="71"/>
        <v>2.8657687858757441E-3</v>
      </c>
    </row>
    <row r="1482" spans="1:6" x14ac:dyDescent="0.25">
      <c r="A1482" s="23">
        <v>1481</v>
      </c>
      <c r="B1482" s="7" cm="1">
        <f t="array" aca="1" ref="B1482" ca="1">interpolexp(A1482,serie_du,Taxas_DI)</f>
        <v>0.12388314584508286</v>
      </c>
      <c r="C1482" s="37">
        <f t="shared" ca="1" si="70"/>
        <v>1.9864948477216116</v>
      </c>
      <c r="D1482" s="36">
        <f t="shared" ca="1" si="72"/>
        <v>0.12260683598742972</v>
      </c>
      <c r="E1482" s="32">
        <v>0.12101755047060347</v>
      </c>
      <c r="F1482" s="35">
        <f t="shared" ca="1" si="71"/>
        <v>2.8655953744793905E-3</v>
      </c>
    </row>
    <row r="1483" spans="1:6" x14ac:dyDescent="0.25">
      <c r="A1483" s="23">
        <v>1482</v>
      </c>
      <c r="B1483" s="7" cm="1">
        <f t="array" aca="1" ref="B1483" ca="1">interpolexp(A1483,serie_du,Taxas_DI)</f>
        <v>0.12388228414763613</v>
      </c>
      <c r="C1483" s="37">
        <f t="shared" ca="1" si="70"/>
        <v>1.9874067438873486</v>
      </c>
      <c r="D1483" s="36">
        <f t="shared" ca="1" si="72"/>
        <v>0.12260683499448266</v>
      </c>
      <c r="E1483" s="32">
        <v>0.12101686195056249</v>
      </c>
      <c r="F1483" s="35">
        <f t="shared" ca="1" si="71"/>
        <v>2.8654221970736415E-3</v>
      </c>
    </row>
    <row r="1484" spans="1:6" x14ac:dyDescent="0.25">
      <c r="A1484" s="23">
        <v>1483</v>
      </c>
      <c r="B1484" s="7" cm="1">
        <f t="array" aca="1" ref="B1484" ca="1">interpolexp(A1484,serie_du,Taxas_DI)</f>
        <v>0.12388142361232646</v>
      </c>
      <c r="C1484" s="37">
        <f t="shared" ca="1" si="70"/>
        <v>1.9883190586505664</v>
      </c>
      <c r="D1484" s="36">
        <f t="shared" ca="1" si="72"/>
        <v>0.12260683407205519</v>
      </c>
      <c r="E1484" s="32">
        <v>0.12101617435906764</v>
      </c>
      <c r="F1484" s="35">
        <f t="shared" ca="1" si="71"/>
        <v>2.865249253258817E-3</v>
      </c>
    </row>
    <row r="1485" spans="1:6" x14ac:dyDescent="0.25">
      <c r="A1485" s="23">
        <v>1484</v>
      </c>
      <c r="B1485" s="7" cm="1">
        <f t="array" aca="1" ref="B1485" ca="1">interpolexp(A1485,serie_du,Taxas_DI)</f>
        <v>0.12388056423677796</v>
      </c>
      <c r="C1485" s="37">
        <f t="shared" ca="1" si="70"/>
        <v>1.9892317922031522</v>
      </c>
      <c r="D1485" s="36">
        <f t="shared" ca="1" si="72"/>
        <v>0.12260683311223874</v>
      </c>
      <c r="E1485" s="32">
        <v>0.12101548769425374</v>
      </c>
      <c r="F1485" s="35">
        <f t="shared" ca="1" si="71"/>
        <v>2.8650765425242142E-3</v>
      </c>
    </row>
    <row r="1486" spans="1:6" x14ac:dyDescent="0.25">
      <c r="A1486" s="23">
        <v>1485</v>
      </c>
      <c r="B1486" s="7" cm="1">
        <f t="array" aca="1" ref="B1486" ca="1">interpolexp(A1486,serie_du,Taxas_DI)</f>
        <v>0.12387970601863696</v>
      </c>
      <c r="C1486" s="37">
        <f t="shared" ca="1" si="70"/>
        <v>1.9901449447372466</v>
      </c>
      <c r="D1486" s="36">
        <f t="shared" ca="1" si="72"/>
        <v>0.12260683213860868</v>
      </c>
      <c r="E1486" s="32">
        <v>0.12101480195425562</v>
      </c>
      <c r="F1486" s="35">
        <f t="shared" ca="1" si="71"/>
        <v>2.864904064381335E-3</v>
      </c>
    </row>
    <row r="1487" spans="1:6" x14ac:dyDescent="0.25">
      <c r="A1487" s="23">
        <v>1486</v>
      </c>
      <c r="B1487" s="7" cm="1">
        <f t="array" aca="1" ref="B1487" ca="1">interpolexp(A1487,serie_du,Taxas_DI)</f>
        <v>0.123878848955572</v>
      </c>
      <c r="C1487" s="37">
        <f t="shared" ca="1" si="70"/>
        <v>1.9910585164452432</v>
      </c>
      <c r="D1487" s="36">
        <f t="shared" ca="1" si="72"/>
        <v>0.12260683117452831</v>
      </c>
      <c r="E1487" s="32">
        <v>0.1210141171371637</v>
      </c>
      <c r="F1487" s="35">
        <f t="shared" ca="1" si="71"/>
        <v>2.8647318184082948E-3</v>
      </c>
    </row>
    <row r="1488" spans="1:6" x14ac:dyDescent="0.25">
      <c r="A1488" s="23">
        <v>1487</v>
      </c>
      <c r="B1488" s="7" cm="1">
        <f t="array" aca="1" ref="B1488" ca="1">interpolexp(A1488,serie_du,Taxas_DI)</f>
        <v>0.1238779930452516</v>
      </c>
      <c r="C1488" s="37">
        <f t="shared" ca="1" si="70"/>
        <v>1.9919725075195587</v>
      </c>
      <c r="D1488" s="36">
        <f t="shared" ca="1" si="72"/>
        <v>0.12260683021067798</v>
      </c>
      <c r="E1488" s="32">
        <v>0.12101343324117941</v>
      </c>
      <c r="F1488" s="35">
        <f t="shared" ca="1" si="71"/>
        <v>2.8645598040721865E-3</v>
      </c>
    </row>
    <row r="1489" spans="1:6" x14ac:dyDescent="0.25">
      <c r="A1489" s="23">
        <v>1488</v>
      </c>
      <c r="B1489" s="7" cm="1">
        <f t="array" aca="1" ref="B1489" ca="1">interpolexp(A1489,serie_du,Taxas_DI)</f>
        <v>0.1238771382853443</v>
      </c>
      <c r="C1489" s="37">
        <f t="shared" ca="1" si="70"/>
        <v>1.9928869181526327</v>
      </c>
      <c r="D1489" s="36">
        <f t="shared" ca="1" si="72"/>
        <v>0.12260682923792787</v>
      </c>
      <c r="E1489" s="32">
        <v>0.12101275026439318</v>
      </c>
      <c r="F1489" s="35">
        <f t="shared" ca="1" si="71"/>
        <v>2.8643880209511252E-3</v>
      </c>
    </row>
    <row r="1490" spans="1:6" x14ac:dyDescent="0.25">
      <c r="A1490" s="23">
        <v>1489</v>
      </c>
      <c r="B1490" s="7" cm="1">
        <f t="array" aca="1" ref="B1490" ca="1">interpolexp(A1490,serie_du,Taxas_DI)</f>
        <v>0.12387628467356304</v>
      </c>
      <c r="C1490" s="37">
        <f t="shared" ca="1" si="70"/>
        <v>1.9938017485373922</v>
      </c>
      <c r="D1490" s="36">
        <f t="shared" ca="1" si="72"/>
        <v>0.12260682831268421</v>
      </c>
      <c r="E1490" s="32">
        <v>0.12101206820498422</v>
      </c>
      <c r="F1490" s="35">
        <f t="shared" ca="1" si="71"/>
        <v>2.8642164685788174E-3</v>
      </c>
    </row>
    <row r="1491" spans="1:6" x14ac:dyDescent="0.25">
      <c r="A1491" s="23">
        <v>1490</v>
      </c>
      <c r="B1491" s="7" cm="1">
        <f t="array" aca="1" ref="B1491" ca="1">interpolexp(A1491,serie_du,Taxas_DI)</f>
        <v>0.12387543220757635</v>
      </c>
      <c r="C1491" s="37">
        <f t="shared" ca="1" si="70"/>
        <v>1.9947169988663236</v>
      </c>
      <c r="D1491" s="36">
        <f t="shared" ca="1" si="72"/>
        <v>0.12260682736008066</v>
      </c>
      <c r="E1491" s="32">
        <v>0.12101138706110959</v>
      </c>
      <c r="F1491" s="35">
        <f t="shared" ca="1" si="71"/>
        <v>2.8640451464667649E-3</v>
      </c>
    </row>
    <row r="1492" spans="1:6" x14ac:dyDescent="0.25">
      <c r="A1492" s="23">
        <v>1491</v>
      </c>
      <c r="B1492" s="7" cm="1">
        <f t="array" aca="1" ref="B1492" ca="1">interpolexp(A1492,serie_du,Taxas_DI)</f>
        <v>0.12387458088507497</v>
      </c>
      <c r="C1492" s="37">
        <f t="shared" ca="1" si="70"/>
        <v>1.9956326693321684</v>
      </c>
      <c r="D1492" s="36">
        <f t="shared" ca="1" si="72"/>
        <v>0.12260682640363951</v>
      </c>
      <c r="E1492" s="32">
        <v>0.12101070683090409</v>
      </c>
      <c r="F1492" s="35">
        <f t="shared" ca="1" si="71"/>
        <v>2.8638740541708785E-3</v>
      </c>
    </row>
    <row r="1493" spans="1:6" x14ac:dyDescent="0.25">
      <c r="A1493" s="23">
        <v>1492</v>
      </c>
      <c r="B1493" s="7" cm="1">
        <f t="array" aca="1" ref="B1493" ca="1">interpolexp(A1493,serie_du,Taxas_DI)</f>
        <v>0.12387373070377183</v>
      </c>
      <c r="C1493" s="37">
        <f t="shared" ca="1" si="70"/>
        <v>1.996548760127925</v>
      </c>
      <c r="D1493" s="36">
        <f t="shared" ca="1" si="72"/>
        <v>0.12260682546730539</v>
      </c>
      <c r="E1493" s="32">
        <v>0.12101002751252476</v>
      </c>
      <c r="F1493" s="35">
        <f t="shared" ca="1" si="71"/>
        <v>2.863703191247069E-3</v>
      </c>
    </row>
    <row r="1494" spans="1:6" x14ac:dyDescent="0.25">
      <c r="A1494" s="23">
        <v>1493</v>
      </c>
      <c r="B1494" s="7" cm="1">
        <f t="array" aca="1" ref="B1494" ca="1">interpolexp(A1494,serie_du,Taxas_DI)</f>
        <v>0.12387288166135768</v>
      </c>
      <c r="C1494" s="37">
        <f t="shared" ca="1" si="70"/>
        <v>1.9974652714463819</v>
      </c>
      <c r="D1494" s="36">
        <f t="shared" ca="1" si="72"/>
        <v>0.12260682450867333</v>
      </c>
      <c r="E1494" s="32">
        <v>0.12100934910417305</v>
      </c>
      <c r="F1494" s="35">
        <f t="shared" ca="1" si="71"/>
        <v>2.8635325571846337E-3</v>
      </c>
    </row>
    <row r="1495" spans="1:6" x14ac:dyDescent="0.25">
      <c r="A1495" s="23">
        <v>1494</v>
      </c>
      <c r="B1495" s="7" cm="1">
        <f t="array" aca="1" ref="B1495" ca="1">interpolexp(A1495,serie_du,Taxas_DI)</f>
        <v>0.12387203375554545</v>
      </c>
      <c r="C1495" s="37">
        <f t="shared" ca="1" si="70"/>
        <v>1.9983822034805854</v>
      </c>
      <c r="D1495" s="36">
        <f t="shared" ca="1" si="72"/>
        <v>0.12260682355186958</v>
      </c>
      <c r="E1495" s="32">
        <v>0.12100867160400597</v>
      </c>
      <c r="F1495" s="35">
        <f t="shared" ca="1" si="71"/>
        <v>2.8633621515394836E-3</v>
      </c>
    </row>
    <row r="1496" spans="1:6" x14ac:dyDescent="0.25">
      <c r="A1496" s="23">
        <v>1495</v>
      </c>
      <c r="B1496" s="7" cm="1">
        <f t="array" aca="1" ref="B1496" ca="1">interpolexp(A1496,serie_du,Taxas_DI)</f>
        <v>0.12387118698407029</v>
      </c>
      <c r="C1496" s="37">
        <f t="shared" ca="1" si="70"/>
        <v>1.9992995564238398</v>
      </c>
      <c r="D1496" s="36">
        <f t="shared" ca="1" si="72"/>
        <v>0.12260682262081324</v>
      </c>
      <c r="E1496" s="32">
        <v>0.12100799501018056</v>
      </c>
      <c r="F1496" s="35">
        <f t="shared" ca="1" si="71"/>
        <v>2.8631919738897338E-3</v>
      </c>
    </row>
    <row r="1497" spans="1:6" x14ac:dyDescent="0.25">
      <c r="A1497" s="23">
        <v>1496</v>
      </c>
      <c r="B1497" s="7" cm="1">
        <f t="array" aca="1" ref="B1497" ca="1">interpolexp(A1497,serie_du,Taxas_DI)</f>
        <v>0.12387034134464514</v>
      </c>
      <c r="C1497" s="37">
        <f t="shared" ca="1" si="70"/>
        <v>2.0002173304692397</v>
      </c>
      <c r="D1497" s="36">
        <f t="shared" ca="1" si="72"/>
        <v>0.12260682167322923</v>
      </c>
      <c r="E1497" s="32">
        <v>0.12100731932089825</v>
      </c>
      <c r="F1497" s="35">
        <f t="shared" ca="1" si="71"/>
        <v>2.8630220237468862E-3</v>
      </c>
    </row>
    <row r="1498" spans="1:6" x14ac:dyDescent="0.25">
      <c r="A1498" s="23">
        <v>1497</v>
      </c>
      <c r="B1498" s="7" cm="1">
        <f t="array" aca="1" ref="B1498" ca="1">interpolexp(A1498,serie_du,Taxas_DI)</f>
        <v>0.12386949683500514</v>
      </c>
      <c r="C1498" s="37">
        <f t="shared" ca="1" si="70"/>
        <v>2.0011355258101386</v>
      </c>
      <c r="D1498" s="36">
        <f t="shared" ca="1" si="72"/>
        <v>0.1226068207331803</v>
      </c>
      <c r="E1498" s="32">
        <v>0.1210066445343605</v>
      </c>
      <c r="F1498" s="35">
        <f t="shared" ca="1" si="71"/>
        <v>2.8628523006446471E-3</v>
      </c>
    </row>
    <row r="1499" spans="1:6" x14ac:dyDescent="0.25">
      <c r="A1499" s="23">
        <v>1498</v>
      </c>
      <c r="B1499" s="7" cm="1">
        <f t="array" aca="1" ref="B1499" ca="1">interpolexp(A1499,serie_du,Taxas_DI)</f>
        <v>0.12386865345290765</v>
      </c>
      <c r="C1499" s="37">
        <f t="shared" ca="1" si="70"/>
        <v>2.0020541426401492</v>
      </c>
      <c r="D1499" s="36">
        <f t="shared" ca="1" si="72"/>
        <v>0.12260681982483668</v>
      </c>
      <c r="E1499" s="32">
        <v>0.12100597064872431</v>
      </c>
      <c r="F1499" s="35">
        <f t="shared" ca="1" si="71"/>
        <v>2.8626828041833363E-3</v>
      </c>
    </row>
    <row r="1500" spans="1:6" x14ac:dyDescent="0.25">
      <c r="A1500" s="23">
        <v>1499</v>
      </c>
      <c r="B1500" s="7" cm="1">
        <f t="array" aca="1" ref="B1500" ca="1">interpolexp(A1500,serie_du,Taxas_DI)</f>
        <v>0.1238678111960656</v>
      </c>
      <c r="C1500" s="37">
        <f t="shared" ca="1" si="70"/>
        <v>2.0029731811524405</v>
      </c>
      <c r="D1500" s="36">
        <f t="shared" ca="1" si="72"/>
        <v>0.1226068188728735</v>
      </c>
      <c r="E1500" s="32">
        <v>0.12100529766221335</v>
      </c>
      <c r="F1500" s="35">
        <f t="shared" ca="1" si="71"/>
        <v>2.8625135338522512E-3</v>
      </c>
    </row>
    <row r="1501" spans="1:6" x14ac:dyDescent="0.25">
      <c r="A1501" s="23">
        <v>1500</v>
      </c>
      <c r="B1501" s="7" cm="1">
        <f t="array" aca="1" ref="B1501" ca="1">interpolexp(A1501,serie_du,Taxas_DI)</f>
        <v>0.12386697006223635</v>
      </c>
      <c r="C1501" s="37">
        <f t="shared" ca="1" si="70"/>
        <v>2.0038926415406748</v>
      </c>
      <c r="D1501" s="36">
        <f t="shared" ca="1" si="72"/>
        <v>0.12260681793451078</v>
      </c>
      <c r="E1501" s="32">
        <v>0.12100462557302905</v>
      </c>
      <c r="F1501" s="35">
        <f t="shared" ca="1" si="71"/>
        <v>2.8623444892073024E-3</v>
      </c>
    </row>
    <row r="1502" spans="1:6" x14ac:dyDescent="0.25">
      <c r="A1502" s="23">
        <v>1501</v>
      </c>
      <c r="B1502" s="7" cm="1">
        <f t="array" aca="1" ref="B1502" ca="1">interpolexp(A1502,serie_du,Taxas_DI)</f>
        <v>0.12386613004917724</v>
      </c>
      <c r="C1502" s="37">
        <f t="shared" ca="1" si="70"/>
        <v>2.0048125239985404</v>
      </c>
      <c r="D1502" s="36">
        <f t="shared" ca="1" si="72"/>
        <v>0.12260681700075793</v>
      </c>
      <c r="E1502" s="32">
        <v>0.12100395437937284</v>
      </c>
      <c r="F1502" s="35">
        <f t="shared" ca="1" si="71"/>
        <v>2.862175669804401E-3</v>
      </c>
    </row>
    <row r="1503" spans="1:6" x14ac:dyDescent="0.25">
      <c r="A1503" s="23">
        <v>1502</v>
      </c>
      <c r="B1503" s="7" cm="1">
        <f t="array" aca="1" ref="B1503" ca="1">interpolexp(A1503,serie_du,Taxas_DI)</f>
        <v>0.12386529115464562</v>
      </c>
      <c r="C1503" s="37">
        <f t="shared" ca="1" si="70"/>
        <v>2.005732828719752</v>
      </c>
      <c r="D1503" s="36">
        <f t="shared" ca="1" si="72"/>
        <v>0.12260681606296009</v>
      </c>
      <c r="E1503" s="32">
        <v>0.12100328407944616</v>
      </c>
      <c r="F1503" s="35">
        <f t="shared" ca="1" si="71"/>
        <v>2.8620070751994575E-3</v>
      </c>
    </row>
    <row r="1504" spans="1:6" x14ac:dyDescent="0.25">
      <c r="A1504" s="23">
        <v>1503</v>
      </c>
      <c r="B1504" s="7" cm="1">
        <f t="array" aca="1" ref="B1504" ca="1">interpolexp(A1504,serie_du,Taxas_DI)</f>
        <v>0.12386445337644325</v>
      </c>
      <c r="C1504" s="37">
        <f t="shared" ca="1" si="70"/>
        <v>2.0066535558985206</v>
      </c>
      <c r="D1504" s="36">
        <f t="shared" ca="1" si="72"/>
        <v>0.12260681517841943</v>
      </c>
      <c r="E1504" s="32">
        <v>0.12100261467149487</v>
      </c>
      <c r="F1504" s="35">
        <f t="shared" ca="1" si="71"/>
        <v>2.8618387049483829E-3</v>
      </c>
    </row>
    <row r="1505" spans="1:6" x14ac:dyDescent="0.25">
      <c r="A1505" s="23">
        <v>1504</v>
      </c>
      <c r="B1505" s="7" cm="1">
        <f t="array" aca="1" ref="B1505" ca="1">interpolexp(A1505,serie_du,Taxas_DI)</f>
        <v>0.12386361671228308</v>
      </c>
      <c r="C1505" s="37">
        <f t="shared" ca="1" si="70"/>
        <v>2.0075747057281395</v>
      </c>
      <c r="D1505" s="36">
        <f t="shared" ca="1" si="72"/>
        <v>0.12260681420524211</v>
      </c>
      <c r="E1505" s="32">
        <v>0.12100194615369819</v>
      </c>
      <c r="F1505" s="35">
        <f t="shared" ca="1" si="71"/>
        <v>2.8616705585848834E-3</v>
      </c>
    </row>
    <row r="1506" spans="1:6" x14ac:dyDescent="0.25">
      <c r="A1506" s="23">
        <v>1505</v>
      </c>
      <c r="B1506" s="7" cm="1">
        <f t="array" aca="1" ref="B1506" ca="1">interpolexp(A1506,serie_du,Taxas_DI)</f>
        <v>0.12386278115998905</v>
      </c>
      <c r="C1506" s="37">
        <f t="shared" ca="1" si="70"/>
        <v>2.0084962784031082</v>
      </c>
      <c r="D1506" s="36">
        <f t="shared" ca="1" si="72"/>
        <v>0.12260681330083489</v>
      </c>
      <c r="E1506" s="32">
        <v>0.12100127852430198</v>
      </c>
      <c r="F1506" s="35">
        <f t="shared" ca="1" si="71"/>
        <v>2.8615026356870743E-3</v>
      </c>
    </row>
    <row r="1507" spans="1:6" x14ac:dyDescent="0.25">
      <c r="A1507" s="23">
        <v>1506</v>
      </c>
      <c r="B1507" s="7" cm="1">
        <f t="array" aca="1" ref="B1507" ca="1">interpolexp(A1507,serie_du,Taxas_DI)</f>
        <v>0.12386194671734074</v>
      </c>
      <c r="C1507" s="37">
        <f t="shared" ca="1" si="70"/>
        <v>2.0094182741174809</v>
      </c>
      <c r="D1507" s="36">
        <f t="shared" ca="1" si="72"/>
        <v>0.12260681239004523</v>
      </c>
      <c r="E1507" s="32">
        <v>0.12100061178152988</v>
      </c>
      <c r="F1507" s="35">
        <f t="shared" ca="1" si="71"/>
        <v>2.8613349358108664E-3</v>
      </c>
    </row>
    <row r="1508" spans="1:6" x14ac:dyDescent="0.25">
      <c r="A1508" s="23">
        <v>1507</v>
      </c>
      <c r="B1508" s="7" cm="1">
        <f t="array" aca="1" ref="B1508" ca="1">interpolexp(A1508,serie_du,Taxas_DI)</f>
        <v>0.12386111338209549</v>
      </c>
      <c r="C1508" s="37">
        <f t="shared" ca="1" si="70"/>
        <v>2.0103406930651007</v>
      </c>
      <c r="D1508" s="36">
        <f t="shared" ca="1" si="72"/>
        <v>0.12260681143047392</v>
      </c>
      <c r="E1508" s="32">
        <v>0.12099994592362773</v>
      </c>
      <c r="F1508" s="35">
        <f t="shared" ca="1" si="71"/>
        <v>2.8611674584677615E-3</v>
      </c>
    </row>
    <row r="1509" spans="1:6" x14ac:dyDescent="0.25">
      <c r="A1509" s="23">
        <v>1508</v>
      </c>
      <c r="B1509" s="7" cm="1">
        <f t="array" aca="1" ref="B1509" ca="1">interpolexp(A1509,serie_du,Taxas_DI)</f>
        <v>0.12386028115209946</v>
      </c>
      <c r="C1509" s="37">
        <f t="shared" ca="1" si="70"/>
        <v>2.0112635354407851</v>
      </c>
      <c r="D1509" s="36">
        <f t="shared" ca="1" si="72"/>
        <v>0.12260681054680522</v>
      </c>
      <c r="E1509" s="32">
        <v>0.12099928094884138</v>
      </c>
      <c r="F1509" s="35">
        <f t="shared" ca="1" si="71"/>
        <v>2.8610002032580795E-3</v>
      </c>
    </row>
    <row r="1510" spans="1:6" x14ac:dyDescent="0.25">
      <c r="A1510" s="23">
        <v>1509</v>
      </c>
      <c r="B1510" s="7" cm="1">
        <f t="array" aca="1" ref="B1510" ca="1">interpolexp(A1510,serie_du,Taxas_DI)</f>
        <v>0.12385945002513221</v>
      </c>
      <c r="C1510" s="37">
        <f t="shared" ca="1" si="70"/>
        <v>2.0121868014386677</v>
      </c>
      <c r="D1510" s="36">
        <f t="shared" ca="1" si="72"/>
        <v>0.12260680963020087</v>
      </c>
      <c r="E1510" s="32">
        <v>0.12099861685539448</v>
      </c>
      <c r="F1510" s="35">
        <f t="shared" ca="1" si="71"/>
        <v>2.8608331697377309E-3</v>
      </c>
    </row>
    <row r="1511" spans="1:6" x14ac:dyDescent="0.25">
      <c r="A1511" s="23">
        <v>1510</v>
      </c>
      <c r="B1511" s="7" cm="1">
        <f t="array" aca="1" ref="B1511" ca="1">interpolexp(A1511,serie_du,Taxas_DI)</f>
        <v>0.1238586199989955</v>
      </c>
      <c r="C1511" s="37">
        <f t="shared" ca="1" si="70"/>
        <v>2.013110491253145</v>
      </c>
      <c r="D1511" s="36">
        <f t="shared" ca="1" si="72"/>
        <v>0.12260680870508489</v>
      </c>
      <c r="E1511" s="32">
        <v>0.12099795364155508</v>
      </c>
      <c r="F1511" s="35">
        <f t="shared" ca="1" si="71"/>
        <v>2.8606663574404223E-3</v>
      </c>
    </row>
    <row r="1512" spans="1:6" x14ac:dyDescent="0.25">
      <c r="A1512" s="23">
        <v>1511</v>
      </c>
      <c r="B1512" s="7" cm="1">
        <f t="array" aca="1" ref="B1512" ca="1">interpolexp(A1512,serie_du,Taxas_DI)</f>
        <v>0.12385779107151329</v>
      </c>
      <c r="C1512" s="37">
        <f t="shared" ca="1" si="70"/>
        <v>2.0140346050788795</v>
      </c>
      <c r="D1512" s="36">
        <f t="shared" ca="1" si="72"/>
        <v>0.12260680779636846</v>
      </c>
      <c r="E1512" s="32">
        <v>0.12099729130554682</v>
      </c>
      <c r="F1512" s="35">
        <f t="shared" ca="1" si="71"/>
        <v>2.8604997659664733E-3</v>
      </c>
    </row>
    <row r="1513" spans="1:6" x14ac:dyDescent="0.25">
      <c r="A1513" s="23">
        <v>1512</v>
      </c>
      <c r="B1513" s="7" cm="1">
        <f t="array" aca="1" ref="B1513" ca="1">interpolexp(A1513,serie_du,Taxas_DI)</f>
        <v>0.12385696324048734</v>
      </c>
      <c r="C1513" s="37">
        <f t="shared" ca="1" si="70"/>
        <v>2.014959143110322</v>
      </c>
      <c r="D1513" s="36">
        <f t="shared" ca="1" si="72"/>
        <v>0.1226068068616617</v>
      </c>
      <c r="E1513" s="32">
        <v>0.12099662984568216</v>
      </c>
      <c r="F1513" s="35">
        <f t="shared" ca="1" si="71"/>
        <v>2.8603333948051812E-3</v>
      </c>
    </row>
    <row r="1514" spans="1:6" x14ac:dyDescent="0.25">
      <c r="A1514" s="23">
        <v>1513</v>
      </c>
      <c r="B1514" s="7" cm="1">
        <f t="array" aca="1" ref="B1514" ca="1">interpolexp(A1514,serie_du,Taxas_DI)</f>
        <v>0.12385613650378602</v>
      </c>
      <c r="C1514" s="37">
        <f t="shared" ca="1" si="70"/>
        <v>2.0158841055426677</v>
      </c>
      <c r="D1514" s="36">
        <f t="shared" ca="1" si="72"/>
        <v>0.12260680599308382</v>
      </c>
      <c r="E1514" s="32">
        <v>0.12099596926016254</v>
      </c>
      <c r="F1514" s="35">
        <f t="shared" ca="1" si="71"/>
        <v>2.8601672436234793E-3</v>
      </c>
    </row>
    <row r="1515" spans="1:6" x14ac:dyDescent="0.25">
      <c r="A1515" s="23">
        <v>1514</v>
      </c>
      <c r="B1515" s="7" cm="1">
        <f t="array" aca="1" ref="B1515" ca="1">interpolexp(A1515,serie_du,Taxas_DI)</f>
        <v>0.12385531085918888</v>
      </c>
      <c r="C1515" s="37">
        <f t="shared" ca="1" si="70"/>
        <v>2.0168094925701823</v>
      </c>
      <c r="D1515" s="36">
        <f t="shared" ca="1" si="72"/>
        <v>0.12260680504751864</v>
      </c>
      <c r="E1515" s="32">
        <v>0.12099530954730042</v>
      </c>
      <c r="F1515" s="35">
        <f t="shared" ca="1" si="71"/>
        <v>2.8600013118884604E-3</v>
      </c>
    </row>
    <row r="1516" spans="1:6" x14ac:dyDescent="0.25">
      <c r="A1516" s="23">
        <v>1515</v>
      </c>
      <c r="B1516" s="7" cm="1">
        <f t="array" aca="1" ref="B1516" ca="1">interpolexp(A1516,serie_du,Taxas_DI)</f>
        <v>0.12385448630458651</v>
      </c>
      <c r="C1516" s="37">
        <f t="shared" ca="1" si="70"/>
        <v>2.0177353043883559</v>
      </c>
      <c r="D1516" s="36">
        <f t="shared" ca="1" si="72"/>
        <v>0.12260680418417347</v>
      </c>
      <c r="E1516" s="32">
        <v>0.12099465070534166</v>
      </c>
      <c r="F1516" s="35">
        <f t="shared" ca="1" si="71"/>
        <v>2.8598355992448532E-3</v>
      </c>
    </row>
    <row r="1517" spans="1:6" x14ac:dyDescent="0.25">
      <c r="A1517" s="23">
        <v>1516</v>
      </c>
      <c r="B1517" s="7" cm="1">
        <f t="array" aca="1" ref="B1517" ca="1">interpolexp(A1517,serie_du,Taxas_DI)</f>
        <v>0.12385366283775845</v>
      </c>
      <c r="C1517" s="37">
        <f t="shared" ca="1" si="70"/>
        <v>2.0186615411915096</v>
      </c>
      <c r="D1517" s="36">
        <f t="shared" ca="1" si="72"/>
        <v>0.12260680322661788</v>
      </c>
      <c r="E1517" s="32">
        <v>0.12099399273257649</v>
      </c>
      <c r="F1517" s="35">
        <f t="shared" ca="1" si="71"/>
        <v>2.8596701051819551E-3</v>
      </c>
    </row>
    <row r="1518" spans="1:6" x14ac:dyDescent="0.25">
      <c r="A1518" s="23">
        <v>1517</v>
      </c>
      <c r="B1518" s="7" cm="1">
        <f t="array" aca="1" ref="B1518" ca="1">interpolexp(A1518,serie_du,Taxas_DI)</f>
        <v>0.12385284045661749</v>
      </c>
      <c r="C1518" s="37">
        <f t="shared" ca="1" si="70"/>
        <v>2.01958820317543</v>
      </c>
      <c r="D1518" s="36">
        <f t="shared" ca="1" si="72"/>
        <v>0.12260680236770738</v>
      </c>
      <c r="E1518" s="32">
        <v>0.12099333562727299</v>
      </c>
      <c r="F1518" s="35">
        <f t="shared" ca="1" si="71"/>
        <v>2.8595048293444947E-3</v>
      </c>
    </row>
    <row r="1519" spans="1:6" x14ac:dyDescent="0.25">
      <c r="A1519" s="23">
        <v>1518</v>
      </c>
      <c r="B1519" s="7" cm="1">
        <f t="array" aca="1" ref="B1519" ca="1">interpolexp(A1519,serie_du,Taxas_DI)</f>
        <v>0.12385201915896538</v>
      </c>
      <c r="C1519" s="37">
        <f t="shared" ca="1" si="70"/>
        <v>2.0205152905347332</v>
      </c>
      <c r="D1519" s="36">
        <f t="shared" ca="1" si="72"/>
        <v>0.12260680143091962</v>
      </c>
      <c r="E1519" s="32">
        <v>0.1209926793877214</v>
      </c>
      <c r="F1519" s="35">
        <f t="shared" ca="1" si="71"/>
        <v>2.8593397712439739E-3</v>
      </c>
    </row>
    <row r="1520" spans="1:6" x14ac:dyDescent="0.25">
      <c r="A1520" s="23">
        <v>1519</v>
      </c>
      <c r="B1520" s="7" cm="1">
        <f t="array" aca="1" ref="B1520" ca="1">interpolexp(A1520,serie_du,Taxas_DI)</f>
        <v>0.1238511989427149</v>
      </c>
      <c r="C1520" s="37">
        <f t="shared" ca="1" si="70"/>
        <v>2.0214428034652636</v>
      </c>
      <c r="D1520" s="36">
        <f t="shared" ca="1" si="72"/>
        <v>0.12260680057568107</v>
      </c>
      <c r="E1520" s="32">
        <v>0.12099202401223419</v>
      </c>
      <c r="F1520" s="35">
        <f t="shared" ca="1" si="71"/>
        <v>2.8591749304807124E-3</v>
      </c>
    </row>
    <row r="1521" spans="1:6" x14ac:dyDescent="0.25">
      <c r="A1521" s="23">
        <v>1520</v>
      </c>
      <c r="B1521" s="7" cm="1">
        <f t="array" aca="1" ref="B1521" ca="1">interpolexp(A1521,serie_du,Taxas_DI)</f>
        <v>0.12385037980569003</v>
      </c>
      <c r="C1521" s="37">
        <f t="shared" ca="1" si="70"/>
        <v>2.0223707421619341</v>
      </c>
      <c r="D1521" s="36">
        <f t="shared" ca="1" si="72"/>
        <v>0.12260679965906074</v>
      </c>
      <c r="E1521" s="32">
        <v>0.1209913694990794</v>
      </c>
      <c r="F1521" s="35">
        <f t="shared" ca="1" si="71"/>
        <v>2.8590103066106209E-3</v>
      </c>
    </row>
    <row r="1522" spans="1:6" x14ac:dyDescent="0.25">
      <c r="A1522" s="23">
        <v>1521</v>
      </c>
      <c r="B1522" s="7" cm="1">
        <f t="array" aca="1" ref="B1522" ca="1">interpolexp(A1522,serie_du,Taxas_DI)</f>
        <v>0.12384956174575912</v>
      </c>
      <c r="C1522" s="37">
        <f t="shared" ca="1" si="70"/>
        <v>2.0232991068201653</v>
      </c>
      <c r="D1522" s="36">
        <f t="shared" ca="1" si="72"/>
        <v>0.12260679873956204</v>
      </c>
      <c r="E1522" s="32">
        <v>0.1209907158465473</v>
      </c>
      <c r="F1522" s="35">
        <f t="shared" ca="1" si="71"/>
        <v>2.8588458992118149E-3</v>
      </c>
    </row>
    <row r="1523" spans="1:6" x14ac:dyDescent="0.25">
      <c r="A1523" s="23">
        <v>1522</v>
      </c>
      <c r="B1523" s="7" cm="1">
        <f t="array" aca="1" ref="B1523" ca="1">interpolexp(A1523,serie_du,Taxas_DI)</f>
        <v>0.12384874476083496</v>
      </c>
      <c r="C1523" s="37">
        <f t="shared" ca="1" si="70"/>
        <v>2.0242278976358912</v>
      </c>
      <c r="D1523" s="36">
        <f t="shared" ca="1" si="72"/>
        <v>0.12260679787642337</v>
      </c>
      <c r="E1523" s="32">
        <v>0.12099006305297255</v>
      </c>
      <c r="F1523" s="35">
        <f t="shared" ca="1" si="71"/>
        <v>2.8586817078624094E-3</v>
      </c>
    </row>
    <row r="1524" spans="1:6" x14ac:dyDescent="0.25">
      <c r="A1524" s="23">
        <v>1523</v>
      </c>
      <c r="B1524" s="7" cm="1">
        <f t="array" aca="1" ref="B1524" ca="1">interpolexp(A1524,serie_du,Taxas_DI)</f>
        <v>0.12384792884878593</v>
      </c>
      <c r="C1524" s="37">
        <f t="shared" ca="1" si="70"/>
        <v>2.0251571148045913</v>
      </c>
      <c r="D1524" s="36">
        <f t="shared" ca="1" si="72"/>
        <v>0.12260679699356558</v>
      </c>
      <c r="E1524" s="32">
        <v>0.12098941111666761</v>
      </c>
      <c r="F1524" s="35">
        <f t="shared" ca="1" si="71"/>
        <v>2.8585177321183153E-3</v>
      </c>
    </row>
    <row r="1525" spans="1:6" x14ac:dyDescent="0.25">
      <c r="A1525" s="23">
        <v>1524</v>
      </c>
      <c r="B1525" s="7" cm="1">
        <f t="array" aca="1" ref="B1525" ca="1">interpolexp(A1525,serie_du,Taxas_DI)</f>
        <v>0.12384711400748039</v>
      </c>
      <c r="C1525" s="37">
        <f t="shared" ca="1" si="70"/>
        <v>2.0260867585217754</v>
      </c>
      <c r="D1525" s="36">
        <f t="shared" ca="1" si="72"/>
        <v>0.12260679608273661</v>
      </c>
      <c r="E1525" s="32">
        <v>0.12098876003590053</v>
      </c>
      <c r="F1525" s="35">
        <f t="shared" ca="1" si="71"/>
        <v>2.8583539715798523E-3</v>
      </c>
    </row>
    <row r="1526" spans="1:6" x14ac:dyDescent="0.25">
      <c r="A1526" s="23">
        <v>1525</v>
      </c>
      <c r="B1526" s="7" cm="1">
        <f t="array" aca="1" ref="B1526" ca="1">interpolexp(A1526,serie_du,Taxas_DI)</f>
        <v>0.12384630023483112</v>
      </c>
      <c r="C1526" s="37">
        <f t="shared" ca="1" si="70"/>
        <v>2.0270168289834647</v>
      </c>
      <c r="D1526" s="36">
        <f t="shared" ca="1" si="72"/>
        <v>0.12260679520264062</v>
      </c>
      <c r="E1526" s="32">
        <v>0.12098810980902819</v>
      </c>
      <c r="F1526" s="35">
        <f t="shared" ca="1" si="71"/>
        <v>2.8581904258029311E-3</v>
      </c>
    </row>
    <row r="1527" spans="1:6" x14ac:dyDescent="0.25">
      <c r="A1527" s="23">
        <v>1526</v>
      </c>
      <c r="B1527" s="7" cm="1">
        <f t="array" aca="1" ref="B1527" ca="1">interpolexp(A1527,serie_du,Taxas_DI)</f>
        <v>0.1238454875287287</v>
      </c>
      <c r="C1527" s="37">
        <f t="shared" ca="1" si="70"/>
        <v>2.027947326385469</v>
      </c>
      <c r="D1527" s="36">
        <f t="shared" ca="1" si="72"/>
        <v>0.12260679431138444</v>
      </c>
      <c r="E1527" s="32">
        <v>0.12098746043434083</v>
      </c>
      <c r="F1527" s="35">
        <f t="shared" ca="1" si="71"/>
        <v>2.8580270943878716E-3</v>
      </c>
    </row>
    <row r="1528" spans="1:6" x14ac:dyDescent="0.25">
      <c r="A1528" s="23">
        <v>1527</v>
      </c>
      <c r="B1528" s="7" cm="1">
        <f t="array" aca="1" ref="B1528" ca="1">interpolexp(A1528,serie_du,Taxas_DI)</f>
        <v>0.12384467588706372</v>
      </c>
      <c r="C1528" s="37">
        <f t="shared" ca="1" si="70"/>
        <v>2.0288782509236278</v>
      </c>
      <c r="D1528" s="36">
        <f t="shared" ca="1" si="72"/>
        <v>0.12260679340051661</v>
      </c>
      <c r="E1528" s="32">
        <v>0.12098681191019534</v>
      </c>
      <c r="F1528" s="35">
        <f t="shared" ca="1" si="71"/>
        <v>2.85786397686838E-3</v>
      </c>
    </row>
    <row r="1529" spans="1:6" x14ac:dyDescent="0.25">
      <c r="A1529" s="23">
        <v>1528</v>
      </c>
      <c r="B1529" s="7" cm="1">
        <f t="array" aca="1" ref="B1529" ca="1">interpolexp(A1529,serie_du,Taxas_DI)</f>
        <v>0.12384386530779334</v>
      </c>
      <c r="C1529" s="37">
        <f t="shared" ca="1" si="70"/>
        <v>2.0298096027945385</v>
      </c>
      <c r="D1529" s="36">
        <f t="shared" ca="1" si="72"/>
        <v>0.122606792563136</v>
      </c>
      <c r="E1529" s="32">
        <v>0.12098616423490416</v>
      </c>
      <c r="F1529" s="35">
        <f t="shared" ca="1" si="71"/>
        <v>2.857701072889185E-3</v>
      </c>
    </row>
    <row r="1530" spans="1:6" x14ac:dyDescent="0.25">
      <c r="A1530" s="23">
        <v>1529</v>
      </c>
      <c r="B1530" s="7" cm="1">
        <f t="array" aca="1" ref="B1530" ca="1">interpolexp(A1530,serie_du,Taxas_DI)</f>
        <v>0.12384305578878596</v>
      </c>
      <c r="C1530" s="37">
        <f t="shared" ca="1" si="70"/>
        <v>2.0307413821938574</v>
      </c>
      <c r="D1530" s="36">
        <f t="shared" ca="1" si="72"/>
        <v>0.12260679165556043</v>
      </c>
      <c r="E1530" s="32">
        <v>0.12098551740680197</v>
      </c>
      <c r="F1530" s="35">
        <f t="shared" ca="1" si="71"/>
        <v>2.8575383819839928E-3</v>
      </c>
    </row>
    <row r="1531" spans="1:6" x14ac:dyDescent="0.25">
      <c r="A1531" s="23">
        <v>1530</v>
      </c>
      <c r="B1531" s="7" cm="1">
        <f t="array" aca="1" ref="B1531" ca="1">interpolexp(A1531,serie_du,Taxas_DI)</f>
        <v>0.12384224732797655</v>
      </c>
      <c r="C1531" s="37">
        <f t="shared" ca="1" si="70"/>
        <v>2.0316735893179998</v>
      </c>
      <c r="D1531" s="36">
        <f t="shared" ca="1" si="72"/>
        <v>0.12260679077101644</v>
      </c>
      <c r="E1531" s="32">
        <v>0.12098487142424563</v>
      </c>
      <c r="F1531" s="35">
        <f t="shared" ca="1" si="71"/>
        <v>2.8573759037309188E-3</v>
      </c>
    </row>
    <row r="1532" spans="1:6" x14ac:dyDescent="0.25">
      <c r="A1532" s="23">
        <v>1531</v>
      </c>
      <c r="B1532" s="7" cm="1">
        <f t="array" aca="1" ref="B1532" ca="1">interpolexp(A1532,serie_du,Taxas_DI)</f>
        <v>0.1238414399233001</v>
      </c>
      <c r="C1532" s="37">
        <f t="shared" ca="1" si="70"/>
        <v>2.0326062243634127</v>
      </c>
      <c r="D1532" s="36">
        <f t="shared" ca="1" si="72"/>
        <v>0.12260678990121776</v>
      </c>
      <c r="E1532" s="32">
        <v>0.12098422628554761</v>
      </c>
      <c r="F1532" s="35">
        <f t="shared" ca="1" si="71"/>
        <v>2.857213637752487E-3</v>
      </c>
    </row>
    <row r="1533" spans="1:6" x14ac:dyDescent="0.25">
      <c r="A1533" s="23">
        <v>1532</v>
      </c>
      <c r="B1533" s="7" cm="1">
        <f t="array" aca="1" ref="B1533" ca="1">interpolexp(A1533,serie_du,Taxas_DI)</f>
        <v>0.12384063357269159</v>
      </c>
      <c r="C1533" s="37">
        <f t="shared" ca="1" si="70"/>
        <v>2.033539287526573</v>
      </c>
      <c r="D1533" s="36">
        <f t="shared" ca="1" si="72"/>
        <v>0.12260678903796718</v>
      </c>
      <c r="E1533" s="32">
        <v>0.12098358198906478</v>
      </c>
      <c r="F1533" s="35">
        <f t="shared" ca="1" si="71"/>
        <v>2.8570515836268129E-3</v>
      </c>
    </row>
    <row r="1534" spans="1:6" x14ac:dyDescent="0.25">
      <c r="A1534" s="23">
        <v>1533</v>
      </c>
      <c r="B1534" s="7" cm="1">
        <f t="array" aca="1" ref="B1534" ca="1">interpolexp(A1534,serie_du,Taxas_DI)</f>
        <v>0.12383982827408602</v>
      </c>
      <c r="C1534" s="37">
        <f t="shared" ca="1" si="70"/>
        <v>2.0344727790039898</v>
      </c>
      <c r="D1534" s="36">
        <f t="shared" ca="1" si="72"/>
        <v>0.12260678817308301</v>
      </c>
      <c r="E1534" s="32">
        <v>0.12098293853317621</v>
      </c>
      <c r="F1534" s="35">
        <f t="shared" ca="1" si="71"/>
        <v>2.8568897409098071E-3</v>
      </c>
    </row>
    <row r="1535" spans="1:6" x14ac:dyDescent="0.25">
      <c r="A1535" s="23">
        <v>1534</v>
      </c>
      <c r="B1535" s="7" cm="1">
        <f t="array" aca="1" ref="B1535" ca="1">interpolexp(A1535,serie_du,Taxas_DI)</f>
        <v>0.12383902402539615</v>
      </c>
      <c r="C1535" s="37">
        <f t="shared" ca="1" si="70"/>
        <v>2.0354066989919568</v>
      </c>
      <c r="D1535" s="36">
        <f t="shared" ca="1" si="72"/>
        <v>0.12260678726412899</v>
      </c>
      <c r="E1535" s="32">
        <v>0.12098229591619436</v>
      </c>
      <c r="F1535" s="35">
        <f t="shared" ca="1" si="71"/>
        <v>2.8567281092017893E-3</v>
      </c>
    </row>
    <row r="1536" spans="1:6" x14ac:dyDescent="0.25">
      <c r="A1536" s="23">
        <v>1535</v>
      </c>
      <c r="B1536" s="7" cm="1">
        <f t="array" aca="1" ref="B1536" ca="1">interpolexp(A1536,serie_du,Taxas_DI)</f>
        <v>0.12383822082462359</v>
      </c>
      <c r="C1536" s="37">
        <f t="shared" ca="1" si="70"/>
        <v>2.0363410476877783</v>
      </c>
      <c r="D1536" s="36">
        <f t="shared" ca="1" si="72"/>
        <v>0.1226067864389695</v>
      </c>
      <c r="E1536" s="32">
        <v>0.12098165413652051</v>
      </c>
      <c r="F1536" s="35">
        <f t="shared" ca="1" si="71"/>
        <v>2.8565666881030793E-3</v>
      </c>
    </row>
    <row r="1537" spans="1:6" x14ac:dyDescent="0.25">
      <c r="A1537" s="23">
        <v>1536</v>
      </c>
      <c r="B1537" s="7" cm="1">
        <f t="array" aca="1" ref="B1537" ca="1">interpolexp(A1537,serie_du,Taxas_DI)</f>
        <v>0.12383741866965892</v>
      </c>
      <c r="C1537" s="37">
        <f t="shared" ca="1" si="70"/>
        <v>2.0372758252875656</v>
      </c>
      <c r="D1537" s="36">
        <f t="shared" ca="1" si="72"/>
        <v>0.12260678551926052</v>
      </c>
      <c r="E1537" s="32">
        <v>0.12098101319251153</v>
      </c>
      <c r="F1537" s="35">
        <f t="shared" ca="1" si="71"/>
        <v>2.8564054771473835E-3</v>
      </c>
    </row>
    <row r="1538" spans="1:6" x14ac:dyDescent="0.25">
      <c r="A1538" s="23">
        <v>1537</v>
      </c>
      <c r="B1538" s="7" cm="1">
        <f t="array" aca="1" ref="B1538" ca="1">interpolexp(A1538,serie_du,Taxas_DI)</f>
        <v>0.12383661755850373</v>
      </c>
      <c r="C1538" s="37">
        <f t="shared" ref="C1538:C1601" ca="1" si="73">(1+B1538)^(A1538/252)</f>
        <v>2.0382110319886868</v>
      </c>
      <c r="D1538" s="36">
        <f t="shared" ca="1" si="72"/>
        <v>0.12260678466725961</v>
      </c>
      <c r="E1538" s="32">
        <v>0.12098037308250209</v>
      </c>
      <c r="F1538" s="35">
        <f t="shared" ref="F1538:F1601" ca="1" si="74">B1538-E1538</f>
        <v>2.8562444760016348E-3</v>
      </c>
    </row>
    <row r="1539" spans="1:6" x14ac:dyDescent="0.25">
      <c r="A1539" s="23">
        <v>1538</v>
      </c>
      <c r="B1539" s="7" cm="1">
        <f t="array" aca="1" ref="B1539" ca="1">interpolexp(A1539,serie_du,Taxas_DI)</f>
        <v>0.12383581748911521</v>
      </c>
      <c r="C1539" s="37">
        <f t="shared" ca="1" si="73"/>
        <v>2.0391466679880512</v>
      </c>
      <c r="D1539" s="36">
        <f t="shared" ca="1" si="72"/>
        <v>0.12260678380636691</v>
      </c>
      <c r="E1539" s="32">
        <v>0.12097973380489346</v>
      </c>
      <c r="F1539" s="35">
        <f t="shared" ca="1" si="74"/>
        <v>2.8560836842217441E-3</v>
      </c>
    </row>
    <row r="1540" spans="1:6" x14ac:dyDescent="0.25">
      <c r="A1540" s="23">
        <v>1539</v>
      </c>
      <c r="B1540" s="7" cm="1">
        <f t="array" aca="1" ref="B1540" ca="1">interpolexp(A1540,serie_du,Taxas_DI)</f>
        <v>0.12383501845947276</v>
      </c>
      <c r="C1540" s="37">
        <f t="shared" ca="1" si="73"/>
        <v>2.040082733482846</v>
      </c>
      <c r="D1540" s="36">
        <f t="shared" ref="D1540:D1603" ca="1" si="75">((((1+B1540)^(A1540/252))/((1+B1539)^(A1539/252)))^(252/1))-1</f>
        <v>0.12260678296284055</v>
      </c>
      <c r="E1540" s="32">
        <v>0.12097909535806473</v>
      </c>
      <c r="F1540" s="35">
        <f t="shared" ca="1" si="74"/>
        <v>2.8559231014080311E-3</v>
      </c>
    </row>
    <row r="1541" spans="1:6" x14ac:dyDescent="0.25">
      <c r="A1541" s="23">
        <v>1540</v>
      </c>
      <c r="B1541" s="7" cm="1">
        <f t="array" aca="1" ref="B1541" ca="1">interpolexp(A1541,serie_du,Taxas_DI)</f>
        <v>0.12383422046753356</v>
      </c>
      <c r="C1541" s="37">
        <f t="shared" ca="1" si="73"/>
        <v>2.041019228670045</v>
      </c>
      <c r="D1541" s="36">
        <f t="shared" ca="1" si="75"/>
        <v>0.12260678209442477</v>
      </c>
      <c r="E1541" s="32">
        <v>0.12097845774039495</v>
      </c>
      <c r="F1541" s="35">
        <f t="shared" ca="1" si="74"/>
        <v>2.855762727138611E-3</v>
      </c>
    </row>
    <row r="1542" spans="1:6" x14ac:dyDescent="0.25">
      <c r="A1542" s="23">
        <v>1541</v>
      </c>
      <c r="B1542" s="7" cm="1">
        <f t="array" aca="1" ref="B1542" ca="1">interpolexp(A1542,serie_du,Taxas_DI)</f>
        <v>0.12383342351127702</v>
      </c>
      <c r="C1542" s="37">
        <f t="shared" ca="1" si="73"/>
        <v>2.0419561537468987</v>
      </c>
      <c r="D1542" s="36">
        <f t="shared" ca="1" si="75"/>
        <v>0.12260678122687985</v>
      </c>
      <c r="E1542" s="32">
        <v>0.12097782095026322</v>
      </c>
      <c r="F1542" s="35">
        <f t="shared" ca="1" si="74"/>
        <v>2.8556025610138036E-3</v>
      </c>
    </row>
    <row r="1543" spans="1:6" x14ac:dyDescent="0.25">
      <c r="A1543" s="23">
        <v>1542</v>
      </c>
      <c r="B1543" s="7" cm="1">
        <f t="array" aca="1" ref="B1543" ca="1">interpolexp(A1543,serie_du,Taxas_DI)</f>
        <v>0.12383262758868252</v>
      </c>
      <c r="C1543" s="37">
        <f t="shared" ca="1" si="73"/>
        <v>2.0428935089106908</v>
      </c>
      <c r="D1543" s="36">
        <f t="shared" ca="1" si="75"/>
        <v>0.12260678035247485</v>
      </c>
      <c r="E1543" s="32">
        <v>0.1209771849860708</v>
      </c>
      <c r="F1543" s="35">
        <f t="shared" ca="1" si="74"/>
        <v>2.8554426026117241E-3</v>
      </c>
    </row>
    <row r="1544" spans="1:6" x14ac:dyDescent="0.25">
      <c r="A1544" s="23">
        <v>1543</v>
      </c>
      <c r="B1544" s="7" cm="1">
        <f t="array" aca="1" ref="B1544" ca="1">interpolexp(A1544,serie_du,Taxas_DI)</f>
        <v>0.12383183269775166</v>
      </c>
      <c r="C1544" s="37">
        <f t="shared" ca="1" si="73"/>
        <v>2.0438312943589843</v>
      </c>
      <c r="D1544" s="36">
        <f t="shared" ca="1" si="75"/>
        <v>0.12260677949718168</v>
      </c>
      <c r="E1544" s="32">
        <v>0.12097654984619677</v>
      </c>
      <c r="F1544" s="35">
        <f t="shared" ca="1" si="74"/>
        <v>2.8552828515548967E-3</v>
      </c>
    </row>
    <row r="1545" spans="1:6" x14ac:dyDescent="0.25">
      <c r="A1545" s="23">
        <v>1544</v>
      </c>
      <c r="B1545" s="7" cm="1">
        <f t="array" aca="1" ref="B1545" ca="1">interpolexp(A1545,serie_du,Taxas_DI)</f>
        <v>0.12383103883648605</v>
      </c>
      <c r="C1545" s="37">
        <f t="shared" ca="1" si="73"/>
        <v>2.0447695102893744</v>
      </c>
      <c r="D1545" s="36">
        <f t="shared" ca="1" si="75"/>
        <v>0.12260677865296543</v>
      </c>
      <c r="E1545" s="32">
        <v>0.12097591552904241</v>
      </c>
      <c r="F1545" s="35">
        <f t="shared" ca="1" si="74"/>
        <v>2.8551233074436411E-3</v>
      </c>
    </row>
    <row r="1546" spans="1:6" x14ac:dyDescent="0.25">
      <c r="A1546" s="23">
        <v>1545</v>
      </c>
      <c r="B1546" s="7" cm="1">
        <f t="array" aca="1" ref="B1546" ca="1">interpolexp(A1546,serie_du,Taxas_DI)</f>
        <v>0.12383024600288728</v>
      </c>
      <c r="C1546" s="37">
        <f t="shared" ca="1" si="73"/>
        <v>2.0457081568994901</v>
      </c>
      <c r="D1546" s="36">
        <f t="shared" ca="1" si="75"/>
        <v>0.12260677781186313</v>
      </c>
      <c r="E1546" s="32">
        <v>0.12097528203303121</v>
      </c>
      <c r="F1546" s="35">
        <f t="shared" ca="1" si="74"/>
        <v>2.8549639698560725E-3</v>
      </c>
    </row>
    <row r="1547" spans="1:6" x14ac:dyDescent="0.25">
      <c r="A1547" s="23">
        <v>1546</v>
      </c>
      <c r="B1547" s="7" cm="1">
        <f t="array" aca="1" ref="B1547" ca="1">interpolexp(A1547,serie_du,Taxas_DI)</f>
        <v>0.12382945419493474</v>
      </c>
      <c r="C1547" s="37">
        <f t="shared" ca="1" si="73"/>
        <v>2.0466472343867461</v>
      </c>
      <c r="D1547" s="36">
        <f t="shared" ca="1" si="75"/>
        <v>0.12260677693178312</v>
      </c>
      <c r="E1547" s="32">
        <v>0.12097464935652003</v>
      </c>
      <c r="F1547" s="35">
        <f t="shared" ca="1" si="74"/>
        <v>2.8548048384147151E-3</v>
      </c>
    </row>
    <row r="1548" spans="1:6" x14ac:dyDescent="0.25">
      <c r="A1548" s="23">
        <v>1547</v>
      </c>
      <c r="B1548" s="7" cm="1">
        <f t="array" aca="1" ref="B1548" ca="1">interpolexp(A1548,serie_du,Taxas_DI)</f>
        <v>0.12382866341065224</v>
      </c>
      <c r="C1548" s="37">
        <f t="shared" ca="1" si="73"/>
        <v>2.0475867429490835</v>
      </c>
      <c r="D1548" s="36">
        <f t="shared" ca="1" si="75"/>
        <v>0.12260677607291703</v>
      </c>
      <c r="E1548" s="32">
        <v>0.12097401749797676</v>
      </c>
      <c r="F1548" s="35">
        <f t="shared" ca="1" si="74"/>
        <v>2.8546459126754797E-3</v>
      </c>
    </row>
    <row r="1549" spans="1:6" x14ac:dyDescent="0.25">
      <c r="A1549" s="23">
        <v>1548</v>
      </c>
      <c r="B1549" s="7" cm="1">
        <f t="array" aca="1" ref="B1549" ca="1">interpolexp(A1549,serie_du,Taxas_DI)</f>
        <v>0.12382787364808578</v>
      </c>
      <c r="C1549" s="37">
        <f t="shared" ca="1" si="73"/>
        <v>2.0485266827847277</v>
      </c>
      <c r="D1549" s="36">
        <f t="shared" ca="1" si="75"/>
        <v>0.12260677526194819</v>
      </c>
      <c r="E1549" s="32">
        <v>0.12097338645580269</v>
      </c>
      <c r="F1549" s="35">
        <f t="shared" ca="1" si="74"/>
        <v>2.854487192283095E-3</v>
      </c>
    </row>
    <row r="1550" spans="1:6" x14ac:dyDescent="0.25">
      <c r="A1550" s="23">
        <v>1549</v>
      </c>
      <c r="B1550" s="7" cm="1">
        <f t="array" aca="1" ref="B1550" ca="1">interpolexp(A1550,serie_du,Taxas_DI)</f>
        <v>0.12382708490521477</v>
      </c>
      <c r="C1550" s="37">
        <f t="shared" ca="1" si="73"/>
        <v>2.0494670540911915</v>
      </c>
      <c r="D1550" s="36">
        <f t="shared" ca="1" si="75"/>
        <v>0.1226067743879482</v>
      </c>
      <c r="E1550" s="32">
        <v>0.12097275622837689</v>
      </c>
      <c r="F1550" s="35">
        <f t="shared" ca="1" si="74"/>
        <v>2.8543286768378806E-3</v>
      </c>
    </row>
    <row r="1551" spans="1:6" x14ac:dyDescent="0.25">
      <c r="A1551" s="23">
        <v>1550</v>
      </c>
      <c r="B1551" s="7" cm="1">
        <f t="array" aca="1" ref="B1551" ca="1">interpolexp(A1551,serie_du,Taxas_DI)</f>
        <v>0.1238262971800852</v>
      </c>
      <c r="C1551" s="37">
        <f t="shared" ca="1" si="73"/>
        <v>2.0504078570667668</v>
      </c>
      <c r="D1551" s="36">
        <f t="shared" ca="1" si="75"/>
        <v>0.12260677354604721</v>
      </c>
      <c r="E1551" s="32">
        <v>0.12097212681416725</v>
      </c>
      <c r="F1551" s="35">
        <f t="shared" ca="1" si="74"/>
        <v>2.8541703659179518E-3</v>
      </c>
    </row>
    <row r="1552" spans="1:6" x14ac:dyDescent="0.25">
      <c r="A1552" s="23">
        <v>1551</v>
      </c>
      <c r="B1552" s="7" cm="1">
        <f t="array" aca="1" ref="B1552" ca="1">interpolexp(A1552,serie_du,Taxas_DI)</f>
        <v>0.12382551047074308</v>
      </c>
      <c r="C1552" s="37">
        <f t="shared" ca="1" si="73"/>
        <v>2.0513490919097803</v>
      </c>
      <c r="D1552" s="36">
        <f t="shared" ca="1" si="75"/>
        <v>0.12260677272831222</v>
      </c>
      <c r="E1552" s="32">
        <v>0.12097149821159725</v>
      </c>
      <c r="F1552" s="35">
        <f t="shared" ca="1" si="74"/>
        <v>2.8540122591458328E-3</v>
      </c>
    </row>
    <row r="1553" spans="1:6" x14ac:dyDescent="0.25">
      <c r="A1553" s="23">
        <v>1552</v>
      </c>
      <c r="B1553" s="7" cm="1">
        <f t="array" aca="1" ref="B1553" ca="1">interpolexp(A1553,serie_du,Taxas_DI)</f>
        <v>0.12382472477519002</v>
      </c>
      <c r="C1553" s="37">
        <f t="shared" ca="1" si="73"/>
        <v>2.0522907588180939</v>
      </c>
      <c r="D1553" s="36">
        <f t="shared" ca="1" si="75"/>
        <v>0.1226067718581394</v>
      </c>
      <c r="E1553" s="32">
        <v>0.12097087041906818</v>
      </c>
      <c r="F1553" s="35">
        <f t="shared" ca="1" si="74"/>
        <v>2.8538543561218432E-3</v>
      </c>
    </row>
    <row r="1554" spans="1:6" x14ac:dyDescent="0.25">
      <c r="A1554" s="23">
        <v>1553</v>
      </c>
      <c r="B1554" s="7" cm="1">
        <f t="array" aca="1" ref="B1554" ca="1">interpolexp(A1554,serie_du,Taxas_DI)</f>
        <v>0.12382394009149422</v>
      </c>
      <c r="C1554" s="37">
        <f t="shared" ca="1" si="73"/>
        <v>2.0532328579903512</v>
      </c>
      <c r="D1554" s="36">
        <f t="shared" ca="1" si="75"/>
        <v>0.12260677103080631</v>
      </c>
      <c r="E1554" s="32">
        <v>0.12097024343504792</v>
      </c>
      <c r="F1554" s="35">
        <f t="shared" ca="1" si="74"/>
        <v>2.8536966564463029E-3</v>
      </c>
    </row>
    <row r="1555" spans="1:6" x14ac:dyDescent="0.25">
      <c r="A1555" s="23">
        <v>1554</v>
      </c>
      <c r="B1555" s="7" cm="1">
        <f t="array" aca="1" ref="B1555" ca="1">interpolexp(A1555,serie_du,Taxas_DI)</f>
        <v>0.12382315641767949</v>
      </c>
      <c r="C1555" s="37">
        <f t="shared" ca="1" si="73"/>
        <v>2.0541753896247319</v>
      </c>
      <c r="D1555" s="36">
        <f t="shared" ca="1" si="75"/>
        <v>0.1226067701697533</v>
      </c>
      <c r="E1555" s="32">
        <v>0.12096961725793776</v>
      </c>
      <c r="F1555" s="35">
        <f t="shared" ca="1" si="74"/>
        <v>2.8535391597417359E-3</v>
      </c>
    </row>
    <row r="1556" spans="1:6" x14ac:dyDescent="0.25">
      <c r="A1556" s="23">
        <v>1555</v>
      </c>
      <c r="B1556" s="7" cm="1">
        <f t="array" aca="1" ref="B1556" ca="1">interpolexp(A1556,serie_du,Taxas_DI)</f>
        <v>0.12382237375181404</v>
      </c>
      <c r="C1556" s="37">
        <f t="shared" ca="1" si="73"/>
        <v>2.0551183539199487</v>
      </c>
      <c r="D1556" s="36">
        <f t="shared" ca="1" si="75"/>
        <v>0.12260676933600489</v>
      </c>
      <c r="E1556" s="32">
        <v>0.12096899188622778</v>
      </c>
      <c r="F1556" s="35">
        <f t="shared" ca="1" si="74"/>
        <v>2.8533818655862575E-3</v>
      </c>
    </row>
    <row r="1557" spans="1:6" x14ac:dyDescent="0.25">
      <c r="A1557" s="23">
        <v>1556</v>
      </c>
      <c r="B1557" s="7" cm="1">
        <f t="array" aca="1" ref="B1557" ca="1">interpolexp(A1557,serie_du,Taxas_DI)</f>
        <v>0.12382159209196608</v>
      </c>
      <c r="C1557" s="37">
        <f t="shared" ca="1" si="73"/>
        <v>2.0560617510747514</v>
      </c>
      <c r="D1557" s="36">
        <f t="shared" ca="1" si="75"/>
        <v>0.12260676852192609</v>
      </c>
      <c r="E1557" s="32">
        <v>0.12096836731834149</v>
      </c>
      <c r="F1557" s="35">
        <f t="shared" ca="1" si="74"/>
        <v>2.8532247736245964E-3</v>
      </c>
    </row>
    <row r="1558" spans="1:6" x14ac:dyDescent="0.25">
      <c r="A1558" s="23">
        <v>1557</v>
      </c>
      <c r="B1558" s="7" cm="1">
        <f t="array" aca="1" ref="B1558" ca="1">interpolexp(A1558,serie_du,Taxas_DI)</f>
        <v>0.12382081143618162</v>
      </c>
      <c r="C1558" s="37">
        <f t="shared" ca="1" si="73"/>
        <v>2.0570055812876724</v>
      </c>
      <c r="D1558" s="36">
        <f t="shared" ca="1" si="75"/>
        <v>0.12260676768513323</v>
      </c>
      <c r="E1558" s="32">
        <v>0.12096774355270234</v>
      </c>
      <c r="F1558" s="35">
        <f t="shared" ca="1" si="74"/>
        <v>2.8530678834792766E-3</v>
      </c>
    </row>
    <row r="1559" spans="1:6" x14ac:dyDescent="0.25">
      <c r="A1559" s="23">
        <v>1558</v>
      </c>
      <c r="B1559" s="7" cm="1">
        <f t="array" aca="1" ref="B1559" ca="1">interpolexp(A1559,serie_du,Taxas_DI)</f>
        <v>0.12382003178252887</v>
      </c>
      <c r="C1559" s="37">
        <f t="shared" ca="1" si="73"/>
        <v>2.05794984475753</v>
      </c>
      <c r="D1559" s="36">
        <f t="shared" ca="1" si="75"/>
        <v>0.12260676685239336</v>
      </c>
      <c r="E1559" s="32">
        <v>0.12096712058782266</v>
      </c>
      <c r="F1559" s="35">
        <f t="shared" ca="1" si="74"/>
        <v>2.8529111947062091E-3</v>
      </c>
    </row>
    <row r="1560" spans="1:6" x14ac:dyDescent="0.25">
      <c r="A1560" s="23">
        <v>1559</v>
      </c>
      <c r="B1560" s="7" cm="1">
        <f t="array" aca="1" ref="B1560" ca="1">interpolexp(A1560,serie_du,Taxas_DI)</f>
        <v>0.12381925312905384</v>
      </c>
      <c r="C1560" s="37">
        <f t="shared" ca="1" si="73"/>
        <v>2.0588945416829261</v>
      </c>
      <c r="D1560" s="36">
        <f t="shared" ca="1" si="75"/>
        <v>0.1226067659814376</v>
      </c>
      <c r="E1560" s="32">
        <v>0.12096649842212592</v>
      </c>
      <c r="F1560" s="35">
        <f t="shared" ca="1" si="74"/>
        <v>2.852754706927918E-3</v>
      </c>
    </row>
    <row r="1561" spans="1:6" x14ac:dyDescent="0.25">
      <c r="A1561" s="23">
        <v>1560</v>
      </c>
      <c r="B1561" s="7" cm="1">
        <f t="array" aca="1" ref="B1561" ca="1">interpolexp(A1561,serie_du,Taxas_DI)</f>
        <v>0.12381847547389135</v>
      </c>
      <c r="C1561" s="37">
        <f t="shared" ca="1" si="73"/>
        <v>2.0598396722635046</v>
      </c>
      <c r="D1561" s="36">
        <f t="shared" ca="1" si="75"/>
        <v>0.12260676520291303</v>
      </c>
      <c r="E1561" s="32">
        <v>0.12096587705408002</v>
      </c>
      <c r="F1561" s="35">
        <f t="shared" ca="1" si="74"/>
        <v>2.8525984198113363E-3</v>
      </c>
    </row>
    <row r="1562" spans="1:6" x14ac:dyDescent="0.25">
      <c r="A1562" s="23">
        <v>1561</v>
      </c>
      <c r="B1562" s="7" cm="1">
        <f t="array" aca="1" ref="B1562" ca="1">interpolexp(A1562,serie_du,Taxas_DI)</f>
        <v>0.12381769881506521</v>
      </c>
      <c r="C1562" s="37">
        <f t="shared" ca="1" si="73"/>
        <v>2.060785236697686</v>
      </c>
      <c r="D1562" s="36">
        <f t="shared" ca="1" si="75"/>
        <v>0.1226067643362363</v>
      </c>
      <c r="E1562" s="32">
        <v>0.12096525648213063</v>
      </c>
      <c r="F1562" s="35">
        <f t="shared" ca="1" si="74"/>
        <v>2.8524423329345794E-3</v>
      </c>
    </row>
    <row r="1563" spans="1:6" x14ac:dyDescent="0.25">
      <c r="A1563" s="23">
        <v>1562</v>
      </c>
      <c r="B1563" s="7" cm="1">
        <f t="array" aca="1" ref="B1563" ca="1">interpolexp(A1563,serie_du,Taxas_DI)</f>
        <v>0.12381692315071025</v>
      </c>
      <c r="C1563" s="37">
        <f t="shared" ca="1" si="73"/>
        <v>2.061731235185186</v>
      </c>
      <c r="D1563" s="36">
        <f t="shared" ca="1" si="75"/>
        <v>0.12260676354660149</v>
      </c>
      <c r="E1563" s="32">
        <v>0.12096463670479007</v>
      </c>
      <c r="F1563" s="35">
        <f t="shared" ca="1" si="74"/>
        <v>2.8522864459201713E-3</v>
      </c>
    </row>
    <row r="1564" spans="1:6" x14ac:dyDescent="0.25">
      <c r="A1564" s="23">
        <v>1563</v>
      </c>
      <c r="B1564" s="7" cm="1">
        <f t="array" aca="1" ref="B1564" ca="1">interpolexp(A1564,serie_du,Taxas_DI)</f>
        <v>0.12381614847887246</v>
      </c>
      <c r="C1564" s="37">
        <f t="shared" ca="1" si="73"/>
        <v>2.0626776679247474</v>
      </c>
      <c r="D1564" s="36">
        <f t="shared" ca="1" si="75"/>
        <v>0.12260676268798298</v>
      </c>
      <c r="E1564" s="32">
        <v>0.12096401772052623</v>
      </c>
      <c r="F1564" s="35">
        <f t="shared" ca="1" si="74"/>
        <v>2.8521307583462274E-3</v>
      </c>
    </row>
    <row r="1565" spans="1:6" x14ac:dyDescent="0.25">
      <c r="A1565" s="23">
        <v>1564</v>
      </c>
      <c r="B1565" s="7" cm="1">
        <f t="array" aca="1" ref="B1565" ca="1">interpolexp(A1565,serie_du,Taxas_DI)</f>
        <v>0.12381537479768667</v>
      </c>
      <c r="C1565" s="37">
        <f t="shared" ca="1" si="73"/>
        <v>2.0636245351161588</v>
      </c>
      <c r="D1565" s="36">
        <f t="shared" ca="1" si="75"/>
        <v>0.12260676189137176</v>
      </c>
      <c r="E1565" s="32">
        <v>0.12096339952778479</v>
      </c>
      <c r="F1565" s="35">
        <f t="shared" ca="1" si="74"/>
        <v>2.8519752699018852E-3</v>
      </c>
    </row>
    <row r="1566" spans="1:6" x14ac:dyDescent="0.25">
      <c r="A1566" s="23">
        <v>1565</v>
      </c>
      <c r="B1566" s="7" cm="1">
        <f t="array" aca="1" ref="B1566" ca="1">interpolexp(A1566,serie_du,Taxas_DI)</f>
        <v>0.12381460210522111</v>
      </c>
      <c r="C1566" s="37">
        <f t="shared" ca="1" si="73"/>
        <v>2.0645718369584865</v>
      </c>
      <c r="D1566" s="36">
        <f t="shared" ca="1" si="75"/>
        <v>0.12260676104498036</v>
      </c>
      <c r="E1566" s="32">
        <v>0.12096278212507805</v>
      </c>
      <c r="F1566" s="35">
        <f t="shared" ca="1" si="74"/>
        <v>2.8518199801430555E-3</v>
      </c>
    </row>
    <row r="1567" spans="1:6" x14ac:dyDescent="0.25">
      <c r="A1567" s="23">
        <v>1566</v>
      </c>
      <c r="B1567" s="7" cm="1">
        <f t="array" aca="1" ref="B1567" ca="1">interpolexp(A1567,serie_du,Taxas_DI)</f>
        <v>0.12381383039961058</v>
      </c>
      <c r="C1567" s="37">
        <f t="shared" ca="1" si="73"/>
        <v>2.0655195736515921</v>
      </c>
      <c r="D1567" s="36">
        <f t="shared" ca="1" si="75"/>
        <v>0.12260676024552919</v>
      </c>
      <c r="E1567" s="32">
        <v>0.12096216551089611</v>
      </c>
      <c r="F1567" s="35">
        <f t="shared" ca="1" si="74"/>
        <v>2.8516648887144669E-3</v>
      </c>
    </row>
    <row r="1568" spans="1:6" x14ac:dyDescent="0.25">
      <c r="A1568" s="23">
        <v>1567</v>
      </c>
      <c r="B1568" s="7" cm="1">
        <f t="array" aca="1" ref="B1568" ca="1">interpolexp(A1568,serie_du,Taxas_DI)</f>
        <v>0.12381305967894551</v>
      </c>
      <c r="C1568" s="37">
        <f t="shared" ca="1" si="73"/>
        <v>2.0664677453948679</v>
      </c>
      <c r="D1568" s="36">
        <f t="shared" ca="1" si="75"/>
        <v>0.1226067594160043</v>
      </c>
      <c r="E1568" s="32">
        <v>0.12096154968370687</v>
      </c>
      <c r="F1568" s="35">
        <f t="shared" ca="1" si="74"/>
        <v>2.8515099952386436E-3</v>
      </c>
    </row>
    <row r="1569" spans="1:6" x14ac:dyDescent="0.25">
      <c r="A1569" s="23">
        <v>1568</v>
      </c>
      <c r="B1569" s="7" cm="1">
        <f t="array" aca="1" ref="B1569" ca="1">interpolexp(A1569,serie_du,Taxas_DI)</f>
        <v>0.12381228994133853</v>
      </c>
      <c r="C1569" s="37">
        <f t="shared" ca="1" si="73"/>
        <v>2.0674163523879949</v>
      </c>
      <c r="D1569" s="36">
        <f t="shared" ca="1" si="75"/>
        <v>0.12260675858342052</v>
      </c>
      <c r="E1569" s="32">
        <v>0.12096093464202262</v>
      </c>
      <c r="F1569" s="35">
        <f t="shared" ca="1" si="74"/>
        <v>2.8513552993159053E-3</v>
      </c>
    </row>
    <row r="1570" spans="1:6" x14ac:dyDescent="0.25">
      <c r="A1570" s="23">
        <v>1569</v>
      </c>
      <c r="B1570" s="7" cm="1">
        <f t="array" aca="1" ref="B1570" ca="1">interpolexp(A1570,serie_du,Taxas_DI)</f>
        <v>0.12381152118494665</v>
      </c>
      <c r="C1570" s="37">
        <f t="shared" ca="1" si="73"/>
        <v>2.0683653948311997</v>
      </c>
      <c r="D1570" s="36">
        <f t="shared" ca="1" si="75"/>
        <v>0.12260675780989749</v>
      </c>
      <c r="E1570" s="32">
        <v>0.12096032038431126</v>
      </c>
      <c r="F1570" s="35">
        <f t="shared" ca="1" si="74"/>
        <v>2.8512008006353895E-3</v>
      </c>
    </row>
    <row r="1571" spans="1:6" x14ac:dyDescent="0.25">
      <c r="A1571" s="23">
        <v>1570</v>
      </c>
      <c r="B1571" s="7" cm="1">
        <f t="array" aca="1" ref="B1571" ca="1">interpolexp(A1571,serie_du,Taxas_DI)</f>
        <v>0.12381075340783809</v>
      </c>
      <c r="C1571" s="37">
        <f t="shared" ca="1" si="73"/>
        <v>2.0693148729237292</v>
      </c>
      <c r="D1571" s="36">
        <f t="shared" ca="1" si="75"/>
        <v>0.12260675694881296</v>
      </c>
      <c r="E1571" s="32">
        <v>0.12095970690912949</v>
      </c>
      <c r="F1571" s="35">
        <f t="shared" ca="1" si="74"/>
        <v>2.8510464987085982E-3</v>
      </c>
    </row>
    <row r="1572" spans="1:6" x14ac:dyDescent="0.25">
      <c r="A1572" s="23">
        <v>1571</v>
      </c>
      <c r="B1572" s="7" cm="1">
        <f t="array" aca="1" ref="B1572" ca="1">interpolexp(A1572,serie_du,Taxas_DI)</f>
        <v>0.12380998660819209</v>
      </c>
      <c r="C1572" s="37">
        <f t="shared" ca="1" si="73"/>
        <v>2.0702647868661379</v>
      </c>
      <c r="D1572" s="36">
        <f t="shared" ca="1" si="75"/>
        <v>0.12260675616658134</v>
      </c>
      <c r="E1572" s="32">
        <v>0.12095909421492301</v>
      </c>
      <c r="F1572" s="35">
        <f t="shared" ca="1" si="74"/>
        <v>2.8508923932690777E-3</v>
      </c>
    </row>
    <row r="1573" spans="1:6" x14ac:dyDescent="0.25">
      <c r="A1573" s="23">
        <v>1572</v>
      </c>
      <c r="B1573" s="7" cm="1">
        <f t="array" aca="1" ref="B1573" ca="1">interpolexp(A1573,serie_du,Taxas_DI)</f>
        <v>0.12380952647625953</v>
      </c>
      <c r="C1573" s="37">
        <f t="shared" ca="1" si="73"/>
        <v>2.0712186514040001</v>
      </c>
      <c r="D1573" s="36">
        <f t="shared" ca="1" si="75"/>
        <v>0.12308689179302501</v>
      </c>
      <c r="E1573" s="32">
        <v>0.12095848230024853</v>
      </c>
      <c r="F1573" s="35">
        <f t="shared" ca="1" si="74"/>
        <v>2.8510441760110083E-3</v>
      </c>
    </row>
    <row r="1574" spans="1:6" x14ac:dyDescent="0.25">
      <c r="A1574" s="23">
        <v>1573</v>
      </c>
      <c r="B1574" s="7" cm="1">
        <f t="array" aca="1" ref="B1574" ca="1">interpolexp(A1574,serie_du,Taxas_DI)</f>
        <v>0.1238090669293701</v>
      </c>
      <c r="C1574" s="37">
        <f t="shared" ca="1" si="73"/>
        <v>2.0721729554282593</v>
      </c>
      <c r="D1574" s="36">
        <f t="shared" ca="1" si="75"/>
        <v>0.12308689150640295</v>
      </c>
      <c r="E1574" s="32">
        <v>0.12095787116359613</v>
      </c>
      <c r="F1574" s="35">
        <f t="shared" ca="1" si="74"/>
        <v>2.8511957657739728E-3</v>
      </c>
    </row>
    <row r="1575" spans="1:6" x14ac:dyDescent="0.25">
      <c r="A1575" s="23">
        <v>1574</v>
      </c>
      <c r="B1575" s="7" cm="1">
        <f t="array" aca="1" ref="B1575" ca="1">interpolexp(A1575,serie_du,Taxas_DI)</f>
        <v>0.12380860796641358</v>
      </c>
      <c r="C1575" s="37">
        <f t="shared" ca="1" si="73"/>
        <v>2.0731276991414642</v>
      </c>
      <c r="D1575" s="36">
        <f t="shared" ca="1" si="75"/>
        <v>0.12308689122790217</v>
      </c>
      <c r="E1575" s="32">
        <v>0.12095726080347813</v>
      </c>
      <c r="F1575" s="35">
        <f t="shared" ca="1" si="74"/>
        <v>2.851347162935447E-3</v>
      </c>
    </row>
    <row r="1576" spans="1:6" x14ac:dyDescent="0.25">
      <c r="A1576" s="23">
        <v>1575</v>
      </c>
      <c r="B1576" s="7" cm="1">
        <f t="array" aca="1" ref="B1576" ca="1">interpolexp(A1576,serie_du,Taxas_DI)</f>
        <v>0.12380814958625752</v>
      </c>
      <c r="C1576" s="37">
        <f t="shared" ca="1" si="73"/>
        <v>2.0740828827459703</v>
      </c>
      <c r="D1576" s="36">
        <f t="shared" ca="1" si="75"/>
        <v>0.12308689091834113</v>
      </c>
      <c r="E1576" s="32">
        <v>0.12095665121842902</v>
      </c>
      <c r="F1576" s="35">
        <f t="shared" ca="1" si="74"/>
        <v>2.8514983678284977E-3</v>
      </c>
    </row>
    <row r="1577" spans="1:6" x14ac:dyDescent="0.25">
      <c r="A1577" s="23">
        <v>1576</v>
      </c>
      <c r="B1577" s="7" cm="1">
        <f t="array" aca="1" ref="B1577" ca="1">interpolexp(A1577,serie_du,Taxas_DI)</f>
        <v>0.12380769178779172</v>
      </c>
      <c r="C1577" s="37">
        <f t="shared" ca="1" si="73"/>
        <v>2.0750385064444465</v>
      </c>
      <c r="D1577" s="36">
        <f t="shared" ca="1" si="75"/>
        <v>0.12308689060792433</v>
      </c>
      <c r="E1577" s="32">
        <v>0.12095604240696112</v>
      </c>
      <c r="F1577" s="35">
        <f t="shared" ca="1" si="74"/>
        <v>2.8516493808306009E-3</v>
      </c>
    </row>
    <row r="1578" spans="1:6" x14ac:dyDescent="0.25">
      <c r="A1578" s="23">
        <v>1577</v>
      </c>
      <c r="B1578" s="7" cm="1">
        <f t="array" aca="1" ref="B1578" ca="1">interpolexp(A1578,serie_du,Taxas_DI)</f>
        <v>0.12380723456992815</v>
      </c>
      <c r="C1578" s="37">
        <f t="shared" ca="1" si="73"/>
        <v>2.0759945704398812</v>
      </c>
      <c r="D1578" s="36">
        <f t="shared" ca="1" si="75"/>
        <v>0.12308689032740694</v>
      </c>
      <c r="E1578" s="32">
        <v>0.12095543436763112</v>
      </c>
      <c r="F1578" s="35">
        <f t="shared" ca="1" si="74"/>
        <v>2.8518002022970279E-3</v>
      </c>
    </row>
    <row r="1579" spans="1:6" x14ac:dyDescent="0.25">
      <c r="A1579" s="23">
        <v>1578</v>
      </c>
      <c r="B1579" s="7" cm="1">
        <f t="array" aca="1" ref="B1579" ca="1">interpolexp(A1579,serie_du,Taxas_DI)</f>
        <v>0.12380677793157879</v>
      </c>
      <c r="C1579" s="37">
        <f t="shared" ca="1" si="73"/>
        <v>2.0769510749353239</v>
      </c>
      <c r="D1579" s="36">
        <f t="shared" ca="1" si="75"/>
        <v>0.12308689007224904</v>
      </c>
      <c r="E1579" s="32">
        <v>0.12095482709892913</v>
      </c>
      <c r="F1579" s="35">
        <f t="shared" ca="1" si="74"/>
        <v>2.8519508326496634E-3</v>
      </c>
    </row>
    <row r="1580" spans="1:6" x14ac:dyDescent="0.25">
      <c r="A1580" s="23">
        <v>1579</v>
      </c>
      <c r="B1580" s="7" cm="1">
        <f t="array" aca="1" ref="B1580" ca="1">interpolexp(A1580,serie_du,Taxas_DI)</f>
        <v>0.12380632187158902</v>
      </c>
      <c r="C1580" s="37">
        <f t="shared" ca="1" si="73"/>
        <v>2.0779080201331142</v>
      </c>
      <c r="D1580" s="36">
        <f t="shared" ca="1" si="75"/>
        <v>0.12308688973311366</v>
      </c>
      <c r="E1580" s="32">
        <v>0.12095422059943406</v>
      </c>
      <c r="F1580" s="35">
        <f t="shared" ca="1" si="74"/>
        <v>2.852101272154961E-3</v>
      </c>
    </row>
    <row r="1581" spans="1:6" x14ac:dyDescent="0.25">
      <c r="A1581" s="23">
        <v>1580</v>
      </c>
      <c r="B1581" s="7" cm="1">
        <f t="array" aca="1" ref="B1581" ca="1">interpolexp(A1581,serie_du,Taxas_DI)</f>
        <v>0.12380586638891522</v>
      </c>
      <c r="C1581" s="37">
        <f t="shared" ca="1" si="73"/>
        <v>2.0788654062369378</v>
      </c>
      <c r="D1581" s="36">
        <f t="shared" ca="1" si="75"/>
        <v>0.12308688948065782</v>
      </c>
      <c r="E1581" s="32">
        <v>0.12095361486763601</v>
      </c>
      <c r="F1581" s="35">
        <f t="shared" ca="1" si="74"/>
        <v>2.8522515212792143E-3</v>
      </c>
    </row>
    <row r="1582" spans="1:6" x14ac:dyDescent="0.25">
      <c r="A1582" s="23">
        <v>1581</v>
      </c>
      <c r="B1582" s="7" cm="1">
        <f t="array" aca="1" ref="B1582" ca="1">interpolexp(A1582,serie_du,Taxas_DI)</f>
        <v>0.12380541148244717</v>
      </c>
      <c r="C1582" s="37">
        <f t="shared" ca="1" si="73"/>
        <v>2.0798232334497717</v>
      </c>
      <c r="D1582" s="36">
        <f t="shared" ca="1" si="75"/>
        <v>0.12308688920547151</v>
      </c>
      <c r="E1582" s="32">
        <v>0.12095300990213609</v>
      </c>
      <c r="F1582" s="35">
        <f t="shared" ca="1" si="74"/>
        <v>2.8524015803110814E-3</v>
      </c>
    </row>
    <row r="1583" spans="1:6" x14ac:dyDescent="0.25">
      <c r="A1583" s="23">
        <v>1582</v>
      </c>
      <c r="B1583" s="7" cm="1">
        <f t="array" aca="1" ref="B1583" ca="1">interpolexp(A1583,serie_du,Taxas_DI)</f>
        <v>0.12380495715105244</v>
      </c>
      <c r="C1583" s="37">
        <f t="shared" ca="1" si="73"/>
        <v>2.0807815019743945</v>
      </c>
      <c r="D1583" s="36">
        <f t="shared" ca="1" si="75"/>
        <v>0.12308688886797325</v>
      </c>
      <c r="E1583" s="32">
        <v>0.1209524057014244</v>
      </c>
      <c r="F1583" s="35">
        <f t="shared" ca="1" si="74"/>
        <v>2.852551449628038E-3</v>
      </c>
    </row>
    <row r="1584" spans="1:6" x14ac:dyDescent="0.25">
      <c r="A1584" s="23">
        <v>1583</v>
      </c>
      <c r="B1584" s="7" cm="1">
        <f t="array" aca="1" ref="B1584" ca="1">interpolexp(A1584,serie_du,Taxas_DI)</f>
        <v>0.12380450339368743</v>
      </c>
      <c r="C1584" s="37">
        <f t="shared" ca="1" si="73"/>
        <v>2.0817402120146782</v>
      </c>
      <c r="D1584" s="36">
        <f t="shared" ca="1" si="75"/>
        <v>0.12308688860421424</v>
      </c>
      <c r="E1584" s="32">
        <v>0.12095180226410207</v>
      </c>
      <c r="F1584" s="35">
        <f t="shared" ca="1" si="74"/>
        <v>2.8527011295853555E-3</v>
      </c>
    </row>
    <row r="1585" spans="1:6" x14ac:dyDescent="0.25">
      <c r="A1585" s="23">
        <v>1584</v>
      </c>
      <c r="B1585" s="7" cm="1">
        <f t="array" aca="1" ref="B1585" ca="1">interpolexp(A1585,serie_du,Taxas_DI)</f>
        <v>0.1238040502092641</v>
      </c>
      <c r="C1585" s="37">
        <f t="shared" ca="1" si="73"/>
        <v>2.0826993637740419</v>
      </c>
      <c r="D1585" s="36">
        <f t="shared" ca="1" si="75"/>
        <v>0.12308688833963655</v>
      </c>
      <c r="E1585" s="32">
        <v>0.12095119958868139</v>
      </c>
      <c r="F1585" s="35">
        <f t="shared" ca="1" si="74"/>
        <v>2.8528506205827142E-3</v>
      </c>
    </row>
    <row r="1586" spans="1:6" x14ac:dyDescent="0.25">
      <c r="A1586" s="23">
        <v>1585</v>
      </c>
      <c r="B1586" s="7" cm="1">
        <f t="array" aca="1" ref="B1586" ca="1">interpolexp(A1586,serie_du,Taxas_DI)</f>
        <v>0.12380359759667225</v>
      </c>
      <c r="C1586" s="37">
        <f t="shared" ca="1" si="73"/>
        <v>2.0836589574557061</v>
      </c>
      <c r="D1586" s="36">
        <f t="shared" ca="1" si="75"/>
        <v>0.12308688803469403</v>
      </c>
      <c r="E1586" s="32">
        <v>0.12095059767374128</v>
      </c>
      <c r="F1586" s="35">
        <f t="shared" ca="1" si="74"/>
        <v>2.8529999229309766E-3</v>
      </c>
    </row>
    <row r="1587" spans="1:6" x14ac:dyDescent="0.25">
      <c r="A1587" s="23">
        <v>1586</v>
      </c>
      <c r="B1587" s="7" cm="1">
        <f t="array" aca="1" ref="B1587" ca="1">interpolexp(A1587,serie_du,Taxas_DI)</f>
        <v>0.12380314555484606</v>
      </c>
      <c r="C1587" s="37">
        <f t="shared" ca="1" si="73"/>
        <v>2.0846189932634722</v>
      </c>
      <c r="D1587" s="36">
        <f t="shared" ca="1" si="75"/>
        <v>0.12308688775555821</v>
      </c>
      <c r="E1587" s="32">
        <v>0.12094999651783844</v>
      </c>
      <c r="F1587" s="35">
        <f t="shared" ca="1" si="74"/>
        <v>2.8531490370076185E-3</v>
      </c>
    </row>
    <row r="1588" spans="1:6" x14ac:dyDescent="0.25">
      <c r="A1588" s="23">
        <v>1587</v>
      </c>
      <c r="B1588" s="7" cm="1">
        <f t="array" aca="1" ref="B1588" ca="1">interpolexp(A1588,serie_du,Taxas_DI)</f>
        <v>0.12380269408269751</v>
      </c>
      <c r="C1588" s="37">
        <f t="shared" ca="1" si="73"/>
        <v>2.0855794714009432</v>
      </c>
      <c r="D1588" s="36">
        <f t="shared" ca="1" si="75"/>
        <v>0.123086887462448</v>
      </c>
      <c r="E1588" s="32">
        <v>0.12094912324502882</v>
      </c>
      <c r="F1588" s="35">
        <f t="shared" ca="1" si="74"/>
        <v>2.8535708376686841E-3</v>
      </c>
    </row>
    <row r="1589" spans="1:6" x14ac:dyDescent="0.25">
      <c r="A1589" s="23">
        <v>1588</v>
      </c>
      <c r="B1589" s="7" cm="1">
        <f t="array" aca="1" ref="B1589" ca="1">interpolexp(A1589,serie_du,Taxas_DI)</f>
        <v>0.12380224317916078</v>
      </c>
      <c r="C1589" s="37">
        <f t="shared" ca="1" si="73"/>
        <v>2.0865403920720444</v>
      </c>
      <c r="D1589" s="36">
        <f t="shared" ca="1" si="75"/>
        <v>0.12308688718637328</v>
      </c>
      <c r="E1589" s="32">
        <v>0.12094825107205054</v>
      </c>
      <c r="F1589" s="35">
        <f t="shared" ca="1" si="74"/>
        <v>2.853992107110237E-3</v>
      </c>
    </row>
    <row r="1590" spans="1:6" x14ac:dyDescent="0.25">
      <c r="A1590" s="23">
        <v>1589</v>
      </c>
      <c r="B1590" s="7" cm="1">
        <f t="array" aca="1" ref="B1590" ca="1">interpolexp(A1590,serie_du,Taxas_DI)</f>
        <v>0.12380179284314785</v>
      </c>
      <c r="C1590" s="37">
        <f t="shared" ca="1" si="73"/>
        <v>2.0875017554805035</v>
      </c>
      <c r="D1590" s="36">
        <f t="shared" ca="1" si="75"/>
        <v>0.12308688688796399</v>
      </c>
      <c r="E1590" s="32">
        <v>0.12094737999683858</v>
      </c>
      <c r="F1590" s="35">
        <f t="shared" ca="1" si="74"/>
        <v>2.8544128463092733E-3</v>
      </c>
    </row>
    <row r="1591" spans="1:6" x14ac:dyDescent="0.25">
      <c r="A1591" s="23">
        <v>1590</v>
      </c>
      <c r="B1591" s="7" cm="1">
        <f t="array" aca="1" ref="B1591" ca="1">interpolexp(A1591,serie_du,Taxas_DI)</f>
        <v>0.12380134307361512</v>
      </c>
      <c r="C1591" s="37">
        <f t="shared" ca="1" si="73"/>
        <v>2.08846356183063</v>
      </c>
      <c r="D1591" s="36">
        <f t="shared" ca="1" si="75"/>
        <v>0.12308688663318557</v>
      </c>
      <c r="E1591" s="32">
        <v>0.12094651001735013</v>
      </c>
      <c r="F1591" s="35">
        <f t="shared" ca="1" si="74"/>
        <v>2.8548330562649937E-3</v>
      </c>
    </row>
    <row r="1592" spans="1:6" x14ac:dyDescent="0.25">
      <c r="A1592" s="23">
        <v>1591</v>
      </c>
      <c r="B1592" s="7" cm="1">
        <f t="array" aca="1" ref="B1592" ca="1">interpolexp(A1592,serie_du,Taxas_DI)</f>
        <v>0.12380089386947457</v>
      </c>
      <c r="C1592" s="37">
        <f t="shared" ca="1" si="73"/>
        <v>2.0894258113262767</v>
      </c>
      <c r="D1592" s="36">
        <f t="shared" ca="1" si="75"/>
        <v>0.12308688634744724</v>
      </c>
      <c r="E1592" s="32">
        <v>0.12094564113147577</v>
      </c>
      <c r="F1592" s="35">
        <f t="shared" ca="1" si="74"/>
        <v>2.8552527379988035E-3</v>
      </c>
    </row>
    <row r="1593" spans="1:6" x14ac:dyDescent="0.25">
      <c r="A1593" s="23">
        <v>1592</v>
      </c>
      <c r="B1593" s="7" cm="1">
        <f t="array" aca="1" ref="B1593" ca="1">interpolexp(A1593,serie_du,Taxas_DI)</f>
        <v>0.12380044522963818</v>
      </c>
      <c r="C1593" s="37">
        <f t="shared" ca="1" si="73"/>
        <v>2.090388504171357</v>
      </c>
      <c r="D1593" s="36">
        <f t="shared" ca="1" si="75"/>
        <v>0.12308688602620421</v>
      </c>
      <c r="E1593" s="32">
        <v>0.12094477333717268</v>
      </c>
      <c r="F1593" s="35">
        <f t="shared" ca="1" si="74"/>
        <v>2.8556718924654945E-3</v>
      </c>
    </row>
    <row r="1594" spans="1:6" x14ac:dyDescent="0.25">
      <c r="A1594" s="23">
        <v>1593</v>
      </c>
      <c r="B1594" s="7" cm="1">
        <f t="array" aca="1" ref="B1594" ca="1">interpolexp(A1594,serie_du,Taxas_DI)</f>
        <v>0.12379999715308454</v>
      </c>
      <c r="C1594" s="37">
        <f t="shared" ca="1" si="73"/>
        <v>2.0913516405706298</v>
      </c>
      <c r="D1594" s="36">
        <f t="shared" ca="1" si="75"/>
        <v>0.12308688577133053</v>
      </c>
      <c r="E1594" s="32">
        <v>0.12094390663239807</v>
      </c>
      <c r="F1594" s="35">
        <f t="shared" ca="1" si="74"/>
        <v>2.8560905206864717E-3</v>
      </c>
    </row>
    <row r="1595" spans="1:6" x14ac:dyDescent="0.25">
      <c r="A1595" s="23">
        <v>1594</v>
      </c>
      <c r="B1595" s="7" cm="1">
        <f t="array" aca="1" ref="B1595" ca="1">interpolexp(A1595,serie_du,Taxas_DI)</f>
        <v>0.12379954963874784</v>
      </c>
      <c r="C1595" s="37">
        <f t="shared" ca="1" si="73"/>
        <v>2.0923152207283966</v>
      </c>
      <c r="D1595" s="36">
        <f t="shared" ca="1" si="75"/>
        <v>0.12308688550801672</v>
      </c>
      <c r="E1595" s="32">
        <v>0.12094304101508691</v>
      </c>
      <c r="F1595" s="35">
        <f t="shared" ca="1" si="74"/>
        <v>2.8565086236609361E-3</v>
      </c>
    </row>
    <row r="1596" spans="1:6" x14ac:dyDescent="0.25">
      <c r="A1596" s="23">
        <v>1595</v>
      </c>
      <c r="B1596" s="7" cm="1">
        <f t="array" aca="1" ref="B1596" ca="1">interpolexp(A1596,serie_du,Taxas_DI)</f>
        <v>0.12379910268554006</v>
      </c>
      <c r="C1596" s="37">
        <f t="shared" ca="1" si="73"/>
        <v>2.093279244848758</v>
      </c>
      <c r="D1596" s="36">
        <f t="shared" ca="1" si="75"/>
        <v>0.12308688519645439</v>
      </c>
      <c r="E1596" s="32">
        <v>0.12094217648319638</v>
      </c>
      <c r="F1596" s="35">
        <f t="shared" ca="1" si="74"/>
        <v>2.8569262023436792E-3</v>
      </c>
    </row>
    <row r="1597" spans="1:6" x14ac:dyDescent="0.25">
      <c r="A1597" s="23">
        <v>1596</v>
      </c>
      <c r="B1597" s="7" cm="1">
        <f t="array" aca="1" ref="B1597" ca="1">interpolexp(A1597,serie_du,Taxas_DI)</f>
        <v>0.1237986562924398</v>
      </c>
      <c r="C1597" s="37">
        <f t="shared" ca="1" si="73"/>
        <v>2.0942437131366636</v>
      </c>
      <c r="D1597" s="36">
        <f t="shared" ca="1" si="75"/>
        <v>0.12308688493858155</v>
      </c>
      <c r="E1597" s="32">
        <v>0.1209413130346837</v>
      </c>
      <c r="F1597" s="35">
        <f t="shared" ca="1" si="74"/>
        <v>2.8573432577561064E-3</v>
      </c>
    </row>
    <row r="1598" spans="1:6" x14ac:dyDescent="0.25">
      <c r="A1598" s="23">
        <v>1597</v>
      </c>
      <c r="B1598" s="7" cm="1">
        <f t="array" aca="1" ref="B1598" ca="1">interpolexp(A1598,serie_du,Taxas_DI)</f>
        <v>0.12379821045838124</v>
      </c>
      <c r="C1598" s="37">
        <f t="shared" ca="1" si="73"/>
        <v>2.0952086257966016</v>
      </c>
      <c r="D1598" s="36">
        <f t="shared" ca="1" si="75"/>
        <v>0.12308688465945328</v>
      </c>
      <c r="E1598" s="32">
        <v>0.12094045066752823</v>
      </c>
      <c r="F1598" s="35">
        <f t="shared" ca="1" si="74"/>
        <v>2.8577597908530095E-3</v>
      </c>
    </row>
    <row r="1599" spans="1:6" x14ac:dyDescent="0.25">
      <c r="A1599" s="23">
        <v>1598</v>
      </c>
      <c r="B1599" s="7" cm="1">
        <f t="array" aca="1" ref="B1599" ca="1">interpolexp(A1599,serie_du,Taxas_DI)</f>
        <v>0.12379776518229857</v>
      </c>
      <c r="C1599" s="37">
        <f t="shared" ca="1" si="73"/>
        <v>2.096173983033125</v>
      </c>
      <c r="D1599" s="36">
        <f t="shared" ca="1" si="75"/>
        <v>0.12308688435500326</v>
      </c>
      <c r="E1599" s="32">
        <v>0.12093958937966498</v>
      </c>
      <c r="F1599" s="35">
        <f t="shared" ca="1" si="74"/>
        <v>2.8581758026335891E-3</v>
      </c>
    </row>
    <row r="1600" spans="1:6" x14ac:dyDescent="0.25">
      <c r="A1600" s="23">
        <v>1599</v>
      </c>
      <c r="B1600" s="7" cm="1">
        <f t="array" aca="1" ref="B1600" ca="1">interpolexp(A1600,serie_du,Taxas_DI)</f>
        <v>0.12379732046317038</v>
      </c>
      <c r="C1600" s="37">
        <f t="shared" ca="1" si="73"/>
        <v>2.0971397850513718</v>
      </c>
      <c r="D1600" s="36">
        <f t="shared" ca="1" si="75"/>
        <v>0.12308688409156732</v>
      </c>
      <c r="E1600" s="32">
        <v>0.12093872916911774</v>
      </c>
      <c r="F1600" s="35">
        <f t="shared" ca="1" si="74"/>
        <v>2.858591294052637E-3</v>
      </c>
    </row>
    <row r="1601" spans="1:6" x14ac:dyDescent="0.25">
      <c r="A1601" s="23">
        <v>1600</v>
      </c>
      <c r="B1601" s="7" cm="1">
        <f t="array" aca="1" ref="B1601" ca="1">interpolexp(A1601,serie_du,Taxas_DI)</f>
        <v>0.12379687629995306</v>
      </c>
      <c r="C1601" s="37">
        <f t="shared" ca="1" si="73"/>
        <v>2.0981060320562848</v>
      </c>
      <c r="D1601" s="36">
        <f t="shared" ca="1" si="75"/>
        <v>0.12308688382986666</v>
      </c>
      <c r="E1601" s="32">
        <v>0.1209378700338215</v>
      </c>
      <c r="F1601" s="35">
        <f t="shared" ca="1" si="74"/>
        <v>2.8590062661315585E-3</v>
      </c>
    </row>
    <row r="1602" spans="1:6" x14ac:dyDescent="0.25">
      <c r="A1602" s="23">
        <v>1601</v>
      </c>
      <c r="B1602" s="7" cm="1">
        <f t="array" aca="1" ref="B1602" ca="1">interpolexp(A1602,serie_du,Taxas_DI)</f>
        <v>0.1237964326915808</v>
      </c>
      <c r="C1602" s="37">
        <f t="shared" ref="C1602:C1665" ca="1" si="76">(1+B1602)^(A1602/252)</f>
        <v>2.0990727242526042</v>
      </c>
      <c r="D1602" s="36">
        <f t="shared" ca="1" si="75"/>
        <v>0.12308688353001962</v>
      </c>
      <c r="E1602" s="32">
        <v>0.12093701197177786</v>
      </c>
      <c r="F1602" s="35">
        <f t="shared" ref="F1602:F1665" ca="1" si="77">B1602-E1602</f>
        <v>2.8594207198029409E-3</v>
      </c>
    </row>
    <row r="1603" spans="1:6" x14ac:dyDescent="0.25">
      <c r="A1603" s="23">
        <v>1602</v>
      </c>
      <c r="B1603" s="7" cm="1">
        <f t="array" aca="1" ref="B1603" ca="1">interpolexp(A1603,serie_du,Taxas_DI)</f>
        <v>0.1237959896370322</v>
      </c>
      <c r="C1603" s="37">
        <f t="shared" ca="1" si="76"/>
        <v>2.1000398618456613</v>
      </c>
      <c r="D1603" s="36">
        <f t="shared" ca="1" si="75"/>
        <v>0.12308688325897288</v>
      </c>
      <c r="E1603" s="32">
        <v>0.12093615498101062</v>
      </c>
      <c r="F1603" s="35">
        <f t="shared" ca="1" si="77"/>
        <v>2.8598346560215759E-3</v>
      </c>
    </row>
    <row r="1604" spans="1:6" x14ac:dyDescent="0.25">
      <c r="A1604" s="23">
        <v>1603</v>
      </c>
      <c r="B1604" s="7" cm="1">
        <f t="array" aca="1" ref="B1604" ca="1">interpolexp(A1604,serie_du,Taxas_DI)</f>
        <v>0.12379554713526364</v>
      </c>
      <c r="C1604" s="37">
        <f t="shared" ca="1" si="76"/>
        <v>2.101007445040588</v>
      </c>
      <c r="D1604" s="36">
        <f t="shared" ref="D1604:D1667" ca="1" si="78">((((1+B1604)^(A1604/252))/((1+B1603)^(A1603/252)))^(252/1))-1</f>
        <v>0.12308688297700265</v>
      </c>
      <c r="E1604" s="32">
        <v>0.12093529905945477</v>
      </c>
      <c r="F1604" s="35">
        <f t="shared" ca="1" si="77"/>
        <v>2.8602480758088689E-3</v>
      </c>
    </row>
    <row r="1605" spans="1:6" x14ac:dyDescent="0.25">
      <c r="A1605" s="23">
        <v>1604</v>
      </c>
      <c r="B1605" s="7" cm="1">
        <f t="array" aca="1" ref="B1605" ca="1">interpolexp(A1605,serie_du,Taxas_DI)</f>
        <v>0.12379510518525372</v>
      </c>
      <c r="C1605" s="37">
        <f t="shared" ca="1" si="76"/>
        <v>2.1019754740428431</v>
      </c>
      <c r="D1605" s="36">
        <f t="shared" ca="1" si="78"/>
        <v>0.12308688271550894</v>
      </c>
      <c r="E1605" s="32">
        <v>0.12093444420515631</v>
      </c>
      <c r="F1605" s="35">
        <f t="shared" ca="1" si="77"/>
        <v>2.860660980097407E-3</v>
      </c>
    </row>
    <row r="1606" spans="1:6" x14ac:dyDescent="0.25">
      <c r="A1606" s="23">
        <v>1605</v>
      </c>
      <c r="B1606" s="7" cm="1">
        <f t="array" aca="1" ref="B1606" ca="1">interpolexp(A1606,serie_du,Taxas_DI)</f>
        <v>0.12379466378595883</v>
      </c>
      <c r="C1606" s="37">
        <f t="shared" ca="1" si="76"/>
        <v>2.102943949057686</v>
      </c>
      <c r="D1606" s="36">
        <f t="shared" ca="1" si="78"/>
        <v>0.12308688243479016</v>
      </c>
      <c r="E1606" s="32">
        <v>0.12093359041609464</v>
      </c>
      <c r="F1606" s="35">
        <f t="shared" ca="1" si="77"/>
        <v>2.8610733698641866E-3</v>
      </c>
    </row>
    <row r="1607" spans="1:6" x14ac:dyDescent="0.25">
      <c r="A1607" s="23">
        <v>1606</v>
      </c>
      <c r="B1607" s="7" cm="1">
        <f t="array" aca="1" ref="B1607" ca="1">interpolexp(A1607,serie_du,Taxas_DI)</f>
        <v>0.12379422293635756</v>
      </c>
      <c r="C1607" s="37">
        <f t="shared" ca="1" si="76"/>
        <v>2.1039128702907046</v>
      </c>
      <c r="D1607" s="36">
        <f t="shared" ca="1" si="78"/>
        <v>0.12308688216646235</v>
      </c>
      <c r="E1607" s="32">
        <v>0.12093273769029356</v>
      </c>
      <c r="F1607" s="35">
        <f t="shared" ca="1" si="77"/>
        <v>2.8614852460639995E-3</v>
      </c>
    </row>
    <row r="1608" spans="1:6" x14ac:dyDescent="0.25">
      <c r="A1608" s="23">
        <v>1607</v>
      </c>
      <c r="B1608" s="7" cm="1">
        <f t="array" aca="1" ref="B1608" ca="1">interpolexp(A1608,serie_du,Taxas_DI)</f>
        <v>0.12379378263542851</v>
      </c>
      <c r="C1608" s="37">
        <f t="shared" ca="1" si="76"/>
        <v>2.1048822379475514</v>
      </c>
      <c r="D1608" s="36">
        <f t="shared" ca="1" si="78"/>
        <v>0.12308688190639483</v>
      </c>
      <c r="E1608" s="32">
        <v>0.12093188602575466</v>
      </c>
      <c r="F1608" s="35">
        <f t="shared" ca="1" si="77"/>
        <v>2.8618966096738419E-3</v>
      </c>
    </row>
    <row r="1609" spans="1:6" x14ac:dyDescent="0.25">
      <c r="A1609" s="23">
        <v>1608</v>
      </c>
      <c r="B1609" s="7" cm="1">
        <f t="array" aca="1" ref="B1609" ca="1">interpolexp(A1609,serie_du,Taxas_DI)</f>
        <v>0.12379334288212807</v>
      </c>
      <c r="C1609" s="37">
        <f t="shared" ca="1" si="76"/>
        <v>2.1058520522336752</v>
      </c>
      <c r="D1609" s="36">
        <f t="shared" ca="1" si="78"/>
        <v>0.12308688161450942</v>
      </c>
      <c r="E1609" s="32">
        <v>0.12093103542052397</v>
      </c>
      <c r="F1609" s="35">
        <f t="shared" ca="1" si="77"/>
        <v>2.8623074616040967E-3</v>
      </c>
    </row>
    <row r="1610" spans="1:6" x14ac:dyDescent="0.25">
      <c r="A1610" s="23">
        <v>1609</v>
      </c>
      <c r="B1610" s="7" cm="1">
        <f t="array" aca="1" ref="B1610" ca="1">interpolexp(A1610,serie_du,Taxas_DI)</f>
        <v>0.12379290367543483</v>
      </c>
      <c r="C1610" s="37">
        <f t="shared" ca="1" si="76"/>
        <v>2.1068223133548578</v>
      </c>
      <c r="D1610" s="36">
        <f t="shared" ca="1" si="78"/>
        <v>0.12308688132272128</v>
      </c>
      <c r="E1610" s="32">
        <v>0.12093018587260307</v>
      </c>
      <c r="F1610" s="35">
        <f t="shared" ca="1" si="77"/>
        <v>2.8627178028317601E-3</v>
      </c>
    </row>
    <row r="1611" spans="1:6" x14ac:dyDescent="0.25">
      <c r="A1611" s="23">
        <v>1610</v>
      </c>
      <c r="B1611" s="7" cm="1">
        <f t="array" aca="1" ref="B1611" ca="1">interpolexp(A1611,serie_du,Taxas_DI)</f>
        <v>0.1237924650143496</v>
      </c>
      <c r="C1611" s="37">
        <f t="shared" ca="1" si="76"/>
        <v>2.1077930215172094</v>
      </c>
      <c r="D1611" s="36">
        <f t="shared" ca="1" si="78"/>
        <v>0.12308688106258114</v>
      </c>
      <c r="E1611" s="32">
        <v>0.12092933738001577</v>
      </c>
      <c r="F1611" s="35">
        <f t="shared" ca="1" si="77"/>
        <v>2.8631276343338286E-3</v>
      </c>
    </row>
    <row r="1612" spans="1:6" x14ac:dyDescent="0.25">
      <c r="A1612" s="23">
        <v>1611</v>
      </c>
      <c r="B1612" s="7" cm="1">
        <f t="array" aca="1" ref="B1612" ca="1">interpolexp(A1612,serie_du,Taxas_DI)</f>
        <v>0.12379202689785096</v>
      </c>
      <c r="C1612" s="37">
        <f t="shared" ca="1" si="76"/>
        <v>2.108764176926639</v>
      </c>
      <c r="D1612" s="36">
        <f t="shared" ca="1" si="78"/>
        <v>0.12308688079422803</v>
      </c>
      <c r="E1612" s="32">
        <v>0.12092848994083027</v>
      </c>
      <c r="F1612" s="35">
        <f t="shared" ca="1" si="77"/>
        <v>2.8635369570206848E-3</v>
      </c>
    </row>
    <row r="1613" spans="1:6" x14ac:dyDescent="0.25">
      <c r="A1613" s="23">
        <v>1612</v>
      </c>
      <c r="B1613" s="7" cm="1">
        <f t="array" aca="1" ref="B1613" ca="1">interpolexp(A1613,serie_du,Taxas_DI)</f>
        <v>0.12379158932493972</v>
      </c>
      <c r="C1613" s="37">
        <f t="shared" ca="1" si="76"/>
        <v>2.1097357797893879</v>
      </c>
      <c r="D1613" s="36">
        <f t="shared" ca="1" si="78"/>
        <v>0.12308688054950401</v>
      </c>
      <c r="E1613" s="32">
        <v>0.12092764355304819</v>
      </c>
      <c r="F1613" s="35">
        <f t="shared" ca="1" si="77"/>
        <v>2.8639457718915295E-3</v>
      </c>
    </row>
    <row r="1614" spans="1:6" x14ac:dyDescent="0.25">
      <c r="A1614" s="23">
        <v>1613</v>
      </c>
      <c r="B1614" s="7" cm="1">
        <f t="array" aca="1" ref="B1614" ca="1">interpolexp(A1614,serie_du,Taxas_DI)</f>
        <v>0.12379115229457227</v>
      </c>
      <c r="C1614" s="37">
        <f t="shared" ca="1" si="76"/>
        <v>2.1107078303112279</v>
      </c>
      <c r="D1614" s="36">
        <f t="shared" ca="1" si="78"/>
        <v>0.1230868802526468</v>
      </c>
      <c r="E1614" s="32">
        <v>0.12092679821473773</v>
      </c>
      <c r="F1614" s="35">
        <f t="shared" ca="1" si="77"/>
        <v>2.8643540798345413E-3</v>
      </c>
    </row>
    <row r="1615" spans="1:6" x14ac:dyDescent="0.25">
      <c r="A1615" s="23">
        <v>1614</v>
      </c>
      <c r="B1615" s="7" cm="1">
        <f t="array" aca="1" ref="B1615" ca="1">interpolexp(A1615,serie_du,Taxas_DI)</f>
        <v>0.12379071580574941</v>
      </c>
      <c r="C1615" s="37">
        <f t="shared" ca="1" si="76"/>
        <v>2.1116803286985286</v>
      </c>
      <c r="D1615" s="36">
        <f t="shared" ca="1" si="78"/>
        <v>0.12308687997125434</v>
      </c>
      <c r="E1615" s="32">
        <v>0.1209259539239449</v>
      </c>
      <c r="F1615" s="35">
        <f t="shared" ca="1" si="77"/>
        <v>2.8647618818045117E-3</v>
      </c>
    </row>
    <row r="1616" spans="1:6" x14ac:dyDescent="0.25">
      <c r="A1616" s="23">
        <v>1615</v>
      </c>
      <c r="B1616" s="7" cm="1">
        <f t="array" aca="1" ref="B1616" ca="1">interpolexp(A1616,serie_du,Taxas_DI)</f>
        <v>0.12379027985747193</v>
      </c>
      <c r="C1616" s="37">
        <f t="shared" ca="1" si="76"/>
        <v>2.1126532751577254</v>
      </c>
      <c r="D1616" s="36">
        <f t="shared" ca="1" si="78"/>
        <v>0.12308687970127652</v>
      </c>
      <c r="E1616" s="32">
        <v>0.1209251106787157</v>
      </c>
      <c r="F1616" s="35">
        <f t="shared" ca="1" si="77"/>
        <v>2.8651691787562328E-3</v>
      </c>
    </row>
    <row r="1617" spans="1:6" x14ac:dyDescent="0.25">
      <c r="A1617" s="23">
        <v>1616</v>
      </c>
      <c r="B1617" s="7" cm="1">
        <f t="array" aca="1" ref="B1617" ca="1">interpolexp(A1617,serie_du,Taxas_DI)</f>
        <v>0.12378984444874064</v>
      </c>
      <c r="C1617" s="37">
        <f t="shared" ca="1" si="76"/>
        <v>2.1136266698953192</v>
      </c>
      <c r="D1617" s="36">
        <f t="shared" ca="1" si="78"/>
        <v>0.12308687943876895</v>
      </c>
      <c r="E1617" s="32">
        <v>0.12092426847711835</v>
      </c>
      <c r="F1617" s="35">
        <f t="shared" ca="1" si="77"/>
        <v>2.8655759716222917E-3</v>
      </c>
    </row>
    <row r="1618" spans="1:6" x14ac:dyDescent="0.25">
      <c r="A1618" s="23">
        <v>1617</v>
      </c>
      <c r="B1618" s="7" cm="1">
        <f t="array" aca="1" ref="B1618" ca="1">interpolexp(A1618,serie_du,Taxas_DI)</f>
        <v>0.12378940957855633</v>
      </c>
      <c r="C1618" s="37">
        <f t="shared" ca="1" si="76"/>
        <v>2.1146005131178756</v>
      </c>
      <c r="D1618" s="36">
        <f t="shared" ca="1" si="78"/>
        <v>0.12308687917966132</v>
      </c>
      <c r="E1618" s="32">
        <v>0.12092342731719885</v>
      </c>
      <c r="F1618" s="35">
        <f t="shared" ca="1" si="77"/>
        <v>2.8659822613574804E-3</v>
      </c>
    </row>
    <row r="1619" spans="1:6" x14ac:dyDescent="0.25">
      <c r="A1619" s="23">
        <v>1618</v>
      </c>
      <c r="B1619" s="7" cm="1">
        <f t="array" aca="1" ref="B1619" ca="1">interpolexp(A1619,serie_du,Taxas_DI)</f>
        <v>0.12378897524591981</v>
      </c>
      <c r="C1619" s="37">
        <f t="shared" ca="1" si="76"/>
        <v>2.115574805032026</v>
      </c>
      <c r="D1619" s="36">
        <f t="shared" ca="1" si="78"/>
        <v>0.12308687891998704</v>
      </c>
      <c r="E1619" s="32">
        <v>0.12092258719704763</v>
      </c>
      <c r="F1619" s="35">
        <f t="shared" ca="1" si="77"/>
        <v>2.8663880488721816E-3</v>
      </c>
    </row>
    <row r="1620" spans="1:6" x14ac:dyDescent="0.25">
      <c r="A1620" s="23">
        <v>1619</v>
      </c>
      <c r="B1620" s="7" cm="1">
        <f t="array" aca="1" ref="B1620" ca="1">interpolexp(A1620,serie_du,Taxas_DI)</f>
        <v>0.12378854144980966</v>
      </c>
      <c r="C1620" s="37">
        <f t="shared" ca="1" si="76"/>
        <v>2.1165495458441979</v>
      </c>
      <c r="D1620" s="36">
        <f t="shared" ca="1" si="78"/>
        <v>0.12308687861980161</v>
      </c>
      <c r="E1620" s="32">
        <v>0.12092174811473289</v>
      </c>
      <c r="F1620" s="35">
        <f t="shared" ca="1" si="77"/>
        <v>2.8667933350767782E-3</v>
      </c>
    </row>
    <row r="1621" spans="1:6" x14ac:dyDescent="0.25">
      <c r="A1621" s="23">
        <v>1620</v>
      </c>
      <c r="B1621" s="7" cm="1">
        <f t="array" aca="1" ref="B1621" ca="1">interpolexp(A1621,serie_du,Taxas_DI)</f>
        <v>0.12378810818927111</v>
      </c>
      <c r="C1621" s="37">
        <f t="shared" ca="1" si="76"/>
        <v>2.1175247357616911</v>
      </c>
      <c r="D1621" s="36">
        <f t="shared" ca="1" si="78"/>
        <v>0.12308687838297505</v>
      </c>
      <c r="E1621" s="32">
        <v>0.12092091006834504</v>
      </c>
      <c r="F1621" s="35">
        <f t="shared" ca="1" si="77"/>
        <v>2.8671981209260622E-3</v>
      </c>
    </row>
    <row r="1622" spans="1:6" x14ac:dyDescent="0.25">
      <c r="A1622" s="23">
        <v>1621</v>
      </c>
      <c r="B1622" s="7" cm="1">
        <f t="array" aca="1" ref="B1622" ca="1">interpolexp(A1622,serie_du,Taxas_DI)</f>
        <v>0.12378767546328273</v>
      </c>
      <c r="C1622" s="37">
        <f t="shared" ca="1" si="76"/>
        <v>2.1185003749910636</v>
      </c>
      <c r="D1622" s="36">
        <f t="shared" ca="1" si="78"/>
        <v>0.12308687809763352</v>
      </c>
      <c r="E1622" s="32">
        <v>0.12092007305593011</v>
      </c>
      <c r="F1622" s="35">
        <f t="shared" ca="1" si="77"/>
        <v>2.8676024073526207E-3</v>
      </c>
    </row>
    <row r="1623" spans="1:6" x14ac:dyDescent="0.25">
      <c r="A1623" s="23">
        <v>1622</v>
      </c>
      <c r="B1623" s="7" cm="1">
        <f t="array" aca="1" ref="B1623" ca="1">interpolexp(A1623,serie_du,Taxas_DI)</f>
        <v>0.12378724327086754</v>
      </c>
      <c r="C1623" s="37">
        <f t="shared" ca="1" si="76"/>
        <v>2.1194764637394781</v>
      </c>
      <c r="D1623" s="36">
        <f t="shared" ca="1" si="78"/>
        <v>0.12308687783179972</v>
      </c>
      <c r="E1623" s="32">
        <v>0.12091923707560071</v>
      </c>
      <c r="F1623" s="35">
        <f t="shared" ca="1" si="77"/>
        <v>2.8680061952668368E-3</v>
      </c>
    </row>
    <row r="1624" spans="1:6" x14ac:dyDescent="0.25">
      <c r="A1624" s="23">
        <v>1623</v>
      </c>
      <c r="B1624" s="7" cm="1">
        <f t="array" aca="1" ref="B1624" ca="1">interpolexp(A1624,serie_du,Taxas_DI)</f>
        <v>0.12378681161104854</v>
      </c>
      <c r="C1624" s="37">
        <f t="shared" ca="1" si="76"/>
        <v>2.1204530022141621</v>
      </c>
      <c r="D1624" s="36">
        <f t="shared" ca="1" si="78"/>
        <v>0.12308687758144043</v>
      </c>
      <c r="E1624" s="32">
        <v>0.12091840212544724</v>
      </c>
      <c r="F1624" s="35">
        <f t="shared" ca="1" si="77"/>
        <v>2.8684094856012976E-3</v>
      </c>
    </row>
    <row r="1625" spans="1:6" x14ac:dyDescent="0.25">
      <c r="A1625" s="23">
        <v>1624</v>
      </c>
      <c r="B1625" s="7" cm="1">
        <f t="array" aca="1" ref="B1625" ca="1">interpolexp(A1625,serie_du,Taxas_DI)</f>
        <v>0.12378638048282653</v>
      </c>
      <c r="C1625" s="37">
        <f t="shared" ca="1" si="76"/>
        <v>2.1214299906221408</v>
      </c>
      <c r="D1625" s="36">
        <f t="shared" ca="1" si="78"/>
        <v>0.1230868773066629</v>
      </c>
      <c r="E1625" s="32">
        <v>0.12091756820356014</v>
      </c>
      <c r="F1625" s="35">
        <f t="shared" ca="1" si="77"/>
        <v>2.8688122792663862E-3</v>
      </c>
    </row>
    <row r="1626" spans="1:6" x14ac:dyDescent="0.25">
      <c r="A1626" s="23">
        <v>1625</v>
      </c>
      <c r="B1626" s="7" cm="1">
        <f t="array" aca="1" ref="B1626" ca="1">interpolexp(A1626,serie_du,Taxas_DI)</f>
        <v>0.12378594988522451</v>
      </c>
      <c r="C1626" s="37">
        <f t="shared" ca="1" si="76"/>
        <v>2.1224074291707744</v>
      </c>
      <c r="D1626" s="36">
        <f t="shared" ca="1" si="78"/>
        <v>0.12308687703967958</v>
      </c>
      <c r="E1626" s="32">
        <v>0.12091673530805203</v>
      </c>
      <c r="F1626" s="35">
        <f t="shared" ca="1" si="77"/>
        <v>2.8692145771724853E-3</v>
      </c>
    </row>
    <row r="1627" spans="1:6" x14ac:dyDescent="0.25">
      <c r="A1627" s="23">
        <v>1626</v>
      </c>
      <c r="B1627" s="7" cm="1">
        <f t="array" aca="1" ref="B1627" ca="1">interpolexp(A1627,serie_du,Taxas_DI)</f>
        <v>0.12378551981726549</v>
      </c>
      <c r="C1627" s="37">
        <f t="shared" ca="1" si="76"/>
        <v>2.1233853180674886</v>
      </c>
      <c r="D1627" s="36">
        <f t="shared" ca="1" si="78"/>
        <v>0.12308687677635022</v>
      </c>
      <c r="E1627" s="32">
        <v>0.12091590343701331</v>
      </c>
      <c r="F1627" s="35">
        <f t="shared" ca="1" si="77"/>
        <v>2.8696163802521824E-3</v>
      </c>
    </row>
    <row r="1628" spans="1:6" x14ac:dyDescent="0.25">
      <c r="A1628" s="23">
        <v>1627</v>
      </c>
      <c r="B1628" s="7" cm="1">
        <f t="array" aca="1" ref="B1628" ca="1">interpolexp(A1628,serie_du,Taxas_DI)</f>
        <v>0.12378509027795026</v>
      </c>
      <c r="C1628" s="37">
        <f t="shared" ca="1" si="76"/>
        <v>2.1243636575195057</v>
      </c>
      <c r="D1628" s="36">
        <f t="shared" ca="1" si="78"/>
        <v>0.123086876476725</v>
      </c>
      <c r="E1628" s="32">
        <v>0.1209150725885566</v>
      </c>
      <c r="F1628" s="35">
        <f t="shared" ca="1" si="77"/>
        <v>2.8700176893936558E-3</v>
      </c>
    </row>
    <row r="1629" spans="1:6" x14ac:dyDescent="0.25">
      <c r="A1629" s="23">
        <v>1628</v>
      </c>
      <c r="B1629" s="7" cm="1">
        <f t="array" aca="1" ref="B1629" ca="1">interpolexp(A1629,serie_du,Taxas_DI)</f>
        <v>0.12378466126634624</v>
      </c>
      <c r="C1629" s="37">
        <f t="shared" ca="1" si="76"/>
        <v>2.1253424477349263</v>
      </c>
      <c r="D1629" s="36">
        <f t="shared" ca="1" si="78"/>
        <v>0.12308687624532677</v>
      </c>
      <c r="E1629" s="32">
        <v>0.12091424276083895</v>
      </c>
      <c r="F1629" s="35">
        <f t="shared" ca="1" si="77"/>
        <v>2.8704185055072884E-3</v>
      </c>
    </row>
    <row r="1630" spans="1:6" x14ac:dyDescent="0.25">
      <c r="A1630" s="23">
        <v>1629</v>
      </c>
      <c r="B1630" s="7" cm="1">
        <f t="array" aca="1" ref="B1630" ca="1">interpolexp(A1630,serie_du,Taxas_DI)</f>
        <v>0.12378423278147643</v>
      </c>
      <c r="C1630" s="37">
        <f t="shared" ca="1" si="76"/>
        <v>2.1263216889213767</v>
      </c>
      <c r="D1630" s="36">
        <f t="shared" ca="1" si="78"/>
        <v>0.12308687600598511</v>
      </c>
      <c r="E1630" s="32">
        <v>0.12091341395190636</v>
      </c>
      <c r="F1630" s="35">
        <f t="shared" ca="1" si="77"/>
        <v>2.8708188295700765E-3</v>
      </c>
    </row>
    <row r="1631" spans="1:6" x14ac:dyDescent="0.25">
      <c r="A1631" s="23">
        <v>1630</v>
      </c>
      <c r="B1631" s="7" cm="1">
        <f t="array" aca="1" ref="B1631" ca="1">interpolexp(A1631,serie_du,Taxas_DI)</f>
        <v>0.12378380482234164</v>
      </c>
      <c r="C1631" s="37">
        <f t="shared" ca="1" si="76"/>
        <v>2.1273013812862773</v>
      </c>
      <c r="D1631" s="36">
        <f t="shared" ca="1" si="78"/>
        <v>0.12308687571868493</v>
      </c>
      <c r="E1631" s="32">
        <v>0.12091258615993805</v>
      </c>
      <c r="F1631" s="35">
        <f t="shared" ca="1" si="77"/>
        <v>2.8712186624035851E-3</v>
      </c>
    </row>
    <row r="1632" spans="1:6" x14ac:dyDescent="0.25">
      <c r="A1632" s="23">
        <v>1631</v>
      </c>
      <c r="B1632" s="7" cm="1">
        <f t="array" aca="1" ref="B1632" ca="1">interpolexp(A1632,serie_du,Taxas_DI)</f>
        <v>0.12378337738798706</v>
      </c>
      <c r="C1632" s="37">
        <f t="shared" ca="1" si="76"/>
        <v>2.1282815250376577</v>
      </c>
      <c r="D1632" s="36">
        <f t="shared" ca="1" si="78"/>
        <v>0.12308687545178265</v>
      </c>
      <c r="E1632" s="32">
        <v>0.12091175938306886</v>
      </c>
      <c r="F1632" s="35">
        <f t="shared" ca="1" si="77"/>
        <v>2.8716180049181972E-3</v>
      </c>
    </row>
    <row r="1633" spans="1:6" x14ac:dyDescent="0.25">
      <c r="A1633" s="23">
        <v>1632</v>
      </c>
      <c r="B1633" s="7" cm="1">
        <f t="array" aca="1" ref="B1633" ca="1">interpolexp(A1633,serie_du,Taxas_DI)</f>
        <v>0.12378295047745791</v>
      </c>
      <c r="C1633" s="37">
        <f t="shared" ca="1" si="76"/>
        <v>2.1292621203836153</v>
      </c>
      <c r="D1633" s="36">
        <f t="shared" ca="1" si="78"/>
        <v>0.12308687520156569</v>
      </c>
      <c r="E1633" s="32">
        <v>0.1209109336193892</v>
      </c>
      <c r="F1633" s="35">
        <f t="shared" ca="1" si="77"/>
        <v>2.8720168580687044E-3</v>
      </c>
    </row>
    <row r="1634" spans="1:6" x14ac:dyDescent="0.25">
      <c r="A1634" s="23">
        <v>1633</v>
      </c>
      <c r="B1634" s="7" cm="1">
        <f t="array" aca="1" ref="B1634" ca="1">interpolexp(A1634,serie_du,Taxas_DI)</f>
        <v>0.12378252408977719</v>
      </c>
      <c r="C1634" s="37">
        <f t="shared" ca="1" si="76"/>
        <v>2.1302431675320412</v>
      </c>
      <c r="D1634" s="36">
        <f t="shared" ca="1" si="78"/>
        <v>0.12308687492776271</v>
      </c>
      <c r="E1634" s="32">
        <v>0.12091010886707831</v>
      </c>
      <c r="F1634" s="35">
        <f t="shared" ca="1" si="77"/>
        <v>2.8724152226988764E-3</v>
      </c>
    </row>
    <row r="1635" spans="1:6" x14ac:dyDescent="0.25">
      <c r="A1635" s="23">
        <v>1634</v>
      </c>
      <c r="B1635" s="7" cm="1">
        <f t="array" aca="1" ref="B1635" ca="1">interpolexp(A1635,serie_du,Taxas_DI)</f>
        <v>0.12378209822401232</v>
      </c>
      <c r="C1635" s="37">
        <f t="shared" ca="1" si="76"/>
        <v>2.1312246666914403</v>
      </c>
      <c r="D1635" s="36">
        <f t="shared" ca="1" si="78"/>
        <v>0.12308687469921842</v>
      </c>
      <c r="E1635" s="32">
        <v>0.12090928512424881</v>
      </c>
      <c r="F1635" s="35">
        <f t="shared" ca="1" si="77"/>
        <v>2.8728130997635049E-3</v>
      </c>
    </row>
    <row r="1636" spans="1:6" x14ac:dyDescent="0.25">
      <c r="A1636" s="23">
        <v>1635</v>
      </c>
      <c r="B1636" s="7" cm="1">
        <f t="array" aca="1" ref="B1636" ca="1">interpolexp(A1636,serie_du,Taxas_DI)</f>
        <v>0.12378167287916408</v>
      </c>
      <c r="C1636" s="37">
        <f t="shared" ca="1" si="76"/>
        <v>2.132206618069564</v>
      </c>
      <c r="D1636" s="36">
        <f t="shared" ca="1" si="78"/>
        <v>0.12308687440312549</v>
      </c>
      <c r="E1636" s="32">
        <v>0.12090846238907993</v>
      </c>
      <c r="F1636" s="35">
        <f t="shared" ca="1" si="77"/>
        <v>2.8732104900841549E-3</v>
      </c>
    </row>
    <row r="1637" spans="1:6" x14ac:dyDescent="0.25">
      <c r="A1637" s="23">
        <v>1636</v>
      </c>
      <c r="B1637" s="7" cm="1">
        <f t="array" aca="1" ref="B1637" ca="1">interpolexp(A1637,serie_du,Taxas_DI)</f>
        <v>0.12378124805429991</v>
      </c>
      <c r="C1637" s="37">
        <f t="shared" ca="1" si="76"/>
        <v>2.1331890218750513</v>
      </c>
      <c r="D1637" s="36">
        <f t="shared" ca="1" si="78"/>
        <v>0.12308687414464115</v>
      </c>
      <c r="E1637" s="32">
        <v>0.12090764065968429</v>
      </c>
      <c r="F1637" s="35">
        <f t="shared" ca="1" si="77"/>
        <v>2.8736073946156182E-3</v>
      </c>
    </row>
    <row r="1638" spans="1:6" x14ac:dyDescent="0.25">
      <c r="A1638" s="23">
        <v>1637</v>
      </c>
      <c r="B1638" s="7" cm="1">
        <f t="array" aca="1" ref="B1638" ca="1">interpolexp(A1638,serie_du,Taxas_DI)</f>
        <v>0.123780823748465</v>
      </c>
      <c r="C1638" s="37">
        <f t="shared" ca="1" si="76"/>
        <v>2.1341718783163341</v>
      </c>
      <c r="D1638" s="36">
        <f t="shared" ca="1" si="78"/>
        <v>0.12308687388357709</v>
      </c>
      <c r="E1638" s="32">
        <v>0.12090681993426333</v>
      </c>
      <c r="F1638" s="35">
        <f t="shared" ca="1" si="77"/>
        <v>2.8740038142016644E-3</v>
      </c>
    </row>
    <row r="1639" spans="1:6" x14ac:dyDescent="0.25">
      <c r="A1639" s="23">
        <v>1638</v>
      </c>
      <c r="B1639" s="7" cm="1">
        <f t="array" aca="1" ref="B1639" ca="1">interpolexp(A1639,serie_du,Taxas_DI)</f>
        <v>0.12378039996072676</v>
      </c>
      <c r="C1639" s="37">
        <f t="shared" ca="1" si="76"/>
        <v>2.1351551876021868</v>
      </c>
      <c r="D1639" s="36">
        <f t="shared" ca="1" si="78"/>
        <v>0.12308687365244553</v>
      </c>
      <c r="E1639" s="32">
        <v>0.12090600021095188</v>
      </c>
      <c r="F1639" s="35">
        <f t="shared" ca="1" si="77"/>
        <v>2.8743997497748808E-3</v>
      </c>
    </row>
    <row r="1640" spans="1:6" x14ac:dyDescent="0.25">
      <c r="A1640" s="23">
        <v>1639</v>
      </c>
      <c r="B1640" s="7" cm="1">
        <f t="array" aca="1" ref="B1640" ca="1">interpolexp(A1640,serie_du,Taxas_DI)</f>
        <v>0.12377997669010821</v>
      </c>
      <c r="C1640" s="37">
        <f t="shared" ca="1" si="76"/>
        <v>2.1361389499409023</v>
      </c>
      <c r="D1640" s="36">
        <f t="shared" ca="1" si="78"/>
        <v>0.12308687337479607</v>
      </c>
      <c r="E1640" s="32">
        <v>0.12090518148790697</v>
      </c>
      <c r="F1640" s="35">
        <f t="shared" ca="1" si="77"/>
        <v>2.8747952022012413E-3</v>
      </c>
    </row>
    <row r="1641" spans="1:6" x14ac:dyDescent="0.25">
      <c r="A1641" s="23">
        <v>1640</v>
      </c>
      <c r="B1641" s="7" cm="1">
        <f t="array" aca="1" ref="B1641" ca="1">interpolexp(A1641,serie_du,Taxas_DI)</f>
        <v>0.12377955393567674</v>
      </c>
      <c r="C1641" s="37">
        <f t="shared" ca="1" si="76"/>
        <v>2.1371231655413903</v>
      </c>
      <c r="D1641" s="36">
        <f t="shared" ca="1" si="78"/>
        <v>0.12308687311963862</v>
      </c>
      <c r="E1641" s="32">
        <v>0.12090436376330782</v>
      </c>
      <c r="F1641" s="35">
        <f t="shared" ca="1" si="77"/>
        <v>2.8751901723689244E-3</v>
      </c>
    </row>
    <row r="1642" spans="1:6" x14ac:dyDescent="0.25">
      <c r="A1642" s="23">
        <v>1641</v>
      </c>
      <c r="B1642" s="7" cm="1">
        <f t="array" aca="1" ref="B1642" ca="1">interpolexp(A1642,serie_du,Taxas_DI)</f>
        <v>0.12377913169649979</v>
      </c>
      <c r="C1642" s="37">
        <f t="shared" ca="1" si="76"/>
        <v>2.1381078346126277</v>
      </c>
      <c r="D1642" s="36">
        <f t="shared" ca="1" si="78"/>
        <v>0.12308687288310027</v>
      </c>
      <c r="E1642" s="32">
        <v>0.12090354703535588</v>
      </c>
      <c r="F1642" s="35">
        <f t="shared" ca="1" si="77"/>
        <v>2.875584661143904E-3</v>
      </c>
    </row>
    <row r="1643" spans="1:6" x14ac:dyDescent="0.25">
      <c r="A1643" s="23">
        <v>1642</v>
      </c>
      <c r="B1643" s="7" cm="1">
        <f t="array" aca="1" ref="B1643" ca="1">interpolexp(A1643,serie_du,Taxas_DI)</f>
        <v>0.12377870997160034</v>
      </c>
      <c r="C1643" s="37">
        <f t="shared" ca="1" si="76"/>
        <v>2.1390929573631094</v>
      </c>
      <c r="D1643" s="36">
        <f t="shared" ca="1" si="78"/>
        <v>0.12308687258854389</v>
      </c>
      <c r="E1643" s="32">
        <v>0.12090273130218598</v>
      </c>
      <c r="F1643" s="35">
        <f t="shared" ca="1" si="77"/>
        <v>2.8759786694143585E-3</v>
      </c>
    </row>
    <row r="1644" spans="1:6" x14ac:dyDescent="0.25">
      <c r="A1644" s="23">
        <v>1643</v>
      </c>
      <c r="B1644" s="7" cm="1">
        <f t="array" aca="1" ref="B1644" ca="1">interpolexp(A1644,serie_du,Taxas_DI)</f>
        <v>0.12377828876006802</v>
      </c>
      <c r="C1644" s="37">
        <f t="shared" ca="1" si="76"/>
        <v>2.1400785340022228</v>
      </c>
      <c r="D1644" s="36">
        <f t="shared" ca="1" si="78"/>
        <v>0.12308687234152726</v>
      </c>
      <c r="E1644" s="32">
        <v>0.12090191656202176</v>
      </c>
      <c r="F1644" s="35">
        <f t="shared" ca="1" si="77"/>
        <v>2.876372198046262E-3</v>
      </c>
    </row>
    <row r="1645" spans="1:6" x14ac:dyDescent="0.25">
      <c r="A1645" s="23">
        <v>1644</v>
      </c>
      <c r="B1645" s="7" cm="1">
        <f t="array" aca="1" ref="B1645" ca="1">interpolexp(A1645,serie_du,Taxas_DI)</f>
        <v>0.12377786806097024</v>
      </c>
      <c r="C1645" s="37">
        <f t="shared" ca="1" si="76"/>
        <v>2.1410645647391493</v>
      </c>
      <c r="D1645" s="36">
        <f t="shared" ca="1" si="78"/>
        <v>0.12308687210188296</v>
      </c>
      <c r="E1645" s="32">
        <v>0.12090110281302024</v>
      </c>
      <c r="F1645" s="35">
        <f t="shared" ca="1" si="77"/>
        <v>2.8767652479499972E-3</v>
      </c>
    </row>
    <row r="1646" spans="1:6" x14ac:dyDescent="0.25">
      <c r="A1646" s="23">
        <v>1645</v>
      </c>
      <c r="B1646" s="7" cm="1">
        <f t="array" aca="1" ref="B1646" ca="1">interpolexp(A1646,serie_du,Taxas_DI)</f>
        <v>0.12377744787335221</v>
      </c>
      <c r="C1646" s="37">
        <f t="shared" ca="1" si="76"/>
        <v>2.1420510497828618</v>
      </c>
      <c r="D1646" s="36">
        <f t="shared" ca="1" si="78"/>
        <v>0.12308687182939781</v>
      </c>
      <c r="E1646" s="32">
        <v>0.12090029005338288</v>
      </c>
      <c r="F1646" s="35">
        <f t="shared" ca="1" si="77"/>
        <v>2.8771578199693337E-3</v>
      </c>
    </row>
    <row r="1647" spans="1:6" x14ac:dyDescent="0.25">
      <c r="A1647" s="23">
        <v>1646</v>
      </c>
      <c r="B1647" s="7" cm="1">
        <f t="array" aca="1" ref="B1647" ca="1">interpolexp(A1647,serie_du,Taxas_DI)</f>
        <v>0.12377702819630354</v>
      </c>
      <c r="C1647" s="37">
        <f t="shared" ca="1" si="76"/>
        <v>2.1430379893429543</v>
      </c>
      <c r="D1647" s="36">
        <f t="shared" ca="1" si="78"/>
        <v>0.12308687159341325</v>
      </c>
      <c r="E1647" s="32">
        <v>0.12089947828131109</v>
      </c>
      <c r="F1647" s="35">
        <f t="shared" ca="1" si="77"/>
        <v>2.8775499149924499E-3</v>
      </c>
    </row>
    <row r="1648" spans="1:6" x14ac:dyDescent="0.25">
      <c r="A1648" s="23">
        <v>1647</v>
      </c>
      <c r="B1648" s="7" cm="1">
        <f t="array" aca="1" ref="B1648" ca="1">interpolexp(A1648,serie_du,Taxas_DI)</f>
        <v>0.12377660902886944</v>
      </c>
      <c r="C1648" s="37">
        <f t="shared" ca="1" si="76"/>
        <v>2.1440253836285357</v>
      </c>
      <c r="D1648" s="36">
        <f t="shared" ca="1" si="78"/>
        <v>0.12308687131704077</v>
      </c>
      <c r="E1648" s="32">
        <v>0.12089866749500633</v>
      </c>
      <c r="F1648" s="35">
        <f t="shared" ca="1" si="77"/>
        <v>2.8779415338631154E-3</v>
      </c>
    </row>
    <row r="1649" spans="1:6" x14ac:dyDescent="0.25">
      <c r="A1649" s="23">
        <v>1648</v>
      </c>
      <c r="B1649" s="7" cm="1">
        <f t="array" aca="1" ref="B1649" ca="1">interpolexp(A1649,serie_du,Taxas_DI)</f>
        <v>0.12377619037013954</v>
      </c>
      <c r="C1649" s="37">
        <f t="shared" ca="1" si="76"/>
        <v>2.1450132328493354</v>
      </c>
      <c r="D1649" s="36">
        <f t="shared" ca="1" si="78"/>
        <v>0.12308687106959804</v>
      </c>
      <c r="E1649" s="32">
        <v>0.12089785769267003</v>
      </c>
      <c r="F1649" s="35">
        <f t="shared" ca="1" si="77"/>
        <v>2.8783326774695084E-3</v>
      </c>
    </row>
    <row r="1650" spans="1:6" x14ac:dyDescent="0.25">
      <c r="A1650" s="23">
        <v>1649</v>
      </c>
      <c r="B1650" s="7" cm="1">
        <f t="array" aca="1" ref="B1650" ca="1">interpolexp(A1650,serie_du,Taxas_DI)</f>
        <v>0.12377577221920344</v>
      </c>
      <c r="C1650" s="37">
        <f t="shared" ca="1" si="76"/>
        <v>2.1460015372151537</v>
      </c>
      <c r="D1650" s="36">
        <f t="shared" ca="1" si="78"/>
        <v>0.12308687084756542</v>
      </c>
      <c r="E1650" s="32">
        <v>0.12089704887252584</v>
      </c>
      <c r="F1650" s="35">
        <f t="shared" ca="1" si="77"/>
        <v>2.878723346677603E-3</v>
      </c>
    </row>
    <row r="1651" spans="1:6" x14ac:dyDescent="0.25">
      <c r="A1651" s="23">
        <v>1650</v>
      </c>
      <c r="B1651" s="7" cm="1">
        <f t="array" aca="1" ref="B1651" ca="1">interpolexp(A1651,serie_du,Taxas_DI)</f>
        <v>0.12377535457508415</v>
      </c>
      <c r="C1651" s="37">
        <f t="shared" ca="1" si="76"/>
        <v>2.1469902969350265</v>
      </c>
      <c r="D1651" s="36">
        <f t="shared" ca="1" si="78"/>
        <v>0.12308687053737866</v>
      </c>
      <c r="E1651" s="32">
        <v>0.12089624103275298</v>
      </c>
      <c r="F1651" s="35">
        <f t="shared" ca="1" si="77"/>
        <v>2.8791135423311687E-3</v>
      </c>
    </row>
    <row r="1652" spans="1:6" x14ac:dyDescent="0.25">
      <c r="A1652" s="23">
        <v>1651</v>
      </c>
      <c r="B1652" s="7" cm="1">
        <f t="array" aca="1" ref="B1652" ca="1">interpolexp(A1652,serie_du,Taxas_DI)</f>
        <v>0.1237749374369157</v>
      </c>
      <c r="C1652" s="37">
        <f t="shared" ca="1" si="76"/>
        <v>2.1479795122194454</v>
      </c>
      <c r="D1652" s="36">
        <f t="shared" ca="1" si="78"/>
        <v>0.12308687031834809</v>
      </c>
      <c r="E1652" s="32">
        <v>0.12089543417161952</v>
      </c>
      <c r="F1652" s="35">
        <f t="shared" ca="1" si="77"/>
        <v>2.8795032652961794E-3</v>
      </c>
    </row>
    <row r="1653" spans="1:6" x14ac:dyDescent="0.25">
      <c r="A1653" s="23">
        <v>1652</v>
      </c>
      <c r="B1653" s="7" cm="1">
        <f t="array" aca="1" ref="B1653" ca="1">interpolexp(A1653,serie_du,Taxas_DI)</f>
        <v>0.1237745208037655</v>
      </c>
      <c r="C1653" s="37">
        <f t="shared" ca="1" si="76"/>
        <v>2.1489691832781377</v>
      </c>
      <c r="D1653" s="36">
        <f t="shared" ca="1" si="78"/>
        <v>0.12308687007688812</v>
      </c>
      <c r="E1653" s="32">
        <v>0.12089462828730468</v>
      </c>
      <c r="F1653" s="35">
        <f t="shared" ca="1" si="77"/>
        <v>2.8798925164608136E-3</v>
      </c>
    </row>
    <row r="1654" spans="1:6" x14ac:dyDescent="0.25">
      <c r="A1654" s="23">
        <v>1653</v>
      </c>
      <c r="B1654" s="7" cm="1">
        <f t="array" aca="1" ref="B1654" ca="1">interpolexp(A1654,serie_du,Taxas_DI)</f>
        <v>0.12377410467470096</v>
      </c>
      <c r="C1654" s="37">
        <f t="shared" ca="1" si="76"/>
        <v>2.1499593103209005</v>
      </c>
      <c r="D1654" s="36">
        <f t="shared" ca="1" si="78"/>
        <v>0.12308686980951222</v>
      </c>
      <c r="E1654" s="32">
        <v>0.12089382337805432</v>
      </c>
      <c r="F1654" s="35">
        <f t="shared" ca="1" si="77"/>
        <v>2.8802812966466362E-3</v>
      </c>
    </row>
    <row r="1655" spans="1:6" x14ac:dyDescent="0.25">
      <c r="A1655" s="23">
        <v>1654</v>
      </c>
      <c r="B1655" s="7" cm="1">
        <f t="array" aca="1" ref="B1655" ca="1">interpolexp(A1655,serie_du,Taxas_DI)</f>
        <v>0.1237736890488117</v>
      </c>
      <c r="C1655" s="37">
        <f t="shared" ca="1" si="76"/>
        <v>2.1509498935578777</v>
      </c>
      <c r="D1655" s="36">
        <f t="shared" ca="1" si="78"/>
        <v>0.12308686954915227</v>
      </c>
      <c r="E1655" s="32">
        <v>0.12089301944211428</v>
      </c>
      <c r="F1655" s="35">
        <f t="shared" ca="1" si="77"/>
        <v>2.8806696066974169E-3</v>
      </c>
    </row>
    <row r="1656" spans="1:6" x14ac:dyDescent="0.25">
      <c r="A1656" s="23">
        <v>1655</v>
      </c>
      <c r="B1656" s="7" cm="1">
        <f t="array" aca="1" ref="B1656" ca="1">interpolexp(A1656,serie_du,Taxas_DI)</f>
        <v>0.12377327392520954</v>
      </c>
      <c r="C1656" s="37">
        <f t="shared" ca="1" si="76"/>
        <v>2.1519409331995596</v>
      </c>
      <c r="D1656" s="36">
        <f t="shared" ca="1" si="78"/>
        <v>0.12308686932858848</v>
      </c>
      <c r="E1656" s="32">
        <v>0.120892216477686</v>
      </c>
      <c r="F1656" s="35">
        <f t="shared" ca="1" si="77"/>
        <v>2.8810574475235384E-3</v>
      </c>
    </row>
    <row r="1657" spans="1:6" x14ac:dyDescent="0.25">
      <c r="A1657" s="23">
        <v>1656</v>
      </c>
      <c r="B1657" s="7" cm="1">
        <f t="array" aca="1" ref="B1657" ca="1">interpolexp(A1657,serie_du,Taxas_DI)</f>
        <v>0.12377285930293969</v>
      </c>
      <c r="C1657" s="37">
        <f t="shared" ca="1" si="76"/>
        <v>2.1529324294556709</v>
      </c>
      <c r="D1657" s="36">
        <f t="shared" ca="1" si="78"/>
        <v>0.12308686903442112</v>
      </c>
      <c r="E1657" s="32">
        <v>0.12089141448303753</v>
      </c>
      <c r="F1657" s="35">
        <f t="shared" ca="1" si="77"/>
        <v>2.881444819902157E-3</v>
      </c>
    </row>
    <row r="1658" spans="1:6" x14ac:dyDescent="0.25">
      <c r="A1658" s="23">
        <v>1657</v>
      </c>
      <c r="B1658" s="7" cm="1">
        <f t="array" aca="1" ref="B1658" ca="1">interpolexp(A1658,serie_du,Taxas_DI)</f>
        <v>0.12377244518113617</v>
      </c>
      <c r="C1658" s="37">
        <f t="shared" ca="1" si="76"/>
        <v>2.1539243825371206</v>
      </c>
      <c r="D1658" s="36">
        <f t="shared" ca="1" si="78"/>
        <v>0.12308686880969422</v>
      </c>
      <c r="E1658" s="32">
        <v>0.12089061345639251</v>
      </c>
      <c r="F1658" s="35">
        <f t="shared" ca="1" si="77"/>
        <v>2.8818317247436553E-3</v>
      </c>
    </row>
    <row r="1659" spans="1:6" x14ac:dyDescent="0.25">
      <c r="A1659" s="23">
        <v>1658</v>
      </c>
      <c r="B1659" s="7" cm="1">
        <f t="array" aca="1" ref="B1659" ca="1">interpolexp(A1659,serie_du,Taxas_DI)</f>
        <v>0.12377203155888861</v>
      </c>
      <c r="C1659" s="37">
        <f t="shared" ca="1" si="76"/>
        <v>2.1549167926543302</v>
      </c>
      <c r="D1659" s="36">
        <f t="shared" ca="1" si="78"/>
        <v>0.12308686857739803</v>
      </c>
      <c r="E1659" s="32">
        <v>0.12088981339601901</v>
      </c>
      <c r="F1659" s="35">
        <f t="shared" ca="1" si="77"/>
        <v>2.8822181628695986E-3</v>
      </c>
    </row>
    <row r="1660" spans="1:6" x14ac:dyDescent="0.25">
      <c r="A1660" s="23">
        <v>1659</v>
      </c>
      <c r="B1660" s="7" cm="1">
        <f t="array" aca="1" ref="B1660" ca="1">interpolexp(A1660,serie_du,Taxas_DI)</f>
        <v>0.12377161843526441</v>
      </c>
      <c r="C1660" s="37">
        <f t="shared" ca="1" si="76"/>
        <v>2.1559096600175094</v>
      </c>
      <c r="D1660" s="36">
        <f t="shared" ca="1" si="78"/>
        <v>0.12308686829718218</v>
      </c>
      <c r="E1660" s="32">
        <v>0.12088901430016286</v>
      </c>
      <c r="F1660" s="35">
        <f t="shared" ca="1" si="77"/>
        <v>2.8826041351015519E-3</v>
      </c>
    </row>
    <row r="1661" spans="1:6" x14ac:dyDescent="0.25">
      <c r="A1661" s="23">
        <v>1660</v>
      </c>
      <c r="B1661" s="7" cm="1">
        <f t="array" aca="1" ref="B1661" ca="1">interpolexp(A1661,serie_du,Taxas_DI)</f>
        <v>0.1237712058093976</v>
      </c>
      <c r="C1661" s="37">
        <f t="shared" ca="1" si="76"/>
        <v>2.1569029848377772</v>
      </c>
      <c r="D1661" s="36">
        <f t="shared" ca="1" si="78"/>
        <v>0.12308686807564673</v>
      </c>
      <c r="E1661" s="32">
        <v>0.12088821616706991</v>
      </c>
      <c r="F1661" s="35">
        <f t="shared" ca="1" si="77"/>
        <v>2.8829896423276935E-3</v>
      </c>
    </row>
    <row r="1662" spans="1:6" x14ac:dyDescent="0.25">
      <c r="A1662" s="23">
        <v>1661</v>
      </c>
      <c r="B1662" s="7" cm="1">
        <f t="array" aca="1" ref="B1662" ca="1">interpolexp(A1662,serie_du,Taxas_DI)</f>
        <v>0.1237707936803556</v>
      </c>
      <c r="C1662" s="37">
        <f t="shared" ca="1" si="76"/>
        <v>2.1578967673254823</v>
      </c>
      <c r="D1662" s="36">
        <f t="shared" ca="1" si="78"/>
        <v>0.12308686779889388</v>
      </c>
      <c r="E1662" s="32">
        <v>0.12088741899503042</v>
      </c>
      <c r="F1662" s="35">
        <f t="shared" ca="1" si="77"/>
        <v>2.8833746853251796E-3</v>
      </c>
    </row>
    <row r="1663" spans="1:6" x14ac:dyDescent="0.25">
      <c r="A1663" s="23">
        <v>1662</v>
      </c>
      <c r="B1663" s="7" cm="1">
        <f t="array" aca="1" ref="B1663" ca="1">interpolexp(A1663,serie_du,Taxas_DI)</f>
        <v>0.12377038204727242</v>
      </c>
      <c r="C1663" s="37">
        <f t="shared" ca="1" si="76"/>
        <v>2.158891007691885</v>
      </c>
      <c r="D1663" s="36">
        <f t="shared" ca="1" si="78"/>
        <v>0.12308686757378373</v>
      </c>
      <c r="E1663" s="32">
        <v>0.12088662278226803</v>
      </c>
      <c r="F1663" s="35">
        <f t="shared" ca="1" si="77"/>
        <v>2.8837592650043931E-3</v>
      </c>
    </row>
    <row r="1664" spans="1:6" x14ac:dyDescent="0.25">
      <c r="A1664" s="23">
        <v>1663</v>
      </c>
      <c r="B1664" s="7" cm="1">
        <f t="array" aca="1" ref="B1664" ca="1">interpolexp(A1664,serie_du,Taxas_DI)</f>
        <v>0.12376997090923769</v>
      </c>
      <c r="C1664" s="37">
        <f t="shared" ca="1" si="76"/>
        <v>2.1598857061477532</v>
      </c>
      <c r="D1664" s="36">
        <f t="shared" ca="1" si="78"/>
        <v>0.12308686732301855</v>
      </c>
      <c r="E1664" s="32">
        <v>0.1208858275270952</v>
      </c>
      <c r="F1664" s="35">
        <f t="shared" ca="1" si="77"/>
        <v>2.88414338214249E-3</v>
      </c>
    </row>
    <row r="1665" spans="1:6" x14ac:dyDescent="0.25">
      <c r="A1665" s="23">
        <v>1664</v>
      </c>
      <c r="B1665" s="7" cm="1">
        <f t="array" aca="1" ref="B1665" ca="1">interpolexp(A1665,serie_du,Taxas_DI)</f>
        <v>0.12376956026534103</v>
      </c>
      <c r="C1665" s="37">
        <f t="shared" ca="1" si="76"/>
        <v>2.1608808629039244</v>
      </c>
      <c r="D1665" s="36">
        <f t="shared" ca="1" si="78"/>
        <v>0.12308686704306449</v>
      </c>
      <c r="E1665" s="32">
        <v>0.12088503322773558</v>
      </c>
      <c r="F1665" s="35">
        <f t="shared" ca="1" si="77"/>
        <v>2.8845270376054444E-3</v>
      </c>
    </row>
    <row r="1666" spans="1:6" x14ac:dyDescent="0.25">
      <c r="A1666" s="23">
        <v>1665</v>
      </c>
      <c r="B1666" s="7" cm="1">
        <f t="array" aca="1" ref="B1666" ca="1">interpolexp(A1666,serie_du,Taxas_DI)</f>
        <v>0.12376915011473866</v>
      </c>
      <c r="C1666" s="37">
        <f t="shared" ref="C1666:C1729" ca="1" si="79">(1+B1666)^(A1666/252)</f>
        <v>2.1618764781721516</v>
      </c>
      <c r="D1666" s="36">
        <f t="shared" ca="1" si="78"/>
        <v>0.12308686684099612</v>
      </c>
      <c r="E1666" s="32">
        <v>0.12088423988252384</v>
      </c>
      <c r="F1666" s="35">
        <f t="shared" ref="F1666:F1729" ca="1" si="80">B1666-E1666</f>
        <v>2.8849102322148212E-3</v>
      </c>
    </row>
    <row r="1667" spans="1:6" x14ac:dyDescent="0.25">
      <c r="A1667" s="23">
        <v>1666</v>
      </c>
      <c r="B1667" s="7" cm="1">
        <f t="array" aca="1" ref="B1667" ca="1">interpolexp(A1667,serie_du,Taxas_DI)</f>
        <v>0.12376874045649799</v>
      </c>
      <c r="C1667" s="37">
        <f t="shared" ca="1" si="79"/>
        <v>2.1628725521631296</v>
      </c>
      <c r="D1667" s="36">
        <f t="shared" ca="1" si="78"/>
        <v>0.12308686656556023</v>
      </c>
      <c r="E1667" s="32">
        <v>0.1208834474896836</v>
      </c>
      <c r="F1667" s="35">
        <f t="shared" ca="1" si="80"/>
        <v>2.8852929668143901E-3</v>
      </c>
    </row>
    <row r="1668" spans="1:6" x14ac:dyDescent="0.25">
      <c r="A1668" s="23">
        <v>1667</v>
      </c>
      <c r="B1668" s="7" cm="1">
        <f t="array" aca="1" ref="B1668" ca="1">interpolexp(A1668,serie_du,Taxas_DI)</f>
        <v>0.12376833128975306</v>
      </c>
      <c r="C1668" s="37">
        <f t="shared" ca="1" si="79"/>
        <v>2.163869085088471</v>
      </c>
      <c r="D1668" s="36">
        <f t="shared" ref="D1668:D1731" ca="1" si="81">((((1+B1668)^(A1668/252))/((1+B1667)^(A1667/252)))^(252/1))-1</f>
        <v>0.12308686632413779</v>
      </c>
      <c r="E1668" s="32">
        <v>0.12088265604754955</v>
      </c>
      <c r="F1668" s="35">
        <f t="shared" ca="1" si="80"/>
        <v>2.8856752422035115E-3</v>
      </c>
    </row>
    <row r="1669" spans="1:6" x14ac:dyDescent="0.25">
      <c r="A1669" s="23">
        <v>1668</v>
      </c>
      <c r="B1669" s="7" cm="1">
        <f t="array" aca="1" ref="B1669" ca="1">interpolexp(A1669,serie_du,Taxas_DI)</f>
        <v>0.12376792261363789</v>
      </c>
      <c r="C1669" s="37">
        <f t="shared" ca="1" si="79"/>
        <v>2.1648660771598585</v>
      </c>
      <c r="D1669" s="36">
        <f t="shared" ca="1" si="81"/>
        <v>0.12308686611315212</v>
      </c>
      <c r="E1669" s="32">
        <v>0.12088186555438973</v>
      </c>
      <c r="F1669" s="35">
        <f t="shared" ca="1" si="80"/>
        <v>2.8860570592481594E-3</v>
      </c>
    </row>
    <row r="1670" spans="1:6" x14ac:dyDescent="0.25">
      <c r="A1670" s="23">
        <v>1669</v>
      </c>
      <c r="B1670" s="7" cm="1">
        <f t="array" aca="1" ref="B1670" ca="1">interpolexp(A1670,serie_du,Taxas_DI)</f>
        <v>0.12376751442721989</v>
      </c>
      <c r="C1670" s="37">
        <f t="shared" ca="1" si="79"/>
        <v>2.1658635285881966</v>
      </c>
      <c r="D1670" s="36">
        <f t="shared" ca="1" si="81"/>
        <v>0.12308686581813766</v>
      </c>
      <c r="E1670" s="32">
        <v>0.12088107600851661</v>
      </c>
      <c r="F1670" s="35">
        <f t="shared" ca="1" si="80"/>
        <v>2.8864384187032854E-3</v>
      </c>
    </row>
    <row r="1671" spans="1:6" x14ac:dyDescent="0.25">
      <c r="A1671" s="23">
        <v>1670</v>
      </c>
      <c r="B1671" s="7" cm="1">
        <f t="array" aca="1" ref="B1671" ca="1">interpolexp(A1671,serie_du,Taxas_DI)</f>
        <v>0.1237671067296775</v>
      </c>
      <c r="C1671" s="37">
        <f t="shared" ca="1" si="79"/>
        <v>2.1668614395858761</v>
      </c>
      <c r="D1671" s="36">
        <f t="shared" ca="1" si="81"/>
        <v>0.12308686562051019</v>
      </c>
      <c r="E1671" s="32">
        <v>0.12088028740819823</v>
      </c>
      <c r="F1671" s="35">
        <f t="shared" ca="1" si="80"/>
        <v>2.8868193214792726E-3</v>
      </c>
    </row>
    <row r="1672" spans="1:6" x14ac:dyDescent="0.25">
      <c r="A1672" s="23">
        <v>1671</v>
      </c>
      <c r="B1672" s="7" cm="1">
        <f t="array" aca="1" ref="B1672" ca="1">interpolexp(A1672,serie_du,Taxas_DI)</f>
        <v>0.12376669952007813</v>
      </c>
      <c r="C1672" s="37">
        <f t="shared" ca="1" si="79"/>
        <v>2.1678598103639404</v>
      </c>
      <c r="D1672" s="36">
        <f t="shared" ca="1" si="81"/>
        <v>0.12308686533164437</v>
      </c>
      <c r="E1672" s="32">
        <v>0.12087949975174705</v>
      </c>
      <c r="F1672" s="35">
        <f t="shared" ca="1" si="80"/>
        <v>2.8871997683310724E-3</v>
      </c>
    </row>
    <row r="1673" spans="1:6" x14ac:dyDescent="0.25">
      <c r="A1673" s="23">
        <v>1672</v>
      </c>
      <c r="B1673" s="7" cm="1">
        <f t="array" aca="1" ref="B1673" ca="1">interpolexp(A1673,serie_du,Taxas_DI)</f>
        <v>0.12376629279760021</v>
      </c>
      <c r="C1673" s="37">
        <f t="shared" ca="1" si="79"/>
        <v>2.1688586411349235</v>
      </c>
      <c r="D1673" s="36">
        <f t="shared" ca="1" si="81"/>
        <v>0.12308686513339384</v>
      </c>
      <c r="E1673" s="32">
        <v>0.12087871303749775</v>
      </c>
      <c r="F1673" s="35">
        <f t="shared" ca="1" si="80"/>
        <v>2.8875797601024544E-3</v>
      </c>
    </row>
    <row r="1674" spans="1:6" x14ac:dyDescent="0.25">
      <c r="A1674" s="23">
        <v>1673</v>
      </c>
      <c r="B1674" s="7" cm="1">
        <f t="array" aca="1" ref="B1674" ca="1">interpolexp(A1674,serie_du,Taxas_DI)</f>
        <v>0.12376588656131116</v>
      </c>
      <c r="C1674" s="37">
        <f t="shared" ca="1" si="79"/>
        <v>2.1698579321100091</v>
      </c>
      <c r="D1674" s="36">
        <f t="shared" ca="1" si="81"/>
        <v>0.12308686483674003</v>
      </c>
      <c r="E1674" s="32">
        <v>0.12087792726371838</v>
      </c>
      <c r="F1674" s="35">
        <f t="shared" ca="1" si="80"/>
        <v>2.8879592975927793E-3</v>
      </c>
    </row>
    <row r="1675" spans="1:6" x14ac:dyDescent="0.25">
      <c r="A1675" s="23">
        <v>1674</v>
      </c>
      <c r="B1675" s="7" cm="1">
        <f t="array" aca="1" ref="B1675" ca="1">interpolexp(A1675,serie_du,Taxas_DI)</f>
        <v>0.12376548081038941</v>
      </c>
      <c r="C1675" s="37">
        <f t="shared" ca="1" si="79"/>
        <v>2.170857683501874</v>
      </c>
      <c r="D1675" s="36">
        <f t="shared" ca="1" si="81"/>
        <v>0.1230868646237675</v>
      </c>
      <c r="E1675" s="32">
        <v>0.12087714242874359</v>
      </c>
      <c r="F1675" s="35">
        <f t="shared" ca="1" si="80"/>
        <v>2.8883383816458164E-3</v>
      </c>
    </row>
    <row r="1676" spans="1:6" x14ac:dyDescent="0.25">
      <c r="A1676" s="23">
        <v>1675</v>
      </c>
      <c r="B1676" s="7" cm="1">
        <f t="array" aca="1" ref="B1676" ca="1">interpolexp(A1676,serie_du,Taxas_DI)</f>
        <v>0.12376507554396898</v>
      </c>
      <c r="C1676" s="37">
        <f t="shared" ca="1" si="79"/>
        <v>2.171857895522697</v>
      </c>
      <c r="D1676" s="36">
        <f t="shared" ca="1" si="81"/>
        <v>0.12308686441673689</v>
      </c>
      <c r="E1676" s="32">
        <v>0.12087635853090806</v>
      </c>
      <c r="F1676" s="35">
        <f t="shared" ca="1" si="80"/>
        <v>2.8887170130609263E-3</v>
      </c>
    </row>
    <row r="1677" spans="1:6" x14ac:dyDescent="0.25">
      <c r="A1677" s="23">
        <v>1676</v>
      </c>
      <c r="B1677" s="7" cm="1">
        <f t="array" aca="1" ref="B1677" ca="1">interpolexp(A1677,serie_du,Taxas_DI)</f>
        <v>0.12376467076113951</v>
      </c>
      <c r="C1677" s="37">
        <f t="shared" ca="1" si="79"/>
        <v>2.172858568384159</v>
      </c>
      <c r="D1677" s="36">
        <f t="shared" ca="1" si="81"/>
        <v>0.12308686413804426</v>
      </c>
      <c r="E1677" s="32">
        <v>0.12087557556850204</v>
      </c>
      <c r="F1677" s="35">
        <f t="shared" ca="1" si="80"/>
        <v>2.8890951926374697E-3</v>
      </c>
    </row>
    <row r="1678" spans="1:6" x14ac:dyDescent="0.25">
      <c r="A1678" s="23">
        <v>1677</v>
      </c>
      <c r="B1678" s="7" cm="1">
        <f t="array" aca="1" ref="B1678" ca="1">interpolexp(A1678,serie_du,Taxas_DI)</f>
        <v>0.1237642664610572</v>
      </c>
      <c r="C1678" s="37">
        <f t="shared" ca="1" si="79"/>
        <v>2.173859702298865</v>
      </c>
      <c r="D1678" s="36">
        <f t="shared" ca="1" si="81"/>
        <v>0.12308686389547985</v>
      </c>
      <c r="E1678" s="32">
        <v>0.12087479353986019</v>
      </c>
      <c r="F1678" s="35">
        <f t="shared" ca="1" si="80"/>
        <v>2.8894729211970116E-3</v>
      </c>
    </row>
    <row r="1679" spans="1:6" x14ac:dyDescent="0.25">
      <c r="A1679" s="23">
        <v>1678</v>
      </c>
      <c r="B1679" s="7" cm="1">
        <f t="array" aca="1" ref="B1679" ca="1">interpolexp(A1679,serie_du,Taxas_DI)</f>
        <v>0.1237638626428561</v>
      </c>
      <c r="C1679" s="37">
        <f t="shared" ca="1" si="79"/>
        <v>2.1748612974792079</v>
      </c>
      <c r="D1679" s="36">
        <f t="shared" ca="1" si="81"/>
        <v>0.12308686364847676</v>
      </c>
      <c r="E1679" s="32">
        <v>0.1208740124433394</v>
      </c>
      <c r="F1679" s="35">
        <f t="shared" ca="1" si="80"/>
        <v>2.8898501995167081E-3</v>
      </c>
    </row>
    <row r="1680" spans="1:6" x14ac:dyDescent="0.25">
      <c r="A1680" s="23">
        <v>1679</v>
      </c>
      <c r="B1680" s="7" cm="1">
        <f t="array" aca="1" ref="B1680" ca="1">interpolexp(A1680,serie_du,Taxas_DI)</f>
        <v>0.12376345930569244</v>
      </c>
      <c r="C1680" s="37">
        <f t="shared" ca="1" si="79"/>
        <v>2.1758633541379373</v>
      </c>
      <c r="D1680" s="36">
        <f t="shared" ca="1" si="81"/>
        <v>0.12308686343082154</v>
      </c>
      <c r="E1680" s="32">
        <v>0.12087323227725211</v>
      </c>
      <c r="F1680" s="35">
        <f t="shared" ca="1" si="80"/>
        <v>2.8902270284403286E-3</v>
      </c>
    </row>
    <row r="1681" spans="1:6" x14ac:dyDescent="0.25">
      <c r="A1681" s="23">
        <v>1680</v>
      </c>
      <c r="B1681" s="7" cm="1">
        <f t="array" aca="1" ref="B1681" ca="1">interpolexp(A1681,serie_du,Taxas_DI)</f>
        <v>0.12376305644867802</v>
      </c>
      <c r="C1681" s="37">
        <f t="shared" ca="1" si="79"/>
        <v>2.1768658724873018</v>
      </c>
      <c r="D1681" s="36">
        <f t="shared" ca="1" si="81"/>
        <v>0.12308686316462936</v>
      </c>
      <c r="E1681" s="32">
        <v>0.12087245303993299</v>
      </c>
      <c r="F1681" s="35">
        <f t="shared" ca="1" si="80"/>
        <v>2.8906034087450294E-3</v>
      </c>
    </row>
    <row r="1682" spans="1:6" x14ac:dyDescent="0.25">
      <c r="A1682" s="23">
        <v>1681</v>
      </c>
      <c r="B1682" s="7" cm="1">
        <f t="array" aca="1" ref="B1682" ca="1">interpolexp(A1682,serie_du,Taxas_DI)</f>
        <v>0.1237626540709913</v>
      </c>
      <c r="C1682" s="37">
        <f t="shared" ca="1" si="79"/>
        <v>2.1778688527404824</v>
      </c>
      <c r="D1682" s="36">
        <f t="shared" ca="1" si="81"/>
        <v>0.12308686295828886</v>
      </c>
      <c r="E1682" s="32">
        <v>0.12087167472973892</v>
      </c>
      <c r="F1682" s="35">
        <f t="shared" ca="1" si="80"/>
        <v>2.8909793412523754E-3</v>
      </c>
    </row>
    <row r="1683" spans="1:6" x14ac:dyDescent="0.25">
      <c r="A1683" s="23">
        <v>1682</v>
      </c>
      <c r="B1683" s="7" cm="1">
        <f t="array" aca="1" ref="B1683" ca="1">interpolexp(A1683,serie_du,Taxas_DI)</f>
        <v>0.12376225217174408</v>
      </c>
      <c r="C1683" s="37">
        <f t="shared" ca="1" si="79"/>
        <v>2.1788722951098691</v>
      </c>
      <c r="D1683" s="36">
        <f t="shared" ca="1" si="81"/>
        <v>0.12308686269634572</v>
      </c>
      <c r="E1683" s="32">
        <v>0.12087089734498235</v>
      </c>
      <c r="F1683" s="35">
        <f t="shared" ca="1" si="80"/>
        <v>2.8913548267617273E-3</v>
      </c>
    </row>
    <row r="1684" spans="1:6" x14ac:dyDescent="0.25">
      <c r="A1684" s="23">
        <v>1683</v>
      </c>
      <c r="B1684" s="7" cm="1">
        <f t="array" aca="1" ref="B1684" ca="1">interpolexp(A1684,serie_du,Taxas_DI)</f>
        <v>0.12376185075009261</v>
      </c>
      <c r="C1684" s="37">
        <f t="shared" ca="1" si="79"/>
        <v>2.1798761998084997</v>
      </c>
      <c r="D1684" s="36">
        <f t="shared" ca="1" si="81"/>
        <v>0.12308686245026434</v>
      </c>
      <c r="E1684" s="32">
        <v>0.12087012088406457</v>
      </c>
      <c r="F1684" s="35">
        <f t="shared" ca="1" si="80"/>
        <v>2.8917298660280366E-3</v>
      </c>
    </row>
    <row r="1685" spans="1:6" x14ac:dyDescent="0.25">
      <c r="A1685" s="23">
        <v>1684</v>
      </c>
      <c r="B1685" s="7" cm="1">
        <f t="array" aca="1" ref="B1685" ca="1">interpolexp(A1685,serie_du,Taxas_DI)</f>
        <v>0.1237614498051931</v>
      </c>
      <c r="C1685" s="37">
        <f t="shared" ca="1" si="79"/>
        <v>2.1808805670494822</v>
      </c>
      <c r="D1685" s="36">
        <f t="shared" ca="1" si="81"/>
        <v>0.12308686221626441</v>
      </c>
      <c r="E1685" s="32">
        <v>0.12086934534532023</v>
      </c>
      <c r="F1685" s="35">
        <f t="shared" ca="1" si="80"/>
        <v>2.8921044598728685E-3</v>
      </c>
    </row>
    <row r="1686" spans="1:6" x14ac:dyDescent="0.25">
      <c r="A1686" s="23">
        <v>1685</v>
      </c>
      <c r="B1686" s="7" cm="1">
        <f t="array" aca="1" ref="B1686" ca="1">interpolexp(A1686,serie_du,Taxas_DI)</f>
        <v>0.1237610493362018</v>
      </c>
      <c r="C1686" s="37">
        <f t="shared" ca="1" si="79"/>
        <v>2.1818853970459986</v>
      </c>
      <c r="D1686" s="36">
        <f t="shared" ca="1" si="81"/>
        <v>0.12308686199133856</v>
      </c>
      <c r="E1686" s="32">
        <v>0.12086857072708401</v>
      </c>
      <c r="F1686" s="35">
        <f t="shared" ca="1" si="80"/>
        <v>2.8924786091177879E-3</v>
      </c>
    </row>
    <row r="1687" spans="1:6" x14ac:dyDescent="0.25">
      <c r="A1687" s="23">
        <v>1686</v>
      </c>
      <c r="B1687" s="7" cm="1">
        <f t="array" aca="1" ref="B1687" ca="1">interpolexp(A1687,serie_du,Taxas_DI)</f>
        <v>0.12376064934227493</v>
      </c>
      <c r="C1687" s="37">
        <f t="shared" ca="1" si="79"/>
        <v>2.1828906900113028</v>
      </c>
      <c r="D1687" s="36">
        <f t="shared" ca="1" si="81"/>
        <v>0.12308686177199579</v>
      </c>
      <c r="E1687" s="32">
        <v>0.12086779702775718</v>
      </c>
      <c r="F1687" s="35">
        <f t="shared" ca="1" si="80"/>
        <v>2.8928523145177465E-3</v>
      </c>
    </row>
    <row r="1688" spans="1:6" x14ac:dyDescent="0.25">
      <c r="A1688" s="23">
        <v>1687</v>
      </c>
      <c r="B1688" s="7" cm="1">
        <f t="array" aca="1" ref="B1688" ca="1">interpolexp(A1688,serie_du,Taxas_DI)</f>
        <v>0.12376024982252432</v>
      </c>
      <c r="C1688" s="37">
        <f t="shared" ca="1" si="79"/>
        <v>2.1838964461581418</v>
      </c>
      <c r="D1688" s="36">
        <f t="shared" ca="1" si="81"/>
        <v>0.12308686147983683</v>
      </c>
      <c r="E1688" s="32">
        <v>0.12086702424567441</v>
      </c>
      <c r="F1688" s="35">
        <f t="shared" ca="1" si="80"/>
        <v>2.8932255768499004E-3</v>
      </c>
    </row>
    <row r="1689" spans="1:6" x14ac:dyDescent="0.25">
      <c r="A1689" s="23">
        <v>1688</v>
      </c>
      <c r="B1689" s="7" cm="1">
        <f t="array" aca="1" ref="B1689" ca="1">interpolexp(A1689,serie_du,Taxas_DI)</f>
        <v>0.1237598507761728</v>
      </c>
      <c r="C1689" s="37">
        <f t="shared" ca="1" si="79"/>
        <v>2.1849026657007804</v>
      </c>
      <c r="D1689" s="36">
        <f t="shared" ca="1" si="81"/>
        <v>0.1230868612988183</v>
      </c>
      <c r="E1689" s="32">
        <v>0.12086625237921478</v>
      </c>
      <c r="F1689" s="35">
        <f t="shared" ca="1" si="80"/>
        <v>2.8935983969580192E-3</v>
      </c>
    </row>
    <row r="1690" spans="1:6" x14ac:dyDescent="0.25">
      <c r="A1690" s="23">
        <v>1689</v>
      </c>
      <c r="B1690" s="7" cm="1">
        <f t="array" aca="1" ref="B1690" ca="1">interpolexp(A1690,serie_du,Taxas_DI)</f>
        <v>0.1237594522023322</v>
      </c>
      <c r="C1690" s="37">
        <f t="shared" ca="1" si="79"/>
        <v>2.18590934885211</v>
      </c>
      <c r="D1690" s="36">
        <f t="shared" ca="1" si="81"/>
        <v>0.12308686103826738</v>
      </c>
      <c r="E1690" s="32">
        <v>0.12086548142675735</v>
      </c>
      <c r="F1690" s="35">
        <f t="shared" ca="1" si="80"/>
        <v>2.8939707755748501E-3</v>
      </c>
    </row>
    <row r="1691" spans="1:6" x14ac:dyDescent="0.25">
      <c r="A1691" s="23">
        <v>1690</v>
      </c>
      <c r="B1691" s="7" cm="1">
        <f t="array" aca="1" ref="B1691" ca="1">interpolexp(A1691,serie_du,Taxas_DI)</f>
        <v>0.12375905410018095</v>
      </c>
      <c r="C1691" s="37">
        <f t="shared" ca="1" si="79"/>
        <v>2.186916495825963</v>
      </c>
      <c r="D1691" s="36">
        <f t="shared" ca="1" si="81"/>
        <v>0.12308686080727038</v>
      </c>
      <c r="E1691" s="32">
        <v>0.1208647113866812</v>
      </c>
      <c r="F1691" s="35">
        <f t="shared" ca="1" si="80"/>
        <v>2.8943427134997535E-3</v>
      </c>
    </row>
    <row r="1692" spans="1:6" x14ac:dyDescent="0.25">
      <c r="A1692" s="23">
        <v>1691</v>
      </c>
      <c r="B1692" s="7" cm="1">
        <f t="array" aca="1" ref="B1692" ca="1">interpolexp(A1692,serie_du,Taxas_DI)</f>
        <v>0.12375865646887529</v>
      </c>
      <c r="C1692" s="37">
        <f t="shared" ca="1" si="79"/>
        <v>2.1879241068359536</v>
      </c>
      <c r="D1692" s="36">
        <f t="shared" ca="1" si="81"/>
        <v>0.12308686056495888</v>
      </c>
      <c r="E1692" s="32">
        <v>0.1208639422573432</v>
      </c>
      <c r="F1692" s="35">
        <f t="shared" ca="1" si="80"/>
        <v>2.8947142115320901E-3</v>
      </c>
    </row>
    <row r="1693" spans="1:6" x14ac:dyDescent="0.25">
      <c r="A1693" s="23">
        <v>1692</v>
      </c>
      <c r="B1693" s="7" cm="1">
        <f t="array" aca="1" ref="B1693" ca="1">interpolexp(A1693,serie_du,Taxas_DI)</f>
        <v>0.12375825930759365</v>
      </c>
      <c r="C1693" s="37">
        <f t="shared" ca="1" si="79"/>
        <v>2.1889321820960594</v>
      </c>
      <c r="D1693" s="36">
        <f t="shared" ca="1" si="81"/>
        <v>0.12308686034549687</v>
      </c>
      <c r="E1693" s="32">
        <v>0.12086317403716684</v>
      </c>
      <c r="F1693" s="35">
        <f t="shared" ca="1" si="80"/>
        <v>2.8950852704268115E-3</v>
      </c>
    </row>
    <row r="1694" spans="1:6" x14ac:dyDescent="0.25">
      <c r="A1694" s="23">
        <v>1693</v>
      </c>
      <c r="B1694" s="7" cm="1">
        <f t="array" aca="1" ref="B1694" ca="1">interpolexp(A1694,serie_du,Taxas_DI)</f>
        <v>0.12375786261547006</v>
      </c>
      <c r="C1694" s="37">
        <f t="shared" ca="1" si="79"/>
        <v>2.1899407218197497</v>
      </c>
      <c r="D1694" s="36">
        <f t="shared" ca="1" si="81"/>
        <v>0.12308686007037317</v>
      </c>
      <c r="E1694" s="32">
        <v>0.12086240672450899</v>
      </c>
      <c r="F1694" s="35">
        <f t="shared" ca="1" si="80"/>
        <v>2.8954558909610739E-3</v>
      </c>
    </row>
    <row r="1695" spans="1:6" x14ac:dyDescent="0.25">
      <c r="A1695" s="23">
        <v>1694</v>
      </c>
      <c r="B1695" s="7" cm="1">
        <f t="array" aca="1" ref="B1695" ca="1">interpolexp(A1695,serie_du,Taxas_DI)</f>
        <v>0.12375746639172736</v>
      </c>
      <c r="C1695" s="37">
        <f t="shared" ca="1" si="79"/>
        <v>2.1909497262217292</v>
      </c>
      <c r="D1695" s="36">
        <f t="shared" ca="1" si="81"/>
        <v>0.12308685988669588</v>
      </c>
      <c r="E1695" s="32">
        <v>0.12086164031777091</v>
      </c>
      <c r="F1695" s="35">
        <f t="shared" ca="1" si="80"/>
        <v>2.8958260739564423E-3</v>
      </c>
    </row>
    <row r="1696" spans="1:6" x14ac:dyDescent="0.25">
      <c r="A1696" s="23">
        <v>1695</v>
      </c>
      <c r="B1696" s="7" cm="1">
        <f t="array" aca="1" ref="B1696" ca="1">interpolexp(A1696,serie_du,Taxas_DI)</f>
        <v>0.12375707063549957</v>
      </c>
      <c r="C1696" s="37">
        <f t="shared" ca="1" si="79"/>
        <v>2.1919591955156128</v>
      </c>
      <c r="D1696" s="36">
        <f t="shared" ca="1" si="81"/>
        <v>0.1230868596407737</v>
      </c>
      <c r="E1696" s="32">
        <v>0.12086087481537611</v>
      </c>
      <c r="F1696" s="35">
        <f t="shared" ca="1" si="80"/>
        <v>2.8961958201234594E-3</v>
      </c>
    </row>
    <row r="1697" spans="1:6" x14ac:dyDescent="0.25">
      <c r="A1697" s="23">
        <v>1696</v>
      </c>
      <c r="B1697" s="7" cm="1">
        <f t="array" aca="1" ref="B1697" ca="1">interpolexp(A1697,serie_du,Taxas_DI)</f>
        <v>0.12375667534594292</v>
      </c>
      <c r="C1697" s="37">
        <f t="shared" ca="1" si="79"/>
        <v>2.1929691299153782</v>
      </c>
      <c r="D1697" s="36">
        <f t="shared" ca="1" si="81"/>
        <v>0.12308685936678376</v>
      </c>
      <c r="E1697" s="32">
        <v>0.12086011021568144</v>
      </c>
      <c r="F1697" s="35">
        <f t="shared" ca="1" si="80"/>
        <v>2.8965651302614859E-3</v>
      </c>
    </row>
    <row r="1698" spans="1:6" x14ac:dyDescent="0.25">
      <c r="A1698" s="23">
        <v>1697</v>
      </c>
      <c r="B1698" s="7" cm="1">
        <f t="array" aca="1" ref="B1698" ca="1">interpolexp(A1698,serie_du,Taxas_DI)</f>
        <v>0.12375628052228027</v>
      </c>
      <c r="C1698" s="37">
        <f t="shared" ca="1" si="79"/>
        <v>2.1939795296359503</v>
      </c>
      <c r="D1698" s="36">
        <f t="shared" ca="1" si="81"/>
        <v>0.12308685917430329</v>
      </c>
      <c r="E1698" s="32">
        <v>0.12085934651711039</v>
      </c>
      <c r="F1698" s="35">
        <f t="shared" ca="1" si="80"/>
        <v>2.8969340051698822E-3</v>
      </c>
    </row>
    <row r="1699" spans="1:6" x14ac:dyDescent="0.25">
      <c r="A1699" s="23">
        <v>1698</v>
      </c>
      <c r="B1699" s="7" cm="1">
        <f t="array" aca="1" ref="B1699" ca="1">interpolexp(A1699,serie_du,Taxas_DI)</f>
        <v>0.12375588616366784</v>
      </c>
      <c r="C1699" s="37">
        <f t="shared" ca="1" si="79"/>
        <v>2.194990394891454</v>
      </c>
      <c r="D1699" s="36">
        <f t="shared" ca="1" si="81"/>
        <v>0.12308685894724714</v>
      </c>
      <c r="E1699" s="32">
        <v>0.12085858371808644</v>
      </c>
      <c r="F1699" s="35">
        <f t="shared" ca="1" si="80"/>
        <v>2.8973024455813956E-3</v>
      </c>
    </row>
    <row r="1700" spans="1:6" x14ac:dyDescent="0.25">
      <c r="A1700" s="23">
        <v>1699</v>
      </c>
      <c r="B1700" s="7" cm="1">
        <f t="array" aca="1" ref="B1700" ca="1">interpolexp(A1700,serie_du,Taxas_DI)</f>
        <v>0.12375549226926186</v>
      </c>
      <c r="C1700" s="37">
        <f t="shared" ca="1" si="79"/>
        <v>2.1960017258960862</v>
      </c>
      <c r="D1700" s="36">
        <f t="shared" ca="1" si="81"/>
        <v>0.12308685868230729</v>
      </c>
      <c r="E1700" s="32">
        <v>0.12085782181701088</v>
      </c>
      <c r="F1700" s="35">
        <f t="shared" ca="1" si="80"/>
        <v>2.8976704522509777E-3</v>
      </c>
    </row>
    <row r="1701" spans="1:6" x14ac:dyDescent="0.25">
      <c r="A1701" s="23">
        <v>1700</v>
      </c>
      <c r="B1701" s="7" cm="1">
        <f t="array" aca="1" ref="B1701" ca="1">interpolexp(A1701,serie_du,Taxas_DI)</f>
        <v>0.12375509883828517</v>
      </c>
      <c r="C1701" s="37">
        <f t="shared" ca="1" si="79"/>
        <v>2.1970135228649932</v>
      </c>
      <c r="D1701" s="36">
        <f t="shared" ca="1" si="81"/>
        <v>0.12308685848901324</v>
      </c>
      <c r="E1701" s="32">
        <v>0.12085706081228498</v>
      </c>
      <c r="F1701" s="35">
        <f t="shared" ca="1" si="80"/>
        <v>2.8980380260001937E-3</v>
      </c>
    </row>
    <row r="1702" spans="1:6" x14ac:dyDescent="0.25">
      <c r="A1702" s="23">
        <v>1701</v>
      </c>
      <c r="B1702" s="7" cm="1">
        <f t="array" aca="1" ref="B1702" ca="1">interpolexp(A1702,serie_du,Taxas_DI)</f>
        <v>0.12375470586987181</v>
      </c>
      <c r="C1702" s="37">
        <f t="shared" ca="1" si="79"/>
        <v>2.1980257860122268</v>
      </c>
      <c r="D1702" s="36">
        <f t="shared" ca="1" si="81"/>
        <v>0.12308685821363885</v>
      </c>
      <c r="E1702" s="32">
        <v>0.12085630070233222</v>
      </c>
      <c r="F1702" s="35">
        <f t="shared" ca="1" si="80"/>
        <v>2.8984051675395861E-3</v>
      </c>
    </row>
    <row r="1703" spans="1:6" x14ac:dyDescent="0.25">
      <c r="A1703" s="23">
        <v>1702</v>
      </c>
      <c r="B1703" s="7" cm="1">
        <f t="array" aca="1" ref="B1703" ca="1">interpolexp(A1703,serie_du,Taxas_DI)</f>
        <v>0.12375431336326681</v>
      </c>
      <c r="C1703" s="37">
        <f t="shared" ca="1" si="79"/>
        <v>2.1990385155533745</v>
      </c>
      <c r="D1703" s="36">
        <f t="shared" ca="1" si="81"/>
        <v>0.12308685804123898</v>
      </c>
      <c r="E1703" s="32">
        <v>0.12085554148559829</v>
      </c>
      <c r="F1703" s="35">
        <f t="shared" ca="1" si="80"/>
        <v>2.8987718776685156E-3</v>
      </c>
    </row>
    <row r="1704" spans="1:6" x14ac:dyDescent="0.25">
      <c r="A1704" s="23">
        <v>1703</v>
      </c>
      <c r="B1704" s="7" cm="1">
        <f t="array" aca="1" ref="B1704" ca="1">interpolexp(A1704,serie_du,Taxas_DI)</f>
        <v>0.12375392131760421</v>
      </c>
      <c r="C1704" s="37">
        <f t="shared" ca="1" si="79"/>
        <v>2.2000517117026335</v>
      </c>
      <c r="D1704" s="36">
        <f t="shared" ca="1" si="81"/>
        <v>0.12308685778005413</v>
      </c>
      <c r="E1704" s="32">
        <v>0.12085478316048448</v>
      </c>
      <c r="F1704" s="35">
        <f t="shared" ca="1" si="80"/>
        <v>2.8991381571197294E-3</v>
      </c>
    </row>
    <row r="1705" spans="1:6" x14ac:dyDescent="0.25">
      <c r="A1705" s="23">
        <v>1704</v>
      </c>
      <c r="B1705" s="7" cm="1">
        <f t="array" aca="1" ref="B1705" ca="1">interpolexp(A1705,serie_du,Taxas_DI)</f>
        <v>0.12375352973208464</v>
      </c>
      <c r="C1705" s="37">
        <f t="shared" ca="1" si="79"/>
        <v>2.201065374675153</v>
      </c>
      <c r="D1705" s="36">
        <f t="shared" ca="1" si="81"/>
        <v>0.12308685753994131</v>
      </c>
      <c r="E1705" s="32">
        <v>0.12085402572541426</v>
      </c>
      <c r="F1705" s="35">
        <f t="shared" ca="1" si="80"/>
        <v>2.8995040066703837E-3</v>
      </c>
    </row>
    <row r="1706" spans="1:6" x14ac:dyDescent="0.25">
      <c r="A1706" s="23">
        <v>1705</v>
      </c>
      <c r="B1706" s="7" cm="1">
        <f t="array" aca="1" ref="B1706" ca="1">interpolexp(A1706,serie_du,Taxas_DI)</f>
        <v>0.12375313860590875</v>
      </c>
      <c r="C1706" s="37">
        <f t="shared" ca="1" si="79"/>
        <v>2.2020795046861581</v>
      </c>
      <c r="D1706" s="36">
        <f t="shared" ca="1" si="81"/>
        <v>0.1230868573177939</v>
      </c>
      <c r="E1706" s="32">
        <v>0.12085326917885553</v>
      </c>
      <c r="F1706" s="35">
        <f t="shared" ca="1" si="80"/>
        <v>2.8998694270532255E-3</v>
      </c>
    </row>
    <row r="1707" spans="1:6" x14ac:dyDescent="0.25">
      <c r="A1707" s="23">
        <v>1706</v>
      </c>
      <c r="B1707" s="7" cm="1">
        <f t="array" aca="1" ref="B1707" ca="1">interpolexp(A1707,serie_du,Taxas_DI)</f>
        <v>0.12375274793825497</v>
      </c>
      <c r="C1707" s="37">
        <f t="shared" ca="1" si="79"/>
        <v>2.2030941019506516</v>
      </c>
      <c r="D1707" s="36">
        <f t="shared" ca="1" si="81"/>
        <v>0.12308685707240663</v>
      </c>
      <c r="E1707" s="32">
        <v>0.12085251351923176</v>
      </c>
      <c r="F1707" s="35">
        <f t="shared" ca="1" si="80"/>
        <v>2.9002344190232066E-3</v>
      </c>
    </row>
    <row r="1708" spans="1:6" x14ac:dyDescent="0.25">
      <c r="A1708" s="23">
        <v>1707</v>
      </c>
      <c r="B1708" s="7" cm="1">
        <f t="array" aca="1" ref="B1708" ca="1">interpolexp(A1708,serie_du,Taxas_DI)</f>
        <v>0.12375235772834614</v>
      </c>
      <c r="C1708" s="37">
        <f t="shared" ca="1" si="79"/>
        <v>2.2041091666843018</v>
      </c>
      <c r="D1708" s="36">
        <f t="shared" ca="1" si="81"/>
        <v>0.12308685687649557</v>
      </c>
      <c r="E1708" s="32">
        <v>0.12085175874496645</v>
      </c>
      <c r="F1708" s="35">
        <f t="shared" ca="1" si="80"/>
        <v>2.9005989833796875E-3</v>
      </c>
    </row>
    <row r="1709" spans="1:6" x14ac:dyDescent="0.25">
      <c r="A1709" s="23">
        <v>1708</v>
      </c>
      <c r="B1709" s="7" cm="1">
        <f t="array" aca="1" ref="B1709" ca="1">interpolexp(A1709,serie_du,Taxas_DI)</f>
        <v>0.12375196797533849</v>
      </c>
      <c r="C1709" s="37">
        <f t="shared" ca="1" si="79"/>
        <v>2.2051246991019653</v>
      </c>
      <c r="D1709" s="36">
        <f t="shared" ca="1" si="81"/>
        <v>0.12308685661304031</v>
      </c>
      <c r="E1709" s="32">
        <v>0.12085100485450528</v>
      </c>
      <c r="F1709" s="35">
        <f t="shared" ca="1" si="80"/>
        <v>2.900963120833211E-3</v>
      </c>
    </row>
    <row r="1710" spans="1:6" x14ac:dyDescent="0.25">
      <c r="A1710" s="23">
        <v>1709</v>
      </c>
      <c r="B1710" s="7" cm="1">
        <f t="array" aca="1" ref="B1710" ca="1">interpolexp(A1710,serie_du,Taxas_DI)</f>
        <v>0.12375157867847708</v>
      </c>
      <c r="C1710" s="37">
        <f t="shared" ca="1" si="79"/>
        <v>2.2061406994197532</v>
      </c>
      <c r="D1710" s="36">
        <f t="shared" ca="1" si="81"/>
        <v>0.12308685643036488</v>
      </c>
      <c r="E1710" s="32">
        <v>0.12085025184633835</v>
      </c>
      <c r="F1710" s="35">
        <f t="shared" ca="1" si="80"/>
        <v>2.9013268321387287E-3</v>
      </c>
    </row>
    <row r="1711" spans="1:6" x14ac:dyDescent="0.25">
      <c r="A1711" s="23">
        <v>1710</v>
      </c>
      <c r="B1711" s="7" cm="1">
        <f t="array" aca="1" ref="B1711" ca="1">interpolexp(A1711,serie_du,Taxas_DI)</f>
        <v>0.12375118983691813</v>
      </c>
      <c r="C1711" s="37">
        <f t="shared" ca="1" si="79"/>
        <v>2.2071571678526705</v>
      </c>
      <c r="D1711" s="36">
        <f t="shared" ca="1" si="81"/>
        <v>0.12308685617376014</v>
      </c>
      <c r="E1711" s="32">
        <v>0.12084949971886694</v>
      </c>
      <c r="F1711" s="35">
        <f t="shared" ca="1" si="80"/>
        <v>2.9016901180511923E-3</v>
      </c>
    </row>
    <row r="1712" spans="1:6" x14ac:dyDescent="0.25">
      <c r="A1712" s="23">
        <v>1711</v>
      </c>
      <c r="B1712" s="7" cm="1">
        <f t="array" aca="1" ref="B1712" ca="1">interpolexp(A1712,serie_du,Taxas_DI)</f>
        <v>0.12375080144988448</v>
      </c>
      <c r="C1712" s="37">
        <f t="shared" ca="1" si="79"/>
        <v>2.2081741046166821</v>
      </c>
      <c r="D1712" s="36">
        <f t="shared" ca="1" si="81"/>
        <v>0.12308685595379587</v>
      </c>
      <c r="E1712" s="32">
        <v>0.12084874847058114</v>
      </c>
      <c r="F1712" s="35">
        <f t="shared" ca="1" si="80"/>
        <v>2.9020529793033489E-3</v>
      </c>
    </row>
    <row r="1713" spans="1:6" x14ac:dyDescent="0.25">
      <c r="A1713" s="23">
        <v>1712</v>
      </c>
      <c r="B1713" s="7" cm="1">
        <f t="array" aca="1" ref="B1713" ca="1">interpolexp(A1713,serie_du,Taxas_DI)</f>
        <v>0.12375041351655458</v>
      </c>
      <c r="C1713" s="37">
        <f t="shared" ca="1" si="79"/>
        <v>2.2091915099272366</v>
      </c>
      <c r="D1713" s="36">
        <f t="shared" ca="1" si="81"/>
        <v>0.12308685569136157</v>
      </c>
      <c r="E1713" s="32">
        <v>0.12084799809990443</v>
      </c>
      <c r="F1713" s="35">
        <f t="shared" ca="1" si="80"/>
        <v>2.9024154166501503E-3</v>
      </c>
    </row>
    <row r="1714" spans="1:6" x14ac:dyDescent="0.25">
      <c r="A1714" s="23">
        <v>1713</v>
      </c>
      <c r="B1714" s="7" cm="1">
        <f t="array" aca="1" ref="B1714" ca="1">interpolexp(A1714,serie_du,Taxas_DI)</f>
        <v>0.12375002603617347</v>
      </c>
      <c r="C1714" s="37">
        <f t="shared" ca="1" si="79"/>
        <v>2.210209384000744</v>
      </c>
      <c r="D1714" s="36">
        <f t="shared" ca="1" si="81"/>
        <v>0.1230868554969835</v>
      </c>
      <c r="E1714" s="32">
        <v>0.12084724860534912</v>
      </c>
      <c r="F1714" s="35">
        <f t="shared" ca="1" si="80"/>
        <v>2.9027774308243437E-3</v>
      </c>
    </row>
    <row r="1715" spans="1:6" x14ac:dyDescent="0.25">
      <c r="A1715" s="23">
        <v>1714</v>
      </c>
      <c r="B1715" s="7" cm="1">
        <f t="array" aca="1" ref="B1715" ca="1">interpolexp(A1715,serie_du,Taxas_DI)</f>
        <v>0.12374963900794178</v>
      </c>
      <c r="C1715" s="37">
        <f t="shared" ca="1" si="79"/>
        <v>2.2112277270531</v>
      </c>
      <c r="D1715" s="36">
        <f t="shared" ca="1" si="81"/>
        <v>0.1230868552919635</v>
      </c>
      <c r="E1715" s="32">
        <v>0.1208464999853387</v>
      </c>
      <c r="F1715" s="35">
        <f t="shared" ca="1" si="80"/>
        <v>2.9031390226030851E-3</v>
      </c>
    </row>
    <row r="1716" spans="1:6" x14ac:dyDescent="0.25">
      <c r="A1716" s="23">
        <v>1715</v>
      </c>
      <c r="B1716" s="7" cm="1">
        <f t="array" aca="1" ref="B1716" ca="1">interpolexp(A1716,serie_du,Taxas_DI)</f>
        <v>0.12374925243103796</v>
      </c>
      <c r="C1716" s="37">
        <f t="shared" ca="1" si="79"/>
        <v>2.2122465392999744</v>
      </c>
      <c r="D1716" s="36">
        <f t="shared" ca="1" si="81"/>
        <v>0.12308685503465999</v>
      </c>
      <c r="E1716" s="32">
        <v>0.12084575223838545</v>
      </c>
      <c r="F1716" s="35">
        <f t="shared" ca="1" si="80"/>
        <v>2.9035001926525084E-3</v>
      </c>
    </row>
    <row r="1717" spans="1:6" x14ac:dyDescent="0.25">
      <c r="A1717" s="23">
        <v>1716</v>
      </c>
      <c r="B1717" s="7" cm="1">
        <f t="array" aca="1" ref="B1717" ca="1">interpolexp(A1717,serie_du,Taxas_DI)</f>
        <v>0.12374886630470705</v>
      </c>
      <c r="C1717" s="37">
        <f t="shared" ca="1" si="79"/>
        <v>2.2132658209580049</v>
      </c>
      <c r="D1717" s="36">
        <f t="shared" ca="1" si="81"/>
        <v>0.12308685483630111</v>
      </c>
      <c r="E1717" s="32">
        <v>0.12084500536291287</v>
      </c>
      <c r="F1717" s="35">
        <f t="shared" ca="1" si="80"/>
        <v>2.9038609417941785E-3</v>
      </c>
    </row>
    <row r="1718" spans="1:6" x14ac:dyDescent="0.25">
      <c r="A1718" s="23">
        <v>1717</v>
      </c>
      <c r="B1718" s="7" cm="1">
        <f t="array" aca="1" ref="B1718" ca="1">interpolexp(A1718,serie_du,Taxas_DI)</f>
        <v>0.12374848062812749</v>
      </c>
      <c r="C1718" s="37">
        <f t="shared" ca="1" si="79"/>
        <v>2.2142855722430119</v>
      </c>
      <c r="D1718" s="36">
        <f t="shared" ca="1" si="81"/>
        <v>0.12308685457944613</v>
      </c>
      <c r="E1718" s="32">
        <v>0.12084425935743326</v>
      </c>
      <c r="F1718" s="35">
        <f t="shared" ca="1" si="80"/>
        <v>2.9042212706942294E-3</v>
      </c>
    </row>
    <row r="1719" spans="1:6" x14ac:dyDescent="0.25">
      <c r="A1719" s="23">
        <v>1718</v>
      </c>
      <c r="B1719" s="7" cm="1">
        <f t="array" aca="1" ref="B1719" ca="1">interpolexp(A1719,serie_du,Taxas_DI)</f>
        <v>0.12374809540054432</v>
      </c>
      <c r="C1719" s="37">
        <f t="shared" ca="1" si="79"/>
        <v>2.2153057933717828</v>
      </c>
      <c r="D1719" s="36">
        <f t="shared" ca="1" si="81"/>
        <v>0.12308685437517597</v>
      </c>
      <c r="E1719" s="32">
        <v>0.12084351422041451</v>
      </c>
      <c r="F1719" s="35">
        <f t="shared" ca="1" si="80"/>
        <v>2.9045811801298171E-3</v>
      </c>
    </row>
    <row r="1720" spans="1:6" x14ac:dyDescent="0.25">
      <c r="A1720" s="23">
        <v>1719</v>
      </c>
      <c r="B1720" s="7" cm="1">
        <f t="array" aca="1" ref="B1720" ca="1">interpolexp(A1720,serie_du,Taxas_DI)</f>
        <v>0.12374771062115819</v>
      </c>
      <c r="C1720" s="37">
        <f t="shared" ca="1" si="79"/>
        <v>2.2163264845605863</v>
      </c>
      <c r="D1720" s="36">
        <f t="shared" ca="1" si="81"/>
        <v>0.12308685414434217</v>
      </c>
      <c r="E1720" s="32">
        <v>0.12084276995034671</v>
      </c>
      <c r="F1720" s="35">
        <f t="shared" ca="1" si="80"/>
        <v>2.9049406708114844E-3</v>
      </c>
    </row>
    <row r="1721" spans="1:6" x14ac:dyDescent="0.25">
      <c r="A1721" s="23">
        <v>1720</v>
      </c>
      <c r="B1721" s="7" cm="1">
        <f t="array" aca="1" ref="B1721" ca="1">interpolexp(A1721,serie_du,Taxas_DI)</f>
        <v>0.12374732628919194</v>
      </c>
      <c r="C1721" s="37">
        <f t="shared" ca="1" si="79"/>
        <v>2.2173476460260626</v>
      </c>
      <c r="D1721" s="36">
        <f t="shared" ca="1" si="81"/>
        <v>0.12308685392158702</v>
      </c>
      <c r="E1721" s="32">
        <v>0.12084202654569776</v>
      </c>
      <c r="F1721" s="35">
        <f t="shared" ca="1" si="80"/>
        <v>2.905299743494183E-3</v>
      </c>
    </row>
    <row r="1722" spans="1:6" x14ac:dyDescent="0.25">
      <c r="A1722" s="23">
        <v>1721</v>
      </c>
      <c r="B1722" s="7" cm="1">
        <f t="array" aca="1" ref="B1722" ca="1">interpolexp(A1722,serie_du,Taxas_DI)</f>
        <v>0.12374694240386841</v>
      </c>
      <c r="C1722" s="37">
        <f t="shared" ca="1" si="79"/>
        <v>2.2183692779849284</v>
      </c>
      <c r="D1722" s="36">
        <f t="shared" ca="1" si="81"/>
        <v>0.12308685370406702</v>
      </c>
      <c r="E1722" s="32">
        <v>0.12084128400500216</v>
      </c>
      <c r="F1722" s="35">
        <f t="shared" ca="1" si="80"/>
        <v>2.905658398866251E-3</v>
      </c>
    </row>
    <row r="1723" spans="1:6" x14ac:dyDescent="0.25">
      <c r="A1723" s="23">
        <v>1722</v>
      </c>
      <c r="B1723" s="7" cm="1">
        <f t="array" aca="1" ref="B1723" ca="1">interpolexp(A1723,serie_du,Taxas_DI)</f>
        <v>0.12374655896441045</v>
      </c>
      <c r="C1723" s="37">
        <f t="shared" ca="1" si="79"/>
        <v>2.2193913806539758</v>
      </c>
      <c r="D1723" s="36">
        <f t="shared" ca="1" si="81"/>
        <v>0.12308685348863069</v>
      </c>
      <c r="E1723" s="32">
        <v>0.1208405423267056</v>
      </c>
      <c r="F1723" s="35">
        <f t="shared" ca="1" si="80"/>
        <v>2.9060166377048446E-3</v>
      </c>
    </row>
    <row r="1724" spans="1:6" x14ac:dyDescent="0.25">
      <c r="A1724" s="23">
        <v>1723</v>
      </c>
      <c r="B1724" s="7" cm="1">
        <f t="array" aca="1" ref="B1724" ca="1">interpolexp(A1724,serie_du,Taxas_DI)</f>
        <v>0.12374617597001869</v>
      </c>
      <c r="C1724" s="37">
        <f t="shared" ca="1" si="79"/>
        <v>2.2204139542497727</v>
      </c>
      <c r="D1724" s="36">
        <f t="shared" ca="1" si="81"/>
        <v>0.12308685323397039</v>
      </c>
      <c r="E1724" s="32">
        <v>0.12083980150934259</v>
      </c>
      <c r="F1724" s="35">
        <f t="shared" ca="1" si="80"/>
        <v>2.9063744606760977E-3</v>
      </c>
    </row>
    <row r="1725" spans="1:6" x14ac:dyDescent="0.25">
      <c r="A1725" s="23">
        <v>1724</v>
      </c>
      <c r="B1725" s="7" cm="1">
        <f t="array" aca="1" ref="B1725" ca="1">interpolexp(A1725,serie_du,Taxas_DI)</f>
        <v>0.12374579341996039</v>
      </c>
      <c r="C1725" s="37">
        <f t="shared" ca="1" si="79"/>
        <v>2.2214369989898617</v>
      </c>
      <c r="D1725" s="36">
        <f t="shared" ca="1" si="81"/>
        <v>0.12308685305151434</v>
      </c>
      <c r="E1725" s="32">
        <v>0.12083906155140323</v>
      </c>
      <c r="F1725" s="35">
        <f t="shared" ca="1" si="80"/>
        <v>2.9067318685571664E-3</v>
      </c>
    </row>
    <row r="1726" spans="1:6" x14ac:dyDescent="0.25">
      <c r="A1726" s="23">
        <v>1725</v>
      </c>
      <c r="B1726" s="7" cm="1">
        <f t="array" aca="1" ref="B1726" ca="1">interpolexp(A1726,serie_du,Taxas_DI)</f>
        <v>0.12374541131343619</v>
      </c>
      <c r="C1726" s="37">
        <f t="shared" ca="1" si="79"/>
        <v>2.2224605150909613</v>
      </c>
      <c r="D1726" s="36">
        <f t="shared" ca="1" si="81"/>
        <v>0.12308685282354626</v>
      </c>
      <c r="E1726" s="32">
        <v>0.1208383224513776</v>
      </c>
      <c r="F1726" s="35">
        <f t="shared" ca="1" si="80"/>
        <v>2.9070888620585933E-3</v>
      </c>
    </row>
    <row r="1727" spans="1:6" x14ac:dyDescent="0.25">
      <c r="A1727" s="23">
        <v>1726</v>
      </c>
      <c r="B1727" s="7" cm="1">
        <f t="array" aca="1" ref="B1727" ca="1">interpolexp(A1727,serie_du,Taxas_DI)</f>
        <v>0.12374502964966894</v>
      </c>
      <c r="C1727" s="37">
        <f t="shared" ca="1" si="79"/>
        <v>2.223484502770166</v>
      </c>
      <c r="D1727" s="36">
        <f t="shared" ca="1" si="81"/>
        <v>0.1230868525853086</v>
      </c>
      <c r="E1727" s="32">
        <v>0.12083758420780022</v>
      </c>
      <c r="F1727" s="35">
        <f t="shared" ca="1" si="80"/>
        <v>2.9074454418687168E-3</v>
      </c>
    </row>
    <row r="1728" spans="1:6" x14ac:dyDescent="0.25">
      <c r="A1728" s="23">
        <v>1727</v>
      </c>
      <c r="B1728" s="7" cm="1">
        <f t="array" aca="1" ref="B1728" ca="1">interpolexp(A1728,serie_du,Taxas_DI)</f>
        <v>0.12374464842790367</v>
      </c>
      <c r="C1728" s="37">
        <f t="shared" ca="1" si="79"/>
        <v>2.2245089622449465</v>
      </c>
      <c r="D1728" s="36">
        <f t="shared" ca="1" si="81"/>
        <v>0.12308685237186845</v>
      </c>
      <c r="E1728" s="32">
        <v>0.12083684681918339</v>
      </c>
      <c r="F1728" s="35">
        <f t="shared" ca="1" si="80"/>
        <v>2.907801608720284E-3</v>
      </c>
    </row>
    <row r="1729" spans="1:6" x14ac:dyDescent="0.25">
      <c r="A1729" s="23">
        <v>1728</v>
      </c>
      <c r="B1729" s="7" cm="1">
        <f t="array" aca="1" ref="B1729" ca="1">interpolexp(A1729,serie_du,Taxas_DI)</f>
        <v>0.12374426764736324</v>
      </c>
      <c r="C1729" s="37">
        <f t="shared" ca="1" si="79"/>
        <v>2.2255338937325488</v>
      </c>
      <c r="D1729" s="36">
        <f t="shared" ca="1" si="81"/>
        <v>0.12308685214183313</v>
      </c>
      <c r="E1729" s="32">
        <v>0.1208361102840172</v>
      </c>
      <c r="F1729" s="35">
        <f t="shared" ca="1" si="80"/>
        <v>2.9081573633460422E-3</v>
      </c>
    </row>
    <row r="1730" spans="1:6" x14ac:dyDescent="0.25">
      <c r="A1730" s="23">
        <v>1729</v>
      </c>
      <c r="B1730" s="7" cm="1">
        <f t="array" aca="1" ref="B1730" ca="1">interpolexp(A1730,serie_du,Taxas_DI)</f>
        <v>0.12374388730729269</v>
      </c>
      <c r="C1730" s="37">
        <f t="shared" ref="C1730:C1793" ca="1" si="82">(1+B1730)^(A1730/252)</f>
        <v>2.2265592974505966</v>
      </c>
      <c r="D1730" s="36">
        <f t="shared" ca="1" si="81"/>
        <v>0.12308685193064495</v>
      </c>
      <c r="E1730" s="32">
        <v>0.12083537460083615</v>
      </c>
      <c r="F1730" s="35">
        <f t="shared" ref="F1730:F1793" ca="1" si="83">B1730-E1730</f>
        <v>2.9085127064565341E-3</v>
      </c>
    </row>
    <row r="1731" spans="1:6" x14ac:dyDescent="0.25">
      <c r="A1731" s="23">
        <v>1730</v>
      </c>
      <c r="B1731" s="7" cm="1">
        <f t="array" aca="1" ref="B1731" ca="1">interpolexp(A1731,serie_du,Taxas_DI)</f>
        <v>0.12374350740691487</v>
      </c>
      <c r="C1731" s="37">
        <f t="shared" ca="1" si="82"/>
        <v>2.2275851736164873</v>
      </c>
      <c r="D1731" s="36">
        <f t="shared" ca="1" si="81"/>
        <v>0.12308685169673628</v>
      </c>
      <c r="E1731" s="32">
        <v>0.12083463976815256</v>
      </c>
      <c r="F1731" s="35">
        <f t="shared" ca="1" si="83"/>
        <v>2.9088676387623025E-3</v>
      </c>
    </row>
    <row r="1732" spans="1:6" x14ac:dyDescent="0.25">
      <c r="A1732" s="23">
        <v>1731</v>
      </c>
      <c r="B1732" s="7" cm="1">
        <f t="array" aca="1" ref="B1732" ca="1">interpolexp(A1732,serie_du,Taxas_DI)</f>
        <v>0.12374312794549702</v>
      </c>
      <c r="C1732" s="37">
        <f t="shared" ca="1" si="82"/>
        <v>2.2286115224482996</v>
      </c>
      <c r="D1732" s="36">
        <f t="shared" ref="D1732:D1795" ca="1" si="84">((((1+B1732)^(A1732/252))/((1+B1731)^(A1731/252)))^(252/1))-1</f>
        <v>0.12308685151388477</v>
      </c>
      <c r="E1732" s="32">
        <v>0.12083390578450093</v>
      </c>
      <c r="F1732" s="35">
        <f t="shared" ca="1" si="83"/>
        <v>2.9092221609960944E-3</v>
      </c>
    </row>
    <row r="1733" spans="1:6" x14ac:dyDescent="0.25">
      <c r="A1733" s="23">
        <v>1732</v>
      </c>
      <c r="B1733" s="7" cm="1">
        <f t="array" aca="1" ref="B1733" ca="1">interpolexp(A1733,serie_du,Taxas_DI)</f>
        <v>0.1237427489222398</v>
      </c>
      <c r="C1733" s="37">
        <f t="shared" ca="1" si="82"/>
        <v>2.229638344163281</v>
      </c>
      <c r="D1733" s="36">
        <f t="shared" ca="1" si="84"/>
        <v>0.1230868512638188</v>
      </c>
      <c r="E1733" s="32">
        <v>0.12083317264843796</v>
      </c>
      <c r="F1733" s="35">
        <f t="shared" ca="1" si="83"/>
        <v>2.9095762738018394E-3</v>
      </c>
    </row>
    <row r="1734" spans="1:6" x14ac:dyDescent="0.25">
      <c r="A1734" s="23">
        <v>1733</v>
      </c>
      <c r="B1734" s="7" cm="1">
        <f t="array" aca="1" ref="B1734" ca="1">interpolexp(A1734,serie_du,Taxas_DI)</f>
        <v>0.12374237033641045</v>
      </c>
      <c r="C1734" s="37">
        <f t="shared" ca="1" si="82"/>
        <v>2.2306656389796626</v>
      </c>
      <c r="D1734" s="36">
        <f t="shared" ca="1" si="84"/>
        <v>0.12308685105872552</v>
      </c>
      <c r="E1734" s="32">
        <v>0.12083244035843155</v>
      </c>
      <c r="F1734" s="35">
        <f t="shared" ca="1" si="83"/>
        <v>2.9099299779788979E-3</v>
      </c>
    </row>
    <row r="1735" spans="1:6" x14ac:dyDescent="0.25">
      <c r="A1735" s="23">
        <v>1734</v>
      </c>
      <c r="B1735" s="7" cm="1">
        <f t="array" aca="1" ref="B1735" ca="1">interpolexp(A1735,serie_du,Taxas_DI)</f>
        <v>0.12374199218723181</v>
      </c>
      <c r="C1735" s="37">
        <f t="shared" ca="1" si="82"/>
        <v>2.2316934071151473</v>
      </c>
      <c r="D1735" s="36">
        <f t="shared" ca="1" si="84"/>
        <v>0.123086850818799</v>
      </c>
      <c r="E1735" s="32">
        <v>0.12083170891308281</v>
      </c>
      <c r="F1735" s="35">
        <f t="shared" ca="1" si="83"/>
        <v>2.9102832741489948E-3</v>
      </c>
    </row>
    <row r="1736" spans="1:6" x14ac:dyDescent="0.25">
      <c r="A1736" s="23">
        <v>1735</v>
      </c>
      <c r="B1736" s="7" cm="1">
        <f t="array" aca="1" ref="B1736" ca="1">interpolexp(A1736,serie_du,Taxas_DI)</f>
        <v>0.12374161447397114</v>
      </c>
      <c r="C1736" s="37">
        <f t="shared" ca="1" si="82"/>
        <v>2.2327216487881207</v>
      </c>
      <c r="D1736" s="36">
        <f t="shared" ca="1" si="84"/>
        <v>0.12308685061791591</v>
      </c>
      <c r="E1736" s="32">
        <v>0.12083097831088185</v>
      </c>
      <c r="F1736" s="35">
        <f t="shared" ca="1" si="83"/>
        <v>2.9106361630892863E-3</v>
      </c>
    </row>
    <row r="1737" spans="1:6" x14ac:dyDescent="0.25">
      <c r="A1737" s="23">
        <v>1736</v>
      </c>
      <c r="B1737" s="7" cm="1">
        <f t="array" aca="1" ref="B1737" ca="1">interpolexp(A1737,serie_du,Taxas_DI)</f>
        <v>0.12374123719587349</v>
      </c>
      <c r="C1737" s="37">
        <f t="shared" ca="1" si="82"/>
        <v>2.2337503642167413</v>
      </c>
      <c r="D1737" s="36">
        <f t="shared" ca="1" si="84"/>
        <v>0.12308685041446066</v>
      </c>
      <c r="E1737" s="32">
        <v>0.12083024855042979</v>
      </c>
      <c r="F1737" s="35">
        <f t="shared" ca="1" si="83"/>
        <v>2.9109886454437017E-3</v>
      </c>
    </row>
    <row r="1738" spans="1:6" x14ac:dyDescent="0.25">
      <c r="A1738" s="23">
        <v>1737</v>
      </c>
      <c r="B1738" s="7" cm="1">
        <f t="array" aca="1" ref="B1738" ca="1">interpolexp(A1738,serie_du,Taxas_DI)</f>
        <v>0.1237408603521617</v>
      </c>
      <c r="C1738" s="37">
        <f t="shared" ca="1" si="82"/>
        <v>2.2347795536189405</v>
      </c>
      <c r="D1738" s="36">
        <f t="shared" ca="1" si="84"/>
        <v>0.12308685016697574</v>
      </c>
      <c r="E1738" s="32">
        <v>0.12082951963021671</v>
      </c>
      <c r="F1738" s="35">
        <f t="shared" ca="1" si="83"/>
        <v>2.9113407219449883E-3</v>
      </c>
    </row>
    <row r="1739" spans="1:6" x14ac:dyDescent="0.25">
      <c r="A1739" s="23">
        <v>1738</v>
      </c>
      <c r="B1739" s="7" cm="1">
        <f t="array" aca="1" ref="B1739" ca="1">interpolexp(A1739,serie_du,Taxas_DI)</f>
        <v>0.12374048394210302</v>
      </c>
      <c r="C1739" s="37">
        <f t="shared" ca="1" si="82"/>
        <v>2.235809217213335</v>
      </c>
      <c r="D1739" s="36">
        <f t="shared" ca="1" si="84"/>
        <v>0.12308684994957297</v>
      </c>
      <c r="E1739" s="32">
        <v>0.12082879154879933</v>
      </c>
      <c r="F1739" s="35">
        <f t="shared" ca="1" si="83"/>
        <v>2.9116923933036887E-3</v>
      </c>
    </row>
    <row r="1740" spans="1:6" x14ac:dyDescent="0.25">
      <c r="A1740" s="23">
        <v>1739</v>
      </c>
      <c r="B1740" s="7" cm="1">
        <f t="array" aca="1" ref="B1740" ca="1">interpolexp(A1740,serie_du,Taxas_DI)</f>
        <v>0.12374010796496471</v>
      </c>
      <c r="C1740" s="37">
        <f t="shared" ca="1" si="82"/>
        <v>2.2368393552186183</v>
      </c>
      <c r="D1740" s="36">
        <f t="shared" ca="1" si="84"/>
        <v>0.12308684975912287</v>
      </c>
      <c r="E1740" s="32">
        <v>0.12082806430475657</v>
      </c>
      <c r="F1740" s="35">
        <f t="shared" ca="1" si="83"/>
        <v>2.9120436602081412E-3</v>
      </c>
    </row>
    <row r="1741" spans="1:6" x14ac:dyDescent="0.25">
      <c r="A1741" s="23">
        <v>1740</v>
      </c>
      <c r="B1741" s="7" cm="1">
        <f t="array" aca="1" ref="B1741" ca="1">interpolexp(A1741,serie_du,Taxas_DI)</f>
        <v>0.12373973241999181</v>
      </c>
      <c r="C1741" s="37">
        <f t="shared" ca="1" si="82"/>
        <v>2.2378699678532579</v>
      </c>
      <c r="D1741" s="36">
        <f t="shared" ca="1" si="84"/>
        <v>0.12308684955435245</v>
      </c>
      <c r="E1741" s="32">
        <v>0.12082733789662292</v>
      </c>
      <c r="F1741" s="35">
        <f t="shared" ca="1" si="83"/>
        <v>2.9123945233688886E-3</v>
      </c>
    </row>
    <row r="1742" spans="1:6" x14ac:dyDescent="0.25">
      <c r="A1742" s="23">
        <v>1741</v>
      </c>
      <c r="B1742" s="7" cm="1">
        <f t="array" aca="1" ref="B1742" ca="1">interpolexp(A1742,serie_du,Taxas_DI)</f>
        <v>0.12373935730640717</v>
      </c>
      <c r="C1742" s="37">
        <f t="shared" ca="1" si="82"/>
        <v>2.2389010553354907</v>
      </c>
      <c r="D1742" s="36">
        <f t="shared" ca="1" si="84"/>
        <v>0.12308684929337432</v>
      </c>
      <c r="E1742" s="32">
        <v>0.12082661232297731</v>
      </c>
      <c r="F1742" s="35">
        <f t="shared" ca="1" si="83"/>
        <v>2.9127449834298602E-3</v>
      </c>
    </row>
    <row r="1743" spans="1:6" x14ac:dyDescent="0.25">
      <c r="A1743" s="23">
        <v>1742</v>
      </c>
      <c r="B1743" s="7" cm="1">
        <f t="array" aca="1" ref="B1743" ca="1">interpolexp(A1743,serie_du,Taxas_DI)</f>
        <v>0.12373898262352245</v>
      </c>
      <c r="C1743" s="37">
        <f t="shared" ca="1" si="82"/>
        <v>2.2399326178848544</v>
      </c>
      <c r="D1743" s="36">
        <f t="shared" ca="1" si="84"/>
        <v>0.12308684912785006</v>
      </c>
      <c r="E1743" s="32">
        <v>0.12082588758237645</v>
      </c>
      <c r="F1743" s="35">
        <f t="shared" ca="1" si="83"/>
        <v>2.9130950411460077E-3</v>
      </c>
    </row>
    <row r="1744" spans="1:6" x14ac:dyDescent="0.25">
      <c r="A1744" s="23">
        <v>1743</v>
      </c>
      <c r="B1744" s="7" cm="1">
        <f t="array" aca="1" ref="B1744" ca="1">interpolexp(A1744,serie_du,Taxas_DI)</f>
        <v>0.12373860837053829</v>
      </c>
      <c r="C1744" s="37">
        <f t="shared" ca="1" si="82"/>
        <v>2.2409646557194338</v>
      </c>
      <c r="D1744" s="36">
        <f t="shared" ca="1" si="84"/>
        <v>0.12308684886145538</v>
      </c>
      <c r="E1744" s="32">
        <v>0.12082516367337703</v>
      </c>
      <c r="F1744" s="35">
        <f t="shared" ca="1" si="83"/>
        <v>2.9134446971612604E-3</v>
      </c>
    </row>
    <row r="1745" spans="1:6" x14ac:dyDescent="0.25">
      <c r="A1745" s="23">
        <v>1744</v>
      </c>
      <c r="B1745" s="7" cm="1">
        <f t="array" aca="1" ref="B1745" ca="1">interpolexp(A1745,serie_du,Taxas_DI)</f>
        <v>0.12373823454676636</v>
      </c>
      <c r="C1745" s="37">
        <f t="shared" ca="1" si="82"/>
        <v>2.241997169058922</v>
      </c>
      <c r="D1745" s="36">
        <f t="shared" ca="1" si="84"/>
        <v>0.12308684868471742</v>
      </c>
      <c r="E1745" s="32">
        <v>0.12082444059453579</v>
      </c>
      <c r="F1745" s="35">
        <f t="shared" ca="1" si="83"/>
        <v>2.91379395223057E-3</v>
      </c>
    </row>
    <row r="1746" spans="1:6" x14ac:dyDescent="0.25">
      <c r="A1746" s="23">
        <v>1745</v>
      </c>
      <c r="B1746" s="7" cm="1">
        <f t="array" aca="1" ref="B1746" ca="1">interpolexp(A1746,serie_du,Taxas_DI)</f>
        <v>0.12373786115142948</v>
      </c>
      <c r="C1746" s="37">
        <f t="shared" ca="1" si="82"/>
        <v>2.243030158121865</v>
      </c>
      <c r="D1746" s="36">
        <f t="shared" ca="1" si="84"/>
        <v>0.12308684843990636</v>
      </c>
      <c r="E1746" s="32">
        <v>0.12082371834445382</v>
      </c>
      <c r="F1746" s="35">
        <f t="shared" ca="1" si="83"/>
        <v>2.9141428069756614E-3</v>
      </c>
    </row>
    <row r="1747" spans="1:6" x14ac:dyDescent="0.25">
      <c r="A1747" s="23">
        <v>1746</v>
      </c>
      <c r="B1747" s="7" cm="1">
        <f t="array" aca="1" ref="B1747" ca="1">interpolexp(A1747,serie_du,Taxas_DI)</f>
        <v>0.12373748818383934</v>
      </c>
      <c r="C1747" s="37">
        <f t="shared" ca="1" si="82"/>
        <v>2.2440636231281128</v>
      </c>
      <c r="D1747" s="36">
        <f t="shared" ca="1" si="84"/>
        <v>0.12308684827887717</v>
      </c>
      <c r="E1747" s="32">
        <v>0.12082299692171006</v>
      </c>
      <c r="F1747" s="35">
        <f t="shared" ca="1" si="83"/>
        <v>2.9144912621292818E-3</v>
      </c>
    </row>
    <row r="1748" spans="1:6" x14ac:dyDescent="0.25">
      <c r="A1748" s="23">
        <v>1747</v>
      </c>
      <c r="B1748" s="7" cm="1">
        <f t="array" aca="1" ref="B1748" ca="1">interpolexp(A1748,serie_du,Taxas_DI)</f>
        <v>0.12373711564319656</v>
      </c>
      <c r="C1748" s="37">
        <f t="shared" ca="1" si="82"/>
        <v>2.2450975642960569</v>
      </c>
      <c r="D1748" s="36">
        <f t="shared" ca="1" si="84"/>
        <v>0.12308684800494674</v>
      </c>
      <c r="E1748" s="32">
        <v>0.1208222763248612</v>
      </c>
      <c r="F1748" s="35">
        <f t="shared" ca="1" si="83"/>
        <v>2.9148393183353605E-3</v>
      </c>
    </row>
    <row r="1749" spans="1:6" x14ac:dyDescent="0.25">
      <c r="A1749" s="23">
        <v>1748</v>
      </c>
      <c r="B1749" s="7" cm="1">
        <f t="array" aca="1" ref="B1749" ca="1">interpolexp(A1749,serie_du,Taxas_DI)</f>
        <v>0.12373674352883501</v>
      </c>
      <c r="C1749" s="37">
        <f t="shared" ca="1" si="82"/>
        <v>2.2461319818460121</v>
      </c>
      <c r="D1749" s="36">
        <f t="shared" ca="1" si="84"/>
        <v>0.12308684784787927</v>
      </c>
      <c r="E1749" s="32">
        <v>0.12082155655250837</v>
      </c>
      <c r="F1749" s="35">
        <f t="shared" ca="1" si="83"/>
        <v>2.9151869763266447E-3</v>
      </c>
    </row>
    <row r="1750" spans="1:6" x14ac:dyDescent="0.25">
      <c r="A1750" s="23">
        <v>1749</v>
      </c>
      <c r="B1750" s="7" cm="1">
        <f t="array" aca="1" ref="B1750" ca="1">interpolexp(A1750,serie_du,Taxas_DI)</f>
        <v>0.12373637183997754</v>
      </c>
      <c r="C1750" s="37">
        <f t="shared" ca="1" si="82"/>
        <v>2.247166875996832</v>
      </c>
      <c r="D1750" s="36">
        <f t="shared" ca="1" si="84"/>
        <v>0.12308684761076849</v>
      </c>
      <c r="E1750" s="32">
        <v>0.12082083760320828</v>
      </c>
      <c r="F1750" s="35">
        <f t="shared" ca="1" si="83"/>
        <v>2.9155342367692683E-3</v>
      </c>
    </row>
    <row r="1751" spans="1:6" x14ac:dyDescent="0.25">
      <c r="A1751" s="23">
        <v>1750</v>
      </c>
      <c r="B1751" s="7" cm="1">
        <f t="array" aca="1" ref="B1751" ca="1">interpolexp(A1751,serie_du,Taxas_DI)</f>
        <v>0.1237360005758914</v>
      </c>
      <c r="C1751" s="37">
        <f t="shared" ca="1" si="82"/>
        <v>2.2482022469680634</v>
      </c>
      <c r="D1751" s="36">
        <f t="shared" ca="1" si="84"/>
        <v>0.12308684736823272</v>
      </c>
      <c r="E1751" s="32">
        <v>0.12082011947558424</v>
      </c>
      <c r="F1751" s="35">
        <f t="shared" ca="1" si="83"/>
        <v>2.9158811003071605E-3</v>
      </c>
    </row>
    <row r="1752" spans="1:6" x14ac:dyDescent="0.25">
      <c r="A1752" s="23">
        <v>1751</v>
      </c>
      <c r="B1752" s="7" cm="1">
        <f t="array" aca="1" ref="B1752" ca="1">interpolexp(A1752,serie_du,Taxas_DI)</f>
        <v>0.12373562973588825</v>
      </c>
      <c r="C1752" s="37">
        <f t="shared" ca="1" si="82"/>
        <v>2.2492380949799489</v>
      </c>
      <c r="D1752" s="36">
        <f t="shared" ca="1" si="84"/>
        <v>0.12308684719514651</v>
      </c>
      <c r="E1752" s="32">
        <v>0.12081940216821518</v>
      </c>
      <c r="F1752" s="35">
        <f t="shared" ca="1" si="83"/>
        <v>2.9162275676730687E-3</v>
      </c>
    </row>
    <row r="1753" spans="1:6" x14ac:dyDescent="0.25">
      <c r="A1753" s="23">
        <v>1752</v>
      </c>
      <c r="B1753" s="7" cm="1">
        <f t="array" aca="1" ref="B1753" ca="1">interpolexp(A1753,serie_du,Taxas_DI)</f>
        <v>0.12373525931921314</v>
      </c>
      <c r="C1753" s="37">
        <f t="shared" ca="1" si="82"/>
        <v>2.2502744202518832</v>
      </c>
      <c r="D1753" s="36">
        <f t="shared" ca="1" si="84"/>
        <v>0.12308684697187888</v>
      </c>
      <c r="E1753" s="32">
        <v>0.12081868567968002</v>
      </c>
      <c r="F1753" s="35">
        <f t="shared" ca="1" si="83"/>
        <v>2.9165736395331265E-3</v>
      </c>
    </row>
    <row r="1754" spans="1:6" x14ac:dyDescent="0.25">
      <c r="A1754" s="23">
        <v>1753</v>
      </c>
      <c r="B1754" s="7" cm="1">
        <f t="array" aca="1" ref="B1754" ca="1">interpolexp(A1754,serie_du,Taxas_DI)</f>
        <v>0.12373488932513332</v>
      </c>
      <c r="C1754" s="37">
        <f t="shared" ca="1" si="82"/>
        <v>2.2513112230036465</v>
      </c>
      <c r="D1754" s="36">
        <f t="shared" ca="1" si="84"/>
        <v>0.12308684673445636</v>
      </c>
      <c r="E1754" s="32">
        <v>0.12081797000860206</v>
      </c>
      <c r="F1754" s="35">
        <f t="shared" ca="1" si="83"/>
        <v>2.9169193165312635E-3</v>
      </c>
    </row>
    <row r="1755" spans="1:6" x14ac:dyDescent="0.25">
      <c r="A1755" s="23">
        <v>1754</v>
      </c>
      <c r="B1755" s="7" cm="1">
        <f t="array" aca="1" ref="B1755" ca="1">interpolexp(A1755,serie_du,Taxas_DI)</f>
        <v>0.12373451975296046</v>
      </c>
      <c r="C1755" s="37">
        <f t="shared" ca="1" si="82"/>
        <v>2.2523485034557185</v>
      </c>
      <c r="D1755" s="36">
        <f t="shared" ca="1" si="84"/>
        <v>0.12308684655794977</v>
      </c>
      <c r="E1755" s="32">
        <v>0.12081725515358244</v>
      </c>
      <c r="F1755" s="35">
        <f t="shared" ca="1" si="83"/>
        <v>2.9172645993780222E-3</v>
      </c>
    </row>
    <row r="1756" spans="1:6" x14ac:dyDescent="0.25">
      <c r="A1756" s="23">
        <v>1755</v>
      </c>
      <c r="B1756" s="7" cm="1">
        <f t="array" aca="1" ref="B1756" ca="1">interpolexp(A1756,serie_du,Taxas_DI)</f>
        <v>0.1237341506019618</v>
      </c>
      <c r="C1756" s="37">
        <f t="shared" ca="1" si="82"/>
        <v>2.2533862618280374</v>
      </c>
      <c r="D1756" s="36">
        <f t="shared" ca="1" si="84"/>
        <v>0.12308684636154976</v>
      </c>
      <c r="E1756" s="32">
        <v>0.12081654111322226</v>
      </c>
      <c r="F1756" s="35">
        <f t="shared" ca="1" si="83"/>
        <v>2.9176094887395365E-3</v>
      </c>
    </row>
    <row r="1757" spans="1:6" x14ac:dyDescent="0.25">
      <c r="A1757" s="23">
        <v>1756</v>
      </c>
      <c r="B1757" s="7" cm="1">
        <f t="array" aca="1" ref="B1757" ca="1">interpolexp(A1757,serie_du,Taxas_DI)</f>
        <v>0.1237337818713824</v>
      </c>
      <c r="C1757" s="37">
        <f t="shared" ca="1" si="82"/>
        <v>2.2544244983403083</v>
      </c>
      <c r="D1757" s="36">
        <f t="shared" ca="1" si="84"/>
        <v>0.12308684610331921</v>
      </c>
      <c r="E1757" s="32">
        <v>0.12081582788610046</v>
      </c>
      <c r="F1757" s="35">
        <f t="shared" ca="1" si="83"/>
        <v>2.9179539852819403E-3</v>
      </c>
    </row>
    <row r="1758" spans="1:6" x14ac:dyDescent="0.25">
      <c r="A1758" s="23">
        <v>1757</v>
      </c>
      <c r="B1758" s="7" cm="1">
        <f t="array" aca="1" ref="B1758" ca="1">interpolexp(A1758,serie_du,Taxas_DI)</f>
        <v>0.12373341356055612</v>
      </c>
      <c r="C1758" s="37">
        <f t="shared" ca="1" si="82"/>
        <v>2.2554632132135572</v>
      </c>
      <c r="D1758" s="36">
        <f t="shared" ca="1" si="84"/>
        <v>0.1230868459362795</v>
      </c>
      <c r="E1758" s="32">
        <v>0.12081511547086254</v>
      </c>
      <c r="F1758" s="35">
        <f t="shared" ca="1" si="83"/>
        <v>2.9182980896935717E-3</v>
      </c>
    </row>
    <row r="1759" spans="1:6" x14ac:dyDescent="0.25">
      <c r="A1759" s="23">
        <v>1758</v>
      </c>
      <c r="B1759" s="7" cm="1">
        <f t="array" aca="1" ref="B1759" ca="1">interpolexp(A1759,serie_du,Taxas_DI)</f>
        <v>0.123733045668728</v>
      </c>
      <c r="C1759" s="37">
        <f t="shared" ca="1" si="82"/>
        <v>2.2565024066676469</v>
      </c>
      <c r="D1759" s="36">
        <f t="shared" ca="1" si="84"/>
        <v>0.12308684570167405</v>
      </c>
      <c r="E1759" s="32">
        <v>0.12081440386610964</v>
      </c>
      <c r="F1759" s="35">
        <f t="shared" ca="1" si="83"/>
        <v>2.9186418026183603E-3</v>
      </c>
    </row>
    <row r="1760" spans="1:6" x14ac:dyDescent="0.25">
      <c r="A1760" s="23">
        <v>1759</v>
      </c>
      <c r="B1760" s="7" cm="1">
        <f t="array" aca="1" ref="B1760" ca="1">interpolexp(A1760,serie_du,Taxas_DI)</f>
        <v>0.12373267819520972</v>
      </c>
      <c r="C1760" s="37">
        <f t="shared" ca="1" si="82"/>
        <v>2.2575420789234499</v>
      </c>
      <c r="D1760" s="36">
        <f t="shared" ca="1" si="84"/>
        <v>0.12308684551360782</v>
      </c>
      <c r="E1760" s="32">
        <v>0.12081369307048728</v>
      </c>
      <c r="F1760" s="35">
        <f t="shared" ca="1" si="83"/>
        <v>2.9189851247224397E-3</v>
      </c>
    </row>
    <row r="1761" spans="1:6" x14ac:dyDescent="0.25">
      <c r="A1761" s="23">
        <v>1760</v>
      </c>
      <c r="B1761" s="7" cm="1">
        <f t="array" aca="1" ref="B1761" ca="1">interpolexp(A1761,serie_du,Taxas_DI)</f>
        <v>0.12373231113926852</v>
      </c>
      <c r="C1761" s="37">
        <f t="shared" ca="1" si="82"/>
        <v>2.2585822302012968</v>
      </c>
      <c r="D1761" s="36">
        <f t="shared" ca="1" si="84"/>
        <v>0.12308684529119618</v>
      </c>
      <c r="E1761" s="32">
        <v>0.12081298308257438</v>
      </c>
      <c r="F1761" s="35">
        <f t="shared" ca="1" si="83"/>
        <v>2.9193280566941482E-3</v>
      </c>
    </row>
    <row r="1762" spans="1:6" x14ac:dyDescent="0.25">
      <c r="A1762" s="23">
        <v>1761</v>
      </c>
      <c r="B1762" s="7" cm="1">
        <f t="array" aca="1" ref="B1762" ca="1">interpolexp(A1762,serie_du,Taxas_DI)</f>
        <v>0.12373194450019387</v>
      </c>
      <c r="C1762" s="37">
        <f t="shared" ca="1" si="82"/>
        <v>2.2596228607219078</v>
      </c>
      <c r="D1762" s="36">
        <f t="shared" ca="1" si="84"/>
        <v>0.12308684507072476</v>
      </c>
      <c r="E1762" s="32">
        <v>0.12081227390101645</v>
      </c>
      <c r="F1762" s="35">
        <f t="shared" ca="1" si="83"/>
        <v>2.9196705991774152E-3</v>
      </c>
    </row>
    <row r="1763" spans="1:6" x14ac:dyDescent="0.25">
      <c r="A1763" s="23">
        <v>1762</v>
      </c>
      <c r="B1763" s="7" cm="1">
        <f t="array" aca="1" ref="B1763" ca="1">interpolexp(A1763,serie_du,Taxas_DI)</f>
        <v>0.12373157827729742</v>
      </c>
      <c r="C1763" s="37">
        <f t="shared" ca="1" si="82"/>
        <v>2.260663970706394</v>
      </c>
      <c r="D1763" s="36">
        <f t="shared" ca="1" si="84"/>
        <v>0.12308684488825272</v>
      </c>
      <c r="E1763" s="32">
        <v>0.12081156552441463</v>
      </c>
      <c r="F1763" s="35">
        <f t="shared" ca="1" si="83"/>
        <v>2.9200127528827835E-3</v>
      </c>
    </row>
    <row r="1764" spans="1:6" x14ac:dyDescent="0.25">
      <c r="A1764" s="23">
        <v>1763</v>
      </c>
      <c r="B1764" s="7" cm="1">
        <f t="array" aca="1" ref="B1764" ca="1">interpolexp(A1764,serie_du,Taxas_DI)</f>
        <v>0.12373121246984642</v>
      </c>
      <c r="C1764" s="37">
        <f t="shared" ca="1" si="82"/>
        <v>2.2617055603753218</v>
      </c>
      <c r="D1764" s="36">
        <f t="shared" ca="1" si="84"/>
        <v>0.12308684466287212</v>
      </c>
      <c r="E1764" s="32">
        <v>0.12081085795145885</v>
      </c>
      <c r="F1764" s="35">
        <f t="shared" ca="1" si="83"/>
        <v>2.920354518387569E-3</v>
      </c>
    </row>
    <row r="1765" spans="1:6" x14ac:dyDescent="0.25">
      <c r="A1765" s="23">
        <v>1764</v>
      </c>
      <c r="B1765" s="7" cm="1">
        <f t="array" aca="1" ref="B1765" ca="1">interpolexp(A1765,serie_du,Taxas_DI)</f>
        <v>0.12373084707715254</v>
      </c>
      <c r="C1765" s="37">
        <f t="shared" ca="1" si="82"/>
        <v>2.2627476299499611</v>
      </c>
      <c r="D1765" s="36">
        <f t="shared" ca="1" si="84"/>
        <v>0.12308684446991291</v>
      </c>
      <c r="E1765" s="32">
        <v>0.12081015118070582</v>
      </c>
      <c r="F1765" s="35">
        <f t="shared" ca="1" si="83"/>
        <v>2.9206958964467233E-3</v>
      </c>
    </row>
    <row r="1766" spans="1:6" x14ac:dyDescent="0.25">
      <c r="A1766" s="23">
        <v>1765</v>
      </c>
      <c r="B1766" s="7" cm="1">
        <f t="array" aca="1" ref="B1766" ca="1">interpolexp(A1766,serie_du,Taxas_DI)</f>
        <v>0.12373048209848303</v>
      </c>
      <c r="C1766" s="37">
        <f t="shared" ca="1" si="82"/>
        <v>2.2637901796510347</v>
      </c>
      <c r="D1766" s="36">
        <f t="shared" ca="1" si="84"/>
        <v>0.12308684422825578</v>
      </c>
      <c r="E1766" s="32">
        <v>0.12080944521086767</v>
      </c>
      <c r="F1766" s="35">
        <f t="shared" ca="1" si="83"/>
        <v>2.9210368876153581E-3</v>
      </c>
    </row>
    <row r="1767" spans="1:6" x14ac:dyDescent="0.25">
      <c r="A1767" s="23">
        <v>1766</v>
      </c>
      <c r="B1767" s="7" cm="1">
        <f t="array" aca="1" ref="B1767" ca="1">interpolexp(A1767,serie_du,Taxas_DI)</f>
        <v>0.12373011753317176</v>
      </c>
      <c r="C1767" s="37">
        <f t="shared" ca="1" si="82"/>
        <v>2.2648332097002863</v>
      </c>
      <c r="D1767" s="36">
        <f t="shared" ca="1" si="84"/>
        <v>0.12308684405277015</v>
      </c>
      <c r="E1767" s="32">
        <v>0.12080874004052333</v>
      </c>
      <c r="F1767" s="35">
        <f t="shared" ca="1" si="83"/>
        <v>2.9213774926484248E-3</v>
      </c>
    </row>
    <row r="1768" spans="1:6" x14ac:dyDescent="0.25">
      <c r="A1768" s="23">
        <v>1767</v>
      </c>
      <c r="B1768" s="7" cm="1">
        <f t="array" aca="1" ref="B1768" ca="1">interpolexp(A1768,serie_du,Taxas_DI)</f>
        <v>0.12372975338050818</v>
      </c>
      <c r="C1768" s="37">
        <f t="shared" ca="1" si="82"/>
        <v>2.2658767203189112</v>
      </c>
      <c r="D1768" s="36">
        <f t="shared" ca="1" si="84"/>
        <v>0.12308684386205671</v>
      </c>
      <c r="E1768" s="32">
        <v>0.12080803566836273</v>
      </c>
      <c r="F1768" s="35">
        <f t="shared" ca="1" si="83"/>
        <v>2.9217177121454441E-3</v>
      </c>
    </row>
    <row r="1769" spans="1:6" x14ac:dyDescent="0.25">
      <c r="A1769" s="23">
        <v>1768</v>
      </c>
      <c r="B1769" s="7" cm="1">
        <f t="array" aca="1" ref="B1769" ca="1">interpolexp(A1769,serie_du,Taxas_DI)</f>
        <v>0.12372938963975955</v>
      </c>
      <c r="C1769" s="37">
        <f t="shared" ca="1" si="82"/>
        <v>2.2669207117278702</v>
      </c>
      <c r="D1769" s="36">
        <f t="shared" ca="1" si="84"/>
        <v>0.1230868436142496</v>
      </c>
      <c r="E1769" s="32">
        <v>0.120807332092987</v>
      </c>
      <c r="F1769" s="35">
        <f t="shared" ca="1" si="83"/>
        <v>2.9220575467725496E-3</v>
      </c>
    </row>
    <row r="1770" spans="1:6" x14ac:dyDescent="0.25">
      <c r="A1770" s="23">
        <v>1769</v>
      </c>
      <c r="B1770" s="7" cm="1">
        <f t="array" aca="1" ref="B1770" ca="1">interpolexp(A1770,serie_du,Taxas_DI)</f>
        <v>0.12372902631025973</v>
      </c>
      <c r="C1770" s="37">
        <f t="shared" ca="1" si="82"/>
        <v>2.2679651841491451</v>
      </c>
      <c r="D1770" s="36">
        <f t="shared" ca="1" si="84"/>
        <v>0.12308684342404907</v>
      </c>
      <c r="E1770" s="32">
        <v>0.12080662931306385</v>
      </c>
      <c r="F1770" s="35">
        <f t="shared" ca="1" si="83"/>
        <v>2.9223969971958752E-3</v>
      </c>
    </row>
    <row r="1771" spans="1:6" x14ac:dyDescent="0.25">
      <c r="A1771" s="23">
        <v>1770</v>
      </c>
      <c r="B1771" s="7" cm="1">
        <f t="array" aca="1" ref="B1771" ca="1">interpolexp(A1771,serie_du,Taxas_DI)</f>
        <v>0.12372866339132038</v>
      </c>
      <c r="C1771" s="37">
        <f t="shared" ca="1" si="82"/>
        <v>2.2690101378044845</v>
      </c>
      <c r="D1771" s="36">
        <f t="shared" ca="1" si="84"/>
        <v>0.12308684324962527</v>
      </c>
      <c r="E1771" s="32">
        <v>0.12080592732726103</v>
      </c>
      <c r="F1771" s="35">
        <f t="shared" ca="1" si="83"/>
        <v>2.9227360640593503E-3</v>
      </c>
    </row>
    <row r="1772" spans="1:6" x14ac:dyDescent="0.25">
      <c r="A1772" s="23">
        <v>1771</v>
      </c>
      <c r="B1772" s="7" cm="1">
        <f t="array" aca="1" ref="B1772" ca="1">interpolexp(A1772,serie_du,Taxas_DI)</f>
        <v>0.12372830088220876</v>
      </c>
      <c r="C1772" s="37">
        <f t="shared" ca="1" si="82"/>
        <v>2.2700555729150871</v>
      </c>
      <c r="D1772" s="36">
        <f t="shared" ca="1" si="84"/>
        <v>0.12308684300953066</v>
      </c>
      <c r="E1772" s="32">
        <v>0.12080522613422406</v>
      </c>
      <c r="F1772" s="35">
        <f t="shared" ca="1" si="83"/>
        <v>2.9230747479846997E-3</v>
      </c>
    </row>
    <row r="1773" spans="1:6" x14ac:dyDescent="0.25">
      <c r="A1773" s="23">
        <v>1772</v>
      </c>
      <c r="B1773" s="7" cm="1">
        <f t="array" aca="1" ref="B1773" ca="1">interpolexp(A1773,serie_du,Taxas_DI)</f>
        <v>0.12372793878225874</v>
      </c>
      <c r="C1773" s="37">
        <f t="shared" ca="1" si="82"/>
        <v>2.271101489703176</v>
      </c>
      <c r="D1773" s="36">
        <f t="shared" ca="1" si="84"/>
        <v>0.12308684281891824</v>
      </c>
      <c r="E1773" s="32">
        <v>0.12080452573257627</v>
      </c>
      <c r="F1773" s="35">
        <f t="shared" ca="1" si="83"/>
        <v>2.9234130496824662E-3</v>
      </c>
    </row>
    <row r="1774" spans="1:6" x14ac:dyDescent="0.25">
      <c r="A1774" s="23">
        <v>1773</v>
      </c>
      <c r="B1774" s="7" cm="1">
        <f t="array" aca="1" ref="B1774" ca="1">interpolexp(A1774,serie_du,Taxas_DI)</f>
        <v>0.12372757709075977</v>
      </c>
      <c r="C1774" s="37">
        <f t="shared" ca="1" si="82"/>
        <v>2.2721478883904238</v>
      </c>
      <c r="D1774" s="36">
        <f t="shared" ca="1" si="84"/>
        <v>0.12308684259628744</v>
      </c>
      <c r="E1774" s="32">
        <v>0.1208038261210298</v>
      </c>
      <c r="F1774" s="35">
        <f t="shared" ca="1" si="83"/>
        <v>2.9237509697299657E-3</v>
      </c>
    </row>
    <row r="1775" spans="1:6" x14ac:dyDescent="0.25">
      <c r="A1775" s="23">
        <v>1774</v>
      </c>
      <c r="B1775" s="7" cm="1">
        <f t="array" aca="1" ref="B1775" ca="1">interpolexp(A1775,serie_du,Taxas_DI)</f>
        <v>0.12372721580704571</v>
      </c>
      <c r="C1775" s="37">
        <f t="shared" ca="1" si="82"/>
        <v>2.2731947691992143</v>
      </c>
      <c r="D1775" s="36">
        <f t="shared" ca="1" si="84"/>
        <v>0.12308684241767587</v>
      </c>
      <c r="E1775" s="32">
        <v>0.12080312729823017</v>
      </c>
      <c r="F1775" s="35">
        <f t="shared" ca="1" si="83"/>
        <v>2.9240885088155366E-3</v>
      </c>
    </row>
    <row r="1776" spans="1:6" x14ac:dyDescent="0.25">
      <c r="A1776" s="23">
        <v>1775</v>
      </c>
      <c r="B1776" s="7" cm="1">
        <f t="array" aca="1" ref="B1776" ca="1">interpolexp(A1776,serie_du,Taxas_DI)</f>
        <v>0.12372685493040603</v>
      </c>
      <c r="C1776" s="37">
        <f t="shared" ca="1" si="82"/>
        <v>2.2742421323513806</v>
      </c>
      <c r="D1776" s="36">
        <f t="shared" ca="1" si="84"/>
        <v>0.12308684220162625</v>
      </c>
      <c r="E1776" s="32">
        <v>0.12080242926284512</v>
      </c>
      <c r="F1776" s="35">
        <f t="shared" ca="1" si="83"/>
        <v>2.9244256675609037E-3</v>
      </c>
    </row>
    <row r="1777" spans="1:6" x14ac:dyDescent="0.25">
      <c r="A1777" s="23">
        <v>1776</v>
      </c>
      <c r="B1777" s="7" cm="1">
        <f t="array" aca="1" ref="B1777" ca="1">interpolexp(A1777,serie_du,Taxas_DI)</f>
        <v>0.12372649446015238</v>
      </c>
      <c r="C1777" s="37">
        <f t="shared" ca="1" si="82"/>
        <v>2.2752899780691505</v>
      </c>
      <c r="D1777" s="36">
        <f t="shared" ca="1" si="84"/>
        <v>0.12308684198454301</v>
      </c>
      <c r="E1777" s="32">
        <v>0.12080173201352018</v>
      </c>
      <c r="F1777" s="35">
        <f t="shared" ca="1" si="83"/>
        <v>2.9247624466322009E-3</v>
      </c>
    </row>
    <row r="1778" spans="1:6" x14ac:dyDescent="0.25">
      <c r="A1778" s="23">
        <v>1777</v>
      </c>
      <c r="B1778" s="7" cm="1">
        <f t="array" aca="1" ref="B1778" ca="1">interpolexp(A1778,serie_du,Taxas_DI)</f>
        <v>0.12372613439561864</v>
      </c>
      <c r="C1778" s="37">
        <f t="shared" ca="1" si="82"/>
        <v>2.2763383065751492</v>
      </c>
      <c r="D1778" s="36">
        <f t="shared" ca="1" si="84"/>
        <v>0.12308684180321294</v>
      </c>
      <c r="E1778" s="32">
        <v>0.12080103554896748</v>
      </c>
      <c r="F1778" s="35">
        <f t="shared" ca="1" si="83"/>
        <v>2.9250988466511529E-3</v>
      </c>
    </row>
    <row r="1779" spans="1:6" x14ac:dyDescent="0.25">
      <c r="A1779" s="23">
        <v>1778</v>
      </c>
      <c r="B1779" s="7" cm="1">
        <f t="array" aca="1" ref="B1779" ca="1">interpolexp(A1779,serie_du,Taxas_DI)</f>
        <v>0.12372577473611646</v>
      </c>
      <c r="C1779" s="37">
        <f t="shared" ca="1" si="82"/>
        <v>2.277387118091768</v>
      </c>
      <c r="D1779" s="36">
        <f t="shared" ca="1" si="84"/>
        <v>0.12308684161564454</v>
      </c>
      <c r="E1779" s="32">
        <v>0.12080033986783256</v>
      </c>
      <c r="F1779" s="35">
        <f t="shared" ca="1" si="83"/>
        <v>2.9254348682838938E-3</v>
      </c>
    </row>
    <row r="1780" spans="1:6" x14ac:dyDescent="0.25">
      <c r="A1780" s="23">
        <v>1779</v>
      </c>
      <c r="B1780" s="7" cm="1">
        <f t="array" aca="1" ref="B1780" ca="1">interpolexp(A1780,serie_du,Taxas_DI)</f>
        <v>0.1237254154809353</v>
      </c>
      <c r="C1780" s="37">
        <f t="shared" ca="1" si="82"/>
        <v>2.2784364128411578</v>
      </c>
      <c r="D1780" s="36">
        <f t="shared" ca="1" si="84"/>
        <v>0.12308684137940418</v>
      </c>
      <c r="E1780" s="32">
        <v>0.12079964496882756</v>
      </c>
      <c r="F1780" s="35">
        <f t="shared" ca="1" si="83"/>
        <v>2.9257705121077393E-3</v>
      </c>
    </row>
    <row r="1781" spans="1:6" x14ac:dyDescent="0.25">
      <c r="A1781" s="23">
        <v>1780</v>
      </c>
      <c r="B1781" s="7" cm="1">
        <f t="array" aca="1" ref="B1781" ca="1">interpolexp(A1781,serie_du,Taxas_DI)</f>
        <v>0.12372505662943123</v>
      </c>
      <c r="C1781" s="37">
        <f t="shared" ca="1" si="82"/>
        <v>2.2794861910465052</v>
      </c>
      <c r="D1781" s="36">
        <f t="shared" ca="1" si="84"/>
        <v>0.12308684121038516</v>
      </c>
      <c r="E1781" s="32">
        <v>0.120798950850598</v>
      </c>
      <c r="F1781" s="35">
        <f t="shared" ca="1" si="83"/>
        <v>2.9261057788332323E-3</v>
      </c>
    </row>
    <row r="1782" spans="1:6" x14ac:dyDescent="0.25">
      <c r="A1782" s="23">
        <v>1781</v>
      </c>
      <c r="B1782" s="7" cm="1">
        <f t="array" aca="1" ref="B1782" ca="1">interpolexp(A1782,serie_du,Taxas_DI)</f>
        <v>0.12372469818089371</v>
      </c>
      <c r="C1782" s="37">
        <f t="shared" ca="1" si="82"/>
        <v>2.280536452930122</v>
      </c>
      <c r="D1782" s="36">
        <f t="shared" ca="1" si="84"/>
        <v>0.12308684098708866</v>
      </c>
      <c r="E1782" s="32">
        <v>0.12079825751183382</v>
      </c>
      <c r="F1782" s="35">
        <f t="shared" ca="1" si="83"/>
        <v>2.9264406690598932E-3</v>
      </c>
    </row>
    <row r="1783" spans="1:6" x14ac:dyDescent="0.25">
      <c r="A1783" s="23">
        <v>1782</v>
      </c>
      <c r="B1783" s="7" cm="1">
        <f t="array" aca="1" ref="B1783" ca="1">interpolexp(A1783,serie_du,Taxas_DI)</f>
        <v>0.12372434013465661</v>
      </c>
      <c r="C1783" s="37">
        <f t="shared" ca="1" si="82"/>
        <v>2.2815871987150382</v>
      </c>
      <c r="D1783" s="36">
        <f t="shared" ca="1" si="84"/>
        <v>0.12308684078608034</v>
      </c>
      <c r="E1783" s="32">
        <v>0.12079756495124716</v>
      </c>
      <c r="F1783" s="35">
        <f t="shared" ca="1" si="83"/>
        <v>2.9267751834094469E-3</v>
      </c>
    </row>
    <row r="1784" spans="1:6" x14ac:dyDescent="0.25">
      <c r="A1784" s="23">
        <v>1783</v>
      </c>
      <c r="B1784" s="7" cm="1">
        <f t="array" aca="1" ref="B1784" ca="1">interpolexp(A1784,serie_du,Taxas_DI)</f>
        <v>0.12372398249005379</v>
      </c>
      <c r="C1784" s="37">
        <f t="shared" ca="1" si="82"/>
        <v>2.2826384286243653</v>
      </c>
      <c r="D1784" s="36">
        <f t="shared" ca="1" si="84"/>
        <v>0.12308684060453157</v>
      </c>
      <c r="E1784" s="32">
        <v>0.12079687316750576</v>
      </c>
      <c r="F1784" s="35">
        <f t="shared" ca="1" si="83"/>
        <v>2.9271093225480271E-3</v>
      </c>
    </row>
    <row r="1785" spans="1:6" x14ac:dyDescent="0.25">
      <c r="A1785" s="23">
        <v>1784</v>
      </c>
      <c r="B1785" s="7" cm="1">
        <f t="array" aca="1" ref="B1785" ca="1">interpolexp(A1785,serie_du,Taxas_DI)</f>
        <v>0.1237236252463747</v>
      </c>
      <c r="C1785" s="37">
        <f t="shared" ca="1" si="82"/>
        <v>2.2836901428806562</v>
      </c>
      <c r="D1785" s="36">
        <f t="shared" ca="1" si="84"/>
        <v>0.12308684036068462</v>
      </c>
      <c r="E1785" s="32">
        <v>0.12079618215929955</v>
      </c>
      <c r="F1785" s="35">
        <f t="shared" ca="1" si="83"/>
        <v>2.9274430870751544E-3</v>
      </c>
    </row>
    <row r="1786" spans="1:6" x14ac:dyDescent="0.25">
      <c r="A1786" s="23">
        <v>1785</v>
      </c>
      <c r="B1786" s="7" cm="1">
        <f t="array" aca="1" ref="B1786" ca="1">interpolexp(A1786,serie_du,Taxas_DI)</f>
        <v>0.12372326840299763</v>
      </c>
      <c r="C1786" s="37">
        <f t="shared" ca="1" si="82"/>
        <v>2.2847423417078234</v>
      </c>
      <c r="D1786" s="36">
        <f t="shared" ca="1" si="84"/>
        <v>0.12308684021019034</v>
      </c>
      <c r="E1786" s="32">
        <v>0.12079549192536287</v>
      </c>
      <c r="F1786" s="35">
        <f t="shared" ca="1" si="83"/>
        <v>2.9277764776347581E-3</v>
      </c>
    </row>
    <row r="1787" spans="1:6" x14ac:dyDescent="0.25">
      <c r="A1787" s="23">
        <v>1786</v>
      </c>
      <c r="B1787" s="7" cm="1">
        <f t="array" aca="1" ref="B1787" ca="1">interpolexp(A1787,serie_du,Taxas_DI)</f>
        <v>0.12372291195921203</v>
      </c>
      <c r="C1787" s="37">
        <f t="shared" ca="1" si="82"/>
        <v>2.2857950253285808</v>
      </c>
      <c r="D1787" s="36">
        <f t="shared" ca="1" si="84"/>
        <v>0.12308683999178616</v>
      </c>
      <c r="E1787" s="32">
        <v>0.12079480246436347</v>
      </c>
      <c r="F1787" s="35">
        <f t="shared" ca="1" si="83"/>
        <v>2.9281094948485631E-3</v>
      </c>
    </row>
    <row r="1788" spans="1:6" x14ac:dyDescent="0.25">
      <c r="A1788" s="23">
        <v>1787</v>
      </c>
      <c r="B1788" s="7" cm="1">
        <f t="array" aca="1" ref="B1788" ca="1">interpolexp(A1788,serie_du,Taxas_DI)</f>
        <v>0.12372255591435177</v>
      </c>
      <c r="C1788" s="37">
        <f t="shared" ca="1" si="82"/>
        <v>2.2868481939663652</v>
      </c>
      <c r="D1788" s="36">
        <f t="shared" ca="1" si="84"/>
        <v>0.12308683978230994</v>
      </c>
      <c r="E1788" s="32">
        <v>0.12079411377499127</v>
      </c>
      <c r="F1788" s="35">
        <f t="shared" ca="1" si="83"/>
        <v>2.9284421393604987E-3</v>
      </c>
    </row>
    <row r="1789" spans="1:6" x14ac:dyDescent="0.25">
      <c r="A1789" s="23">
        <v>1788</v>
      </c>
      <c r="B1789" s="7" cm="1">
        <f t="array" aca="1" ref="B1789" ca="1">interpolexp(A1789,serie_du,Taxas_DI)</f>
        <v>0.12372220026775071</v>
      </c>
      <c r="C1789" s="37">
        <f t="shared" ca="1" si="82"/>
        <v>2.2879018478446924</v>
      </c>
      <c r="D1789" s="36">
        <f t="shared" ca="1" si="84"/>
        <v>0.12308683957879163</v>
      </c>
      <c r="E1789" s="32">
        <v>0.12079342585598063</v>
      </c>
      <c r="F1789" s="35">
        <f t="shared" ca="1" si="83"/>
        <v>2.9287744117700854E-3</v>
      </c>
    </row>
    <row r="1790" spans="1:6" x14ac:dyDescent="0.25">
      <c r="A1790" s="23">
        <v>1789</v>
      </c>
      <c r="B1790" s="7" cm="1">
        <f t="array" aca="1" ref="B1790" ca="1">interpolexp(A1790,serie_du,Taxas_DI)</f>
        <v>0.12372184501876493</v>
      </c>
      <c r="C1790" s="37">
        <f t="shared" ca="1" si="82"/>
        <v>2.2889559871874812</v>
      </c>
      <c r="D1790" s="36">
        <f t="shared" ca="1" si="84"/>
        <v>0.12308683941830445</v>
      </c>
      <c r="E1790" s="32">
        <v>0.12079273870604368</v>
      </c>
      <c r="F1790" s="35">
        <f t="shared" ca="1" si="83"/>
        <v>2.9291063127212524E-3</v>
      </c>
    </row>
    <row r="1791" spans="1:6" x14ac:dyDescent="0.25">
      <c r="A1791" s="23">
        <v>1790</v>
      </c>
      <c r="B1791" s="7" cm="1">
        <f t="array" aca="1" ref="B1791" ca="1">interpolexp(A1791,serie_du,Taxas_DI)</f>
        <v>0.12372149016668388</v>
      </c>
      <c r="C1791" s="37">
        <f t="shared" ca="1" si="82"/>
        <v>2.2900106122177704</v>
      </c>
      <c r="D1791" s="36">
        <f t="shared" ca="1" si="84"/>
        <v>0.12308683917928365</v>
      </c>
      <c r="E1791" s="32">
        <v>0.12079205232384815</v>
      </c>
      <c r="F1791" s="35">
        <f t="shared" ca="1" si="83"/>
        <v>2.9294378428357248E-3</v>
      </c>
    </row>
    <row r="1792" spans="1:6" x14ac:dyDescent="0.25">
      <c r="A1792" s="23">
        <v>1791</v>
      </c>
      <c r="B1792" s="7" cm="1">
        <f t="array" aca="1" ref="B1792" ca="1">interpolexp(A1792,serie_du,Taxas_DI)</f>
        <v>0.12372113571088583</v>
      </c>
      <c r="C1792" s="37">
        <f t="shared" ca="1" si="82"/>
        <v>2.2910657231599627</v>
      </c>
      <c r="D1792" s="36">
        <f t="shared" ca="1" si="84"/>
        <v>0.12308683901768602</v>
      </c>
      <c r="E1792" s="32">
        <v>0.1207913667081506</v>
      </c>
      <c r="F1792" s="35">
        <f t="shared" ca="1" si="83"/>
        <v>2.9297690027352274E-3</v>
      </c>
    </row>
    <row r="1793" spans="1:6" x14ac:dyDescent="0.25">
      <c r="A1793" s="23">
        <v>1792</v>
      </c>
      <c r="B1793" s="7" cm="1">
        <f t="array" aca="1" ref="B1793" ca="1">interpolexp(A1793,serie_du,Taxas_DI)</f>
        <v>0.12372078165066025</v>
      </c>
      <c r="C1793" s="37">
        <f t="shared" ca="1" si="82"/>
        <v>2.2921213202372583</v>
      </c>
      <c r="D1793" s="36">
        <f t="shared" ca="1" si="84"/>
        <v>0.1230868387720585</v>
      </c>
      <c r="E1793" s="32">
        <v>0.12079068185766317</v>
      </c>
      <c r="F1793" s="35">
        <f t="shared" ca="1" si="83"/>
        <v>2.9300997929970762E-3</v>
      </c>
    </row>
    <row r="1794" spans="1:6" x14ac:dyDescent="0.25">
      <c r="A1794" s="23">
        <v>1793</v>
      </c>
      <c r="B1794" s="7" cm="1">
        <f t="array" aca="1" ref="B1794" ca="1">interpolexp(A1794,serie_du,Taxas_DI)</f>
        <v>0.12372042798538541</v>
      </c>
      <c r="C1794" s="37">
        <f t="shared" ref="C1794:C1857" ca="1" si="85">(1+B1794)^(A1794/252)</f>
        <v>2.2931774036742247</v>
      </c>
      <c r="D1794" s="36">
        <f t="shared" ca="1" si="84"/>
        <v>0.12308683859872205</v>
      </c>
      <c r="E1794" s="32">
        <v>0.120789997771098</v>
      </c>
      <c r="F1794" s="35">
        <f t="shared" ref="F1794:F1857" ca="1" si="86">B1794-E1794</f>
        <v>2.930430214287405E-3</v>
      </c>
    </row>
    <row r="1795" spans="1:6" x14ac:dyDescent="0.25">
      <c r="A1795" s="23">
        <v>1794</v>
      </c>
      <c r="B1795" s="7" cm="1">
        <f t="array" aca="1" ref="B1795" ca="1">interpolexp(A1795,serie_du,Taxas_DI)</f>
        <v>0.12372007471439517</v>
      </c>
      <c r="C1795" s="37">
        <f t="shared" ca="1" si="85"/>
        <v>2.2942339736948689</v>
      </c>
      <c r="D1795" s="36">
        <f t="shared" ca="1" si="84"/>
        <v>0.12308683841547996</v>
      </c>
      <c r="E1795" s="32">
        <v>0.12078931444716723</v>
      </c>
      <c r="F1795" s="35">
        <f t="shared" ca="1" si="86"/>
        <v>2.9307602672279387E-3</v>
      </c>
    </row>
    <row r="1796" spans="1:6" x14ac:dyDescent="0.25">
      <c r="A1796" s="23">
        <v>1795</v>
      </c>
      <c r="B1796" s="7" cm="1">
        <f t="array" aca="1" ref="B1796" ca="1">interpolexp(A1796,serie_du,Taxas_DI)</f>
        <v>0.1237197218370012</v>
      </c>
      <c r="C1796" s="37">
        <f t="shared" ca="1" si="85"/>
        <v>2.2952910305229559</v>
      </c>
      <c r="D1796" s="36">
        <f t="shared" ref="D1796:D1859" ca="1" si="87">((((1+B1796)^(A1796/252))/((1+B1795)^(A1795/252)))^(252/1))-1</f>
        <v>0.12308683817992083</v>
      </c>
      <c r="E1796" s="32">
        <v>0.1207886318846052</v>
      </c>
      <c r="F1796" s="35">
        <f t="shared" ca="1" si="86"/>
        <v>2.9310899523959932E-3</v>
      </c>
    </row>
    <row r="1797" spans="1:6" x14ac:dyDescent="0.25">
      <c r="A1797" s="23">
        <v>1796</v>
      </c>
      <c r="B1797" s="7" cm="1">
        <f t="array" aca="1" ref="B1797" ca="1">interpolexp(A1797,serie_du,Taxas_DI)</f>
        <v>0.12371936935260397</v>
      </c>
      <c r="C1797" s="37">
        <f t="shared" ca="1" si="85"/>
        <v>2.2963485743836243</v>
      </c>
      <c r="D1797" s="36">
        <f t="shared" ca="1" si="87"/>
        <v>0.12308683804872667</v>
      </c>
      <c r="E1797" s="32">
        <v>0.12078795008212406</v>
      </c>
      <c r="F1797" s="35">
        <f t="shared" ca="1" si="86"/>
        <v>2.9314192704799069E-3</v>
      </c>
    </row>
    <row r="1798" spans="1:6" x14ac:dyDescent="0.25">
      <c r="A1798" s="23">
        <v>1797</v>
      </c>
      <c r="B1798" s="7" cm="1">
        <f t="array" aca="1" ref="B1798" ca="1">interpolexp(A1798,serie_du,Taxas_DI)</f>
        <v>0.12371901726049295</v>
      </c>
      <c r="C1798" s="37">
        <f t="shared" ca="1" si="85"/>
        <v>2.2974066055004796</v>
      </c>
      <c r="D1798" s="36">
        <f t="shared" ca="1" si="87"/>
        <v>0.12308683781994278</v>
      </c>
      <c r="E1798" s="32">
        <v>0.12078726903848036</v>
      </c>
      <c r="F1798" s="35">
        <f t="shared" ca="1" si="86"/>
        <v>2.9317482220125868E-3</v>
      </c>
    </row>
    <row r="1799" spans="1:6" x14ac:dyDescent="0.25">
      <c r="A1799" s="23">
        <v>1798</v>
      </c>
      <c r="B1799" s="7" cm="1">
        <f t="array" aca="1" ref="B1799" ca="1">interpolexp(A1799,serie_du,Taxas_DI)</f>
        <v>0.1237186655600242</v>
      </c>
      <c r="C1799" s="37">
        <f t="shared" ca="1" si="85"/>
        <v>2.298465124098179</v>
      </c>
      <c r="D1799" s="36">
        <f t="shared" ca="1" si="87"/>
        <v>0.12308683761070482</v>
      </c>
      <c r="E1799" s="32">
        <v>0.12078658875240844</v>
      </c>
      <c r="F1799" s="35">
        <f t="shared" ca="1" si="86"/>
        <v>2.9320768076157577E-3</v>
      </c>
    </row>
    <row r="1800" spans="1:6" x14ac:dyDescent="0.25">
      <c r="A1800" s="23">
        <v>1799</v>
      </c>
      <c r="B1800" s="7" cm="1">
        <f t="array" aca="1" ref="B1800" ca="1">interpolexp(A1800,serie_du,Taxas_DI)</f>
        <v>0.1237183142505538</v>
      </c>
      <c r="C1800" s="37">
        <f t="shared" ca="1" si="85"/>
        <v>2.2995241304014611</v>
      </c>
      <c r="D1800" s="36">
        <f t="shared" ca="1" si="87"/>
        <v>0.12308683741811977</v>
      </c>
      <c r="E1800" s="32">
        <v>0.12078590922262045</v>
      </c>
      <c r="F1800" s="35">
        <f t="shared" ca="1" si="86"/>
        <v>2.9324050279333491E-3</v>
      </c>
    </row>
    <row r="1801" spans="1:6" x14ac:dyDescent="0.25">
      <c r="A1801" s="23">
        <v>1800</v>
      </c>
      <c r="B1801" s="7" cm="1">
        <f t="array" aca="1" ref="B1801" ca="1">interpolexp(A1801,serie_du,Taxas_DI)</f>
        <v>0.12371796333143781</v>
      </c>
      <c r="C1801" s="37">
        <f t="shared" ca="1" si="85"/>
        <v>2.300583624635149</v>
      </c>
      <c r="D1801" s="36">
        <f t="shared" ca="1" si="87"/>
        <v>0.12308683723992675</v>
      </c>
      <c r="E1801" s="32">
        <v>0.12078523044789513</v>
      </c>
      <c r="F1801" s="35">
        <f t="shared" ca="1" si="86"/>
        <v>2.9327328835426769E-3</v>
      </c>
    </row>
    <row r="1802" spans="1:6" x14ac:dyDescent="0.25">
      <c r="A1802" s="23">
        <v>1801</v>
      </c>
      <c r="B1802" s="7" cm="1">
        <f t="array" aca="1" ref="B1802" ca="1">interpolexp(A1802,serie_du,Taxas_DI)</f>
        <v>0.1237176128020101</v>
      </c>
      <c r="C1802" s="37">
        <f t="shared" ca="1" si="85"/>
        <v>2.3016436070238218</v>
      </c>
      <c r="D1802" s="36">
        <f t="shared" ca="1" si="87"/>
        <v>0.1230868370332705</v>
      </c>
      <c r="E1802" s="32">
        <v>0.12078455242692243</v>
      </c>
      <c r="F1802" s="35">
        <f t="shared" ca="1" si="86"/>
        <v>2.9330603750876705E-3</v>
      </c>
    </row>
    <row r="1803" spans="1:6" x14ac:dyDescent="0.25">
      <c r="A1803" s="23">
        <v>1802</v>
      </c>
      <c r="B1803" s="7" cm="1">
        <f t="array" aca="1" ref="B1803" ca="1">interpolexp(A1803,serie_du,Taxas_DI)</f>
        <v>0.12371726266162675</v>
      </c>
      <c r="C1803" s="37">
        <f t="shared" ca="1" si="85"/>
        <v>2.3027040777924674</v>
      </c>
      <c r="D1803" s="36">
        <f t="shared" ca="1" si="87"/>
        <v>0.12308683683585775</v>
      </c>
      <c r="E1803" s="32">
        <v>0.1207838751584811</v>
      </c>
      <c r="F1803" s="35">
        <f t="shared" ca="1" si="86"/>
        <v>2.9333875031456458E-3</v>
      </c>
    </row>
    <row r="1804" spans="1:6" x14ac:dyDescent="0.25">
      <c r="A1804" s="23">
        <v>1803</v>
      </c>
      <c r="B1804" s="7" cm="1">
        <f t="array" aca="1" ref="B1804" ca="1">interpolexp(A1804,serie_du,Taxas_DI)</f>
        <v>0.12371691290964382</v>
      </c>
      <c r="C1804" s="37">
        <f t="shared" ca="1" si="85"/>
        <v>2.3037650371661549</v>
      </c>
      <c r="D1804" s="36">
        <f t="shared" ca="1" si="87"/>
        <v>0.12308683664471065</v>
      </c>
      <c r="E1804" s="32">
        <v>0.12078319864132769</v>
      </c>
      <c r="F1804" s="35">
        <f t="shared" ca="1" si="86"/>
        <v>2.9337142683161233E-3</v>
      </c>
    </row>
    <row r="1805" spans="1:6" x14ac:dyDescent="0.25">
      <c r="A1805" s="23">
        <v>1804</v>
      </c>
      <c r="B1805" s="7" cm="1">
        <f t="array" aca="1" ref="B1805" ca="1">interpolexp(A1805,serie_du,Taxas_DI)</f>
        <v>0.12371656354541738</v>
      </c>
      <c r="C1805" s="37">
        <f t="shared" ca="1" si="85"/>
        <v>2.3048264853700369</v>
      </c>
      <c r="D1805" s="36">
        <f t="shared" ca="1" si="87"/>
        <v>0.12308683645751928</v>
      </c>
      <c r="E1805" s="32">
        <v>0.12078252287419655</v>
      </c>
      <c r="F1805" s="35">
        <f t="shared" ca="1" si="86"/>
        <v>2.9340406712208278E-3</v>
      </c>
    </row>
    <row r="1806" spans="1:6" x14ac:dyDescent="0.25">
      <c r="A1806" s="23">
        <v>1805</v>
      </c>
      <c r="B1806" s="7" cm="1">
        <f t="array" aca="1" ref="B1806" ca="1">interpolexp(A1806,serie_du,Taxas_DI)</f>
        <v>0.1237162145682813</v>
      </c>
      <c r="C1806" s="37">
        <f t="shared" ca="1" si="85"/>
        <v>2.3058884226290219</v>
      </c>
      <c r="D1806" s="36">
        <f t="shared" ca="1" si="87"/>
        <v>0.12308683623151317</v>
      </c>
      <c r="E1806" s="32">
        <v>0.12078184785582202</v>
      </c>
      <c r="F1806" s="35">
        <f t="shared" ca="1" si="86"/>
        <v>2.9343667124592798E-3</v>
      </c>
    </row>
    <row r="1807" spans="1:6" x14ac:dyDescent="0.25">
      <c r="A1807" s="23">
        <v>1806</v>
      </c>
      <c r="B1807" s="7" cm="1">
        <f t="array" aca="1" ref="B1807" ca="1">interpolexp(A1807,serie_du,Taxas_DI)</f>
        <v>0.12371586597763606</v>
      </c>
      <c r="C1807" s="37">
        <f t="shared" ca="1" si="85"/>
        <v>2.3069508491690813</v>
      </c>
      <c r="D1807" s="36">
        <f t="shared" ca="1" si="87"/>
        <v>0.12308683608448123</v>
      </c>
      <c r="E1807" s="32">
        <v>0.12078117358498286</v>
      </c>
      <c r="F1807" s="35">
        <f t="shared" ca="1" si="86"/>
        <v>2.9346923926532043E-3</v>
      </c>
    </row>
    <row r="1808" spans="1:6" x14ac:dyDescent="0.25">
      <c r="A1808" s="23">
        <v>1807</v>
      </c>
      <c r="B1808" s="7" cm="1">
        <f t="array" aca="1" ref="B1808" ca="1">interpolexp(A1808,serie_du,Taxas_DI)</f>
        <v>0.12371551777279333</v>
      </c>
      <c r="C1808" s="37">
        <f t="shared" ca="1" si="85"/>
        <v>2.3080137652149619</v>
      </c>
      <c r="D1808" s="36">
        <f t="shared" ca="1" si="87"/>
        <v>0.12308683585330504</v>
      </c>
      <c r="E1808" s="32">
        <v>0.12078050006045782</v>
      </c>
      <c r="F1808" s="35">
        <f t="shared" ca="1" si="86"/>
        <v>2.9350177123355081E-3</v>
      </c>
    </row>
    <row r="1809" spans="1:6" x14ac:dyDescent="0.25">
      <c r="A1809" s="23">
        <v>1808</v>
      </c>
      <c r="B1809" s="7" cm="1">
        <f t="array" aca="1" ref="B1809" ca="1">interpolexp(A1809,serie_du,Taxas_DI)</f>
        <v>0.12371516995315357</v>
      </c>
      <c r="C1809" s="37">
        <f t="shared" ca="1" si="85"/>
        <v>2.309077170992802</v>
      </c>
      <c r="D1809" s="36">
        <f t="shared" ca="1" si="87"/>
        <v>0.12308683569596801</v>
      </c>
      <c r="E1809" s="32">
        <v>0.12077982728095904</v>
      </c>
      <c r="F1809" s="35">
        <f t="shared" ca="1" si="86"/>
        <v>2.9353426721945297E-3</v>
      </c>
    </row>
    <row r="1810" spans="1:6" x14ac:dyDescent="0.25">
      <c r="A1810" s="23">
        <v>1809</v>
      </c>
      <c r="B1810" s="7" cm="1">
        <f t="array" aca="1" ref="B1810" ca="1">interpolexp(A1810,serie_du,Taxas_DI)</f>
        <v>0.12371482251805066</v>
      </c>
      <c r="C1810" s="37">
        <f t="shared" ca="1" si="85"/>
        <v>2.3101410667278399</v>
      </c>
      <c r="D1810" s="36">
        <f t="shared" ca="1" si="87"/>
        <v>0.12308683548943522</v>
      </c>
      <c r="E1810" s="32">
        <v>0.12077915524530969</v>
      </c>
      <c r="F1810" s="35">
        <f t="shared" ca="1" si="86"/>
        <v>2.9356672727409716E-3</v>
      </c>
    </row>
    <row r="1811" spans="1:6" x14ac:dyDescent="0.25">
      <c r="A1811" s="23">
        <v>1810</v>
      </c>
      <c r="B1811" s="7" cm="1">
        <f t="array" aca="1" ref="B1811" ca="1">interpolexp(A1811,serie_du,Taxas_DI)</f>
        <v>0.12371447546686287</v>
      </c>
      <c r="C1811" s="37">
        <f t="shared" ca="1" si="85"/>
        <v>2.3112054526460546</v>
      </c>
      <c r="D1811" s="36">
        <f t="shared" ca="1" si="87"/>
        <v>0.12308683531165254</v>
      </c>
      <c r="E1811" s="32">
        <v>0.1207784839522219</v>
      </c>
      <c r="F1811" s="35">
        <f t="shared" ca="1" si="86"/>
        <v>2.9359915146409676E-3</v>
      </c>
    </row>
    <row r="1812" spans="1:6" x14ac:dyDescent="0.25">
      <c r="A1812" s="23">
        <v>1811</v>
      </c>
      <c r="B1812" s="7" cm="1">
        <f t="array" aca="1" ref="B1812" ca="1">interpolexp(A1812,serie_du,Taxas_DI)</f>
        <v>0.12371412879892407</v>
      </c>
      <c r="C1812" s="37">
        <f t="shared" ca="1" si="85"/>
        <v>2.3122703289728501</v>
      </c>
      <c r="D1812" s="36">
        <f t="shared" ca="1" si="87"/>
        <v>0.12308683507958418</v>
      </c>
      <c r="E1812" s="32">
        <v>0.12077781340049665</v>
      </c>
      <c r="F1812" s="35">
        <f t="shared" ca="1" si="86"/>
        <v>2.9363153984274248E-3</v>
      </c>
    </row>
    <row r="1813" spans="1:6" x14ac:dyDescent="0.25">
      <c r="A1813" s="23">
        <v>1812</v>
      </c>
      <c r="B1813" s="7" cm="1">
        <f t="array" aca="1" ref="B1813" ca="1">interpolexp(A1813,serie_du,Taxas_DI)</f>
        <v>0.12371378251363474</v>
      </c>
      <c r="C1813" s="37">
        <f t="shared" ca="1" si="85"/>
        <v>2.3133356959346982</v>
      </c>
      <c r="D1813" s="36">
        <f t="shared" ca="1" si="87"/>
        <v>0.12308683491112671</v>
      </c>
      <c r="E1813" s="32">
        <v>0.12077714358889047</v>
      </c>
      <c r="F1813" s="35">
        <f t="shared" ca="1" si="86"/>
        <v>2.9366389247442726E-3</v>
      </c>
    </row>
    <row r="1814" spans="1:6" x14ac:dyDescent="0.25">
      <c r="A1814" s="23">
        <v>1813</v>
      </c>
      <c r="B1814" s="7" cm="1">
        <f t="array" aca="1" ref="B1814" ca="1">interpolexp(A1814,serie_du,Taxas_DI)</f>
        <v>0.12371343661035095</v>
      </c>
      <c r="C1814" s="37">
        <f t="shared" ca="1" si="85"/>
        <v>2.3144015537574991</v>
      </c>
      <c r="D1814" s="36">
        <f t="shared" ca="1" si="87"/>
        <v>0.12308683472355963</v>
      </c>
      <c r="E1814" s="32">
        <v>0.12077647451620432</v>
      </c>
      <c r="F1814" s="35">
        <f t="shared" ca="1" si="86"/>
        <v>2.9369620941466223E-3</v>
      </c>
    </row>
    <row r="1815" spans="1:6" x14ac:dyDescent="0.25">
      <c r="A1815" s="23">
        <v>1814</v>
      </c>
      <c r="B1815" s="7" cm="1">
        <f t="array" aca="1" ref="B1815" ca="1">interpolexp(A1815,serie_du,Taxas_DI)</f>
        <v>0.12371309108845097</v>
      </c>
      <c r="C1815" s="37">
        <f t="shared" ca="1" si="85"/>
        <v>2.3154679026675646</v>
      </c>
      <c r="D1815" s="36">
        <f t="shared" ca="1" si="87"/>
        <v>0.12308683455444336</v>
      </c>
      <c r="E1815" s="32">
        <v>0.12077580618119477</v>
      </c>
      <c r="F1815" s="35">
        <f t="shared" ca="1" si="86"/>
        <v>2.9372849072561991E-3</v>
      </c>
    </row>
    <row r="1816" spans="1:6" x14ac:dyDescent="0.25">
      <c r="A1816" s="23">
        <v>1815</v>
      </c>
      <c r="B1816" s="7" cm="1">
        <f t="array" aca="1" ref="B1816" ca="1">interpolexp(A1816,serie_du,Taxas_DI)</f>
        <v>0.12371274594726867</v>
      </c>
      <c r="C1816" s="37">
        <f t="shared" ca="1" si="85"/>
        <v>2.3165347428906311</v>
      </c>
      <c r="D1816" s="36">
        <f t="shared" ca="1" si="87"/>
        <v>0.12308683432091239</v>
      </c>
      <c r="E1816" s="32">
        <v>0.12077513858264055</v>
      </c>
      <c r="F1816" s="35">
        <f t="shared" ca="1" si="86"/>
        <v>2.9376073646281142E-3</v>
      </c>
    </row>
    <row r="1817" spans="1:6" x14ac:dyDescent="0.25">
      <c r="A1817" s="23">
        <v>1816</v>
      </c>
      <c r="B1817" s="7" cm="1">
        <f t="array" aca="1" ref="B1817" ca="1">interpolexp(A1817,serie_du,Taxas_DI)</f>
        <v>0.12371240118620452</v>
      </c>
      <c r="C1817" s="37">
        <f t="shared" ca="1" si="85"/>
        <v>2.3176020746535069</v>
      </c>
      <c r="D1817" s="36">
        <f t="shared" ca="1" si="87"/>
        <v>0.12308683414099719</v>
      </c>
      <c r="E1817" s="32">
        <v>0.12077447171934264</v>
      </c>
      <c r="F1817" s="35">
        <f t="shared" ca="1" si="86"/>
        <v>2.9379294668618883E-3</v>
      </c>
    </row>
    <row r="1818" spans="1:6" x14ac:dyDescent="0.25">
      <c r="A1818" s="23">
        <v>1817</v>
      </c>
      <c r="B1818" s="7" cm="1">
        <f t="array" aca="1" ref="B1818" ca="1">interpolexp(A1818,serie_du,Taxas_DI)</f>
        <v>0.12371205680463682</v>
      </c>
      <c r="C1818" s="37">
        <f t="shared" ca="1" si="85"/>
        <v>2.3186698981827547</v>
      </c>
      <c r="D1818" s="36">
        <f t="shared" ca="1" si="87"/>
        <v>0.12308683397211917</v>
      </c>
      <c r="E1818" s="32">
        <v>0.12077380559005757</v>
      </c>
      <c r="F1818" s="35">
        <f t="shared" ca="1" si="86"/>
        <v>2.9382512145792461E-3</v>
      </c>
    </row>
    <row r="1819" spans="1:6" x14ac:dyDescent="0.25">
      <c r="A1819" s="23">
        <v>1818</v>
      </c>
      <c r="B1819" s="7" cm="1">
        <f t="array" aca="1" ref="B1819" ca="1">interpolexp(A1819,serie_du,Taxas_DI)</f>
        <v>0.12371171280192161</v>
      </c>
      <c r="C1819" s="37">
        <f t="shared" ca="1" si="85"/>
        <v>2.3197382137046914</v>
      </c>
      <c r="D1819" s="36">
        <f t="shared" ca="1" si="87"/>
        <v>0.12308683377136087</v>
      </c>
      <c r="E1819" s="32">
        <v>0.12077314019360852</v>
      </c>
      <c r="F1819" s="35">
        <f t="shared" ca="1" si="86"/>
        <v>2.9385726083130947E-3</v>
      </c>
    </row>
    <row r="1820" spans="1:6" x14ac:dyDescent="0.25">
      <c r="A1820" s="23">
        <v>1819</v>
      </c>
      <c r="B1820" s="7" cm="1">
        <f t="array" aca="1" ref="B1820" ca="1">interpolexp(A1820,serie_du,Taxas_DI)</f>
        <v>0.12371136917743719</v>
      </c>
      <c r="C1820" s="37">
        <f t="shared" ca="1" si="85"/>
        <v>2.3208070214460474</v>
      </c>
      <c r="D1820" s="36">
        <f t="shared" ca="1" si="87"/>
        <v>0.12308683357662642</v>
      </c>
      <c r="E1820" s="32">
        <v>0.12077247552875203</v>
      </c>
      <c r="F1820" s="35">
        <f t="shared" ca="1" si="86"/>
        <v>2.9388936486851591E-3</v>
      </c>
    </row>
    <row r="1821" spans="1:6" x14ac:dyDescent="0.25">
      <c r="A1821" s="23">
        <v>1820</v>
      </c>
      <c r="B1821" s="7" cm="1">
        <f t="array" aca="1" ref="B1821" ca="1">interpolexp(A1821,serie_du,Taxas_DI)</f>
        <v>0.12371102593058403</v>
      </c>
      <c r="C1821" s="37">
        <f t="shared" ca="1" si="85"/>
        <v>2.3218763216339688</v>
      </c>
      <c r="D1821" s="36">
        <f t="shared" ca="1" si="87"/>
        <v>0.12308683342569315</v>
      </c>
      <c r="E1821" s="32">
        <v>0.12077181159431127</v>
      </c>
      <c r="F1821" s="35">
        <f t="shared" ca="1" si="86"/>
        <v>2.9392143362727552E-3</v>
      </c>
    </row>
    <row r="1822" spans="1:6" x14ac:dyDescent="0.25">
      <c r="A1822" s="23">
        <v>1821</v>
      </c>
      <c r="B1822" s="7" cm="1">
        <f t="array" aca="1" ref="B1822" ca="1">interpolexp(A1822,serie_du,Taxas_DI)</f>
        <v>0.12371068306069599</v>
      </c>
      <c r="C1822" s="37">
        <f t="shared" ca="1" si="85"/>
        <v>2.3229461144946919</v>
      </c>
      <c r="D1822" s="36">
        <f t="shared" ca="1" si="87"/>
        <v>0.12308683319497149</v>
      </c>
      <c r="E1822" s="32">
        <v>0.1207711483890872</v>
      </c>
      <c r="F1822" s="35">
        <f t="shared" ca="1" si="86"/>
        <v>2.93953467160879E-3</v>
      </c>
    </row>
    <row r="1823" spans="1:6" x14ac:dyDescent="0.25">
      <c r="A1823" s="23">
        <v>1822</v>
      </c>
      <c r="B1823" s="7" cm="1">
        <f t="array" aca="1" ref="B1823" ca="1">interpolexp(A1823,serie_du,Taxas_DI)</f>
        <v>0.12371034056717356</v>
      </c>
      <c r="C1823" s="37">
        <f t="shared" ca="1" si="85"/>
        <v>2.3240164002555304</v>
      </c>
      <c r="D1823" s="36">
        <f t="shared" ca="1" si="87"/>
        <v>0.12308683300316847</v>
      </c>
      <c r="E1823" s="32">
        <v>0.12077048591183637</v>
      </c>
      <c r="F1823" s="35">
        <f t="shared" ca="1" si="86"/>
        <v>2.9398546553371929E-3</v>
      </c>
    </row>
    <row r="1824" spans="1:6" x14ac:dyDescent="0.25">
      <c r="A1824" s="23">
        <v>1823</v>
      </c>
      <c r="B1824" s="7" cm="1">
        <f t="array" aca="1" ref="B1824" ca="1">interpolexp(A1824,serie_du,Taxas_DI)</f>
        <v>0.12370999844941033</v>
      </c>
      <c r="C1824" s="37">
        <f t="shared" ca="1" si="85"/>
        <v>2.3250871791437815</v>
      </c>
      <c r="D1824" s="36">
        <f t="shared" ca="1" si="87"/>
        <v>0.12308683283530453</v>
      </c>
      <c r="E1824" s="32">
        <v>0.12076982416142634</v>
      </c>
      <c r="F1824" s="35">
        <f t="shared" ca="1" si="86"/>
        <v>2.9401742879839876E-3</v>
      </c>
    </row>
    <row r="1825" spans="1:6" x14ac:dyDescent="0.25">
      <c r="A1825" s="23">
        <v>1824</v>
      </c>
      <c r="B1825" s="7" cm="1">
        <f t="array" aca="1" ref="B1825" ca="1">interpolexp(A1825,serie_du,Taxas_DI)</f>
        <v>0.12370896017213084</v>
      </c>
      <c r="C1825" s="37">
        <f t="shared" ca="1" si="85"/>
        <v>2.3261480149710505</v>
      </c>
      <c r="D1825" s="36">
        <f t="shared" ca="1" si="87"/>
        <v>0.12181777477226774</v>
      </c>
      <c r="E1825" s="32">
        <v>0.12076916313659147</v>
      </c>
      <c r="F1825" s="35">
        <f t="shared" ca="1" si="86"/>
        <v>2.939797035539371E-3</v>
      </c>
    </row>
    <row r="1826" spans="1:6" x14ac:dyDescent="0.25">
      <c r="A1826" s="23">
        <v>1825</v>
      </c>
      <c r="B1826" s="7" cm="1">
        <f t="array" aca="1" ref="B1826" ca="1">interpolexp(A1826,serie_du,Taxas_DI)</f>
        <v>0.12370792303268985</v>
      </c>
      <c r="C1826" s="37">
        <f t="shared" ca="1" si="85"/>
        <v>2.3272093347970597</v>
      </c>
      <c r="D1826" s="36">
        <f t="shared" ca="1" si="87"/>
        <v>0.12181777302796171</v>
      </c>
      <c r="E1826" s="32">
        <v>0.12076850283617713</v>
      </c>
      <c r="F1826" s="35">
        <f t="shared" ca="1" si="86"/>
        <v>2.9394201965127209E-3</v>
      </c>
    </row>
    <row r="1827" spans="1:6" x14ac:dyDescent="0.25">
      <c r="A1827" s="23">
        <v>1826</v>
      </c>
      <c r="B1827" s="7" cm="1">
        <f t="array" aca="1" ref="B1827" ca="1">interpolexp(A1827,serie_du,Taxas_DI)</f>
        <v>0.12370688702920685</v>
      </c>
      <c r="C1827" s="37">
        <f t="shared" ca="1" si="85"/>
        <v>2.328271138842481</v>
      </c>
      <c r="D1827" s="36">
        <f t="shared" ca="1" si="87"/>
        <v>0.12181777126632176</v>
      </c>
      <c r="E1827" s="32">
        <v>0.12076784325900647</v>
      </c>
      <c r="F1827" s="35">
        <f t="shared" ca="1" si="86"/>
        <v>2.939043770200378E-3</v>
      </c>
    </row>
    <row r="1828" spans="1:6" x14ac:dyDescent="0.25">
      <c r="A1828" s="23">
        <v>1827</v>
      </c>
      <c r="B1828" s="7" cm="1">
        <f t="array" aca="1" ref="B1828" ca="1">interpolexp(A1828,serie_du,Taxas_DI)</f>
        <v>0.12370585215986107</v>
      </c>
      <c r="C1828" s="37">
        <f t="shared" ca="1" si="85"/>
        <v>2.3293334273289212</v>
      </c>
      <c r="D1828" s="36">
        <f t="shared" ca="1" si="87"/>
        <v>0.1218177695887086</v>
      </c>
      <c r="E1828" s="32">
        <v>0.12076718440385825</v>
      </c>
      <c r="F1828" s="35">
        <f t="shared" ca="1" si="86"/>
        <v>2.9386677560028218E-3</v>
      </c>
    </row>
    <row r="1829" spans="1:6" x14ac:dyDescent="0.25">
      <c r="A1829" s="23">
        <v>1828</v>
      </c>
      <c r="B1829" s="7" cm="1">
        <f t="array" aca="1" ref="B1829" ca="1">interpolexp(A1829,serie_du,Taxas_DI)</f>
        <v>0.12370481842276515</v>
      </c>
      <c r="C1829" s="37">
        <f t="shared" ca="1" si="85"/>
        <v>2.3303962004770282</v>
      </c>
      <c r="D1829" s="36">
        <f t="shared" ca="1" si="87"/>
        <v>0.12181776786629195</v>
      </c>
      <c r="E1829" s="32">
        <v>0.12076652626955564</v>
      </c>
      <c r="F1829" s="35">
        <f t="shared" ca="1" si="86"/>
        <v>2.9382921532095096E-3</v>
      </c>
    </row>
    <row r="1830" spans="1:6" x14ac:dyDescent="0.25">
      <c r="A1830" s="23">
        <v>1829</v>
      </c>
      <c r="B1830" s="7" cm="1">
        <f t="array" aca="1" ref="B1830" ca="1">interpolexp(A1830,serie_du,Taxas_DI)</f>
        <v>0.12370378581607611</v>
      </c>
      <c r="C1830" s="37">
        <f t="shared" ca="1" si="85"/>
        <v>2.3314594585081565</v>
      </c>
      <c r="D1830" s="36">
        <f t="shared" ca="1" si="87"/>
        <v>0.12181776617271645</v>
      </c>
      <c r="E1830" s="32">
        <v>0.120765868854944</v>
      </c>
      <c r="F1830" s="35">
        <f t="shared" ca="1" si="86"/>
        <v>2.9379169611321032E-3</v>
      </c>
    </row>
    <row r="1831" spans="1:6" x14ac:dyDescent="0.25">
      <c r="A1831" s="23">
        <v>1830</v>
      </c>
      <c r="B1831" s="7" cm="1">
        <f t="array" aca="1" ref="B1831" ca="1">interpolexp(A1831,serie_du,Taxas_DI)</f>
        <v>0.12370275433790656</v>
      </c>
      <c r="C1831" s="37">
        <f t="shared" ca="1" si="85"/>
        <v>2.33252320164303</v>
      </c>
      <c r="D1831" s="36">
        <f t="shared" ca="1" si="87"/>
        <v>0.12181776441925418</v>
      </c>
      <c r="E1831" s="32">
        <v>0.12076521215880209</v>
      </c>
      <c r="F1831" s="35">
        <f t="shared" ca="1" si="86"/>
        <v>2.9375421791044687E-3</v>
      </c>
    </row>
    <row r="1832" spans="1:6" x14ac:dyDescent="0.25">
      <c r="A1832" s="23">
        <v>1831</v>
      </c>
      <c r="B1832" s="7" cm="1">
        <f t="array" aca="1" ref="B1832" ca="1">interpolexp(A1832,serie_du,Taxas_DI)</f>
        <v>0.12370172398643575</v>
      </c>
      <c r="C1832" s="37">
        <f t="shared" ca="1" si="85"/>
        <v>2.3335874301034187</v>
      </c>
      <c r="D1832" s="36">
        <f t="shared" ca="1" si="87"/>
        <v>0.12181776272041955</v>
      </c>
      <c r="E1832" s="32">
        <v>0.12076455617997528</v>
      </c>
      <c r="F1832" s="35">
        <f t="shared" ca="1" si="86"/>
        <v>2.9371678064604723E-3</v>
      </c>
    </row>
    <row r="1833" spans="1:6" x14ac:dyDescent="0.25">
      <c r="A1833" s="23">
        <v>1832</v>
      </c>
      <c r="B1833" s="7" cm="1">
        <f t="array" aca="1" ref="B1833" ca="1">interpolexp(A1833,serie_du,Taxas_DI)</f>
        <v>0.12370069475982071</v>
      </c>
      <c r="C1833" s="37">
        <f t="shared" ca="1" si="85"/>
        <v>2.3346521441107959</v>
      </c>
      <c r="D1833" s="36">
        <f t="shared" ca="1" si="87"/>
        <v>0.12181776102804664</v>
      </c>
      <c r="E1833" s="32">
        <v>0.12076390091728673</v>
      </c>
      <c r="F1833" s="35">
        <f t="shared" ca="1" si="86"/>
        <v>2.9367938425339801E-3</v>
      </c>
    </row>
    <row r="1834" spans="1:6" x14ac:dyDescent="0.25">
      <c r="A1834" s="23">
        <v>1833</v>
      </c>
      <c r="B1834" s="7" cm="1">
        <f t="array" aca="1" ref="B1834" ca="1">interpolexp(A1834,serie_du,Taxas_DI)</f>
        <v>0.12369966665621845</v>
      </c>
      <c r="C1834" s="37">
        <f t="shared" ca="1" si="85"/>
        <v>2.3357173438866772</v>
      </c>
      <c r="D1834" s="36">
        <f t="shared" ca="1" si="87"/>
        <v>0.12181775933506844</v>
      </c>
      <c r="E1834" s="32">
        <v>0.1207632463695818</v>
      </c>
      <c r="F1834" s="35">
        <f t="shared" ca="1" si="86"/>
        <v>2.936420286636654E-3</v>
      </c>
    </row>
    <row r="1835" spans="1:6" x14ac:dyDescent="0.25">
      <c r="A1835" s="23">
        <v>1834</v>
      </c>
      <c r="B1835" s="7" cm="1">
        <f t="array" aca="1" ref="B1835" ca="1">interpolexp(A1835,serie_du,Taxas_DI)</f>
        <v>0.12369863967378603</v>
      </c>
      <c r="C1835" s="37">
        <f t="shared" ca="1" si="85"/>
        <v>2.3367830296526164</v>
      </c>
      <c r="D1835" s="36">
        <f t="shared" ca="1" si="87"/>
        <v>0.12181775763378533</v>
      </c>
      <c r="E1835" s="32">
        <v>0.12076259253566146</v>
      </c>
      <c r="F1835" s="35">
        <f t="shared" ca="1" si="86"/>
        <v>2.9360471381245645E-3</v>
      </c>
    </row>
    <row r="1836" spans="1:6" x14ac:dyDescent="0.25">
      <c r="A1836" s="23">
        <v>1835</v>
      </c>
      <c r="B1836" s="7" cm="1">
        <f t="array" aca="1" ref="B1836" ca="1">interpolexp(A1836,serie_du,Taxas_DI)</f>
        <v>0.12369761381068045</v>
      </c>
      <c r="C1836" s="37">
        <f t="shared" ca="1" si="85"/>
        <v>2.3378492016302093</v>
      </c>
      <c r="D1836" s="36">
        <f t="shared" ca="1" si="87"/>
        <v>0.12181775591707633</v>
      </c>
      <c r="E1836" s="32">
        <v>0.12076193941437108</v>
      </c>
      <c r="F1836" s="35">
        <f t="shared" ca="1" si="86"/>
        <v>2.9356743963093734E-3</v>
      </c>
    </row>
    <row r="1837" spans="1:6" x14ac:dyDescent="0.25">
      <c r="A1837" s="23">
        <v>1836</v>
      </c>
      <c r="B1837" s="7" cm="1">
        <f t="array" aca="1" ref="B1837" ca="1">interpolexp(A1837,serie_du,Taxas_DI)</f>
        <v>0.12369658906508096</v>
      </c>
      <c r="C1837" s="37">
        <f t="shared" ca="1" si="85"/>
        <v>2.3389158600414275</v>
      </c>
      <c r="D1837" s="36">
        <f t="shared" ca="1" si="87"/>
        <v>0.12181775421823859</v>
      </c>
      <c r="E1837" s="32">
        <v>0.12076128700453381</v>
      </c>
      <c r="F1837" s="35">
        <f t="shared" ca="1" si="86"/>
        <v>2.9353020605471514E-3</v>
      </c>
    </row>
    <row r="1838" spans="1:6" x14ac:dyDescent="0.25">
      <c r="A1838" s="23">
        <v>1837</v>
      </c>
      <c r="B1838" s="7" cm="1">
        <f t="array" aca="1" ref="B1838" ca="1">interpolexp(A1838,serie_du,Taxas_DI)</f>
        <v>0.1236955654351668</v>
      </c>
      <c r="C1838" s="37">
        <f t="shared" ca="1" si="85"/>
        <v>2.3399830051082842</v>
      </c>
      <c r="D1838" s="36">
        <f t="shared" ca="1" si="87"/>
        <v>0.12181775252996929</v>
      </c>
      <c r="E1838" s="32">
        <v>0.12076063530501724</v>
      </c>
      <c r="F1838" s="35">
        <f t="shared" ca="1" si="86"/>
        <v>2.9349301301495601E-3</v>
      </c>
    </row>
    <row r="1839" spans="1:6" x14ac:dyDescent="0.25">
      <c r="A1839" s="23">
        <v>1838</v>
      </c>
      <c r="B1839" s="7" cm="1">
        <f t="array" aca="1" ref="B1839" ca="1">interpolexp(A1839,serie_du,Taxas_DI)</f>
        <v>0.12369454291911719</v>
      </c>
      <c r="C1839" s="37">
        <f t="shared" ca="1" si="85"/>
        <v>2.3410506370528328</v>
      </c>
      <c r="D1839" s="36">
        <f t="shared" ca="1" si="87"/>
        <v>0.12181775084480506</v>
      </c>
      <c r="E1839" s="32">
        <v>0.12075998431465274</v>
      </c>
      <c r="F1839" s="35">
        <f t="shared" ca="1" si="86"/>
        <v>2.9345586044644545E-3</v>
      </c>
    </row>
    <row r="1840" spans="1:6" x14ac:dyDescent="0.25">
      <c r="A1840" s="23">
        <v>1839</v>
      </c>
      <c r="B1840" s="7" cm="1">
        <f t="array" aca="1" ref="B1840" ca="1">interpolexp(A1840,serie_du,Taxas_DI)</f>
        <v>0.12369352151513358</v>
      </c>
      <c r="C1840" s="37">
        <f t="shared" ca="1" si="85"/>
        <v>2.342118756097507</v>
      </c>
      <c r="D1840" s="36">
        <f t="shared" ca="1" si="87"/>
        <v>0.12181774919660859</v>
      </c>
      <c r="E1840" s="32">
        <v>0.12075993934679286</v>
      </c>
      <c r="F1840" s="35">
        <f t="shared" ca="1" si="86"/>
        <v>2.9335821683407204E-3</v>
      </c>
    </row>
    <row r="1841" spans="1:6" x14ac:dyDescent="0.25">
      <c r="A1841" s="23">
        <v>1840</v>
      </c>
      <c r="B1841" s="7" cm="1">
        <f t="array" aca="1" ref="B1841" ca="1">interpolexp(A1841,serie_du,Taxas_DI)</f>
        <v>0.12369250122135078</v>
      </c>
      <c r="C1841" s="37">
        <f t="shared" ca="1" si="85"/>
        <v>2.3431873624637669</v>
      </c>
      <c r="D1841" s="36">
        <f t="shared" ca="1" si="87"/>
        <v>0.12181774745550977</v>
      </c>
      <c r="E1841" s="32">
        <v>0.120759894427791</v>
      </c>
      <c r="F1841" s="35">
        <f t="shared" ca="1" si="86"/>
        <v>2.9326067935597777E-3</v>
      </c>
    </row>
    <row r="1842" spans="1:6" x14ac:dyDescent="0.25">
      <c r="A1842" s="23">
        <v>1841</v>
      </c>
      <c r="B1842" s="7" cm="1">
        <f t="array" aca="1" ref="B1842" ca="1">interpolexp(A1842,serie_du,Taxas_DI)</f>
        <v>0.12369148203601465</v>
      </c>
      <c r="C1842" s="37">
        <f t="shared" ca="1" si="85"/>
        <v>2.3442564563748047</v>
      </c>
      <c r="D1842" s="36">
        <f t="shared" ca="1" si="87"/>
        <v>0.12181774581827831</v>
      </c>
      <c r="E1842" s="32">
        <v>0.12075984955761676</v>
      </c>
      <c r="F1842" s="35">
        <f t="shared" ca="1" si="86"/>
        <v>2.9316324783978942E-3</v>
      </c>
    </row>
    <row r="1843" spans="1:6" x14ac:dyDescent="0.25">
      <c r="A1843" s="23">
        <v>1842</v>
      </c>
      <c r="B1843" s="7" cm="1">
        <f t="array" aca="1" ref="B1843" ca="1">interpolexp(A1843,serie_du,Taxas_DI)</f>
        <v>0.12369046395728223</v>
      </c>
      <c r="C1843" s="37">
        <f t="shared" ca="1" si="85"/>
        <v>2.3453260380525003</v>
      </c>
      <c r="D1843" s="36">
        <f t="shared" ca="1" si="87"/>
        <v>0.1218177441144257</v>
      </c>
      <c r="E1843" s="32">
        <v>0.1207598047361369</v>
      </c>
      <c r="F1843" s="35">
        <f t="shared" ca="1" si="86"/>
        <v>2.9306592211453264E-3</v>
      </c>
    </row>
    <row r="1844" spans="1:6" x14ac:dyDescent="0.25">
      <c r="A1844" s="23">
        <v>1843</v>
      </c>
      <c r="B1844" s="7" cm="1">
        <f t="array" aca="1" ref="B1844" ca="1">interpolexp(A1844,serie_du,Taxas_DI)</f>
        <v>0.12368944698335493</v>
      </c>
      <c r="C1844" s="37">
        <f t="shared" ca="1" si="85"/>
        <v>2.3463961077194528</v>
      </c>
      <c r="D1844" s="36">
        <f t="shared" ca="1" si="87"/>
        <v>0.12181774241849719</v>
      </c>
      <c r="E1844" s="32">
        <v>0.12075975996332922</v>
      </c>
      <c r="F1844" s="35">
        <f t="shared" ca="1" si="86"/>
        <v>2.9296870200257175E-3</v>
      </c>
    </row>
    <row r="1845" spans="1:6" x14ac:dyDescent="0.25">
      <c r="A1845" s="23">
        <v>1844</v>
      </c>
      <c r="B1845" s="7" cm="1">
        <f t="array" aca="1" ref="B1845" ca="1">interpolexp(A1845,serie_du,Taxas_DI)</f>
        <v>0.12368843111247863</v>
      </c>
      <c r="C1845" s="37">
        <f t="shared" ca="1" si="85"/>
        <v>2.3474666655989815</v>
      </c>
      <c r="D1845" s="36">
        <f t="shared" ca="1" si="87"/>
        <v>0.12181774080485863</v>
      </c>
      <c r="E1845" s="32">
        <v>0.12075971523906048</v>
      </c>
      <c r="F1845" s="35">
        <f t="shared" ca="1" si="86"/>
        <v>2.9287158734181418E-3</v>
      </c>
    </row>
    <row r="1846" spans="1:6" x14ac:dyDescent="0.25">
      <c r="A1846" s="23">
        <v>1845</v>
      </c>
      <c r="B1846" s="7" cm="1">
        <f t="array" aca="1" ref="B1846" ca="1">interpolexp(A1846,serie_du,Taxas_DI)</f>
        <v>0.12368741634278813</v>
      </c>
      <c r="C1846" s="37">
        <f t="shared" ca="1" si="85"/>
        <v>2.3485377119127522</v>
      </c>
      <c r="D1846" s="36">
        <f t="shared" ca="1" si="87"/>
        <v>0.12181773906225501</v>
      </c>
      <c r="E1846" s="32">
        <v>0.12075967056326409</v>
      </c>
      <c r="F1846" s="35">
        <f t="shared" ca="1" si="86"/>
        <v>2.927745779524038E-3</v>
      </c>
    </row>
    <row r="1847" spans="1:6" x14ac:dyDescent="0.25">
      <c r="A1847" s="23">
        <v>1846</v>
      </c>
      <c r="B1847" s="7" cm="1">
        <f t="array" aca="1" ref="B1847" ca="1">interpolexp(A1847,serie_du,Taxas_DI)</f>
        <v>0.12368640267257369</v>
      </c>
      <c r="C1847" s="37">
        <f t="shared" ca="1" si="85"/>
        <v>2.3496092468848473</v>
      </c>
      <c r="D1847" s="36">
        <f t="shared" ca="1" si="87"/>
        <v>0.12181773746933278</v>
      </c>
      <c r="E1847" s="32">
        <v>0.12075962593589562</v>
      </c>
      <c r="F1847" s="35">
        <f t="shared" ca="1" si="86"/>
        <v>2.9267767366780717E-3</v>
      </c>
    </row>
    <row r="1848" spans="1:6" x14ac:dyDescent="0.25">
      <c r="A1848" s="23">
        <v>1847</v>
      </c>
      <c r="B1848" s="7" cm="1">
        <f t="array" aca="1" ref="B1848" ca="1">interpolexp(A1848,serie_du,Taxas_DI)</f>
        <v>0.12368539009999235</v>
      </c>
      <c r="C1848" s="37">
        <f t="shared" ca="1" si="85"/>
        <v>2.3506812707373559</v>
      </c>
      <c r="D1848" s="36">
        <f t="shared" ca="1" si="87"/>
        <v>0.12181773577388011</v>
      </c>
      <c r="E1848" s="32">
        <v>0.12075958135682185</v>
      </c>
      <c r="F1848" s="35">
        <f t="shared" ca="1" si="86"/>
        <v>2.9258087431704993E-3</v>
      </c>
    </row>
    <row r="1849" spans="1:6" x14ac:dyDescent="0.25">
      <c r="A1849" s="23">
        <v>1848</v>
      </c>
      <c r="B1849" s="7" cm="1">
        <f t="array" aca="1" ref="B1849" ca="1">interpolexp(A1849,serie_du,Taxas_DI)</f>
        <v>0.12368437862326775</v>
      </c>
      <c r="C1849" s="37">
        <f t="shared" ca="1" si="85"/>
        <v>2.3517537836934261</v>
      </c>
      <c r="D1849" s="36">
        <f t="shared" ca="1" si="87"/>
        <v>0.1218177340913289</v>
      </c>
      <c r="E1849" s="32">
        <v>0.12075953682602059</v>
      </c>
      <c r="F1849" s="35">
        <f t="shared" ca="1" si="86"/>
        <v>2.9248417972471685E-3</v>
      </c>
    </row>
    <row r="1850" spans="1:6" x14ac:dyDescent="0.25">
      <c r="A1850" s="23">
        <v>1849</v>
      </c>
      <c r="B1850" s="7" cm="1">
        <f t="array" aca="1" ref="B1850" ca="1">interpolexp(A1850,serie_du,Taxas_DI)</f>
        <v>0.12368336824064574</v>
      </c>
      <c r="C1850" s="37">
        <f t="shared" ca="1" si="85"/>
        <v>2.3528267859765917</v>
      </c>
      <c r="D1850" s="36">
        <f t="shared" ca="1" si="87"/>
        <v>0.12181773245547833</v>
      </c>
      <c r="E1850" s="32">
        <v>0.12075949234338079</v>
      </c>
      <c r="F1850" s="35">
        <f t="shared" ca="1" si="86"/>
        <v>2.9238758972649492E-3</v>
      </c>
    </row>
    <row r="1851" spans="1:6" x14ac:dyDescent="0.25">
      <c r="A1851" s="23">
        <v>1850</v>
      </c>
      <c r="B1851" s="7" cm="1">
        <f t="array" aca="1" ref="B1851" ca="1">interpolexp(A1851,serie_du,Taxas_DI)</f>
        <v>0.12368235895032775</v>
      </c>
      <c r="C1851" s="37">
        <f t="shared" ca="1" si="85"/>
        <v>2.3539002778097466</v>
      </c>
      <c r="D1851" s="36">
        <f t="shared" ca="1" si="87"/>
        <v>0.12181773077741043</v>
      </c>
      <c r="E1851" s="32">
        <v>0.12075944790881366</v>
      </c>
      <c r="F1851" s="35">
        <f t="shared" ca="1" si="86"/>
        <v>2.922911041514098E-3</v>
      </c>
    </row>
    <row r="1852" spans="1:6" x14ac:dyDescent="0.25">
      <c r="A1852" s="23">
        <v>1851</v>
      </c>
      <c r="B1852" s="7" cm="1">
        <f t="array" aca="1" ref="B1852" ca="1">interpolexp(A1852,serie_du,Taxas_DI)</f>
        <v>0.12368135075055964</v>
      </c>
      <c r="C1852" s="37">
        <f t="shared" ca="1" si="85"/>
        <v>2.3549742594165113</v>
      </c>
      <c r="D1852" s="36">
        <f t="shared" ca="1" si="87"/>
        <v>0.12181772913212785</v>
      </c>
      <c r="E1852" s="32">
        <v>0.12075940352227477</v>
      </c>
      <c r="F1852" s="35">
        <f t="shared" ca="1" si="86"/>
        <v>2.9219472282848713E-3</v>
      </c>
    </row>
    <row r="1853" spans="1:6" x14ac:dyDescent="0.25">
      <c r="A1853" s="23">
        <v>1852</v>
      </c>
      <c r="B1853" s="7" cm="1">
        <f t="array" aca="1" ref="B1853" ca="1">interpolexp(A1853,serie_du,Taxas_DI)</f>
        <v>0.12368034363958724</v>
      </c>
      <c r="C1853" s="37">
        <f t="shared" ca="1" si="85"/>
        <v>2.3560487310205485</v>
      </c>
      <c r="D1853" s="36">
        <f t="shared" ca="1" si="87"/>
        <v>0.12181772751240572</v>
      </c>
      <c r="E1853" s="32">
        <v>0.12075935918367531</v>
      </c>
      <c r="F1853" s="35">
        <f t="shared" ca="1" si="86"/>
        <v>2.9209844559119347E-3</v>
      </c>
    </row>
    <row r="1854" spans="1:6" x14ac:dyDescent="0.25">
      <c r="A1854" s="23">
        <v>1853</v>
      </c>
      <c r="B1854" s="7" cm="1">
        <f t="array" aca="1" ref="B1854" ca="1">interpolexp(A1854,serie_du,Taxas_DI)</f>
        <v>0.12367933761561201</v>
      </c>
      <c r="C1854" s="37">
        <f t="shared" ca="1" si="85"/>
        <v>2.3571236928448798</v>
      </c>
      <c r="D1854" s="36">
        <f t="shared" ca="1" si="87"/>
        <v>0.12181772582899897</v>
      </c>
      <c r="E1854" s="32">
        <v>0.12075931489290426</v>
      </c>
      <c r="F1854" s="35">
        <f t="shared" ca="1" si="86"/>
        <v>2.9200227227077491E-3</v>
      </c>
    </row>
    <row r="1855" spans="1:6" x14ac:dyDescent="0.25">
      <c r="A1855" s="23">
        <v>1854</v>
      </c>
      <c r="B1855" s="7" cm="1">
        <f t="array" aca="1" ref="B1855" ca="1">interpolexp(A1855,serie_du,Taxas_DI)</f>
        <v>0.12367833267690198</v>
      </c>
      <c r="C1855" s="37">
        <f t="shared" ca="1" si="85"/>
        <v>2.358199145113598</v>
      </c>
      <c r="D1855" s="36">
        <f t="shared" ca="1" si="87"/>
        <v>0.12181772419839509</v>
      </c>
      <c r="E1855" s="32">
        <v>0.12075927064993941</v>
      </c>
      <c r="F1855" s="35">
        <f t="shared" ca="1" si="86"/>
        <v>2.9190620269625711E-3</v>
      </c>
    </row>
    <row r="1856" spans="1:6" x14ac:dyDescent="0.25">
      <c r="A1856" s="23">
        <v>1855</v>
      </c>
      <c r="B1856" s="7" cm="1">
        <f t="array" aca="1" ref="B1856" ca="1">interpolexp(A1856,serie_du,Taxas_DI)</f>
        <v>0.12367732882168081</v>
      </c>
      <c r="C1856" s="37">
        <f t="shared" ca="1" si="85"/>
        <v>2.3592750880501532</v>
      </c>
      <c r="D1856" s="36">
        <f t="shared" ca="1" si="87"/>
        <v>0.12181772253107126</v>
      </c>
      <c r="E1856" s="32">
        <v>0.12075922645466974</v>
      </c>
      <c r="F1856" s="35">
        <f t="shared" ca="1" si="86"/>
        <v>2.9181023670110662E-3</v>
      </c>
    </row>
    <row r="1857" spans="1:6" x14ac:dyDescent="0.25">
      <c r="A1857" s="23">
        <v>1856</v>
      </c>
      <c r="B1857" s="7" cm="1">
        <f t="array" aca="1" ref="B1857" ca="1">interpolexp(A1857,serie_du,Taxas_DI)</f>
        <v>0.12367632604823875</v>
      </c>
      <c r="C1857" s="37">
        <f t="shared" ca="1" si="85"/>
        <v>2.3603515218790685</v>
      </c>
      <c r="D1857" s="36">
        <f t="shared" ca="1" si="87"/>
        <v>0.12181772094345145</v>
      </c>
      <c r="E1857" s="32">
        <v>0.12075918230700644</v>
      </c>
      <c r="F1857" s="35">
        <f t="shared" ca="1" si="86"/>
        <v>2.9171437412323087E-3</v>
      </c>
    </row>
    <row r="1858" spans="1:6" x14ac:dyDescent="0.25">
      <c r="A1858" s="23">
        <v>1857</v>
      </c>
      <c r="B1858" s="7" cm="1">
        <f t="array" aca="1" ref="B1858" ca="1">interpolexp(A1858,serie_du,Taxas_DI)</f>
        <v>0.12367532435477724</v>
      </c>
      <c r="C1858" s="37">
        <f t="shared" ref="C1858:C1921" ca="1" si="88">(1+B1858)^(A1858/252)</f>
        <v>2.3614284468235378</v>
      </c>
      <c r="D1858" s="36">
        <f t="shared" ca="1" si="87"/>
        <v>0.12181771926407725</v>
      </c>
      <c r="E1858" s="32">
        <v>0.12075913820690509</v>
      </c>
      <c r="F1858" s="35">
        <f t="shared" ref="F1858:F1921" ca="1" si="89">B1858-E1858</f>
        <v>2.9161861478721463E-3</v>
      </c>
    </row>
    <row r="1859" spans="1:6" x14ac:dyDescent="0.25">
      <c r="A1859" s="23">
        <v>1858</v>
      </c>
      <c r="B1859" s="7" cm="1">
        <f t="array" aca="1" ref="B1859" ca="1">interpolexp(A1859,serie_du,Taxas_DI)</f>
        <v>0.12367432373956433</v>
      </c>
      <c r="C1859" s="37">
        <f t="shared" ca="1" si="88"/>
        <v>2.3625058631078293</v>
      </c>
      <c r="D1859" s="36">
        <f t="shared" ca="1" si="87"/>
        <v>0.12181771760942839</v>
      </c>
      <c r="E1859" s="32">
        <v>0.12075909415427688</v>
      </c>
      <c r="F1859" s="35">
        <f t="shared" ca="1" si="89"/>
        <v>2.9152295852874488E-3</v>
      </c>
    </row>
    <row r="1860" spans="1:6" x14ac:dyDescent="0.25">
      <c r="A1860" s="23">
        <v>1859</v>
      </c>
      <c r="B1860" s="7" cm="1">
        <f t="array" aca="1" ref="B1860" ca="1">interpolexp(A1860,serie_du,Taxas_DI)</f>
        <v>0.12367332420089028</v>
      </c>
      <c r="C1860" s="37">
        <f t="shared" ca="1" si="88"/>
        <v>2.3635837709565992</v>
      </c>
      <c r="D1860" s="36">
        <f t="shared" ref="D1860:D1923" ca="1" si="90">((((1+B1860)^(A1860/252))/((1+B1859)^(A1859/252)))^(252/1))-1</f>
        <v>0.12181771601362912</v>
      </c>
      <c r="E1860" s="32">
        <v>0.12075905014903299</v>
      </c>
      <c r="F1860" s="35">
        <f t="shared" ca="1" si="89"/>
        <v>2.9142740518572907E-3</v>
      </c>
    </row>
    <row r="1861" spans="1:6" x14ac:dyDescent="0.25">
      <c r="A1861" s="23">
        <v>1860</v>
      </c>
      <c r="B1861" s="7" cm="1">
        <f t="array" aca="1" ref="B1861" ca="1">interpolexp(A1861,serie_du,Taxas_DI)</f>
        <v>0.12367232573700093</v>
      </c>
      <c r="C1861" s="37">
        <f t="shared" ca="1" si="88"/>
        <v>2.3646621705938609</v>
      </c>
      <c r="D1861" s="36">
        <f t="shared" ca="1" si="90"/>
        <v>0.12181771438744371</v>
      </c>
      <c r="E1861" s="32">
        <v>0.120759006191129</v>
      </c>
      <c r="F1861" s="35">
        <f t="shared" ca="1" si="89"/>
        <v>2.9133195458719285E-3</v>
      </c>
    </row>
    <row r="1862" spans="1:6" x14ac:dyDescent="0.25">
      <c r="A1862" s="23">
        <v>1861</v>
      </c>
      <c r="B1862" s="7" cm="1">
        <f t="array" aca="1" ref="B1862" ca="1">interpolexp(A1862,serie_du,Taxas_DI)</f>
        <v>0.12367132834614214</v>
      </c>
      <c r="C1862" s="37">
        <f t="shared" ca="1" si="88"/>
        <v>2.3657410622436692</v>
      </c>
      <c r="D1862" s="36">
        <f t="shared" ca="1" si="90"/>
        <v>0.12181771272377073</v>
      </c>
      <c r="E1862" s="32">
        <v>0.1207589622804317</v>
      </c>
      <c r="F1862" s="35">
        <f t="shared" ca="1" si="89"/>
        <v>2.9123660657104367E-3</v>
      </c>
    </row>
    <row r="1863" spans="1:6" x14ac:dyDescent="0.25">
      <c r="A1863" s="23">
        <v>1862</v>
      </c>
      <c r="B1863" s="7" cm="1">
        <f t="array" aca="1" ref="B1863" ca="1">interpolexp(A1863,serie_du,Taxas_DI)</f>
        <v>0.12367033202662636</v>
      </c>
      <c r="C1863" s="37">
        <f t="shared" ca="1" si="88"/>
        <v>2.3668204461311619</v>
      </c>
      <c r="D1863" s="36">
        <f t="shared" ca="1" si="90"/>
        <v>0.12181771113969075</v>
      </c>
      <c r="E1863" s="32">
        <v>0.12075891841691888</v>
      </c>
      <c r="F1863" s="35">
        <f t="shared" ca="1" si="89"/>
        <v>2.9114136097074805E-3</v>
      </c>
    </row>
    <row r="1864" spans="1:6" x14ac:dyDescent="0.25">
      <c r="A1864" s="23">
        <v>1863</v>
      </c>
      <c r="B1864" s="7" cm="1">
        <f t="array" aca="1" ref="B1864" ca="1">interpolexp(A1864,serie_du,Taxas_DI)</f>
        <v>0.12366933677669945</v>
      </c>
      <c r="C1864" s="37">
        <f t="shared" ca="1" si="88"/>
        <v>2.3679003224804829</v>
      </c>
      <c r="D1864" s="36">
        <f t="shared" ca="1" si="90"/>
        <v>0.12181770950422255</v>
      </c>
      <c r="E1864" s="32">
        <v>0.12075887460050172</v>
      </c>
      <c r="F1864" s="35">
        <f t="shared" ca="1" si="89"/>
        <v>2.9104621761977256E-3</v>
      </c>
    </row>
    <row r="1865" spans="1:6" x14ac:dyDescent="0.25">
      <c r="A1865" s="23">
        <v>1864</v>
      </c>
      <c r="B1865" s="7" cm="1">
        <f t="array" aca="1" ref="B1865" ca="1">interpolexp(A1865,serie_du,Taxas_DI)</f>
        <v>0.12366834259465165</v>
      </c>
      <c r="C1865" s="37">
        <f t="shared" ca="1" si="88"/>
        <v>2.3689806915165135</v>
      </c>
      <c r="D1865" s="36">
        <f t="shared" ca="1" si="90"/>
        <v>0.12181770789325208</v>
      </c>
      <c r="E1865" s="32">
        <v>0.1207588308310914</v>
      </c>
      <c r="F1865" s="35">
        <f t="shared" ca="1" si="89"/>
        <v>2.9095117635602463E-3</v>
      </c>
    </row>
    <row r="1866" spans="1:6" x14ac:dyDescent="0.25">
      <c r="A1866" s="23">
        <v>1865</v>
      </c>
      <c r="B1866" s="7" cm="1">
        <f t="array" aca="1" ref="B1866" ca="1">interpolexp(A1866,serie_du,Taxas_DI)</f>
        <v>0.12366734947875102</v>
      </c>
      <c r="C1866" s="37">
        <f t="shared" ca="1" si="88"/>
        <v>2.3700615534638332</v>
      </c>
      <c r="D1866" s="36">
        <f t="shared" ca="1" si="90"/>
        <v>0.12181770625841093</v>
      </c>
      <c r="E1866" s="32">
        <v>0.12075878710862131</v>
      </c>
      <c r="F1866" s="35">
        <f t="shared" ca="1" si="89"/>
        <v>2.9085623701297081E-3</v>
      </c>
    </row>
    <row r="1867" spans="1:6" x14ac:dyDescent="0.25">
      <c r="A1867" s="23">
        <v>1866</v>
      </c>
      <c r="B1867" s="7" cm="1">
        <f t="array" aca="1" ref="B1867" ca="1">interpolexp(A1867,serie_du,Taxas_DI)</f>
        <v>0.12366635742728782</v>
      </c>
      <c r="C1867" s="37">
        <f t="shared" ca="1" si="88"/>
        <v>2.3711429085474132</v>
      </c>
      <c r="D1867" s="36">
        <f t="shared" ca="1" si="90"/>
        <v>0.1218177046343738</v>
      </c>
      <c r="E1867" s="32">
        <v>0.12075874343300264</v>
      </c>
      <c r="F1867" s="35">
        <f t="shared" ca="1" si="89"/>
        <v>2.9076139942851853E-3</v>
      </c>
    </row>
    <row r="1868" spans="1:6" x14ac:dyDescent="0.25">
      <c r="A1868" s="23">
        <v>1867</v>
      </c>
      <c r="B1868" s="7" cm="1">
        <f t="array" aca="1" ref="B1868" ca="1">interpolexp(A1868,serie_du,Taxas_DI)</f>
        <v>0.12366536643857451</v>
      </c>
      <c r="C1868" s="37">
        <f t="shared" ca="1" si="88"/>
        <v>2.3722247569926167</v>
      </c>
      <c r="D1868" s="36">
        <f t="shared" ca="1" si="90"/>
        <v>0.12181770305550721</v>
      </c>
      <c r="E1868" s="32">
        <v>0.12075869980416876</v>
      </c>
      <c r="F1868" s="35">
        <f t="shared" ca="1" si="89"/>
        <v>2.9066666344057523E-3</v>
      </c>
    </row>
    <row r="1869" spans="1:6" x14ac:dyDescent="0.25">
      <c r="A1869" s="23">
        <v>1868</v>
      </c>
      <c r="B1869" s="7" cm="1">
        <f t="array" aca="1" ref="B1869" ca="1">interpolexp(A1869,serie_du,Taxas_DI)</f>
        <v>0.12366437651087914</v>
      </c>
      <c r="C1869" s="37">
        <f t="shared" ca="1" si="88"/>
        <v>2.3733070990241587</v>
      </c>
      <c r="D1869" s="36">
        <f t="shared" ca="1" si="90"/>
        <v>0.12181770143229187</v>
      </c>
      <c r="E1869" s="32">
        <v>0.12075865622207527</v>
      </c>
      <c r="F1869" s="35">
        <f t="shared" ca="1" si="89"/>
        <v>2.9057202888038702E-3</v>
      </c>
    </row>
    <row r="1870" spans="1:6" x14ac:dyDescent="0.25">
      <c r="A1870" s="23">
        <v>1869</v>
      </c>
      <c r="B1870" s="7" cm="1">
        <f t="array" aca="1" ref="B1870" ca="1">interpolexp(A1870,serie_du,Taxas_DI)</f>
        <v>0.12366338764249196</v>
      </c>
      <c r="C1870" s="37">
        <f t="shared" ca="1" si="88"/>
        <v>2.3743899348671462</v>
      </c>
      <c r="D1870" s="36">
        <f t="shared" ca="1" si="90"/>
        <v>0.12181769979921198</v>
      </c>
      <c r="E1870" s="32">
        <v>0.12075861268658894</v>
      </c>
      <c r="F1870" s="35">
        <f t="shared" ca="1" si="89"/>
        <v>2.9047749559030223E-3</v>
      </c>
    </row>
    <row r="1871" spans="1:6" x14ac:dyDescent="0.25">
      <c r="A1871" s="23">
        <v>1870</v>
      </c>
      <c r="B1871" s="7" cm="1">
        <f t="array" aca="1" ref="B1871" ca="1">interpolexp(A1871,serie_du,Taxas_DI)</f>
        <v>0.12366239983174765</v>
      </c>
      <c r="C1871" s="37">
        <f t="shared" ca="1" si="88"/>
        <v>2.3754732647474275</v>
      </c>
      <c r="D1871" s="36">
        <f t="shared" ca="1" si="90"/>
        <v>0.12181769823239286</v>
      </c>
      <c r="E1871" s="32">
        <v>0.12075856919768757</v>
      </c>
      <c r="F1871" s="35">
        <f t="shared" ca="1" si="89"/>
        <v>2.9038306340600784E-3</v>
      </c>
    </row>
    <row r="1872" spans="1:6" x14ac:dyDescent="0.25">
      <c r="A1872" s="23">
        <v>1871</v>
      </c>
      <c r="B1872" s="7" cm="1">
        <f t="array" aca="1" ref="B1872" ca="1">interpolexp(A1872,serie_du,Taxas_DI)</f>
        <v>0.12366141307691425</v>
      </c>
      <c r="C1872" s="37">
        <f t="shared" ca="1" si="88"/>
        <v>2.3765570888898537</v>
      </c>
      <c r="D1872" s="36">
        <f t="shared" ca="1" si="90"/>
        <v>0.12181769660081043</v>
      </c>
      <c r="E1872" s="32">
        <v>0.12075852575523793</v>
      </c>
      <c r="F1872" s="35">
        <f t="shared" ca="1" si="89"/>
        <v>2.9028873216763174E-3</v>
      </c>
    </row>
    <row r="1873" spans="1:6" x14ac:dyDescent="0.25">
      <c r="A1873" s="23">
        <v>1872</v>
      </c>
      <c r="B1873" s="7" cm="1">
        <f t="array" aca="1" ref="B1873" ca="1">interpolexp(A1873,serie_du,Taxas_DI)</f>
        <v>0.12366042737632643</v>
      </c>
      <c r="C1873" s="37">
        <f t="shared" ca="1" si="88"/>
        <v>2.3776414075203651</v>
      </c>
      <c r="D1873" s="36">
        <f t="shared" ca="1" si="90"/>
        <v>0.12181769502188611</v>
      </c>
      <c r="E1873" s="32">
        <v>0.12075848235924003</v>
      </c>
      <c r="F1873" s="35">
        <f t="shared" ca="1" si="89"/>
        <v>2.9019450170864047E-3</v>
      </c>
    </row>
    <row r="1874" spans="1:6" x14ac:dyDescent="0.25">
      <c r="A1874" s="23">
        <v>1873</v>
      </c>
      <c r="B1874" s="7" cm="1">
        <f t="array" aca="1" ref="B1874" ca="1">interpolexp(A1874,serie_du,Taxas_DI)</f>
        <v>0.12365944272829665</v>
      </c>
      <c r="C1874" s="37">
        <f t="shared" ca="1" si="88"/>
        <v>2.3787262208646016</v>
      </c>
      <c r="D1874" s="36">
        <f t="shared" ca="1" si="90"/>
        <v>0.12181769344762317</v>
      </c>
      <c r="E1874" s="32">
        <v>0.12075843900956063</v>
      </c>
      <c r="F1874" s="35">
        <f t="shared" ca="1" si="89"/>
        <v>2.9010037187360282E-3</v>
      </c>
    </row>
    <row r="1875" spans="1:6" x14ac:dyDescent="0.25">
      <c r="A1875" s="23">
        <v>1874</v>
      </c>
      <c r="B1875" s="7" cm="1">
        <f t="array" aca="1" ref="B1875" ca="1">interpolexp(A1875,serie_du,Taxas_DI)</f>
        <v>0.12365845913111517</v>
      </c>
      <c r="C1875" s="37">
        <f t="shared" ca="1" si="88"/>
        <v>2.379811529147899</v>
      </c>
      <c r="D1875" s="36">
        <f t="shared" ca="1" si="90"/>
        <v>0.12181769182953794</v>
      </c>
      <c r="E1875" s="32">
        <v>0.12075839570615532</v>
      </c>
      <c r="F1875" s="35">
        <f t="shared" ca="1" si="89"/>
        <v>2.9000634249598534E-3</v>
      </c>
    </row>
    <row r="1876" spans="1:6" x14ac:dyDescent="0.25">
      <c r="A1876" s="23">
        <v>1875</v>
      </c>
      <c r="B1876" s="7" cm="1">
        <f t="array" aca="1" ref="B1876" ca="1">interpolexp(A1876,serie_du,Taxas_DI)</f>
        <v>0.12365747658311665</v>
      </c>
      <c r="C1876" s="37">
        <f t="shared" ca="1" si="88"/>
        <v>2.3808973325963381</v>
      </c>
      <c r="D1876" s="36">
        <f t="shared" ca="1" si="90"/>
        <v>0.12181769024402711</v>
      </c>
      <c r="E1876" s="32">
        <v>0.12075835244893529</v>
      </c>
      <c r="F1876" s="35">
        <f t="shared" ca="1" si="89"/>
        <v>2.8991241341813634E-3</v>
      </c>
    </row>
    <row r="1877" spans="1:6" x14ac:dyDescent="0.25">
      <c r="A1877" s="23">
        <v>1876</v>
      </c>
      <c r="B1877" s="7" cm="1">
        <f t="array" aca="1" ref="B1877" ca="1">interpolexp(A1877,serie_du,Taxas_DI)</f>
        <v>0.12365649508261356</v>
      </c>
      <c r="C1877" s="37">
        <f t="shared" ca="1" si="88"/>
        <v>2.381983631435697</v>
      </c>
      <c r="D1877" s="36">
        <f t="shared" ca="1" si="90"/>
        <v>0.12181768864290676</v>
      </c>
      <c r="E1877" s="32">
        <v>0.12075830923783393</v>
      </c>
      <c r="F1877" s="35">
        <f t="shared" ca="1" si="89"/>
        <v>2.8981858447796327E-3</v>
      </c>
    </row>
    <row r="1878" spans="1:6" x14ac:dyDescent="0.25">
      <c r="A1878" s="23">
        <v>1877</v>
      </c>
      <c r="B1878" s="7" cm="1">
        <f t="array" aca="1" ref="B1878" ca="1">interpolexp(A1878,serie_du,Taxas_DI)</f>
        <v>0.12365551462794055</v>
      </c>
      <c r="C1878" s="37">
        <f t="shared" ca="1" si="88"/>
        <v>2.3830704258921505</v>
      </c>
      <c r="D1878" s="36">
        <f t="shared" ca="1" si="90"/>
        <v>0.12181768706096663</v>
      </c>
      <c r="E1878" s="32">
        <v>0.12075826607276241</v>
      </c>
      <c r="F1878" s="35">
        <f t="shared" ca="1" si="89"/>
        <v>2.8972485551781446E-3</v>
      </c>
    </row>
    <row r="1879" spans="1:6" x14ac:dyDescent="0.25">
      <c r="A1879" s="23">
        <v>1878</v>
      </c>
      <c r="B1879" s="7" cm="1">
        <f t="array" aca="1" ref="B1879" ca="1">interpolexp(A1879,serie_du,Taxas_DI)</f>
        <v>0.1236545352174323</v>
      </c>
      <c r="C1879" s="37">
        <f t="shared" ca="1" si="88"/>
        <v>2.3841577161919201</v>
      </c>
      <c r="D1879" s="36">
        <f t="shared" ca="1" si="90"/>
        <v>0.12181768549149918</v>
      </c>
      <c r="E1879" s="32">
        <v>0.12075822295367633</v>
      </c>
      <c r="F1879" s="35">
        <f t="shared" ca="1" si="89"/>
        <v>2.8963122637559735E-3</v>
      </c>
    </row>
    <row r="1880" spans="1:6" x14ac:dyDescent="0.25">
      <c r="A1880" s="23">
        <v>1879</v>
      </c>
      <c r="B1880" s="7" cm="1">
        <f t="array" aca="1" ref="B1880" ca="1">interpolexp(A1880,serie_du,Taxas_DI)</f>
        <v>0.12365355684940127</v>
      </c>
      <c r="C1880" s="37">
        <f t="shared" ca="1" si="88"/>
        <v>2.3852455025609229</v>
      </c>
      <c r="D1880" s="36">
        <f t="shared" ca="1" si="90"/>
        <v>0.12181768388621017</v>
      </c>
      <c r="E1880" s="32">
        <v>0.12075817988046467</v>
      </c>
      <c r="F1880" s="35">
        <f t="shared" ca="1" si="89"/>
        <v>2.8953769689366027E-3</v>
      </c>
    </row>
    <row r="1881" spans="1:6" x14ac:dyDescent="0.25">
      <c r="A1881" s="23">
        <v>1880</v>
      </c>
      <c r="B1881" s="7" cm="1">
        <f t="array" aca="1" ref="B1881" ca="1">interpolexp(A1881,serie_du,Taxas_DI)</f>
        <v>0.12365257952220432</v>
      </c>
      <c r="C1881" s="37">
        <f t="shared" ca="1" si="88"/>
        <v>2.3863337852258266</v>
      </c>
      <c r="D1881" s="36">
        <f t="shared" ca="1" si="90"/>
        <v>0.12181768232192636</v>
      </c>
      <c r="E1881" s="32">
        <v>0.12075813685310521</v>
      </c>
      <c r="F1881" s="35">
        <f t="shared" ca="1" si="89"/>
        <v>2.8944426690991065E-3</v>
      </c>
    </row>
    <row r="1882" spans="1:6" x14ac:dyDescent="0.25">
      <c r="A1882" s="23">
        <v>1881</v>
      </c>
      <c r="B1882" s="7" cm="1">
        <f t="array" aca="1" ref="B1882" ca="1">interpolexp(A1882,serie_du,Taxas_DI)</f>
        <v>0.12365160323417612</v>
      </c>
      <c r="C1882" s="37">
        <f t="shared" ca="1" si="88"/>
        <v>2.3874225644129941</v>
      </c>
      <c r="D1882" s="36">
        <f t="shared" ca="1" si="90"/>
        <v>0.12181768075007349</v>
      </c>
      <c r="E1882" s="32">
        <v>0.12075809387148695</v>
      </c>
      <c r="F1882" s="35">
        <f t="shared" ca="1" si="89"/>
        <v>2.8935093626891728E-3</v>
      </c>
    </row>
    <row r="1883" spans="1:6" x14ac:dyDescent="0.25">
      <c r="A1883" s="23">
        <v>1882</v>
      </c>
      <c r="B1883" s="7" cm="1">
        <f t="array" aca="1" ref="B1883" ca="1">interpolexp(A1883,serie_du,Taxas_DI)</f>
        <v>0.12365062798365134</v>
      </c>
      <c r="C1883" s="37">
        <f t="shared" ca="1" si="88"/>
        <v>2.3885118403488352</v>
      </c>
      <c r="D1883" s="36">
        <f t="shared" ca="1" si="90"/>
        <v>0.12181767916419428</v>
      </c>
      <c r="E1883" s="32">
        <v>0.12075805093552106</v>
      </c>
      <c r="F1883" s="35">
        <f t="shared" ca="1" si="89"/>
        <v>2.8925770481302848E-3</v>
      </c>
    </row>
    <row r="1884" spans="1:6" x14ac:dyDescent="0.25">
      <c r="A1884" s="23">
        <v>1883</v>
      </c>
      <c r="B1884" s="7" cm="1">
        <f t="array" aca="1" ref="B1884" ca="1">interpolexp(A1884,serie_du,Taxas_DI)</f>
        <v>0.12364965376898684</v>
      </c>
      <c r="C1884" s="37">
        <f t="shared" ca="1" si="88"/>
        <v>2.3896016132601607</v>
      </c>
      <c r="D1884" s="36">
        <f t="shared" ca="1" si="90"/>
        <v>0.1218176775993165</v>
      </c>
      <c r="E1884" s="32">
        <v>0.12075800804518533</v>
      </c>
      <c r="F1884" s="35">
        <f t="shared" ca="1" si="89"/>
        <v>2.891645723801517E-3</v>
      </c>
    </row>
    <row r="1885" spans="1:6" x14ac:dyDescent="0.25">
      <c r="A1885" s="23">
        <v>1884</v>
      </c>
      <c r="B1885" s="7" cm="1">
        <f t="array" aca="1" ref="B1885" ca="1">interpolexp(A1885,serie_du,Taxas_DI)</f>
        <v>0.12364868058853951</v>
      </c>
      <c r="C1885" s="37">
        <f t="shared" ca="1" si="88"/>
        <v>2.3906918833738273</v>
      </c>
      <c r="D1885" s="36">
        <f t="shared" ca="1" si="90"/>
        <v>0.12181767604873839</v>
      </c>
      <c r="E1885" s="32">
        <v>0.12075796520036874</v>
      </c>
      <c r="F1885" s="35">
        <f t="shared" ca="1" si="89"/>
        <v>2.8907153881707615E-3</v>
      </c>
    </row>
    <row r="1886" spans="1:6" x14ac:dyDescent="0.25">
      <c r="A1886" s="23">
        <v>1885</v>
      </c>
      <c r="B1886" s="7" cm="1">
        <f t="array" aca="1" ref="B1886" ca="1">interpolexp(A1886,serie_du,Taxas_DI)</f>
        <v>0.12364770844064399</v>
      </c>
      <c r="C1886" s="37">
        <f t="shared" ca="1" si="88"/>
        <v>2.3917826509163893</v>
      </c>
      <c r="D1886" s="36">
        <f t="shared" ca="1" si="90"/>
        <v>0.12181767446446923</v>
      </c>
      <c r="E1886" s="32">
        <v>0.1207579224010269</v>
      </c>
      <c r="F1886" s="35">
        <f t="shared" ca="1" si="89"/>
        <v>2.8897860396170927E-3</v>
      </c>
    </row>
    <row r="1887" spans="1:6" x14ac:dyDescent="0.25">
      <c r="A1887" s="23">
        <v>1886</v>
      </c>
      <c r="B1887" s="7" cm="1">
        <f t="array" aca="1" ref="B1887" ca="1">interpolexp(A1887,serie_du,Taxas_DI)</f>
        <v>0.12364673732365716</v>
      </c>
      <c r="C1887" s="37">
        <f t="shared" ca="1" si="88"/>
        <v>2.392873916114798</v>
      </c>
      <c r="D1887" s="36">
        <f t="shared" ca="1" si="90"/>
        <v>0.12181767288121792</v>
      </c>
      <c r="E1887" s="32">
        <v>0.12075787964704876</v>
      </c>
      <c r="F1887" s="35">
        <f t="shared" ca="1" si="89"/>
        <v>2.8888576766084029E-3</v>
      </c>
    </row>
    <row r="1888" spans="1:6" x14ac:dyDescent="0.25">
      <c r="A1888" s="23">
        <v>1887</v>
      </c>
      <c r="B1888" s="7" cm="1">
        <f t="array" aca="1" ref="B1888" ca="1">interpolexp(A1888,serie_du,Taxas_DI)</f>
        <v>0.12364576723598031</v>
      </c>
      <c r="C1888" s="37">
        <f t="shared" ca="1" si="88"/>
        <v>2.3939656791967643</v>
      </c>
      <c r="D1888" s="36">
        <f t="shared" ca="1" si="90"/>
        <v>0.12181767137649158</v>
      </c>
      <c r="E1888" s="32">
        <v>0.12075783693838993</v>
      </c>
      <c r="F1888" s="35">
        <f t="shared" ca="1" si="89"/>
        <v>2.8879302975903798E-3</v>
      </c>
    </row>
    <row r="1889" spans="1:6" x14ac:dyDescent="0.25">
      <c r="A1889" s="23">
        <v>1888</v>
      </c>
      <c r="B1889" s="7" cm="1">
        <f t="array" aca="1" ref="B1889" ca="1">interpolexp(A1889,serie_du,Taxas_DI)</f>
        <v>0.12364479817592589</v>
      </c>
      <c r="C1889" s="37">
        <f t="shared" ca="1" si="88"/>
        <v>2.3950579403886287</v>
      </c>
      <c r="D1889" s="36">
        <f t="shared" ca="1" si="90"/>
        <v>0.12181766977607289</v>
      </c>
      <c r="E1889" s="32">
        <v>0.12075779427498379</v>
      </c>
      <c r="F1889" s="35">
        <f t="shared" ca="1" si="89"/>
        <v>2.8870039009420978E-3</v>
      </c>
    </row>
    <row r="1890" spans="1:6" x14ac:dyDescent="0.25">
      <c r="A1890" s="23">
        <v>1889</v>
      </c>
      <c r="B1890" s="7" cm="1">
        <f t="array" aca="1" ref="B1890" ca="1">interpolexp(A1890,serie_du,Taxas_DI)</f>
        <v>0.12364383014189517</v>
      </c>
      <c r="C1890" s="37">
        <f t="shared" ca="1" si="88"/>
        <v>2.396150699918199</v>
      </c>
      <c r="D1890" s="36">
        <f t="shared" ca="1" si="90"/>
        <v>0.12181766824108342</v>
      </c>
      <c r="E1890" s="32">
        <v>0.12075775165674152</v>
      </c>
      <c r="F1890" s="35">
        <f t="shared" ca="1" si="89"/>
        <v>2.8860784851536536E-3</v>
      </c>
    </row>
    <row r="1891" spans="1:6" x14ac:dyDescent="0.25">
      <c r="A1891" s="23">
        <v>1890</v>
      </c>
      <c r="B1891" s="7" cm="1">
        <f t="array" aca="1" ref="B1891" ca="1">interpolexp(A1891,serie_du,Taxas_DI)</f>
        <v>0.12364286313222284</v>
      </c>
      <c r="C1891" s="37">
        <f t="shared" ca="1" si="88"/>
        <v>2.3972439580122664</v>
      </c>
      <c r="D1891" s="36">
        <f t="shared" ca="1" si="90"/>
        <v>0.12181766663932314</v>
      </c>
      <c r="E1891" s="32">
        <v>0.12075770908359651</v>
      </c>
      <c r="F1891" s="35">
        <f t="shared" ca="1" si="89"/>
        <v>2.8851540486263261E-3</v>
      </c>
    </row>
    <row r="1892" spans="1:6" x14ac:dyDescent="0.25">
      <c r="A1892" s="23">
        <v>1891</v>
      </c>
      <c r="B1892" s="7" cm="1">
        <f t="array" aca="1" ref="B1892" ca="1">interpolexp(A1892,serie_du,Taxas_DI)</f>
        <v>0.12364189714533236</v>
      </c>
      <c r="C1892" s="37">
        <f t="shared" ca="1" si="88"/>
        <v>2.3983377148990899</v>
      </c>
      <c r="D1892" s="36">
        <f t="shared" ca="1" si="90"/>
        <v>0.12181766513160963</v>
      </c>
      <c r="E1892" s="32">
        <v>0.12075766655548215</v>
      </c>
      <c r="F1892" s="35">
        <f t="shared" ca="1" si="89"/>
        <v>2.8842305898502119E-3</v>
      </c>
    </row>
    <row r="1893" spans="1:6" x14ac:dyDescent="0.25">
      <c r="A1893" s="23">
        <v>1892</v>
      </c>
      <c r="B1893" s="7" cm="1">
        <f t="array" aca="1" ref="B1893" ca="1">interpolexp(A1893,serie_du,Taxas_DI)</f>
        <v>0.12364093217958061</v>
      </c>
      <c r="C1893" s="37">
        <f t="shared" ca="1" si="88"/>
        <v>2.3994319708059142</v>
      </c>
      <c r="D1893" s="36">
        <f t="shared" ca="1" si="90"/>
        <v>0.1218176635861683</v>
      </c>
      <c r="E1893" s="32">
        <v>0.12075762407233182</v>
      </c>
      <c r="F1893" s="35">
        <f t="shared" ca="1" si="89"/>
        <v>2.8833081072487943E-3</v>
      </c>
    </row>
    <row r="1894" spans="1:6" x14ac:dyDescent="0.25">
      <c r="A1894" s="23">
        <v>1893</v>
      </c>
      <c r="B1894" s="7" cm="1">
        <f t="array" aca="1" ref="B1894" ca="1">interpolexp(A1894,serie_du,Taxas_DI)</f>
        <v>0.12363996823334666</v>
      </c>
      <c r="C1894" s="37">
        <f t="shared" ca="1" si="88"/>
        <v>2.4005267259603862</v>
      </c>
      <c r="D1894" s="36">
        <f t="shared" ca="1" si="90"/>
        <v>0.12181766203806466</v>
      </c>
      <c r="E1894" s="32">
        <v>0.1207575816340567</v>
      </c>
      <c r="F1894" s="35">
        <f t="shared" ca="1" si="89"/>
        <v>2.8823865992899655E-3</v>
      </c>
    </row>
    <row r="1895" spans="1:6" x14ac:dyDescent="0.25">
      <c r="A1895" s="23">
        <v>1894</v>
      </c>
      <c r="B1895" s="7" cm="1">
        <f t="array" aca="1" ref="B1895" ca="1">interpolexp(A1895,serie_du,Taxas_DI)</f>
        <v>0.1236390053050096</v>
      </c>
      <c r="C1895" s="37">
        <f t="shared" ca="1" si="88"/>
        <v>2.4016219805902028</v>
      </c>
      <c r="D1895" s="36">
        <f t="shared" ca="1" si="90"/>
        <v>0.12181766048108411</v>
      </c>
      <c r="E1895" s="32">
        <v>0.12075753924059018</v>
      </c>
      <c r="F1895" s="35">
        <f t="shared" ca="1" si="89"/>
        <v>2.8814660644194134E-3</v>
      </c>
    </row>
    <row r="1896" spans="1:6" x14ac:dyDescent="0.25">
      <c r="A1896" s="23">
        <v>1895</v>
      </c>
      <c r="B1896" s="7" cm="1">
        <f t="array" aca="1" ref="B1896" ca="1">interpolexp(A1896,serie_du,Taxas_DI)</f>
        <v>0.12363804339297069</v>
      </c>
      <c r="C1896" s="37">
        <f t="shared" ca="1" si="88"/>
        <v>2.4027177349234661</v>
      </c>
      <c r="D1896" s="36">
        <f t="shared" ca="1" si="90"/>
        <v>0.12181765895060193</v>
      </c>
      <c r="E1896" s="32">
        <v>0.12075749689186566</v>
      </c>
      <c r="F1896" s="35">
        <f t="shared" ca="1" si="89"/>
        <v>2.8805465011050302E-3</v>
      </c>
    </row>
    <row r="1897" spans="1:6" x14ac:dyDescent="0.25">
      <c r="A1897" s="23">
        <v>1896</v>
      </c>
      <c r="B1897" s="7" cm="1">
        <f t="array" aca="1" ref="B1897" ca="1">interpolexp(A1897,serie_du,Taxas_DI)</f>
        <v>0.12363708249560901</v>
      </c>
      <c r="C1897" s="37">
        <f t="shared" ca="1" si="88"/>
        <v>2.4038139891879706</v>
      </c>
      <c r="D1897" s="36">
        <f t="shared" ca="1" si="90"/>
        <v>0.12181765739827255</v>
      </c>
      <c r="E1897" s="32">
        <v>0.1207574545878165</v>
      </c>
      <c r="F1897" s="35">
        <f t="shared" ca="1" si="89"/>
        <v>2.8796279077925035E-3</v>
      </c>
    </row>
    <row r="1898" spans="1:6" x14ac:dyDescent="0.25">
      <c r="A1898" s="23">
        <v>1897</v>
      </c>
      <c r="B1898" s="7" cm="1">
        <f t="array" aca="1" ref="B1898" ca="1">interpolexp(A1898,serie_du,Taxas_DI)</f>
        <v>0.12363612261132584</v>
      </c>
      <c r="C1898" s="37">
        <f t="shared" ca="1" si="88"/>
        <v>2.4049107436119175</v>
      </c>
      <c r="D1898" s="36">
        <f t="shared" ca="1" si="90"/>
        <v>0.12181765585963911</v>
      </c>
      <c r="E1898" s="32">
        <v>0.12075741232837611</v>
      </c>
      <c r="F1898" s="35">
        <f t="shared" ca="1" si="89"/>
        <v>2.8787102829497258E-3</v>
      </c>
    </row>
    <row r="1899" spans="1:6" x14ac:dyDescent="0.25">
      <c r="A1899" s="23">
        <v>1898</v>
      </c>
      <c r="B1899" s="7" cm="1">
        <f t="array" aca="1" ref="B1899" ca="1">interpolexp(A1899,serie_du,Taxas_DI)</f>
        <v>0.12363516373852246</v>
      </c>
      <c r="C1899" s="37">
        <f t="shared" ca="1" si="88"/>
        <v>2.4060079984235583</v>
      </c>
      <c r="D1899" s="36">
        <f t="shared" ca="1" si="90"/>
        <v>0.1218176543283418</v>
      </c>
      <c r="E1899" s="32">
        <v>0.12075737011345566</v>
      </c>
      <c r="F1899" s="35">
        <f t="shared" ca="1" si="89"/>
        <v>2.8777936250667935E-3</v>
      </c>
    </row>
    <row r="1900" spans="1:6" x14ac:dyDescent="0.25">
      <c r="A1900" s="23">
        <v>1899</v>
      </c>
      <c r="B1900" s="7" cm="1">
        <f t="array" aca="1" ref="B1900" ca="1">interpolexp(A1900,serie_du,Taxas_DI)</f>
        <v>0.12363420587560014</v>
      </c>
      <c r="C1900" s="37">
        <f t="shared" ca="1" si="88"/>
        <v>2.4071057538511926</v>
      </c>
      <c r="D1900" s="36">
        <f t="shared" ca="1" si="90"/>
        <v>0.12181765279783208</v>
      </c>
      <c r="E1900" s="32">
        <v>0.12075732794301075</v>
      </c>
      <c r="F1900" s="35">
        <f t="shared" ca="1" si="89"/>
        <v>2.8768779325893945E-3</v>
      </c>
    </row>
    <row r="1901" spans="1:6" x14ac:dyDescent="0.25">
      <c r="A1901" s="23">
        <v>1900</v>
      </c>
      <c r="B1901" s="7" cm="1">
        <f t="array" aca="1" ref="B1901" ca="1">interpolexp(A1901,serie_du,Taxas_DI)</f>
        <v>0.12363324902098238</v>
      </c>
      <c r="C1901" s="37">
        <f t="shared" ca="1" si="88"/>
        <v>2.4082040101235309</v>
      </c>
      <c r="D1901" s="36">
        <f t="shared" ca="1" si="90"/>
        <v>0.12181765130412847</v>
      </c>
      <c r="E1901" s="32">
        <v>0.12075728581693035</v>
      </c>
      <c r="F1901" s="35">
        <f t="shared" ca="1" si="89"/>
        <v>2.8759632040520344E-3</v>
      </c>
    </row>
    <row r="1902" spans="1:6" x14ac:dyDescent="0.25">
      <c r="A1902" s="23">
        <v>1901</v>
      </c>
      <c r="B1902" s="7" cm="1">
        <f t="array" aca="1" ref="B1902" ca="1">interpolexp(A1902,serie_du,Taxas_DI)</f>
        <v>0.12363229317302604</v>
      </c>
      <c r="C1902" s="37">
        <f t="shared" ca="1" si="88"/>
        <v>2.409302767468255</v>
      </c>
      <c r="D1902" s="36">
        <f t="shared" ca="1" si="90"/>
        <v>0.12181764971420828</v>
      </c>
      <c r="E1902" s="32">
        <v>0.12075724373519225</v>
      </c>
      <c r="F1902" s="35">
        <f t="shared" ca="1" si="89"/>
        <v>2.8750494378337876E-3</v>
      </c>
    </row>
    <row r="1903" spans="1:6" x14ac:dyDescent="0.25">
      <c r="A1903" s="23">
        <v>1902</v>
      </c>
      <c r="B1903" s="7" cm="1">
        <f t="array" aca="1" ref="B1903" ca="1">interpolexp(A1903,serie_du,Taxas_DI)</f>
        <v>0.12363133833019901</v>
      </c>
      <c r="C1903" s="37">
        <f t="shared" ca="1" si="88"/>
        <v>2.4104020261148937</v>
      </c>
      <c r="D1903" s="36">
        <f t="shared" ca="1" si="90"/>
        <v>0.12181764823259744</v>
      </c>
      <c r="E1903" s="32">
        <v>0.12075720169770765</v>
      </c>
      <c r="F1903" s="35">
        <f t="shared" ca="1" si="89"/>
        <v>2.8741366324913642E-3</v>
      </c>
    </row>
    <row r="1904" spans="1:6" x14ac:dyDescent="0.25">
      <c r="A1904" s="23">
        <v>1903</v>
      </c>
      <c r="B1904" s="7" cm="1">
        <f t="array" aca="1" ref="B1904" ca="1">interpolexp(A1904,serie_du,Taxas_DI)</f>
        <v>0.12363038449090258</v>
      </c>
      <c r="C1904" s="37">
        <f t="shared" ca="1" si="88"/>
        <v>2.411501786291947</v>
      </c>
      <c r="D1904" s="36">
        <f t="shared" ca="1" si="90"/>
        <v>0.12181764672640183</v>
      </c>
      <c r="E1904" s="32">
        <v>0.12075715970438772</v>
      </c>
      <c r="F1904" s="35">
        <f t="shared" ca="1" si="89"/>
        <v>2.8732247865148608E-3</v>
      </c>
    </row>
    <row r="1905" spans="1:6" x14ac:dyDescent="0.25">
      <c r="A1905" s="23">
        <v>1904</v>
      </c>
      <c r="B1905" s="7" cm="1">
        <f t="array" aca="1" ref="B1905" ca="1">interpolexp(A1905,serie_du,Taxas_DI)</f>
        <v>0.12362943165351581</v>
      </c>
      <c r="C1905" s="37">
        <f t="shared" ca="1" si="88"/>
        <v>2.412602048227606</v>
      </c>
      <c r="D1905" s="36">
        <f t="shared" ca="1" si="90"/>
        <v>0.12181764514709847</v>
      </c>
      <c r="E1905" s="32">
        <v>0.12075711775518805</v>
      </c>
      <c r="F1905" s="35">
        <f t="shared" ca="1" si="89"/>
        <v>2.8723138983277607E-3</v>
      </c>
    </row>
    <row r="1906" spans="1:6" x14ac:dyDescent="0.25">
      <c r="A1906" s="23">
        <v>1905</v>
      </c>
      <c r="B1906" s="7" cm="1">
        <f t="array" aca="1" ref="B1906" ca="1">interpolexp(A1906,serie_du,Taxas_DI)</f>
        <v>0.1236284798165066</v>
      </c>
      <c r="C1906" s="37">
        <f t="shared" ca="1" si="88"/>
        <v>2.4137028121515516</v>
      </c>
      <c r="D1906" s="36">
        <f t="shared" ca="1" si="90"/>
        <v>0.12181764365712211</v>
      </c>
      <c r="E1906" s="32">
        <v>0.12075707585001982</v>
      </c>
      <c r="F1906" s="35">
        <f t="shared" ca="1" si="89"/>
        <v>2.8714039664867741E-3</v>
      </c>
    </row>
    <row r="1907" spans="1:6" x14ac:dyDescent="0.25">
      <c r="A1907" s="23">
        <v>1906</v>
      </c>
      <c r="B1907" s="7" cm="1">
        <f t="array" aca="1" ref="B1907" ca="1">interpolexp(A1907,serie_du,Taxas_DI)</f>
        <v>0.12362752897829843</v>
      </c>
      <c r="C1907" s="37">
        <f t="shared" ca="1" si="88"/>
        <v>2.414804078292796</v>
      </c>
      <c r="D1907" s="36">
        <f t="shared" ca="1" si="90"/>
        <v>0.12181764216593161</v>
      </c>
      <c r="E1907" s="32">
        <v>0.12075703398881643</v>
      </c>
      <c r="F1907" s="35">
        <f t="shared" ca="1" si="89"/>
        <v>2.8704949894819975E-3</v>
      </c>
    </row>
    <row r="1908" spans="1:6" x14ac:dyDescent="0.25">
      <c r="A1908" s="23">
        <v>1907</v>
      </c>
      <c r="B1908" s="7" cm="1">
        <f t="array" aca="1" ref="B1908" ca="1">interpolexp(A1908,serie_du,Taxas_DI)</f>
        <v>0.12362657913729258</v>
      </c>
      <c r="C1908" s="37">
        <f t="shared" ca="1" si="88"/>
        <v>2.4159058468800416</v>
      </c>
      <c r="D1908" s="36">
        <f t="shared" ca="1" si="90"/>
        <v>0.12181764062481348</v>
      </c>
      <c r="E1908" s="32">
        <v>0.12075699217153346</v>
      </c>
      <c r="F1908" s="35">
        <f t="shared" ca="1" si="89"/>
        <v>2.8695869657591189E-3</v>
      </c>
    </row>
    <row r="1909" spans="1:6" x14ac:dyDescent="0.25">
      <c r="A1909" s="23">
        <v>1908</v>
      </c>
      <c r="B1909" s="7" cm="1">
        <f t="array" aca="1" ref="B1909" ca="1">interpolexp(A1909,serie_du,Taxas_DI)</f>
        <v>0.12362563029195694</v>
      </c>
      <c r="C1909" s="37">
        <f t="shared" ca="1" si="88"/>
        <v>2.4170081181431238</v>
      </c>
      <c r="D1909" s="36">
        <f t="shared" ca="1" si="90"/>
        <v>0.12181763915439081</v>
      </c>
      <c r="E1909" s="32">
        <v>0.1207569503980821</v>
      </c>
      <c r="F1909" s="35">
        <f t="shared" ca="1" si="89"/>
        <v>2.8686798938748481E-3</v>
      </c>
    </row>
    <row r="1910" spans="1:6" x14ac:dyDescent="0.25">
      <c r="A1910" s="23">
        <v>1909</v>
      </c>
      <c r="B1910" s="7" cm="1">
        <f t="array" aca="1" ref="B1910" ca="1">interpolexp(A1910,serie_du,Taxas_DI)</f>
        <v>0.1236246824406928</v>
      </c>
      <c r="C1910" s="37">
        <f t="shared" ca="1" si="88"/>
        <v>2.4181108923108456</v>
      </c>
      <c r="D1910" s="36">
        <f t="shared" ca="1" si="90"/>
        <v>0.12181763762147058</v>
      </c>
      <c r="E1910" s="32">
        <v>0.12075690866839572</v>
      </c>
      <c r="F1910" s="35">
        <f t="shared" ca="1" si="89"/>
        <v>2.8677737722970775E-3</v>
      </c>
    </row>
    <row r="1911" spans="1:6" x14ac:dyDescent="0.25">
      <c r="A1911" s="23">
        <v>1910</v>
      </c>
      <c r="B1911" s="7" cm="1">
        <f t="array" aca="1" ref="B1911" ca="1">interpolexp(A1911,serie_du,Taxas_DI)</f>
        <v>0.12362373558194584</v>
      </c>
      <c r="C1911" s="37">
        <f t="shared" ca="1" si="88"/>
        <v>2.4192141696127845</v>
      </c>
      <c r="D1911" s="36">
        <f t="shared" ca="1" si="90"/>
        <v>0.12181763610439766</v>
      </c>
      <c r="E1911" s="32">
        <v>0.12075686698238552</v>
      </c>
      <c r="F1911" s="35">
        <f t="shared" ca="1" si="89"/>
        <v>2.8668685995603127E-3</v>
      </c>
    </row>
    <row r="1912" spans="1:6" x14ac:dyDescent="0.25">
      <c r="A1912" s="23">
        <v>1911</v>
      </c>
      <c r="B1912" s="7" cm="1">
        <f t="array" aca="1" ref="B1912" ca="1">interpolexp(A1912,serie_du,Taxas_DI)</f>
        <v>0.12362278971416174</v>
      </c>
      <c r="C1912" s="37">
        <f t="shared" ca="1" si="88"/>
        <v>2.4203179502785686</v>
      </c>
      <c r="D1912" s="36">
        <f t="shared" ca="1" si="90"/>
        <v>0.12181763459694861</v>
      </c>
      <c r="E1912" s="32">
        <v>0.12075682534002929</v>
      </c>
      <c r="F1912" s="35">
        <f t="shared" ca="1" si="89"/>
        <v>2.8659643741324459E-3</v>
      </c>
    </row>
    <row r="1913" spans="1:6" x14ac:dyDescent="0.25">
      <c r="A1913" s="23">
        <v>1912</v>
      </c>
      <c r="B1913" s="7" cm="1">
        <f t="array" aca="1" ref="B1913" ca="1">interpolexp(A1913,serie_du,Taxas_DI)</f>
        <v>0.1236218448358084</v>
      </c>
      <c r="C1913" s="37">
        <f t="shared" ca="1" si="88"/>
        <v>2.4214222345382415</v>
      </c>
      <c r="D1913" s="36">
        <f t="shared" ca="1" si="90"/>
        <v>0.12181763313531291</v>
      </c>
      <c r="E1913" s="32">
        <v>0.12075678374121601</v>
      </c>
      <c r="F1913" s="35">
        <f t="shared" ca="1" si="89"/>
        <v>2.8650610945923916E-3</v>
      </c>
    </row>
    <row r="1914" spans="1:6" x14ac:dyDescent="0.25">
      <c r="A1914" s="23">
        <v>1913</v>
      </c>
      <c r="B1914" s="7" cm="1">
        <f t="array" aca="1" ref="B1914" ca="1">interpolexp(A1914,serie_du,Taxas_DI)</f>
        <v>0.1236209009452871</v>
      </c>
      <c r="C1914" s="37">
        <f t="shared" ca="1" si="88"/>
        <v>2.4225270226208093</v>
      </c>
      <c r="D1914" s="36">
        <f t="shared" ca="1" si="90"/>
        <v>0.12181763158621361</v>
      </c>
      <c r="E1914" s="32">
        <v>0.12075674218590127</v>
      </c>
      <c r="F1914" s="35">
        <f t="shared" ca="1" si="89"/>
        <v>2.8641587593858375E-3</v>
      </c>
    </row>
    <row r="1915" spans="1:6" x14ac:dyDescent="0.25">
      <c r="A1915" s="23">
        <v>1914</v>
      </c>
      <c r="B1915" s="7" cm="1">
        <f t="array" aca="1" ref="B1915" ca="1">interpolexp(A1915,serie_du,Taxas_DI)</f>
        <v>0.12361995804108794</v>
      </c>
      <c r="C1915" s="37">
        <f t="shared" ca="1" si="88"/>
        <v>2.4236323147567815</v>
      </c>
      <c r="D1915" s="36">
        <f t="shared" ca="1" si="90"/>
        <v>0.121817630112796</v>
      </c>
      <c r="E1915" s="32">
        <v>0.12075670067401845</v>
      </c>
      <c r="F1915" s="35">
        <f t="shared" ca="1" si="89"/>
        <v>2.8632573670694939E-3</v>
      </c>
    </row>
    <row r="1916" spans="1:6" x14ac:dyDescent="0.25">
      <c r="A1916" s="23">
        <v>1915</v>
      </c>
      <c r="B1916" s="7" cm="1">
        <f t="array" aca="1" ref="B1916" ca="1">interpolexp(A1916,serie_du,Taxas_DI)</f>
        <v>0.1236190161216566</v>
      </c>
      <c r="C1916" s="37">
        <f t="shared" ca="1" si="88"/>
        <v>2.4247381111759942</v>
      </c>
      <c r="D1916" s="36">
        <f t="shared" ca="1" si="90"/>
        <v>0.12181762862430956</v>
      </c>
      <c r="E1916" s="32">
        <v>0.12075665920545653</v>
      </c>
      <c r="F1916" s="35">
        <f t="shared" ca="1" si="89"/>
        <v>2.8623569162000706E-3</v>
      </c>
    </row>
    <row r="1917" spans="1:6" x14ac:dyDescent="0.25">
      <c r="A1917" s="23">
        <v>1916</v>
      </c>
      <c r="B1917" s="7" cm="1">
        <f t="array" aca="1" ref="B1917" ca="1">interpolexp(A1917,serie_du,Taxas_DI)</f>
        <v>0.12361807518546097</v>
      </c>
      <c r="C1917" s="37">
        <f t="shared" ca="1" si="88"/>
        <v>2.4258444121086988</v>
      </c>
      <c r="D1917" s="36">
        <f t="shared" ca="1" si="90"/>
        <v>0.12181762715685118</v>
      </c>
      <c r="E1917" s="32">
        <v>0.12075661778021551</v>
      </c>
      <c r="F1917" s="35">
        <f t="shared" ca="1" si="89"/>
        <v>2.86145740524546E-3</v>
      </c>
    </row>
    <row r="1918" spans="1:6" x14ac:dyDescent="0.25">
      <c r="A1918" s="23">
        <v>1917</v>
      </c>
      <c r="B1918" s="7" cm="1">
        <f t="array" aca="1" ref="B1918" ca="1">interpolexp(A1918,serie_du,Taxas_DI)</f>
        <v>0.12361713523092455</v>
      </c>
      <c r="C1918" s="37">
        <f t="shared" ca="1" si="88"/>
        <v>2.4269512177844712</v>
      </c>
      <c r="D1918" s="36">
        <f t="shared" ca="1" si="90"/>
        <v>0.12181762561960063</v>
      </c>
      <c r="E1918" s="32">
        <v>0.12075657639818438</v>
      </c>
      <c r="F1918" s="35">
        <f t="shared" ca="1" si="89"/>
        <v>2.8605588327401676E-3</v>
      </c>
    </row>
    <row r="1919" spans="1:6" x14ac:dyDescent="0.25">
      <c r="A1919" s="23">
        <v>1918</v>
      </c>
      <c r="B1919" s="7" cm="1">
        <f t="array" aca="1" ref="B1919" ca="1">interpolexp(A1919,serie_du,Taxas_DI)</f>
        <v>0.12361619625655962</v>
      </c>
      <c r="C1919" s="37">
        <f t="shared" ca="1" si="88"/>
        <v>2.4280585284343958</v>
      </c>
      <c r="D1919" s="36">
        <f t="shared" ca="1" si="90"/>
        <v>0.12181762417595343</v>
      </c>
      <c r="E1919" s="32">
        <v>0.12075653505929651</v>
      </c>
      <c r="F1919" s="35">
        <f t="shared" ca="1" si="89"/>
        <v>2.8596611972631081E-3</v>
      </c>
    </row>
    <row r="1920" spans="1:6" x14ac:dyDescent="0.25">
      <c r="A1920" s="23">
        <v>1919</v>
      </c>
      <c r="B1920" s="7" cm="1">
        <f t="array" aca="1" ref="B1920" ca="1">interpolexp(A1920,serie_du,Taxas_DI)</f>
        <v>0.12361525826078967</v>
      </c>
      <c r="C1920" s="37">
        <f t="shared" ca="1" si="88"/>
        <v>2.4291663442881513</v>
      </c>
      <c r="D1920" s="36">
        <f t="shared" ca="1" si="90"/>
        <v>0.12181762264998519</v>
      </c>
      <c r="E1920" s="32">
        <v>0.1207564937634853</v>
      </c>
      <c r="F1920" s="35">
        <f t="shared" ca="1" si="89"/>
        <v>2.858764497304378E-3</v>
      </c>
    </row>
    <row r="1921" spans="1:6" x14ac:dyDescent="0.25">
      <c r="A1921" s="23">
        <v>1920</v>
      </c>
      <c r="B1921" s="7" cm="1">
        <f t="array" aca="1" ref="B1921" ca="1">interpolexp(A1921,serie_du,Taxas_DI)</f>
        <v>0.12361432124212701</v>
      </c>
      <c r="C1921" s="37">
        <f t="shared" ca="1" si="88"/>
        <v>2.4302746655769298</v>
      </c>
      <c r="D1921" s="36">
        <f t="shared" ca="1" si="90"/>
        <v>0.12181762120570494</v>
      </c>
      <c r="E1921" s="32">
        <v>0.12075645251070632</v>
      </c>
      <c r="F1921" s="35">
        <f t="shared" ca="1" si="89"/>
        <v>2.8578687314206874E-3</v>
      </c>
    </row>
    <row r="1922" spans="1:6" x14ac:dyDescent="0.25">
      <c r="A1922" s="23">
        <v>1921</v>
      </c>
      <c r="B1922" s="7" cm="1">
        <f t="array" aca="1" ref="B1922" ca="1">interpolexp(A1922,serie_du,Taxas_DI)</f>
        <v>0.12361338519901732</v>
      </c>
      <c r="C1922" s="37">
        <f t="shared" ref="C1922:C1985" ca="1" si="91">(1+B1922)^(A1922/252)</f>
        <v>2.4313834925308795</v>
      </c>
      <c r="D1922" s="36">
        <f t="shared" ca="1" si="90"/>
        <v>0.12181761970927751</v>
      </c>
      <c r="E1922" s="32">
        <v>0.12075641130087078</v>
      </c>
      <c r="F1922" s="35">
        <f t="shared" ref="F1922:F1985" ca="1" si="92">B1922-E1922</f>
        <v>2.856973898146542E-3</v>
      </c>
    </row>
    <row r="1923" spans="1:6" x14ac:dyDescent="0.25">
      <c r="A1923" s="23">
        <v>1922</v>
      </c>
      <c r="B1923" s="7" cm="1">
        <f t="array" aca="1" ref="B1923" ca="1">interpolexp(A1923,serie_du,Taxas_DI)</f>
        <v>0.1236124501299507</v>
      </c>
      <c r="C1923" s="37">
        <f t="shared" ca="1" si="91"/>
        <v>2.4324928253809328</v>
      </c>
      <c r="D1923" s="36">
        <f t="shared" ca="1" si="90"/>
        <v>0.12181761823972348</v>
      </c>
      <c r="E1923" s="32">
        <v>0.12075637013393425</v>
      </c>
      <c r="F1923" s="35">
        <f t="shared" ca="1" si="92"/>
        <v>2.8560799960164474E-3</v>
      </c>
    </row>
    <row r="1924" spans="1:6" x14ac:dyDescent="0.25">
      <c r="A1924" s="23">
        <v>1923</v>
      </c>
      <c r="B1924" s="7" cm="1">
        <f t="array" aca="1" ref="B1924" ca="1">interpolexp(A1924,serie_du,Taxas_DI)</f>
        <v>0.12361151603339504</v>
      </c>
      <c r="C1924" s="37">
        <f t="shared" ca="1" si="91"/>
        <v>2.4336026643577093</v>
      </c>
      <c r="D1924" s="36">
        <f t="shared" ref="D1924:D1987" ca="1" si="93">((((1+B1924)^(A1924/252))/((1+B1923)^(A1923/252)))^(252/1))-1</f>
        <v>0.12181761674849501</v>
      </c>
      <c r="E1924" s="32">
        <v>0.12075632900978572</v>
      </c>
      <c r="F1924" s="35">
        <f t="shared" ca="1" si="92"/>
        <v>2.855187023609318E-3</v>
      </c>
    </row>
    <row r="1925" spans="1:6" x14ac:dyDescent="0.25">
      <c r="A1925" s="23">
        <v>1924</v>
      </c>
      <c r="B1925" s="7" cm="1">
        <f t="array" aca="1" ref="B1925" ca="1">interpolexp(A1925,serie_du,Taxas_DI)</f>
        <v>0.12361058290786264</v>
      </c>
      <c r="C1925" s="37">
        <f t="shared" ca="1" si="91"/>
        <v>2.4347130096926155</v>
      </c>
      <c r="D1925" s="36">
        <f t="shared" ca="1" si="93"/>
        <v>0.12181761531475277</v>
      </c>
      <c r="E1925" s="32">
        <v>0.12075628792840298</v>
      </c>
      <c r="F1925" s="35">
        <f t="shared" ca="1" si="92"/>
        <v>2.8542949794596595E-3</v>
      </c>
    </row>
    <row r="1926" spans="1:6" x14ac:dyDescent="0.25">
      <c r="A1926" s="23">
        <v>1925</v>
      </c>
      <c r="B1926" s="7" cm="1">
        <f t="array" aca="1" ref="B1926" ca="1">interpolexp(A1926,serie_du,Taxas_DI)</f>
        <v>0.12360965075179919</v>
      </c>
      <c r="C1926" s="37">
        <f t="shared" ca="1" si="91"/>
        <v>2.4358238616160084</v>
      </c>
      <c r="D1926" s="36">
        <f t="shared" ca="1" si="93"/>
        <v>0.12181761380428102</v>
      </c>
      <c r="E1926" s="32">
        <v>0.12075624688969722</v>
      </c>
      <c r="F1926" s="35">
        <f t="shared" ca="1" si="92"/>
        <v>2.8534038621019775E-3</v>
      </c>
    </row>
    <row r="1927" spans="1:6" x14ac:dyDescent="0.25">
      <c r="A1927" s="23">
        <v>1926</v>
      </c>
      <c r="B1927" s="7" cm="1">
        <f t="array" aca="1" ref="B1927" ca="1">interpolexp(A1927,serie_du,Taxas_DI)</f>
        <v>0.123608719563717</v>
      </c>
      <c r="C1927" s="37">
        <f t="shared" ca="1" si="91"/>
        <v>2.4369352203594024</v>
      </c>
      <c r="D1927" s="36">
        <f t="shared" ca="1" si="93"/>
        <v>0.12181761233937838</v>
      </c>
      <c r="E1927" s="32">
        <v>0.12075620589360181</v>
      </c>
      <c r="F1927" s="35">
        <f t="shared" ca="1" si="92"/>
        <v>2.8525136701151865E-3</v>
      </c>
    </row>
    <row r="1928" spans="1:6" x14ac:dyDescent="0.25">
      <c r="A1928" s="23">
        <v>1927</v>
      </c>
      <c r="B1928" s="7" cm="1">
        <f t="array" aca="1" ref="B1928" ca="1">interpolexp(A1928,serie_du,Taxas_DI)</f>
        <v>0.12360778934210614</v>
      </c>
      <c r="C1928" s="37">
        <f t="shared" ca="1" si="91"/>
        <v>2.4380470861539956</v>
      </c>
      <c r="D1928" s="36">
        <f t="shared" ca="1" si="93"/>
        <v>0.12181761087100162</v>
      </c>
      <c r="E1928" s="32">
        <v>0.12075616494007235</v>
      </c>
      <c r="F1928" s="35">
        <f t="shared" ca="1" si="92"/>
        <v>2.8516244020337922E-3</v>
      </c>
    </row>
    <row r="1929" spans="1:6" x14ac:dyDescent="0.25">
      <c r="A1929" s="23">
        <v>1928</v>
      </c>
      <c r="B1929" s="7" cm="1">
        <f t="array" aca="1" ref="B1929" ca="1">interpolexp(A1929,serie_du,Taxas_DI)</f>
        <v>0.12360686008547894</v>
      </c>
      <c r="C1929" s="37">
        <f t="shared" ca="1" si="91"/>
        <v>2.4391594592314099</v>
      </c>
      <c r="D1929" s="36">
        <f t="shared" ca="1" si="93"/>
        <v>0.12181760943607811</v>
      </c>
      <c r="E1929" s="32">
        <v>0.12075612402899782</v>
      </c>
      <c r="F1929" s="35">
        <f t="shared" ca="1" si="92"/>
        <v>2.8507360564811179E-3</v>
      </c>
    </row>
    <row r="1930" spans="1:6" x14ac:dyDescent="0.25">
      <c r="A1930" s="23">
        <v>1929</v>
      </c>
      <c r="B1930" s="7" cm="1">
        <f t="array" aca="1" ref="B1930" ca="1">interpolexp(A1930,serie_du,Taxas_DI)</f>
        <v>0.12360593179230328</v>
      </c>
      <c r="C1930" s="37">
        <f t="shared" ca="1" si="91"/>
        <v>2.4402723398225841</v>
      </c>
      <c r="D1930" s="36">
        <f t="shared" ca="1" si="93"/>
        <v>0.1218176079431017</v>
      </c>
      <c r="E1930" s="32">
        <v>0.12075608316035602</v>
      </c>
      <c r="F1930" s="35">
        <f t="shared" ca="1" si="92"/>
        <v>2.8498486319472605E-3</v>
      </c>
    </row>
    <row r="1931" spans="1:6" x14ac:dyDescent="0.25">
      <c r="A1931" s="23">
        <v>1930</v>
      </c>
      <c r="B1931" s="7" cm="1">
        <f t="array" aca="1" ref="B1931" ca="1">interpolexp(A1931,serie_du,Taxas_DI)</f>
        <v>0.12360500446111367</v>
      </c>
      <c r="C1931" s="37">
        <f t="shared" ca="1" si="91"/>
        <v>2.4413857281596152</v>
      </c>
      <c r="D1931" s="36">
        <f t="shared" ca="1" si="93"/>
        <v>0.12181760651412299</v>
      </c>
      <c r="E1931" s="32">
        <v>0.12075604233408033</v>
      </c>
      <c r="F1931" s="35">
        <f t="shared" ca="1" si="92"/>
        <v>2.8489621270333387E-3</v>
      </c>
    </row>
    <row r="1932" spans="1:6" x14ac:dyDescent="0.25">
      <c r="A1932" s="23">
        <v>1931</v>
      </c>
      <c r="B1932" s="7" cm="1">
        <f t="array" aca="1" ref="B1932" ca="1">interpolexp(A1932,serie_du,Taxas_DI)</f>
        <v>0.12360407809040019</v>
      </c>
      <c r="C1932" s="37">
        <f t="shared" ca="1" si="91"/>
        <v>2.442499624473919</v>
      </c>
      <c r="D1932" s="36">
        <f t="shared" ca="1" si="93"/>
        <v>0.12181760505798911</v>
      </c>
      <c r="E1932" s="32">
        <v>0.12075600155005972</v>
      </c>
      <c r="F1932" s="35">
        <f t="shared" ca="1" si="92"/>
        <v>2.8480765403404718E-3</v>
      </c>
    </row>
    <row r="1933" spans="1:6" x14ac:dyDescent="0.25">
      <c r="A1933" s="23">
        <v>1932</v>
      </c>
      <c r="B1933" s="7" cm="1">
        <f t="array" aca="1" ref="B1933" ca="1">interpolexp(A1933,serie_du,Taxas_DI)</f>
        <v>0.12360315267865296</v>
      </c>
      <c r="C1933" s="37">
        <f t="shared" ca="1" si="91"/>
        <v>2.4436140289969623</v>
      </c>
      <c r="D1933" s="36">
        <f t="shared" ca="1" si="93"/>
        <v>0.12181760356839022</v>
      </c>
      <c r="E1933" s="32">
        <v>0.120755960808272</v>
      </c>
      <c r="F1933" s="35">
        <f t="shared" ca="1" si="92"/>
        <v>2.8471918703809607E-3</v>
      </c>
    </row>
    <row r="1934" spans="1:6" x14ac:dyDescent="0.25">
      <c r="A1934" s="23">
        <v>1933</v>
      </c>
      <c r="B1934" s="7" cm="1">
        <f t="array" aca="1" ref="B1934" ca="1">interpolexp(A1934,serie_du,Taxas_DI)</f>
        <v>0.12360222822440647</v>
      </c>
      <c r="C1934" s="37">
        <f t="shared" ca="1" si="91"/>
        <v>2.4447289419610074</v>
      </c>
      <c r="D1934" s="36">
        <f t="shared" ca="1" si="93"/>
        <v>0.12181760212511739</v>
      </c>
      <c r="E1934" s="32">
        <v>0.12075592010865055</v>
      </c>
      <c r="F1934" s="35">
        <f t="shared" ca="1" si="92"/>
        <v>2.8463081157559245E-3</v>
      </c>
    </row>
    <row r="1935" spans="1:6" x14ac:dyDescent="0.25">
      <c r="A1935" s="23">
        <v>1934</v>
      </c>
      <c r="B1935" s="7" cm="1">
        <f t="array" aca="1" ref="B1935" ca="1">interpolexp(A1935,serie_du,Taxas_DI)</f>
        <v>0.12360130472617303</v>
      </c>
      <c r="C1935" s="37">
        <f t="shared" ca="1" si="91"/>
        <v>2.4458443635980012</v>
      </c>
      <c r="D1935" s="36">
        <f t="shared" ca="1" si="93"/>
        <v>0.12181760067946179</v>
      </c>
      <c r="E1935" s="32">
        <v>0.12075587945110655</v>
      </c>
      <c r="F1935" s="35">
        <f t="shared" ca="1" si="92"/>
        <v>2.8454252750664821E-3</v>
      </c>
    </row>
    <row r="1936" spans="1:6" x14ac:dyDescent="0.25">
      <c r="A1936" s="23">
        <v>1935</v>
      </c>
      <c r="B1936" s="7" cm="1">
        <f t="array" aca="1" ref="B1936" ca="1">interpolexp(A1936,serie_du,Taxas_DI)</f>
        <v>0.12360038218248715</v>
      </c>
      <c r="C1936" s="37">
        <f t="shared" ca="1" si="91"/>
        <v>2.4469602941403159</v>
      </c>
      <c r="D1936" s="36">
        <f t="shared" ca="1" si="93"/>
        <v>0.12181759926832858</v>
      </c>
      <c r="E1936" s="32">
        <v>0.1207558388355956</v>
      </c>
      <c r="F1936" s="35">
        <f t="shared" ca="1" si="92"/>
        <v>2.8445433468915482E-3</v>
      </c>
    </row>
    <row r="1937" spans="1:6" x14ac:dyDescent="0.25">
      <c r="A1937" s="23">
        <v>1936</v>
      </c>
      <c r="B1937" s="7" cm="1">
        <f t="array" aca="1" ref="B1937" ca="1">interpolexp(A1937,serie_du,Taxas_DI)</f>
        <v>0.12359946059183891</v>
      </c>
      <c r="C1937" s="37">
        <f t="shared" ca="1" si="91"/>
        <v>2.4480767338196361</v>
      </c>
      <c r="D1937" s="36">
        <f t="shared" ca="1" si="93"/>
        <v>0.12181759779992096</v>
      </c>
      <c r="E1937" s="32">
        <v>0.12075579826202887</v>
      </c>
      <c r="F1937" s="35">
        <f t="shared" ca="1" si="92"/>
        <v>2.8436623298100372E-3</v>
      </c>
    </row>
    <row r="1938" spans="1:6" x14ac:dyDescent="0.25">
      <c r="A1938" s="23">
        <v>1937</v>
      </c>
      <c r="B1938" s="7" cm="1">
        <f t="array" aca="1" ref="B1938" ca="1">interpolexp(A1938,serie_du,Taxas_DI)</f>
        <v>0.12359853995274062</v>
      </c>
      <c r="C1938" s="37">
        <f t="shared" ca="1" si="91"/>
        <v>2.449193682868072</v>
      </c>
      <c r="D1938" s="36">
        <f t="shared" ca="1" si="93"/>
        <v>0.12181759631143851</v>
      </c>
      <c r="E1938" s="32">
        <v>0.12075575773036196</v>
      </c>
      <c r="F1938" s="35">
        <f t="shared" ca="1" si="92"/>
        <v>2.8427822223786592E-3</v>
      </c>
    </row>
    <row r="1939" spans="1:6" x14ac:dyDescent="0.25">
      <c r="A1939" s="23">
        <v>1938</v>
      </c>
      <c r="B1939" s="7" cm="1">
        <f t="array" aca="1" ref="B1939" ca="1">interpolexp(A1939,serie_du,Taxas_DI)</f>
        <v>0.12359762026377119</v>
      </c>
      <c r="C1939" s="37">
        <f t="shared" ca="1" si="91"/>
        <v>2.4503111415189034</v>
      </c>
      <c r="D1939" s="36">
        <f t="shared" ca="1" si="93"/>
        <v>0.12181759492544808</v>
      </c>
      <c r="E1939" s="32">
        <v>0.12075571724050604</v>
      </c>
      <c r="F1939" s="35">
        <f t="shared" ca="1" si="92"/>
        <v>2.8419030232651465E-3</v>
      </c>
    </row>
    <row r="1940" spans="1:6" x14ac:dyDescent="0.25">
      <c r="A1940" s="23">
        <v>1939</v>
      </c>
      <c r="B1940" s="7" cm="1">
        <f t="array" aca="1" ref="B1940" ca="1">interpolexp(A1940,serie_du,Taxas_DI)</f>
        <v>0.12359670152342073</v>
      </c>
      <c r="C1940" s="37">
        <f t="shared" ca="1" si="91"/>
        <v>2.4514291100039793</v>
      </c>
      <c r="D1940" s="36">
        <f t="shared" ca="1" si="93"/>
        <v>0.12181759346458843</v>
      </c>
      <c r="E1940" s="32">
        <v>0.12075567679243893</v>
      </c>
      <c r="F1940" s="35">
        <f t="shared" ca="1" si="92"/>
        <v>2.8410247309818004E-3</v>
      </c>
    </row>
    <row r="1941" spans="1:6" x14ac:dyDescent="0.25">
      <c r="A1941" s="23">
        <v>1940</v>
      </c>
      <c r="B1941" s="7" cm="1">
        <f t="array" aca="1" ref="B1941" ca="1">interpolexp(A1941,serie_du,Taxas_DI)</f>
        <v>0.12359578373022373</v>
      </c>
      <c r="C1941" s="37">
        <f t="shared" ca="1" si="91"/>
        <v>2.4525475885559467</v>
      </c>
      <c r="D1941" s="36">
        <f t="shared" ca="1" si="93"/>
        <v>0.12181759200882114</v>
      </c>
      <c r="E1941" s="32">
        <v>0.12075563638604958</v>
      </c>
      <c r="F1941" s="35">
        <f t="shared" ca="1" si="92"/>
        <v>2.8401473441741487E-3</v>
      </c>
    </row>
    <row r="1942" spans="1:6" x14ac:dyDescent="0.25">
      <c r="A1942" s="23">
        <v>1941</v>
      </c>
      <c r="B1942" s="7" cm="1">
        <f t="array" aca="1" ref="B1942" ca="1">interpolexp(A1942,serie_du,Taxas_DI)</f>
        <v>0.12359486688275911</v>
      </c>
      <c r="C1942" s="37">
        <f t="shared" ca="1" si="91"/>
        <v>2.4536665774082547</v>
      </c>
      <c r="D1942" s="36">
        <f t="shared" ca="1" si="93"/>
        <v>0.12181759063826969</v>
      </c>
      <c r="E1942" s="32">
        <v>0.1207555960213158</v>
      </c>
      <c r="F1942" s="35">
        <f t="shared" ca="1" si="92"/>
        <v>2.8392708614433104E-3</v>
      </c>
    </row>
    <row r="1943" spans="1:6" x14ac:dyDescent="0.25">
      <c r="A1943" s="23">
        <v>1942</v>
      </c>
      <c r="B1943" s="7" cm="1">
        <f t="array" aca="1" ref="B1943" ca="1">interpolexp(A1943,serie_du,Taxas_DI)</f>
        <v>0.12359395097949477</v>
      </c>
      <c r="C1943" s="37">
        <f t="shared" ca="1" si="91"/>
        <v>2.4547860767925411</v>
      </c>
      <c r="D1943" s="36">
        <f t="shared" ca="1" si="93"/>
        <v>0.1218175891319353</v>
      </c>
      <c r="E1943" s="32">
        <v>0.12075555569814878</v>
      </c>
      <c r="F1943" s="35">
        <f t="shared" ca="1" si="92"/>
        <v>2.8383952813459956E-3</v>
      </c>
    </row>
    <row r="1944" spans="1:6" x14ac:dyDescent="0.25">
      <c r="A1944" s="23">
        <v>1943</v>
      </c>
      <c r="B1944" s="7" cm="1">
        <f t="array" aca="1" ref="B1944" ca="1">interpolexp(A1944,serie_du,Taxas_DI)</f>
        <v>0.12359303601903182</v>
      </c>
      <c r="C1944" s="37">
        <f t="shared" ca="1" si="91"/>
        <v>2.4559060869427407</v>
      </c>
      <c r="D1944" s="36">
        <f t="shared" ca="1" si="93"/>
        <v>0.12181758774230866</v>
      </c>
      <c r="E1944" s="32">
        <v>0.12075551541648188</v>
      </c>
      <c r="F1944" s="35">
        <f t="shared" ca="1" si="92"/>
        <v>2.8375206025499367E-3</v>
      </c>
    </row>
    <row r="1945" spans="1:6" x14ac:dyDescent="0.25">
      <c r="A1945" s="23">
        <v>1944</v>
      </c>
      <c r="B1945" s="7" cm="1">
        <f t="array" aca="1" ref="B1945" ca="1">interpolexp(A1945,serie_du,Taxas_DI)</f>
        <v>0.12359212199990477</v>
      </c>
      <c r="C1945" s="37">
        <f t="shared" ca="1" si="91"/>
        <v>2.457026608091724</v>
      </c>
      <c r="D1945" s="36">
        <f t="shared" ca="1" si="93"/>
        <v>0.12181758633449635</v>
      </c>
      <c r="E1945" s="32">
        <v>0.12075547517624852</v>
      </c>
      <c r="F1945" s="35">
        <f t="shared" ca="1" si="92"/>
        <v>2.8366468236562525E-3</v>
      </c>
    </row>
    <row r="1946" spans="1:6" x14ac:dyDescent="0.25">
      <c r="A1946" s="23">
        <v>1945</v>
      </c>
      <c r="B1946" s="7" cm="1">
        <f t="array" aca="1" ref="B1946" ca="1">interpolexp(A1946,serie_du,Taxas_DI)</f>
        <v>0.12359120892062592</v>
      </c>
      <c r="C1946" s="37">
        <f t="shared" ca="1" si="91"/>
        <v>2.4581476404720406</v>
      </c>
      <c r="D1946" s="36">
        <f t="shared" ca="1" si="93"/>
        <v>0.12181758485933081</v>
      </c>
      <c r="E1946" s="32">
        <v>0.12075543497740426</v>
      </c>
      <c r="F1946" s="35">
        <f t="shared" ca="1" si="92"/>
        <v>2.8357739432216533E-3</v>
      </c>
    </row>
    <row r="1947" spans="1:6" x14ac:dyDescent="0.25">
      <c r="A1947" s="23">
        <v>1946</v>
      </c>
      <c r="B1947" s="7" cm="1">
        <f t="array" aca="1" ref="B1947" ca="1">interpolexp(A1947,serie_du,Taxas_DI)</f>
        <v>0.12359029677979638</v>
      </c>
      <c r="C1947" s="37">
        <f t="shared" ca="1" si="91"/>
        <v>2.4592691843177961</v>
      </c>
      <c r="D1947" s="36">
        <f t="shared" ca="1" si="93"/>
        <v>0.12181758348356464</v>
      </c>
      <c r="E1947" s="32">
        <v>0.12075539481988251</v>
      </c>
      <c r="F1947" s="35">
        <f t="shared" ca="1" si="92"/>
        <v>2.8349019599138714E-3</v>
      </c>
    </row>
    <row r="1948" spans="1:6" x14ac:dyDescent="0.25">
      <c r="A1948" s="23">
        <v>1947</v>
      </c>
      <c r="B1948" s="7" cm="1">
        <f t="array" aca="1" ref="B1948" ca="1">interpolexp(A1948,serie_du,Taxas_DI)</f>
        <v>0.12358938557592847</v>
      </c>
      <c r="C1948" s="37">
        <f t="shared" ca="1" si="91"/>
        <v>2.4603912398616528</v>
      </c>
      <c r="D1948" s="36">
        <f t="shared" ca="1" si="93"/>
        <v>0.12181758202906057</v>
      </c>
      <c r="E1948" s="32">
        <v>0.12075535470359444</v>
      </c>
      <c r="F1948" s="35">
        <f t="shared" ca="1" si="92"/>
        <v>2.8340308723340257E-3</v>
      </c>
    </row>
    <row r="1949" spans="1:6" x14ac:dyDescent="0.25">
      <c r="A1949" s="23">
        <v>1948</v>
      </c>
      <c r="B1949" s="7" cm="1">
        <f t="array" aca="1" ref="B1949" ca="1">interpolexp(A1949,serie_du,Taxas_DI)</f>
        <v>0.12358847530760109</v>
      </c>
      <c r="C1949" s="37">
        <f t="shared" ca="1" si="91"/>
        <v>2.461513807337453</v>
      </c>
      <c r="D1949" s="36">
        <f t="shared" ca="1" si="93"/>
        <v>0.12181758061917813</v>
      </c>
      <c r="E1949" s="32">
        <v>0.12075531462849565</v>
      </c>
      <c r="F1949" s="35">
        <f t="shared" ca="1" si="92"/>
        <v>2.8331606791054398E-3</v>
      </c>
    </row>
    <row r="1950" spans="1:6" x14ac:dyDescent="0.25">
      <c r="A1950" s="23">
        <v>1949</v>
      </c>
      <c r="B1950" s="7" cm="1">
        <f t="array" aca="1" ref="B1950" ca="1">interpolexp(A1950,serie_du,Taxas_DI)</f>
        <v>0.12358756597337095</v>
      </c>
      <c r="C1950" s="37">
        <f t="shared" ca="1" si="91"/>
        <v>2.4626368869787214</v>
      </c>
      <c r="D1950" s="36">
        <f t="shared" ca="1" si="93"/>
        <v>0.12181757920520075</v>
      </c>
      <c r="E1950" s="32">
        <v>0.12075527459451951</v>
      </c>
      <c r="F1950" s="35">
        <f t="shared" ca="1" si="92"/>
        <v>2.832291378851437E-3</v>
      </c>
    </row>
    <row r="1951" spans="1:6" x14ac:dyDescent="0.25">
      <c r="A1951" s="23">
        <v>1950</v>
      </c>
      <c r="B1951" s="7" cm="1">
        <f t="array" aca="1" ref="B1951" ca="1">interpolexp(A1951,serie_du,Taxas_DI)</f>
        <v>0.12358665757179477</v>
      </c>
      <c r="C1951" s="37">
        <f t="shared" ca="1" si="91"/>
        <v>2.4637604790190397</v>
      </c>
      <c r="D1951" s="36">
        <f t="shared" ca="1" si="93"/>
        <v>0.12181757778136348</v>
      </c>
      <c r="E1951" s="32">
        <v>0.12075523460162163</v>
      </c>
      <c r="F1951" s="35">
        <f t="shared" ca="1" si="92"/>
        <v>2.8314229701731364E-3</v>
      </c>
    </row>
    <row r="1952" spans="1:6" x14ac:dyDescent="0.25">
      <c r="A1952" s="23">
        <v>1951</v>
      </c>
      <c r="B1952" s="7" cm="1">
        <f t="array" aca="1" ref="B1952" ca="1">interpolexp(A1952,serie_du,Taxas_DI)</f>
        <v>0.12358575010145145</v>
      </c>
      <c r="C1952" s="37">
        <f t="shared" ca="1" si="91"/>
        <v>2.4648845836924216</v>
      </c>
      <c r="D1952" s="36">
        <f t="shared" ca="1" si="93"/>
        <v>0.12181757638509261</v>
      </c>
      <c r="E1952" s="32">
        <v>0.12075519464971318</v>
      </c>
      <c r="F1952" s="35">
        <f t="shared" ca="1" si="92"/>
        <v>2.8305554517382703E-3</v>
      </c>
    </row>
    <row r="1953" spans="1:6" x14ac:dyDescent="0.25">
      <c r="A1953" s="23">
        <v>1952</v>
      </c>
      <c r="B1953" s="7" cm="1">
        <f t="array" aca="1" ref="B1953" ca="1">interpolexp(A1953,serie_du,Taxas_DI)</f>
        <v>0.12358484356089772</v>
      </c>
      <c r="C1953" s="37">
        <f t="shared" ca="1" si="91"/>
        <v>2.466009201232561</v>
      </c>
      <c r="D1953" s="36">
        <f t="shared" ca="1" si="93"/>
        <v>0.12181757496733092</v>
      </c>
      <c r="E1953" s="32">
        <v>0.12075515473872755</v>
      </c>
      <c r="F1953" s="35">
        <f t="shared" ca="1" si="92"/>
        <v>2.8296888221701622E-3</v>
      </c>
    </row>
    <row r="1954" spans="1:6" x14ac:dyDescent="0.25">
      <c r="A1954" s="23">
        <v>1953</v>
      </c>
      <c r="B1954" s="7" cm="1">
        <f t="array" aca="1" ref="B1954" ca="1">interpolexp(A1954,serie_du,Taxas_DI)</f>
        <v>0.12358393794871247</v>
      </c>
      <c r="C1954" s="37">
        <f t="shared" ca="1" si="91"/>
        <v>2.4671343318735866</v>
      </c>
      <c r="D1954" s="36">
        <f t="shared" ca="1" si="93"/>
        <v>0.12181757356592904</v>
      </c>
      <c r="E1954" s="32">
        <v>0.12075511486862034</v>
      </c>
      <c r="F1954" s="35">
        <f t="shared" ca="1" si="92"/>
        <v>2.8288230800921355E-3</v>
      </c>
    </row>
    <row r="1955" spans="1:6" x14ac:dyDescent="0.25">
      <c r="A1955" s="23">
        <v>1954</v>
      </c>
      <c r="B1955" s="7" cm="1">
        <f t="array" aca="1" ref="B1955" ca="1">interpolexp(A1955,serie_du,Taxas_DI)</f>
        <v>0.12358303326345244</v>
      </c>
      <c r="C1955" s="37">
        <f t="shared" ca="1" si="91"/>
        <v>2.4682599758493047</v>
      </c>
      <c r="D1955" s="36">
        <f t="shared" ca="1" si="93"/>
        <v>0.12181757213148492</v>
      </c>
      <c r="E1955" s="32">
        <v>0.12075507503932492</v>
      </c>
      <c r="F1955" s="35">
        <f t="shared" ca="1" si="92"/>
        <v>2.8279582241275136E-3</v>
      </c>
    </row>
    <row r="1956" spans="1:6" x14ac:dyDescent="0.25">
      <c r="A1956" s="23">
        <v>1955</v>
      </c>
      <c r="B1956" s="7" cm="1">
        <f t="array" aca="1" ref="B1956" ca="1">interpolexp(A1956,serie_du,Taxas_DI)</f>
        <v>0.12358212950371872</v>
      </c>
      <c r="C1956" s="37">
        <f t="shared" ca="1" si="91"/>
        <v>2.4693861333943365</v>
      </c>
      <c r="D1956" s="36">
        <f t="shared" ca="1" si="93"/>
        <v>0.12181757074524402</v>
      </c>
      <c r="E1956" s="32">
        <v>0.12075503525077469</v>
      </c>
      <c r="F1956" s="35">
        <f t="shared" ca="1" si="92"/>
        <v>2.8270942529440291E-3</v>
      </c>
    </row>
    <row r="1957" spans="1:6" x14ac:dyDescent="0.25">
      <c r="A1957" s="23">
        <v>1956</v>
      </c>
      <c r="B1957" s="7" cm="1">
        <f t="array" aca="1" ref="B1957" ca="1">interpolexp(A1957,serie_du,Taxas_DI)</f>
        <v>0.12358122666809024</v>
      </c>
      <c r="C1957" s="37">
        <f t="shared" ca="1" si="91"/>
        <v>2.4705128047429818</v>
      </c>
      <c r="D1957" s="36">
        <f t="shared" ca="1" si="93"/>
        <v>0.12181756935807475</v>
      </c>
      <c r="E1957" s="32">
        <v>0.12075499550290303</v>
      </c>
      <c r="F1957" s="35">
        <f t="shared" ca="1" si="92"/>
        <v>2.8262311651872096E-3</v>
      </c>
    </row>
    <row r="1958" spans="1:6" x14ac:dyDescent="0.25">
      <c r="A1958" s="23">
        <v>1957</v>
      </c>
      <c r="B1958" s="7" cm="1">
        <f t="array" aca="1" ref="B1958" ca="1">interpolexp(A1958,serie_du,Taxas_DI)</f>
        <v>0.1235803247551237</v>
      </c>
      <c r="C1958" s="37">
        <f t="shared" ca="1" si="91"/>
        <v>2.4716399901292188</v>
      </c>
      <c r="D1958" s="36">
        <f t="shared" ca="1" si="93"/>
        <v>0.12181756792100207</v>
      </c>
      <c r="E1958" s="32">
        <v>0.12075495579564333</v>
      </c>
      <c r="F1958" s="35">
        <f t="shared" ca="1" si="92"/>
        <v>2.8253689594803788E-3</v>
      </c>
    </row>
    <row r="1959" spans="1:6" x14ac:dyDescent="0.25">
      <c r="A1959" s="23">
        <v>1958</v>
      </c>
      <c r="B1959" s="7" cm="1">
        <f t="array" aca="1" ref="B1959" ca="1">interpolexp(A1959,serie_du,Taxas_DI)</f>
        <v>0.12357942376344244</v>
      </c>
      <c r="C1959" s="37">
        <f t="shared" ca="1" si="91"/>
        <v>2.47276768978822</v>
      </c>
      <c r="D1959" s="36">
        <f t="shared" ca="1" si="93"/>
        <v>0.12181756655835452</v>
      </c>
      <c r="E1959" s="32">
        <v>0.12075491612897338</v>
      </c>
      <c r="F1959" s="35">
        <f t="shared" ca="1" si="92"/>
        <v>2.8245076344690645E-3</v>
      </c>
    </row>
    <row r="1960" spans="1:6" x14ac:dyDescent="0.25">
      <c r="A1960" s="23">
        <v>1959</v>
      </c>
      <c r="B1960" s="7" cm="1">
        <f t="array" aca="1" ref="B1960" ca="1">interpolexp(A1960,serie_du,Taxas_DI)</f>
        <v>0.12357852369162536</v>
      </c>
      <c r="C1960" s="37">
        <f t="shared" ca="1" si="91"/>
        <v>2.4738959039544586</v>
      </c>
      <c r="D1960" s="36">
        <f t="shared" ca="1" si="93"/>
        <v>0.12181756517793785</v>
      </c>
      <c r="E1960" s="32">
        <v>0.12075487650278216</v>
      </c>
      <c r="F1960" s="35">
        <f t="shared" ca="1" si="92"/>
        <v>2.8236471888432035E-3</v>
      </c>
    </row>
    <row r="1961" spans="1:6" x14ac:dyDescent="0.25">
      <c r="A1961" s="23">
        <v>1960</v>
      </c>
      <c r="B1961" s="7" cm="1">
        <f t="array" aca="1" ref="B1961" ca="1">interpolexp(A1961,serie_du,Taxas_DI)</f>
        <v>0.12357762453822918</v>
      </c>
      <c r="C1961" s="37">
        <f t="shared" ca="1" si="91"/>
        <v>2.4750246328620826</v>
      </c>
      <c r="D1961" s="36">
        <f t="shared" ca="1" si="93"/>
        <v>0.12181756373040131</v>
      </c>
      <c r="E1961" s="32">
        <v>0.12075483691702527</v>
      </c>
      <c r="F1961" s="35">
        <f t="shared" ca="1" si="92"/>
        <v>2.8227876212039149E-3</v>
      </c>
    </row>
    <row r="1962" spans="1:6" x14ac:dyDescent="0.25">
      <c r="A1962" s="23">
        <v>1961</v>
      </c>
      <c r="B1962" s="7" cm="1">
        <f t="array" aca="1" ref="B1962" ca="1">interpolexp(A1962,serie_du,Taxas_DI)</f>
        <v>0.12357672630189942</v>
      </c>
      <c r="C1962" s="37">
        <f t="shared" ca="1" si="91"/>
        <v>2.4761538767468219</v>
      </c>
      <c r="D1962" s="36">
        <f t="shared" ca="1" si="93"/>
        <v>0.12181756238411467</v>
      </c>
      <c r="E1962" s="32">
        <v>0.12075479737163608</v>
      </c>
      <c r="F1962" s="35">
        <f t="shared" ca="1" si="92"/>
        <v>2.8219289302633399E-3</v>
      </c>
    </row>
    <row r="1963" spans="1:6" x14ac:dyDescent="0.25">
      <c r="A1963" s="23">
        <v>1962</v>
      </c>
      <c r="B1963" s="7" cm="1">
        <f t="array" aca="1" ref="B1963" ca="1">interpolexp(A1963,serie_du,Taxas_DI)</f>
        <v>0.123575828981215</v>
      </c>
      <c r="C1963" s="37">
        <f t="shared" ca="1" si="91"/>
        <v>2.4772836358433206</v>
      </c>
      <c r="D1963" s="36">
        <f t="shared" ca="1" si="93"/>
        <v>0.12181756100301389</v>
      </c>
      <c r="E1963" s="32">
        <v>0.12075475786657019</v>
      </c>
      <c r="F1963" s="35">
        <f t="shared" ca="1" si="92"/>
        <v>2.821071114644802E-3</v>
      </c>
    </row>
    <row r="1964" spans="1:6" x14ac:dyDescent="0.25">
      <c r="A1964" s="23">
        <v>1963</v>
      </c>
      <c r="B1964" s="7" cm="1">
        <f t="array" aca="1" ref="B1964" ca="1">interpolexp(A1964,serie_du,Taxas_DI)</f>
        <v>0.12357493257475483</v>
      </c>
      <c r="C1964" s="37">
        <f t="shared" ca="1" si="91"/>
        <v>2.4784139103862826</v>
      </c>
      <c r="D1964" s="36">
        <f t="shared" ca="1" si="93"/>
        <v>0.12181755958154339</v>
      </c>
      <c r="E1964" s="32">
        <v>0.12075471840173879</v>
      </c>
      <c r="F1964" s="35">
        <f t="shared" ca="1" si="92"/>
        <v>2.8202141730160335E-3</v>
      </c>
    </row>
    <row r="1965" spans="1:6" x14ac:dyDescent="0.25">
      <c r="A1965" s="23">
        <v>1964</v>
      </c>
      <c r="B1965" s="7" cm="1">
        <f t="array" aca="1" ref="B1965" ca="1">interpolexp(A1965,serie_du,Taxas_DI)</f>
        <v>0.12357403708114223</v>
      </c>
      <c r="C1965" s="37">
        <f t="shared" ca="1" si="91"/>
        <v>2.4795447006112306</v>
      </c>
      <c r="D1965" s="36">
        <f t="shared" ca="1" si="93"/>
        <v>0.12181755820100348</v>
      </c>
      <c r="E1965" s="32">
        <v>0.12075467897709746</v>
      </c>
      <c r="F1965" s="35">
        <f t="shared" ca="1" si="92"/>
        <v>2.8193581040447668E-3</v>
      </c>
    </row>
    <row r="1966" spans="1:6" x14ac:dyDescent="0.25">
      <c r="A1966" s="23">
        <v>1965</v>
      </c>
      <c r="B1966" s="7" cm="1">
        <f t="array" aca="1" ref="B1966" ca="1">interpolexp(A1966,serie_du,Taxas_DI)</f>
        <v>0.12357314249900053</v>
      </c>
      <c r="C1966" s="37">
        <f t="shared" ca="1" si="91"/>
        <v>2.4806760067537472</v>
      </c>
      <c r="D1966" s="36">
        <f t="shared" ca="1" si="93"/>
        <v>0.12181755685584594</v>
      </c>
      <c r="E1966" s="32">
        <v>0.1207546395926018</v>
      </c>
      <c r="F1966" s="35">
        <f t="shared" ca="1" si="92"/>
        <v>2.8185029063987344E-3</v>
      </c>
    </row>
    <row r="1967" spans="1:6" x14ac:dyDescent="0.25">
      <c r="A1967" s="23">
        <v>1966</v>
      </c>
      <c r="B1967" s="7" cm="1">
        <f t="array" aca="1" ref="B1967" ca="1">interpolexp(A1967,serie_du,Taxas_DI)</f>
        <v>0.12357224882688644</v>
      </c>
      <c r="C1967" s="37">
        <f t="shared" ca="1" si="91"/>
        <v>2.4818078290483272</v>
      </c>
      <c r="D1967" s="36">
        <f t="shared" ca="1" si="93"/>
        <v>0.12181755540994077</v>
      </c>
      <c r="E1967" s="32">
        <v>0.12075460024816298</v>
      </c>
      <c r="F1967" s="35">
        <f t="shared" ca="1" si="92"/>
        <v>2.817648578723464E-3</v>
      </c>
    </row>
    <row r="1968" spans="1:6" x14ac:dyDescent="0.25">
      <c r="A1968" s="23">
        <v>1967</v>
      </c>
      <c r="B1968" s="7" cm="1">
        <f t="array" aca="1" ref="B1968" ca="1">interpolexp(A1968,serie_du,Taxas_DI)</f>
        <v>0.1235713560634677</v>
      </c>
      <c r="C1968" s="37">
        <f t="shared" ca="1" si="91"/>
        <v>2.4829401677314356</v>
      </c>
      <c r="D1968" s="36">
        <f t="shared" ca="1" si="93"/>
        <v>0.12181755407553241</v>
      </c>
      <c r="E1968" s="32">
        <v>0.1207545609437144</v>
      </c>
      <c r="F1968" s="35">
        <f t="shared" ca="1" si="92"/>
        <v>2.8167951197533014E-3</v>
      </c>
    </row>
    <row r="1969" spans="1:6" x14ac:dyDescent="0.25">
      <c r="A1969" s="23">
        <v>1968</v>
      </c>
      <c r="B1969" s="7" cm="1">
        <f t="array" aca="1" ref="B1969" ca="1">interpolexp(A1969,serie_du,Taxas_DI)</f>
        <v>0.12357046420734541</v>
      </c>
      <c r="C1969" s="37">
        <f t="shared" ca="1" si="91"/>
        <v>2.4840730230384493</v>
      </c>
      <c r="D1969" s="36">
        <f t="shared" ca="1" si="93"/>
        <v>0.12181755271632388</v>
      </c>
      <c r="E1969" s="32">
        <v>0.12075452167923384</v>
      </c>
      <c r="F1969" s="35">
        <f t="shared" ca="1" si="92"/>
        <v>2.8159425281115702E-3</v>
      </c>
    </row>
    <row r="1970" spans="1:6" x14ac:dyDescent="0.25">
      <c r="A1970" s="23">
        <v>1969</v>
      </c>
      <c r="B1970" s="7" cm="1">
        <f t="array" aca="1" ref="B1970" ca="1">interpolexp(A1970,serie_du,Taxas_DI)</f>
        <v>0.1235695732571207</v>
      </c>
      <c r="C1970" s="37">
        <f t="shared" ca="1" si="91"/>
        <v>2.4852063952048029</v>
      </c>
      <c r="D1970" s="36">
        <f t="shared" ca="1" si="93"/>
        <v>0.12181755132682537</v>
      </c>
      <c r="E1970" s="32">
        <v>0.12075448245461029</v>
      </c>
      <c r="F1970" s="35">
        <f t="shared" ca="1" si="92"/>
        <v>2.8150908025104115E-3</v>
      </c>
    </row>
    <row r="1971" spans="1:6" x14ac:dyDescent="0.25">
      <c r="A1971" s="23">
        <v>1970</v>
      </c>
      <c r="B1971" s="7" cm="1">
        <f t="array" aca="1" ref="B1971" ca="1">interpolexp(A1971,serie_du,Taxas_DI)</f>
        <v>0.1235686832114169</v>
      </c>
      <c r="C1971" s="37">
        <f t="shared" ca="1" si="91"/>
        <v>2.4863402844663729</v>
      </c>
      <c r="D1971" s="36">
        <f t="shared" ca="1" si="93"/>
        <v>0.12181754994495675</v>
      </c>
      <c r="E1971" s="32">
        <v>0.12075444326982154</v>
      </c>
      <c r="F1971" s="35">
        <f t="shared" ca="1" si="92"/>
        <v>2.8142399415953534E-3</v>
      </c>
    </row>
    <row r="1972" spans="1:6" x14ac:dyDescent="0.25">
      <c r="A1972" s="23">
        <v>1971</v>
      </c>
      <c r="B1972" s="7" cm="1">
        <f t="array" aca="1" ref="B1972" ca="1">interpolexp(A1972,serie_du,Taxas_DI)</f>
        <v>0.12356779406885732</v>
      </c>
      <c r="C1972" s="37">
        <f t="shared" ca="1" si="91"/>
        <v>2.4874746910590968</v>
      </c>
      <c r="D1972" s="36">
        <f t="shared" ca="1" si="93"/>
        <v>0.12181754856547555</v>
      </c>
      <c r="E1972" s="32">
        <v>0.12075440412480098</v>
      </c>
      <c r="F1972" s="35">
        <f t="shared" ca="1" si="92"/>
        <v>2.8133899440563326E-3</v>
      </c>
    </row>
    <row r="1973" spans="1:6" x14ac:dyDescent="0.25">
      <c r="A1973" s="23">
        <v>1972</v>
      </c>
      <c r="B1973" s="7" cm="1">
        <f t="array" aca="1" ref="B1973" ca="1">interpolexp(A1973,serie_du,Taxas_DI)</f>
        <v>0.12356690582808749</v>
      </c>
      <c r="C1973" s="37">
        <f t="shared" ca="1" si="91"/>
        <v>2.488609615219354</v>
      </c>
      <c r="D1973" s="36">
        <f t="shared" ca="1" si="93"/>
        <v>0.1218175472263705</v>
      </c>
      <c r="E1973" s="32">
        <v>0.120754365019482</v>
      </c>
      <c r="F1973" s="35">
        <f t="shared" ca="1" si="92"/>
        <v>2.8125408086054904E-3</v>
      </c>
    </row>
    <row r="1974" spans="1:6" x14ac:dyDescent="0.25">
      <c r="A1974" s="23">
        <v>1973</v>
      </c>
      <c r="B1974" s="7" cm="1">
        <f t="array" aca="1" ref="B1974" ca="1">interpolexp(A1974,serie_du,Taxas_DI)</f>
        <v>0.12356601848770854</v>
      </c>
      <c r="C1974" s="37">
        <f t="shared" ca="1" si="91"/>
        <v>2.4897450571828155</v>
      </c>
      <c r="D1974" s="36">
        <f t="shared" ca="1" si="93"/>
        <v>0.12181754583485827</v>
      </c>
      <c r="E1974" s="32">
        <v>0.12075432595377578</v>
      </c>
      <c r="F1974" s="35">
        <f t="shared" ca="1" si="92"/>
        <v>2.8116925339327636E-3</v>
      </c>
    </row>
    <row r="1975" spans="1:6" x14ac:dyDescent="0.25">
      <c r="A1975" s="23">
        <v>1974</v>
      </c>
      <c r="B1975" s="7" cm="1">
        <f t="array" aca="1" ref="B1975" ca="1">interpolexp(A1975,serie_du,Taxas_DI)</f>
        <v>0.12356513204636599</v>
      </c>
      <c r="C1975" s="37">
        <f t="shared" ca="1" si="91"/>
        <v>2.4908810171859805</v>
      </c>
      <c r="D1975" s="36">
        <f t="shared" ca="1" si="93"/>
        <v>0.12181754447290238</v>
      </c>
      <c r="E1975" s="32">
        <v>0.12075428692768231</v>
      </c>
      <c r="F1975" s="35">
        <f t="shared" ca="1" si="92"/>
        <v>2.8108451186836803E-3</v>
      </c>
    </row>
    <row r="1976" spans="1:6" x14ac:dyDescent="0.25">
      <c r="A1976" s="23">
        <v>1975</v>
      </c>
      <c r="B1976" s="7" cm="1">
        <f t="array" aca="1" ref="B1976" ca="1">interpolexp(A1976,serie_du,Taxas_DI)</f>
        <v>0.12356424650270537</v>
      </c>
      <c r="C1976" s="37">
        <f t="shared" ca="1" si="91"/>
        <v>2.4920174954654084</v>
      </c>
      <c r="D1976" s="36">
        <f t="shared" ca="1" si="93"/>
        <v>0.12181754313488868</v>
      </c>
      <c r="E1976" s="32">
        <v>0.12075424794109058</v>
      </c>
      <c r="F1976" s="35">
        <f t="shared" ca="1" si="92"/>
        <v>2.8099985616147904E-3</v>
      </c>
    </row>
    <row r="1977" spans="1:6" x14ac:dyDescent="0.25">
      <c r="A1977" s="23">
        <v>1976</v>
      </c>
      <c r="B1977" s="7" cm="1">
        <f t="array" aca="1" ref="B1977" ca="1">interpolexp(A1977,serie_du,Taxas_DI)</f>
        <v>0.12356336185532779</v>
      </c>
      <c r="C1977" s="37">
        <f t="shared" ca="1" si="91"/>
        <v>2.4931544922569477</v>
      </c>
      <c r="D1977" s="36">
        <f t="shared" ca="1" si="93"/>
        <v>0.12181754172808223</v>
      </c>
      <c r="E1977" s="32">
        <v>0.12075420899397837</v>
      </c>
      <c r="F1977" s="35">
        <f t="shared" ca="1" si="92"/>
        <v>2.8091528613494177E-3</v>
      </c>
    </row>
    <row r="1978" spans="1:6" x14ac:dyDescent="0.25">
      <c r="A1978" s="23">
        <v>1977</v>
      </c>
      <c r="B1978" s="7" cm="1">
        <f t="array" aca="1" ref="B1978" ca="1">interpolexp(A1978,serie_du,Taxas_DI)</f>
        <v>0.1235624781029232</v>
      </c>
      <c r="C1978" s="37">
        <f t="shared" ca="1" si="91"/>
        <v>2.494292007798049</v>
      </c>
      <c r="D1978" s="36">
        <f t="shared" ca="1" si="93"/>
        <v>0.12181754042189596</v>
      </c>
      <c r="E1978" s="32">
        <v>0.12075417008623468</v>
      </c>
      <c r="F1978" s="35">
        <f t="shared" ca="1" si="92"/>
        <v>2.808308016688521E-3</v>
      </c>
    </row>
    <row r="1979" spans="1:6" x14ac:dyDescent="0.25">
      <c r="A1979" s="23">
        <v>1978</v>
      </c>
      <c r="B1979" s="7" cm="1">
        <f t="array" aca="1" ref="B1979" ca="1">interpolexp(A1979,serie_du,Taxas_DI)</f>
        <v>0.12356159524409271</v>
      </c>
      <c r="C1979" s="37">
        <f t="shared" ca="1" si="91"/>
        <v>2.49543004232468</v>
      </c>
      <c r="D1979" s="36">
        <f t="shared" ca="1" si="93"/>
        <v>0.12181753903592152</v>
      </c>
      <c r="E1979" s="32">
        <v>0.12075413121785949</v>
      </c>
      <c r="F1979" s="35">
        <f t="shared" ca="1" si="92"/>
        <v>2.8074640262332196E-3</v>
      </c>
    </row>
    <row r="1980" spans="1:6" x14ac:dyDescent="0.25">
      <c r="A1980" s="23">
        <v>1979</v>
      </c>
      <c r="B1980" s="7" cm="1">
        <f t="array" aca="1" ref="B1980" ca="1">interpolexp(A1980,serie_du,Taxas_DI)</f>
        <v>0.12356071327750406</v>
      </c>
      <c r="C1980" s="37">
        <f t="shared" ca="1" si="91"/>
        <v>2.4965685960740278</v>
      </c>
      <c r="D1980" s="36">
        <f t="shared" ca="1" si="93"/>
        <v>0.12181753769622117</v>
      </c>
      <c r="E1980" s="32">
        <v>0.120754092388764</v>
      </c>
      <c r="F1980" s="35">
        <f t="shared" ca="1" si="92"/>
        <v>2.8066208887400634E-3</v>
      </c>
    </row>
    <row r="1981" spans="1:6" x14ac:dyDescent="0.25">
      <c r="A1981" s="23">
        <v>1980</v>
      </c>
      <c r="B1981" s="7" cm="1">
        <f t="array" aca="1" ref="B1981" ca="1">interpolexp(A1981,serie_du,Taxas_DI)</f>
        <v>0.12355983220180278</v>
      </c>
      <c r="C1981" s="37">
        <f t="shared" ca="1" si="91"/>
        <v>2.4977076692829527</v>
      </c>
      <c r="D1981" s="36">
        <f t="shared" ca="1" si="93"/>
        <v>0.12181753635340109</v>
      </c>
      <c r="E1981" s="32">
        <v>0.12075405359888158</v>
      </c>
      <c r="F1981" s="35">
        <f t="shared" ca="1" si="92"/>
        <v>2.805778602921194E-3</v>
      </c>
    </row>
    <row r="1982" spans="1:6" x14ac:dyDescent="0.25">
      <c r="A1982" s="23">
        <v>1981</v>
      </c>
      <c r="B1982" s="7" cm="1">
        <f t="array" aca="1" ref="B1982" ca="1">interpolexp(A1982,serie_du,Taxas_DI)</f>
        <v>0.12355895201563438</v>
      </c>
      <c r="C1982" s="37">
        <f t="shared" ca="1" si="91"/>
        <v>2.4988472621883746</v>
      </c>
      <c r="D1982" s="36">
        <f t="shared" ca="1" si="93"/>
        <v>0.12181753500203674</v>
      </c>
      <c r="E1982" s="32">
        <v>0.12075401484814563</v>
      </c>
      <c r="F1982" s="35">
        <f t="shared" ca="1" si="92"/>
        <v>2.8049371674887524E-3</v>
      </c>
    </row>
    <row r="1983" spans="1:6" x14ac:dyDescent="0.25">
      <c r="A1983" s="23">
        <v>1982</v>
      </c>
      <c r="B1983" s="7" cm="1">
        <f t="array" aca="1" ref="B1983" ca="1">interpolexp(A1983,serie_du,Taxas_DI)</f>
        <v>0.12355807271764441</v>
      </c>
      <c r="C1983" s="37">
        <f t="shared" ca="1" si="91"/>
        <v>2.499987375027275</v>
      </c>
      <c r="D1983" s="36">
        <f t="shared" ca="1" si="93"/>
        <v>0.12181753363692671</v>
      </c>
      <c r="E1983" s="32">
        <v>0.12075397613653394</v>
      </c>
      <c r="F1983" s="35">
        <f t="shared" ca="1" si="92"/>
        <v>2.8040965811104712E-3</v>
      </c>
    </row>
    <row r="1984" spans="1:6" x14ac:dyDescent="0.25">
      <c r="A1984" s="23">
        <v>1983</v>
      </c>
      <c r="B1984" s="7" cm="1">
        <f t="array" aca="1" ref="B1984" ca="1">interpolexp(A1984,serie_du,Taxas_DI)</f>
        <v>0.12355719430650058</v>
      </c>
      <c r="C1984" s="37">
        <f t="shared" ca="1" si="91"/>
        <v>2.501128008037083</v>
      </c>
      <c r="D1984" s="36">
        <f t="shared" ca="1" si="93"/>
        <v>0.12181753229637993</v>
      </c>
      <c r="E1984" s="32">
        <v>0.12075393746395768</v>
      </c>
      <c r="F1984" s="35">
        <f t="shared" ca="1" si="92"/>
        <v>2.8032568425429005E-3</v>
      </c>
    </row>
    <row r="1985" spans="1:6" x14ac:dyDescent="0.25">
      <c r="A1985" s="23">
        <v>1984</v>
      </c>
      <c r="B1985" s="7" cm="1">
        <f t="array" aca="1" ref="B1985" ca="1">interpolexp(A1985,serie_du,Taxas_DI)</f>
        <v>0.12355631678087065</v>
      </c>
      <c r="C1985" s="37">
        <f t="shared" ca="1" si="91"/>
        <v>2.5022691614552905</v>
      </c>
      <c r="D1985" s="36">
        <f t="shared" ca="1" si="93"/>
        <v>0.12181753097526538</v>
      </c>
      <c r="E1985" s="32">
        <v>0.12075389883037246</v>
      </c>
      <c r="F1985" s="35">
        <f t="shared" ca="1" si="92"/>
        <v>2.8024179504981817E-3</v>
      </c>
    </row>
    <row r="1986" spans="1:6" x14ac:dyDescent="0.25">
      <c r="A1986" s="23">
        <v>1985</v>
      </c>
      <c r="B1986" s="7" cm="1">
        <f t="array" aca="1" ref="B1986" ca="1">interpolexp(A1986,serie_du,Taxas_DI)</f>
        <v>0.12355544013937791</v>
      </c>
      <c r="C1986" s="37">
        <f t="shared" ref="C1986:C2049" ca="1" si="94">(1+B1986)^(A1986/252)</f>
        <v>2.5034108355186713</v>
      </c>
      <c r="D1986" s="36">
        <f t="shared" ca="1" si="93"/>
        <v>0.12181752958015912</v>
      </c>
      <c r="E1986" s="32">
        <v>0.12075386023571166</v>
      </c>
      <c r="F1986" s="35">
        <f t="shared" ref="F1986:F2049" ca="1" si="95">B1986-E1986</f>
        <v>2.8015799036662514E-3</v>
      </c>
    </row>
    <row r="1987" spans="1:6" x14ac:dyDescent="0.25">
      <c r="A1987" s="23">
        <v>1986</v>
      </c>
      <c r="B1987" s="7" cm="1">
        <f t="array" aca="1" ref="B1987" ca="1">interpolexp(A1987,serie_du,Taxas_DI)</f>
        <v>0.12355456438073453</v>
      </c>
      <c r="C1987" s="37">
        <f t="shared" ca="1" si="94"/>
        <v>2.5045530304656163</v>
      </c>
      <c r="D1987" s="36">
        <f t="shared" ca="1" si="93"/>
        <v>0.12181752828161985</v>
      </c>
      <c r="E1987" s="32">
        <v>0.12075382167990867</v>
      </c>
      <c r="F1987" s="35">
        <f t="shared" ca="1" si="95"/>
        <v>2.8007427008258645E-3</v>
      </c>
    </row>
    <row r="1988" spans="1:6" x14ac:dyDescent="0.25">
      <c r="A1988" s="23">
        <v>1987</v>
      </c>
      <c r="B1988" s="7" cm="1">
        <f t="array" aca="1" ref="B1988" ca="1">interpolexp(A1988,serie_du,Taxas_DI)</f>
        <v>0.12355368950358603</v>
      </c>
      <c r="C1988" s="37">
        <f t="shared" ca="1" si="94"/>
        <v>2.5056957465334109</v>
      </c>
      <c r="D1988" s="36">
        <f t="shared" ref="D1988:D2051" ca="1" si="96">((((1+B1988)^(A1988/252))/((1+B1987)^(A1987/252)))^(252/1))-1</f>
        <v>0.12181752694238801</v>
      </c>
      <c r="E1988" s="32">
        <v>0.12075378316291907</v>
      </c>
      <c r="F1988" s="35">
        <f t="shared" ca="1" si="95"/>
        <v>2.7999063406669578E-3</v>
      </c>
    </row>
    <row r="1989" spans="1:6" x14ac:dyDescent="0.25">
      <c r="A1989" s="23">
        <v>1988</v>
      </c>
      <c r="B1989" s="7" cm="1">
        <f t="array" aca="1" ref="B1989" ca="1">interpolexp(A1989,serie_du,Taxas_DI)</f>
        <v>0.12355281550662234</v>
      </c>
      <c r="C1989" s="37">
        <f t="shared" ca="1" si="94"/>
        <v>2.506838983960181</v>
      </c>
      <c r="D1989" s="36">
        <f t="shared" ca="1" si="96"/>
        <v>0.12181752564524673</v>
      </c>
      <c r="E1989" s="32">
        <v>0.12075374468467626</v>
      </c>
      <c r="F1989" s="35">
        <f t="shared" ca="1" si="95"/>
        <v>2.7990708219460814E-3</v>
      </c>
    </row>
    <row r="1990" spans="1:6" x14ac:dyDescent="0.25">
      <c r="A1990" s="23">
        <v>1989</v>
      </c>
      <c r="B1990" s="7" cm="1">
        <f t="array" aca="1" ref="B1990" ca="1">interpolexp(A1990,serie_du,Taxas_DI)</f>
        <v>0.12355194238846678</v>
      </c>
      <c r="C1990" s="37">
        <f t="shared" ca="1" si="94"/>
        <v>2.5079827429829429</v>
      </c>
      <c r="D1990" s="36">
        <f t="shared" ca="1" si="96"/>
        <v>0.12181752425267267</v>
      </c>
      <c r="E1990" s="32">
        <v>0.12075370624513582</v>
      </c>
      <c r="F1990" s="35">
        <f t="shared" ca="1" si="95"/>
        <v>2.7982361433309677E-3</v>
      </c>
    </row>
    <row r="1991" spans="1:6" x14ac:dyDescent="0.25">
      <c r="A1991" s="23">
        <v>1990</v>
      </c>
      <c r="B1991" s="7" cm="1">
        <f t="array" aca="1" ref="B1991" ca="1">interpolexp(A1991,serie_du,Taxas_DI)</f>
        <v>0.12355107014783151</v>
      </c>
      <c r="C1991" s="37">
        <f t="shared" ca="1" si="94"/>
        <v>2.5091270238403358</v>
      </c>
      <c r="D1991" s="36">
        <f t="shared" ca="1" si="96"/>
        <v>0.12181752293557757</v>
      </c>
      <c r="E1991" s="32">
        <v>0.12075366784420893</v>
      </c>
      <c r="F1991" s="35">
        <f t="shared" ca="1" si="95"/>
        <v>2.7974023036225759E-3</v>
      </c>
    </row>
    <row r="1992" spans="1:6" x14ac:dyDescent="0.25">
      <c r="A1992" s="23">
        <v>1991</v>
      </c>
      <c r="B1992" s="7" cm="1">
        <f t="array" aca="1" ref="B1992" ca="1">interpolexp(A1992,serie_du,Taxas_DI)</f>
        <v>0.12355019878338425</v>
      </c>
      <c r="C1992" s="37">
        <f t="shared" ca="1" si="94"/>
        <v>2.5102718267702797</v>
      </c>
      <c r="D1992" s="36">
        <f t="shared" ca="1" si="96"/>
        <v>0.12181752160046289</v>
      </c>
      <c r="E1992" s="32">
        <v>0.1207536294818734</v>
      </c>
      <c r="F1992" s="35">
        <f t="shared" ca="1" si="95"/>
        <v>2.7965693015108428E-3</v>
      </c>
    </row>
    <row r="1993" spans="1:6" x14ac:dyDescent="0.25">
      <c r="A1993" s="23">
        <v>1992</v>
      </c>
      <c r="B1993" s="7" cm="1">
        <f t="array" aca="1" ref="B1993" ca="1">interpolexp(A1993,serie_du,Taxas_DI)</f>
        <v>0.12354932829381493</v>
      </c>
      <c r="C1993" s="37">
        <f t="shared" ca="1" si="94"/>
        <v>2.5114171520111483</v>
      </c>
      <c r="D1993" s="36">
        <f t="shared" ca="1" si="96"/>
        <v>0.1218175202863665</v>
      </c>
      <c r="E1993" s="32">
        <v>0.12075359115804041</v>
      </c>
      <c r="F1993" s="35">
        <f t="shared" ca="1" si="95"/>
        <v>2.7957371357745231E-3</v>
      </c>
    </row>
    <row r="1994" spans="1:6" x14ac:dyDescent="0.25">
      <c r="A1994" s="23">
        <v>1993</v>
      </c>
      <c r="B1994" s="7" cm="1">
        <f t="array" aca="1" ref="B1994" ca="1">interpolexp(A1994,serie_du,Taxas_DI)</f>
        <v>0.1235484586778135</v>
      </c>
      <c r="C1994" s="37">
        <f t="shared" ca="1" si="94"/>
        <v>2.5125629998013781</v>
      </c>
      <c r="D1994" s="36">
        <f t="shared" ca="1" si="96"/>
        <v>0.12181751898795312</v>
      </c>
      <c r="E1994" s="32">
        <v>0.12075355287266554</v>
      </c>
      <c r="F1994" s="35">
        <f t="shared" ca="1" si="95"/>
        <v>2.7949058051479625E-3</v>
      </c>
    </row>
    <row r="1995" spans="1:6" x14ac:dyDescent="0.25">
      <c r="A1995" s="23">
        <v>1994</v>
      </c>
      <c r="B1995" s="7" cm="1">
        <f t="array" aca="1" ref="B1995" ca="1">interpolexp(A1995,serie_du,Taxas_DI)</f>
        <v>0.12354758993402548</v>
      </c>
      <c r="C1995" s="37">
        <f t="shared" ca="1" si="94"/>
        <v>2.5137093703786801</v>
      </c>
      <c r="D1995" s="36">
        <f t="shared" ca="1" si="96"/>
        <v>0.12181751761149928</v>
      </c>
      <c r="E1995" s="32">
        <v>0.12075351462570438</v>
      </c>
      <c r="F1995" s="35">
        <f t="shared" ca="1" si="95"/>
        <v>2.7940753083210979E-3</v>
      </c>
    </row>
    <row r="1996" spans="1:6" x14ac:dyDescent="0.25">
      <c r="A1996" s="23">
        <v>1995</v>
      </c>
      <c r="B1996" s="7" cm="1">
        <f t="array" aca="1" ref="B1996" ca="1">interpolexp(A1996,serie_du,Taxas_DI)</f>
        <v>0.12354672206118522</v>
      </c>
      <c r="C1996" s="37">
        <f t="shared" ca="1" si="94"/>
        <v>2.5148562639824004</v>
      </c>
      <c r="D1996" s="36">
        <f t="shared" ca="1" si="96"/>
        <v>0.1218175163286257</v>
      </c>
      <c r="E1996" s="32">
        <v>0.12075347641709033</v>
      </c>
      <c r="F1996" s="35">
        <f t="shared" ca="1" si="95"/>
        <v>2.7932456440948883E-3</v>
      </c>
    </row>
    <row r="1997" spans="1:6" x14ac:dyDescent="0.25">
      <c r="A1997" s="23">
        <v>1996</v>
      </c>
      <c r="B1997" s="7" cm="1">
        <f t="array" aca="1" ref="B1997" ca="1">interpolexp(A1997,serie_du,Taxas_DI)</f>
        <v>0.12354585505796045</v>
      </c>
      <c r="C1997" s="37">
        <f t="shared" ca="1" si="94"/>
        <v>2.5160036808507673</v>
      </c>
      <c r="D1997" s="36">
        <f t="shared" ca="1" si="96"/>
        <v>0.12181751500139493</v>
      </c>
      <c r="E1997" s="32">
        <v>0.12075343824673457</v>
      </c>
      <c r="F1997" s="35">
        <f t="shared" ca="1" si="95"/>
        <v>2.792416811225884E-3</v>
      </c>
    </row>
    <row r="1998" spans="1:6" x14ac:dyDescent="0.25">
      <c r="A1998" s="23">
        <v>1997</v>
      </c>
      <c r="B1998" s="7" cm="1">
        <f t="array" aca="1" ref="B1998" ca="1">interpolexp(A1998,serie_du,Taxas_DI)</f>
        <v>0.12354498892304111</v>
      </c>
      <c r="C1998" s="37">
        <f t="shared" ca="1" si="94"/>
        <v>2.5171516212224656</v>
      </c>
      <c r="D1998" s="36">
        <f t="shared" ca="1" si="96"/>
        <v>0.12181751366888083</v>
      </c>
      <c r="E1998" s="32">
        <v>0.12075340011463709</v>
      </c>
      <c r="F1998" s="35">
        <f t="shared" ca="1" si="95"/>
        <v>2.7915888084040219E-3</v>
      </c>
    </row>
    <row r="1999" spans="1:6" x14ac:dyDescent="0.25">
      <c r="A1999" s="23">
        <v>1998</v>
      </c>
      <c r="B1999" s="7" cm="1">
        <f t="array" aca="1" ref="B1999" ca="1">interpolexp(A1999,serie_du,Taxas_DI)</f>
        <v>0.12354412365513934</v>
      </c>
      <c r="C1999" s="37">
        <f t="shared" ca="1" si="94"/>
        <v>2.518300085336636</v>
      </c>
      <c r="D1999" s="36">
        <f t="shared" ca="1" si="96"/>
        <v>0.12181751237009086</v>
      </c>
      <c r="E1999" s="32">
        <v>0.12075336202068687</v>
      </c>
      <c r="F1999" s="35">
        <f t="shared" ca="1" si="95"/>
        <v>2.7907616344524655E-3</v>
      </c>
    </row>
    <row r="2000" spans="1:6" x14ac:dyDescent="0.25">
      <c r="A2000" s="23">
        <v>1999</v>
      </c>
      <c r="B2000" s="7" cm="1">
        <f t="array" aca="1" ref="B2000" ca="1">interpolexp(A2000,serie_du,Taxas_DI)</f>
        <v>0.12354325925294507</v>
      </c>
      <c r="C2000" s="37">
        <f t="shared" ca="1" si="94"/>
        <v>2.5194490734320878</v>
      </c>
      <c r="D2000" s="36">
        <f t="shared" ca="1" si="96"/>
        <v>0.12181751105557992</v>
      </c>
      <c r="E2000" s="32">
        <v>0.12075332396486171</v>
      </c>
      <c r="F2000" s="35">
        <f t="shared" ca="1" si="95"/>
        <v>2.7899352880833561E-3</v>
      </c>
    </row>
    <row r="2001" spans="1:6" x14ac:dyDescent="0.25">
      <c r="A2001" s="23">
        <v>2000</v>
      </c>
      <c r="B2001" s="7" cm="1">
        <f t="array" aca="1" ref="B2001" ca="1">interpolexp(A2001,serie_du,Taxas_DI)</f>
        <v>0.12354239571514825</v>
      </c>
      <c r="C2001" s="37">
        <f t="shared" ca="1" si="94"/>
        <v>2.5205985857476927</v>
      </c>
      <c r="D2001" s="36">
        <f t="shared" ca="1" si="96"/>
        <v>0.12181750972006888</v>
      </c>
      <c r="E2001" s="32">
        <v>0.120753285947095</v>
      </c>
      <c r="F2001" s="35">
        <f t="shared" ca="1" si="95"/>
        <v>2.789109768053244E-3</v>
      </c>
    </row>
    <row r="2002" spans="1:6" x14ac:dyDescent="0.25">
      <c r="A2002" s="23">
        <v>2001</v>
      </c>
      <c r="B2002" s="7" cm="1">
        <f t="array" aca="1" ref="B2002" ca="1">interpolexp(A2002,serie_du,Taxas_DI)</f>
        <v>0.12354153304048321</v>
      </c>
      <c r="C2002" s="37">
        <f t="shared" ca="1" si="94"/>
        <v>2.5217486225231753</v>
      </c>
      <c r="D2002" s="36">
        <f t="shared" ca="1" si="96"/>
        <v>0.12181750844703187</v>
      </c>
      <c r="E2002" s="32">
        <v>0.12075324796732012</v>
      </c>
      <c r="F2002" s="35">
        <f t="shared" ca="1" si="95"/>
        <v>2.7882850731630882E-3</v>
      </c>
    </row>
    <row r="2003" spans="1:6" x14ac:dyDescent="0.25">
      <c r="A2003" s="23">
        <v>2002</v>
      </c>
      <c r="B2003" s="7" cm="1">
        <f t="array" aca="1" ref="B2003" ca="1">interpolexp(A2003,serie_du,Taxas_DI)</f>
        <v>0.1235406712276399</v>
      </c>
      <c r="C2003" s="37">
        <f t="shared" ca="1" si="94"/>
        <v>2.5228991839975343</v>
      </c>
      <c r="D2003" s="36">
        <f t="shared" ca="1" si="96"/>
        <v>0.12181750714272876</v>
      </c>
      <c r="E2003" s="32">
        <v>0.12075321002549266</v>
      </c>
      <c r="F2003" s="35">
        <f t="shared" ca="1" si="95"/>
        <v>2.7874612021472345E-3</v>
      </c>
    </row>
    <row r="2004" spans="1:6" x14ac:dyDescent="0.25">
      <c r="A2004" s="23">
        <v>2003</v>
      </c>
      <c r="B2004" s="7" cm="1">
        <f t="array" aca="1" ref="B2004" ca="1">interpolexp(A2004,serie_du,Taxas_DI)</f>
        <v>0.12353981027530825</v>
      </c>
      <c r="C2004" s="37">
        <f t="shared" ca="1" si="94"/>
        <v>2.5240502704098291</v>
      </c>
      <c r="D2004" s="36">
        <f t="shared" ca="1" si="96"/>
        <v>0.12181750580183937</v>
      </c>
      <c r="E2004" s="32">
        <v>0.12075317212154602</v>
      </c>
      <c r="F2004" s="35">
        <f t="shared" ca="1" si="95"/>
        <v>2.7866381537622331E-3</v>
      </c>
    </row>
    <row r="2005" spans="1:6" x14ac:dyDescent="0.25">
      <c r="A2005" s="23">
        <v>2004</v>
      </c>
      <c r="B2005" s="7" cm="1">
        <f t="array" aca="1" ref="B2005" ca="1">interpolexp(A2005,serie_du,Taxas_DI)</f>
        <v>0.12353895018222261</v>
      </c>
      <c r="C2005" s="37">
        <f t="shared" ca="1" si="94"/>
        <v>2.5252018819999744</v>
      </c>
      <c r="D2005" s="36">
        <f t="shared" ca="1" si="96"/>
        <v>0.12181750450803097</v>
      </c>
      <c r="E2005" s="32">
        <v>0.12075313425543577</v>
      </c>
      <c r="F2005" s="35">
        <f t="shared" ca="1" si="95"/>
        <v>2.7858159267868388E-3</v>
      </c>
    </row>
    <row r="2006" spans="1:6" x14ac:dyDescent="0.25">
      <c r="A2006" s="23">
        <v>2005</v>
      </c>
      <c r="B2006" s="7" cm="1">
        <f t="array" aca="1" ref="B2006" ca="1">interpolexp(A2006,serie_du,Taxas_DI)</f>
        <v>0.12353809094709511</v>
      </c>
      <c r="C2006" s="37">
        <f t="shared" ca="1" si="94"/>
        <v>2.5263540190075537</v>
      </c>
      <c r="D2006" s="36">
        <f t="shared" ca="1" si="96"/>
        <v>0.1218175032118296</v>
      </c>
      <c r="E2006" s="32">
        <v>0.1207530964270731</v>
      </c>
      <c r="F2006" s="35">
        <f t="shared" ca="1" si="95"/>
        <v>2.7849945200220105E-3</v>
      </c>
    </row>
    <row r="2007" spans="1:6" x14ac:dyDescent="0.25">
      <c r="A2007" s="23">
        <v>2006</v>
      </c>
      <c r="B2007" s="7" cm="1">
        <f t="array" aca="1" ref="B2007" ca="1">interpolexp(A2007,serie_du,Taxas_DI)</f>
        <v>0.12353723256863791</v>
      </c>
      <c r="C2007" s="37">
        <f t="shared" ca="1" si="94"/>
        <v>2.5275066816722123</v>
      </c>
      <c r="D2007" s="36">
        <f t="shared" ca="1" si="96"/>
        <v>0.12181750190790197</v>
      </c>
      <c r="E2007" s="32">
        <v>0.12075305863645802</v>
      </c>
      <c r="F2007" s="35">
        <f t="shared" ca="1" si="95"/>
        <v>2.7841739321798897E-3</v>
      </c>
    </row>
    <row r="2008" spans="1:6" x14ac:dyDescent="0.25">
      <c r="A2008" s="23">
        <v>2007</v>
      </c>
      <c r="B2008" s="7" cm="1">
        <f t="array" aca="1" ref="B2008" ca="1">interpolexp(A2008,serie_du,Taxas_DI)</f>
        <v>0.12353637504558534</v>
      </c>
      <c r="C2008" s="37">
        <f t="shared" ca="1" si="94"/>
        <v>2.5286598702340588</v>
      </c>
      <c r="D2008" s="36">
        <f t="shared" ca="1" si="96"/>
        <v>0.12181750063589791</v>
      </c>
      <c r="E2008" s="32">
        <v>0.1207530208834795</v>
      </c>
      <c r="F2008" s="35">
        <f t="shared" ca="1" si="95"/>
        <v>2.7833541621058444E-3</v>
      </c>
    </row>
    <row r="2009" spans="1:6" x14ac:dyDescent="0.25">
      <c r="A2009" s="23">
        <v>2008</v>
      </c>
      <c r="B2009" s="7" cm="1">
        <f t="array" aca="1" ref="B2009" ca="1">interpolexp(A2009,serie_du,Taxas_DI)</f>
        <v>0.12353551837664956</v>
      </c>
      <c r="C2009" s="37">
        <f t="shared" ca="1" si="94"/>
        <v>2.529813584932866</v>
      </c>
      <c r="D2009" s="36">
        <f t="shared" ca="1" si="96"/>
        <v>0.12181749934598773</v>
      </c>
      <c r="E2009" s="32">
        <v>0.12075298316811534</v>
      </c>
      <c r="F2009" s="35">
        <f t="shared" ca="1" si="95"/>
        <v>2.7825352085342203E-3</v>
      </c>
    </row>
    <row r="2010" spans="1:6" x14ac:dyDescent="0.25">
      <c r="A2010" s="23">
        <v>2009</v>
      </c>
      <c r="B2010" s="7" cm="1">
        <f t="array" aca="1" ref="B2010" ca="1">interpolexp(A2010,serie_du,Taxas_DI)</f>
        <v>0.12353466256052048</v>
      </c>
      <c r="C2010" s="37">
        <f t="shared" ca="1" si="94"/>
        <v>2.5309678260080717</v>
      </c>
      <c r="D2010" s="36">
        <f t="shared" ca="1" si="96"/>
        <v>0.12181749798854291</v>
      </c>
      <c r="E2010" s="32">
        <v>0.12075294549027671</v>
      </c>
      <c r="F2010" s="35">
        <f t="shared" ca="1" si="95"/>
        <v>2.7817170702437721E-3</v>
      </c>
    </row>
    <row r="2011" spans="1:6" x14ac:dyDescent="0.25">
      <c r="A2011" s="23">
        <v>2010</v>
      </c>
      <c r="B2011" s="7" cm="1">
        <f t="array" aca="1" ref="B2011" ca="1">interpolexp(A2011,serie_du,Taxas_DI)</f>
        <v>0.12353380759599908</v>
      </c>
      <c r="C2011" s="37">
        <f t="shared" ca="1" si="94"/>
        <v>2.532122593701172</v>
      </c>
      <c r="D2011" s="36">
        <f t="shared" ca="1" si="96"/>
        <v>0.12181749678129283</v>
      </c>
      <c r="E2011" s="32">
        <v>0.12075290784996362</v>
      </c>
      <c r="F2011" s="35">
        <f t="shared" ca="1" si="95"/>
        <v>2.780899746035459E-3</v>
      </c>
    </row>
    <row r="2012" spans="1:6" x14ac:dyDescent="0.25">
      <c r="A2012" s="23">
        <v>2011</v>
      </c>
      <c r="B2012" s="7" cm="1">
        <f t="array" aca="1" ref="B2012" ca="1">interpolexp(A2012,serie_du,Taxas_DI)</f>
        <v>0.12353295348173088</v>
      </c>
      <c r="C2012" s="37">
        <f t="shared" ca="1" si="94"/>
        <v>2.5332778882509333</v>
      </c>
      <c r="D2012" s="36">
        <f t="shared" ca="1" si="96"/>
        <v>0.12181749540709741</v>
      </c>
      <c r="E2012" s="32">
        <v>0.12075287024706505</v>
      </c>
      <c r="F2012" s="35">
        <f t="shared" ca="1" si="95"/>
        <v>2.7800832346658311E-3</v>
      </c>
    </row>
    <row r="2013" spans="1:6" x14ac:dyDescent="0.25">
      <c r="A2013" s="23">
        <v>2012</v>
      </c>
      <c r="B2013" s="7" cm="1">
        <f t="array" aca="1" ref="B2013" ca="1">interpolexp(A2013,serie_du,Taxas_DI)</f>
        <v>0.12353210021651684</v>
      </c>
      <c r="C2013" s="37">
        <f t="shared" ca="1" si="94"/>
        <v>2.5344337098989813</v>
      </c>
      <c r="D2013" s="36">
        <f t="shared" ca="1" si="96"/>
        <v>0.12181749417293841</v>
      </c>
      <c r="E2013" s="32">
        <v>0.12075283268153658</v>
      </c>
      <c r="F2013" s="35">
        <f t="shared" ca="1" si="95"/>
        <v>2.7792675349802565E-3</v>
      </c>
    </row>
    <row r="2014" spans="1:6" x14ac:dyDescent="0.25">
      <c r="A2014" s="23">
        <v>2013</v>
      </c>
      <c r="B2014" s="7" cm="1">
        <f t="array" aca="1" ref="B2014" ca="1">interpolexp(A2014,serie_du,Taxas_DI)</f>
        <v>0.1235312477990691</v>
      </c>
      <c r="C2014" s="37">
        <f t="shared" ca="1" si="94"/>
        <v>2.535590058885409</v>
      </c>
      <c r="D2014" s="36">
        <f t="shared" ca="1" si="96"/>
        <v>0.12181749289549804</v>
      </c>
      <c r="E2014" s="32">
        <v>0.12075279515333381</v>
      </c>
      <c r="F2014" s="35">
        <f t="shared" ca="1" si="95"/>
        <v>2.7784526457352854E-3</v>
      </c>
    </row>
    <row r="2015" spans="1:6" x14ac:dyDescent="0.25">
      <c r="A2015" s="23">
        <v>2014</v>
      </c>
      <c r="B2015" s="7" cm="1">
        <f t="array" aca="1" ref="B2015" ca="1">interpolexp(A2015,serie_du,Taxas_DI)</f>
        <v>0.1235303962280998</v>
      </c>
      <c r="C2015" s="37">
        <f t="shared" ca="1" si="94"/>
        <v>2.5367469354503727</v>
      </c>
      <c r="D2015" s="36">
        <f t="shared" ca="1" si="96"/>
        <v>0.12181749156965971</v>
      </c>
      <c r="E2015" s="32">
        <v>0.12075275766241234</v>
      </c>
      <c r="F2015" s="35">
        <f t="shared" ca="1" si="95"/>
        <v>2.777638565687468E-3</v>
      </c>
    </row>
    <row r="2016" spans="1:6" x14ac:dyDescent="0.25">
      <c r="A2016" s="23">
        <v>2015</v>
      </c>
      <c r="B2016" s="7" cm="1">
        <f t="array" aca="1" ref="B2016" ca="1">interpolexp(A2016,serie_du,Taxas_DI)</f>
        <v>0.12352954550238771</v>
      </c>
      <c r="C2016" s="37">
        <f t="shared" ca="1" si="94"/>
        <v>2.5379043398352943</v>
      </c>
      <c r="D2016" s="36">
        <f t="shared" ca="1" si="96"/>
        <v>0.12181749032435296</v>
      </c>
      <c r="E2016" s="32">
        <v>0.12075272020868333</v>
      </c>
      <c r="F2016" s="35">
        <f t="shared" ca="1" si="95"/>
        <v>2.7768252937043769E-3</v>
      </c>
    </row>
    <row r="2017" spans="1:6" x14ac:dyDescent="0.25">
      <c r="A2017" s="23">
        <v>2016</v>
      </c>
      <c r="B2017" s="7" cm="1">
        <f t="array" aca="1" ref="B2017" ca="1">interpolexp(A2017,serie_du,Taxas_DI)</f>
        <v>0.12352869562064495</v>
      </c>
      <c r="C2017" s="37">
        <f t="shared" ca="1" si="94"/>
        <v>2.5390622722804572</v>
      </c>
      <c r="D2017" s="36">
        <f t="shared" ca="1" si="96"/>
        <v>0.12181748902030121</v>
      </c>
      <c r="E2017" s="32">
        <v>0.12075268279212459</v>
      </c>
      <c r="F2017" s="35">
        <f t="shared" ca="1" si="95"/>
        <v>2.7760128285203578E-3</v>
      </c>
    </row>
    <row r="2018" spans="1:6" x14ac:dyDescent="0.25">
      <c r="A2018" s="23">
        <v>2017</v>
      </c>
      <c r="B2018" s="7" cm="1">
        <f t="array" aca="1" ref="B2018" ca="1">interpolexp(A2018,serie_du,Taxas_DI)</f>
        <v>0.12352784658162808</v>
      </c>
      <c r="C2018" s="37">
        <f t="shared" ca="1" si="94"/>
        <v>2.5402207330270143</v>
      </c>
      <c r="D2018" s="36">
        <f t="shared" ca="1" si="96"/>
        <v>0.12181748774217538</v>
      </c>
      <c r="E2018" s="32">
        <v>0.1207526454126695</v>
      </c>
      <c r="F2018" s="35">
        <f t="shared" ca="1" si="95"/>
        <v>2.7752011689585743E-3</v>
      </c>
    </row>
    <row r="2019" spans="1:6" x14ac:dyDescent="0.25">
      <c r="A2019" s="23">
        <v>2018</v>
      </c>
      <c r="B2019" s="7" cm="1">
        <f t="array" aca="1" ref="B2019" ca="1">interpolexp(A2019,serie_du,Taxas_DI)</f>
        <v>0.12352699838409364</v>
      </c>
      <c r="C2019" s="37">
        <f t="shared" ca="1" si="94"/>
        <v>2.5413797223161807</v>
      </c>
      <c r="D2019" s="36">
        <f t="shared" ca="1" si="96"/>
        <v>0.12181748648468815</v>
      </c>
      <c r="E2019" s="32">
        <v>0.12075260807025145</v>
      </c>
      <c r="F2019" s="35">
        <f t="shared" ca="1" si="95"/>
        <v>2.7743903138421899E-3</v>
      </c>
    </row>
    <row r="2020" spans="1:6" x14ac:dyDescent="0.25">
      <c r="A2020" s="23">
        <v>2019</v>
      </c>
      <c r="B2020" s="7" cm="1">
        <f t="array" aca="1" ref="B2020" ca="1">interpolexp(A2020,serie_du,Taxas_DI)</f>
        <v>0.123526151026776</v>
      </c>
      <c r="C2020" s="37">
        <f t="shared" ca="1" si="94"/>
        <v>2.5425392403888378</v>
      </c>
      <c r="D2020" s="36">
        <f t="shared" ca="1" si="96"/>
        <v>0.12181748519844615</v>
      </c>
      <c r="E2020" s="32">
        <v>0.12075257076484824</v>
      </c>
      <c r="F2020" s="35">
        <f t="shared" ca="1" si="95"/>
        <v>2.773580261927755E-3</v>
      </c>
    </row>
    <row r="2021" spans="1:6" x14ac:dyDescent="0.25">
      <c r="A2021" s="23">
        <v>2020</v>
      </c>
      <c r="B2021" s="7" cm="1">
        <f t="array" aca="1" ref="B2021" ca="1">interpolexp(A2021,serie_du,Taxas_DI)</f>
        <v>0.12352530450843169</v>
      </c>
      <c r="C2021" s="37">
        <f t="shared" ca="1" si="94"/>
        <v>2.5436992874863305</v>
      </c>
      <c r="D2021" s="36">
        <f t="shared" ca="1" si="96"/>
        <v>0.12181748392274661</v>
      </c>
      <c r="E2021" s="32">
        <v>0.12075253349634885</v>
      </c>
      <c r="F2021" s="35">
        <f t="shared" ca="1" si="95"/>
        <v>2.7727710120828419E-3</v>
      </c>
    </row>
    <row r="2022" spans="1:6" x14ac:dyDescent="0.25">
      <c r="A2022" s="23">
        <v>2021</v>
      </c>
      <c r="B2022" s="7" cm="1">
        <f t="array" aca="1" ref="B2022" ca="1">interpolexp(A2022,serie_du,Taxas_DI)</f>
        <v>0.12352445882781726</v>
      </c>
      <c r="C2022" s="37">
        <f t="shared" ca="1" si="94"/>
        <v>2.544859863850073</v>
      </c>
      <c r="D2022" s="36">
        <f t="shared" ca="1" si="96"/>
        <v>0.12181748265315906</v>
      </c>
      <c r="E2022" s="32">
        <v>0.12075249626475326</v>
      </c>
      <c r="F2022" s="35">
        <f t="shared" ca="1" si="95"/>
        <v>2.771962563064001E-3</v>
      </c>
    </row>
    <row r="2023" spans="1:6" x14ac:dyDescent="0.25">
      <c r="A2023" s="23">
        <v>2022</v>
      </c>
      <c r="B2023" s="7" cm="1">
        <f t="array" aca="1" ref="B2023" ca="1">interpolexp(A2023,serie_du,Taxas_DI)</f>
        <v>0.12352361398368927</v>
      </c>
      <c r="C2023" s="37">
        <f t="shared" ca="1" si="94"/>
        <v>2.5460209697215412</v>
      </c>
      <c r="D2023" s="36">
        <f t="shared" ca="1" si="96"/>
        <v>0.1218174813841002</v>
      </c>
      <c r="E2023" s="32">
        <v>0.12075245906997267</v>
      </c>
      <c r="F2023" s="35">
        <f t="shared" ca="1" si="95"/>
        <v>2.7711549137166003E-3</v>
      </c>
    </row>
    <row r="2024" spans="1:6" x14ac:dyDescent="0.25">
      <c r="A2024" s="23">
        <v>2023</v>
      </c>
      <c r="B2024" s="7" cm="1">
        <f t="array" aca="1" ref="B2024" ca="1">interpolexp(A2024,serie_du,Taxas_DI)</f>
        <v>0.12352276997480427</v>
      </c>
      <c r="C2024" s="37">
        <f t="shared" ca="1" si="94"/>
        <v>2.5471826053422797</v>
      </c>
      <c r="D2024" s="36">
        <f t="shared" ca="1" si="96"/>
        <v>0.12181748011118909</v>
      </c>
      <c r="E2024" s="32">
        <v>0.12075242191196267</v>
      </c>
      <c r="F2024" s="35">
        <f t="shared" ca="1" si="95"/>
        <v>2.7703480628415988E-3</v>
      </c>
    </row>
    <row r="2025" spans="1:6" x14ac:dyDescent="0.25">
      <c r="A2025" s="23">
        <v>2024</v>
      </c>
      <c r="B2025" s="7" cm="1">
        <f t="array" aca="1" ref="B2025" ca="1">interpolexp(A2025,serie_du,Taxas_DI)</f>
        <v>0.12352192679994101</v>
      </c>
      <c r="C2025" s="37">
        <f t="shared" ca="1" si="94"/>
        <v>2.5483447709542997</v>
      </c>
      <c r="D2025" s="36">
        <f t="shared" ca="1" si="96"/>
        <v>0.1218174788737747</v>
      </c>
      <c r="E2025" s="32">
        <v>0.12075238479067885</v>
      </c>
      <c r="F2025" s="35">
        <f t="shared" ca="1" si="95"/>
        <v>2.7695420092621603E-3</v>
      </c>
    </row>
    <row r="2026" spans="1:6" x14ac:dyDescent="0.25">
      <c r="A2026" s="23">
        <v>2025</v>
      </c>
      <c r="B2026" s="7" cm="1">
        <f t="array" aca="1" ref="B2026" ca="1">interpolexp(A2026,serie_du,Taxas_DI)</f>
        <v>0.12352108445783383</v>
      </c>
      <c r="C2026" s="37">
        <f t="shared" ca="1" si="94"/>
        <v>2.5495074667988731</v>
      </c>
      <c r="D2026" s="36">
        <f t="shared" ca="1" si="96"/>
        <v>0.12181747757775363</v>
      </c>
      <c r="E2026" s="32">
        <v>0.12075234770605459</v>
      </c>
      <c r="F2026" s="35">
        <f t="shared" ca="1" si="95"/>
        <v>2.7687367517792438E-3</v>
      </c>
    </row>
    <row r="2027" spans="1:6" x14ac:dyDescent="0.25">
      <c r="A2027" s="23">
        <v>2026</v>
      </c>
      <c r="B2027" s="7" cm="1">
        <f t="array" aca="1" ref="B2027" ca="1">interpolexp(A2027,serie_du,Taxas_DI)</f>
        <v>0.12352024294726149</v>
      </c>
      <c r="C2027" s="37">
        <f t="shared" ca="1" si="94"/>
        <v>2.5506706931181431</v>
      </c>
      <c r="D2027" s="36">
        <f t="shared" ca="1" si="96"/>
        <v>0.12181747630741402</v>
      </c>
      <c r="E2027" s="32">
        <v>0.12075231065802328</v>
      </c>
      <c r="F2027" s="35">
        <f t="shared" ca="1" si="95"/>
        <v>2.7679322892382174E-3</v>
      </c>
    </row>
    <row r="2028" spans="1:6" x14ac:dyDescent="0.25">
      <c r="A2028" s="23">
        <v>2027</v>
      </c>
      <c r="B2028" s="7" cm="1">
        <f t="array" aca="1" ref="B2028" ca="1">interpolexp(A2028,serie_du,Taxas_DI)</f>
        <v>0.12351940226702496</v>
      </c>
      <c r="C2028" s="37">
        <f t="shared" ca="1" si="94"/>
        <v>2.5518344501547263</v>
      </c>
      <c r="D2028" s="36">
        <f t="shared" ca="1" si="96"/>
        <v>0.12181747510304852</v>
      </c>
      <c r="E2028" s="32">
        <v>0.12075227364656271</v>
      </c>
      <c r="F2028" s="35">
        <f t="shared" ca="1" si="95"/>
        <v>2.7671286204622447E-3</v>
      </c>
    </row>
    <row r="2029" spans="1:6" x14ac:dyDescent="0.25">
      <c r="A2029" s="23">
        <v>2028</v>
      </c>
      <c r="B2029" s="7" cm="1">
        <f t="array" aca="1" ref="B2029" ca="1">interpolexp(A2029,serie_du,Taxas_DI)</f>
        <v>0.12351856241583636</v>
      </c>
      <c r="C2029" s="37">
        <f t="shared" ca="1" si="94"/>
        <v>2.5529987381496837</v>
      </c>
      <c r="D2029" s="36">
        <f t="shared" ca="1" si="96"/>
        <v>0.12181747377999752</v>
      </c>
      <c r="E2029" s="32">
        <v>0.12075223667160628</v>
      </c>
      <c r="F2029" s="35">
        <f t="shared" ca="1" si="95"/>
        <v>2.7663257442300804E-3</v>
      </c>
    </row>
    <row r="2030" spans="1:6" x14ac:dyDescent="0.25">
      <c r="A2030" s="23">
        <v>2029</v>
      </c>
      <c r="B2030" s="7" cm="1">
        <f t="array" aca="1" ref="B2030" ca="1">interpolexp(A2030,serie_du,Taxas_DI)</f>
        <v>0.12351772339251887</v>
      </c>
      <c r="C2030" s="37">
        <f t="shared" ca="1" si="94"/>
        <v>2.5541635573461705</v>
      </c>
      <c r="D2030" s="36">
        <f t="shared" ca="1" si="96"/>
        <v>0.1218174725580734</v>
      </c>
      <c r="E2030" s="32">
        <v>0.12075219973308737</v>
      </c>
      <c r="F2030" s="35">
        <f t="shared" ca="1" si="95"/>
        <v>2.7655236594315014E-3</v>
      </c>
    </row>
    <row r="2031" spans="1:6" x14ac:dyDescent="0.25">
      <c r="A2031" s="23">
        <v>2030</v>
      </c>
      <c r="B2031" s="7" cm="1">
        <f t="array" aca="1" ref="B2031" ca="1">interpolexp(A2031,serie_du,Taxas_DI)</f>
        <v>0.12351688519585124</v>
      </c>
      <c r="C2031" s="37">
        <f t="shared" ca="1" si="94"/>
        <v>2.555328907986596</v>
      </c>
      <c r="D2031" s="36">
        <f t="shared" ca="1" si="96"/>
        <v>0.12181747134228638</v>
      </c>
      <c r="E2031" s="32">
        <v>0.12075216283096157</v>
      </c>
      <c r="F2031" s="35">
        <f t="shared" ca="1" si="95"/>
        <v>2.7647223648896713E-3</v>
      </c>
    </row>
    <row r="2032" spans="1:6" x14ac:dyDescent="0.25">
      <c r="A2032" s="23">
        <v>2031</v>
      </c>
      <c r="B2032" s="7" cm="1">
        <f t="array" aca="1" ref="B2032" ca="1">interpolexp(A2032,serie_du,Taxas_DI)</f>
        <v>0.12351604782456782</v>
      </c>
      <c r="C2032" s="37">
        <f t="shared" ca="1" si="94"/>
        <v>2.5564947903126249</v>
      </c>
      <c r="D2032" s="36">
        <f t="shared" ca="1" si="96"/>
        <v>0.12181747003817467</v>
      </c>
      <c r="E2032" s="32">
        <v>0.12075212596518448</v>
      </c>
      <c r="F2032" s="35">
        <f t="shared" ca="1" si="95"/>
        <v>2.7639218593833448E-3</v>
      </c>
    </row>
    <row r="2033" spans="1:6" x14ac:dyDescent="0.25">
      <c r="A2033" s="23">
        <v>2032</v>
      </c>
      <c r="B2033" s="7" cm="1">
        <f t="array" aca="1" ref="B2033" ca="1">interpolexp(A2033,serie_du,Taxas_DI)</f>
        <v>0.12351521127746956</v>
      </c>
      <c r="C2033" s="37">
        <f t="shared" ca="1" si="94"/>
        <v>2.5576612045672058</v>
      </c>
      <c r="D2033" s="36">
        <f t="shared" ca="1" si="96"/>
        <v>0.12181746877547983</v>
      </c>
      <c r="E2033" s="32">
        <v>0.12075208913566726</v>
      </c>
      <c r="F2033" s="35">
        <f t="shared" ca="1" si="95"/>
        <v>2.7631221418022989E-3</v>
      </c>
    </row>
    <row r="2034" spans="1:6" x14ac:dyDescent="0.25">
      <c r="A2034" s="23">
        <v>2033</v>
      </c>
      <c r="B2034" s="7" cm="1">
        <f t="array" aca="1" ref="B2034" ca="1">interpolexp(A2034,serie_du,Taxas_DI)</f>
        <v>0.12351437555335743</v>
      </c>
      <c r="C2034" s="37">
        <f t="shared" ca="1" si="94"/>
        <v>2.5588281509933557</v>
      </c>
      <c r="D2034" s="36">
        <f t="shared" ca="1" si="96"/>
        <v>0.12181746754948231</v>
      </c>
      <c r="E2034" s="32">
        <v>0.12075205234240993</v>
      </c>
      <c r="F2034" s="35">
        <f t="shared" ca="1" si="95"/>
        <v>2.7623232109474927E-3</v>
      </c>
    </row>
    <row r="2035" spans="1:6" x14ac:dyDescent="0.25">
      <c r="A2035" s="23">
        <v>2034</v>
      </c>
      <c r="B2035" s="7" cm="1">
        <f t="array" aca="1" ref="B2035" ca="1">interpolexp(A2035,serie_du,Taxas_DI)</f>
        <v>0.12351354065101017</v>
      </c>
      <c r="C2035" s="37">
        <f t="shared" ca="1" si="94"/>
        <v>2.5599956298337512</v>
      </c>
      <c r="D2035" s="36">
        <f t="shared" ca="1" si="96"/>
        <v>0.12181746631031132</v>
      </c>
      <c r="E2035" s="32">
        <v>0.12075201558532367</v>
      </c>
      <c r="F2035" s="35">
        <f t="shared" ca="1" si="95"/>
        <v>2.7615250656864987E-3</v>
      </c>
    </row>
    <row r="2036" spans="1:6" x14ac:dyDescent="0.25">
      <c r="A2036" s="23">
        <v>2035</v>
      </c>
      <c r="B2036" s="7" cm="1">
        <f t="array" aca="1" ref="B2036" ca="1">interpolexp(A2036,serie_du,Taxas_DI)</f>
        <v>0.12351270656920654</v>
      </c>
      <c r="C2036" s="37">
        <f t="shared" ca="1" si="94"/>
        <v>2.5611636413311358</v>
      </c>
      <c r="D2036" s="36">
        <f t="shared" ca="1" si="96"/>
        <v>0.12181746505314273</v>
      </c>
      <c r="E2036" s="32">
        <v>0.12075197886436406</v>
      </c>
      <c r="F2036" s="35">
        <f t="shared" ca="1" si="95"/>
        <v>2.7607277048424805E-3</v>
      </c>
    </row>
    <row r="2037" spans="1:6" x14ac:dyDescent="0.25">
      <c r="A2037" s="23">
        <v>2036</v>
      </c>
      <c r="B2037" s="7" cm="1">
        <f t="array" aca="1" ref="B2037" ca="1">interpolexp(A2037,serie_du,Taxas_DI)</f>
        <v>0.12351187330674751</v>
      </c>
      <c r="C2037" s="37">
        <f t="shared" ca="1" si="94"/>
        <v>2.5623321857287276</v>
      </c>
      <c r="D2037" s="36">
        <f t="shared" ca="1" si="96"/>
        <v>0.12181746381810821</v>
      </c>
      <c r="E2037" s="32">
        <v>0.1207519421794645</v>
      </c>
      <c r="F2037" s="35">
        <f t="shared" ca="1" si="95"/>
        <v>2.7599311272830107E-3</v>
      </c>
    </row>
    <row r="2038" spans="1:6" x14ac:dyDescent="0.25">
      <c r="A2038" s="23">
        <v>2037</v>
      </c>
      <c r="B2038" s="7" cm="1">
        <f t="array" aca="1" ref="B2038" ca="1">interpolexp(A2038,serie_du,Taxas_DI)</f>
        <v>0.12351104086243403</v>
      </c>
      <c r="C2038" s="37">
        <f t="shared" ca="1" si="94"/>
        <v>2.5635012632698126</v>
      </c>
      <c r="D2038" s="36">
        <f t="shared" ca="1" si="96"/>
        <v>0.12181746260051018</v>
      </c>
      <c r="E2038" s="32">
        <v>0.12075190553058057</v>
      </c>
      <c r="F2038" s="35">
        <f t="shared" ca="1" si="95"/>
        <v>2.7591353318534573E-3</v>
      </c>
    </row>
    <row r="2039" spans="1:6" x14ac:dyDescent="0.25">
      <c r="A2039" s="23">
        <v>2038</v>
      </c>
      <c r="B2039" s="7" cm="1">
        <f t="array" aca="1" ref="B2039" ca="1">interpolexp(A2039,serie_du,Taxas_DI)</f>
        <v>0.12351020923504485</v>
      </c>
      <c r="C2039" s="37">
        <f t="shared" ca="1" si="94"/>
        <v>2.5646708741973345</v>
      </c>
      <c r="D2039" s="36">
        <f t="shared" ca="1" si="96"/>
        <v>0.12181746135023519</v>
      </c>
      <c r="E2039" s="32">
        <v>0.12075186891769008</v>
      </c>
      <c r="F2039" s="35">
        <f t="shared" ca="1" si="95"/>
        <v>2.7583403173547794E-3</v>
      </c>
    </row>
    <row r="2040" spans="1:6" x14ac:dyDescent="0.25">
      <c r="A2040" s="23">
        <v>2039</v>
      </c>
      <c r="B2040" s="7" cm="1">
        <f t="array" aca="1" ref="B2040" ca="1">interpolexp(A2040,serie_du,Taxas_DI)</f>
        <v>0.12350937842335874</v>
      </c>
      <c r="C2040" s="37">
        <f t="shared" ca="1" si="94"/>
        <v>2.565841018754305</v>
      </c>
      <c r="D2040" s="36">
        <f t="shared" ca="1" si="96"/>
        <v>0.12181746006273575</v>
      </c>
      <c r="E2040" s="32">
        <v>0.12075183234068199</v>
      </c>
      <c r="F2040" s="35">
        <f t="shared" ca="1" si="95"/>
        <v>2.7575460826767539E-3</v>
      </c>
    </row>
    <row r="2041" spans="1:6" x14ac:dyDescent="0.25">
      <c r="A2041" s="23">
        <v>2040</v>
      </c>
      <c r="B2041" s="7" cm="1">
        <f t="array" aca="1" ref="B2041" ca="1">interpolexp(A2041,serie_du,Taxas_DI)</f>
        <v>0.12350854842622105</v>
      </c>
      <c r="C2041" s="37">
        <f t="shared" ca="1" si="94"/>
        <v>2.567011697185031</v>
      </c>
      <c r="D2041" s="36">
        <f t="shared" ca="1" si="96"/>
        <v>0.12181745886844597</v>
      </c>
      <c r="E2041" s="32">
        <v>0.12075179579955631</v>
      </c>
      <c r="F2041" s="35">
        <f t="shared" ca="1" si="95"/>
        <v>2.7567526266647491E-3</v>
      </c>
    </row>
    <row r="2042" spans="1:6" x14ac:dyDescent="0.25">
      <c r="A2042" s="23">
        <v>2041</v>
      </c>
      <c r="B2042" s="7" cm="1">
        <f t="array" aca="1" ref="B2042" ca="1">interpolexp(A2042,serie_du,Taxas_DI)</f>
        <v>0.12350771924241055</v>
      </c>
      <c r="C2042" s="37">
        <f t="shared" ca="1" si="94"/>
        <v>2.5681829097326587</v>
      </c>
      <c r="D2042" s="36">
        <f t="shared" ca="1" si="96"/>
        <v>0.12181745762724994</v>
      </c>
      <c r="E2042" s="32">
        <v>0.12075175929422421</v>
      </c>
      <c r="F2042" s="35">
        <f t="shared" ca="1" si="95"/>
        <v>2.7559599481863373E-3</v>
      </c>
    </row>
    <row r="2043" spans="1:6" x14ac:dyDescent="0.25">
      <c r="A2043" s="23">
        <v>2042</v>
      </c>
      <c r="B2043" s="7" cm="1">
        <f t="array" aca="1" ref="B2043" ca="1">interpolexp(A2043,serie_du,Taxas_DI)</f>
        <v>0.1235068908707504</v>
      </c>
      <c r="C2043" s="37">
        <f t="shared" ca="1" si="94"/>
        <v>2.5693546566412224</v>
      </c>
      <c r="D2043" s="36">
        <f t="shared" ca="1" si="96"/>
        <v>0.12181745642458019</v>
      </c>
      <c r="E2043" s="32">
        <v>0.12075172282464131</v>
      </c>
      <c r="F2043" s="35">
        <f t="shared" ca="1" si="95"/>
        <v>2.7551680461090911E-3</v>
      </c>
    </row>
    <row r="2044" spans="1:6" x14ac:dyDescent="0.25">
      <c r="A2044" s="23">
        <v>2043</v>
      </c>
      <c r="B2044" s="7" cm="1">
        <f t="array" aca="1" ref="B2044" ca="1">interpolexp(A2044,serie_du,Taxas_DI)</f>
        <v>0.12350606331001934</v>
      </c>
      <c r="C2044" s="37">
        <f t="shared" ca="1" si="94"/>
        <v>2.5705269381540035</v>
      </c>
      <c r="D2044" s="36">
        <f t="shared" ca="1" si="96"/>
        <v>0.12181745516546871</v>
      </c>
      <c r="E2044" s="32">
        <v>0.12075168639076317</v>
      </c>
      <c r="F2044" s="35">
        <f t="shared" ca="1" si="95"/>
        <v>2.754376919256174E-3</v>
      </c>
    </row>
    <row r="2045" spans="1:6" x14ac:dyDescent="0.25">
      <c r="A2045" s="23">
        <v>2044</v>
      </c>
      <c r="B2045" s="7" cm="1">
        <f t="array" aca="1" ref="B2045" ca="1">interpolexp(A2045,serie_du,Taxas_DI)</f>
        <v>0.12350523655904055</v>
      </c>
      <c r="C2045" s="37">
        <f t="shared" ca="1" si="94"/>
        <v>2.5716997545151701</v>
      </c>
      <c r="D2045" s="36">
        <f t="shared" ca="1" si="96"/>
        <v>0.12181745393520083</v>
      </c>
      <c r="E2045" s="32">
        <v>0.1207516499925454</v>
      </c>
      <c r="F2045" s="35">
        <f t="shared" ca="1" si="95"/>
        <v>2.7535865664951586E-3</v>
      </c>
    </row>
    <row r="2046" spans="1:6" x14ac:dyDescent="0.25">
      <c r="A2046" s="23">
        <v>2045</v>
      </c>
      <c r="B2046" s="7" cm="1">
        <f t="array" aca="1" ref="B2046" ca="1">interpolexp(A2046,serie_du,Taxas_DI)</f>
        <v>0.12350441061663719</v>
      </c>
      <c r="C2046" s="37">
        <f t="shared" ca="1" si="94"/>
        <v>2.5728731059689642</v>
      </c>
      <c r="D2046" s="36">
        <f t="shared" ca="1" si="96"/>
        <v>0.12181745272967381</v>
      </c>
      <c r="E2046" s="32">
        <v>0.12075161362992137</v>
      </c>
      <c r="F2046" s="35">
        <f t="shared" ca="1" si="95"/>
        <v>2.752796986715822E-3</v>
      </c>
    </row>
    <row r="2047" spans="1:6" x14ac:dyDescent="0.25">
      <c r="A2047" s="23">
        <v>2046</v>
      </c>
      <c r="B2047" s="7" cm="1">
        <f t="array" aca="1" ref="B2047" ca="1">interpolexp(A2047,serie_du,Taxas_DI)</f>
        <v>0.12350358548161022</v>
      </c>
      <c r="C2047" s="37">
        <f t="shared" ca="1" si="94"/>
        <v>2.5740469927592788</v>
      </c>
      <c r="D2047" s="36">
        <f t="shared" ca="1" si="96"/>
        <v>0.12181745149822643</v>
      </c>
      <c r="E2047" s="32">
        <v>0.12075157730284669</v>
      </c>
      <c r="F2047" s="35">
        <f t="shared" ca="1" si="95"/>
        <v>2.752008178763532E-3</v>
      </c>
    </row>
    <row r="2048" spans="1:6" x14ac:dyDescent="0.25">
      <c r="A2048" s="23">
        <v>2047</v>
      </c>
      <c r="B2048" s="7" cm="1">
        <f t="array" aca="1" ref="B2048" ca="1">interpolexp(A2048,serie_du,Taxas_DI)</f>
        <v>0.1235027611527606</v>
      </c>
      <c r="C2048" s="37">
        <f t="shared" ca="1" si="94"/>
        <v>2.5752214151300779</v>
      </c>
      <c r="D2048" s="36">
        <f t="shared" ca="1" si="96"/>
        <v>0.12181745023643753</v>
      </c>
      <c r="E2048" s="32">
        <v>0.12075154101125474</v>
      </c>
      <c r="F2048" s="35">
        <f t="shared" ca="1" si="95"/>
        <v>2.7512201415058612E-3</v>
      </c>
    </row>
    <row r="2049" spans="1:6" x14ac:dyDescent="0.25">
      <c r="A2049" s="23">
        <v>2048</v>
      </c>
      <c r="B2049" s="7" cm="1">
        <f t="array" aca="1" ref="B2049" ca="1">interpolexp(A2049,serie_du,Taxas_DI)</f>
        <v>0.12350193762893369</v>
      </c>
      <c r="C2049" s="37">
        <f t="shared" ca="1" si="94"/>
        <v>2.5763963733262174</v>
      </c>
      <c r="D2049" s="36">
        <f t="shared" ca="1" si="96"/>
        <v>0.12181744903016622</v>
      </c>
      <c r="E2049" s="32">
        <v>0.1207515047551011</v>
      </c>
      <c r="F2049" s="35">
        <f t="shared" ca="1" si="95"/>
        <v>2.7504328738325867E-3</v>
      </c>
    </row>
    <row r="2050" spans="1:6" x14ac:dyDescent="0.25">
      <c r="A2050" s="23">
        <v>2049</v>
      </c>
      <c r="B2050" s="7" cm="1">
        <f t="array" aca="1" ref="B2050" ca="1">interpolexp(A2050,serie_du,Taxas_DI)</f>
        <v>0.12350111490895266</v>
      </c>
      <c r="C2050" s="37">
        <f t="shared" ref="C2050:C2113" ca="1" si="97">(1+B2050)^(A2050/252)</f>
        <v>2.5775718675922126</v>
      </c>
      <c r="D2050" s="36">
        <f t="shared" ca="1" si="96"/>
        <v>0.12181744782949777</v>
      </c>
      <c r="E2050" s="32">
        <v>0.12075146853434138</v>
      </c>
      <c r="F2050" s="35">
        <f t="shared" ref="F2050:F2113" ca="1" si="98">B2050-E2050</f>
        <v>2.7496463746112809E-3</v>
      </c>
    </row>
    <row r="2051" spans="1:6" x14ac:dyDescent="0.25">
      <c r="A2051" s="23">
        <v>2050</v>
      </c>
      <c r="B2051" s="7" cm="1">
        <f t="array" aca="1" ref="B2051" ca="1">interpolexp(A2051,serie_du,Taxas_DI)</f>
        <v>0.12350029299164067</v>
      </c>
      <c r="C2051" s="37">
        <f t="shared" ca="1" si="97"/>
        <v>2.5787478981726442</v>
      </c>
      <c r="D2051" s="36">
        <f t="shared" ca="1" si="96"/>
        <v>0.12181744662961314</v>
      </c>
      <c r="E2051" s="32">
        <v>0.12075143234893115</v>
      </c>
      <c r="F2051" s="35">
        <f t="shared" ca="1" si="98"/>
        <v>2.7488606427095164E-3</v>
      </c>
    </row>
    <row r="2052" spans="1:6" x14ac:dyDescent="0.25">
      <c r="A2052" s="23">
        <v>2051</v>
      </c>
      <c r="B2052" s="7" cm="1">
        <f t="array" aca="1" ref="B2052" ca="1">interpolexp(A2052,serie_du,Taxas_DI)</f>
        <v>0.12349947187579868</v>
      </c>
      <c r="C2052" s="37">
        <f t="shared" ca="1" si="97"/>
        <v>2.5799244653117497</v>
      </c>
      <c r="D2052" s="36">
        <f t="shared" ref="D2052:D2115" ca="1" si="99">((((1+B2052)^(A2052/252))/((1+B2051)^(A2051/252)))^(252/1))-1</f>
        <v>0.12181744538052608</v>
      </c>
      <c r="E2052" s="32">
        <v>0.12075139619880382</v>
      </c>
      <c r="F2052" s="35">
        <f t="shared" ca="1" si="98"/>
        <v>2.7480756769948655E-3</v>
      </c>
    </row>
    <row r="2053" spans="1:6" x14ac:dyDescent="0.25">
      <c r="A2053" s="23">
        <v>2052</v>
      </c>
      <c r="B2053" s="7" cm="1">
        <f t="array" aca="1" ref="B2053" ca="1">interpolexp(A2053,serie_du,Taxas_DI)</f>
        <v>0.12349865156027207</v>
      </c>
      <c r="C2053" s="37">
        <f t="shared" ca="1" si="97"/>
        <v>2.5811015692546606</v>
      </c>
      <c r="D2053" s="36">
        <f t="shared" ca="1" si="99"/>
        <v>0.12181744416801421</v>
      </c>
      <c r="E2053" s="32">
        <v>0.12075136008389276</v>
      </c>
      <c r="F2053" s="35">
        <f t="shared" ca="1" si="98"/>
        <v>2.7472914763793099E-3</v>
      </c>
    </row>
    <row r="2054" spans="1:6" x14ac:dyDescent="0.25">
      <c r="A2054" s="23">
        <v>2053</v>
      </c>
      <c r="B2054" s="7" cm="1">
        <f t="array" aca="1" ref="B2054" ca="1">interpolexp(A2054,serie_du,Taxas_DI)</f>
        <v>0.12349783204390619</v>
      </c>
      <c r="C2054" s="37">
        <f t="shared" ca="1" si="97"/>
        <v>2.5822792102465826</v>
      </c>
      <c r="D2054" s="36">
        <f t="shared" ca="1" si="99"/>
        <v>0.12181744298794928</v>
      </c>
      <c r="E2054" s="32">
        <v>0.12075132400417576</v>
      </c>
      <c r="F2054" s="35">
        <f t="shared" ca="1" si="98"/>
        <v>2.746508039730422E-3</v>
      </c>
    </row>
    <row r="2055" spans="1:6" x14ac:dyDescent="0.25">
      <c r="A2055" s="23">
        <v>2054</v>
      </c>
      <c r="B2055" s="7" cm="1">
        <f t="array" aca="1" ref="B2055" ca="1">interpolexp(A2055,serie_du,Taxas_DI)</f>
        <v>0.123497013325502</v>
      </c>
      <c r="C2055" s="37">
        <f t="shared" ca="1" si="97"/>
        <v>2.5834573885319565</v>
      </c>
      <c r="D2055" s="36">
        <f t="shared" ca="1" si="99"/>
        <v>0.12181744174433051</v>
      </c>
      <c r="E2055" s="32">
        <v>0.12075128795958623</v>
      </c>
      <c r="F2055" s="35">
        <f t="shared" ca="1" si="98"/>
        <v>2.7457253659157743E-3</v>
      </c>
    </row>
    <row r="2056" spans="1:6" x14ac:dyDescent="0.25">
      <c r="A2056" s="23">
        <v>2055</v>
      </c>
      <c r="B2056" s="7" cm="1">
        <f t="array" aca="1" ref="B2056" ca="1">interpolexp(A2056,serie_du,Taxas_DI)</f>
        <v>0.12349619540392709</v>
      </c>
      <c r="C2056" s="37">
        <f t="shared" ca="1" si="97"/>
        <v>2.5846361043565413</v>
      </c>
      <c r="D2056" s="36">
        <f t="shared" ca="1" si="99"/>
        <v>0.12181744056921207</v>
      </c>
      <c r="E2056" s="32">
        <v>0.12075125195007974</v>
      </c>
      <c r="F2056" s="35">
        <f t="shared" ca="1" si="98"/>
        <v>2.7449434538473483E-3</v>
      </c>
    </row>
    <row r="2057" spans="1:6" x14ac:dyDescent="0.25">
      <c r="A2057" s="23">
        <v>2056</v>
      </c>
      <c r="B2057" s="7" cm="1">
        <f t="array" aca="1" ref="B2057" ca="1">interpolexp(A2057,serie_du,Taxas_DI)</f>
        <v>0.1234953782779824</v>
      </c>
      <c r="C2057" s="37">
        <f t="shared" ca="1" si="97"/>
        <v>2.5858153579649144</v>
      </c>
      <c r="D2057" s="36">
        <f t="shared" ca="1" si="99"/>
        <v>0.1218174393210798</v>
      </c>
      <c r="E2057" s="32">
        <v>0.12075121597561189</v>
      </c>
      <c r="F2057" s="35">
        <f t="shared" ca="1" si="98"/>
        <v>2.744162302370512E-3</v>
      </c>
    </row>
    <row r="2058" spans="1:6" x14ac:dyDescent="0.25">
      <c r="A2058" s="23">
        <v>2057</v>
      </c>
      <c r="B2058" s="7" cm="1">
        <f t="array" aca="1" ref="B2058" ca="1">interpolexp(A2058,serie_du,Taxas_DI)</f>
        <v>0.12349456194653552</v>
      </c>
      <c r="C2058" s="37">
        <f t="shared" ca="1" si="97"/>
        <v>2.5869951496029757</v>
      </c>
      <c r="D2058" s="36">
        <f t="shared" ca="1" si="99"/>
        <v>0.12181743813238066</v>
      </c>
      <c r="E2058" s="32">
        <v>0.12075118003609386</v>
      </c>
      <c r="F2058" s="35">
        <f t="shared" ca="1" si="98"/>
        <v>2.7433819104416557E-3</v>
      </c>
    </row>
    <row r="2059" spans="1:6" x14ac:dyDescent="0.25">
      <c r="A2059" s="23">
        <v>2058</v>
      </c>
      <c r="B2059" s="7" cm="1">
        <f t="array" aca="1" ref="B2059" ca="1">interpolexp(A2059,serie_du,Taxas_DI)</f>
        <v>0.1234937464084318</v>
      </c>
      <c r="C2059" s="37">
        <f t="shared" ca="1" si="97"/>
        <v>2.5881754795162744</v>
      </c>
      <c r="D2059" s="36">
        <f t="shared" ca="1" si="99"/>
        <v>0.12181743695245495</v>
      </c>
      <c r="E2059" s="32">
        <v>0.12075114413152566</v>
      </c>
      <c r="F2059" s="35">
        <f t="shared" ca="1" si="98"/>
        <v>2.7426022769061476E-3</v>
      </c>
    </row>
    <row r="2060" spans="1:6" x14ac:dyDescent="0.25">
      <c r="A2060" s="23">
        <v>2059</v>
      </c>
      <c r="B2060" s="7" cm="1">
        <f t="array" aca="1" ref="B2060" ca="1">interpolexp(A2060,serie_du,Taxas_DI)</f>
        <v>0.12349293166249442</v>
      </c>
      <c r="C2060" s="37">
        <f t="shared" ca="1" si="97"/>
        <v>2.5893563479500155</v>
      </c>
      <c r="D2060" s="36">
        <f t="shared" ca="1" si="99"/>
        <v>0.12181743573147075</v>
      </c>
      <c r="E2060" s="32">
        <v>0.12075110826184066</v>
      </c>
      <c r="F2060" s="35">
        <f t="shared" ca="1" si="98"/>
        <v>2.7418234006537645E-3</v>
      </c>
    </row>
    <row r="2061" spans="1:6" x14ac:dyDescent="0.25">
      <c r="A2061" s="23">
        <v>2060</v>
      </c>
      <c r="B2061" s="7" cm="1">
        <f t="array" aca="1" ref="B2061" ca="1">interpolexp(A2061,serie_du,Taxas_DI)</f>
        <v>0.12349211770756874</v>
      </c>
      <c r="C2061" s="37">
        <f t="shared" ca="1" si="97"/>
        <v>2.5905377551498887</v>
      </c>
      <c r="D2061" s="36">
        <f t="shared" ca="1" si="99"/>
        <v>0.12181743451020255</v>
      </c>
      <c r="E2061" s="32">
        <v>0.12075107242695005</v>
      </c>
      <c r="F2061" s="35">
        <f t="shared" ca="1" si="98"/>
        <v>2.7410452806186925E-3</v>
      </c>
    </row>
    <row r="2062" spans="1:6" x14ac:dyDescent="0.25">
      <c r="A2062" s="23">
        <v>2061</v>
      </c>
      <c r="B2062" s="7" cm="1">
        <f t="array" aca="1" ref="B2062" ca="1">interpolexp(A2062,serie_du,Taxas_DI)</f>
        <v>0.12349130454252233</v>
      </c>
      <c r="C2062" s="37">
        <f t="shared" ca="1" si="97"/>
        <v>2.5917197013620723</v>
      </c>
      <c r="D2062" s="36">
        <f t="shared" ca="1" si="99"/>
        <v>0.12181743332960426</v>
      </c>
      <c r="E2062" s="32">
        <v>0.12075103662685382</v>
      </c>
      <c r="F2062" s="35">
        <f t="shared" ca="1" si="98"/>
        <v>2.7402679156685039E-3</v>
      </c>
    </row>
    <row r="2063" spans="1:6" x14ac:dyDescent="0.25">
      <c r="A2063" s="23">
        <v>2062</v>
      </c>
      <c r="B2063" s="7" cm="1">
        <f t="array" aca="1" ref="B2063" ca="1">interpolexp(A2063,serie_du,Taxas_DI)</f>
        <v>0.12349049216620056</v>
      </c>
      <c r="C2063" s="37">
        <f t="shared" ca="1" si="97"/>
        <v>2.5929021868323971</v>
      </c>
      <c r="D2063" s="36">
        <f t="shared" ca="1" si="99"/>
        <v>0.12181743213969365</v>
      </c>
      <c r="E2063" s="32">
        <v>0.12075100086148538</v>
      </c>
      <c r="F2063" s="35">
        <f t="shared" ca="1" si="98"/>
        <v>2.7394913047151803E-3</v>
      </c>
    </row>
    <row r="2064" spans="1:6" x14ac:dyDescent="0.25">
      <c r="A2064" s="23">
        <v>2063</v>
      </c>
      <c r="B2064" s="7" cm="1">
        <f t="array" aca="1" ref="B2064" ca="1">interpolexp(A2064,serie_du,Taxas_DI)</f>
        <v>0.1234896805774488</v>
      </c>
      <c r="C2064" s="37">
        <f t="shared" ca="1" si="97"/>
        <v>2.5940852118067643</v>
      </c>
      <c r="D2064" s="36">
        <f t="shared" ca="1" si="99"/>
        <v>0.12181743093574271</v>
      </c>
      <c r="E2064" s="32">
        <v>0.1207509651307781</v>
      </c>
      <c r="F2064" s="35">
        <f t="shared" ca="1" si="98"/>
        <v>2.7387154466707031E-3</v>
      </c>
    </row>
    <row r="2065" spans="1:6" x14ac:dyDescent="0.25">
      <c r="A2065" s="23">
        <v>2064</v>
      </c>
      <c r="B2065" s="7" cm="1">
        <f t="array" aca="1" ref="B2065" ca="1">interpolexp(A2065,serie_du,Taxas_DI)</f>
        <v>0.12348886977513462</v>
      </c>
      <c r="C2065" s="37">
        <f t="shared" ca="1" si="97"/>
        <v>2.595268776531563</v>
      </c>
      <c r="D2065" s="36">
        <f t="shared" ca="1" si="99"/>
        <v>0.12181742975880128</v>
      </c>
      <c r="E2065" s="32">
        <v>0.12075092943470978</v>
      </c>
      <c r="F2065" s="35">
        <f t="shared" ca="1" si="98"/>
        <v>2.7379403404248492E-3</v>
      </c>
    </row>
    <row r="2066" spans="1:6" x14ac:dyDescent="0.25">
      <c r="A2066" s="23">
        <v>2065</v>
      </c>
      <c r="B2066" s="7" cm="1">
        <f t="array" aca="1" ref="B2066" ca="1">interpolexp(A2066,serie_du,Taxas_DI)</f>
        <v>0.1234880597581034</v>
      </c>
      <c r="C2066" s="37">
        <f t="shared" ca="1" si="97"/>
        <v>2.5964528812528345</v>
      </c>
      <c r="D2066" s="36">
        <f t="shared" ca="1" si="99"/>
        <v>0.12181742855869881</v>
      </c>
      <c r="E2066" s="32">
        <v>0.12075089377319159</v>
      </c>
      <c r="F2066" s="35">
        <f t="shared" ca="1" si="98"/>
        <v>2.7371659849118046E-3</v>
      </c>
    </row>
    <row r="2067" spans="1:6" x14ac:dyDescent="0.25">
      <c r="A2067" s="23">
        <v>2066</v>
      </c>
      <c r="B2067" s="7" cm="1">
        <f t="array" aca="1" ref="B2067" ca="1">interpolexp(A2067,serie_du,Taxas_DI)</f>
        <v>0.12348725052522269</v>
      </c>
      <c r="C2067" s="37">
        <f t="shared" ca="1" si="97"/>
        <v>2.5976375262171101</v>
      </c>
      <c r="D2067" s="36">
        <f t="shared" ca="1" si="99"/>
        <v>0.12181742737656487</v>
      </c>
      <c r="E2067" s="32">
        <v>0.12075085814620135</v>
      </c>
      <c r="F2067" s="35">
        <f t="shared" ca="1" si="98"/>
        <v>2.7363923790213462E-3</v>
      </c>
    </row>
    <row r="2068" spans="1:6" x14ac:dyDescent="0.25">
      <c r="A2068" s="23">
        <v>2067</v>
      </c>
      <c r="B2068" s="7" cm="1">
        <f t="array" aca="1" ref="B2068" ca="1">interpolexp(A2068,serie_du,Taxas_DI)</f>
        <v>0.12348644207533788</v>
      </c>
      <c r="C2068" s="37">
        <f t="shared" ca="1" si="97"/>
        <v>2.5988227116705711</v>
      </c>
      <c r="D2068" s="36">
        <f t="shared" ca="1" si="99"/>
        <v>0.12181742616205082</v>
      </c>
      <c r="E2068" s="32">
        <v>0.12075082255369463</v>
      </c>
      <c r="F2068" s="35">
        <f t="shared" ca="1" si="98"/>
        <v>2.7356195216432511E-3</v>
      </c>
    </row>
    <row r="2069" spans="1:6" x14ac:dyDescent="0.25">
      <c r="A2069" s="23">
        <v>2068</v>
      </c>
      <c r="B2069" s="7" cm="1">
        <f t="array" aca="1" ref="B2069" ca="1">interpolexp(A2069,serie_du,Taxas_DI)</f>
        <v>0.12348563440733873</v>
      </c>
      <c r="C2069" s="37">
        <f t="shared" ca="1" si="97"/>
        <v>2.6000084378603106</v>
      </c>
      <c r="D2069" s="36">
        <f t="shared" ca="1" si="99"/>
        <v>0.12181742500216886</v>
      </c>
      <c r="E2069" s="32">
        <v>0.12075078699560482</v>
      </c>
      <c r="F2069" s="35">
        <f t="shared" ca="1" si="98"/>
        <v>2.7348474117339094E-3</v>
      </c>
    </row>
    <row r="2070" spans="1:6" x14ac:dyDescent="0.25">
      <c r="A2070" s="23">
        <v>2069</v>
      </c>
      <c r="B2070" s="7" cm="1">
        <f t="array" aca="1" ref="B2070" ca="1">interpolexp(A2070,serie_du,Taxas_DI)</f>
        <v>0.12348482752007062</v>
      </c>
      <c r="C2070" s="37">
        <f t="shared" ca="1" si="97"/>
        <v>2.6011947050326523</v>
      </c>
      <c r="D2070" s="36">
        <f t="shared" ca="1" si="99"/>
        <v>0.12181742380097149</v>
      </c>
      <c r="E2070" s="32">
        <v>0.12075075147188752</v>
      </c>
      <c r="F2070" s="35">
        <f t="shared" ca="1" si="98"/>
        <v>2.7340760481830984E-3</v>
      </c>
    </row>
    <row r="2071" spans="1:6" x14ac:dyDescent="0.25">
      <c r="A2071" s="23">
        <v>2070</v>
      </c>
      <c r="B2071" s="7" cm="1">
        <f t="array" aca="1" ref="B2071" ca="1">interpolexp(A2071,serie_du,Taxas_DI)</f>
        <v>0.12348402141242332</v>
      </c>
      <c r="C2071" s="37">
        <f t="shared" ca="1" si="97"/>
        <v>2.6023815134348314</v>
      </c>
      <c r="D2071" s="36">
        <f t="shared" ca="1" si="99"/>
        <v>0.12181742264530326</v>
      </c>
      <c r="E2071" s="32">
        <v>0.12075071598249831</v>
      </c>
      <c r="F2071" s="35">
        <f t="shared" ca="1" si="98"/>
        <v>2.7333054299250037E-3</v>
      </c>
    </row>
    <row r="2072" spans="1:6" x14ac:dyDescent="0.25">
      <c r="A2072" s="23">
        <v>2071</v>
      </c>
      <c r="B2072" s="7" cm="1">
        <f t="array" aca="1" ref="B2072" ca="1">interpolexp(A2072,serie_du,Taxas_DI)</f>
        <v>0.1234832160832422</v>
      </c>
      <c r="C2072" s="37">
        <f t="shared" ca="1" si="97"/>
        <v>2.6035688633133134</v>
      </c>
      <c r="D2072" s="36">
        <f t="shared" ca="1" si="99"/>
        <v>0.12181742143934149</v>
      </c>
      <c r="E2072" s="32">
        <v>0.12075068052737059</v>
      </c>
      <c r="F2072" s="35">
        <f t="shared" ca="1" si="98"/>
        <v>2.7325355558716069E-3</v>
      </c>
    </row>
    <row r="2073" spans="1:6" x14ac:dyDescent="0.25">
      <c r="A2073" s="23">
        <v>2072</v>
      </c>
      <c r="B2073" s="7" cm="1">
        <f t="array" aca="1" ref="B2073" ca="1">interpolexp(A2073,serie_du,Taxas_DI)</f>
        <v>0.12348241153141704</v>
      </c>
      <c r="C2073" s="37">
        <f t="shared" ca="1" si="97"/>
        <v>2.6047567549154751</v>
      </c>
      <c r="D2073" s="36">
        <f t="shared" ca="1" si="99"/>
        <v>0.12181742026975773</v>
      </c>
      <c r="E2073" s="32">
        <v>0.12075064510648215</v>
      </c>
      <c r="F2073" s="35">
        <f t="shared" ca="1" si="98"/>
        <v>2.7317664249348894E-3</v>
      </c>
    </row>
    <row r="2074" spans="1:6" x14ac:dyDescent="0.25">
      <c r="A2074" s="23">
        <v>2073</v>
      </c>
      <c r="B2074" s="7" cm="1">
        <f t="array" aca="1" ref="B2074" ca="1">interpolexp(A2074,serie_du,Taxas_DI)</f>
        <v>0.1234816077558154</v>
      </c>
      <c r="C2074" s="37">
        <f t="shared" ca="1" si="97"/>
        <v>2.605945188488346</v>
      </c>
      <c r="D2074" s="36">
        <f t="shared" ca="1" si="99"/>
        <v>0.12181741908658794</v>
      </c>
      <c r="E2074" s="32">
        <v>0.12075060971974416</v>
      </c>
      <c r="F2074" s="35">
        <f t="shared" ca="1" si="98"/>
        <v>2.7309980360712416E-3</v>
      </c>
    </row>
    <row r="2075" spans="1:6" x14ac:dyDescent="0.25">
      <c r="A2075" s="23">
        <v>2074</v>
      </c>
      <c r="B2075" s="7" cm="1">
        <f t="array" aca="1" ref="B2075" ca="1">interpolexp(A2075,serie_du,Taxas_DI)</f>
        <v>0.12348080475530487</v>
      </c>
      <c r="C2075" s="37">
        <f t="shared" ca="1" si="97"/>
        <v>2.6071341642790249</v>
      </c>
      <c r="D2075" s="36">
        <f t="shared" ca="1" si="99"/>
        <v>0.12181741788526201</v>
      </c>
      <c r="E2075" s="32">
        <v>0.12075057436715664</v>
      </c>
      <c r="F2075" s="35">
        <f t="shared" ca="1" si="98"/>
        <v>2.7302303881482359E-3</v>
      </c>
    </row>
    <row r="2076" spans="1:6" x14ac:dyDescent="0.25">
      <c r="A2076" s="23">
        <v>2075</v>
      </c>
      <c r="B2076" s="7" cm="1">
        <f t="array" aca="1" ref="B2076" ca="1">interpolexp(A2076,serie_du,Taxas_DI)</f>
        <v>0.12348000252880675</v>
      </c>
      <c r="C2076" s="37">
        <f t="shared" ca="1" si="97"/>
        <v>2.6083236825357079</v>
      </c>
      <c r="D2076" s="36">
        <f t="shared" ca="1" si="99"/>
        <v>0.12181741677238778</v>
      </c>
      <c r="E2076" s="32">
        <v>0.12075053904863076</v>
      </c>
      <c r="F2076" s="35">
        <f t="shared" ca="1" si="98"/>
        <v>2.7294634801759976E-3</v>
      </c>
    </row>
    <row r="2077" spans="1:6" x14ac:dyDescent="0.25">
      <c r="A2077" s="23">
        <v>2076</v>
      </c>
      <c r="B2077" s="7" cm="1">
        <f t="array" aca="1" ref="B2077" ca="1">interpolexp(A2077,serie_du,Taxas_DI)</f>
        <v>0.12347875261686792</v>
      </c>
      <c r="C2077" s="37">
        <f t="shared" ca="1" si="97"/>
        <v>2.6095051624084835</v>
      </c>
      <c r="D2077" s="36">
        <f t="shared" ca="1" si="99"/>
        <v>0.12088817812503483</v>
      </c>
      <c r="E2077" s="32">
        <v>0.12075050376412211</v>
      </c>
      <c r="F2077" s="35">
        <f t="shared" ca="1" si="98"/>
        <v>2.7282488527458071E-3</v>
      </c>
    </row>
    <row r="2078" spans="1:6" x14ac:dyDescent="0.25">
      <c r="A2078" s="23">
        <v>2077</v>
      </c>
      <c r="B2078" s="7" cm="1">
        <f t="array" aca="1" ref="B2078" ca="1">interpolexp(A2078,serie_du,Taxas_DI)</f>
        <v>0.12347750390853118</v>
      </c>
      <c r="C2078" s="37">
        <f t="shared" ca="1" si="97"/>
        <v>2.6106871774244702</v>
      </c>
      <c r="D2078" s="36">
        <f t="shared" ca="1" si="99"/>
        <v>0.12088817530524598</v>
      </c>
      <c r="E2078" s="32">
        <v>0.12075046851358628</v>
      </c>
      <c r="F2078" s="35">
        <f t="shared" ca="1" si="98"/>
        <v>2.7270353949448989E-3</v>
      </c>
    </row>
    <row r="2079" spans="1:6" x14ac:dyDescent="0.25">
      <c r="A2079" s="23">
        <v>2078</v>
      </c>
      <c r="B2079" s="7" cm="1">
        <f t="array" aca="1" ref="B2079" ca="1">interpolexp(A2079,serie_du,Taxas_DI)</f>
        <v>0.12347625640205528</v>
      </c>
      <c r="C2079" s="37">
        <f t="shared" ca="1" si="97"/>
        <v>2.6118697278260132</v>
      </c>
      <c r="D2079" s="36">
        <f t="shared" ca="1" si="99"/>
        <v>0.12088817248186845</v>
      </c>
      <c r="E2079" s="32">
        <v>0.12075043329700108</v>
      </c>
      <c r="F2079" s="35">
        <f t="shared" ca="1" si="98"/>
        <v>2.7258231050542037E-3</v>
      </c>
    </row>
    <row r="2080" spans="1:6" x14ac:dyDescent="0.25">
      <c r="A2080" s="23">
        <v>2079</v>
      </c>
      <c r="B2080" s="7" cm="1">
        <f t="array" aca="1" ref="B2080" ca="1">interpolexp(A2080,serie_du,Taxas_DI)</f>
        <v>0.12347501009570827</v>
      </c>
      <c r="C2080" s="37">
        <f t="shared" ca="1" si="97"/>
        <v>2.6130528138556848</v>
      </c>
      <c r="D2080" s="36">
        <f t="shared" ca="1" si="99"/>
        <v>0.12088816966772709</v>
      </c>
      <c r="E2080" s="32">
        <v>0.12075039811427768</v>
      </c>
      <c r="F2080" s="35">
        <f t="shared" ca="1" si="98"/>
        <v>2.7246119814305914E-3</v>
      </c>
    </row>
    <row r="2081" spans="1:6" x14ac:dyDescent="0.25">
      <c r="A2081" s="23">
        <v>2080</v>
      </c>
      <c r="B2081" s="7" cm="1">
        <f t="array" aca="1" ref="B2081" ca="1">interpolexp(A2081,serie_du,Taxas_DI)</f>
        <v>0.12347376498771379</v>
      </c>
      <c r="C2081" s="37">
        <f t="shared" ca="1" si="97"/>
        <v>2.6142364357552474</v>
      </c>
      <c r="D2081" s="36">
        <f t="shared" ca="1" si="99"/>
        <v>0.12088816676342873</v>
      </c>
      <c r="E2081" s="32">
        <v>0.12075036296539388</v>
      </c>
      <c r="F2081" s="35">
        <f t="shared" ca="1" si="98"/>
        <v>2.7234020223199096E-3</v>
      </c>
    </row>
    <row r="2082" spans="1:6" x14ac:dyDescent="0.25">
      <c r="A2082" s="23">
        <v>2081</v>
      </c>
      <c r="B2082" s="7" cm="1">
        <f t="array" aca="1" ref="B2082" ca="1">interpolexp(A2082,serie_du,Taxas_DI)</f>
        <v>0.12347252107640649</v>
      </c>
      <c r="C2082" s="37">
        <f t="shared" ca="1" si="97"/>
        <v>2.6154205937686412</v>
      </c>
      <c r="D2082" s="36">
        <f t="shared" ca="1" si="99"/>
        <v>0.12088816399234448</v>
      </c>
      <c r="E2082" s="32">
        <v>0.12075032785028306</v>
      </c>
      <c r="F2082" s="35">
        <f t="shared" ca="1" si="98"/>
        <v>2.7221932261234372E-3</v>
      </c>
    </row>
    <row r="2083" spans="1:6" x14ac:dyDescent="0.25">
      <c r="A2083" s="23">
        <v>2082</v>
      </c>
      <c r="B2083" s="7" cm="1">
        <f t="array" aca="1" ref="B2083" ca="1">interpolexp(A2083,serie_du,Taxas_DI)</f>
        <v>0.12347127836001004</v>
      </c>
      <c r="C2083" s="37">
        <f t="shared" ca="1" si="97"/>
        <v>2.6166052881377224</v>
      </c>
      <c r="D2083" s="36">
        <f t="shared" ca="1" si="99"/>
        <v>0.12088816111753853</v>
      </c>
      <c r="E2083" s="32">
        <v>0.12075029276890081</v>
      </c>
      <c r="F2083" s="35">
        <f t="shared" ca="1" si="98"/>
        <v>2.7209855911092262E-3</v>
      </c>
    </row>
    <row r="2084" spans="1:6" x14ac:dyDescent="0.25">
      <c r="A2084" s="23">
        <v>2083</v>
      </c>
      <c r="B2084" s="7" cm="1">
        <f t="array" aca="1" ref="B2084" ca="1">interpolexp(A2084,serie_du,Taxas_DI)</f>
        <v>0.12347003683685909</v>
      </c>
      <c r="C2084" s="37">
        <f t="shared" ca="1" si="97"/>
        <v>2.6177905191065243</v>
      </c>
      <c r="D2084" s="36">
        <f t="shared" ca="1" si="99"/>
        <v>0.12088815836213884</v>
      </c>
      <c r="E2084" s="32">
        <v>0.12075025772120274</v>
      </c>
      <c r="F2084" s="35">
        <f t="shared" ca="1" si="98"/>
        <v>2.7197791156563511E-3</v>
      </c>
    </row>
    <row r="2085" spans="1:6" x14ac:dyDescent="0.25">
      <c r="A2085" s="23">
        <v>2084</v>
      </c>
      <c r="B2085" s="7" cm="1">
        <f t="array" aca="1" ref="B2085" ca="1">interpolexp(A2085,serie_du,Taxas_DI)</f>
        <v>0.12346879650517728</v>
      </c>
      <c r="C2085" s="37">
        <f t="shared" ca="1" si="97"/>
        <v>2.6189762869169946</v>
      </c>
      <c r="D2085" s="36">
        <f t="shared" ca="1" si="99"/>
        <v>0.12088815548909904</v>
      </c>
      <c r="E2085" s="32">
        <v>0.12075022270714442</v>
      </c>
      <c r="F2085" s="35">
        <f t="shared" ca="1" si="98"/>
        <v>2.7185737980328639E-3</v>
      </c>
    </row>
    <row r="2086" spans="1:6" x14ac:dyDescent="0.25">
      <c r="A2086" s="23">
        <v>2085</v>
      </c>
      <c r="B2086" s="7" cm="1">
        <f t="array" aca="1" ref="B2086" ca="1">interpolexp(A2086,serie_du,Taxas_DI)</f>
        <v>0.12346755736329929</v>
      </c>
      <c r="C2086" s="37">
        <f t="shared" ca="1" si="97"/>
        <v>2.6201625918132616</v>
      </c>
      <c r="D2086" s="36">
        <f t="shared" ca="1" si="99"/>
        <v>0.12088815272197317</v>
      </c>
      <c r="E2086" s="32">
        <v>0.12075018772668145</v>
      </c>
      <c r="F2086" s="35">
        <f t="shared" ca="1" si="98"/>
        <v>2.717369636617839E-3</v>
      </c>
    </row>
    <row r="2087" spans="1:6" x14ac:dyDescent="0.25">
      <c r="A2087" s="23">
        <v>2086</v>
      </c>
      <c r="B2087" s="7" cm="1">
        <f t="array" aca="1" ref="B2087" ca="1">interpolexp(A2087,serie_du,Taxas_DI)</f>
        <v>0.12346631940947095</v>
      </c>
      <c r="C2087" s="37">
        <f t="shared" ca="1" si="97"/>
        <v>2.6213494340377919</v>
      </c>
      <c r="D2087" s="36">
        <f t="shared" ca="1" si="99"/>
        <v>0.12088814986959484</v>
      </c>
      <c r="E2087" s="32">
        <v>0.12075015277974721</v>
      </c>
      <c r="F2087" s="35">
        <f t="shared" ca="1" si="98"/>
        <v>2.7161666297237375E-3</v>
      </c>
    </row>
    <row r="2088" spans="1:6" x14ac:dyDescent="0.25">
      <c r="A2088" s="23">
        <v>2087</v>
      </c>
      <c r="B2088" s="7" cm="1">
        <f t="array" aca="1" ref="B2088" ca="1">interpolexp(A2088,serie_du,Taxas_DI)</f>
        <v>0.12346508264202694</v>
      </c>
      <c r="C2088" s="37">
        <f t="shared" ca="1" si="97"/>
        <v>2.6225368138348091</v>
      </c>
      <c r="D2088" s="36">
        <f t="shared" ca="1" si="99"/>
        <v>0.12088814710949936</v>
      </c>
      <c r="E2088" s="32">
        <v>0.1207501178662973</v>
      </c>
      <c r="F2088" s="35">
        <f t="shared" ca="1" si="98"/>
        <v>2.7149647757296336E-3</v>
      </c>
    </row>
    <row r="2089" spans="1:6" x14ac:dyDescent="0.25">
      <c r="A2089" s="23">
        <v>2088</v>
      </c>
      <c r="B2089" s="7" cm="1">
        <f t="array" aca="1" ref="B2089" ca="1">interpolexp(A2089,serie_du,Taxas_DI)</f>
        <v>0.1234638470592353</v>
      </c>
      <c r="C2089" s="37">
        <f t="shared" ca="1" si="97"/>
        <v>2.6237247314473011</v>
      </c>
      <c r="D2089" s="36">
        <f t="shared" ca="1" si="99"/>
        <v>0.12088814429656125</v>
      </c>
      <c r="E2089" s="32">
        <v>0.12075008298630951</v>
      </c>
      <c r="F2089" s="35">
        <f t="shared" ca="1" si="98"/>
        <v>2.7137640729257839E-3</v>
      </c>
    </row>
    <row r="2090" spans="1:6" x14ac:dyDescent="0.25">
      <c r="A2090" s="23">
        <v>2089</v>
      </c>
      <c r="B2090" s="7" cm="1">
        <f t="array" aca="1" ref="B2090" ca="1">interpolexp(A2090,serie_du,Taxas_DI)</f>
        <v>0.12346261265938629</v>
      </c>
      <c r="C2090" s="37">
        <f t="shared" ca="1" si="97"/>
        <v>2.6249131871187288</v>
      </c>
      <c r="D2090" s="36">
        <f t="shared" ca="1" si="99"/>
        <v>0.12088814146994209</v>
      </c>
      <c r="E2090" s="32">
        <v>0.12075004813969503</v>
      </c>
      <c r="F2090" s="35">
        <f t="shared" ca="1" si="98"/>
        <v>2.7125645196912629E-3</v>
      </c>
    </row>
    <row r="2091" spans="1:6" x14ac:dyDescent="0.25">
      <c r="A2091" s="23">
        <v>2090</v>
      </c>
      <c r="B2091" s="7" cm="1">
        <f t="array" aca="1" ref="B2091" ca="1">interpolexp(A2091,serie_du,Taxas_DI)</f>
        <v>0.12346137944081459</v>
      </c>
      <c r="C2091" s="37">
        <f t="shared" ca="1" si="97"/>
        <v>2.6261021810934619</v>
      </c>
      <c r="D2091" s="36">
        <f t="shared" ca="1" si="99"/>
        <v>0.12088813871559156</v>
      </c>
      <c r="E2091" s="32">
        <v>0.1207500133264352</v>
      </c>
      <c r="F2091" s="35">
        <f t="shared" ca="1" si="98"/>
        <v>2.7113661143793877E-3</v>
      </c>
    </row>
    <row r="2092" spans="1:6" x14ac:dyDescent="0.25">
      <c r="A2092" s="23">
        <v>2091</v>
      </c>
      <c r="B2092" s="7" cm="1">
        <f t="array" aca="1" ref="B2092" ca="1">interpolexp(A2092,serie_du,Taxas_DI)</f>
        <v>0.12346014740178823</v>
      </c>
      <c r="C2092" s="37">
        <f t="shared" ca="1" si="97"/>
        <v>2.6272917136146261</v>
      </c>
      <c r="D2092" s="36">
        <f t="shared" ca="1" si="99"/>
        <v>0.12088813588772451</v>
      </c>
      <c r="E2092" s="32">
        <v>0.12074845213287944</v>
      </c>
      <c r="F2092" s="35">
        <f t="shared" ca="1" si="98"/>
        <v>2.7116952689087981E-3</v>
      </c>
    </row>
    <row r="2093" spans="1:6" x14ac:dyDescent="0.25">
      <c r="A2093" s="23">
        <v>2092</v>
      </c>
      <c r="B2093" s="7" cm="1">
        <f t="array" aca="1" ref="B2093" ca="1">interpolexp(A2093,serie_du,Taxas_DI)</f>
        <v>0.12345891654064189</v>
      </c>
      <c r="C2093" s="37">
        <f t="shared" ca="1" si="97"/>
        <v>2.6284817849266866</v>
      </c>
      <c r="D2093" s="36">
        <f t="shared" ca="1" si="99"/>
        <v>0.12088813311857804</v>
      </c>
      <c r="E2093" s="32">
        <v>0.12074689243188885</v>
      </c>
      <c r="F2093" s="35">
        <f t="shared" ca="1" si="98"/>
        <v>2.7120241087530417E-3</v>
      </c>
    </row>
    <row r="2094" spans="1:6" x14ac:dyDescent="0.25">
      <c r="A2094" s="23">
        <v>2093</v>
      </c>
      <c r="B2094" s="7" cm="1">
        <f t="array" aca="1" ref="B2094" ca="1">interpolexp(A2094,serie_du,Taxas_DI)</f>
        <v>0.12345768685568803</v>
      </c>
      <c r="C2094" s="37">
        <f t="shared" ca="1" si="97"/>
        <v>2.6296723952737255</v>
      </c>
      <c r="D2094" s="36">
        <f t="shared" ca="1" si="99"/>
        <v>0.12088813035497559</v>
      </c>
      <c r="E2094" s="32">
        <v>0.12074533422132827</v>
      </c>
      <c r="F2094" s="35">
        <f t="shared" ca="1" si="98"/>
        <v>2.7123526343597604E-3</v>
      </c>
    </row>
    <row r="2095" spans="1:6" x14ac:dyDescent="0.25">
      <c r="A2095" s="23">
        <v>2094</v>
      </c>
      <c r="B2095" s="7" cm="1">
        <f t="array" aca="1" ref="B2095" ca="1">interpolexp(A2095,serie_du,Taxas_DI)</f>
        <v>0.1234564583452169</v>
      </c>
      <c r="C2095" s="37">
        <f t="shared" ca="1" si="97"/>
        <v>2.6308635448994422</v>
      </c>
      <c r="D2095" s="36">
        <f t="shared" ca="1" si="99"/>
        <v>0.12088812754404454</v>
      </c>
      <c r="E2095" s="32">
        <v>0.12074377749904386</v>
      </c>
      <c r="F2095" s="35">
        <f t="shared" ca="1" si="98"/>
        <v>2.7126808461730434E-3</v>
      </c>
    </row>
    <row r="2096" spans="1:6" x14ac:dyDescent="0.25">
      <c r="A2096" s="23">
        <v>2095</v>
      </c>
      <c r="B2096" s="7" cm="1">
        <f t="array" aca="1" ref="B2096" ca="1">interpolexp(A2096,serie_du,Taxas_DI)</f>
        <v>0.12345523100758538</v>
      </c>
      <c r="C2096" s="37">
        <f t="shared" ca="1" si="97"/>
        <v>2.6320552340488779</v>
      </c>
      <c r="D2096" s="36">
        <f t="shared" ca="1" si="99"/>
        <v>0.12088812481789035</v>
      </c>
      <c r="E2096" s="32">
        <v>0.12074222226290399</v>
      </c>
      <c r="F2096" s="35">
        <f t="shared" ca="1" si="98"/>
        <v>2.7130087446813889E-3</v>
      </c>
    </row>
    <row r="2097" spans="1:6" x14ac:dyDescent="0.25">
      <c r="A2097" s="23">
        <v>2096</v>
      </c>
      <c r="B2097" s="7" cm="1">
        <f t="array" aca="1" ref="B2097" ca="1">interpolexp(A2097,serie_du,Taxas_DI)</f>
        <v>0.12345400484108371</v>
      </c>
      <c r="C2097" s="37">
        <f t="shared" ca="1" si="97"/>
        <v>2.6332474629658278</v>
      </c>
      <c r="D2097" s="36">
        <f t="shared" ca="1" si="99"/>
        <v>0.12088812203096544</v>
      </c>
      <c r="E2097" s="32">
        <v>0.12074066851079923</v>
      </c>
      <c r="F2097" s="35">
        <f t="shared" ca="1" si="98"/>
        <v>2.7133363302844771E-3</v>
      </c>
    </row>
    <row r="2098" spans="1:6" x14ac:dyDescent="0.25">
      <c r="A2098" s="23">
        <v>2097</v>
      </c>
      <c r="B2098" s="7" cm="1">
        <f t="array" aca="1" ref="B2098" ca="1">interpolexp(A2098,serie_du,Taxas_DI)</f>
        <v>0.12345277984404657</v>
      </c>
      <c r="C2098" s="37">
        <f t="shared" ca="1" si="97"/>
        <v>2.6344402318949967</v>
      </c>
      <c r="D2098" s="36">
        <f t="shared" ca="1" si="99"/>
        <v>0.12088811926891063</v>
      </c>
      <c r="E2098" s="32">
        <v>0.12073911624062017</v>
      </c>
      <c r="F2098" s="35">
        <f t="shared" ca="1" si="98"/>
        <v>2.7136636034263972E-3</v>
      </c>
    </row>
    <row r="2099" spans="1:6" x14ac:dyDescent="0.25">
      <c r="A2099" s="23">
        <v>2098</v>
      </c>
      <c r="B2099" s="7" cm="1">
        <f t="array" aca="1" ref="B2099" ca="1">interpolexp(A2099,serie_du,Taxas_DI)</f>
        <v>0.12345155601478641</v>
      </c>
      <c r="C2099" s="37">
        <f t="shared" ca="1" si="97"/>
        <v>2.6356335410807081</v>
      </c>
      <c r="D2099" s="36">
        <f t="shared" ca="1" si="99"/>
        <v>0.12088811647904341</v>
      </c>
      <c r="E2099" s="32">
        <v>0.12073756545021297</v>
      </c>
      <c r="F2099" s="35">
        <f t="shared" ca="1" si="98"/>
        <v>2.713990564573443E-3</v>
      </c>
    </row>
    <row r="2100" spans="1:6" x14ac:dyDescent="0.25">
      <c r="A2100" s="23">
        <v>2099</v>
      </c>
      <c r="B2100" s="7" cm="1">
        <f t="array" aca="1" ref="B2100" ca="1">interpolexp(A2100,serie_du,Taxas_DI)</f>
        <v>0.12345033335166011</v>
      </c>
      <c r="C2100" s="37">
        <f t="shared" ca="1" si="97"/>
        <v>2.6368273907681989</v>
      </c>
      <c r="D2100" s="36">
        <f t="shared" ca="1" si="99"/>
        <v>0.12088811374732389</v>
      </c>
      <c r="E2100" s="32">
        <v>0.12073601613746821</v>
      </c>
      <c r="F2100" s="35">
        <f t="shared" ca="1" si="98"/>
        <v>2.7143172141919081E-3</v>
      </c>
    </row>
    <row r="2101" spans="1:6" x14ac:dyDescent="0.25">
      <c r="A2101" s="23">
        <v>2100</v>
      </c>
      <c r="B2101" s="7" cm="1">
        <f t="array" aca="1" ref="B2101" ca="1">interpolexp(A2101,serie_du,Taxas_DI)</f>
        <v>0.12344911185298013</v>
      </c>
      <c r="C2101" s="37">
        <f t="shared" ca="1" si="97"/>
        <v>2.6380217812018891</v>
      </c>
      <c r="D2101" s="36">
        <f t="shared" ca="1" si="99"/>
        <v>0.12088811097444152</v>
      </c>
      <c r="E2101" s="32">
        <v>0.12073446830027645</v>
      </c>
      <c r="F2101" s="35">
        <f t="shared" ca="1" si="98"/>
        <v>2.7146435527036772E-3</v>
      </c>
    </row>
    <row r="2102" spans="1:6" x14ac:dyDescent="0.25">
      <c r="A2102" s="23">
        <v>2101</v>
      </c>
      <c r="B2102" s="7" cm="1">
        <f t="array" aca="1" ref="B2102" ca="1">interpolexp(A2102,serie_du,Taxas_DI)</f>
        <v>0.12344789151710334</v>
      </c>
      <c r="C2102" s="37">
        <f t="shared" ca="1" si="97"/>
        <v>2.639216712627114</v>
      </c>
      <c r="D2102" s="36">
        <f t="shared" ca="1" si="99"/>
        <v>0.12088810824638241</v>
      </c>
      <c r="E2102" s="32">
        <v>0.1207329219365505</v>
      </c>
      <c r="F2102" s="35">
        <f t="shared" ca="1" si="98"/>
        <v>2.7149695805528395E-3</v>
      </c>
    </row>
    <row r="2103" spans="1:6" x14ac:dyDescent="0.25">
      <c r="A2103" s="23">
        <v>2102</v>
      </c>
      <c r="B2103" s="7" cm="1">
        <f t="array" aca="1" ref="B2103" ca="1">interpolexp(A2103,serie_du,Taxas_DI)</f>
        <v>0.12344667234236439</v>
      </c>
      <c r="C2103" s="37">
        <f t="shared" ca="1" si="97"/>
        <v>2.6404121852888252</v>
      </c>
      <c r="D2103" s="36">
        <f t="shared" ca="1" si="99"/>
        <v>0.12088810551028129</v>
      </c>
      <c r="E2103" s="32">
        <v>0.12073137704418091</v>
      </c>
      <c r="F2103" s="35">
        <f t="shared" ca="1" si="98"/>
        <v>2.7152952981834844E-3</v>
      </c>
    </row>
    <row r="2104" spans="1:6" x14ac:dyDescent="0.25">
      <c r="A2104" s="23">
        <v>2103</v>
      </c>
      <c r="B2104" s="7" cm="1">
        <f t="array" aca="1" ref="B2104" ca="1">interpolexp(A2104,serie_du,Taxas_DI)</f>
        <v>0.12344545432709797</v>
      </c>
      <c r="C2104" s="37">
        <f t="shared" ca="1" si="97"/>
        <v>2.6416081994320217</v>
      </c>
      <c r="D2104" s="36">
        <f t="shared" ca="1" si="99"/>
        <v>0.12088810275933204</v>
      </c>
      <c r="E2104" s="32">
        <v>0.12072983362105827</v>
      </c>
      <c r="F2104" s="35">
        <f t="shared" ca="1" si="98"/>
        <v>2.7156207060397008E-3</v>
      </c>
    </row>
    <row r="2105" spans="1:6" x14ac:dyDescent="0.25">
      <c r="A2105" s="23">
        <v>2104</v>
      </c>
      <c r="B2105" s="7" cm="1">
        <f t="array" aca="1" ref="B2105" ca="1">interpolexp(A2105,serie_du,Taxas_DI)</f>
        <v>0.12344423746966093</v>
      </c>
      <c r="C2105" s="37">
        <f t="shared" ca="1" si="97"/>
        <v>2.6428047553021887</v>
      </c>
      <c r="D2105" s="36">
        <f t="shared" ca="1" si="99"/>
        <v>0.12088810003364348</v>
      </c>
      <c r="E2105" s="32">
        <v>0.12072829166509536</v>
      </c>
      <c r="F2105" s="35">
        <f t="shared" ca="1" si="98"/>
        <v>2.7159458045655782E-3</v>
      </c>
    </row>
    <row r="2106" spans="1:6" x14ac:dyDescent="0.25">
      <c r="A2106" s="23">
        <v>2105</v>
      </c>
      <c r="B2106" s="7" cm="1">
        <f t="array" aca="1" ref="B2106" ca="1">interpolexp(A2106,serie_du,Taxas_DI)</f>
        <v>0.12344302176838795</v>
      </c>
      <c r="C2106" s="37">
        <f t="shared" ca="1" si="97"/>
        <v>2.6440018531444234</v>
      </c>
      <c r="D2106" s="36">
        <f t="shared" ca="1" si="99"/>
        <v>0.12088809727980609</v>
      </c>
      <c r="E2106" s="32">
        <v>0.12072675117418274</v>
      </c>
      <c r="F2106" s="35">
        <f t="shared" ca="1" si="98"/>
        <v>2.7162705942052057E-3</v>
      </c>
    </row>
    <row r="2107" spans="1:6" x14ac:dyDescent="0.25">
      <c r="A2107" s="23">
        <v>2106</v>
      </c>
      <c r="B2107" s="7" cm="1">
        <f t="array" aca="1" ref="B2107" ca="1">interpolexp(A2107,serie_du,Taxas_DI)</f>
        <v>0.12344180722163589</v>
      </c>
      <c r="C2107" s="37">
        <f t="shared" ca="1" si="97"/>
        <v>2.6451994932043092</v>
      </c>
      <c r="D2107" s="36">
        <f t="shared" ca="1" si="99"/>
        <v>0.12088809453808547</v>
      </c>
      <c r="E2107" s="32">
        <v>0.12072521214625542</v>
      </c>
      <c r="F2107" s="35">
        <f t="shared" ca="1" si="98"/>
        <v>2.716595075380468E-3</v>
      </c>
    </row>
    <row r="2108" spans="1:6" x14ac:dyDescent="0.25">
      <c r="A2108" s="23">
        <v>2107</v>
      </c>
      <c r="B2108" s="7" cm="1">
        <f t="array" aca="1" ref="B2108" ca="1">interpolexp(A2108,serie_du,Taxas_DI)</f>
        <v>0.12344059382778383</v>
      </c>
      <c r="C2108" s="37">
        <f t="shared" ca="1" si="97"/>
        <v>2.6463976757279157</v>
      </c>
      <c r="D2108" s="36">
        <f t="shared" ca="1" si="99"/>
        <v>0.12088809184823912</v>
      </c>
      <c r="E2108" s="32">
        <v>0.12072367457922617</v>
      </c>
      <c r="F2108" s="35">
        <f t="shared" ca="1" si="98"/>
        <v>2.7169192485576588E-3</v>
      </c>
    </row>
    <row r="2109" spans="1:6" x14ac:dyDescent="0.25">
      <c r="A2109" s="23">
        <v>2108</v>
      </c>
      <c r="B2109" s="7" cm="1">
        <f t="array" aca="1" ref="B2109" ca="1">interpolexp(A2109,serie_du,Taxas_DI)</f>
        <v>0.12343938158516643</v>
      </c>
      <c r="C2109" s="37">
        <f t="shared" ca="1" si="97"/>
        <v>2.6475964009604906</v>
      </c>
      <c r="D2109" s="36">
        <f t="shared" ca="1" si="99"/>
        <v>0.12088808911082216</v>
      </c>
      <c r="E2109" s="32">
        <v>0.12072213847100777</v>
      </c>
      <c r="F2109" s="35">
        <f t="shared" ca="1" si="98"/>
        <v>2.7172431141586628E-3</v>
      </c>
    </row>
    <row r="2110" spans="1:6" x14ac:dyDescent="0.25">
      <c r="A2110" s="23">
        <v>2109</v>
      </c>
      <c r="B2110" s="7" cm="1">
        <f t="array" aca="1" ref="B2110" ca="1">interpolexp(A2110,serie_du,Taxas_DI)</f>
        <v>0.12343817049214056</v>
      </c>
      <c r="C2110" s="37">
        <f t="shared" ca="1" si="97"/>
        <v>2.6487956691477645</v>
      </c>
      <c r="D2110" s="36">
        <f t="shared" ca="1" si="99"/>
        <v>0.12088808636553172</v>
      </c>
      <c r="E2110" s="32">
        <v>0.1207206038195352</v>
      </c>
      <c r="F2110" s="35">
        <f t="shared" ca="1" si="98"/>
        <v>2.7175666726053649E-3</v>
      </c>
    </row>
    <row r="2111" spans="1:6" x14ac:dyDescent="0.25">
      <c r="A2111" s="23">
        <v>2110</v>
      </c>
      <c r="B2111" s="7" cm="1">
        <f t="array" aca="1" ref="B2111" ca="1">interpolexp(A2111,serie_du,Taxas_DI)</f>
        <v>0.12343696054710751</v>
      </c>
      <c r="C2111" s="37">
        <f t="shared" ca="1" si="97"/>
        <v>2.6499954805363988</v>
      </c>
      <c r="D2111" s="36">
        <f t="shared" ca="1" si="99"/>
        <v>0.12088808369958359</v>
      </c>
      <c r="E2111" s="32">
        <v>0.12071907062274345</v>
      </c>
      <c r="F2111" s="35">
        <f t="shared" ca="1" si="98"/>
        <v>2.7178899243640586E-3</v>
      </c>
    </row>
    <row r="2112" spans="1:6" x14ac:dyDescent="0.25">
      <c r="A2112" s="23">
        <v>2111</v>
      </c>
      <c r="B2112" s="7" cm="1">
        <f t="array" aca="1" ref="B2112" ca="1">interpolexp(A2112,serie_du,Taxas_DI)</f>
        <v>0.12343575174840193</v>
      </c>
      <c r="C2112" s="37">
        <f t="shared" ca="1" si="97"/>
        <v>2.6511958353717864</v>
      </c>
      <c r="D2112" s="36">
        <f t="shared" ca="1" si="99"/>
        <v>0.12088808096601067</v>
      </c>
      <c r="E2112" s="32">
        <v>0.1207175388785231</v>
      </c>
      <c r="F2112" s="35">
        <f t="shared" ca="1" si="98"/>
        <v>2.7182128698788333E-3</v>
      </c>
    </row>
    <row r="2113" spans="1:6" x14ac:dyDescent="0.25">
      <c r="A2113" s="23">
        <v>2112</v>
      </c>
      <c r="B2113" s="7" cm="1">
        <f t="array" aca="1" ref="B2113" ca="1">interpolexp(A2113,serie_du,Taxas_DI)</f>
        <v>0.12343454409440291</v>
      </c>
      <c r="C2113" s="37">
        <f t="shared" ca="1" si="97"/>
        <v>2.6523967339002503</v>
      </c>
      <c r="D2113" s="36">
        <f t="shared" ca="1" si="99"/>
        <v>0.12088807825195902</v>
      </c>
      <c r="E2113" s="32">
        <v>0.12071600858487574</v>
      </c>
      <c r="F2113" s="35">
        <f t="shared" ca="1" si="98"/>
        <v>2.7185355095271646E-3</v>
      </c>
    </row>
    <row r="2114" spans="1:6" x14ac:dyDescent="0.25">
      <c r="A2114" s="23">
        <v>2113</v>
      </c>
      <c r="B2114" s="7" cm="1">
        <f t="array" aca="1" ref="B2114" ca="1">interpolexp(A2114,serie_du,Taxas_DI)</f>
        <v>0.12343333758348951</v>
      </c>
      <c r="C2114" s="37">
        <f t="shared" ref="C2114:C2177" ca="1" si="100">(1+B2114)^(A2114/252)</f>
        <v>2.653598176368162</v>
      </c>
      <c r="D2114" s="36">
        <f t="shared" ca="1" si="99"/>
        <v>0.12088807555079639</v>
      </c>
      <c r="E2114" s="32">
        <v>0.12071447973969196</v>
      </c>
      <c r="F2114" s="35">
        <f t="shared" ref="F2114:F2177" ca="1" si="101">B2114-E2114</f>
        <v>2.7188578437975508E-3</v>
      </c>
    </row>
    <row r="2115" spans="1:6" x14ac:dyDescent="0.25">
      <c r="A2115" s="23">
        <v>2114</v>
      </c>
      <c r="B2115" s="7" cm="1">
        <f t="array" aca="1" ref="B2115" ca="1">interpolexp(A2115,serie_du,Taxas_DI)</f>
        <v>0.12343213221406302</v>
      </c>
      <c r="C2115" s="37">
        <f t="shared" ca="1" si="100"/>
        <v>2.6548001630223865</v>
      </c>
      <c r="D2115" s="36">
        <f t="shared" ca="1" si="99"/>
        <v>0.12088807290310122</v>
      </c>
      <c r="E2115" s="32">
        <v>0.12071295234092894</v>
      </c>
      <c r="F2115" s="35">
        <f t="shared" ca="1" si="101"/>
        <v>2.719179873134081E-3</v>
      </c>
    </row>
    <row r="2116" spans="1:6" x14ac:dyDescent="0.25">
      <c r="A2116" s="23">
        <v>2115</v>
      </c>
      <c r="B2116" s="7" cm="1">
        <f t="array" aca="1" ref="B2116" ca="1">interpolexp(A2116,serie_du,Taxas_DI)</f>
        <v>0.12343092798445809</v>
      </c>
      <c r="C2116" s="37">
        <f t="shared" ca="1" si="100"/>
        <v>2.6560026941085169</v>
      </c>
      <c r="D2116" s="36">
        <f t="shared" ref="D2116:D2179" ca="1" si="102">((((1+B2116)^(A2116/252))/((1+B2115)^(A2115/252)))^(252/1))-1</f>
        <v>0.12088807016160041</v>
      </c>
      <c r="E2116" s="32">
        <v>0.12071142638654386</v>
      </c>
      <c r="F2116" s="35">
        <f t="shared" ca="1" si="101"/>
        <v>2.7195015979142312E-3</v>
      </c>
    </row>
    <row r="2117" spans="1:6" x14ac:dyDescent="0.25">
      <c r="A2117" s="23">
        <v>2116</v>
      </c>
      <c r="B2117" s="7" cm="1">
        <f t="array" aca="1" ref="B2117" ca="1">interpolexp(A2117,serie_du,Taxas_DI)</f>
        <v>0.12342972489307602</v>
      </c>
      <c r="C2117" s="37">
        <f t="shared" ca="1" si="100"/>
        <v>2.6572057698735185</v>
      </c>
      <c r="D2117" s="36">
        <f t="shared" ca="1" si="102"/>
        <v>0.12088806746055569</v>
      </c>
      <c r="E2117" s="32">
        <v>0.12070990187447173</v>
      </c>
      <c r="F2117" s="35">
        <f t="shared" ca="1" si="101"/>
        <v>2.7198230186042949E-3</v>
      </c>
    </row>
    <row r="2118" spans="1:6" x14ac:dyDescent="0.25">
      <c r="A2118" s="23">
        <v>2117</v>
      </c>
      <c r="B2118" s="7" cm="1">
        <f t="array" aca="1" ref="B2118" ca="1">interpolexp(A2118,serie_du,Taxas_DI)</f>
        <v>0.12342852293831807</v>
      </c>
      <c r="C2118" s="37">
        <f t="shared" ca="1" si="100"/>
        <v>2.6584093905644077</v>
      </c>
      <c r="D2118" s="36">
        <f t="shared" ca="1" si="102"/>
        <v>0.12088806479342562</v>
      </c>
      <c r="E2118" s="32">
        <v>0.12070837880269192</v>
      </c>
      <c r="F2118" s="35">
        <f t="shared" ca="1" si="101"/>
        <v>2.7201441356261569E-3</v>
      </c>
    </row>
    <row r="2119" spans="1:6" x14ac:dyDescent="0.25">
      <c r="A2119" s="23">
        <v>2118</v>
      </c>
      <c r="B2119" s="7" cm="1">
        <f t="array" aca="1" ref="B2119" ca="1">interpolexp(A2119,serie_du,Taxas_DI)</f>
        <v>0.12342732211856333</v>
      </c>
      <c r="C2119" s="37">
        <f t="shared" ca="1" si="100"/>
        <v>2.6596135564278121</v>
      </c>
      <c r="D2119" s="36">
        <f t="shared" ca="1" si="102"/>
        <v>0.12088806210692682</v>
      </c>
      <c r="E2119" s="32">
        <v>0.12070685716913943</v>
      </c>
      <c r="F2119" s="35">
        <f t="shared" ca="1" si="101"/>
        <v>2.7204649494239064E-3</v>
      </c>
    </row>
    <row r="2120" spans="1:6" x14ac:dyDescent="0.25">
      <c r="A2120" s="23">
        <v>2119</v>
      </c>
      <c r="B2120" s="7" cm="1">
        <f t="array" aca="1" ref="B2120" ca="1">interpolexp(A2120,serie_du,Taxas_DI)</f>
        <v>0.12342612243221307</v>
      </c>
      <c r="C2120" s="37">
        <f t="shared" ca="1" si="100"/>
        <v>2.6608182677108516</v>
      </c>
      <c r="D2120" s="36">
        <f t="shared" ca="1" si="102"/>
        <v>0.12088805944162506</v>
      </c>
      <c r="E2120" s="32">
        <v>0.12070533697179364</v>
      </c>
      <c r="F2120" s="35">
        <f t="shared" ca="1" si="101"/>
        <v>2.7207854604194281E-3</v>
      </c>
    </row>
    <row r="2121" spans="1:6" x14ac:dyDescent="0.25">
      <c r="A2121" s="23">
        <v>2120</v>
      </c>
      <c r="B2121" s="7" cm="1">
        <f t="array" aca="1" ref="B2121" ca="1">interpolexp(A2121,serie_du,Taxas_DI)</f>
        <v>0.12342492387764636</v>
      </c>
      <c r="C2121" s="37">
        <f t="shared" ca="1" si="100"/>
        <v>2.6620235246602562</v>
      </c>
      <c r="D2121" s="36">
        <f t="shared" ca="1" si="102"/>
        <v>0.12088805674409064</v>
      </c>
      <c r="E2121" s="32">
        <v>0.12070381820863396</v>
      </c>
      <c r="F2121" s="35">
        <f t="shared" ca="1" si="101"/>
        <v>2.7211056690124025E-3</v>
      </c>
    </row>
    <row r="2122" spans="1:6" x14ac:dyDescent="0.25">
      <c r="A2122" s="23">
        <v>2121</v>
      </c>
      <c r="B2122" s="7" cm="1">
        <f t="array" aca="1" ref="B2122" ca="1">interpolexp(A2122,serie_du,Taxas_DI)</f>
        <v>0.12342372645326449</v>
      </c>
      <c r="C2122" s="37">
        <f t="shared" ca="1" si="100"/>
        <v>2.6632293275232475</v>
      </c>
      <c r="D2122" s="36">
        <f t="shared" ca="1" si="102"/>
        <v>0.12088805405468883</v>
      </c>
      <c r="E2122" s="32">
        <v>0.12070230087759537</v>
      </c>
      <c r="F2122" s="35">
        <f t="shared" ca="1" si="101"/>
        <v>2.721425575669123E-3</v>
      </c>
    </row>
    <row r="2123" spans="1:6" x14ac:dyDescent="0.25">
      <c r="A2123" s="23">
        <v>2122</v>
      </c>
      <c r="B2123" s="7" cm="1">
        <f t="array" aca="1" ref="B2123" ca="1">interpolexp(A2123,serie_du,Taxas_DI)</f>
        <v>0.12342253015749094</v>
      </c>
      <c r="C2123" s="37">
        <f t="shared" ca="1" si="100"/>
        <v>2.6644356765475439</v>
      </c>
      <c r="D2123" s="36">
        <f t="shared" ca="1" si="102"/>
        <v>0.12088805141428605</v>
      </c>
      <c r="E2123" s="32">
        <v>0.12070078497670167</v>
      </c>
      <c r="F2123" s="35">
        <f t="shared" ca="1" si="101"/>
        <v>2.7217451807892701E-3</v>
      </c>
    </row>
    <row r="2124" spans="1:6" x14ac:dyDescent="0.25">
      <c r="A2124" s="23">
        <v>2123</v>
      </c>
      <c r="B2124" s="7" cm="1">
        <f t="array" aca="1" ref="B2124" ca="1">interpolexp(A2124,serie_du,Taxas_DI)</f>
        <v>0.12342133498872698</v>
      </c>
      <c r="C2124" s="37">
        <f t="shared" ca="1" si="100"/>
        <v>2.6656425719804728</v>
      </c>
      <c r="D2124" s="36">
        <f t="shared" ca="1" si="102"/>
        <v>0.12088804876944281</v>
      </c>
      <c r="E2124" s="32">
        <v>0.12069927050388785</v>
      </c>
      <c r="F2124" s="35">
        <f t="shared" ca="1" si="101"/>
        <v>2.7220644848391373E-3</v>
      </c>
    </row>
    <row r="2125" spans="1:6" x14ac:dyDescent="0.25">
      <c r="A2125" s="23">
        <v>2124</v>
      </c>
      <c r="B2125" s="7" cm="1">
        <f t="array" aca="1" ref="B2125" ca="1">interpolexp(A2125,serie_du,Taxas_DI)</f>
        <v>0.1234201409453517</v>
      </c>
      <c r="C2125" s="37">
        <f t="shared" ca="1" si="100"/>
        <v>2.6668500140689688</v>
      </c>
      <c r="D2125" s="36">
        <f t="shared" ca="1" si="102"/>
        <v>0.12088804606669568</v>
      </c>
      <c r="E2125" s="32">
        <v>0.1206977574571555</v>
      </c>
      <c r="F2125" s="35">
        <f t="shared" ca="1" si="101"/>
        <v>2.7223834881962006E-3</v>
      </c>
    </row>
    <row r="2126" spans="1:6" x14ac:dyDescent="0.25">
      <c r="A2126" s="23">
        <v>2125</v>
      </c>
      <c r="B2126" s="7" cm="1">
        <f t="array" aca="1" ref="B2126" ca="1">interpolexp(A2126,serie_du,Taxas_DI)</f>
        <v>0.12341894802581077</v>
      </c>
      <c r="C2126" s="37">
        <f t="shared" ca="1" si="100"/>
        <v>2.6680580030613505</v>
      </c>
      <c r="D2126" s="36">
        <f t="shared" ca="1" si="102"/>
        <v>0.12088804344080661</v>
      </c>
      <c r="E2126" s="32">
        <v>0.12069624583448402</v>
      </c>
      <c r="F2126" s="35">
        <f t="shared" ca="1" si="101"/>
        <v>2.7227021913267535E-3</v>
      </c>
    </row>
    <row r="2127" spans="1:6" x14ac:dyDescent="0.25">
      <c r="A2127" s="23">
        <v>2126</v>
      </c>
      <c r="B2127" s="7" cm="1">
        <f t="array" aca="1" ref="B2127" ca="1">interpolexp(A2127,serie_du,Taxas_DI)</f>
        <v>0.12341775622850548</v>
      </c>
      <c r="C2127" s="37">
        <f t="shared" ca="1" si="100"/>
        <v>2.6692665392051027</v>
      </c>
      <c r="D2127" s="36">
        <f t="shared" ca="1" si="102"/>
        <v>0.12088804079155135</v>
      </c>
      <c r="E2127" s="32">
        <v>0.12069473563389721</v>
      </c>
      <c r="F2127" s="35">
        <f t="shared" ca="1" si="101"/>
        <v>2.7230205946082719E-3</v>
      </c>
    </row>
    <row r="2128" spans="1:6" x14ac:dyDescent="0.25">
      <c r="A2128" s="23">
        <v>2127</v>
      </c>
      <c r="B2128" s="7" cm="1">
        <f t="array" aca="1" ref="B2128" ca="1">interpolexp(A2128,serie_du,Taxas_DI)</f>
        <v>0.12341656555183711</v>
      </c>
      <c r="C2128" s="37">
        <f t="shared" ca="1" si="100"/>
        <v>2.670475622747758</v>
      </c>
      <c r="D2128" s="36">
        <f t="shared" ca="1" si="102"/>
        <v>0.12088803811212712</v>
      </c>
      <c r="E2128" s="32">
        <v>0.12069322685333006</v>
      </c>
      <c r="F2128" s="35">
        <f t="shared" ca="1" si="101"/>
        <v>2.7233386985070496E-3</v>
      </c>
    </row>
    <row r="2129" spans="1:6" x14ac:dyDescent="0.25">
      <c r="A2129" s="23">
        <v>2128</v>
      </c>
      <c r="B2129" s="7" cm="1">
        <f t="array" aca="1" ref="B2129" ca="1">interpolexp(A2129,serie_du,Taxas_DI)</f>
        <v>0.12341537599425134</v>
      </c>
      <c r="C2129" s="37">
        <f t="shared" ca="1" si="100"/>
        <v>2.6716852539377962</v>
      </c>
      <c r="D2129" s="36">
        <f t="shared" ca="1" si="102"/>
        <v>0.12088803549088434</v>
      </c>
      <c r="E2129" s="32">
        <v>0.12069171949082858</v>
      </c>
      <c r="F2129" s="35">
        <f t="shared" ca="1" si="101"/>
        <v>2.7236565034227667E-3</v>
      </c>
    </row>
    <row r="2130" spans="1:6" x14ac:dyDescent="0.25">
      <c r="A2130" s="23">
        <v>2129</v>
      </c>
      <c r="B2130" s="7" cm="1">
        <f t="array" aca="1" ref="B2130" ca="1">interpolexp(A2130,serie_du,Taxas_DI)</f>
        <v>0.12341418755414946</v>
      </c>
      <c r="C2130" s="37">
        <f t="shared" ca="1" si="100"/>
        <v>2.6728954330228549</v>
      </c>
      <c r="D2130" s="36">
        <f t="shared" ca="1" si="102"/>
        <v>0.12088803282689087</v>
      </c>
      <c r="E2130" s="32">
        <v>0.12069021354437215</v>
      </c>
      <c r="F2130" s="35">
        <f t="shared" ca="1" si="101"/>
        <v>2.723974009777308E-3</v>
      </c>
    </row>
    <row r="2131" spans="1:6" x14ac:dyDescent="0.25">
      <c r="A2131" s="23">
        <v>2130</v>
      </c>
      <c r="B2131" s="7" cm="1">
        <f t="array" aca="1" ref="B2131" ca="1">interpolexp(A2131,serie_du,Taxas_DI)</f>
        <v>0.12341300022997714</v>
      </c>
      <c r="C2131" s="37">
        <f t="shared" ca="1" si="100"/>
        <v>2.674106160251521</v>
      </c>
      <c r="D2131" s="36">
        <f t="shared" ca="1" si="102"/>
        <v>0.12088803020859595</v>
      </c>
      <c r="E2131" s="32">
        <v>0.12068870901196238</v>
      </c>
      <c r="F2131" s="35">
        <f t="shared" ca="1" si="101"/>
        <v>2.7242912180147627E-3</v>
      </c>
    </row>
    <row r="2132" spans="1:6" x14ac:dyDescent="0.25">
      <c r="A2132" s="23">
        <v>2131</v>
      </c>
      <c r="B2132" s="7" cm="1">
        <f t="array" aca="1" ref="B2132" ca="1">interpolexp(A2132,serie_du,Taxas_DI)</f>
        <v>0.12341181402013568</v>
      </c>
      <c r="C2132" s="37">
        <f t="shared" ca="1" si="100"/>
        <v>2.6753174358715364</v>
      </c>
      <c r="D2132" s="36">
        <f t="shared" ca="1" si="102"/>
        <v>0.12088802753480099</v>
      </c>
      <c r="E2132" s="32">
        <v>0.12068720589164528</v>
      </c>
      <c r="F2132" s="35">
        <f t="shared" ca="1" si="101"/>
        <v>2.7246081284904022E-3</v>
      </c>
    </row>
    <row r="2133" spans="1:6" x14ac:dyDescent="0.25">
      <c r="A2133" s="23">
        <v>2132</v>
      </c>
      <c r="B2133" s="7" cm="1">
        <f t="array" aca="1" ref="B2133" ca="1">interpolexp(A2133,serie_du,Taxas_DI)</f>
        <v>0.12341062892309296</v>
      </c>
      <c r="C2133" s="37">
        <f t="shared" ca="1" si="100"/>
        <v>2.6765292601320412</v>
      </c>
      <c r="D2133" s="36">
        <f t="shared" ca="1" si="102"/>
        <v>0.12088802494134332</v>
      </c>
      <c r="E2133" s="32">
        <v>0.12068570418137803</v>
      </c>
      <c r="F2133" s="35">
        <f t="shared" ca="1" si="101"/>
        <v>2.7249247417149292E-3</v>
      </c>
    </row>
    <row r="2134" spans="1:6" x14ac:dyDescent="0.25">
      <c r="A2134" s="23">
        <v>2133</v>
      </c>
      <c r="B2134" s="7" cm="1">
        <f t="array" aca="1" ref="B2134" ca="1">interpolexp(A2134,serie_du,Taxas_DI)</f>
        <v>0.12340944493727246</v>
      </c>
      <c r="C2134" s="37">
        <f t="shared" ca="1" si="100"/>
        <v>2.6777416332813324</v>
      </c>
      <c r="D2134" s="36">
        <f t="shared" ca="1" si="102"/>
        <v>0.12088802232731144</v>
      </c>
      <c r="E2134" s="32">
        <v>0.12068420387922885</v>
      </c>
      <c r="F2134" s="35">
        <f t="shared" ca="1" si="101"/>
        <v>2.7252410580436148E-3</v>
      </c>
    </row>
    <row r="2135" spans="1:6" x14ac:dyDescent="0.25">
      <c r="A2135" s="23">
        <v>2134</v>
      </c>
      <c r="B2135" s="7" cm="1">
        <f t="array" aca="1" ref="B2135" ca="1">interpolexp(A2135,serie_du,Taxas_DI)</f>
        <v>0.12340826206109767</v>
      </c>
      <c r="C2135" s="37">
        <f t="shared" ca="1" si="100"/>
        <v>2.6789545555677607</v>
      </c>
      <c r="D2135" s="36">
        <f t="shared" ca="1" si="102"/>
        <v>0.12088801968644591</v>
      </c>
      <c r="E2135" s="32">
        <v>0.12068270498319933</v>
      </c>
      <c r="F2135" s="35">
        <f t="shared" ca="1" si="101"/>
        <v>2.725557077898344E-3</v>
      </c>
    </row>
    <row r="2136" spans="1:6" x14ac:dyDescent="0.25">
      <c r="A2136" s="23">
        <v>2135</v>
      </c>
      <c r="B2136" s="7" cm="1">
        <f t="array" aca="1" ref="B2136" ca="1">interpolexp(A2136,serie_du,Taxas_DI)</f>
        <v>0.12340708029301428</v>
      </c>
      <c r="C2136" s="37">
        <f t="shared" ca="1" si="100"/>
        <v>2.6801680272401764</v>
      </c>
      <c r="D2136" s="36">
        <f t="shared" ca="1" si="102"/>
        <v>0.12088801705961849</v>
      </c>
      <c r="E2136" s="32">
        <v>0.12068120749129108</v>
      </c>
      <c r="F2136" s="35">
        <f t="shared" ca="1" si="101"/>
        <v>2.7258728017232059E-3</v>
      </c>
    </row>
    <row r="2137" spans="1:6" x14ac:dyDescent="0.25">
      <c r="A2137" s="23">
        <v>2136</v>
      </c>
      <c r="B2137" s="7" cm="1">
        <f t="array" aca="1" ref="B2137" ca="1">interpolexp(A2137,serie_du,Taxas_DI)</f>
        <v>0.12340589963146797</v>
      </c>
      <c r="C2137" s="37">
        <f t="shared" ca="1" si="100"/>
        <v>2.6813820485474871</v>
      </c>
      <c r="D2137" s="36">
        <f t="shared" ca="1" si="102"/>
        <v>0.12088801444101449</v>
      </c>
      <c r="E2137" s="32">
        <v>0.1206797114015723</v>
      </c>
      <c r="F2137" s="35">
        <f t="shared" ca="1" si="101"/>
        <v>2.7261882298956763E-3</v>
      </c>
    </row>
    <row r="2138" spans="1:6" x14ac:dyDescent="0.25">
      <c r="A2138" s="23">
        <v>2137</v>
      </c>
      <c r="B2138" s="7" cm="1">
        <f t="array" aca="1" ref="B2138" ca="1">interpolexp(A2138,serie_du,Taxas_DI)</f>
        <v>0.12340472007490444</v>
      </c>
      <c r="C2138" s="37">
        <f t="shared" ca="1" si="100"/>
        <v>2.6825966197386504</v>
      </c>
      <c r="D2138" s="36">
        <f t="shared" ca="1" si="102"/>
        <v>0.12088801182396969</v>
      </c>
      <c r="E2138" s="32">
        <v>0.12067821671204459</v>
      </c>
      <c r="F2138" s="35">
        <f t="shared" ca="1" si="101"/>
        <v>2.7265033628598445E-3</v>
      </c>
    </row>
    <row r="2139" spans="1:6" x14ac:dyDescent="0.25">
      <c r="A2139" s="23">
        <v>2138</v>
      </c>
      <c r="B2139" s="7" cm="1">
        <f t="array" aca="1" ref="B2139" ca="1">interpolexp(A2139,serie_du,Taxas_DI)</f>
        <v>0.12340354162179157</v>
      </c>
      <c r="C2139" s="37">
        <f t="shared" ca="1" si="100"/>
        <v>2.6838117410631308</v>
      </c>
      <c r="D2139" s="36">
        <f t="shared" ca="1" si="102"/>
        <v>0.12088800924993959</v>
      </c>
      <c r="E2139" s="32">
        <v>0.12067672342073177</v>
      </c>
      <c r="F2139" s="35">
        <f t="shared" ca="1" si="101"/>
        <v>2.7268182010597997E-3</v>
      </c>
    </row>
    <row r="2140" spans="1:6" x14ac:dyDescent="0.25">
      <c r="A2140" s="23">
        <v>2139</v>
      </c>
      <c r="B2140" s="7" cm="1">
        <f t="array" aca="1" ref="B2140" ca="1">interpolexp(A2140,serie_du,Taxas_DI)</f>
        <v>0.12340236427055284</v>
      </c>
      <c r="C2140" s="37">
        <f t="shared" ca="1" si="100"/>
        <v>2.685027412769545</v>
      </c>
      <c r="D2140" s="36">
        <f t="shared" ca="1" si="102"/>
        <v>0.12088800661783838</v>
      </c>
      <c r="E2140" s="32">
        <v>0.12067523152572424</v>
      </c>
      <c r="F2140" s="35">
        <f t="shared" ca="1" si="101"/>
        <v>2.7271327448286087E-3</v>
      </c>
    </row>
    <row r="2141" spans="1:6" x14ac:dyDescent="0.25">
      <c r="A2141" s="23">
        <v>2140</v>
      </c>
      <c r="B2141" s="7" cm="1">
        <f t="array" aca="1" ref="B2141" ca="1">interpolexp(A2141,serie_du,Taxas_DI)</f>
        <v>0.12340118801965616</v>
      </c>
      <c r="C2141" s="37">
        <f t="shared" ca="1" si="100"/>
        <v>2.686243635107465</v>
      </c>
      <c r="D2141" s="36">
        <f t="shared" ca="1" si="102"/>
        <v>0.1208880040164273</v>
      </c>
      <c r="E2141" s="32">
        <v>0.12067374102500139</v>
      </c>
      <c r="F2141" s="35">
        <f t="shared" ca="1" si="101"/>
        <v>2.7274469946547697E-3</v>
      </c>
    </row>
    <row r="2142" spans="1:6" x14ac:dyDescent="0.25">
      <c r="A2142" s="23">
        <v>2141</v>
      </c>
      <c r="B2142" s="7" cm="1">
        <f t="array" aca="1" ref="B2142" ca="1">interpolexp(A2142,serie_du,Taxas_DI)</f>
        <v>0.12340001286756941</v>
      </c>
      <c r="C2142" s="37">
        <f t="shared" ca="1" si="100"/>
        <v>2.6874604083265163</v>
      </c>
      <c r="D2142" s="36">
        <f t="shared" ca="1" si="102"/>
        <v>0.12088800143923506</v>
      </c>
      <c r="E2142" s="32">
        <v>0.12067225191667585</v>
      </c>
      <c r="F2142" s="35">
        <f t="shared" ca="1" si="101"/>
        <v>2.7277609508935541E-3</v>
      </c>
    </row>
    <row r="2143" spans="1:6" x14ac:dyDescent="0.25">
      <c r="A2143" s="23">
        <v>2142</v>
      </c>
      <c r="B2143" s="7" cm="1">
        <f t="array" aca="1" ref="B2143" ca="1">interpolexp(A2143,serie_du,Taxas_DI)</f>
        <v>0.12339883881273828</v>
      </c>
      <c r="C2143" s="37">
        <f t="shared" ca="1" si="100"/>
        <v>2.6886777326759299</v>
      </c>
      <c r="D2143" s="36">
        <f t="shared" ca="1" si="102"/>
        <v>0.12088799883311796</v>
      </c>
      <c r="E2143" s="32">
        <v>0.12067076419872702</v>
      </c>
      <c r="F2143" s="35">
        <f t="shared" ca="1" si="101"/>
        <v>2.7280746140112555E-3</v>
      </c>
    </row>
    <row r="2144" spans="1:6" x14ac:dyDescent="0.25">
      <c r="A2144" s="23">
        <v>2143</v>
      </c>
      <c r="B2144" s="7" cm="1">
        <f t="array" aca="1" ref="B2144" ca="1">interpolexp(A2144,serie_du,Taxas_DI)</f>
        <v>0.12339766585363066</v>
      </c>
      <c r="C2144" s="37">
        <f t="shared" ca="1" si="100"/>
        <v>2.6898956084054406</v>
      </c>
      <c r="D2144" s="36">
        <f t="shared" ca="1" si="102"/>
        <v>0.1208879962389422</v>
      </c>
      <c r="E2144" s="32">
        <v>0.12066927786926751</v>
      </c>
      <c r="F2144" s="35">
        <f t="shared" ca="1" si="101"/>
        <v>2.7283879843631453E-3</v>
      </c>
    </row>
    <row r="2145" spans="1:6" x14ac:dyDescent="0.25">
      <c r="A2145" s="23">
        <v>2144</v>
      </c>
      <c r="B2145" s="7" cm="1">
        <f t="array" aca="1" ref="B2145" ca="1">interpolexp(A2145,serie_du,Taxas_DI)</f>
        <v>0.12339649398871444</v>
      </c>
      <c r="C2145" s="37">
        <f t="shared" ca="1" si="100"/>
        <v>2.691114035764838</v>
      </c>
      <c r="D2145" s="36">
        <f t="shared" ca="1" si="102"/>
        <v>0.12088799365075031</v>
      </c>
      <c r="E2145" s="32">
        <v>0.12066779292632113</v>
      </c>
      <c r="F2145" s="35">
        <f t="shared" ca="1" si="101"/>
        <v>2.7287010623933128E-3</v>
      </c>
    </row>
    <row r="2146" spans="1:6" x14ac:dyDescent="0.25">
      <c r="A2146" s="23">
        <v>2145</v>
      </c>
      <c r="B2146" s="7" cm="1">
        <f t="array" aca="1" ref="B2146" ca="1">interpolexp(A2146,serie_du,Taxas_DI)</f>
        <v>0.12339532321645752</v>
      </c>
      <c r="C2146" s="37">
        <f t="shared" ca="1" si="100"/>
        <v>2.6923330150039688</v>
      </c>
      <c r="D2146" s="36">
        <f t="shared" ca="1" si="102"/>
        <v>0.12088799106253534</v>
      </c>
      <c r="E2146" s="32">
        <v>0.12066630936797829</v>
      </c>
      <c r="F2146" s="35">
        <f t="shared" ca="1" si="101"/>
        <v>2.7290138484792337E-3</v>
      </c>
    </row>
    <row r="2147" spans="1:6" x14ac:dyDescent="0.25">
      <c r="A2147" s="23">
        <v>2146</v>
      </c>
      <c r="B2147" s="7" cm="1">
        <f t="array" aca="1" ref="B2147" ca="1">interpolexp(A2147,serie_du,Taxas_DI)</f>
        <v>0.12339415353532779</v>
      </c>
      <c r="C2147" s="37">
        <f t="shared" ca="1" si="100"/>
        <v>2.6935525463727314</v>
      </c>
      <c r="D2147" s="36">
        <f t="shared" ca="1" si="102"/>
        <v>0.12088798846789195</v>
      </c>
      <c r="E2147" s="32">
        <v>0.12066482719226279</v>
      </c>
      <c r="F2147" s="35">
        <f t="shared" ca="1" si="101"/>
        <v>2.7293263430649972E-3</v>
      </c>
    </row>
    <row r="2148" spans="1:6" x14ac:dyDescent="0.25">
      <c r="A2148" s="23">
        <v>2147</v>
      </c>
      <c r="B2148" s="7" cm="1">
        <f t="array" aca="1" ref="B2148" ca="1">interpolexp(A2148,serie_du,Taxas_DI)</f>
        <v>0.12339298494383755</v>
      </c>
      <c r="C2148" s="37">
        <f t="shared" ca="1" si="100"/>
        <v>2.6947726301219901</v>
      </c>
      <c r="D2148" s="36">
        <f t="shared" ca="1" si="102"/>
        <v>0.12088798595622929</v>
      </c>
      <c r="E2148" s="32">
        <v>0.12066334639728726</v>
      </c>
      <c r="F2148" s="35">
        <f t="shared" ca="1" si="101"/>
        <v>2.7296385465502837E-3</v>
      </c>
    </row>
    <row r="2149" spans="1:6" x14ac:dyDescent="0.25">
      <c r="A2149" s="23">
        <v>2148</v>
      </c>
      <c r="B2149" s="7" cm="1">
        <f t="array" aca="1" ref="B2149" ca="1">interpolexp(A2149,serie_du,Taxas_DI)</f>
        <v>0.12339181744041028</v>
      </c>
      <c r="C2149" s="37">
        <f t="shared" ca="1" si="100"/>
        <v>2.6959932665008455</v>
      </c>
      <c r="D2149" s="36">
        <f t="shared" ca="1" si="102"/>
        <v>0.12088798333078343</v>
      </c>
      <c r="E2149" s="32">
        <v>0.12066186698107551</v>
      </c>
      <c r="F2149" s="35">
        <f t="shared" ca="1" si="101"/>
        <v>2.7299504593347734E-3</v>
      </c>
    </row>
    <row r="2150" spans="1:6" x14ac:dyDescent="0.25">
      <c r="A2150" s="23">
        <v>2149</v>
      </c>
      <c r="B2150" s="7" cm="1">
        <f t="array" aca="1" ref="B2150" ca="1">interpolexp(A2150,serie_du,Taxas_DI)</f>
        <v>0.12339065102355828</v>
      </c>
      <c r="C2150" s="37">
        <f t="shared" ca="1" si="100"/>
        <v>2.6972144557602729</v>
      </c>
      <c r="D2150" s="36">
        <f t="shared" ca="1" si="102"/>
        <v>0.12088798077612739</v>
      </c>
      <c r="E2150" s="32">
        <v>0.12066038894174014</v>
      </c>
      <c r="F2150" s="35">
        <f t="shared" ca="1" si="101"/>
        <v>2.7302620818181467E-3</v>
      </c>
    </row>
    <row r="2151" spans="1:6" x14ac:dyDescent="0.25">
      <c r="A2151" s="23">
        <v>2150</v>
      </c>
      <c r="B2151" s="7" cm="1">
        <f t="array" aca="1" ref="B2151" ca="1">interpolexp(A2151,serie_du,Taxas_DI)</f>
        <v>0.12338948569174946</v>
      </c>
      <c r="C2151" s="37">
        <f t="shared" ca="1" si="100"/>
        <v>2.6984361981503917</v>
      </c>
      <c r="D2151" s="36">
        <f t="shared" ca="1" si="102"/>
        <v>0.1208879781907195</v>
      </c>
      <c r="E2151" s="32">
        <v>0.12065891227732717</v>
      </c>
      <c r="F2151" s="35">
        <f t="shared" ca="1" si="101"/>
        <v>2.7305734144222882E-3</v>
      </c>
    </row>
    <row r="2152" spans="1:6" x14ac:dyDescent="0.25">
      <c r="A2152" s="23">
        <v>2151</v>
      </c>
      <c r="B2152" s="7" cm="1">
        <f t="array" aca="1" ref="B2152" ca="1">interpolexp(A2152,serie_du,Taxas_DI)</f>
        <v>0.1233883214434961</v>
      </c>
      <c r="C2152" s="37">
        <f t="shared" ca="1" si="100"/>
        <v>2.6996584939222883</v>
      </c>
      <c r="D2152" s="36">
        <f t="shared" ca="1" si="102"/>
        <v>0.12088797566397402</v>
      </c>
      <c r="E2152" s="32">
        <v>0.12065743698597142</v>
      </c>
      <c r="F2152" s="35">
        <f t="shared" ca="1" si="101"/>
        <v>2.7308844575246738E-3</v>
      </c>
    </row>
    <row r="2153" spans="1:6" x14ac:dyDescent="0.25">
      <c r="A2153" s="23">
        <v>2152</v>
      </c>
      <c r="B2153" s="7" cm="1">
        <f t="array" aca="1" ref="B2153" ca="1">interpolexp(A2153,serie_du,Taxas_DI)</f>
        <v>0.1233871582772661</v>
      </c>
      <c r="C2153" s="37">
        <f t="shared" ca="1" si="100"/>
        <v>2.7008813433261953</v>
      </c>
      <c r="D2153" s="36">
        <f t="shared" ca="1" si="102"/>
        <v>0.12088797309456711</v>
      </c>
      <c r="E2153" s="32">
        <v>0.1206559630656967</v>
      </c>
      <c r="F2153" s="35">
        <f t="shared" ca="1" si="101"/>
        <v>2.7311952115693927E-3</v>
      </c>
    </row>
    <row r="2154" spans="1:6" x14ac:dyDescent="0.25">
      <c r="A2154" s="23">
        <v>2153</v>
      </c>
      <c r="B2154" s="7" cm="1">
        <f t="array" aca="1" ref="B2154" ca="1">interpolexp(A2154,serie_du,Taxas_DI)</f>
        <v>0.12338599619154955</v>
      </c>
      <c r="C2154" s="37">
        <f t="shared" ca="1" si="100"/>
        <v>2.7021047466128549</v>
      </c>
      <c r="D2154" s="36">
        <f t="shared" ca="1" si="102"/>
        <v>0.12088797052393496</v>
      </c>
      <c r="E2154" s="32">
        <v>0.12065449051463784</v>
      </c>
      <c r="F2154" s="35">
        <f t="shared" ca="1" si="101"/>
        <v>2.7315056769117163E-3</v>
      </c>
    </row>
    <row r="2155" spans="1:6" x14ac:dyDescent="0.25">
      <c r="A2155" s="23">
        <v>2154</v>
      </c>
      <c r="B2155" s="7" cm="1">
        <f t="array" aca="1" ref="B2155" ca="1">interpolexp(A2155,serie_du,Taxas_DI)</f>
        <v>0.12338483518483656</v>
      </c>
      <c r="C2155" s="37">
        <f t="shared" ca="1" si="100"/>
        <v>2.7033287040330647</v>
      </c>
      <c r="D2155" s="36">
        <f t="shared" ca="1" si="102"/>
        <v>0.12088796794611167</v>
      </c>
      <c r="E2155" s="32">
        <v>0.12065301933086303</v>
      </c>
      <c r="F2155" s="35">
        <f t="shared" ca="1" si="101"/>
        <v>2.7318158539735293E-3</v>
      </c>
    </row>
    <row r="2156" spans="1:6" x14ac:dyDescent="0.25">
      <c r="A2156" s="23">
        <v>2155</v>
      </c>
      <c r="B2156" s="7" cm="1">
        <f t="array" aca="1" ref="B2156" ca="1">interpolexp(A2156,serie_du,Taxas_DI)</f>
        <v>0.12338367525566163</v>
      </c>
      <c r="C2156" s="37">
        <f t="shared" ca="1" si="100"/>
        <v>2.7045532158385943</v>
      </c>
      <c r="D2156" s="36">
        <f t="shared" ca="1" si="102"/>
        <v>0.1208879654506827</v>
      </c>
      <c r="E2156" s="32">
        <v>0.12065154951248491</v>
      </c>
      <c r="F2156" s="35">
        <f t="shared" ca="1" si="101"/>
        <v>2.7321257431767165E-3</v>
      </c>
    </row>
    <row r="2157" spans="1:6" x14ac:dyDescent="0.25">
      <c r="A2157" s="23">
        <v>2156</v>
      </c>
      <c r="B2157" s="7" cm="1">
        <f t="array" aca="1" ref="B2157" ca="1">interpolexp(A2157,serie_du,Taxas_DI)</f>
        <v>0.12338251640249265</v>
      </c>
      <c r="C2157" s="37">
        <f t="shared" ca="1" si="100"/>
        <v>2.7057782822798968</v>
      </c>
      <c r="D2157" s="36">
        <f t="shared" ca="1" si="102"/>
        <v>0.12088796288819115</v>
      </c>
      <c r="E2157" s="32">
        <v>0.12065008105759389</v>
      </c>
      <c r="F2157" s="35">
        <f t="shared" ca="1" si="101"/>
        <v>2.7324353448987537E-3</v>
      </c>
    </row>
    <row r="2158" spans="1:6" x14ac:dyDescent="0.25">
      <c r="A2158" s="23">
        <v>2157</v>
      </c>
      <c r="B2158" s="7" cm="1">
        <f t="array" aca="1" ref="B2158" ca="1">interpolexp(A2158,serie_du,Taxas_DI)</f>
        <v>0.12338135862384192</v>
      </c>
      <c r="C2158" s="37">
        <f t="shared" ca="1" si="100"/>
        <v>2.7070039036083973</v>
      </c>
      <c r="D2158" s="36">
        <f t="shared" ca="1" si="102"/>
        <v>0.12088796034839988</v>
      </c>
      <c r="E2158" s="32">
        <v>0.1206486139643026</v>
      </c>
      <c r="F2158" s="35">
        <f t="shared" ca="1" si="101"/>
        <v>2.7327446595393212E-3</v>
      </c>
    </row>
    <row r="2159" spans="1:6" x14ac:dyDescent="0.25">
      <c r="A2159" s="23">
        <v>2158</v>
      </c>
      <c r="B2159" s="7" cm="1">
        <f t="array" aca="1" ref="B2159" ca="1">interpolexp(A2159,serie_du,Taxas_DI)</f>
        <v>0.12338020191822174</v>
      </c>
      <c r="C2159" s="37">
        <f t="shared" ca="1" si="100"/>
        <v>2.7082300800755776</v>
      </c>
      <c r="D2159" s="36">
        <f t="shared" ca="1" si="102"/>
        <v>0.12088795782525574</v>
      </c>
      <c r="E2159" s="32">
        <v>0.12064714823070144</v>
      </c>
      <c r="F2159" s="35">
        <f t="shared" ca="1" si="101"/>
        <v>2.7330536875203038E-3</v>
      </c>
    </row>
    <row r="2160" spans="1:6" x14ac:dyDescent="0.25">
      <c r="A2160" s="23">
        <v>2159</v>
      </c>
      <c r="B2160" s="7" cm="1">
        <f t="array" aca="1" ref="B2160" ca="1">interpolexp(A2160,serie_du,Taxas_DI)</f>
        <v>0.12337904628412222</v>
      </c>
      <c r="C2160" s="37">
        <f t="shared" ca="1" si="100"/>
        <v>2.709456811932518</v>
      </c>
      <c r="D2160" s="36">
        <f t="shared" ca="1" si="102"/>
        <v>0.12088795526501306</v>
      </c>
      <c r="E2160" s="32">
        <v>0.12064568385490304</v>
      </c>
      <c r="F2160" s="35">
        <f t="shared" ca="1" si="101"/>
        <v>2.7333624292191772E-3</v>
      </c>
    </row>
    <row r="2161" spans="1:6" x14ac:dyDescent="0.25">
      <c r="A2161" s="23">
        <v>2160</v>
      </c>
      <c r="B2161" s="7" cm="1">
        <f t="array" aca="1" ref="B2161" ca="1">interpolexp(A2161,serie_du,Taxas_DI)</f>
        <v>0.12337789172007785</v>
      </c>
      <c r="C2161" s="37">
        <f t="shared" ca="1" si="100"/>
        <v>2.7106840994312713</v>
      </c>
      <c r="D2161" s="36">
        <f t="shared" ca="1" si="102"/>
        <v>0.120887952757182</v>
      </c>
      <c r="E2161" s="32">
        <v>0.12064422083504223</v>
      </c>
      <c r="F2161" s="35">
        <f t="shared" ca="1" si="101"/>
        <v>2.7336708850356217E-3</v>
      </c>
    </row>
    <row r="2162" spans="1:6" x14ac:dyDescent="0.25">
      <c r="A2162" s="23">
        <v>2161</v>
      </c>
      <c r="B2162" s="7" cm="1">
        <f t="array" aca="1" ref="B2162" ca="1">interpolexp(A2162,serie_du,Taxas_DI)</f>
        <v>0.12337673822457873</v>
      </c>
      <c r="C2162" s="37">
        <f t="shared" ca="1" si="100"/>
        <v>2.7119119428230314</v>
      </c>
      <c r="D2162" s="36">
        <f t="shared" ca="1" si="102"/>
        <v>0.1208879502003839</v>
      </c>
      <c r="E2162" s="32">
        <v>0.12064275916923162</v>
      </c>
      <c r="F2162" s="35">
        <f t="shared" ca="1" si="101"/>
        <v>2.7339790553471133E-3</v>
      </c>
    </row>
    <row r="2163" spans="1:6" x14ac:dyDescent="0.25">
      <c r="A2163" s="23">
        <v>2162</v>
      </c>
      <c r="B2163" s="7" cm="1">
        <f t="array" aca="1" ref="B2163" ca="1">interpolexp(A2163,serie_du,Taxas_DI)</f>
        <v>0.12337558579618157</v>
      </c>
      <c r="C2163" s="37">
        <f t="shared" ca="1" si="100"/>
        <v>2.7131403423604254</v>
      </c>
      <c r="D2163" s="36">
        <f t="shared" ca="1" si="102"/>
        <v>0.12088794773202904</v>
      </c>
      <c r="E2163" s="32">
        <v>0.12064129885558383</v>
      </c>
      <c r="F2163" s="35">
        <f t="shared" ca="1" si="101"/>
        <v>2.734286940597741E-3</v>
      </c>
    </row>
    <row r="2164" spans="1:6" x14ac:dyDescent="0.25">
      <c r="A2164" s="23">
        <v>2163</v>
      </c>
      <c r="B2164" s="7" cm="1">
        <f t="array" aca="1" ref="B2164" ca="1">interpolexp(A2164,serie_du,Taxas_DI)</f>
        <v>0.12337443443335427</v>
      </c>
      <c r="C2164" s="37">
        <f t="shared" ca="1" si="100"/>
        <v>2.7143692982943017</v>
      </c>
      <c r="D2164" s="36">
        <f t="shared" ca="1" si="102"/>
        <v>0.12088794515499135</v>
      </c>
      <c r="E2164" s="32">
        <v>0.1206398398922115</v>
      </c>
      <c r="F2164" s="35">
        <f t="shared" ca="1" si="101"/>
        <v>2.7345945411427763E-3</v>
      </c>
    </row>
    <row r="2165" spans="1:6" x14ac:dyDescent="0.25">
      <c r="A2165" s="23">
        <v>2164</v>
      </c>
      <c r="B2165" s="7" cm="1">
        <f t="array" aca="1" ref="B2165" ca="1">interpolexp(A2165,serie_du,Taxas_DI)</f>
        <v>0.12337328413467574</v>
      </c>
      <c r="C2165" s="37">
        <f t="shared" ca="1" si="100"/>
        <v>2.7155988108778635</v>
      </c>
      <c r="D2165" s="36">
        <f t="shared" ca="1" si="102"/>
        <v>0.12088794270258862</v>
      </c>
      <c r="E2165" s="32">
        <v>0.12063838227724943</v>
      </c>
      <c r="F2165" s="35">
        <f t="shared" ca="1" si="101"/>
        <v>2.7349018574263084E-3</v>
      </c>
    </row>
    <row r="2166" spans="1:6" x14ac:dyDescent="0.25">
      <c r="A2166" s="23">
        <v>2165</v>
      </c>
      <c r="B2166" s="7" cm="1">
        <f t="array" aca="1" ref="B2166" ca="1">interpolexp(A2166,serie_du,Taxas_DI)</f>
        <v>0.12337213489861387</v>
      </c>
      <c r="C2166" s="37">
        <f t="shared" ca="1" si="100"/>
        <v>2.7168288803620722</v>
      </c>
      <c r="D2166" s="36">
        <f t="shared" ca="1" si="102"/>
        <v>0.12088794012960613</v>
      </c>
      <c r="E2166" s="32">
        <v>0.12063692600885467</v>
      </c>
      <c r="F2166" s="35">
        <f t="shared" ca="1" si="101"/>
        <v>2.7352088897591997E-3</v>
      </c>
    </row>
    <row r="2167" spans="1:6" x14ac:dyDescent="0.25">
      <c r="A2167" s="23">
        <v>2166</v>
      </c>
      <c r="B2167" s="7" cm="1">
        <f t="array" aca="1" ref="B2167" ca="1">interpolexp(A2167,serie_du,Taxas_DI)</f>
        <v>0.12337098672374758</v>
      </c>
      <c r="C2167" s="37">
        <f t="shared" ca="1" si="100"/>
        <v>2.7180595070002465</v>
      </c>
      <c r="D2167" s="36">
        <f t="shared" ca="1" si="102"/>
        <v>0.12088793766936257</v>
      </c>
      <c r="E2167" s="32">
        <v>0.12063547108513983</v>
      </c>
      <c r="F2167" s="35">
        <f t="shared" ca="1" si="101"/>
        <v>2.7355156386077439E-3</v>
      </c>
    </row>
    <row r="2168" spans="1:6" x14ac:dyDescent="0.25">
      <c r="A2168" s="23">
        <v>2167</v>
      </c>
      <c r="B2168" s="7" cm="1">
        <f t="array" aca="1" ref="B2168" ca="1">interpolexp(A2168,serie_du,Taxas_DI)</f>
        <v>0.12336983960856696</v>
      </c>
      <c r="C2168" s="37">
        <f t="shared" ca="1" si="100"/>
        <v>2.719290691043923</v>
      </c>
      <c r="D2168" s="36">
        <f t="shared" ca="1" si="102"/>
        <v>0.12088793512465945</v>
      </c>
      <c r="E2168" s="32">
        <v>0.12063401750423974</v>
      </c>
      <c r="F2168" s="35">
        <f t="shared" ca="1" si="101"/>
        <v>2.7358221043272124E-3</v>
      </c>
    </row>
    <row r="2169" spans="1:6" x14ac:dyDescent="0.25">
      <c r="A2169" s="23">
        <v>2168</v>
      </c>
      <c r="B2169" s="7" cm="1">
        <f t="array" aca="1" ref="B2169" ca="1">interpolexp(A2169,serie_du,Taxas_DI)</f>
        <v>0.12336869355162872</v>
      </c>
      <c r="C2169" s="37">
        <f t="shared" ca="1" si="100"/>
        <v>2.7205224327460775</v>
      </c>
      <c r="D2169" s="36">
        <f t="shared" ca="1" si="102"/>
        <v>0.12088793263331765</v>
      </c>
      <c r="E2169" s="32">
        <v>0.12063256526428923</v>
      </c>
      <c r="F2169" s="35">
        <f t="shared" ca="1" si="101"/>
        <v>2.7361282873394899E-3</v>
      </c>
    </row>
    <row r="2170" spans="1:6" x14ac:dyDescent="0.25">
      <c r="A2170" s="23">
        <v>2169</v>
      </c>
      <c r="B2170" s="7" cm="1">
        <f t="array" aca="1" ref="B2170" ca="1">interpolexp(A2170,serie_du,Taxas_DI)</f>
        <v>0.12336754855146737</v>
      </c>
      <c r="C2170" s="37">
        <f t="shared" ca="1" si="100"/>
        <v>2.7217547323592841</v>
      </c>
      <c r="D2170" s="36">
        <f t="shared" ca="1" si="102"/>
        <v>0.12088793014153421</v>
      </c>
      <c r="E2170" s="32">
        <v>0.12063111436346752</v>
      </c>
      <c r="F2170" s="35">
        <f t="shared" ca="1" si="101"/>
        <v>2.7364341879998477E-3</v>
      </c>
    </row>
    <row r="2171" spans="1:6" x14ac:dyDescent="0.25">
      <c r="A2171" s="23">
        <v>2170</v>
      </c>
      <c r="B2171" s="7" cm="1">
        <f t="array" aca="1" ref="B2171" ca="1">interpolexp(A2171,serie_du,Taxas_DI)</f>
        <v>0.12336640460661741</v>
      </c>
      <c r="C2171" s="37">
        <f t="shared" ca="1" si="100"/>
        <v>2.7229875901361744</v>
      </c>
      <c r="D2171" s="36">
        <f t="shared" ca="1" si="102"/>
        <v>0.12088792764347334</v>
      </c>
      <c r="E2171" s="32">
        <v>0.12062966479988724</v>
      </c>
      <c r="F2171" s="35">
        <f t="shared" ca="1" si="101"/>
        <v>2.7367398067301707E-3</v>
      </c>
    </row>
    <row r="2172" spans="1:6" x14ac:dyDescent="0.25">
      <c r="A2172" s="23">
        <v>2171</v>
      </c>
      <c r="B2172" s="7" cm="1">
        <f t="array" aca="1" ref="B2172" ca="1">interpolexp(A2172,serie_du,Taxas_DI)</f>
        <v>0.12336526171561335</v>
      </c>
      <c r="C2172" s="37">
        <f t="shared" ca="1" si="100"/>
        <v>2.724221006329437</v>
      </c>
      <c r="D2172" s="36">
        <f t="shared" ca="1" si="102"/>
        <v>0.12088792513320312</v>
      </c>
      <c r="E2172" s="32">
        <v>0.12062821657172762</v>
      </c>
      <c r="F2172" s="35">
        <f t="shared" ca="1" si="101"/>
        <v>2.7370451438857302E-3</v>
      </c>
    </row>
    <row r="2173" spans="1:6" x14ac:dyDescent="0.25">
      <c r="A2173" s="23">
        <v>2172</v>
      </c>
      <c r="B2173" s="7" cm="1">
        <f t="array" aca="1" ref="B2173" ca="1">interpolexp(A2173,serie_du,Taxas_DI)</f>
        <v>0.1233641198770119</v>
      </c>
      <c r="C2173" s="37">
        <f t="shared" ca="1" si="100"/>
        <v>2.7254549811922839</v>
      </c>
      <c r="D2173" s="36">
        <f t="shared" ca="1" si="102"/>
        <v>0.12088792265314541</v>
      </c>
      <c r="E2173" s="32">
        <v>0.12062676967712349</v>
      </c>
      <c r="F2173" s="35">
        <f t="shared" ca="1" si="101"/>
        <v>2.7373501998884109E-3</v>
      </c>
    </row>
    <row r="2174" spans="1:6" x14ac:dyDescent="0.25">
      <c r="A2174" s="23">
        <v>2173</v>
      </c>
      <c r="B2174" s="7" cm="1">
        <f t="array" aca="1" ref="B2174" ca="1">interpolexp(A2174,serie_du,Taxas_DI)</f>
        <v>0.12336297908936977</v>
      </c>
      <c r="C2174" s="37">
        <f t="shared" ca="1" si="100"/>
        <v>2.7266895149779864</v>
      </c>
      <c r="D2174" s="36">
        <f t="shared" ca="1" si="102"/>
        <v>0.12088792019745287</v>
      </c>
      <c r="E2174" s="32">
        <v>0.12062532411425408</v>
      </c>
      <c r="F2174" s="35">
        <f t="shared" ca="1" si="101"/>
        <v>2.7376549751156887E-3</v>
      </c>
    </row>
    <row r="2175" spans="1:6" x14ac:dyDescent="0.25">
      <c r="A2175" s="23">
        <v>2174</v>
      </c>
      <c r="B2175" s="7" cm="1">
        <f t="array" aca="1" ref="B2175" ca="1">interpolexp(A2175,serie_du,Taxas_DI)</f>
        <v>0.12336183935122147</v>
      </c>
      <c r="C2175" s="37">
        <f t="shared" ca="1" si="100"/>
        <v>2.7279246079394088</v>
      </c>
      <c r="D2175" s="36">
        <f t="shared" ca="1" si="102"/>
        <v>0.12088791771218088</v>
      </c>
      <c r="E2175" s="32">
        <v>0.12062387988125423</v>
      </c>
      <c r="F2175" s="35">
        <f t="shared" ca="1" si="101"/>
        <v>2.7379594699672438E-3</v>
      </c>
    </row>
    <row r="2176" spans="1:6" x14ac:dyDescent="0.25">
      <c r="A2176" s="23">
        <v>2175</v>
      </c>
      <c r="B2176" s="7" cm="1">
        <f t="array" aca="1" ref="B2176" ca="1">interpolexp(A2176,serie_du,Taxas_DI)</f>
        <v>0.1233607006611015</v>
      </c>
      <c r="C2176" s="37">
        <f t="shared" ca="1" si="100"/>
        <v>2.7291602603294742</v>
      </c>
      <c r="D2176" s="36">
        <f t="shared" ca="1" si="102"/>
        <v>0.12088791519150788</v>
      </c>
      <c r="E2176" s="32">
        <v>0.12062243697632535</v>
      </c>
      <c r="F2176" s="35">
        <f t="shared" ca="1" si="101"/>
        <v>2.7382636847761432E-3</v>
      </c>
    </row>
    <row r="2177" spans="1:6" x14ac:dyDescent="0.25">
      <c r="A2177" s="23">
        <v>2176</v>
      </c>
      <c r="B2177" s="7" cm="1">
        <f t="array" aca="1" ref="B2177" ca="1">interpolexp(A2177,serie_du,Taxas_DI)</f>
        <v>0.12335956301758877</v>
      </c>
      <c r="C2177" s="37">
        <f t="shared" ca="1" si="100"/>
        <v>2.7303964724020933</v>
      </c>
      <c r="D2177" s="36">
        <f t="shared" ca="1" si="102"/>
        <v>0.12088791272579935</v>
      </c>
      <c r="E2177" s="32">
        <v>0.12062099539760229</v>
      </c>
      <c r="F2177" s="35">
        <f t="shared" ca="1" si="101"/>
        <v>2.7385676199864761E-3</v>
      </c>
    </row>
    <row r="2178" spans="1:6" x14ac:dyDescent="0.25">
      <c r="A2178" s="23">
        <v>2177</v>
      </c>
      <c r="B2178" s="7" cm="1">
        <f t="array" aca="1" ref="B2178" ca="1">interpolexp(A2178,serie_du,Taxas_DI)</f>
        <v>0.1233584264192622</v>
      </c>
      <c r="C2178" s="37">
        <f t="shared" ref="C2178:C2241" ca="1" si="103">(1+B2178)^(A2178/252)</f>
        <v>2.7316332444112414</v>
      </c>
      <c r="D2178" s="36">
        <f t="shared" ca="1" si="102"/>
        <v>0.12088791030979928</v>
      </c>
      <c r="E2178" s="32">
        <v>0.12061955514326428</v>
      </c>
      <c r="F2178" s="35">
        <f t="shared" ref="F2178:F2241" ca="1" si="104">B2178-E2178</f>
        <v>2.7388712759979228E-3</v>
      </c>
    </row>
    <row r="2179" spans="1:6" x14ac:dyDescent="0.25">
      <c r="A2179" s="23">
        <v>2178</v>
      </c>
      <c r="B2179" s="7" cm="1">
        <f t="array" aca="1" ref="B2179" ca="1">interpolexp(A2179,serie_du,Taxas_DI)</f>
        <v>0.12335729086463409</v>
      </c>
      <c r="C2179" s="37">
        <f t="shared" ca="1" si="103"/>
        <v>2.73287057660955</v>
      </c>
      <c r="D2179" s="36">
        <f t="shared" ca="1" si="102"/>
        <v>0.1208879077926297</v>
      </c>
      <c r="E2179" s="32">
        <v>0.12061811621151275</v>
      </c>
      <c r="F2179" s="35">
        <f t="shared" ca="1" si="104"/>
        <v>2.7391746531213457E-3</v>
      </c>
    </row>
    <row r="2180" spans="1:6" x14ac:dyDescent="0.25">
      <c r="A2180" s="23">
        <v>2179</v>
      </c>
      <c r="B2180" s="7" cm="1">
        <f t="array" aca="1" ref="B2180" ca="1">interpolexp(A2180,serie_du,Taxas_DI)</f>
        <v>0.12335615635230557</v>
      </c>
      <c r="C2180" s="37">
        <f t="shared" ca="1" si="103"/>
        <v>2.7341084692515776</v>
      </c>
      <c r="D2180" s="36">
        <f t="shared" ref="D2180:D2243" ca="1" si="105">((((1+B2180)^(A2180/252))/((1+B2179)^(A2179/252)))^(252/1))-1</f>
        <v>0.12088790536179572</v>
      </c>
      <c r="E2180" s="32">
        <v>0.12061667860050473</v>
      </c>
      <c r="F2180" s="35">
        <f t="shared" ca="1" si="104"/>
        <v>2.739477751800834E-3</v>
      </c>
    </row>
    <row r="2181" spans="1:6" x14ac:dyDescent="0.25">
      <c r="A2181" s="23">
        <v>2180</v>
      </c>
      <c r="B2181" s="7" cm="1">
        <f t="array" aca="1" ref="B2181" ca="1">interpolexp(A2181,serie_du,Taxas_DI)</f>
        <v>0.12335502288081113</v>
      </c>
      <c r="C2181" s="37">
        <f t="shared" ca="1" si="103"/>
        <v>2.7353469225905407</v>
      </c>
      <c r="D2181" s="36">
        <f t="shared" ca="1" si="105"/>
        <v>0.12088790286655615</v>
      </c>
      <c r="E2181" s="32">
        <v>0.12061524230841947</v>
      </c>
      <c r="F2181" s="35">
        <f t="shared" ca="1" si="104"/>
        <v>2.7397805723916591E-3</v>
      </c>
    </row>
    <row r="2182" spans="1:6" x14ac:dyDescent="0.25">
      <c r="A2182" s="23">
        <v>2181</v>
      </c>
      <c r="B2182" s="7" cm="1">
        <f t="array" aca="1" ref="B2182" ca="1">interpolexp(A2182,serie_du,Taxas_DI)</f>
        <v>0.12335389044872969</v>
      </c>
      <c r="C2182" s="37">
        <f t="shared" ca="1" si="103"/>
        <v>2.7365859368806493</v>
      </c>
      <c r="D2182" s="36">
        <f t="shared" ca="1" si="105"/>
        <v>0.12088790039776631</v>
      </c>
      <c r="E2182" s="32">
        <v>0.12061380733345839</v>
      </c>
      <c r="F2182" s="35">
        <f t="shared" ca="1" si="104"/>
        <v>2.7400831152712968E-3</v>
      </c>
    </row>
    <row r="2183" spans="1:6" x14ac:dyDescent="0.25">
      <c r="A2183" s="23">
        <v>2182</v>
      </c>
      <c r="B2183" s="7" cm="1">
        <f t="array" aca="1" ref="B2183" ca="1">interpolexp(A2183,serie_du,Taxas_DI)</f>
        <v>0.12335275905466236</v>
      </c>
      <c r="C2183" s="37">
        <f t="shared" ca="1" si="103"/>
        <v>2.7378255123766433</v>
      </c>
      <c r="D2183" s="36">
        <f t="shared" ca="1" si="105"/>
        <v>0.12088789799823085</v>
      </c>
      <c r="E2183" s="32">
        <v>0.12061237367380073</v>
      </c>
      <c r="F2183" s="35">
        <f t="shared" ca="1" si="104"/>
        <v>2.7403853808616319E-3</v>
      </c>
    </row>
    <row r="2184" spans="1:6" x14ac:dyDescent="0.25">
      <c r="A2184" s="23">
        <v>2183</v>
      </c>
      <c r="B2184" s="7" cm="1">
        <f t="array" aca="1" ref="B2184" ca="1">interpolexp(A2184,serie_du,Taxas_DI)</f>
        <v>0.12335162869714367</v>
      </c>
      <c r="C2184" s="37">
        <f t="shared" ca="1" si="103"/>
        <v>2.7390656493319177</v>
      </c>
      <c r="D2184" s="36">
        <f t="shared" ca="1" si="105"/>
        <v>0.12088789551715173</v>
      </c>
      <c r="E2184" s="32">
        <v>0.12061094132762573</v>
      </c>
      <c r="F2184" s="35">
        <f t="shared" ca="1" si="104"/>
        <v>2.7406873695179357E-3</v>
      </c>
    </row>
    <row r="2185" spans="1:6" x14ac:dyDescent="0.25">
      <c r="A2185" s="23">
        <v>2184</v>
      </c>
      <c r="B2185" s="7" cm="1">
        <f t="array" aca="1" ref="B2185" ca="1">interpolexp(A2185,serie_du,Taxas_DI)</f>
        <v>0.12335049937475251</v>
      </c>
      <c r="C2185" s="37">
        <f t="shared" ca="1" si="103"/>
        <v>2.7403063480008609</v>
      </c>
      <c r="D2185" s="36">
        <f t="shared" ca="1" si="105"/>
        <v>0.12088789304529057</v>
      </c>
      <c r="E2185" s="32">
        <v>0.12060951029315703</v>
      </c>
      <c r="F2185" s="35">
        <f t="shared" ca="1" si="104"/>
        <v>2.7409890815954796E-3</v>
      </c>
    </row>
    <row r="2186" spans="1:6" x14ac:dyDescent="0.25">
      <c r="A2186" s="23">
        <v>2185</v>
      </c>
      <c r="B2186" s="7" cm="1">
        <f t="array" aca="1" ref="B2186" ca="1">interpolexp(A2186,serie_du,Taxas_DI)</f>
        <v>0.12334937108609001</v>
      </c>
      <c r="C2186" s="37">
        <f t="shared" ca="1" si="103"/>
        <v>2.7415476086383954</v>
      </c>
      <c r="D2186" s="36">
        <f t="shared" ca="1" si="105"/>
        <v>0.12088789062572847</v>
      </c>
      <c r="E2186" s="32">
        <v>0.12060808056857386</v>
      </c>
      <c r="F2186" s="35">
        <f t="shared" ca="1" si="104"/>
        <v>2.7412905175161484E-3</v>
      </c>
    </row>
    <row r="2187" spans="1:6" x14ac:dyDescent="0.25">
      <c r="A2187" s="23">
        <v>2186</v>
      </c>
      <c r="B2187" s="7" cm="1">
        <f t="array" aca="1" ref="B2187" ca="1">interpolexp(A2187,serie_du,Taxas_DI)</f>
        <v>0.12334824382973508</v>
      </c>
      <c r="C2187" s="37">
        <f t="shared" ca="1" si="103"/>
        <v>2.7427894314990313</v>
      </c>
      <c r="D2187" s="36">
        <f t="shared" ca="1" si="105"/>
        <v>0.1208878882041593</v>
      </c>
      <c r="E2187" s="32">
        <v>0.12060665215209987</v>
      </c>
      <c r="F2187" s="35">
        <f t="shared" ca="1" si="104"/>
        <v>2.7415916776352134E-3</v>
      </c>
    </row>
    <row r="2188" spans="1:6" x14ac:dyDescent="0.25">
      <c r="A2188" s="23">
        <v>2187</v>
      </c>
      <c r="B2188" s="7" cm="1">
        <f t="array" aca="1" ref="B2188" ca="1">interpolexp(A2188,serie_du,Taxas_DI)</f>
        <v>0.12334711760424444</v>
      </c>
      <c r="C2188" s="37">
        <f t="shared" ca="1" si="103"/>
        <v>2.7440318168368707</v>
      </c>
      <c r="D2188" s="36">
        <f t="shared" ca="1" si="105"/>
        <v>0.12088788572660136</v>
      </c>
      <c r="E2188" s="32">
        <v>0.12060522504191429</v>
      </c>
      <c r="F2188" s="35">
        <f t="shared" ca="1" si="104"/>
        <v>2.7418925623301504E-3</v>
      </c>
    </row>
    <row r="2189" spans="1:6" x14ac:dyDescent="0.25">
      <c r="A2189" s="23">
        <v>2188</v>
      </c>
      <c r="B2189" s="7" cm="1">
        <f t="array" aca="1" ref="B2189" ca="1">interpolexp(A2189,serie_du,Taxas_DI)</f>
        <v>0.1233459924082414</v>
      </c>
      <c r="C2189" s="37">
        <f t="shared" ca="1" si="103"/>
        <v>2.745274764907486</v>
      </c>
      <c r="D2189" s="36">
        <f t="shared" ca="1" si="105"/>
        <v>0.1208878833326239</v>
      </c>
      <c r="E2189" s="32">
        <v>0.12060379923624076</v>
      </c>
      <c r="F2189" s="35">
        <f t="shared" ca="1" si="104"/>
        <v>2.7421931720006398E-3</v>
      </c>
    </row>
    <row r="2190" spans="1:6" x14ac:dyDescent="0.25">
      <c r="A2190" s="23">
        <v>2189</v>
      </c>
      <c r="B2190" s="7" cm="1">
        <f t="array" aca="1" ref="B2190" ca="1">interpolexp(A2190,serie_du,Taxas_DI)</f>
        <v>0.12334486824028268</v>
      </c>
      <c r="C2190" s="37">
        <f t="shared" ca="1" si="103"/>
        <v>2.7465182759650997</v>
      </c>
      <c r="D2190" s="36">
        <f t="shared" ca="1" si="105"/>
        <v>0.12088788087136426</v>
      </c>
      <c r="E2190" s="32">
        <v>0.12060237473328073</v>
      </c>
      <c r="F2190" s="35">
        <f t="shared" ca="1" si="104"/>
        <v>2.7424935070019529E-3</v>
      </c>
    </row>
    <row r="2191" spans="1:6" x14ac:dyDescent="0.25">
      <c r="A2191" s="23">
        <v>2190</v>
      </c>
      <c r="B2191" s="7" cm="1">
        <f t="array" aca="1" ref="B2191" ca="1">interpolexp(A2191,serie_du,Taxas_DI)</f>
        <v>0.12334374509896939</v>
      </c>
      <c r="C2191" s="37">
        <f t="shared" ca="1" si="103"/>
        <v>2.7477623502649351</v>
      </c>
      <c r="D2191" s="36">
        <f t="shared" ca="1" si="105"/>
        <v>0.12088787843393534</v>
      </c>
      <c r="E2191" s="32">
        <v>0.12060095153125783</v>
      </c>
      <c r="F2191" s="35">
        <f t="shared" ca="1" si="104"/>
        <v>2.7427935677115656E-3</v>
      </c>
    </row>
    <row r="2192" spans="1:6" x14ac:dyDescent="0.25">
      <c r="A2192" s="23">
        <v>2191</v>
      </c>
      <c r="B2192" s="7" cm="1">
        <f t="array" aca="1" ref="B2192" ca="1">interpolexp(A2192,serie_du,Taxas_DI)</f>
        <v>0.12334262298292487</v>
      </c>
      <c r="C2192" s="37">
        <f t="shared" ca="1" si="103"/>
        <v>2.749006988062749</v>
      </c>
      <c r="D2192" s="36">
        <f t="shared" ca="1" si="105"/>
        <v>0.120887876063281</v>
      </c>
      <c r="E2192" s="32">
        <v>0.12059952962839571</v>
      </c>
      <c r="F2192" s="35">
        <f t="shared" ca="1" si="104"/>
        <v>2.743093354529158E-3</v>
      </c>
    </row>
    <row r="2193" spans="1:6" x14ac:dyDescent="0.25">
      <c r="A2193" s="23">
        <v>2192</v>
      </c>
      <c r="B2193" s="7" cm="1">
        <f t="array" aca="1" ref="B2193" ca="1">interpolexp(A2193,serie_du,Taxas_DI)</f>
        <v>0.12334150189070581</v>
      </c>
      <c r="C2193" s="37">
        <f t="shared" ca="1" si="103"/>
        <v>2.7502521896129446</v>
      </c>
      <c r="D2193" s="36">
        <f t="shared" ca="1" si="105"/>
        <v>0.12088787360833742</v>
      </c>
      <c r="E2193" s="32">
        <v>0.12059810902289581</v>
      </c>
      <c r="F2193" s="35">
        <f t="shared" ca="1" si="104"/>
        <v>2.7433928678100017E-3</v>
      </c>
    </row>
    <row r="2194" spans="1:6" x14ac:dyDescent="0.25">
      <c r="A2194" s="23">
        <v>2193</v>
      </c>
      <c r="B2194" s="7" cm="1">
        <f t="array" aca="1" ref="B2194" ca="1">interpolexp(A2194,serie_du,Taxas_DI)</f>
        <v>0.12334038182093554</v>
      </c>
      <c r="C2194" s="37">
        <f t="shared" ca="1" si="103"/>
        <v>2.7514979551714021</v>
      </c>
      <c r="D2194" s="36">
        <f t="shared" ca="1" si="105"/>
        <v>0.1208878712091328</v>
      </c>
      <c r="E2194" s="32">
        <v>0.12059668971302617</v>
      </c>
      <c r="F2194" s="35">
        <f t="shared" ca="1" si="104"/>
        <v>2.7436921079093679E-3</v>
      </c>
    </row>
    <row r="2195" spans="1:6" x14ac:dyDescent="0.25">
      <c r="A2195" s="23">
        <v>2194</v>
      </c>
      <c r="B2195" s="7" cm="1">
        <f t="array" aca="1" ref="B2195" ca="1">interpolexp(A2195,serie_du,Taxas_DI)</f>
        <v>0.12333926277219298</v>
      </c>
      <c r="C2195" s="37">
        <f t="shared" ca="1" si="103"/>
        <v>2.7527442849931161</v>
      </c>
      <c r="D2195" s="36">
        <f t="shared" ca="1" si="105"/>
        <v>0.12088786876275415</v>
      </c>
      <c r="E2195" s="32">
        <v>0.12059527169696604</v>
      </c>
      <c r="F2195" s="35">
        <f t="shared" ca="1" si="104"/>
        <v>2.743991075226937E-3</v>
      </c>
    </row>
    <row r="2196" spans="1:6" x14ac:dyDescent="0.25">
      <c r="A2196" s="23">
        <v>2195</v>
      </c>
      <c r="B2196" s="7" cm="1">
        <f t="array" aca="1" ref="B2196" ca="1">interpolexp(A2196,serie_du,Taxas_DI)</f>
        <v>0.12333814474310145</v>
      </c>
      <c r="C2196" s="37">
        <f t="shared" ca="1" si="103"/>
        <v>2.7539911793340925</v>
      </c>
      <c r="D2196" s="36">
        <f t="shared" ca="1" si="105"/>
        <v>0.12088786636111193</v>
      </c>
      <c r="E2196" s="32">
        <v>0.12059385497296127</v>
      </c>
      <c r="F2196" s="35">
        <f t="shared" ca="1" si="104"/>
        <v>2.7442897701401847E-3</v>
      </c>
    </row>
    <row r="2197" spans="1:6" x14ac:dyDescent="0.25">
      <c r="A2197" s="23">
        <v>2196</v>
      </c>
      <c r="B2197" s="7" cm="1">
        <f t="array" aca="1" ref="B2197" ca="1">interpolexp(A2197,serie_du,Taxas_DI)</f>
        <v>0.12333702773226207</v>
      </c>
      <c r="C2197" s="37">
        <f t="shared" ca="1" si="103"/>
        <v>2.7552386384499199</v>
      </c>
      <c r="D2197" s="36">
        <f t="shared" ca="1" si="105"/>
        <v>0.12088786394946283</v>
      </c>
      <c r="E2197" s="32">
        <v>0.12059243953927989</v>
      </c>
      <c r="F2197" s="35">
        <f t="shared" ca="1" si="104"/>
        <v>2.744588192982178E-3</v>
      </c>
    </row>
    <row r="2198" spans="1:6" x14ac:dyDescent="0.25">
      <c r="A2198" s="23">
        <v>2197</v>
      </c>
      <c r="B2198" s="7" cm="1">
        <f t="array" aca="1" ref="B2198" ca="1">interpolexp(A2198,serie_du,Taxas_DI)</f>
        <v>0.12333591173829817</v>
      </c>
      <c r="C2198" s="37">
        <f t="shared" ca="1" si="103"/>
        <v>2.7564866625967288</v>
      </c>
      <c r="D2198" s="36">
        <f t="shared" ca="1" si="105"/>
        <v>0.12088786157163534</v>
      </c>
      <c r="E2198" s="32">
        <v>0.12059102539410116</v>
      </c>
      <c r="F2198" s="35">
        <f t="shared" ca="1" si="104"/>
        <v>2.7448863441970062E-3</v>
      </c>
    </row>
    <row r="2199" spans="1:6" x14ac:dyDescent="0.25">
      <c r="A2199" s="23">
        <v>2198</v>
      </c>
      <c r="B2199" s="7" cm="1">
        <f t="array" aca="1" ref="B2199" ca="1">interpolexp(A2199,serie_du,Taxas_DI)</f>
        <v>0.12333479675981085</v>
      </c>
      <c r="C2199" s="37">
        <f t="shared" ca="1" si="103"/>
        <v>2.7577352520302325</v>
      </c>
      <c r="D2199" s="36">
        <f t="shared" ca="1" si="105"/>
        <v>0.12088785917278178</v>
      </c>
      <c r="E2199" s="32">
        <v>0.12058961253571532</v>
      </c>
      <c r="F2199" s="35">
        <f t="shared" ca="1" si="104"/>
        <v>2.7451842240955315E-3</v>
      </c>
    </row>
    <row r="2200" spans="1:6" x14ac:dyDescent="0.25">
      <c r="A2200" s="23">
        <v>2199</v>
      </c>
      <c r="B2200" s="7" cm="1">
        <f t="array" aca="1" ref="B2200" ca="1">interpolexp(A2200,serie_du,Taxas_DI)</f>
        <v>0.12333368279540124</v>
      </c>
      <c r="C2200" s="37">
        <f t="shared" ca="1" si="103"/>
        <v>2.7589844070062086</v>
      </c>
      <c r="D2200" s="36">
        <f t="shared" ca="1" si="105"/>
        <v>0.12088785674779912</v>
      </c>
      <c r="E2200" s="32">
        <v>0.12058820096236822</v>
      </c>
      <c r="F2200" s="35">
        <f t="shared" ca="1" si="104"/>
        <v>2.7454818330330255E-3</v>
      </c>
    </row>
    <row r="2201" spans="1:6" x14ac:dyDescent="0.25">
      <c r="A2201" s="23">
        <v>2200</v>
      </c>
      <c r="B2201" s="7" cm="1">
        <f t="array" aca="1" ref="B2201" ca="1">interpolexp(A2201,serie_du,Taxas_DI)</f>
        <v>0.12333256984369267</v>
      </c>
      <c r="C2201" s="37">
        <f t="shared" ca="1" si="103"/>
        <v>2.7602341277809685</v>
      </c>
      <c r="D2201" s="36">
        <f t="shared" ca="1" si="105"/>
        <v>0.1208878543394083</v>
      </c>
      <c r="E2201" s="32">
        <v>0.1205867906722613</v>
      </c>
      <c r="F2201" s="35">
        <f t="shared" ca="1" si="104"/>
        <v>2.7457791714313728E-3</v>
      </c>
    </row>
    <row r="2202" spans="1:6" x14ac:dyDescent="0.25">
      <c r="A2202" s="23">
        <v>2201</v>
      </c>
      <c r="B2202" s="7" cm="1">
        <f t="array" aca="1" ref="B2202" ca="1">interpolexp(A2202,serie_du,Taxas_DI)</f>
        <v>0.12333145790333067</v>
      </c>
      <c r="C2202" s="37">
        <f t="shared" ca="1" si="103"/>
        <v>2.7614844146113668</v>
      </c>
      <c r="D2202" s="36">
        <f t="shared" ca="1" si="105"/>
        <v>0.12088785199132102</v>
      </c>
      <c r="E2202" s="32">
        <v>0.12058538166368482</v>
      </c>
      <c r="F2202" s="35">
        <f t="shared" ca="1" si="104"/>
        <v>2.7460762396458449E-3</v>
      </c>
    </row>
    <row r="2203" spans="1:6" x14ac:dyDescent="0.25">
      <c r="A2203" s="23">
        <v>2202</v>
      </c>
      <c r="B2203" s="7" cm="1">
        <f t="array" aca="1" ref="B2203" ca="1">interpolexp(A2203,serie_du,Taxas_DI)</f>
        <v>0.12333034697289413</v>
      </c>
      <c r="C2203" s="37">
        <f t="shared" ca="1" si="103"/>
        <v>2.7627352677528876</v>
      </c>
      <c r="D2203" s="36">
        <f t="shared" ca="1" si="105"/>
        <v>0.12088784955141185</v>
      </c>
      <c r="E2203" s="32">
        <v>0.12058397393488463</v>
      </c>
      <c r="F2203" s="35">
        <f t="shared" ca="1" si="104"/>
        <v>2.7463730380095086E-3</v>
      </c>
    </row>
    <row r="2204" spans="1:6" x14ac:dyDescent="0.25">
      <c r="A2204" s="23">
        <v>2203</v>
      </c>
      <c r="B2204" s="7" cm="1">
        <f t="array" aca="1" ref="B2204" ca="1">interpolexp(A2204,serie_du,Taxas_DI)</f>
        <v>0.12332923705105081</v>
      </c>
      <c r="C2204" s="37">
        <f t="shared" ca="1" si="103"/>
        <v>2.7639866874629866</v>
      </c>
      <c r="D2204" s="36">
        <f t="shared" ca="1" si="105"/>
        <v>0.12088784720948431</v>
      </c>
      <c r="E2204" s="32">
        <v>0.12058256748410656</v>
      </c>
      <c r="F2204" s="35">
        <f t="shared" ca="1" si="104"/>
        <v>2.7466695669442487E-3</v>
      </c>
    </row>
    <row r="2205" spans="1:6" x14ac:dyDescent="0.25">
      <c r="A2205" s="23">
        <v>2204</v>
      </c>
      <c r="B2205" s="7" cm="1">
        <f t="array" aca="1" ref="B2205" ca="1">interpolexp(A2205,serie_du,Taxas_DI)</f>
        <v>0.12332812813640182</v>
      </c>
      <c r="C2205" s="37">
        <f t="shared" ca="1" si="103"/>
        <v>2.7652386739977488</v>
      </c>
      <c r="D2205" s="36">
        <f t="shared" ca="1" si="105"/>
        <v>0.12088784481347736</v>
      </c>
      <c r="E2205" s="32">
        <v>0.12058116230961868</v>
      </c>
      <c r="F2205" s="35">
        <f t="shared" ca="1" si="104"/>
        <v>2.7469658267831321E-3</v>
      </c>
    </row>
    <row r="2206" spans="1:6" x14ac:dyDescent="0.25">
      <c r="A2206" s="23">
        <v>2205</v>
      </c>
      <c r="B2206" s="7" cm="1">
        <f t="array" aca="1" ref="B2206" ca="1">interpolexp(A2206,serie_du,Taxas_DI)</f>
        <v>0.12332702022759268</v>
      </c>
      <c r="C2206" s="37">
        <f t="shared" ca="1" si="103"/>
        <v>2.7664912276142783</v>
      </c>
      <c r="D2206" s="36">
        <f t="shared" ca="1" si="105"/>
        <v>0.12088784245573425</v>
      </c>
      <c r="E2206" s="32">
        <v>0.12057975840968904</v>
      </c>
      <c r="F2206" s="35">
        <f t="shared" ca="1" si="104"/>
        <v>2.7472618179036346E-3</v>
      </c>
    </row>
    <row r="2207" spans="1:6" x14ac:dyDescent="0.25">
      <c r="A2207" s="23">
        <v>2206</v>
      </c>
      <c r="B2207" s="7" cm="1">
        <f t="array" aca="1" ref="B2207" ca="1">interpolexp(A2207,serie_du,Taxas_DI)</f>
        <v>0.12332591332322451</v>
      </c>
      <c r="C2207" s="37">
        <f t="shared" ca="1" si="103"/>
        <v>2.7677443485687854</v>
      </c>
      <c r="D2207" s="36">
        <f t="shared" ca="1" si="105"/>
        <v>0.12088784003297137</v>
      </c>
      <c r="E2207" s="32">
        <v>0.12057835578258569</v>
      </c>
      <c r="F2207" s="35">
        <f t="shared" ca="1" si="104"/>
        <v>2.7475575406388231E-3</v>
      </c>
    </row>
    <row r="2208" spans="1:6" x14ac:dyDescent="0.25">
      <c r="A2208" s="23">
        <v>2207</v>
      </c>
      <c r="B2208" s="7" cm="1">
        <f t="array" aca="1" ref="B2208" ca="1">interpolexp(A2208,serie_du,Taxas_DI)</f>
        <v>0.12332480742198726</v>
      </c>
      <c r="C2208" s="37">
        <f t="shared" ca="1" si="103"/>
        <v>2.7689980371194576</v>
      </c>
      <c r="D2208" s="36">
        <f t="shared" ca="1" si="105"/>
        <v>0.1208878377352185</v>
      </c>
      <c r="E2208" s="32">
        <v>0.12057695442657668</v>
      </c>
      <c r="F2208" s="35">
        <f t="shared" ca="1" si="104"/>
        <v>2.7478529954105824E-3</v>
      </c>
    </row>
    <row r="2209" spans="1:6" x14ac:dyDescent="0.25">
      <c r="A2209" s="23">
        <v>2208</v>
      </c>
      <c r="B2209" s="7" cm="1">
        <f t="array" aca="1" ref="B2209" ca="1">interpolexp(A2209,serie_du,Taxas_DI)</f>
        <v>0.12332370252245983</v>
      </c>
      <c r="C2209" s="37">
        <f t="shared" ca="1" si="103"/>
        <v>2.7702522935221503</v>
      </c>
      <c r="D2209" s="36">
        <f t="shared" ca="1" si="105"/>
        <v>0.12088783531258684</v>
      </c>
      <c r="E2209" s="32">
        <v>0.12057555433990785</v>
      </c>
      <c r="F2209" s="35">
        <f t="shared" ca="1" si="104"/>
        <v>2.7481481825519793E-3</v>
      </c>
    </row>
    <row r="2210" spans="1:6" x14ac:dyDescent="0.25">
      <c r="A2210" s="23">
        <v>2209</v>
      </c>
      <c r="B2210" s="7" cm="1">
        <f t="array" aca="1" ref="B2210" ca="1">interpolexp(A2210,serie_du,Taxas_DI)</f>
        <v>0.12332259862330996</v>
      </c>
      <c r="C2210" s="37">
        <f t="shared" ca="1" si="103"/>
        <v>2.7715071180346991</v>
      </c>
      <c r="D2210" s="36">
        <f t="shared" ca="1" si="105"/>
        <v>0.12088783295519967</v>
      </c>
      <c r="E2210" s="32">
        <v>0.12057415552089168</v>
      </c>
      <c r="F2210" s="35">
        <f t="shared" ca="1" si="104"/>
        <v>2.7484431024182854E-3</v>
      </c>
    </row>
    <row r="2211" spans="1:6" x14ac:dyDescent="0.25">
      <c r="A2211" s="23">
        <v>2210</v>
      </c>
      <c r="B2211" s="7" cm="1">
        <f t="array" aca="1" ref="B2211" ca="1">interpolexp(A2211,serie_du,Taxas_DI)</f>
        <v>0.12332149572318318</v>
      </c>
      <c r="C2211" s="37">
        <f t="shared" ca="1" si="103"/>
        <v>2.7727625109145251</v>
      </c>
      <c r="D2211" s="36">
        <f t="shared" ca="1" si="105"/>
        <v>0.1208878306089316</v>
      </c>
      <c r="E2211" s="32">
        <v>0.12057275796781841</v>
      </c>
      <c r="F2211" s="35">
        <f t="shared" ca="1" si="104"/>
        <v>2.7487377553647718E-3</v>
      </c>
    </row>
    <row r="2212" spans="1:6" x14ac:dyDescent="0.25">
      <c r="A2212" s="23">
        <v>2211</v>
      </c>
      <c r="B2212" s="7" cm="1">
        <f t="array" aca="1" ref="B2212" ca="1">interpolexp(A2212,serie_du,Taxas_DI)</f>
        <v>0.12332039382070281</v>
      </c>
      <c r="C2212" s="37">
        <f t="shared" ca="1" si="103"/>
        <v>2.774018472418629</v>
      </c>
      <c r="D2212" s="36">
        <f t="shared" ca="1" si="105"/>
        <v>0.12088782821900601</v>
      </c>
      <c r="E2212" s="32">
        <v>0.12057136167891169</v>
      </c>
      <c r="F2212" s="35">
        <f t="shared" ca="1" si="104"/>
        <v>2.749032141791119E-3</v>
      </c>
    </row>
    <row r="2213" spans="1:6" x14ac:dyDescent="0.25">
      <c r="A2213" s="23">
        <v>2212</v>
      </c>
      <c r="B2213" s="7" cm="1">
        <f t="array" aca="1" ref="B2213" ca="1">interpolexp(A2213,serie_du,Taxas_DI)</f>
        <v>0.12331929291453658</v>
      </c>
      <c r="C2213" s="37">
        <f t="shared" ca="1" si="103"/>
        <v>2.7752750028050399</v>
      </c>
      <c r="D2213" s="36">
        <f t="shared" ca="1" si="105"/>
        <v>0.12088782587841718</v>
      </c>
      <c r="E2213" s="32">
        <v>0.12056996665250619</v>
      </c>
      <c r="F2213" s="35">
        <f t="shared" ca="1" si="104"/>
        <v>2.7493262620303938E-3</v>
      </c>
    </row>
    <row r="2214" spans="1:6" x14ac:dyDescent="0.25">
      <c r="A2214" s="23">
        <v>2213</v>
      </c>
      <c r="B2214" s="7" cm="1">
        <f t="array" aca="1" ref="B2214" ca="1">interpolexp(A2214,serie_du,Taxas_DI)</f>
        <v>0.12331819300333002</v>
      </c>
      <c r="C2214" s="37">
        <f t="shared" ca="1" si="103"/>
        <v>2.7765321023313674</v>
      </c>
      <c r="D2214" s="36">
        <f t="shared" ca="1" si="105"/>
        <v>0.12088782353237937</v>
      </c>
      <c r="E2214" s="32">
        <v>0.12056857288686995</v>
      </c>
      <c r="F2214" s="35">
        <f t="shared" ca="1" si="104"/>
        <v>2.749620116460072E-3</v>
      </c>
    </row>
    <row r="2215" spans="1:6" x14ac:dyDescent="0.25">
      <c r="A2215" s="23">
        <v>2214</v>
      </c>
      <c r="B2215" s="7" cm="1">
        <f t="array" aca="1" ref="B2215" ca="1">interpolexp(A2215,serie_du,Taxas_DI)</f>
        <v>0.12331709408572866</v>
      </c>
      <c r="C2215" s="37">
        <f t="shared" ca="1" si="103"/>
        <v>2.7777897712552861</v>
      </c>
      <c r="D2215" s="36">
        <f t="shared" ca="1" si="105"/>
        <v>0.12088782117582908</v>
      </c>
      <c r="E2215" s="32">
        <v>0.12056718038031544</v>
      </c>
      <c r="F2215" s="35">
        <f t="shared" ca="1" si="104"/>
        <v>2.7499137054132206E-3</v>
      </c>
    </row>
    <row r="2216" spans="1:6" x14ac:dyDescent="0.25">
      <c r="A2216" s="23">
        <v>2215</v>
      </c>
      <c r="B2216" s="7" cm="1">
        <f t="array" aca="1" ref="B2216" ca="1">interpolexp(A2216,serie_du,Taxas_DI)</f>
        <v>0.12331599616037803</v>
      </c>
      <c r="C2216" s="37">
        <f t="shared" ca="1" si="103"/>
        <v>2.7790480098345327</v>
      </c>
      <c r="D2216" s="36">
        <f t="shared" ca="1" si="105"/>
        <v>0.12088781880304911</v>
      </c>
      <c r="E2216" s="32">
        <v>0.12056578913111071</v>
      </c>
      <c r="F2216" s="35">
        <f t="shared" ca="1" si="104"/>
        <v>2.7502070292673153E-3</v>
      </c>
    </row>
    <row r="2217" spans="1:6" x14ac:dyDescent="0.25">
      <c r="A2217" s="23">
        <v>2216</v>
      </c>
      <c r="B2217" s="7" cm="1">
        <f t="array" aca="1" ref="B2217" ca="1">interpolexp(A2217,serie_du,Taxas_DI)</f>
        <v>0.12331489922596806</v>
      </c>
      <c r="C2217" s="37">
        <f t="shared" ca="1" si="103"/>
        <v>2.7803068183278752</v>
      </c>
      <c r="D2217" s="36">
        <f t="shared" ca="1" si="105"/>
        <v>0.12088781650711033</v>
      </c>
      <c r="E2217" s="32">
        <v>0.12056439913756822</v>
      </c>
      <c r="F2217" s="35">
        <f t="shared" ca="1" si="104"/>
        <v>2.7505000883998321E-3</v>
      </c>
    </row>
    <row r="2218" spans="1:6" x14ac:dyDescent="0.25">
      <c r="A2218" s="23">
        <v>2217</v>
      </c>
      <c r="B2218" s="7" cm="1">
        <f t="array" aca="1" ref="B2218" ca="1">interpolexp(A2218,serie_du,Taxas_DI)</f>
        <v>0.12331380328112207</v>
      </c>
      <c r="C2218" s="37">
        <f t="shared" ca="1" si="103"/>
        <v>2.7815661969926961</v>
      </c>
      <c r="D2218" s="36">
        <f t="shared" ca="1" si="105"/>
        <v>0.12088781413519967</v>
      </c>
      <c r="E2218" s="32">
        <v>0.12056301039797823</v>
      </c>
      <c r="F2218" s="35">
        <f t="shared" ca="1" si="104"/>
        <v>2.7507928831438377E-3</v>
      </c>
    </row>
    <row r="2219" spans="1:6" x14ac:dyDescent="0.25">
      <c r="A2219" s="23">
        <v>2218</v>
      </c>
      <c r="B2219" s="7" cm="1">
        <f t="array" aca="1" ref="B2219" ca="1">interpolexp(A2219,serie_du,Taxas_DI)</f>
        <v>0.12331270832453001</v>
      </c>
      <c r="C2219" s="37">
        <f t="shared" ca="1" si="103"/>
        <v>2.7828261460878911</v>
      </c>
      <c r="D2219" s="36">
        <f t="shared" ca="1" si="105"/>
        <v>0.120887811829264</v>
      </c>
      <c r="E2219" s="32">
        <v>0.1205616229106754</v>
      </c>
      <c r="F2219" s="35">
        <f t="shared" ca="1" si="104"/>
        <v>2.7510854138546037E-3</v>
      </c>
    </row>
    <row r="2220" spans="1:6" x14ac:dyDescent="0.25">
      <c r="A2220" s="23">
        <v>2219</v>
      </c>
      <c r="B2220" s="7" cm="1">
        <f t="array" aca="1" ref="B2220" ca="1">interpolexp(A2220,serie_du,Taxas_DI)</f>
        <v>0.1233116143548374</v>
      </c>
      <c r="C2220" s="37">
        <f t="shared" ca="1" si="103"/>
        <v>2.7840866658714547</v>
      </c>
      <c r="D2220" s="36">
        <f t="shared" ca="1" si="105"/>
        <v>0.12088780948590561</v>
      </c>
      <c r="E2220" s="32">
        <v>0.12056023667392779</v>
      </c>
      <c r="F2220" s="35">
        <f t="shared" ca="1" si="104"/>
        <v>2.7513776809096058E-3</v>
      </c>
    </row>
    <row r="2221" spans="1:6" x14ac:dyDescent="0.25">
      <c r="A2221" s="23">
        <v>2220</v>
      </c>
      <c r="B2221" s="7" cm="1">
        <f t="array" aca="1" ref="B2221" ca="1">interpolexp(A2221,serie_du,Taxas_DI)</f>
        <v>0.12331052137071197</v>
      </c>
      <c r="C2221" s="37">
        <f t="shared" ca="1" si="103"/>
        <v>2.7853477566019293</v>
      </c>
      <c r="D2221" s="36">
        <f t="shared" ca="1" si="105"/>
        <v>0.12088780714877867</v>
      </c>
      <c r="E2221" s="32">
        <v>0.12055885168604785</v>
      </c>
      <c r="F2221" s="35">
        <f t="shared" ca="1" si="104"/>
        <v>2.7516696846641153E-3</v>
      </c>
    </row>
    <row r="2222" spans="1:6" x14ac:dyDescent="0.25">
      <c r="A2222" s="23">
        <v>2221</v>
      </c>
      <c r="B2222" s="7" cm="1">
        <f t="array" aca="1" ref="B2222" ca="1">interpolexp(A2222,serie_du,Taxas_DI)</f>
        <v>0.12330942937082146</v>
      </c>
      <c r="C2222" s="37">
        <f t="shared" ca="1" si="103"/>
        <v>2.7866094185379202</v>
      </c>
      <c r="D2222" s="36">
        <f t="shared" ca="1" si="105"/>
        <v>0.12088780481245531</v>
      </c>
      <c r="E2222" s="32">
        <v>0.12055746794539246</v>
      </c>
      <c r="F2222" s="35">
        <f t="shared" ca="1" si="104"/>
        <v>2.7519614254289948E-3</v>
      </c>
    </row>
    <row r="2223" spans="1:6" x14ac:dyDescent="0.25">
      <c r="A2223" s="23">
        <v>2222</v>
      </c>
      <c r="B2223" s="7" cm="1">
        <f t="array" aca="1" ref="B2223" ca="1">interpolexp(A2223,serie_du,Taxas_DI)</f>
        <v>0.1233083383538558</v>
      </c>
      <c r="C2223" s="37">
        <f t="shared" ca="1" si="103"/>
        <v>2.7878716519385858</v>
      </c>
      <c r="D2223" s="36">
        <f t="shared" ca="1" si="105"/>
        <v>0.12088780252115283</v>
      </c>
      <c r="E2223" s="32">
        <v>0.12055608545022967</v>
      </c>
      <c r="F2223" s="35">
        <f t="shared" ca="1" si="104"/>
        <v>2.752252903626129E-3</v>
      </c>
    </row>
    <row r="2224" spans="1:6" x14ac:dyDescent="0.25">
      <c r="A2224" s="23">
        <v>2223</v>
      </c>
      <c r="B2224" s="7" cm="1">
        <f t="array" aca="1" ref="B2224" ca="1">interpolexp(A2224,serie_du,Taxas_DI)</f>
        <v>0.12330724831846052</v>
      </c>
      <c r="C2224" s="37">
        <f t="shared" ca="1" si="103"/>
        <v>2.7891344570621746</v>
      </c>
      <c r="D2224" s="36">
        <f t="shared" ca="1" si="105"/>
        <v>0.12088780017067724</v>
      </c>
      <c r="E2224" s="32">
        <v>0.12055470419889414</v>
      </c>
      <c r="F2224" s="35">
        <f t="shared" ca="1" si="104"/>
        <v>2.7525441195663802E-3</v>
      </c>
    </row>
    <row r="2225" spans="1:6" x14ac:dyDescent="0.25">
      <c r="A2225" s="23">
        <v>2224</v>
      </c>
      <c r="B2225" s="7" cm="1">
        <f t="array" aca="1" ref="B2225" ca="1">interpolexp(A2225,serie_du,Taxas_DI)</f>
        <v>0.12330615926332555</v>
      </c>
      <c r="C2225" s="37">
        <f t="shared" ca="1" si="103"/>
        <v>2.790397834167976</v>
      </c>
      <c r="D2225" s="36">
        <f t="shared" ca="1" si="105"/>
        <v>0.12088779785465364</v>
      </c>
      <c r="E2225" s="32">
        <v>0.12055332418969833</v>
      </c>
      <c r="F2225" s="35">
        <f t="shared" ca="1" si="104"/>
        <v>2.7528350736272245E-3</v>
      </c>
    </row>
    <row r="2226" spans="1:6" x14ac:dyDescent="0.25">
      <c r="A2226" s="23">
        <v>2225</v>
      </c>
      <c r="B2226" s="7" cm="1">
        <f t="array" aca="1" ref="B2226" ca="1">interpolexp(A2226,serie_du,Taxas_DI)</f>
        <v>0.12330507118711864</v>
      </c>
      <c r="C2226" s="37">
        <f t="shared" ca="1" si="103"/>
        <v>2.7916617835148538</v>
      </c>
      <c r="D2226" s="36">
        <f t="shared" ca="1" si="105"/>
        <v>0.12088779551818352</v>
      </c>
      <c r="E2226" s="32">
        <v>0.12055194542099912</v>
      </c>
      <c r="F2226" s="35">
        <f t="shared" ca="1" si="104"/>
        <v>2.7531257661195241E-3</v>
      </c>
    </row>
    <row r="2227" spans="1:6" x14ac:dyDescent="0.25">
      <c r="A2227" s="23">
        <v>2226</v>
      </c>
      <c r="B2227" s="7" cm="1">
        <f t="array" aca="1" ref="B2227" ca="1">interpolexp(A2227,serie_du,Taxas_DI)</f>
        <v>0.12330398408855192</v>
      </c>
      <c r="C2227" s="37">
        <f t="shared" ca="1" si="103"/>
        <v>2.7929263053627151</v>
      </c>
      <c r="D2227" s="36">
        <f t="shared" ca="1" si="105"/>
        <v>0.12088779325483978</v>
      </c>
      <c r="E2227" s="32">
        <v>0.12055056789110896</v>
      </c>
      <c r="F2227" s="35">
        <f t="shared" ca="1" si="104"/>
        <v>2.7534161974429594E-3</v>
      </c>
    </row>
    <row r="2228" spans="1:6" x14ac:dyDescent="0.25">
      <c r="A2228" s="23">
        <v>2227</v>
      </c>
      <c r="B2228" s="7" cm="1">
        <f t="array" aca="1" ref="B2228" ca="1">interpolexp(A2228,serie_du,Taxas_DI)</f>
        <v>0.12330289796627092</v>
      </c>
      <c r="C2228" s="37">
        <f t="shared" ca="1" si="103"/>
        <v>2.7941913999700687</v>
      </c>
      <c r="D2228" s="36">
        <f t="shared" ca="1" si="105"/>
        <v>0.12088779091132129</v>
      </c>
      <c r="E2228" s="32">
        <v>0.12054919159834032</v>
      </c>
      <c r="F2228" s="35">
        <f t="shared" ca="1" si="104"/>
        <v>2.7537063679305973E-3</v>
      </c>
    </row>
    <row r="2229" spans="1:6" x14ac:dyDescent="0.25">
      <c r="A2229" s="23">
        <v>2228</v>
      </c>
      <c r="B2229" s="7" cm="1">
        <f t="array" aca="1" ref="B2229" ca="1">interpolexp(A2229,serie_du,Taxas_DI)</f>
        <v>0.12330181281898778</v>
      </c>
      <c r="C2229" s="37">
        <f t="shared" ca="1" si="103"/>
        <v>2.7954570675969506</v>
      </c>
      <c r="D2229" s="36">
        <f t="shared" ca="1" si="105"/>
        <v>0.1208877886301758</v>
      </c>
      <c r="E2229" s="32">
        <v>0.12054781654105007</v>
      </c>
      <c r="F2229" s="35">
        <f t="shared" ca="1" si="104"/>
        <v>2.7539962779377092E-3</v>
      </c>
    </row>
    <row r="2230" spans="1:6" x14ac:dyDescent="0.25">
      <c r="A2230" s="23">
        <v>2229</v>
      </c>
      <c r="B2230" s="7" cm="1">
        <f t="array" aca="1" ref="B2230" ca="1">interpolexp(A2230,serie_du,Taxas_DI)</f>
        <v>0.12330072864537023</v>
      </c>
      <c r="C2230" s="37">
        <f t="shared" ca="1" si="103"/>
        <v>2.7967233085024876</v>
      </c>
      <c r="D2230" s="36">
        <f t="shared" ca="1" si="105"/>
        <v>0.12088778630772334</v>
      </c>
      <c r="E2230" s="32">
        <v>0.12054644271757287</v>
      </c>
      <c r="F2230" s="35">
        <f t="shared" ca="1" si="104"/>
        <v>2.7542859277973619E-3</v>
      </c>
    </row>
    <row r="2231" spans="1:6" x14ac:dyDescent="0.25">
      <c r="A2231" s="23">
        <v>2230</v>
      </c>
      <c r="B2231" s="7" cm="1">
        <f t="array" aca="1" ref="B2231" ca="1">interpolexp(A2231,serie_du,Taxas_DI)</f>
        <v>0.12329964544413041</v>
      </c>
      <c r="C2231" s="37">
        <f t="shared" ca="1" si="103"/>
        <v>2.7979901229468513</v>
      </c>
      <c r="D2231" s="36">
        <f t="shared" ca="1" si="105"/>
        <v>0.12088778403749023</v>
      </c>
      <c r="E2231" s="32">
        <v>0.12054507012622118</v>
      </c>
      <c r="F2231" s="35">
        <f t="shared" ca="1" si="104"/>
        <v>2.7545753179092358E-3</v>
      </c>
    </row>
    <row r="2232" spans="1:6" x14ac:dyDescent="0.25">
      <c r="A2232" s="23">
        <v>2231</v>
      </c>
      <c r="B2232" s="7" cm="1">
        <f t="array" aca="1" ref="B2232" ca="1">interpolexp(A2232,serie_du,Taxas_DI)</f>
        <v>0.12329856321393606</v>
      </c>
      <c r="C2232" s="37">
        <f t="shared" ca="1" si="103"/>
        <v>2.7992575111892957</v>
      </c>
      <c r="D2232" s="36">
        <f t="shared" ca="1" si="105"/>
        <v>0.12088778171502623</v>
      </c>
      <c r="E2232" s="32">
        <v>0.12054369876537407</v>
      </c>
      <c r="F2232" s="35">
        <f t="shared" ca="1" si="104"/>
        <v>2.7548644485619889E-3</v>
      </c>
    </row>
    <row r="2233" spans="1:6" x14ac:dyDescent="0.25">
      <c r="A2233" s="23">
        <v>2232</v>
      </c>
      <c r="B2233" s="7" cm="1">
        <f t="array" aca="1" ref="B2233" ca="1">interpolexp(A2233,serie_du,Taxas_DI)</f>
        <v>0.12329748195349932</v>
      </c>
      <c r="C2233" s="37">
        <f t="shared" ca="1" si="103"/>
        <v>2.800525473490127</v>
      </c>
      <c r="D2233" s="36">
        <f t="shared" ca="1" si="105"/>
        <v>0.12088777943463613</v>
      </c>
      <c r="E2233" s="32">
        <v>0.12054232863336622</v>
      </c>
      <c r="F2233" s="35">
        <f t="shared" ca="1" si="104"/>
        <v>2.7551533201330969E-3</v>
      </c>
    </row>
    <row r="2234" spans="1:6" x14ac:dyDescent="0.25">
      <c r="A2234" s="23">
        <v>2233</v>
      </c>
      <c r="B2234" s="7" cm="1">
        <f t="array" aca="1" ref="B2234" ca="1">interpolexp(A2234,serie_du,Taxas_DI)</f>
        <v>0.12329640166148792</v>
      </c>
      <c r="C2234" s="37">
        <f t="shared" ca="1" si="103"/>
        <v>2.80179401010873</v>
      </c>
      <c r="D2234" s="36">
        <f t="shared" ca="1" si="105"/>
        <v>0.12088777709147713</v>
      </c>
      <c r="E2234" s="32">
        <v>0.12054095972853229</v>
      </c>
      <c r="F2234" s="35">
        <f t="shared" ca="1" si="104"/>
        <v>2.7554419329556268E-3</v>
      </c>
    </row>
    <row r="2235" spans="1:6" x14ac:dyDescent="0.25">
      <c r="A2235" s="23">
        <v>2234</v>
      </c>
      <c r="B2235" s="7" cm="1">
        <f t="array" aca="1" ref="B2235" ca="1">interpolexp(A2235,serie_du,Taxas_DI)</f>
        <v>0.12329532233665841</v>
      </c>
      <c r="C2235" s="37">
        <f t="shared" ca="1" si="103"/>
        <v>2.8030631213065225</v>
      </c>
      <c r="D2235" s="36">
        <f t="shared" ca="1" si="105"/>
        <v>0.12088777487866409</v>
      </c>
      <c r="E2235" s="32">
        <v>0.12053959204925135</v>
      </c>
      <c r="F2235" s="35">
        <f t="shared" ca="1" si="104"/>
        <v>2.7557302874070544E-3</v>
      </c>
    </row>
    <row r="2236" spans="1:6" x14ac:dyDescent="0.25">
      <c r="A2236" s="23">
        <v>2235</v>
      </c>
      <c r="B2236" s="7" cm="1">
        <f t="array" aca="1" ref="B2236" ca="1">interpolexp(A2236,serie_du,Taxas_DI)</f>
        <v>0.12329424397765631</v>
      </c>
      <c r="C2236" s="37">
        <f t="shared" ca="1" si="103"/>
        <v>2.8043328073425338</v>
      </c>
      <c r="D2236" s="36">
        <f t="shared" ca="1" si="105"/>
        <v>0.1208877725436297</v>
      </c>
      <c r="E2236" s="32">
        <v>0.12053822559385807</v>
      </c>
      <c r="F2236" s="35">
        <f t="shared" ca="1" si="104"/>
        <v>2.7560183837982422E-3</v>
      </c>
    </row>
    <row r="2237" spans="1:6" x14ac:dyDescent="0.25">
      <c r="A2237" s="23">
        <v>2236</v>
      </c>
      <c r="B2237" s="7" cm="1">
        <f t="array" aca="1" ref="B2237" ca="1">interpolexp(A2237,serie_du,Taxas_DI)</f>
        <v>0.12329316658321599</v>
      </c>
      <c r="C2237" s="37">
        <f t="shared" ca="1" si="103"/>
        <v>2.805603068477823</v>
      </c>
      <c r="D2237" s="36">
        <f t="shared" ca="1" si="105"/>
        <v>0.12088777027891262</v>
      </c>
      <c r="E2237" s="32">
        <v>0.12053686036070932</v>
      </c>
      <c r="F2237" s="35">
        <f t="shared" ca="1" si="104"/>
        <v>2.7563062225066659E-3</v>
      </c>
    </row>
    <row r="2238" spans="1:6" x14ac:dyDescent="0.25">
      <c r="A2238" s="23">
        <v>2237</v>
      </c>
      <c r="B2238" s="7" cm="1">
        <f t="array" aca="1" ref="B2238" ca="1">interpolexp(A2238,serie_du,Taxas_DI)</f>
        <v>0.12329209015204956</v>
      </c>
      <c r="C2238" s="37">
        <f t="shared" ca="1" si="103"/>
        <v>2.8068739049730258</v>
      </c>
      <c r="D2238" s="36">
        <f t="shared" ca="1" si="105"/>
        <v>0.1208877680299707</v>
      </c>
      <c r="E2238" s="32">
        <v>0.12053549634818417</v>
      </c>
      <c r="F2238" s="35">
        <f t="shared" ca="1" si="104"/>
        <v>2.7565938038653925E-3</v>
      </c>
    </row>
    <row r="2239" spans="1:6" x14ac:dyDescent="0.25">
      <c r="A2239" s="23">
        <v>2238</v>
      </c>
      <c r="B2239" s="7" cm="1">
        <f t="array" aca="1" ref="B2239" ca="1">interpolexp(A2239,serie_du,Taxas_DI)</f>
        <v>0.12329101468284698</v>
      </c>
      <c r="C2239" s="37">
        <f t="shared" ca="1" si="103"/>
        <v>2.8081453170883526</v>
      </c>
      <c r="D2239" s="36">
        <f t="shared" ca="1" si="105"/>
        <v>0.12088776574218896</v>
      </c>
      <c r="E2239" s="32">
        <v>0.12053413355461728</v>
      </c>
      <c r="F2239" s="35">
        <f t="shared" ca="1" si="104"/>
        <v>2.7568811282296934E-3</v>
      </c>
    </row>
    <row r="2240" spans="1:6" x14ac:dyDescent="0.25">
      <c r="A2240" s="23">
        <v>2239</v>
      </c>
      <c r="B2240" s="7" cm="1">
        <f t="array" aca="1" ref="B2240" ca="1">interpolexp(A2240,serie_du,Taxas_DI)</f>
        <v>0.12328994017432038</v>
      </c>
      <c r="C2240" s="37">
        <f t="shared" ca="1" si="103"/>
        <v>2.8094173050845712</v>
      </c>
      <c r="D2240" s="36">
        <f t="shared" ca="1" si="105"/>
        <v>0.12088776345979801</v>
      </c>
      <c r="E2240" s="32">
        <v>0.12053277197840995</v>
      </c>
      <c r="F2240" s="35">
        <f t="shared" ca="1" si="104"/>
        <v>2.7571681959104311E-3</v>
      </c>
    </row>
    <row r="2241" spans="1:6" x14ac:dyDescent="0.25">
      <c r="A2241" s="23">
        <v>2240</v>
      </c>
      <c r="B2241" s="7" cm="1">
        <f t="array" aca="1" ref="B2241" ca="1">interpolexp(A2241,serie_du,Taxas_DI)</f>
        <v>0.1232888666251819</v>
      </c>
      <c r="C2241" s="37">
        <f t="shared" ca="1" si="103"/>
        <v>2.8106898692225193</v>
      </c>
      <c r="D2241" s="36">
        <f t="shared" ca="1" si="105"/>
        <v>0.12088776117789779</v>
      </c>
      <c r="E2241" s="32">
        <v>0.12053141161791903</v>
      </c>
      <c r="F2241" s="35">
        <f t="shared" ca="1" si="104"/>
        <v>2.7574550072628767E-3</v>
      </c>
    </row>
    <row r="2242" spans="1:6" x14ac:dyDescent="0.25">
      <c r="A2242" s="23">
        <v>2241</v>
      </c>
      <c r="B2242" s="7" cm="1">
        <f t="array" aca="1" ref="B2242" ca="1">interpolexp(A2242,serie_du,Taxas_DI)</f>
        <v>0.1232877940341659</v>
      </c>
      <c r="C2242" s="37">
        <f t="shared" ref="C2242:C2305" ca="1" si="106">(1+B2242)^(A2242/252)</f>
        <v>2.8119630097635904</v>
      </c>
      <c r="D2242" s="36">
        <f t="shared" ca="1" si="105"/>
        <v>0.12088775894045489</v>
      </c>
      <c r="E2242" s="32">
        <v>0.12053005247147919</v>
      </c>
      <c r="F2242" s="35">
        <f t="shared" ref="F2242:F2305" ca="1" si="107">B2242-E2242</f>
        <v>2.7577415626867108E-3</v>
      </c>
    </row>
    <row r="2243" spans="1:6" x14ac:dyDescent="0.25">
      <c r="A2243" s="23">
        <v>2242</v>
      </c>
      <c r="B2243" s="7" cm="1">
        <f t="array" aca="1" ref="B2243" ca="1">interpolexp(A2243,serie_du,Taxas_DI)</f>
        <v>0.1232867223999623</v>
      </c>
      <c r="C2243" s="37">
        <f t="shared" ca="1" si="106"/>
        <v>2.8132367269682637</v>
      </c>
      <c r="D2243" s="36">
        <f t="shared" ca="1" si="105"/>
        <v>0.12088775664377094</v>
      </c>
      <c r="E2243" s="32">
        <v>0.12052869453753612</v>
      </c>
      <c r="F2243" s="35">
        <f t="shared" ca="1" si="107"/>
        <v>2.7580278624261823E-3</v>
      </c>
    </row>
    <row r="2244" spans="1:6" x14ac:dyDescent="0.25">
      <c r="A2244" s="23">
        <v>2243</v>
      </c>
      <c r="B2244" s="7" cm="1">
        <f t="array" aca="1" ref="B2244" ca="1">interpolexp(A2244,serie_du,Taxas_DI)</f>
        <v>0.12328565172132766</v>
      </c>
      <c r="C2244" s="37">
        <f t="shared" ca="1" si="106"/>
        <v>2.8145110210985633</v>
      </c>
      <c r="D2244" s="36">
        <f t="shared" ref="D2244:D2307" ca="1" si="108">((((1+B2244)^(A2244/252))/((1+B2243)^(A2243/252)))^(252/1))-1</f>
        <v>0.12088775443108202</v>
      </c>
      <c r="E2244" s="32">
        <v>0.12052733781440228</v>
      </c>
      <c r="F2244" s="35">
        <f t="shared" ca="1" si="107"/>
        <v>2.7583139069253804E-3</v>
      </c>
    </row>
    <row r="2245" spans="1:6" x14ac:dyDescent="0.25">
      <c r="A2245" s="23">
        <v>2244</v>
      </c>
      <c r="B2245" s="7" cm="1">
        <f t="array" aca="1" ref="B2245" ca="1">interpolexp(A2245,serie_du,Taxas_DI)</f>
        <v>0.12328458199695191</v>
      </c>
      <c r="C2245" s="37">
        <f t="shared" ca="1" si="106"/>
        <v>2.8157858924151014</v>
      </c>
      <c r="D2245" s="36">
        <f t="shared" ca="1" si="108"/>
        <v>0.12088775214874459</v>
      </c>
      <c r="E2245" s="32">
        <v>0.12052598230050116</v>
      </c>
      <c r="F2245" s="35">
        <f t="shared" ca="1" si="107"/>
        <v>2.7585996964507586E-3</v>
      </c>
    </row>
    <row r="2246" spans="1:6" x14ac:dyDescent="0.25">
      <c r="A2246" s="23">
        <v>2245</v>
      </c>
      <c r="B2246" s="7" cm="1">
        <f t="array" aca="1" ref="B2246" ca="1">interpolexp(A2246,serie_du,Taxas_DI)</f>
        <v>0.12328351322556941</v>
      </c>
      <c r="C2246" s="37">
        <f t="shared" ca="1" si="106"/>
        <v>2.8170613411795427</v>
      </c>
      <c r="D2246" s="36">
        <f t="shared" ca="1" si="108"/>
        <v>0.1208877498905494</v>
      </c>
      <c r="E2246" s="32">
        <v>0.12052462799421182</v>
      </c>
      <c r="F2246" s="35">
        <f t="shared" ca="1" si="107"/>
        <v>2.7588852313575885E-3</v>
      </c>
    </row>
    <row r="2247" spans="1:6" x14ac:dyDescent="0.25">
      <c r="A2247" s="23">
        <v>2246</v>
      </c>
      <c r="B2247" s="7" cm="1">
        <f t="array" aca="1" ref="B2247" ca="1">interpolexp(A2247,serie_du,Taxas_DI)</f>
        <v>0.12328244540591449</v>
      </c>
      <c r="C2247" s="37">
        <f t="shared" ca="1" si="106"/>
        <v>2.8183373676536245</v>
      </c>
      <c r="D2247" s="36">
        <f t="shared" ca="1" si="108"/>
        <v>0.12088774765190879</v>
      </c>
      <c r="E2247" s="32">
        <v>0.12052327489389114</v>
      </c>
      <c r="F2247" s="35">
        <f t="shared" ca="1" si="107"/>
        <v>2.7591705120233456E-3</v>
      </c>
    </row>
    <row r="2248" spans="1:6" x14ac:dyDescent="0.25">
      <c r="A2248" s="23">
        <v>2247</v>
      </c>
      <c r="B2248" s="7" cm="1">
        <f t="array" aca="1" ref="B2248" ca="1">interpolexp(A2248,serie_du,Taxas_DI)</f>
        <v>0.12328137853669929</v>
      </c>
      <c r="C2248" s="37">
        <f t="shared" ca="1" si="106"/>
        <v>2.8196139720986522</v>
      </c>
      <c r="D2248" s="36">
        <f t="shared" ca="1" si="108"/>
        <v>0.12088774537760449</v>
      </c>
      <c r="E2248" s="32">
        <v>0.1205219229979626</v>
      </c>
      <c r="F2248" s="35">
        <f t="shared" ca="1" si="107"/>
        <v>2.7594555387366881E-3</v>
      </c>
    </row>
    <row r="2249" spans="1:6" x14ac:dyDescent="0.25">
      <c r="A2249" s="23">
        <v>2248</v>
      </c>
      <c r="B2249" s="7" cm="1">
        <f t="array" aca="1" ref="B2249" ca="1">interpolexp(A2249,serie_du,Taxas_DI)</f>
        <v>0.12328031261668038</v>
      </c>
      <c r="C2249" s="37">
        <f t="shared" ca="1" si="106"/>
        <v>2.8208911547769944</v>
      </c>
      <c r="D2249" s="36">
        <f t="shared" ca="1" si="108"/>
        <v>0.12088774316235629</v>
      </c>
      <c r="E2249" s="32">
        <v>0.12052057230480528</v>
      </c>
      <c r="F2249" s="35">
        <f t="shared" ca="1" si="107"/>
        <v>2.7597403118750918E-3</v>
      </c>
    </row>
    <row r="2250" spans="1:6" x14ac:dyDescent="0.25">
      <c r="A2250" s="23">
        <v>2249</v>
      </c>
      <c r="B2250" s="7" cm="1">
        <f t="array" aca="1" ref="B2250" ca="1">interpolexp(A2250,serie_du,Taxas_DI)</f>
        <v>0.12327924764456988</v>
      </c>
      <c r="C2250" s="37">
        <f t="shared" ca="1" si="106"/>
        <v>2.8221689159500922</v>
      </c>
      <c r="D2250" s="36">
        <f t="shared" ca="1" si="108"/>
        <v>0.12088774090125742</v>
      </c>
      <c r="E2250" s="32">
        <v>0.12051922281282046</v>
      </c>
      <c r="F2250" s="35">
        <f t="shared" ca="1" si="107"/>
        <v>2.7600248317494191E-3</v>
      </c>
    </row>
    <row r="2251" spans="1:6" x14ac:dyDescent="0.25">
      <c r="A2251" s="23">
        <v>2250</v>
      </c>
      <c r="B2251" s="7" cm="1">
        <f t="array" aca="1" ref="B2251" ca="1">interpolexp(A2251,serie_du,Taxas_DI)</f>
        <v>0.12327818361912435</v>
      </c>
      <c r="C2251" s="37">
        <f t="shared" ca="1" si="106"/>
        <v>2.8234472558804535</v>
      </c>
      <c r="D2251" s="36">
        <f t="shared" ca="1" si="108"/>
        <v>0.12088773868926594</v>
      </c>
      <c r="E2251" s="32">
        <v>0.1205178745203872</v>
      </c>
      <c r="F2251" s="35">
        <f t="shared" ca="1" si="107"/>
        <v>2.7603090987371459E-3</v>
      </c>
    </row>
    <row r="2252" spans="1:6" x14ac:dyDescent="0.25">
      <c r="A2252" s="23">
        <v>2251</v>
      </c>
      <c r="B2252" s="7" cm="1">
        <f t="array" aca="1" ref="B2252" ca="1">interpolexp(A2252,serie_du,Taxas_DI)</f>
        <v>0.12327712053905593</v>
      </c>
      <c r="C2252" s="37">
        <f t="shared" ca="1" si="106"/>
        <v>2.8247261748296535</v>
      </c>
      <c r="D2252" s="36">
        <f t="shared" ca="1" si="108"/>
        <v>0.12088773642130923</v>
      </c>
      <c r="E2252" s="32">
        <v>0.120516527425929</v>
      </c>
      <c r="F2252" s="35">
        <f t="shared" ca="1" si="107"/>
        <v>2.7605931131269301E-3</v>
      </c>
    </row>
    <row r="2253" spans="1:6" x14ac:dyDescent="0.25">
      <c r="A2253" s="23">
        <v>2252</v>
      </c>
      <c r="B2253" s="7" cm="1">
        <f t="array" aca="1" ref="B2253" ca="1">interpolexp(A2253,serie_du,Taxas_DI)</f>
        <v>0.12327605840312117</v>
      </c>
      <c r="C2253" s="37">
        <f t="shared" ca="1" si="106"/>
        <v>2.8260056730603353</v>
      </c>
      <c r="D2253" s="36">
        <f t="shared" ca="1" si="108"/>
        <v>0.12088773419217924</v>
      </c>
      <c r="E2253" s="32">
        <v>0.12051518152784713</v>
      </c>
      <c r="F2253" s="35">
        <f t="shared" ca="1" si="107"/>
        <v>2.7608768752740431E-3</v>
      </c>
    </row>
    <row r="2254" spans="1:6" x14ac:dyDescent="0.25">
      <c r="A2254" s="23">
        <v>2253</v>
      </c>
      <c r="B2254" s="7" cm="1">
        <f t="array" aca="1" ref="B2254" ca="1">interpolexp(A2254,serie_du,Taxas_DI)</f>
        <v>0.12327499721007662</v>
      </c>
      <c r="C2254" s="37">
        <f t="shared" ca="1" si="106"/>
        <v>2.8272857508352103</v>
      </c>
      <c r="D2254" s="36">
        <f t="shared" ca="1" si="108"/>
        <v>0.12088773199681668</v>
      </c>
      <c r="E2254" s="32">
        <v>0.12051383682454286</v>
      </c>
      <c r="F2254" s="35">
        <f t="shared" ca="1" si="107"/>
        <v>2.7611603855337563E-3</v>
      </c>
    </row>
    <row r="2255" spans="1:6" x14ac:dyDescent="0.25">
      <c r="A2255" s="23">
        <v>2254</v>
      </c>
      <c r="B2255" s="7" cm="1">
        <f t="array" aca="1" ref="B2255" ca="1">interpolexp(A2255,serie_du,Taxas_DI)</f>
        <v>0.12327393695863442</v>
      </c>
      <c r="C2255" s="37">
        <f t="shared" ca="1" si="106"/>
        <v>2.8285664084160618</v>
      </c>
      <c r="D2255" s="36">
        <f t="shared" ca="1" si="108"/>
        <v>0.12088772973065076</v>
      </c>
      <c r="E2255" s="32">
        <v>0.12051249331443969</v>
      </c>
      <c r="F2255" s="35">
        <f t="shared" ca="1" si="107"/>
        <v>2.7614436441947277E-3</v>
      </c>
    </row>
    <row r="2256" spans="1:6" x14ac:dyDescent="0.25">
      <c r="A2256" s="23">
        <v>2255</v>
      </c>
      <c r="B2256" s="7" cm="1">
        <f t="array" aca="1" ref="B2256" ca="1">interpolexp(A2256,serie_du,Taxas_DI)</f>
        <v>0.12327287764757333</v>
      </c>
      <c r="C2256" s="37">
        <f t="shared" ca="1" si="106"/>
        <v>2.8298476460662365</v>
      </c>
      <c r="D2256" s="36">
        <f t="shared" ca="1" si="108"/>
        <v>0.12088772753801802</v>
      </c>
      <c r="E2256" s="32">
        <v>0.12051115099591669</v>
      </c>
      <c r="F2256" s="35">
        <f t="shared" ca="1" si="107"/>
        <v>2.7617266516566374E-3</v>
      </c>
    </row>
    <row r="2257" spans="1:6" x14ac:dyDescent="0.25">
      <c r="A2257" s="23">
        <v>2256</v>
      </c>
      <c r="B2257" s="7" cm="1">
        <f t="array" aca="1" ref="B2257" ca="1">interpolexp(A2257,serie_du,Taxas_DI)</f>
        <v>0.12327181927562769</v>
      </c>
      <c r="C2257" s="37">
        <f t="shared" ca="1" si="106"/>
        <v>2.8311294640481552</v>
      </c>
      <c r="D2257" s="36">
        <f t="shared" ca="1" si="108"/>
        <v>0.12088772531442316</v>
      </c>
      <c r="E2257" s="32">
        <v>0.12050980986741955</v>
      </c>
      <c r="F2257" s="35">
        <f t="shared" ca="1" si="107"/>
        <v>2.7620094082081437E-3</v>
      </c>
    </row>
    <row r="2258" spans="1:6" x14ac:dyDescent="0.25">
      <c r="A2258" s="23">
        <v>2257</v>
      </c>
      <c r="B2258" s="7" cm="1">
        <f t="array" aca="1" ref="B2258" ca="1">interpolexp(A2258,serie_du,Taxas_DI)</f>
        <v>0.12327076184153185</v>
      </c>
      <c r="C2258" s="37">
        <f t="shared" ca="1" si="106"/>
        <v>2.8324118626243022</v>
      </c>
      <c r="D2258" s="36">
        <f t="shared" ca="1" si="108"/>
        <v>0.12088772305456019</v>
      </c>
      <c r="E2258" s="32">
        <v>0.12050846992737174</v>
      </c>
      <c r="F2258" s="35">
        <f t="shared" ca="1" si="107"/>
        <v>2.7622919141601088E-3</v>
      </c>
    </row>
    <row r="2259" spans="1:6" x14ac:dyDescent="0.25">
      <c r="A2259" s="23">
        <v>2258</v>
      </c>
      <c r="B2259" s="7" cm="1">
        <f t="array" aca="1" ref="B2259" ca="1">interpolexp(A2259,serie_du,Taxas_DI)</f>
        <v>0.12326970534408677</v>
      </c>
      <c r="C2259" s="37">
        <f t="shared" ca="1" si="106"/>
        <v>2.8336948420587391</v>
      </c>
      <c r="D2259" s="36">
        <f t="shared" ca="1" si="108"/>
        <v>0.12088772090365585</v>
      </c>
      <c r="E2259" s="32">
        <v>0.12050713117415235</v>
      </c>
      <c r="F2259" s="35">
        <f t="shared" ca="1" si="107"/>
        <v>2.7625741699344175E-3</v>
      </c>
    </row>
    <row r="2260" spans="1:6" x14ac:dyDescent="0.25">
      <c r="A2260" s="23">
        <v>2259</v>
      </c>
      <c r="B2260" s="7" cm="1">
        <f t="array" aca="1" ref="B2260" ca="1">interpolexp(A2260,serie_du,Taxas_DI)</f>
        <v>0.12326864978198238</v>
      </c>
      <c r="C2260" s="37">
        <f t="shared" ca="1" si="106"/>
        <v>2.8349784026130851</v>
      </c>
      <c r="D2260" s="36">
        <f t="shared" ca="1" si="108"/>
        <v>0.12088771860640746</v>
      </c>
      <c r="E2260" s="32">
        <v>0.12050579360622926</v>
      </c>
      <c r="F2260" s="35">
        <f t="shared" ca="1" si="107"/>
        <v>2.7628561757531145E-3</v>
      </c>
    </row>
    <row r="2261" spans="1:6" x14ac:dyDescent="0.25">
      <c r="A2261" s="23">
        <v>2260</v>
      </c>
      <c r="B2261" s="7" cm="1">
        <f t="array" aca="1" ref="B2261" ca="1">interpolexp(A2261,serie_du,Taxas_DI)</f>
        <v>0.12326759515404184</v>
      </c>
      <c r="C2261" s="37">
        <f t="shared" ca="1" si="106"/>
        <v>2.8362625445520426</v>
      </c>
      <c r="D2261" s="36">
        <f t="shared" ca="1" si="108"/>
        <v>0.12088771645829888</v>
      </c>
      <c r="E2261" s="32">
        <v>0.12050445722200376</v>
      </c>
      <c r="F2261" s="35">
        <f t="shared" ca="1" si="107"/>
        <v>2.7631379320380844E-3</v>
      </c>
    </row>
    <row r="2262" spans="1:6" x14ac:dyDescent="0.25">
      <c r="A2262" s="23">
        <v>2261</v>
      </c>
      <c r="B2262" s="7" cm="1">
        <f t="array" aca="1" ref="B2262" ca="1">interpolexp(A2262,serie_du,Taxas_DI)</f>
        <v>0.12326654145899951</v>
      </c>
      <c r="C2262" s="37">
        <f t="shared" ca="1" si="106"/>
        <v>2.8375472681383753</v>
      </c>
      <c r="D2262" s="36">
        <f t="shared" ca="1" si="108"/>
        <v>0.12088771425415068</v>
      </c>
      <c r="E2262" s="32">
        <v>0.12050312201992153</v>
      </c>
      <c r="F2262" s="35">
        <f t="shared" ca="1" si="107"/>
        <v>2.7634194390779854E-3</v>
      </c>
    </row>
    <row r="2263" spans="1:6" x14ac:dyDescent="0.25">
      <c r="A2263" s="23">
        <v>2262</v>
      </c>
      <c r="B2263" s="7" cm="1">
        <f t="array" aca="1" ref="B2263" ca="1">interpolexp(A2263,serie_du,Taxas_DI)</f>
        <v>0.12326548869561194</v>
      </c>
      <c r="C2263" s="37">
        <f t="shared" ca="1" si="106"/>
        <v>2.838832573635417</v>
      </c>
      <c r="D2263" s="36">
        <f t="shared" ca="1" si="108"/>
        <v>0.12088771203893711</v>
      </c>
      <c r="E2263" s="32">
        <v>0.12050178799840605</v>
      </c>
      <c r="F2263" s="35">
        <f t="shared" ca="1" si="107"/>
        <v>2.7637006972058842E-3</v>
      </c>
    </row>
    <row r="2264" spans="1:6" x14ac:dyDescent="0.25">
      <c r="A2264" s="23">
        <v>2263</v>
      </c>
      <c r="B2264" s="7" cm="1">
        <f t="array" aca="1" ref="B2264" ca="1">interpolexp(A2264,serie_du,Taxas_DI)</f>
        <v>0.12326443686265787</v>
      </c>
      <c r="C2264" s="37">
        <f t="shared" ca="1" si="106"/>
        <v>2.8401184613070751</v>
      </c>
      <c r="D2264" s="36">
        <f t="shared" ca="1" si="108"/>
        <v>0.12088770985786845</v>
      </c>
      <c r="E2264" s="32">
        <v>0.12050045515588081</v>
      </c>
      <c r="F2264" s="35">
        <f t="shared" ca="1" si="107"/>
        <v>2.7639817067770522E-3</v>
      </c>
    </row>
    <row r="2265" spans="1:6" x14ac:dyDescent="0.25">
      <c r="A2265" s="23">
        <v>2264</v>
      </c>
      <c r="B2265" s="7" cm="1">
        <f t="array" aca="1" ref="B2265" ca="1">interpolexp(A2265,serie_du,Taxas_DI)</f>
        <v>0.12326338595889386</v>
      </c>
      <c r="C2265" s="37">
        <f t="shared" ca="1" si="106"/>
        <v>2.8414049314168248</v>
      </c>
      <c r="D2265" s="36">
        <f t="shared" ca="1" si="108"/>
        <v>0.12088770765603263</v>
      </c>
      <c r="E2265" s="32">
        <v>0.12049912349081371</v>
      </c>
      <c r="F2265" s="35">
        <f t="shared" ca="1" si="107"/>
        <v>2.7642624680801475E-3</v>
      </c>
    </row>
    <row r="2266" spans="1:6" x14ac:dyDescent="0.25">
      <c r="A2266" s="23">
        <v>2265</v>
      </c>
      <c r="B2266" s="7" cm="1">
        <f t="array" aca="1" ref="B2266" ca="1">interpolexp(A2266,serie_du,Taxas_DI)</f>
        <v>0.12326233598307645</v>
      </c>
      <c r="C2266" s="37">
        <f t="shared" ca="1" si="106"/>
        <v>2.8426919842282072</v>
      </c>
      <c r="D2266" s="36">
        <f t="shared" ca="1" si="108"/>
        <v>0.12088770542818339</v>
      </c>
      <c r="E2266" s="32">
        <v>0.12049779300162822</v>
      </c>
      <c r="F2266" s="35">
        <f t="shared" ca="1" si="107"/>
        <v>2.764542981448237E-3</v>
      </c>
    </row>
    <row r="2267" spans="1:6" x14ac:dyDescent="0.25">
      <c r="A2267" s="23">
        <v>2266</v>
      </c>
      <c r="B2267" s="7" cm="1">
        <f t="array" aca="1" ref="B2267" ca="1">interpolexp(A2267,serie_du,Taxas_DI)</f>
        <v>0.12326128693400662</v>
      </c>
      <c r="C2267" s="37">
        <f t="shared" ca="1" si="106"/>
        <v>2.843979620005848</v>
      </c>
      <c r="D2267" s="36">
        <f t="shared" ca="1" si="108"/>
        <v>0.12088770327017029</v>
      </c>
      <c r="E2267" s="32">
        <v>0.12049646368674782</v>
      </c>
      <c r="F2267" s="35">
        <f t="shared" ca="1" si="107"/>
        <v>2.7648232472587964E-3</v>
      </c>
    </row>
    <row r="2268" spans="1:6" x14ac:dyDescent="0.25">
      <c r="A2268" s="23">
        <v>2267</v>
      </c>
      <c r="B2268" s="7" cm="1">
        <f t="array" aca="1" ref="B2268" ca="1">interpolexp(A2268,serie_du,Taxas_DI)</f>
        <v>0.1232602388104187</v>
      </c>
      <c r="C2268" s="37">
        <f t="shared" ca="1" si="106"/>
        <v>2.8452678390129233</v>
      </c>
      <c r="D2268" s="36">
        <f t="shared" ca="1" si="108"/>
        <v>0.12088770102605406</v>
      </c>
      <c r="E2268" s="32">
        <v>0.12049513554466262</v>
      </c>
      <c r="F2268" s="35">
        <f t="shared" ca="1" si="107"/>
        <v>2.7651032657560748E-3</v>
      </c>
    </row>
    <row r="2269" spans="1:6" x14ac:dyDescent="0.25">
      <c r="A2269" s="23">
        <v>2268</v>
      </c>
      <c r="B2269" s="7" cm="1">
        <f t="array" aca="1" ref="B2269" ca="1">interpolexp(A2269,serie_du,Taxas_DI)</f>
        <v>0.12325919161113585</v>
      </c>
      <c r="C2269" s="37">
        <f t="shared" ca="1" si="106"/>
        <v>2.8465566415147041</v>
      </c>
      <c r="D2269" s="36">
        <f t="shared" ca="1" si="108"/>
        <v>0.12088769889210749</v>
      </c>
      <c r="E2269" s="32">
        <v>0.1204938085737739</v>
      </c>
      <c r="F2269" s="35">
        <f t="shared" ca="1" si="107"/>
        <v>2.765383037361957E-3</v>
      </c>
    </row>
    <row r="2270" spans="1:6" x14ac:dyDescent="0.25">
      <c r="A2270" s="23">
        <v>2269</v>
      </c>
      <c r="B2270" s="7" cm="1">
        <f t="array" aca="1" ref="B2270" ca="1">interpolexp(A2270,serie_du,Taxas_DI)</f>
        <v>0.12325814533491464</v>
      </c>
      <c r="C2270" s="37">
        <f t="shared" ca="1" si="106"/>
        <v>2.8478460277750139</v>
      </c>
      <c r="D2270" s="36">
        <f t="shared" ca="1" si="108"/>
        <v>0.12088769671273636</v>
      </c>
      <c r="E2270" s="32">
        <v>0.12049248277257174</v>
      </c>
      <c r="F2270" s="35">
        <f t="shared" ca="1" si="107"/>
        <v>2.7656625623428965E-3</v>
      </c>
    </row>
    <row r="2271" spans="1:6" x14ac:dyDescent="0.25">
      <c r="A2271" s="23">
        <v>2270</v>
      </c>
      <c r="B2271" s="7" cm="1">
        <f t="array" aca="1" ref="B2271" ca="1">interpolexp(A2271,serie_du,Taxas_DI)</f>
        <v>0.1232570999805338</v>
      </c>
      <c r="C2271" s="37">
        <f t="shared" ca="1" si="106"/>
        <v>2.8491359980582538</v>
      </c>
      <c r="D2271" s="36">
        <f t="shared" ca="1" si="108"/>
        <v>0.12088769453326331</v>
      </c>
      <c r="E2271" s="32">
        <v>0.12049115813947964</v>
      </c>
      <c r="F2271" s="35">
        <f t="shared" ca="1" si="107"/>
        <v>2.7659418410541647E-3</v>
      </c>
    </row>
    <row r="2272" spans="1:6" x14ac:dyDescent="0.25">
      <c r="A2272" s="23">
        <v>2271</v>
      </c>
      <c r="B2272" s="7" cm="1">
        <f t="array" aca="1" ref="B2272" ca="1">interpolexp(A2272,serie_du,Taxas_DI)</f>
        <v>0.1232560555467721</v>
      </c>
      <c r="C2272" s="37">
        <f t="shared" ca="1" si="106"/>
        <v>2.8504265526288934</v>
      </c>
      <c r="D2272" s="36">
        <f t="shared" ca="1" si="108"/>
        <v>0.12088769234868213</v>
      </c>
      <c r="E2272" s="32">
        <v>0.12048983467296548</v>
      </c>
      <c r="F2272" s="35">
        <f t="shared" ca="1" si="107"/>
        <v>2.7662208738066241E-3</v>
      </c>
    </row>
    <row r="2273" spans="1:6" x14ac:dyDescent="0.25">
      <c r="A2273" s="23">
        <v>2272</v>
      </c>
      <c r="B2273" s="7" cm="1">
        <f t="array" aca="1" ref="B2273" ca="1">interpolexp(A2273,serie_du,Taxas_DI)</f>
        <v>0.1232550120324083</v>
      </c>
      <c r="C2273" s="37">
        <f t="shared" ca="1" si="106"/>
        <v>2.8517176917514742</v>
      </c>
      <c r="D2273" s="36">
        <f t="shared" ca="1" si="108"/>
        <v>0.12088769015423573</v>
      </c>
      <c r="E2273" s="32">
        <v>0.12048851237149716</v>
      </c>
      <c r="F2273" s="35">
        <f t="shared" ca="1" si="107"/>
        <v>2.766499660911137E-3</v>
      </c>
    </row>
    <row r="2274" spans="1:6" x14ac:dyDescent="0.25">
      <c r="A2274" s="23">
        <v>2273</v>
      </c>
      <c r="B2274" s="7" cm="1">
        <f t="array" aca="1" ref="B2274" ca="1">interpolexp(A2274,serie_du,Taxas_DI)</f>
        <v>0.12325396943624334</v>
      </c>
      <c r="C2274" s="37">
        <f t="shared" ca="1" si="106"/>
        <v>2.8530094156911172</v>
      </c>
      <c r="D2274" s="36">
        <f t="shared" ca="1" si="108"/>
        <v>0.12088768799553273</v>
      </c>
      <c r="E2274" s="32">
        <v>0.12048719123354257</v>
      </c>
      <c r="F2274" s="35">
        <f t="shared" ca="1" si="107"/>
        <v>2.7667782027007704E-3</v>
      </c>
    </row>
    <row r="2275" spans="1:6" x14ac:dyDescent="0.25">
      <c r="A2275" s="23">
        <v>2274</v>
      </c>
      <c r="B2275" s="7" cm="1">
        <f t="array" aca="1" ref="B2275" ca="1">interpolexp(A2275,serie_du,Taxas_DI)</f>
        <v>0.12325292775705599</v>
      </c>
      <c r="C2275" s="37">
        <f t="shared" ca="1" si="106"/>
        <v>2.8543017247125047</v>
      </c>
      <c r="D2275" s="36">
        <f t="shared" ca="1" si="108"/>
        <v>0.12088768581712372</v>
      </c>
      <c r="E2275" s="32">
        <v>0.12048587125754739</v>
      </c>
      <c r="F2275" s="35">
        <f t="shared" ca="1" si="107"/>
        <v>2.7670564995085911E-3</v>
      </c>
    </row>
    <row r="2276" spans="1:6" x14ac:dyDescent="0.25">
      <c r="A2276" s="23">
        <v>2275</v>
      </c>
      <c r="B2276" s="7" cm="1">
        <f t="array" aca="1" ref="B2276" ca="1">interpolexp(A2276,serie_du,Taxas_DI)</f>
        <v>0.1232518869936472</v>
      </c>
      <c r="C2276" s="37">
        <f t="shared" ca="1" si="106"/>
        <v>2.8555946190808998</v>
      </c>
      <c r="D2276" s="36">
        <f t="shared" ca="1" si="108"/>
        <v>0.12088768366468394</v>
      </c>
      <c r="E2276" s="32">
        <v>0.12048455244200174</v>
      </c>
      <c r="F2276" s="35">
        <f t="shared" ca="1" si="107"/>
        <v>2.7673345516454617E-3</v>
      </c>
    </row>
    <row r="2277" spans="1:6" x14ac:dyDescent="0.25">
      <c r="A2277" s="23">
        <v>2276</v>
      </c>
      <c r="B2277" s="7" cm="1">
        <f t="array" aca="1" ref="B2277" ca="1">interpolexp(A2277,serie_du,Taxas_DI)</f>
        <v>0.12325084714481793</v>
      </c>
      <c r="C2277" s="37">
        <f t="shared" ca="1" si="106"/>
        <v>2.8568880990616385</v>
      </c>
      <c r="D2277" s="36">
        <f t="shared" ca="1" si="108"/>
        <v>0.12088768153346496</v>
      </c>
      <c r="E2277" s="32">
        <v>0.12048323478535128</v>
      </c>
      <c r="F2277" s="35">
        <f t="shared" ca="1" si="107"/>
        <v>2.7676123594666535E-3</v>
      </c>
    </row>
    <row r="2278" spans="1:6" x14ac:dyDescent="0.25">
      <c r="A2278" s="23">
        <v>2277</v>
      </c>
      <c r="B2278" s="7" cm="1">
        <f t="array" aca="1" ref="B2278" ca="1">interpolexp(A2278,serie_du,Taxas_DI)</f>
        <v>0.12324980820932474</v>
      </c>
      <c r="C2278" s="37">
        <f t="shared" ca="1" si="106"/>
        <v>2.8581821649191061</v>
      </c>
      <c r="D2278" s="36">
        <f t="shared" ca="1" si="108"/>
        <v>0.12088767931761435</v>
      </c>
      <c r="E2278" s="32">
        <v>0.12048191828606392</v>
      </c>
      <c r="F2278" s="35">
        <f t="shared" ca="1" si="107"/>
        <v>2.7678899232608245E-3</v>
      </c>
    </row>
    <row r="2279" spans="1:6" x14ac:dyDescent="0.25">
      <c r="A2279" s="23">
        <v>2278</v>
      </c>
      <c r="B2279" s="7" cm="1">
        <f t="array" aca="1" ref="B2279" ca="1">interpolexp(A2279,serie_du,Taxas_DI)</f>
        <v>0.12324877018599079</v>
      </c>
      <c r="C2279" s="37">
        <f t="shared" ca="1" si="106"/>
        <v>2.8594768169192895</v>
      </c>
      <c r="D2279" s="36">
        <f t="shared" ca="1" si="108"/>
        <v>0.12088767716366822</v>
      </c>
      <c r="E2279" s="32">
        <v>0.12048060294265195</v>
      </c>
      <c r="F2279" s="35">
        <f t="shared" ca="1" si="107"/>
        <v>2.7681672433388371E-3</v>
      </c>
    </row>
    <row r="2280" spans="1:6" x14ac:dyDescent="0.25">
      <c r="A2280" s="23">
        <v>2279</v>
      </c>
      <c r="B2280" s="7" cm="1">
        <f t="array" aca="1" ref="B2280" ca="1">interpolexp(A2280,serie_du,Taxas_DI)</f>
        <v>0.12324773307363923</v>
      </c>
      <c r="C2280" s="37">
        <f t="shared" ca="1" si="106"/>
        <v>2.8607720553282516</v>
      </c>
      <c r="D2280" s="36">
        <f t="shared" ca="1" si="108"/>
        <v>0.12088767506723253</v>
      </c>
      <c r="E2280" s="32">
        <v>0.12047928875358327</v>
      </c>
      <c r="F2280" s="35">
        <f t="shared" ca="1" si="107"/>
        <v>2.7684443200559627E-3</v>
      </c>
    </row>
    <row r="2281" spans="1:6" x14ac:dyDescent="0.25">
      <c r="A2281" s="23">
        <v>2280</v>
      </c>
      <c r="B2281" s="7" cm="1">
        <f t="array" aca="1" ref="B2281" ca="1">interpolexp(A2281,serie_du,Taxas_DI)</f>
        <v>0.12324669687102663</v>
      </c>
      <c r="C2281" s="37">
        <f t="shared" ca="1" si="106"/>
        <v>2.862067880410589</v>
      </c>
      <c r="D2281" s="36">
        <f t="shared" ca="1" si="108"/>
        <v>0.12088767287140478</v>
      </c>
      <c r="E2281" s="32">
        <v>0.12047797571730356</v>
      </c>
      <c r="F2281" s="35">
        <f t="shared" ca="1" si="107"/>
        <v>2.7687211537230638E-3</v>
      </c>
    </row>
    <row r="2282" spans="1:6" x14ac:dyDescent="0.25">
      <c r="A2282" s="23">
        <v>2281</v>
      </c>
      <c r="B2282" s="7" cm="1">
        <f t="array" aca="1" ref="B2282" ca="1">interpolexp(A2282,serie_du,Taxas_DI)</f>
        <v>0.12324566157697614</v>
      </c>
      <c r="C2282" s="37">
        <f t="shared" ca="1" si="106"/>
        <v>2.8633642924325078</v>
      </c>
      <c r="D2282" s="36">
        <f t="shared" ca="1" si="108"/>
        <v>0.12088767072341988</v>
      </c>
      <c r="E2282" s="32">
        <v>0.12047666383234734</v>
      </c>
      <c r="F2282" s="35">
        <f t="shared" ca="1" si="107"/>
        <v>2.7689977446287983E-3</v>
      </c>
    </row>
    <row r="2283" spans="1:6" x14ac:dyDescent="0.25">
      <c r="A2283" s="23">
        <v>2282</v>
      </c>
      <c r="B2283" s="7" cm="1">
        <f t="array" aca="1" ref="B2283" ca="1">interpolexp(A2283,serie_du,Taxas_DI)</f>
        <v>0.12324462719028872</v>
      </c>
      <c r="C2283" s="37">
        <f t="shared" ca="1" si="106"/>
        <v>2.8646612916597709</v>
      </c>
      <c r="D2283" s="36">
        <f t="shared" ca="1" si="108"/>
        <v>0.12088766856759769</v>
      </c>
      <c r="E2283" s="32">
        <v>0.12047535309716029</v>
      </c>
      <c r="F2283" s="35">
        <f t="shared" ca="1" si="107"/>
        <v>2.7692740931284376E-3</v>
      </c>
    </row>
    <row r="2284" spans="1:6" x14ac:dyDescent="0.25">
      <c r="A2284" s="23">
        <v>2283</v>
      </c>
      <c r="B2284" s="7" cm="1">
        <f t="array" aca="1" ref="B2284" ca="1">interpolexp(A2284,serie_du,Taxas_DI)</f>
        <v>0.12324359370978755</v>
      </c>
      <c r="C2284" s="37">
        <f t="shared" ca="1" si="106"/>
        <v>2.8659588783587298</v>
      </c>
      <c r="D2284" s="36">
        <f t="shared" ca="1" si="108"/>
        <v>0.12088766645008819</v>
      </c>
      <c r="E2284" s="32">
        <v>0.1204740435102547</v>
      </c>
      <c r="F2284" s="35">
        <f t="shared" ca="1" si="107"/>
        <v>2.7695501995328442E-3</v>
      </c>
    </row>
    <row r="2285" spans="1:6" x14ac:dyDescent="0.25">
      <c r="A2285" s="23">
        <v>2284</v>
      </c>
      <c r="B2285" s="7" cm="1">
        <f t="array" aca="1" ref="B2285" ca="1">interpolexp(A2285,serie_du,Taxas_DI)</f>
        <v>0.12324256113427356</v>
      </c>
      <c r="C2285" s="37">
        <f t="shared" ca="1" si="106"/>
        <v>2.867257052795293</v>
      </c>
      <c r="D2285" s="36">
        <f t="shared" ca="1" si="108"/>
        <v>0.1208876643153356</v>
      </c>
      <c r="E2285" s="32">
        <v>0.12047273507009848</v>
      </c>
      <c r="F2285" s="35">
        <f t="shared" ca="1" si="107"/>
        <v>2.7698260641750849E-3</v>
      </c>
    </row>
    <row r="2286" spans="1:6" x14ac:dyDescent="0.25">
      <c r="A2286" s="23">
        <v>2285</v>
      </c>
      <c r="B2286" s="7" cm="1">
        <f t="array" aca="1" ref="B2286" ca="1">interpolexp(A2286,serie_du,Taxas_DI)</f>
        <v>0.12324152946254774</v>
      </c>
      <c r="C2286" s="37">
        <f t="shared" ca="1" si="106"/>
        <v>2.868555815235442</v>
      </c>
      <c r="D2286" s="36">
        <f t="shared" ca="1" si="108"/>
        <v>0.12088766215863433</v>
      </c>
      <c r="E2286" s="32">
        <v>0.12047142777520392</v>
      </c>
      <c r="F2286" s="35">
        <f t="shared" ca="1" si="107"/>
        <v>2.7701016873438178E-3</v>
      </c>
    </row>
    <row r="2287" spans="1:6" x14ac:dyDescent="0.25">
      <c r="A2287" s="23">
        <v>2286</v>
      </c>
      <c r="B2287" s="7" cm="1">
        <f t="array" aca="1" ref="B2287" ca="1">interpolexp(A2287,serie_du,Taxas_DI)</f>
        <v>0.12324049869343323</v>
      </c>
      <c r="C2287" s="37">
        <f t="shared" ca="1" si="106"/>
        <v>2.8698551659457432</v>
      </c>
      <c r="D2287" s="36">
        <f t="shared" ca="1" si="108"/>
        <v>0.12088766002581952</v>
      </c>
      <c r="E2287" s="32">
        <v>0.12047012162408333</v>
      </c>
      <c r="F2287" s="35">
        <f t="shared" ca="1" si="107"/>
        <v>2.7703770693499052E-3</v>
      </c>
    </row>
    <row r="2288" spans="1:6" x14ac:dyDescent="0.25">
      <c r="A2288" s="23">
        <v>2287</v>
      </c>
      <c r="B2288" s="7" cm="1">
        <f t="array" aca="1" ref="B2288" ca="1">interpolexp(A2288,serie_du,Taxas_DI)</f>
        <v>0.123239468825731</v>
      </c>
      <c r="C2288" s="37">
        <f t="shared" ca="1" si="106"/>
        <v>2.8711551051923232</v>
      </c>
      <c r="D2288" s="36">
        <f t="shared" ca="1" si="108"/>
        <v>0.12088765786163491</v>
      </c>
      <c r="E2288" s="32">
        <v>0.12046881661522679</v>
      </c>
      <c r="F2288" s="35">
        <f t="shared" ca="1" si="107"/>
        <v>2.7706522105042097E-3</v>
      </c>
    </row>
    <row r="2289" spans="1:6" x14ac:dyDescent="0.25">
      <c r="A2289" s="23">
        <v>2288</v>
      </c>
      <c r="B2289" s="7" cm="1">
        <f t="array" aca="1" ref="B2289" ca="1">interpolexp(A2289,serie_du,Taxas_DI)</f>
        <v>0.12323843985830862</v>
      </c>
      <c r="C2289" s="37">
        <f t="shared" ca="1" si="106"/>
        <v>2.8724556332429239</v>
      </c>
      <c r="D2289" s="36">
        <f t="shared" ca="1" si="108"/>
        <v>0.12088765581309024</v>
      </c>
      <c r="E2289" s="32">
        <v>0.12046751274710221</v>
      </c>
      <c r="F2289" s="35">
        <f t="shared" ca="1" si="107"/>
        <v>2.7709271112064116E-3</v>
      </c>
    </row>
    <row r="2290" spans="1:6" x14ac:dyDescent="0.25">
      <c r="A2290" s="23">
        <v>2289</v>
      </c>
      <c r="B2290" s="7" cm="1">
        <f t="array" aca="1" ref="B2290" ca="1">interpolexp(A2290,serie_du,Taxas_DI)</f>
        <v>0.12323741178992265</v>
      </c>
      <c r="C2290" s="37">
        <f t="shared" ca="1" si="106"/>
        <v>2.8737567503627868</v>
      </c>
      <c r="D2290" s="36">
        <f t="shared" ca="1" si="108"/>
        <v>0.12088765362247322</v>
      </c>
      <c r="E2290" s="32">
        <v>0.12046621001824409</v>
      </c>
      <c r="F2290" s="35">
        <f t="shared" ca="1" si="107"/>
        <v>2.7712017716785553E-3</v>
      </c>
    </row>
    <row r="2291" spans="1:6" x14ac:dyDescent="0.25">
      <c r="A2291" s="23">
        <v>2290</v>
      </c>
      <c r="B2291" s="7" cm="1">
        <f t="array" aca="1" ref="B2291" ca="1">interpolexp(A2291,serie_du,Taxas_DI)</f>
        <v>0.12323638461941844</v>
      </c>
      <c r="C2291" s="37">
        <f t="shared" ca="1" si="106"/>
        <v>2.8750584568192834</v>
      </c>
      <c r="D2291" s="36">
        <f t="shared" ca="1" si="108"/>
        <v>0.12088765148733183</v>
      </c>
      <c r="E2291" s="32">
        <v>0.12046490842718693</v>
      </c>
      <c r="F2291" s="35">
        <f t="shared" ca="1" si="107"/>
        <v>2.7714761922315034E-3</v>
      </c>
    </row>
    <row r="2292" spans="1:6" x14ac:dyDescent="0.25">
      <c r="A2292" s="23">
        <v>2291</v>
      </c>
      <c r="B2292" s="7" cm="1">
        <f t="array" aca="1" ref="B2292" ca="1">interpolexp(A2292,serie_du,Taxas_DI)</f>
        <v>0.12323535834564137</v>
      </c>
      <c r="C2292" s="37">
        <f t="shared" ca="1" si="106"/>
        <v>2.8763607528798647</v>
      </c>
      <c r="D2292" s="36">
        <f t="shared" ca="1" si="108"/>
        <v>0.12088764940347096</v>
      </c>
      <c r="E2292" s="32">
        <v>0.12046360797237643</v>
      </c>
      <c r="F2292" s="35">
        <f t="shared" ca="1" si="107"/>
        <v>2.7717503732649362E-3</v>
      </c>
    </row>
    <row r="2293" spans="1:6" x14ac:dyDescent="0.25">
      <c r="A2293" s="23">
        <v>2292</v>
      </c>
      <c r="B2293" s="7" cm="1">
        <f t="array" aca="1" ref="B2293" ca="1">interpolexp(A2293,serie_du,Taxas_DI)</f>
        <v>0.12323433296741459</v>
      </c>
      <c r="C2293" s="37">
        <f t="shared" ca="1" si="106"/>
        <v>2.8776636388115349</v>
      </c>
      <c r="D2293" s="36">
        <f t="shared" ca="1" si="108"/>
        <v>0.12088764731518431</v>
      </c>
      <c r="E2293" s="32">
        <v>0.12046230865239149</v>
      </c>
      <c r="F2293" s="35">
        <f t="shared" ca="1" si="107"/>
        <v>2.7720243150231028E-3</v>
      </c>
    </row>
    <row r="2294" spans="1:6" x14ac:dyDescent="0.25">
      <c r="A2294" s="23">
        <v>2293</v>
      </c>
      <c r="B2294" s="7" cm="1">
        <f t="array" aca="1" ref="B2294" ca="1">interpolexp(A2294,serie_du,Taxas_DI)</f>
        <v>0.12323330848353908</v>
      </c>
      <c r="C2294" s="37">
        <f t="shared" ca="1" si="106"/>
        <v>2.8789671148808562</v>
      </c>
      <c r="D2294" s="36">
        <f t="shared" ca="1" si="108"/>
        <v>0.12088764516718498</v>
      </c>
      <c r="E2294" s="32">
        <v>0.12046101046570001</v>
      </c>
      <c r="F2294" s="35">
        <f t="shared" ca="1" si="107"/>
        <v>2.7722980178390699E-3</v>
      </c>
    </row>
    <row r="2295" spans="1:6" x14ac:dyDescent="0.25">
      <c r="A2295" s="23">
        <v>2294</v>
      </c>
      <c r="B2295" s="7" cm="1">
        <f t="array" aca="1" ref="B2295" ca="1">interpolexp(A2295,serie_du,Taxas_DI)</f>
        <v>0.123232284892838</v>
      </c>
      <c r="C2295" s="37">
        <f t="shared" ca="1" si="106"/>
        <v>2.8802711813549768</v>
      </c>
      <c r="D2295" s="36">
        <f t="shared" ca="1" si="108"/>
        <v>0.12088764300523325</v>
      </c>
      <c r="E2295" s="32">
        <v>0.1204597134108365</v>
      </c>
      <c r="F2295" s="35">
        <f t="shared" ca="1" si="107"/>
        <v>2.7725714820014957E-3</v>
      </c>
    </row>
    <row r="2296" spans="1:6" x14ac:dyDescent="0.25">
      <c r="A2296" s="23">
        <v>2295</v>
      </c>
      <c r="B2296" s="7" cm="1">
        <f t="array" aca="1" ref="B2296" ca="1">interpolexp(A2296,serie_du,Taxas_DI)</f>
        <v>0.12323126219420111</v>
      </c>
      <c r="C2296" s="37">
        <f t="shared" ca="1" si="106"/>
        <v>2.8815758385026786</v>
      </c>
      <c r="D2296" s="36">
        <f t="shared" ca="1" si="108"/>
        <v>0.12088764097752902</v>
      </c>
      <c r="E2296" s="32">
        <v>0.12045841748631325</v>
      </c>
      <c r="F2296" s="35">
        <f t="shared" ca="1" si="107"/>
        <v>2.772844707887856E-3</v>
      </c>
    </row>
    <row r="2297" spans="1:6" x14ac:dyDescent="0.25">
      <c r="A2297" s="23">
        <v>2296</v>
      </c>
      <c r="B2297" s="7" cm="1">
        <f t="array" aca="1" ref="B2297" ca="1">interpolexp(A2297,serie_du,Taxas_DI)</f>
        <v>0.12323024038640717</v>
      </c>
      <c r="C2297" s="37">
        <f t="shared" ca="1" si="106"/>
        <v>2.8828810865902219</v>
      </c>
      <c r="D2297" s="36">
        <f t="shared" ca="1" si="108"/>
        <v>0.12088763882497577</v>
      </c>
      <c r="E2297" s="32">
        <v>0.12045712269066478</v>
      </c>
      <c r="F2297" s="35">
        <f t="shared" ca="1" si="107"/>
        <v>2.7731176957423997E-3</v>
      </c>
    </row>
    <row r="2298" spans="1:6" x14ac:dyDescent="0.25">
      <c r="A2298" s="23">
        <v>2297</v>
      </c>
      <c r="B2298" s="7" cm="1">
        <f t="array" aca="1" ref="B2298" ca="1">interpolexp(A2298,serie_du,Taxas_DI)</f>
        <v>0.12322921946832377</v>
      </c>
      <c r="C2298" s="37">
        <f t="shared" ca="1" si="106"/>
        <v>2.8841869258860173</v>
      </c>
      <c r="D2298" s="36">
        <f t="shared" ca="1" si="108"/>
        <v>0.12088763674649994</v>
      </c>
      <c r="E2298" s="32">
        <v>0.12045582902242558</v>
      </c>
      <c r="F2298" s="35">
        <f t="shared" ca="1" si="107"/>
        <v>2.7733904458981939E-3</v>
      </c>
    </row>
    <row r="2299" spans="1:6" x14ac:dyDescent="0.25">
      <c r="A2299" s="23">
        <v>2298</v>
      </c>
      <c r="B2299" s="7" cm="1">
        <f t="array" aca="1" ref="B2299" ca="1">interpolexp(A2299,serie_du,Taxas_DI)</f>
        <v>0.12322819943877406</v>
      </c>
      <c r="C2299" s="37">
        <f t="shared" ca="1" si="106"/>
        <v>2.8854933566575087</v>
      </c>
      <c r="D2299" s="36">
        <f t="shared" ca="1" si="108"/>
        <v>0.12088763463551877</v>
      </c>
      <c r="E2299" s="32">
        <v>0.12045453648008575</v>
      </c>
      <c r="F2299" s="35">
        <f t="shared" ca="1" si="107"/>
        <v>2.7736629586883055E-3</v>
      </c>
    </row>
    <row r="2300" spans="1:6" x14ac:dyDescent="0.25">
      <c r="A2300" s="23">
        <v>2299</v>
      </c>
      <c r="B2300" s="7" cm="1">
        <f t="array" aca="1" ref="B2300" ca="1">interpolexp(A2300,serie_du,Taxas_DI)</f>
        <v>0.1232271802965812</v>
      </c>
      <c r="C2300" s="37">
        <f t="shared" ca="1" si="106"/>
        <v>2.8868003791722159</v>
      </c>
      <c r="D2300" s="36">
        <f t="shared" ca="1" si="108"/>
        <v>0.12088763248754253</v>
      </c>
      <c r="E2300" s="32">
        <v>0.12045324506222421</v>
      </c>
      <c r="F2300" s="35">
        <f t="shared" ca="1" si="107"/>
        <v>2.7739352343569834E-3</v>
      </c>
    </row>
    <row r="2301" spans="1:6" x14ac:dyDescent="0.25">
      <c r="A2301" s="23">
        <v>2300</v>
      </c>
      <c r="B2301" s="7" cm="1">
        <f t="array" aca="1" ref="B2301" ca="1">interpolexp(A2301,serie_du,Taxas_DI)</f>
        <v>0.12322616204063497</v>
      </c>
      <c r="C2301" s="37">
        <f t="shared" ca="1" si="106"/>
        <v>2.8881079936992919</v>
      </c>
      <c r="D2301" s="36">
        <f t="shared" ca="1" si="108"/>
        <v>0.12088763045055995</v>
      </c>
      <c r="E2301" s="32">
        <v>0.12045195476733106</v>
      </c>
      <c r="F2301" s="35">
        <f t="shared" ca="1" si="107"/>
        <v>2.774207273303908E-3</v>
      </c>
    </row>
    <row r="2302" spans="1:6" x14ac:dyDescent="0.25">
      <c r="A2302" s="23">
        <v>2301</v>
      </c>
      <c r="B2302" s="7" cm="1">
        <f t="array" aca="1" ref="B2302" ca="1">interpolexp(A2302,serie_du,Taxas_DI)</f>
        <v>0.12322514466975854</v>
      </c>
      <c r="C2302" s="37">
        <f t="shared" ca="1" si="106"/>
        <v>2.8894162005064046</v>
      </c>
      <c r="D2302" s="36">
        <f t="shared" ca="1" si="108"/>
        <v>0.1208876283674043</v>
      </c>
      <c r="E2302" s="32">
        <v>0.12045066559398521</v>
      </c>
      <c r="F2302" s="35">
        <f t="shared" ca="1" si="107"/>
        <v>2.7744790757733284E-3</v>
      </c>
    </row>
    <row r="2303" spans="1:6" x14ac:dyDescent="0.25">
      <c r="A2303" s="23">
        <v>2302</v>
      </c>
      <c r="B2303" s="7" cm="1">
        <f t="array" aca="1" ref="B2303" ca="1">interpolexp(A2303,serie_du,Taxas_DI)</f>
        <v>0.12322412818277506</v>
      </c>
      <c r="C2303" s="37">
        <f t="shared" ca="1" si="106"/>
        <v>2.8907249998612929</v>
      </c>
      <c r="D2303" s="36">
        <f t="shared" ca="1" si="108"/>
        <v>0.12088762623307536</v>
      </c>
      <c r="E2303" s="32">
        <v>0.12044937754069895</v>
      </c>
      <c r="F2303" s="35">
        <f t="shared" ca="1" si="107"/>
        <v>2.774750642076107E-3</v>
      </c>
    </row>
    <row r="2304" spans="1:6" x14ac:dyDescent="0.25">
      <c r="A2304" s="23">
        <v>2303</v>
      </c>
      <c r="B2304" s="7" cm="1">
        <f t="array" aca="1" ref="B2304" ca="1">interpolexp(A2304,serie_du,Taxas_DI)</f>
        <v>0.12322311257857432</v>
      </c>
      <c r="C2304" s="37">
        <f t="shared" ca="1" si="106"/>
        <v>2.892034392033338</v>
      </c>
      <c r="D2304" s="36">
        <f t="shared" ca="1" si="108"/>
        <v>0.12088762419637256</v>
      </c>
      <c r="E2304" s="32">
        <v>0.12044809060600681</v>
      </c>
      <c r="F2304" s="35">
        <f t="shared" ca="1" si="107"/>
        <v>2.7750219725675151E-3</v>
      </c>
    </row>
    <row r="2305" spans="1:6" x14ac:dyDescent="0.25">
      <c r="A2305" s="23">
        <v>2304</v>
      </c>
      <c r="B2305" s="7" cm="1">
        <f t="array" aca="1" ref="B2305" ca="1">interpolexp(A2305,serie_du,Taxas_DI)</f>
        <v>0.12322209785595728</v>
      </c>
      <c r="C2305" s="37">
        <f t="shared" ca="1" si="106"/>
        <v>2.8933443772899041</v>
      </c>
      <c r="D2305" s="36">
        <f t="shared" ca="1" si="108"/>
        <v>0.12088762204820247</v>
      </c>
      <c r="E2305" s="32">
        <v>0.12044680478846548</v>
      </c>
      <c r="F2305" s="35">
        <f t="shared" ca="1" si="107"/>
        <v>2.7752930674918019E-3</v>
      </c>
    </row>
    <row r="2306" spans="1:6" x14ac:dyDescent="0.25">
      <c r="A2306" s="23">
        <v>2305</v>
      </c>
      <c r="B2306" s="7" cm="1">
        <f t="array" aca="1" ref="B2306" ca="1">interpolexp(A2306,serie_du,Taxas_DI)</f>
        <v>0.12322108401381371</v>
      </c>
      <c r="C2306" s="37">
        <f t="shared" ref="C2306:C2369" ca="1" si="109">(1+B2306)^(A2306/252)</f>
        <v>2.8946549559005228</v>
      </c>
      <c r="D2306" s="36">
        <f t="shared" ca="1" si="108"/>
        <v>0.12088761998841835</v>
      </c>
      <c r="E2306" s="32">
        <v>0.12044552008660947</v>
      </c>
      <c r="F2306" s="35">
        <f t="shared" ref="F2306:F2369" ca="1" si="110">B2306-E2306</f>
        <v>2.7755639272042387E-3</v>
      </c>
    </row>
    <row r="2307" spans="1:6" x14ac:dyDescent="0.25">
      <c r="A2307" s="23">
        <v>2306</v>
      </c>
      <c r="B2307" s="7" cm="1">
        <f t="array" aca="1" ref="B2307" ca="1">interpolexp(A2307,serie_du,Taxas_DI)</f>
        <v>0.12322007105098898</v>
      </c>
      <c r="C2307" s="37">
        <f t="shared" ca="1" si="109"/>
        <v>2.895966128133753</v>
      </c>
      <c r="D2307" s="36">
        <f t="shared" ca="1" si="108"/>
        <v>0.12088761791014657</v>
      </c>
      <c r="E2307" s="32">
        <v>0.1204442364990177</v>
      </c>
      <c r="F2307" s="35">
        <f t="shared" ca="1" si="110"/>
        <v>2.775834551971279E-3</v>
      </c>
    </row>
    <row r="2308" spans="1:6" x14ac:dyDescent="0.25">
      <c r="A2308" s="23">
        <v>2307</v>
      </c>
      <c r="B2308" s="7" cm="1">
        <f t="array" aca="1" ref="B2308" ca="1">interpolexp(A2308,serie_du,Taxas_DI)</f>
        <v>0.12321905896635066</v>
      </c>
      <c r="C2308" s="37">
        <f t="shared" ca="1" si="109"/>
        <v>2.8972778942587532</v>
      </c>
      <c r="D2308" s="36">
        <f t="shared" ref="D2308:D2371" ca="1" si="111">((((1+B2308)^(A2308/252))/((1+B2307)^(A2307/252)))^(252/1))-1</f>
        <v>0.12088761586000252</v>
      </c>
      <c r="E2308" s="32">
        <v>0.12044295402420246</v>
      </c>
      <c r="F2308" s="35">
        <f t="shared" ca="1" si="110"/>
        <v>2.7761049421481943E-3</v>
      </c>
    </row>
    <row r="2309" spans="1:6" x14ac:dyDescent="0.25">
      <c r="A2309" s="23">
        <v>2308</v>
      </c>
      <c r="B2309" s="7" cm="1">
        <f t="array" aca="1" ref="B2309" ca="1">interpolexp(A2309,serie_du,Taxas_DI)</f>
        <v>0.12321804775874412</v>
      </c>
      <c r="C2309" s="37">
        <f t="shared" ca="1" si="109"/>
        <v>2.8985902545442328</v>
      </c>
      <c r="D2309" s="36">
        <f t="shared" ca="1" si="111"/>
        <v>0.12088761378236179</v>
      </c>
      <c r="E2309" s="32">
        <v>0.12044167266072048</v>
      </c>
      <c r="F2309" s="35">
        <f t="shared" ca="1" si="110"/>
        <v>2.7763750980236424E-3</v>
      </c>
    </row>
    <row r="2310" spans="1:6" x14ac:dyDescent="0.25">
      <c r="A2310" s="23">
        <v>2309</v>
      </c>
      <c r="B2310" s="7" cm="1">
        <f t="array" aca="1" ref="B2310" ca="1">interpolexp(A2310,serie_du,Taxas_DI)</f>
        <v>0.12321703742701473</v>
      </c>
      <c r="C2310" s="37">
        <f t="shared" ca="1" si="109"/>
        <v>2.8999032092589756</v>
      </c>
      <c r="D2310" s="36">
        <f t="shared" ca="1" si="111"/>
        <v>0.1208876116726314</v>
      </c>
      <c r="E2310" s="32">
        <v>0.12044039240715065</v>
      </c>
      <c r="F2310" s="35">
        <f t="shared" ca="1" si="110"/>
        <v>2.7766450198640769E-3</v>
      </c>
    </row>
    <row r="2311" spans="1:6" x14ac:dyDescent="0.25">
      <c r="A2311" s="23">
        <v>2310</v>
      </c>
      <c r="B2311" s="7" cm="1">
        <f t="array" aca="1" ref="B2311" ca="1">interpolexp(A2311,serie_du,Taxas_DI)</f>
        <v>0.12321602797005227</v>
      </c>
      <c r="C2311" s="37">
        <f t="shared" ca="1" si="109"/>
        <v>2.9012167586728901</v>
      </c>
      <c r="D2311" s="36">
        <f t="shared" ca="1" si="111"/>
        <v>0.12088760962839107</v>
      </c>
      <c r="E2311" s="32">
        <v>0.1204391132620497</v>
      </c>
      <c r="F2311" s="35">
        <f t="shared" ca="1" si="110"/>
        <v>2.7769147080025647E-3</v>
      </c>
    </row>
    <row r="2312" spans="1:6" x14ac:dyDescent="0.25">
      <c r="A2312" s="23">
        <v>2311</v>
      </c>
      <c r="B2312" s="7" cm="1">
        <f t="array" aca="1" ref="B2312" ca="1">interpolexp(A2312,serie_du,Taxas_DI)</f>
        <v>0.1232150193867021</v>
      </c>
      <c r="C2312" s="37">
        <f t="shared" ca="1" si="109"/>
        <v>2.9025309030549113</v>
      </c>
      <c r="D2312" s="36">
        <f t="shared" ca="1" si="111"/>
        <v>0.12088760754303296</v>
      </c>
      <c r="E2312" s="32">
        <v>0.12043783522397433</v>
      </c>
      <c r="F2312" s="35">
        <f t="shared" ca="1" si="110"/>
        <v>2.7771841627277638E-3</v>
      </c>
    </row>
    <row r="2313" spans="1:6" x14ac:dyDescent="0.25">
      <c r="A2313" s="23">
        <v>2312</v>
      </c>
      <c r="B2313" s="7" cm="1">
        <f t="array" aca="1" ref="B2313" ca="1">interpolexp(A2313,serie_du,Taxas_DI)</f>
        <v>0.123214011675854</v>
      </c>
      <c r="C2313" s="37">
        <f t="shared" ca="1" si="109"/>
        <v>2.9038456426750976</v>
      </c>
      <c r="D2313" s="36">
        <f t="shared" ca="1" si="111"/>
        <v>0.12088760551404443</v>
      </c>
      <c r="E2313" s="32">
        <v>0.12043655829148125</v>
      </c>
      <c r="F2313" s="35">
        <f t="shared" ca="1" si="110"/>
        <v>2.7774533843727411E-3</v>
      </c>
    </row>
    <row r="2314" spans="1:6" x14ac:dyDescent="0.25">
      <c r="A2314" s="23">
        <v>2313</v>
      </c>
      <c r="B2314" s="7" cm="1">
        <f t="array" aca="1" ref="B2314" ca="1">interpolexp(A2314,serie_du,Taxas_DI)</f>
        <v>0.12321300483635333</v>
      </c>
      <c r="C2314" s="37">
        <f t="shared" ca="1" si="109"/>
        <v>2.9051609778025362</v>
      </c>
      <c r="D2314" s="36">
        <f t="shared" ca="1" si="111"/>
        <v>0.12088760343496618</v>
      </c>
      <c r="E2314" s="32">
        <v>0.12043528246312718</v>
      </c>
      <c r="F2314" s="35">
        <f t="shared" ca="1" si="110"/>
        <v>2.7777223732261547E-3</v>
      </c>
    </row>
    <row r="2315" spans="1:6" x14ac:dyDescent="0.25">
      <c r="A2315" s="23">
        <v>2314</v>
      </c>
      <c r="B2315" s="7" cm="1">
        <f t="array" aca="1" ref="B2315" ca="1">interpolexp(A2315,serie_du,Taxas_DI)</f>
        <v>0.12321199886708989</v>
      </c>
      <c r="C2315" s="37">
        <f t="shared" ca="1" si="109"/>
        <v>2.9064769087074382</v>
      </c>
      <c r="D2315" s="36">
        <f t="shared" ca="1" si="111"/>
        <v>0.12088760140327293</v>
      </c>
      <c r="E2315" s="32">
        <v>0.12043400773751323</v>
      </c>
      <c r="F2315" s="35">
        <f t="shared" ca="1" si="110"/>
        <v>2.7779911295766624E-3</v>
      </c>
    </row>
    <row r="2316" spans="1:6" x14ac:dyDescent="0.25">
      <c r="A2316" s="23">
        <v>2315</v>
      </c>
      <c r="B2316" s="7" cm="1">
        <f t="array" aca="1" ref="B2316" ca="1">interpolexp(A2316,serie_du,Taxas_DI)</f>
        <v>0.12321099376690903</v>
      </c>
      <c r="C2316" s="37">
        <f t="shared" ca="1" si="109"/>
        <v>2.9077934356590398</v>
      </c>
      <c r="D2316" s="36">
        <f t="shared" ca="1" si="111"/>
        <v>0.12088759931231197</v>
      </c>
      <c r="E2316" s="32">
        <v>0.1204327341131739</v>
      </c>
      <c r="F2316" s="35">
        <f t="shared" ca="1" si="110"/>
        <v>2.7782596537351267E-3</v>
      </c>
    </row>
    <row r="2317" spans="1:6" x14ac:dyDescent="0.25">
      <c r="A2317" s="23">
        <v>2316</v>
      </c>
      <c r="B2317" s="7" cm="1">
        <f t="array" aca="1" ref="B2317" ca="1">interpolexp(A2317,serie_du,Taxas_DI)</f>
        <v>0.12320998953470053</v>
      </c>
      <c r="C2317" s="37">
        <f t="shared" ca="1" si="109"/>
        <v>2.9091105589277042</v>
      </c>
      <c r="D2317" s="36">
        <f t="shared" ca="1" si="111"/>
        <v>0.12088759725981935</v>
      </c>
      <c r="E2317" s="32">
        <v>0.12043146158871032</v>
      </c>
      <c r="F2317" s="35">
        <f t="shared" ca="1" si="110"/>
        <v>2.7785279459902057E-3</v>
      </c>
    </row>
    <row r="2318" spans="1:6" x14ac:dyDescent="0.25">
      <c r="A2318" s="23">
        <v>2317</v>
      </c>
      <c r="B2318" s="7" cm="1">
        <f t="array" aca="1" ref="B2318" ca="1">interpolexp(A2318,serie_du,Taxas_DI)</f>
        <v>0.12320898616935416</v>
      </c>
      <c r="C2318" s="37">
        <f t="shared" ca="1" si="109"/>
        <v>2.910428278783876</v>
      </c>
      <c r="D2318" s="36">
        <f t="shared" ca="1" si="111"/>
        <v>0.12088759524162129</v>
      </c>
      <c r="E2318" s="32">
        <v>0.1204301901626792</v>
      </c>
      <c r="F2318" s="35">
        <f t="shared" ca="1" si="110"/>
        <v>2.7787960066749662E-3</v>
      </c>
    </row>
    <row r="2319" spans="1:6" x14ac:dyDescent="0.25">
      <c r="A2319" s="23">
        <v>2318</v>
      </c>
      <c r="B2319" s="7" cm="1">
        <f t="array" aca="1" ref="B2319" ca="1">interpolexp(A2319,serie_du,Taxas_DI)</f>
        <v>0.1232079836697153</v>
      </c>
      <c r="C2319" s="37">
        <f t="shared" ca="1" si="109"/>
        <v>2.9117465954970134</v>
      </c>
      <c r="D2319" s="36">
        <f t="shared" ca="1" si="111"/>
        <v>0.12088759315015696</v>
      </c>
      <c r="E2319" s="32">
        <v>0.12042891983365944</v>
      </c>
      <c r="F2319" s="35">
        <f t="shared" ca="1" si="110"/>
        <v>2.7790638360558617E-3</v>
      </c>
    </row>
    <row r="2320" spans="1:6" x14ac:dyDescent="0.25">
      <c r="A2320" s="23">
        <v>2319</v>
      </c>
      <c r="B2320" s="7" cm="1">
        <f t="array" aca="1" ref="B2320" ca="1">interpolexp(A2320,serie_du,Taxas_DI)</f>
        <v>0.12320698203469593</v>
      </c>
      <c r="C2320" s="37">
        <f t="shared" ca="1" si="109"/>
        <v>2.9130655093382423</v>
      </c>
      <c r="D2320" s="36">
        <f t="shared" ca="1" si="111"/>
        <v>0.12088759113544567</v>
      </c>
      <c r="E2320" s="32">
        <v>0.12042765060025218</v>
      </c>
      <c r="F2320" s="35">
        <f t="shared" ca="1" si="110"/>
        <v>2.7793314344437547E-3</v>
      </c>
    </row>
    <row r="2321" spans="1:6" x14ac:dyDescent="0.25">
      <c r="A2321" s="23">
        <v>2320</v>
      </c>
      <c r="B2321" s="7" cm="1">
        <f t="array" aca="1" ref="B2321" ca="1">interpolexp(A2321,serie_du,Taxas_DI)</f>
        <v>0.12320598126316362</v>
      </c>
      <c r="C2321" s="37">
        <f t="shared" ca="1" si="109"/>
        <v>2.9143850205777038</v>
      </c>
      <c r="D2321" s="36">
        <f t="shared" ca="1" si="111"/>
        <v>0.1208875890899801</v>
      </c>
      <c r="E2321" s="32">
        <v>0.12042638246103632</v>
      </c>
      <c r="F2321" s="35">
        <f t="shared" ca="1" si="110"/>
        <v>2.7795988021273033E-3</v>
      </c>
    </row>
    <row r="2322" spans="1:6" x14ac:dyDescent="0.25">
      <c r="A2322" s="23">
        <v>2321</v>
      </c>
      <c r="B2322" s="7" cm="1">
        <f t="array" aca="1" ref="B2322" ca="1">interpolexp(A2322,serie_du,Taxas_DI)</f>
        <v>0.12320498135400815</v>
      </c>
      <c r="C2322" s="37">
        <f t="shared" ca="1" si="109"/>
        <v>2.9157051294861462</v>
      </c>
      <c r="D2322" s="36">
        <f t="shared" ca="1" si="111"/>
        <v>0.12088758706082392</v>
      </c>
      <c r="E2322" s="32">
        <v>0.12042511541456857</v>
      </c>
      <c r="F2322" s="35">
        <f t="shared" ca="1" si="110"/>
        <v>2.7798659394395742E-3</v>
      </c>
    </row>
    <row r="2323" spans="1:6" x14ac:dyDescent="0.25">
      <c r="A2323" s="23">
        <v>2322</v>
      </c>
      <c r="B2323" s="7" cm="1">
        <f t="array" aca="1" ref="B2323" ca="1">interpolexp(A2323,serie_du,Taxas_DI)</f>
        <v>0.12320398230609708</v>
      </c>
      <c r="C2323" s="37">
        <f t="shared" ca="1" si="109"/>
        <v>2.9170258363338637</v>
      </c>
      <c r="D2323" s="36">
        <f t="shared" ca="1" si="111"/>
        <v>0.12088758499209051</v>
      </c>
      <c r="E2323" s="32">
        <v>0.12042384945947227</v>
      </c>
      <c r="F2323" s="35">
        <f t="shared" ca="1" si="110"/>
        <v>2.7801328466248165E-3</v>
      </c>
    </row>
    <row r="2324" spans="1:6" x14ac:dyDescent="0.25">
      <c r="A2324" s="23">
        <v>2323</v>
      </c>
      <c r="B2324" s="7" cm="1">
        <f t="array" aca="1" ref="B2324" ca="1">interpolexp(A2324,serie_du,Taxas_DI)</f>
        <v>0.12320298411834241</v>
      </c>
      <c r="C2324" s="37">
        <f t="shared" ca="1" si="109"/>
        <v>2.9183471413922888</v>
      </c>
      <c r="D2324" s="36">
        <f t="shared" ca="1" si="111"/>
        <v>0.12088758298208946</v>
      </c>
      <c r="E2324" s="32">
        <v>0.12042258459430411</v>
      </c>
      <c r="F2324" s="35">
        <f t="shared" ca="1" si="110"/>
        <v>2.7803995240383017E-3</v>
      </c>
    </row>
    <row r="2325" spans="1:6" x14ac:dyDescent="0.25">
      <c r="A2325" s="23">
        <v>2324</v>
      </c>
      <c r="B2325" s="7" cm="1">
        <f t="array" aca="1" ref="B2325" ca="1">interpolexp(A2325,serie_du,Taxas_DI)</f>
        <v>0.12320198678961169</v>
      </c>
      <c r="C2325" s="37">
        <f t="shared" ca="1" si="109"/>
        <v>2.9196690449318687</v>
      </c>
      <c r="D2325" s="36">
        <f t="shared" ca="1" si="111"/>
        <v>0.12088758092363361</v>
      </c>
      <c r="E2325" s="32">
        <v>0.12042132081770962</v>
      </c>
      <c r="F2325" s="35">
        <f t="shared" ca="1" si="110"/>
        <v>2.7806659719020743E-3</v>
      </c>
    </row>
    <row r="2326" spans="1:6" x14ac:dyDescent="0.25">
      <c r="A2326" s="23">
        <v>2325</v>
      </c>
      <c r="B2326" s="7" cm="1">
        <f t="array" aca="1" ref="B2326" ca="1">interpolexp(A2326,serie_du,Taxas_DI)</f>
        <v>0.12320099031881693</v>
      </c>
      <c r="C2326" s="37">
        <f t="shared" ca="1" si="109"/>
        <v>2.9209915472241907</v>
      </c>
      <c r="D2326" s="36">
        <f t="shared" ca="1" si="111"/>
        <v>0.12088757891514224</v>
      </c>
      <c r="E2326" s="32">
        <v>0.12042005812822332</v>
      </c>
      <c r="F2326" s="35">
        <f t="shared" ca="1" si="110"/>
        <v>2.7809321905936102E-3</v>
      </c>
    </row>
    <row r="2327" spans="1:6" x14ac:dyDescent="0.25">
      <c r="A2327" s="23">
        <v>2326</v>
      </c>
      <c r="B2327" s="7" cm="1">
        <f t="array" aca="1" ref="B2327" ca="1">interpolexp(A2327,serie_du,Taxas_DI)</f>
        <v>0.12319999470485343</v>
      </c>
      <c r="C2327" s="37">
        <f t="shared" ca="1" si="109"/>
        <v>2.9223146485405205</v>
      </c>
      <c r="D2327" s="36">
        <f t="shared" ca="1" si="111"/>
        <v>0.12088757691354646</v>
      </c>
      <c r="E2327" s="32">
        <v>0.12041879652446852</v>
      </c>
      <c r="F2327" s="35">
        <f t="shared" ca="1" si="110"/>
        <v>2.781198180384914E-3</v>
      </c>
    </row>
    <row r="2328" spans="1:6" x14ac:dyDescent="0.25">
      <c r="A2328" s="23">
        <v>2327</v>
      </c>
      <c r="B2328" s="7" cm="1">
        <f t="array" aca="1" ref="B2328" ca="1">interpolexp(A2328,serie_du,Taxas_DI)</f>
        <v>0.12320017311771014</v>
      </c>
      <c r="C2328" s="37">
        <f t="shared" ca="1" si="109"/>
        <v>2.9236665476521058</v>
      </c>
      <c r="D2328" s="36">
        <f t="shared" ca="1" si="111"/>
        <v>0.12361523812761566</v>
      </c>
      <c r="E2328" s="32">
        <v>0.12041753600506855</v>
      </c>
      <c r="F2328" s="35">
        <f t="shared" ca="1" si="110"/>
        <v>2.782637112641595E-3</v>
      </c>
    </row>
    <row r="2329" spans="1:6" x14ac:dyDescent="0.25">
      <c r="A2329" s="23">
        <v>2328</v>
      </c>
      <c r="B2329" s="7" cm="1">
        <f t="array" aca="1" ref="B2329" ca="1">interpolexp(A2329,serie_du,Taxas_DI)</f>
        <v>0.12320035137729501</v>
      </c>
      <c r="C2329" s="37">
        <f t="shared" ca="1" si="109"/>
        <v>2.9250190721684484</v>
      </c>
      <c r="D2329" s="36">
        <f t="shared" ca="1" si="111"/>
        <v>0.12361523807049579</v>
      </c>
      <c r="E2329" s="32">
        <v>0.12041627656858012</v>
      </c>
      <c r="F2329" s="35">
        <f t="shared" ca="1" si="110"/>
        <v>2.7840748087148981E-3</v>
      </c>
    </row>
    <row r="2330" spans="1:6" x14ac:dyDescent="0.25">
      <c r="A2330" s="23">
        <v>2329</v>
      </c>
      <c r="B2330" s="7" cm="1">
        <f t="array" aca="1" ref="B2330" ca="1">interpolexp(A2330,serie_du,Taxas_DI)</f>
        <v>0.12320052948380233</v>
      </c>
      <c r="C2330" s="37">
        <f t="shared" ca="1" si="109"/>
        <v>2.9263722223787951</v>
      </c>
      <c r="D2330" s="36">
        <f t="shared" ca="1" si="111"/>
        <v>0.12361523800632046</v>
      </c>
      <c r="E2330" s="32">
        <v>0.12041501821364875</v>
      </c>
      <c r="F2330" s="35">
        <f t="shared" ca="1" si="110"/>
        <v>2.7855112701535845E-3</v>
      </c>
    </row>
    <row r="2331" spans="1:6" x14ac:dyDescent="0.25">
      <c r="A2331" s="23">
        <v>2330</v>
      </c>
      <c r="B2331" s="7" cm="1">
        <f t="array" aca="1" ref="B2331" ca="1">interpolexp(A2331,serie_du,Taxas_DI)</f>
        <v>0.12320070743740974</v>
      </c>
      <c r="C2331" s="37">
        <f t="shared" ca="1" si="109"/>
        <v>2.9277259985721291</v>
      </c>
      <c r="D2331" s="36">
        <f t="shared" ca="1" si="111"/>
        <v>0.12361523789671036</v>
      </c>
      <c r="E2331" s="32">
        <v>0.12041376093887557</v>
      </c>
      <c r="F2331" s="35">
        <f t="shared" ca="1" si="110"/>
        <v>2.7869464985341708E-3</v>
      </c>
    </row>
    <row r="2332" spans="1:6" x14ac:dyDescent="0.25">
      <c r="A2332" s="23">
        <v>2331</v>
      </c>
      <c r="B2332" s="7" cm="1">
        <f t="array" aca="1" ref="B2332" ca="1">interpolexp(A2332,serie_du,Taxas_DI)</f>
        <v>0.12320088523836148</v>
      </c>
      <c r="C2332" s="37">
        <f t="shared" ca="1" si="109"/>
        <v>2.929080401039184</v>
      </c>
      <c r="D2332" s="36">
        <f t="shared" ca="1" si="111"/>
        <v>0.12361523789796247</v>
      </c>
      <c r="E2332" s="32">
        <v>0.12041250474283949</v>
      </c>
      <c r="F2332" s="35">
        <f t="shared" ca="1" si="110"/>
        <v>2.7883804955219915E-3</v>
      </c>
    </row>
    <row r="2333" spans="1:6" x14ac:dyDescent="0.25">
      <c r="A2333" s="23">
        <v>2332</v>
      </c>
      <c r="B2333" s="7" cm="1">
        <f t="array" aca="1" ref="B2333" ca="1">interpolexp(A2333,serie_du,Taxas_DI)</f>
        <v>0.12320106288681298</v>
      </c>
      <c r="C2333" s="37">
        <f t="shared" ca="1" si="109"/>
        <v>2.9304354300686932</v>
      </c>
      <c r="D2333" s="36">
        <f t="shared" ca="1" si="111"/>
        <v>0.12361523780378381</v>
      </c>
      <c r="E2333" s="32">
        <v>0.12041124962418603</v>
      </c>
      <c r="F2333" s="35">
        <f t="shared" ca="1" si="110"/>
        <v>2.7898132626269501E-3</v>
      </c>
    </row>
    <row r="2334" spans="1:6" x14ac:dyDescent="0.25">
      <c r="A2334" s="23">
        <v>2333</v>
      </c>
      <c r="B2334" s="7" cm="1">
        <f t="array" aca="1" ref="B2334" ca="1">interpolexp(A2334,serie_du,Taxas_DI)</f>
        <v>0.12320124038296409</v>
      </c>
      <c r="C2334" s="37">
        <f t="shared" ca="1" si="109"/>
        <v>2.9317910859506022</v>
      </c>
      <c r="D2334" s="36">
        <f t="shared" ca="1" si="111"/>
        <v>0.12361523771831973</v>
      </c>
      <c r="E2334" s="32">
        <v>0.12040999558151633</v>
      </c>
      <c r="F2334" s="35">
        <f t="shared" ca="1" si="110"/>
        <v>2.7912448014477675E-3</v>
      </c>
    </row>
    <row r="2335" spans="1:6" x14ac:dyDescent="0.25">
      <c r="A2335" s="23">
        <v>2334</v>
      </c>
      <c r="B2335" s="7" cm="1">
        <f t="array" aca="1" ref="B2335" ca="1">interpolexp(A2335,serie_du,Taxas_DI)</f>
        <v>0.12320141772703685</v>
      </c>
      <c r="C2335" s="37">
        <f t="shared" ca="1" si="109"/>
        <v>2.9331473689755376</v>
      </c>
      <c r="D2335" s="36">
        <f t="shared" ca="1" si="111"/>
        <v>0.12361523769435179</v>
      </c>
      <c r="E2335" s="32">
        <v>0.12040874261345369</v>
      </c>
      <c r="F2335" s="35">
        <f t="shared" ca="1" si="110"/>
        <v>2.7926751135831651E-3</v>
      </c>
    </row>
    <row r="2336" spans="1:6" x14ac:dyDescent="0.25">
      <c r="A2336" s="23">
        <v>2335</v>
      </c>
      <c r="B2336" s="7" cm="1">
        <f t="array" aca="1" ref="B2336" ca="1">interpolexp(A2336,serie_du,Taxas_DI)</f>
        <v>0.1232015949191867</v>
      </c>
      <c r="C2336" s="37">
        <f t="shared" ca="1" si="109"/>
        <v>2.9345042794326561</v>
      </c>
      <c r="D2336" s="36">
        <f t="shared" ca="1" si="111"/>
        <v>0.12361523757716664</v>
      </c>
      <c r="E2336" s="32">
        <v>0.12040749071859924</v>
      </c>
      <c r="F2336" s="35">
        <f t="shared" ca="1" si="110"/>
        <v>2.794104200587455E-3</v>
      </c>
    </row>
    <row r="2337" spans="1:6" x14ac:dyDescent="0.25">
      <c r="A2337" s="23">
        <v>2336</v>
      </c>
      <c r="B2337" s="7" cm="1">
        <f t="array" aca="1" ref="B2337" ca="1">interpolexp(A2337,serie_du,Taxas_DI)</f>
        <v>0.12320177195965787</v>
      </c>
      <c r="C2337" s="37">
        <f t="shared" ca="1" si="109"/>
        <v>2.9358618176134064</v>
      </c>
      <c r="D2337" s="36">
        <f t="shared" ca="1" si="111"/>
        <v>0.12361523757484938</v>
      </c>
      <c r="E2337" s="32">
        <v>0.12040623989559851</v>
      </c>
      <c r="F2337" s="35">
        <f t="shared" ca="1" si="110"/>
        <v>2.7955320640593584E-3</v>
      </c>
    </row>
    <row r="2338" spans="1:6" x14ac:dyDescent="0.25">
      <c r="A2338" s="23">
        <v>2337</v>
      </c>
      <c r="B2338" s="7" cm="1">
        <f t="array" aca="1" ref="B2338" ca="1">interpolexp(A2338,serie_du,Taxas_DI)</f>
        <v>0.1232019488486058</v>
      </c>
      <c r="C2338" s="37">
        <f t="shared" ca="1" si="109"/>
        <v>2.9372199838072293</v>
      </c>
      <c r="D2338" s="36">
        <f t="shared" ca="1" si="111"/>
        <v>0.12361523748081904</v>
      </c>
      <c r="E2338" s="32">
        <v>0.12040499014305261</v>
      </c>
      <c r="F2338" s="35">
        <f t="shared" ca="1" si="110"/>
        <v>2.7969587055531875E-3</v>
      </c>
    </row>
    <row r="2339" spans="1:6" x14ac:dyDescent="0.25">
      <c r="A2339" s="23">
        <v>2338</v>
      </c>
      <c r="B2339" s="7" cm="1">
        <f t="array" aca="1" ref="B2339" ca="1">interpolexp(A2339,serie_du,Taxas_DI)</f>
        <v>0.12320212558623034</v>
      </c>
      <c r="C2339" s="37">
        <f t="shared" ca="1" si="109"/>
        <v>2.9385787783047843</v>
      </c>
      <c r="D2339" s="36">
        <f t="shared" ca="1" si="111"/>
        <v>0.12361523739962998</v>
      </c>
      <c r="E2339" s="32">
        <v>0.12040374145960708</v>
      </c>
      <c r="F2339" s="35">
        <f t="shared" ca="1" si="110"/>
        <v>2.7983841266232545E-3</v>
      </c>
    </row>
    <row r="2340" spans="1:6" x14ac:dyDescent="0.25">
      <c r="A2340" s="23">
        <v>2339</v>
      </c>
      <c r="B2340" s="7" cm="1">
        <f t="array" aca="1" ref="B2340" ca="1">interpolexp(A2340,serie_du,Taxas_DI)</f>
        <v>0.12320230217273132</v>
      </c>
      <c r="C2340" s="37">
        <f t="shared" ca="1" si="109"/>
        <v>2.9399382013968696</v>
      </c>
      <c r="D2340" s="36">
        <f t="shared" ca="1" si="111"/>
        <v>0.12361523733176094</v>
      </c>
      <c r="E2340" s="32">
        <v>0.12040249384388524</v>
      </c>
      <c r="F2340" s="35">
        <f t="shared" ca="1" si="110"/>
        <v>2.7998083288460762E-3</v>
      </c>
    </row>
    <row r="2341" spans="1:6" x14ac:dyDescent="0.25">
      <c r="A2341" s="23">
        <v>2340</v>
      </c>
      <c r="B2341" s="7" cm="1">
        <f t="array" aca="1" ref="B2341" ca="1">interpolexp(A2341,serie_du,Taxas_DI)</f>
        <v>0.12320247860833078</v>
      </c>
      <c r="C2341" s="37">
        <f t="shared" ca="1" si="109"/>
        <v>2.9412982533749719</v>
      </c>
      <c r="D2341" s="36">
        <f t="shared" ca="1" si="111"/>
        <v>0.12361523733044666</v>
      </c>
      <c r="E2341" s="32">
        <v>0.12040124729453261</v>
      </c>
      <c r="F2341" s="35">
        <f t="shared" ca="1" si="110"/>
        <v>2.8012313137981693E-3</v>
      </c>
    </row>
    <row r="2342" spans="1:6" x14ac:dyDescent="0.25">
      <c r="A2342" s="23">
        <v>2341</v>
      </c>
      <c r="B2342" s="7" cm="1">
        <f t="array" aca="1" ref="B2342" ca="1">interpolexp(A2342,serie_du,Taxas_DI)</f>
        <v>0.12320265489316196</v>
      </c>
      <c r="C2342" s="37">
        <f t="shared" ca="1" si="109"/>
        <v>2.9426589345285561</v>
      </c>
      <c r="D2342" s="36">
        <f t="shared" ca="1" si="111"/>
        <v>0.12361523718811274</v>
      </c>
      <c r="E2342" s="32">
        <v>0.12040000181016075</v>
      </c>
      <c r="F2342" s="35">
        <f t="shared" ca="1" si="110"/>
        <v>2.8026530830012053E-3</v>
      </c>
    </row>
    <row r="2343" spans="1:6" x14ac:dyDescent="0.25">
      <c r="A2343" s="23">
        <v>2342</v>
      </c>
      <c r="B2343" s="7" cm="1">
        <f t="array" aca="1" ref="B2343" ca="1">interpolexp(A2343,serie_du,Taxas_DI)</f>
        <v>0.1232028310274691</v>
      </c>
      <c r="C2343" s="37">
        <f t="shared" ca="1" si="109"/>
        <v>2.9440202451499333</v>
      </c>
      <c r="D2343" s="36">
        <f t="shared" ca="1" si="111"/>
        <v>0.12361523716586675</v>
      </c>
      <c r="E2343" s="32">
        <v>0.12039968973822646</v>
      </c>
      <c r="F2343" s="35">
        <f t="shared" ca="1" si="110"/>
        <v>2.8031412892426388E-3</v>
      </c>
    </row>
    <row r="2344" spans="1:6" x14ac:dyDescent="0.25">
      <c r="A2344" s="23">
        <v>2343</v>
      </c>
      <c r="B2344" s="7" cm="1">
        <f t="array" aca="1" ref="B2344" ca="1">interpolexp(A2344,serie_du,Taxas_DI)</f>
        <v>0.12320300701142983</v>
      </c>
      <c r="C2344" s="37">
        <f t="shared" ca="1" si="109"/>
        <v>2.9453821855299349</v>
      </c>
      <c r="D2344" s="36">
        <f t="shared" ca="1" si="111"/>
        <v>0.12361523710817379</v>
      </c>
      <c r="E2344" s="32">
        <v>0.12039937793266731</v>
      </c>
      <c r="F2344" s="35">
        <f t="shared" ca="1" si="110"/>
        <v>2.8036290787625262E-3</v>
      </c>
    </row>
    <row r="2345" spans="1:6" x14ac:dyDescent="0.25">
      <c r="A2345" s="23">
        <v>2344</v>
      </c>
      <c r="B2345" s="7" cm="1">
        <f t="array" aca="1" ref="B2345" ca="1">interpolexp(A2345,serie_du,Taxas_DI)</f>
        <v>0.1232031828452218</v>
      </c>
      <c r="C2345" s="37">
        <f t="shared" ca="1" si="109"/>
        <v>2.9467447559595352</v>
      </c>
      <c r="D2345" s="36">
        <f t="shared" ca="1" si="111"/>
        <v>0.12361523701596178</v>
      </c>
      <c r="E2345" s="32">
        <v>0.12039906639318421</v>
      </c>
      <c r="F2345" s="35">
        <f t="shared" ca="1" si="110"/>
        <v>2.8041164520375972E-3</v>
      </c>
    </row>
    <row r="2346" spans="1:6" x14ac:dyDescent="0.25">
      <c r="A2346" s="23">
        <v>2345</v>
      </c>
      <c r="B2346" s="7" cm="1">
        <f t="array" aca="1" ref="B2346" ca="1">interpolexp(A2346,serie_du,Taxas_DI)</f>
        <v>0.12320335852906705</v>
      </c>
      <c r="C2346" s="37">
        <f t="shared" ca="1" si="109"/>
        <v>2.9481079567309325</v>
      </c>
      <c r="D2346" s="36">
        <f t="shared" ca="1" si="111"/>
        <v>0.12361523699391164</v>
      </c>
      <c r="E2346" s="32">
        <v>0.12039875511939968</v>
      </c>
      <c r="F2346" s="35">
        <f t="shared" ca="1" si="110"/>
        <v>2.8046034096673722E-3</v>
      </c>
    </row>
    <row r="2347" spans="1:6" x14ac:dyDescent="0.25">
      <c r="A2347" s="23">
        <v>2346</v>
      </c>
      <c r="B2347" s="7" cm="1">
        <f t="array" aca="1" ref="B2347" ca="1">interpolexp(A2347,serie_du,Taxas_DI)</f>
        <v>0.12320353406312101</v>
      </c>
      <c r="C2347" s="37">
        <f t="shared" ca="1" si="109"/>
        <v>2.9494717881348453</v>
      </c>
      <c r="D2347" s="36">
        <f t="shared" ca="1" si="111"/>
        <v>0.12361523688691478</v>
      </c>
      <c r="E2347" s="32">
        <v>0.12039844411098066</v>
      </c>
      <c r="F2347" s="35">
        <f t="shared" ca="1" si="110"/>
        <v>2.8050899521403494E-3</v>
      </c>
    </row>
    <row r="2348" spans="1:6" x14ac:dyDescent="0.25">
      <c r="A2348" s="23">
        <v>2347</v>
      </c>
      <c r="B2348" s="7" cm="1">
        <f t="array" aca="1" ref="B2348" ca="1">interpolexp(A2348,serie_du,Taxas_DI)</f>
        <v>0.12320370944760572</v>
      </c>
      <c r="C2348" s="37">
        <f t="shared" ca="1" si="109"/>
        <v>2.9508362504637584</v>
      </c>
      <c r="D2348" s="36">
        <f t="shared" ca="1" si="111"/>
        <v>0.12361523685158549</v>
      </c>
      <c r="E2348" s="32">
        <v>0.12039813336757188</v>
      </c>
      <c r="F2348" s="35">
        <f t="shared" ca="1" si="110"/>
        <v>2.8055760800338447E-3</v>
      </c>
    </row>
    <row r="2349" spans="1:6" x14ac:dyDescent="0.25">
      <c r="A2349" s="23">
        <v>2348</v>
      </c>
      <c r="B2349" s="7" cm="1">
        <f t="array" aca="1" ref="B2349" ca="1">interpolexp(A2349,serie_du,Taxas_DI)</f>
        <v>0.12320388468269883</v>
      </c>
      <c r="C2349" s="37">
        <f t="shared" ca="1" si="109"/>
        <v>2.9522013440092181</v>
      </c>
      <c r="D2349" s="36">
        <f t="shared" ca="1" si="111"/>
        <v>0.12361523678490571</v>
      </c>
      <c r="E2349" s="32">
        <v>0.12039782288886247</v>
      </c>
      <c r="F2349" s="35">
        <f t="shared" ca="1" si="110"/>
        <v>2.8060617938363563E-3</v>
      </c>
    </row>
    <row r="2350" spans="1:6" x14ac:dyDescent="0.25">
      <c r="A2350" s="23">
        <v>2349</v>
      </c>
      <c r="B2350" s="7" cm="1">
        <f t="array" aca="1" ref="B2350" ca="1">interpolexp(A2350,serie_du,Taxas_DI)</f>
        <v>0.12320405976857796</v>
      </c>
      <c r="C2350" s="37">
        <f t="shared" ca="1" si="109"/>
        <v>2.9535670690629088</v>
      </c>
      <c r="D2350" s="36">
        <f t="shared" ca="1" si="111"/>
        <v>0.12361523668719276</v>
      </c>
      <c r="E2350" s="32">
        <v>0.12039751267451937</v>
      </c>
      <c r="F2350" s="35">
        <f t="shared" ca="1" si="110"/>
        <v>2.8065470940585868E-3</v>
      </c>
    </row>
    <row r="2351" spans="1:6" x14ac:dyDescent="0.25">
      <c r="A2351" s="23">
        <v>2350</v>
      </c>
      <c r="B2351" s="7" cm="1">
        <f t="array" aca="1" ref="B2351" ca="1">interpolexp(A2351,serie_du,Taxas_DI)</f>
        <v>0.12320423470546515</v>
      </c>
      <c r="C2351" s="37">
        <f t="shared" ca="1" si="109"/>
        <v>2.9549334259177491</v>
      </c>
      <c r="D2351" s="36">
        <f t="shared" ca="1" si="111"/>
        <v>0.12361523666386764</v>
      </c>
      <c r="E2351" s="32">
        <v>0.1203972027241651</v>
      </c>
      <c r="F2351" s="35">
        <f t="shared" ca="1" si="110"/>
        <v>2.8070319813000566E-3</v>
      </c>
    </row>
    <row r="2352" spans="1:6" x14ac:dyDescent="0.25">
      <c r="A2352" s="23">
        <v>2351</v>
      </c>
      <c r="B2352" s="7" cm="1">
        <f t="array" aca="1" ref="B2352" ca="1">interpolexp(A2352,serie_du,Taxas_DI)</f>
        <v>0.12320440949353806</v>
      </c>
      <c r="C2352" s="37">
        <f t="shared" ca="1" si="109"/>
        <v>2.9563004148657126</v>
      </c>
      <c r="D2352" s="36">
        <f t="shared" ca="1" si="111"/>
        <v>0.12361523661129215</v>
      </c>
      <c r="E2352" s="32">
        <v>0.120396893037511</v>
      </c>
      <c r="F2352" s="35">
        <f t="shared" ca="1" si="110"/>
        <v>2.8075164560270593E-3</v>
      </c>
    </row>
    <row r="2353" spans="1:6" x14ac:dyDescent="0.25">
      <c r="A2353" s="23">
        <v>2352</v>
      </c>
      <c r="B2353" s="7" cm="1">
        <f t="array" aca="1" ref="B2353" ca="1">interpolexp(A2353,serie_du,Taxas_DI)</f>
        <v>0.1232045841329521</v>
      </c>
      <c r="C2353" s="37">
        <f t="shared" ca="1" si="109"/>
        <v>2.9576680361983692</v>
      </c>
      <c r="D2353" s="36">
        <f t="shared" ca="1" si="111"/>
        <v>0.12361523647793682</v>
      </c>
      <c r="E2353" s="32">
        <v>0.1203965836141796</v>
      </c>
      <c r="F2353" s="35">
        <f t="shared" ca="1" si="110"/>
        <v>2.8080005187725021E-3</v>
      </c>
    </row>
    <row r="2354" spans="1:6" x14ac:dyDescent="0.25">
      <c r="A2354" s="23">
        <v>2353</v>
      </c>
      <c r="B2354" s="7" cm="1">
        <f t="array" aca="1" ref="B2354" ca="1">interpolexp(A2354,serie_du,Taxas_DI)</f>
        <v>0.12320475862395153</v>
      </c>
      <c r="C2354" s="37">
        <f t="shared" ca="1" si="109"/>
        <v>2.9590362902096108</v>
      </c>
      <c r="D2354" s="36">
        <f t="shared" ca="1" si="111"/>
        <v>0.12361523647321682</v>
      </c>
      <c r="E2354" s="32">
        <v>0.12039627445386003</v>
      </c>
      <c r="F2354" s="35">
        <f t="shared" ca="1" si="110"/>
        <v>2.8084841700914964E-3</v>
      </c>
    </row>
    <row r="2355" spans="1:6" x14ac:dyDescent="0.25">
      <c r="A2355" s="23">
        <v>2354</v>
      </c>
      <c r="B2355" s="7" cm="1">
        <f t="array" aca="1" ref="B2355" ca="1">interpolexp(A2355,serie_du,Taxas_DI)</f>
        <v>0.12320493296671398</v>
      </c>
      <c r="C2355" s="37">
        <f t="shared" ca="1" si="109"/>
        <v>2.9604051771918432</v>
      </c>
      <c r="D2355" s="36">
        <f t="shared" ca="1" si="111"/>
        <v>0.12361523644178596</v>
      </c>
      <c r="E2355" s="32">
        <v>0.12039596555619703</v>
      </c>
      <c r="F2355" s="35">
        <f t="shared" ca="1" si="110"/>
        <v>2.8089674105169493E-3</v>
      </c>
    </row>
    <row r="2356" spans="1:6" x14ac:dyDescent="0.25">
      <c r="A2356" s="23">
        <v>2355</v>
      </c>
      <c r="B2356" s="7" cm="1">
        <f t="array" aca="1" ref="B2356" ca="1">interpolexp(A2356,serie_du,Taxas_DI)</f>
        <v>0.12320510716139488</v>
      </c>
      <c r="C2356" s="37">
        <f t="shared" ca="1" si="109"/>
        <v>2.9617746974370611</v>
      </c>
      <c r="D2356" s="36">
        <f t="shared" ca="1" si="111"/>
        <v>0.12361523633141691</v>
      </c>
      <c r="E2356" s="32">
        <v>0.12039565692087972</v>
      </c>
      <c r="F2356" s="35">
        <f t="shared" ca="1" si="110"/>
        <v>2.8094502405151545E-3</v>
      </c>
    </row>
    <row r="2357" spans="1:6" x14ac:dyDescent="0.25">
      <c r="A2357" s="23">
        <v>2356</v>
      </c>
      <c r="B2357" s="7" cm="1">
        <f t="array" aca="1" ref="B2357" ca="1">interpolexp(A2357,serie_du,Taxas_DI)</f>
        <v>0.12320528120819407</v>
      </c>
      <c r="C2357" s="37">
        <f t="shared" ca="1" si="109"/>
        <v>2.9631448512384999</v>
      </c>
      <c r="D2357" s="36">
        <f t="shared" ca="1" si="111"/>
        <v>0.12361523624796522</v>
      </c>
      <c r="E2357" s="32">
        <v>0.12039534854757505</v>
      </c>
      <c r="F2357" s="35">
        <f t="shared" ca="1" si="110"/>
        <v>2.8099326606190189E-3</v>
      </c>
    </row>
    <row r="2358" spans="1:6" x14ac:dyDescent="0.25">
      <c r="A2358" s="23">
        <v>2357</v>
      </c>
      <c r="B2358" s="7" cm="1">
        <f t="array" aca="1" ref="B2358" ca="1">interpolexp(A2358,serie_du,Taxas_DI)</f>
        <v>0.1232054551073114</v>
      </c>
      <c r="C2358" s="37">
        <f t="shared" ca="1" si="109"/>
        <v>2.9645156388895355</v>
      </c>
      <c r="D2358" s="36">
        <f t="shared" ca="1" si="111"/>
        <v>0.12361523619178127</v>
      </c>
      <c r="E2358" s="32">
        <v>0.12039504043590554</v>
      </c>
      <c r="F2358" s="35">
        <f t="shared" ca="1" si="110"/>
        <v>2.8104146714058587E-3</v>
      </c>
    </row>
    <row r="2359" spans="1:6" x14ac:dyDescent="0.25">
      <c r="A2359" s="23">
        <v>2358</v>
      </c>
      <c r="B2359" s="7" cm="1">
        <f t="array" aca="1" ref="B2359" ca="1">interpolexp(A2359,serie_du,Taxas_DI)</f>
        <v>0.1232056288589467</v>
      </c>
      <c r="C2359" s="37">
        <f t="shared" ca="1" si="109"/>
        <v>2.9658870606836927</v>
      </c>
      <c r="D2359" s="36">
        <f t="shared" ca="1" si="111"/>
        <v>0.12361523616414227</v>
      </c>
      <c r="E2359" s="32">
        <v>0.12039473258560474</v>
      </c>
      <c r="F2359" s="35">
        <f t="shared" ca="1" si="110"/>
        <v>2.8108962733419673E-3</v>
      </c>
    </row>
    <row r="2360" spans="1:6" x14ac:dyDescent="0.25">
      <c r="A2360" s="23">
        <v>2359</v>
      </c>
      <c r="B2360" s="7" cm="1">
        <f t="array" aca="1" ref="B2360" ca="1">interpolexp(A2360,serie_du,Taxas_DI)</f>
        <v>0.12320580246325541</v>
      </c>
      <c r="C2360" s="37">
        <f t="shared" ca="1" si="109"/>
        <v>2.9672591169135378</v>
      </c>
      <c r="D2360" s="36">
        <f t="shared" ca="1" si="111"/>
        <v>0.12361523606049718</v>
      </c>
      <c r="E2360" s="32">
        <v>0.12039442499627295</v>
      </c>
      <c r="F2360" s="35">
        <f t="shared" ca="1" si="110"/>
        <v>2.8113774669824565E-3</v>
      </c>
    </row>
    <row r="2361" spans="1:6" x14ac:dyDescent="0.25">
      <c r="A2361" s="23">
        <v>2360</v>
      </c>
      <c r="B2361" s="7" cm="1">
        <f t="array" aca="1" ref="B2361" ca="1">interpolexp(A2361,serie_du,Taxas_DI)</f>
        <v>0.12320597592045957</v>
      </c>
      <c r="C2361" s="37">
        <f t="shared" ca="1" si="109"/>
        <v>2.9686318078734297</v>
      </c>
      <c r="D2361" s="36">
        <f t="shared" ca="1" si="111"/>
        <v>0.12361523603914626</v>
      </c>
      <c r="E2361" s="32">
        <v>0.12039411766764374</v>
      </c>
      <c r="F2361" s="35">
        <f t="shared" ca="1" si="110"/>
        <v>2.8118582528158242E-3</v>
      </c>
    </row>
    <row r="2362" spans="1:6" x14ac:dyDescent="0.25">
      <c r="A2362" s="23">
        <v>2361</v>
      </c>
      <c r="B2362" s="7" cm="1">
        <f t="array" aca="1" ref="B2362" ca="1">interpolexp(A2362,serie_du,Taxas_DI)</f>
        <v>0.1232061492307146</v>
      </c>
      <c r="C2362" s="37">
        <f t="shared" ca="1" si="109"/>
        <v>2.9700051338562234</v>
      </c>
      <c r="D2362" s="36">
        <f t="shared" ca="1" si="111"/>
        <v>0.12361523594350921</v>
      </c>
      <c r="E2362" s="32">
        <v>0.12039381059931742</v>
      </c>
      <c r="F2362" s="35">
        <f t="shared" ca="1" si="110"/>
        <v>2.8123386313971821E-3</v>
      </c>
    </row>
    <row r="2363" spans="1:6" x14ac:dyDescent="0.25">
      <c r="A2363" s="23">
        <v>2362</v>
      </c>
      <c r="B2363" s="7" cm="1">
        <f t="array" aca="1" ref="B2363" ca="1">interpolexp(A2363,serie_du,Taxas_DI)</f>
        <v>0.12320632239424256</v>
      </c>
      <c r="C2363" s="37">
        <f t="shared" ca="1" si="109"/>
        <v>2.9713790951565664</v>
      </c>
      <c r="D2363" s="36">
        <f t="shared" ca="1" si="111"/>
        <v>0.12361523593163093</v>
      </c>
      <c r="E2363" s="32">
        <v>0.12039350379102753</v>
      </c>
      <c r="F2363" s="35">
        <f t="shared" ca="1" si="110"/>
        <v>2.8128186032150282E-3</v>
      </c>
    </row>
    <row r="2364" spans="1:6" x14ac:dyDescent="0.25">
      <c r="A2364" s="23">
        <v>2363</v>
      </c>
      <c r="B2364" s="7" cm="1">
        <f t="array" aca="1" ref="B2364" ca="1">interpolexp(A2364,serie_du,Taxas_DI)</f>
        <v>0.12320649541119888</v>
      </c>
      <c r="C2364" s="37">
        <f t="shared" ca="1" si="109"/>
        <v>2.9727536920675974</v>
      </c>
      <c r="D2364" s="36">
        <f t="shared" ca="1" si="111"/>
        <v>0.12361523584670908</v>
      </c>
      <c r="E2364" s="32">
        <v>0.12039319724239661</v>
      </c>
      <c r="F2364" s="35">
        <f t="shared" ca="1" si="110"/>
        <v>2.8132981688022696E-3</v>
      </c>
    </row>
    <row r="2365" spans="1:6" x14ac:dyDescent="0.25">
      <c r="A2365" s="23">
        <v>2364</v>
      </c>
      <c r="B2365" s="7" cm="1">
        <f t="array" aca="1" ref="B2365" ca="1">interpolexp(A2365,serie_du,Taxas_DI)</f>
        <v>0.12320666828176119</v>
      </c>
      <c r="C2365" s="37">
        <f t="shared" ca="1" si="109"/>
        <v>2.9741289248831539</v>
      </c>
      <c r="D2365" s="36">
        <f t="shared" ca="1" si="111"/>
        <v>0.12361523574240518</v>
      </c>
      <c r="E2365" s="32">
        <v>0.12039289095313599</v>
      </c>
      <c r="F2365" s="35">
        <f t="shared" ca="1" si="110"/>
        <v>2.8137773286251999E-3</v>
      </c>
    </row>
    <row r="2366" spans="1:6" x14ac:dyDescent="0.25">
      <c r="A2366" s="23">
        <v>2365</v>
      </c>
      <c r="B2366" s="7" cm="1">
        <f t="array" aca="1" ref="B2366" ca="1">interpolexp(A2366,serie_du,Taxas_DI)</f>
        <v>0.12320684100615154</v>
      </c>
      <c r="C2366" s="37">
        <f t="shared" ca="1" si="109"/>
        <v>2.9755047938983128</v>
      </c>
      <c r="D2366" s="36">
        <f t="shared" ca="1" si="111"/>
        <v>0.12361523572384536</v>
      </c>
      <c r="E2366" s="32">
        <v>0.1203925849228904</v>
      </c>
      <c r="F2366" s="35">
        <f t="shared" ca="1" si="110"/>
        <v>2.8142560832611352E-3</v>
      </c>
    </row>
    <row r="2367" spans="1:6" x14ac:dyDescent="0.25">
      <c r="A2367" s="23">
        <v>2366</v>
      </c>
      <c r="B2367" s="7" cm="1">
        <f t="array" aca="1" ref="B2367" ca="1">interpolexp(A2367,serie_du,Taxas_DI)</f>
        <v>0.12320701358452535</v>
      </c>
      <c r="C2367" s="37">
        <f t="shared" ca="1" si="109"/>
        <v>2.9768812994066467</v>
      </c>
      <c r="D2367" s="36">
        <f t="shared" ca="1" si="111"/>
        <v>0.12361523563481236</v>
      </c>
      <c r="E2367" s="32">
        <v>0.12039227915132678</v>
      </c>
      <c r="F2367" s="35">
        <f t="shared" ca="1" si="110"/>
        <v>2.8147344331985735E-3</v>
      </c>
    </row>
    <row r="2368" spans="1:6" x14ac:dyDescent="0.25">
      <c r="A2368" s="23">
        <v>2367</v>
      </c>
      <c r="B2368" s="7" cm="1">
        <f t="array" aca="1" ref="B2368" ca="1">interpolexp(A2368,serie_du,Taxas_DI)</f>
        <v>0.12320718601708247</v>
      </c>
      <c r="C2368" s="37">
        <f t="shared" ca="1" si="109"/>
        <v>2.9782584417029714</v>
      </c>
      <c r="D2368" s="36">
        <f t="shared" ca="1" si="111"/>
        <v>0.12361523558063792</v>
      </c>
      <c r="E2368" s="32">
        <v>0.12039197363811205</v>
      </c>
      <c r="F2368" s="35">
        <f t="shared" ca="1" si="110"/>
        <v>2.815212378970422E-3</v>
      </c>
    </row>
    <row r="2369" spans="1:6" x14ac:dyDescent="0.25">
      <c r="A2369" s="23">
        <v>2368</v>
      </c>
      <c r="B2369" s="7" cm="1">
        <f t="array" aca="1" ref="B2369" ca="1">interpolexp(A2369,serie_du,Taxas_DI)</f>
        <v>0.12320735830400054</v>
      </c>
      <c r="C2369" s="37">
        <f t="shared" ca="1" si="109"/>
        <v>2.9796362210816985</v>
      </c>
      <c r="D2369" s="36">
        <f t="shared" ca="1" si="111"/>
        <v>0.12361523550993936</v>
      </c>
      <c r="E2369" s="32">
        <v>0.12039166838295756</v>
      </c>
      <c r="F2369" s="35">
        <f t="shared" ca="1" si="110"/>
        <v>2.8156899210429742E-3</v>
      </c>
    </row>
    <row r="2370" spans="1:6" x14ac:dyDescent="0.25">
      <c r="A2370" s="23">
        <v>2369</v>
      </c>
      <c r="B2370" s="7" cm="1">
        <f t="array" aca="1" ref="B2370" ca="1">interpolexp(A2370,serie_du,Taxas_DI)</f>
        <v>0.12320753044547939</v>
      </c>
      <c r="C2370" s="37">
        <f t="shared" ref="C2370:C2433" ca="1" si="112">(1+B2370)^(A2370/252)</f>
        <v>2.9810146378379327</v>
      </c>
      <c r="D2370" s="36">
        <f t="shared" ca="1" si="111"/>
        <v>0.12361523547564324</v>
      </c>
      <c r="E2370" s="32">
        <v>0.12039136338548584</v>
      </c>
      <c r="F2370" s="35">
        <f t="shared" ref="F2370:F2433" ca="1" si="113">B2370-E2370</f>
        <v>2.8161670599935462E-3</v>
      </c>
    </row>
    <row r="2371" spans="1:6" x14ac:dyDescent="0.25">
      <c r="A2371" s="23">
        <v>2370</v>
      </c>
      <c r="B2371" s="7" cm="1">
        <f t="array" aca="1" ref="B2371" ca="1">interpolexp(A2371,serie_du,Taxas_DI)</f>
        <v>0.12320770244169665</v>
      </c>
      <c r="C2371" s="37">
        <f t="shared" ca="1" si="112"/>
        <v>2.9823936922663736</v>
      </c>
      <c r="D2371" s="36">
        <f t="shared" ca="1" si="111"/>
        <v>0.12361523542630115</v>
      </c>
      <c r="E2371" s="32">
        <v>0.12039105864543043</v>
      </c>
      <c r="F2371" s="35">
        <f t="shared" ca="1" si="113"/>
        <v>2.8166437962662272E-3</v>
      </c>
    </row>
    <row r="2372" spans="1:6" x14ac:dyDescent="0.25">
      <c r="A2372" s="23">
        <v>2371</v>
      </c>
      <c r="B2372" s="7" cm="1">
        <f t="array" aca="1" ref="B2372" ca="1">interpolexp(A2372,serie_du,Taxas_DI)</f>
        <v>0.12320787429280777</v>
      </c>
      <c r="C2372" s="37">
        <f t="shared" ca="1" si="112"/>
        <v>2.9837733846613057</v>
      </c>
      <c r="D2372" s="36">
        <f t="shared" ref="D2372:D2435" ca="1" si="114">((((1+B2372)^(A2372/252))/((1+B2371)^(A2371/252)))^(252/1))-1</f>
        <v>0.12361523530953034</v>
      </c>
      <c r="E2372" s="32">
        <v>0.12039075416241385</v>
      </c>
      <c r="F2372" s="35">
        <f t="shared" ca="1" si="113"/>
        <v>2.8171201303939242E-3</v>
      </c>
    </row>
    <row r="2373" spans="1:6" x14ac:dyDescent="0.25">
      <c r="A2373" s="23">
        <v>2372</v>
      </c>
      <c r="B2373" s="7" cm="1">
        <f t="array" aca="1" ref="B2373" ca="1">interpolexp(A2373,serie_du,Taxas_DI)</f>
        <v>0.12320804599903479</v>
      </c>
      <c r="C2373" s="37">
        <f t="shared" ca="1" si="112"/>
        <v>2.9851537153188263</v>
      </c>
      <c r="D2373" s="36">
        <f t="shared" ca="1" si="114"/>
        <v>0.12361523528445884</v>
      </c>
      <c r="E2373" s="32">
        <v>0.12039044993612524</v>
      </c>
      <c r="F2373" s="35">
        <f t="shared" ca="1" si="113"/>
        <v>2.8175960629095442E-3</v>
      </c>
    </row>
    <row r="2374" spans="1:6" x14ac:dyDescent="0.25">
      <c r="A2374" s="23">
        <v>2373</v>
      </c>
      <c r="B2374" s="7" cm="1">
        <f t="array" aca="1" ref="B2374" ca="1">interpolexp(A2374,serie_du,Taxas_DI)</f>
        <v>0.12320821756053313</v>
      </c>
      <c r="C2374" s="37">
        <f t="shared" ca="1" si="112"/>
        <v>2.9865346845335066</v>
      </c>
      <c r="D2374" s="36">
        <f t="shared" ca="1" si="114"/>
        <v>0.12361523519341167</v>
      </c>
      <c r="E2374" s="32">
        <v>0.12039014596625375</v>
      </c>
      <c r="F2374" s="35">
        <f t="shared" ca="1" si="113"/>
        <v>2.818071594279381E-3</v>
      </c>
    </row>
    <row r="2375" spans="1:6" x14ac:dyDescent="0.25">
      <c r="A2375" s="23">
        <v>2374</v>
      </c>
      <c r="B2375" s="7" cm="1">
        <f t="array" aca="1" ref="B2375" ca="1">interpolexp(A2375,serie_du,Taxas_DI)</f>
        <v>0.12320838897752484</v>
      </c>
      <c r="C2375" s="37">
        <f t="shared" ca="1" si="112"/>
        <v>2.9879162926017351</v>
      </c>
      <c r="D2375" s="36">
        <f t="shared" ca="1" si="114"/>
        <v>0.12361523519567297</v>
      </c>
      <c r="E2375" s="32">
        <v>0.12038984225246629</v>
      </c>
      <c r="F2375" s="35">
        <f t="shared" ca="1" si="113"/>
        <v>2.8185467250585461E-3</v>
      </c>
    </row>
    <row r="2376" spans="1:6" x14ac:dyDescent="0.25">
      <c r="A2376" s="23">
        <v>2375</v>
      </c>
      <c r="B2376" s="7" cm="1">
        <f t="array" aca="1" ref="B2376" ca="1">interpolexp(A2376,serie_du,Taxas_DI)</f>
        <v>0.12320856025014315</v>
      </c>
      <c r="C2376" s="37">
        <f t="shared" ca="1" si="112"/>
        <v>2.9892985398178147</v>
      </c>
      <c r="D2376" s="36">
        <f t="shared" ca="1" si="114"/>
        <v>0.12361523508059524</v>
      </c>
      <c r="E2376" s="32">
        <v>0.12038953879442982</v>
      </c>
      <c r="F2376" s="35">
        <f t="shared" ca="1" si="113"/>
        <v>2.8190214557133331E-3</v>
      </c>
    </row>
    <row r="2377" spans="1:6" x14ac:dyDescent="0.25">
      <c r="A2377" s="23">
        <v>2376</v>
      </c>
      <c r="B2377" s="7" cm="1">
        <f t="array" aca="1" ref="B2377" ca="1">interpolexp(A2377,serie_du,Taxas_DI)</f>
        <v>0.1232087313785879</v>
      </c>
      <c r="C2377" s="37">
        <f t="shared" ca="1" si="112"/>
        <v>2.9906814264778663</v>
      </c>
      <c r="D2377" s="36">
        <f t="shared" ca="1" si="114"/>
        <v>0.12361523500758187</v>
      </c>
      <c r="E2377" s="32">
        <v>0.12038923559183345</v>
      </c>
      <c r="F2377" s="35">
        <f t="shared" ca="1" si="113"/>
        <v>2.8194957867544446E-3</v>
      </c>
    </row>
    <row r="2378" spans="1:6" x14ac:dyDescent="0.25">
      <c r="A2378" s="23">
        <v>2377</v>
      </c>
      <c r="B2378" s="7" cm="1">
        <f t="array" aca="1" ref="B2378" ca="1">interpolexp(A2378,serie_du,Taxas_DI)</f>
        <v>0.12320890236305893</v>
      </c>
      <c r="C2378" s="37">
        <f t="shared" ca="1" si="112"/>
        <v>2.9920649528781516</v>
      </c>
      <c r="D2378" s="36">
        <f t="shared" ca="1" si="114"/>
        <v>0.12361523497688798</v>
      </c>
      <c r="E2378" s="32">
        <v>0.12038893264434414</v>
      </c>
      <c r="F2378" s="35">
        <f t="shared" ca="1" si="113"/>
        <v>2.8199697187147876E-3</v>
      </c>
    </row>
    <row r="2379" spans="1:6" x14ac:dyDescent="0.25">
      <c r="A2379" s="23">
        <v>2378</v>
      </c>
      <c r="B2379" s="7" cm="1">
        <f t="array" aca="1" ref="B2379" ca="1">interpolexp(A2379,serie_du,Taxas_DI)</f>
        <v>0.12320907320373387</v>
      </c>
      <c r="C2379" s="37">
        <f t="shared" ca="1" si="112"/>
        <v>2.9934491193145245</v>
      </c>
      <c r="D2379" s="36">
        <f t="shared" ca="1" si="114"/>
        <v>0.12361523493707294</v>
      </c>
      <c r="E2379" s="32">
        <v>0.12038862995165101</v>
      </c>
      <c r="F2379" s="35">
        <f t="shared" ca="1" si="113"/>
        <v>2.8204432520828604E-3</v>
      </c>
    </row>
    <row r="2380" spans="1:6" x14ac:dyDescent="0.25">
      <c r="A2380" s="23">
        <v>2379</v>
      </c>
      <c r="B2380" s="7" cm="1">
        <f t="array" aca="1" ref="B2380" ca="1">interpolexp(A2380,serie_du,Taxas_DI)</f>
        <v>0.12320924390076815</v>
      </c>
      <c r="C2380" s="37">
        <f t="shared" ca="1" si="112"/>
        <v>2.9948339260824199</v>
      </c>
      <c r="D2380" s="36">
        <f t="shared" ca="1" si="114"/>
        <v>0.12361523483537629</v>
      </c>
      <c r="E2380" s="32">
        <v>0.12038832751344319</v>
      </c>
      <c r="F2380" s="35">
        <f t="shared" ca="1" si="113"/>
        <v>2.8209163873249565E-3</v>
      </c>
    </row>
    <row r="2381" spans="1:6" x14ac:dyDescent="0.25">
      <c r="A2381" s="23">
        <v>2380</v>
      </c>
      <c r="B2381" s="7" cm="1">
        <f t="array" aca="1" ref="B2381" ca="1">interpolexp(A2381,serie_du,Taxas_DI)</f>
        <v>0.12320941445436162</v>
      </c>
      <c r="C2381" s="37">
        <f t="shared" ca="1" si="112"/>
        <v>2.9962193734785378</v>
      </c>
      <c r="D2381" s="36">
        <f t="shared" ca="1" si="114"/>
        <v>0.12361523477872449</v>
      </c>
      <c r="E2381" s="32">
        <v>0.12038802532936543</v>
      </c>
      <c r="F2381" s="35">
        <f t="shared" ca="1" si="113"/>
        <v>2.8213891249961875E-3</v>
      </c>
    </row>
    <row r="2382" spans="1:6" x14ac:dyDescent="0.25">
      <c r="A2382" s="23">
        <v>2381</v>
      </c>
      <c r="B2382" s="7" cm="1">
        <f t="array" aca="1" ref="B2382" ca="1">interpolexp(A2382,serie_du,Taxas_DI)</f>
        <v>0.12320958486469191</v>
      </c>
      <c r="C2382" s="37">
        <f t="shared" ca="1" si="112"/>
        <v>2.9976054617991621</v>
      </c>
      <c r="D2382" s="36">
        <f t="shared" ca="1" si="114"/>
        <v>0.12361523471461555</v>
      </c>
      <c r="E2382" s="32">
        <v>0.12038772339912907</v>
      </c>
      <c r="F2382" s="35">
        <f t="shared" ca="1" si="113"/>
        <v>2.8218614655628471E-3</v>
      </c>
    </row>
    <row r="2383" spans="1:6" x14ac:dyDescent="0.25">
      <c r="A2383" s="23">
        <v>2382</v>
      </c>
      <c r="B2383" s="7" cm="1">
        <f t="array" aca="1" ref="B2383" ca="1">interpolexp(A2383,serie_du,Taxas_DI)</f>
        <v>0.12320975513195886</v>
      </c>
      <c r="C2383" s="37">
        <f t="shared" ca="1" si="112"/>
        <v>2.9989921913412827</v>
      </c>
      <c r="D2383" s="36">
        <f t="shared" ca="1" si="114"/>
        <v>0.12361523469687352</v>
      </c>
      <c r="E2383" s="32">
        <v>0.12038742172242323</v>
      </c>
      <c r="F2383" s="35">
        <f t="shared" ca="1" si="113"/>
        <v>2.8223334095356378E-3</v>
      </c>
    </row>
    <row r="2384" spans="1:6" x14ac:dyDescent="0.25">
      <c r="A2384" s="23">
        <v>2383</v>
      </c>
      <c r="B2384" s="7" cm="1">
        <f t="array" aca="1" ref="B2384" ca="1">interpolexp(A2384,serie_du,Taxas_DI)</f>
        <v>0.1232099252562957</v>
      </c>
      <c r="C2384" s="37">
        <f t="shared" ca="1" si="112"/>
        <v>3.0003795624003531</v>
      </c>
      <c r="D2384" s="36">
        <f t="shared" ca="1" si="114"/>
        <v>0.12361523456747259</v>
      </c>
      <c r="E2384" s="32">
        <v>0.12038712029887044</v>
      </c>
      <c r="F2384" s="35">
        <f t="shared" ca="1" si="113"/>
        <v>2.8228049574252623E-3</v>
      </c>
    </row>
    <row r="2385" spans="1:6" x14ac:dyDescent="0.25">
      <c r="A2385" s="23">
        <v>2384</v>
      </c>
      <c r="B2385" s="7" cm="1">
        <f t="array" aca="1" ref="B2385" ca="1">interpolexp(A2385,serie_du,Taxas_DI)</f>
        <v>0.12321009523794668</v>
      </c>
      <c r="C2385" s="37">
        <f t="shared" ca="1" si="112"/>
        <v>3.001767575274775</v>
      </c>
      <c r="D2385" s="36">
        <f t="shared" ca="1" si="114"/>
        <v>0.12361523459173718</v>
      </c>
      <c r="E2385" s="32">
        <v>0.12038681912822646</v>
      </c>
      <c r="F2385" s="35">
        <f t="shared" ca="1" si="113"/>
        <v>2.8232761097202186E-3</v>
      </c>
    </row>
    <row r="2386" spans="1:6" x14ac:dyDescent="0.25">
      <c r="A2386" s="23">
        <v>2385</v>
      </c>
      <c r="B2386" s="7" cm="1">
        <f t="array" aca="1" ref="B2386" ca="1">interpolexp(A2386,serie_du,Taxas_DI)</f>
        <v>0.12321026507702282</v>
      </c>
      <c r="C2386" s="37">
        <f t="shared" ca="1" si="112"/>
        <v>3.0031562302597279</v>
      </c>
      <c r="D2386" s="36">
        <f t="shared" ca="1" si="114"/>
        <v>0.12361523445267997</v>
      </c>
      <c r="E2386" s="32">
        <v>0.12038651821011381</v>
      </c>
      <c r="F2386" s="35">
        <f t="shared" ca="1" si="113"/>
        <v>2.8237468669090049E-3</v>
      </c>
    </row>
    <row r="2387" spans="1:6" x14ac:dyDescent="0.25">
      <c r="A2387" s="23">
        <v>2386</v>
      </c>
      <c r="B2387" s="7" cm="1">
        <f t="array" aca="1" ref="B2387" ca="1">interpolexp(A2387,serie_du,Taxas_DI)</f>
        <v>0.12321043477374616</v>
      </c>
      <c r="C2387" s="37">
        <f t="shared" ca="1" si="112"/>
        <v>3.0045455276533435</v>
      </c>
      <c r="D2387" s="36">
        <f t="shared" ca="1" si="114"/>
        <v>0.12361523441583788</v>
      </c>
      <c r="E2387" s="32">
        <v>0.12038621754424383</v>
      </c>
      <c r="F2387" s="35">
        <f t="shared" ca="1" si="113"/>
        <v>2.8242172295023238E-3</v>
      </c>
    </row>
    <row r="2388" spans="1:6" x14ac:dyDescent="0.25">
      <c r="A2388" s="23">
        <v>2387</v>
      </c>
      <c r="B2388" s="7" cm="1">
        <f t="array" aca="1" ref="B2388" ca="1">interpolexp(A2388,serie_du,Taxas_DI)</f>
        <v>0.12321060432829434</v>
      </c>
      <c r="C2388" s="37">
        <f t="shared" ca="1" si="112"/>
        <v>3.005935467752777</v>
      </c>
      <c r="D2388" s="36">
        <f t="shared" ca="1" si="114"/>
        <v>0.1236152343761463</v>
      </c>
      <c r="E2388" s="32">
        <v>0.12038591713030566</v>
      </c>
      <c r="F2388" s="35">
        <f t="shared" ca="1" si="113"/>
        <v>2.8246871979886734E-3</v>
      </c>
    </row>
    <row r="2389" spans="1:6" x14ac:dyDescent="0.25">
      <c r="A2389" s="23">
        <v>2388</v>
      </c>
      <c r="B2389" s="7" cm="1">
        <f t="array" aca="1" ref="B2389" ca="1">interpolexp(A2389,serie_du,Taxas_DI)</f>
        <v>0.12321077374082279</v>
      </c>
      <c r="C2389" s="37">
        <f t="shared" ca="1" si="112"/>
        <v>3.0073260508547635</v>
      </c>
      <c r="D2389" s="36">
        <f t="shared" ca="1" si="114"/>
        <v>0.12361523428097376</v>
      </c>
      <c r="E2389" s="32">
        <v>0.12038561696794403</v>
      </c>
      <c r="F2389" s="35">
        <f t="shared" ca="1" si="113"/>
        <v>2.8251567728787563E-3</v>
      </c>
    </row>
    <row r="2390" spans="1:6" x14ac:dyDescent="0.25">
      <c r="A2390" s="23">
        <v>2389</v>
      </c>
      <c r="B2390" s="7" cm="1">
        <f t="array" aca="1" ref="B2390" ca="1">interpolexp(A2390,serie_du,Taxas_DI)</f>
        <v>0.12321094301153135</v>
      </c>
      <c r="C2390" s="37">
        <f t="shared" ca="1" si="112"/>
        <v>3.008717277257309</v>
      </c>
      <c r="D2390" s="36">
        <f t="shared" ca="1" si="114"/>
        <v>0.12361523423733178</v>
      </c>
      <c r="E2390" s="32">
        <v>0.12038531705689248</v>
      </c>
      <c r="F2390" s="35">
        <f t="shared" ca="1" si="113"/>
        <v>2.8256259546388662E-3</v>
      </c>
    </row>
    <row r="2391" spans="1:6" x14ac:dyDescent="0.25">
      <c r="A2391" s="23">
        <v>2390</v>
      </c>
      <c r="B2391" s="7" cm="1">
        <f t="array" aca="1" ref="B2391" ca="1">interpolexp(A2391,serie_du,Taxas_DI)</f>
        <v>0.12321111214059766</v>
      </c>
      <c r="C2391" s="37">
        <f t="shared" ca="1" si="112"/>
        <v>3.0101091472580053</v>
      </c>
      <c r="D2391" s="36">
        <f t="shared" ca="1" si="114"/>
        <v>0.12361523419294329</v>
      </c>
      <c r="E2391" s="32">
        <v>0.12038501739681795</v>
      </c>
      <c r="F2391" s="35">
        <f t="shared" ca="1" si="113"/>
        <v>2.8260947437797057E-3</v>
      </c>
    </row>
    <row r="2392" spans="1:6" x14ac:dyDescent="0.25">
      <c r="A2392" s="23">
        <v>2391</v>
      </c>
      <c r="B2392" s="7" cm="1">
        <f t="array" aca="1" ref="B2392" ca="1">interpolexp(A2392,serie_du,Taxas_DI)</f>
        <v>0.12321128112819935</v>
      </c>
      <c r="C2392" s="37">
        <f t="shared" ca="1" si="112"/>
        <v>3.0115016611545853</v>
      </c>
      <c r="D2392" s="36">
        <f t="shared" ca="1" si="114"/>
        <v>0.12361523414824571</v>
      </c>
      <c r="E2392" s="32">
        <v>0.12038471798738737</v>
      </c>
      <c r="F2392" s="35">
        <f t="shared" ca="1" si="113"/>
        <v>2.8265631408119773E-3</v>
      </c>
    </row>
    <row r="2393" spans="1:6" x14ac:dyDescent="0.25">
      <c r="A2393" s="23">
        <v>2392</v>
      </c>
      <c r="B2393" s="7" cm="1">
        <f t="array" aca="1" ref="B2393" ca="1">interpolexp(A2393,serie_du,Taxas_DI)</f>
        <v>0.12321144997449185</v>
      </c>
      <c r="C2393" s="37">
        <f t="shared" ca="1" si="112"/>
        <v>3.0128948192443641</v>
      </c>
      <c r="D2393" s="36">
        <f t="shared" ca="1" si="114"/>
        <v>0.12361523405111452</v>
      </c>
      <c r="E2393" s="32">
        <v>0.12038441882831208</v>
      </c>
      <c r="F2393" s="35">
        <f t="shared" ca="1" si="113"/>
        <v>2.8270311461797704E-3</v>
      </c>
    </row>
    <row r="2394" spans="1:6" x14ac:dyDescent="0.25">
      <c r="A2394" s="23">
        <v>2393</v>
      </c>
      <c r="B2394" s="7" cm="1">
        <f t="array" aca="1" ref="B2394" ca="1">interpolexp(A2394,serie_du,Taxas_DI)</f>
        <v>0.12321161867967501</v>
      </c>
      <c r="C2394" s="37">
        <f t="shared" ca="1" si="112"/>
        <v>3.0142886218259317</v>
      </c>
      <c r="D2394" s="36">
        <f t="shared" ca="1" si="114"/>
        <v>0.12361523400836627</v>
      </c>
      <c r="E2394" s="32">
        <v>0.12038411991925901</v>
      </c>
      <c r="F2394" s="35">
        <f t="shared" ca="1" si="113"/>
        <v>2.8274987604159918E-3</v>
      </c>
    </row>
    <row r="2395" spans="1:6" x14ac:dyDescent="0.25">
      <c r="A2395" s="23">
        <v>2394</v>
      </c>
      <c r="B2395" s="7" cm="1">
        <f t="array" aca="1" ref="B2395" ca="1">interpolexp(A2395,serie_du,Taxas_DI)</f>
        <v>0.12321178724390425</v>
      </c>
      <c r="C2395" s="37">
        <f t="shared" ca="1" si="112"/>
        <v>3.0156830691968928</v>
      </c>
      <c r="D2395" s="36">
        <f t="shared" ca="1" si="114"/>
        <v>0.12361523391449869</v>
      </c>
      <c r="E2395" s="32">
        <v>0.12038382125991731</v>
      </c>
      <c r="F2395" s="35">
        <f t="shared" ca="1" si="113"/>
        <v>2.8279659839869353E-3</v>
      </c>
    </row>
    <row r="2396" spans="1:6" x14ac:dyDescent="0.25">
      <c r="A2396" s="23">
        <v>2395</v>
      </c>
      <c r="B2396" s="7" cm="1">
        <f t="array" aca="1" ref="B2396" ca="1">interpolexp(A2396,serie_du,Taxas_DI)</f>
        <v>0.12321195566737941</v>
      </c>
      <c r="C2396" s="37">
        <f t="shared" ca="1" si="112"/>
        <v>3.0170781616561291</v>
      </c>
      <c r="D2396" s="36">
        <f t="shared" ca="1" si="114"/>
        <v>0.12361523387639051</v>
      </c>
      <c r="E2396" s="32">
        <v>0.12038352284997611</v>
      </c>
      <c r="F2396" s="35">
        <f t="shared" ca="1" si="113"/>
        <v>2.8284328174033035E-3</v>
      </c>
    </row>
    <row r="2397" spans="1:6" x14ac:dyDescent="0.25">
      <c r="A2397" s="23">
        <v>2396</v>
      </c>
      <c r="B2397" s="7" cm="1">
        <f t="array" aca="1" ref="B2397" ca="1">interpolexp(A2397,serie_du,Taxas_DI)</f>
        <v>0.12321212395027814</v>
      </c>
      <c r="C2397" s="37">
        <f t="shared" ca="1" si="112"/>
        <v>3.018473899502101</v>
      </c>
      <c r="D2397" s="36">
        <f t="shared" ca="1" si="114"/>
        <v>0.12361523384164919</v>
      </c>
      <c r="E2397" s="32">
        <v>0.12038322468914675</v>
      </c>
      <c r="F2397" s="35">
        <f t="shared" ca="1" si="113"/>
        <v>2.8288992611313901E-3</v>
      </c>
    </row>
    <row r="2398" spans="1:6" x14ac:dyDescent="0.25">
      <c r="A2398" s="23">
        <v>2397</v>
      </c>
      <c r="B2398" s="7" cm="1">
        <f t="array" aca="1" ref="B2398" ca="1">interpolexp(A2398,serie_du,Taxas_DI)</f>
        <v>0.12321229209275586</v>
      </c>
      <c r="C2398" s="37">
        <f t="shared" ca="1" si="112"/>
        <v>3.0198702830328514</v>
      </c>
      <c r="D2398" s="36">
        <f t="shared" ca="1" si="114"/>
        <v>0.12361523375801631</v>
      </c>
      <c r="E2398" s="32">
        <v>0.12038292677707396</v>
      </c>
      <c r="F2398" s="35">
        <f t="shared" ca="1" si="113"/>
        <v>2.8293653156818976E-3</v>
      </c>
    </row>
    <row r="2399" spans="1:6" x14ac:dyDescent="0.25">
      <c r="A2399" s="23">
        <v>2398</v>
      </c>
      <c r="B2399" s="7" cm="1">
        <f t="array" aca="1" ref="B2399" ca="1">interpolexp(A2399,serie_du,Taxas_DI)</f>
        <v>0.12321246009501241</v>
      </c>
      <c r="C2399" s="37">
        <f t="shared" ca="1" si="112"/>
        <v>3.0212673125476992</v>
      </c>
      <c r="D2399" s="36">
        <f t="shared" ca="1" si="114"/>
        <v>0.12361523373230354</v>
      </c>
      <c r="E2399" s="32">
        <v>0.12038262911346909</v>
      </c>
      <c r="F2399" s="35">
        <f t="shared" ca="1" si="113"/>
        <v>2.8298309815433242E-3</v>
      </c>
    </row>
    <row r="2400" spans="1:6" x14ac:dyDescent="0.25">
      <c r="A2400" s="23">
        <v>2399</v>
      </c>
      <c r="B2400" s="7" cm="1">
        <f t="array" aca="1" ref="B2400" ca="1">interpolexp(A2400,serie_du,Taxas_DI)</f>
        <v>0.12321262795718102</v>
      </c>
      <c r="C2400" s="37">
        <f t="shared" ca="1" si="112"/>
        <v>3.0226649883444052</v>
      </c>
      <c r="D2400" s="36">
        <f t="shared" ca="1" si="114"/>
        <v>0.1236152336055365</v>
      </c>
      <c r="E2400" s="32">
        <v>0.12038233169804347</v>
      </c>
      <c r="F2400" s="35">
        <f t="shared" ca="1" si="113"/>
        <v>2.8302962591375547E-3</v>
      </c>
    </row>
    <row r="2401" spans="1:6" x14ac:dyDescent="0.25">
      <c r="A2401" s="23">
        <v>2400</v>
      </c>
      <c r="B2401" s="7" cm="1">
        <f t="array" aca="1" ref="B2401" ca="1">interpolexp(A2401,serie_du,Taxas_DI)</f>
        <v>0.12321279567948373</v>
      </c>
      <c r="C2401" s="37">
        <f t="shared" ca="1" si="112"/>
        <v>3.0240633107231512</v>
      </c>
      <c r="D2401" s="36">
        <f t="shared" ca="1" si="114"/>
        <v>0.1236152335915961</v>
      </c>
      <c r="E2401" s="32">
        <v>0.12038203453044183</v>
      </c>
      <c r="F2401" s="35">
        <f t="shared" ca="1" si="113"/>
        <v>2.8307611490419049E-3</v>
      </c>
    </row>
    <row r="2402" spans="1:6" x14ac:dyDescent="0.25">
      <c r="A2402" s="23">
        <v>2401</v>
      </c>
      <c r="B2402" s="7" cm="1">
        <f t="array" aca="1" ref="B2402" ca="1">interpolexp(A2402,serie_du,Taxas_DI)</f>
        <v>0.12321296326207598</v>
      </c>
      <c r="C2402" s="37">
        <f t="shared" ca="1" si="112"/>
        <v>3.025462279982559</v>
      </c>
      <c r="D2402" s="36">
        <f t="shared" ca="1" si="114"/>
        <v>0.12361523353132164</v>
      </c>
      <c r="E2402" s="32">
        <v>0.12038173761039772</v>
      </c>
      <c r="F2402" s="35">
        <f t="shared" ca="1" si="113"/>
        <v>2.8312256516782597E-3</v>
      </c>
    </row>
    <row r="2403" spans="1:6" x14ac:dyDescent="0.25">
      <c r="A2403" s="23">
        <v>2402</v>
      </c>
      <c r="B2403" s="7" cm="1">
        <f t="array" aca="1" ref="B2403" ca="1">interpolexp(A2403,serie_du,Taxas_DI)</f>
        <v>0.1232131307051354</v>
      </c>
      <c r="C2403" s="37">
        <f t="shared" ca="1" si="112"/>
        <v>3.0268618964219645</v>
      </c>
      <c r="D2403" s="36">
        <f t="shared" ca="1" si="114"/>
        <v>0.12361523347865599</v>
      </c>
      <c r="E2403" s="32">
        <v>0.12038144093757808</v>
      </c>
      <c r="F2403" s="35">
        <f t="shared" ca="1" si="113"/>
        <v>2.8316897675573216E-3</v>
      </c>
    </row>
    <row r="2404" spans="1:6" x14ac:dyDescent="0.25">
      <c r="A2404" s="23">
        <v>2403</v>
      </c>
      <c r="B2404" s="7" cm="1">
        <f t="array" aca="1" ref="B2404" ca="1">interpolexp(A2404,serie_du,Taxas_DI)</f>
        <v>0.12321329800881742</v>
      </c>
      <c r="C2404" s="37">
        <f t="shared" ca="1" si="112"/>
        <v>3.0282621603402791</v>
      </c>
      <c r="D2404" s="36">
        <f t="shared" ca="1" si="114"/>
        <v>0.12361523338094793</v>
      </c>
      <c r="E2404" s="32">
        <v>0.12038114451167203</v>
      </c>
      <c r="F2404" s="35">
        <f t="shared" ca="1" si="113"/>
        <v>2.8321534971453843E-3</v>
      </c>
    </row>
    <row r="2405" spans="1:6" x14ac:dyDescent="0.25">
      <c r="A2405" s="23">
        <v>2404</v>
      </c>
      <c r="B2405" s="7" cm="1">
        <f t="array" aca="1" ref="B2405" ca="1">interpolexp(A2405,serie_du,Taxas_DI)</f>
        <v>0.12321346517332188</v>
      </c>
      <c r="C2405" s="37">
        <f t="shared" ca="1" si="112"/>
        <v>3.0296630720376996</v>
      </c>
      <c r="D2405" s="36">
        <f t="shared" ca="1" si="114"/>
        <v>0.12361523334548452</v>
      </c>
      <c r="E2405" s="32">
        <v>0.12038084833236873</v>
      </c>
      <c r="F2405" s="35">
        <f t="shared" ca="1" si="113"/>
        <v>2.8326168409531505E-3</v>
      </c>
    </row>
    <row r="2406" spans="1:6" x14ac:dyDescent="0.25">
      <c r="A2406" s="23">
        <v>2405</v>
      </c>
      <c r="B2406" s="7" cm="1">
        <f t="array" aca="1" ref="B2406" ca="1">interpolexp(A2406,serie_du,Taxas_DI)</f>
        <v>0.12321363219880421</v>
      </c>
      <c r="C2406" s="37">
        <f t="shared" ca="1" si="112"/>
        <v>3.031064631813432</v>
      </c>
      <c r="D2406" s="36">
        <f t="shared" ca="1" si="114"/>
        <v>0.12361523326668555</v>
      </c>
      <c r="E2406" s="32">
        <v>0.1203805523993795</v>
      </c>
      <c r="F2406" s="35">
        <f t="shared" ca="1" si="113"/>
        <v>2.8330797994247092E-3</v>
      </c>
    </row>
    <row r="2407" spans="1:6" x14ac:dyDescent="0.25">
      <c r="A2407" s="23">
        <v>2406</v>
      </c>
      <c r="B2407" s="7" cm="1">
        <f t="array" aca="1" ref="B2407" ca="1">interpolexp(A2407,serie_du,Taxas_DI)</f>
        <v>0.12321379908546426</v>
      </c>
      <c r="C2407" s="37">
        <f t="shared" ca="1" si="112"/>
        <v>3.0324668399679648</v>
      </c>
      <c r="D2407" s="36">
        <f t="shared" ca="1" si="114"/>
        <v>0.12361523325136914</v>
      </c>
      <c r="E2407" s="32">
        <v>0.12038025671237129</v>
      </c>
      <c r="F2407" s="35">
        <f t="shared" ca="1" si="113"/>
        <v>2.8335423730929676E-3</v>
      </c>
    </row>
    <row r="2408" spans="1:6" x14ac:dyDescent="0.25">
      <c r="A2408" s="23">
        <v>2407</v>
      </c>
      <c r="B2408" s="7" cm="1">
        <f t="array" aca="1" ref="B2408" ca="1">interpolexp(A2408,serie_du,Taxas_DI)</f>
        <v>0.12321396583345745</v>
      </c>
      <c r="C2408" s="37">
        <f t="shared" ca="1" si="112"/>
        <v>3.0338696968007954</v>
      </c>
      <c r="D2408" s="36">
        <f t="shared" ca="1" si="114"/>
        <v>0.12361523319403744</v>
      </c>
      <c r="E2408" s="32">
        <v>0.12037996127107764</v>
      </c>
      <c r="F2408" s="35">
        <f t="shared" ca="1" si="113"/>
        <v>2.8340045623798105E-3</v>
      </c>
    </row>
    <row r="2409" spans="1:6" x14ac:dyDescent="0.25">
      <c r="A2409" s="23">
        <v>2408</v>
      </c>
      <c r="B2409" s="7" cm="1">
        <f t="array" aca="1" ref="B2409" ca="1">interpolexp(A2409,serie_du,Taxas_DI)</f>
        <v>0.12321413244293922</v>
      </c>
      <c r="C2409" s="37">
        <f t="shared" ca="1" si="112"/>
        <v>3.0352732026115623</v>
      </c>
      <c r="D2409" s="36">
        <f t="shared" ca="1" si="114"/>
        <v>0.12361523309494871</v>
      </c>
      <c r="E2409" s="32">
        <v>0.12037966607516548</v>
      </c>
      <c r="F2409" s="35">
        <f t="shared" ca="1" si="113"/>
        <v>2.8344663677737358E-3</v>
      </c>
    </row>
    <row r="2410" spans="1:6" x14ac:dyDescent="0.25">
      <c r="A2410" s="23">
        <v>2409</v>
      </c>
      <c r="B2410" s="7" cm="1">
        <f t="array" aca="1" ref="B2410" ca="1">interpolexp(A2410,serie_du,Taxas_DI)</f>
        <v>0.1232142989141094</v>
      </c>
      <c r="C2410" s="37">
        <f t="shared" ca="1" si="112"/>
        <v>3.0366773577011981</v>
      </c>
      <c r="D2410" s="36">
        <f t="shared" ca="1" si="114"/>
        <v>0.12361523306181432</v>
      </c>
      <c r="E2410" s="32">
        <v>0.12037937112432395</v>
      </c>
      <c r="F2410" s="35">
        <f t="shared" ca="1" si="113"/>
        <v>2.8349277897854464E-3</v>
      </c>
    </row>
    <row r="2411" spans="1:6" x14ac:dyDescent="0.25">
      <c r="A2411" s="23">
        <v>2410</v>
      </c>
      <c r="B2411" s="7" cm="1">
        <f t="array" aca="1" ref="B2411" ca="1">interpolexp(A2411,serie_du,Taxas_DI)</f>
        <v>0.12321446524712343</v>
      </c>
      <c r="C2411" s="37">
        <f t="shared" ca="1" si="112"/>
        <v>3.0380821623696326</v>
      </c>
      <c r="D2411" s="36">
        <f t="shared" ca="1" si="114"/>
        <v>0.12361523298829691</v>
      </c>
      <c r="E2411" s="32">
        <v>0.12037907641824219</v>
      </c>
      <c r="F2411" s="35">
        <f t="shared" ca="1" si="113"/>
        <v>2.8353888288812357E-3</v>
      </c>
    </row>
    <row r="2412" spans="1:6" x14ac:dyDescent="0.25">
      <c r="A2412" s="23">
        <v>2411</v>
      </c>
      <c r="B2412" s="7" cm="1">
        <f t="array" aca="1" ref="B2412" ca="1">interpolexp(A2412,serie_du,Taxas_DI)</f>
        <v>0.12321463144215894</v>
      </c>
      <c r="C2412" s="37">
        <f t="shared" ca="1" si="112"/>
        <v>3.0394876169175205</v>
      </c>
      <c r="D2412" s="36">
        <f t="shared" ca="1" si="114"/>
        <v>0.12361523292897747</v>
      </c>
      <c r="E2412" s="32">
        <v>0.12037878195665375</v>
      </c>
      <c r="F2412" s="35">
        <f t="shared" ca="1" si="113"/>
        <v>2.835849485505193E-3</v>
      </c>
    </row>
    <row r="2413" spans="1:6" x14ac:dyDescent="0.25">
      <c r="A2413" s="23">
        <v>2412</v>
      </c>
      <c r="B2413" s="7" cm="1">
        <f t="array" aca="1" ref="B2413" ca="1">interpolexp(A2413,serie_du,Taxas_DI)</f>
        <v>0.12321479749939357</v>
      </c>
      <c r="C2413" s="37">
        <f t="shared" ca="1" si="112"/>
        <v>3.040893721645658</v>
      </c>
      <c r="D2413" s="36">
        <f t="shared" ca="1" si="114"/>
        <v>0.12361523288399145</v>
      </c>
      <c r="E2413" s="32">
        <v>0.12037848773920334</v>
      </c>
      <c r="F2413" s="35">
        <f t="shared" ca="1" si="113"/>
        <v>2.8363097601902254E-3</v>
      </c>
    </row>
    <row r="2414" spans="1:6" x14ac:dyDescent="0.25">
      <c r="A2414" s="23">
        <v>2413</v>
      </c>
      <c r="B2414" s="7" cm="1">
        <f t="array" aca="1" ref="B2414" ca="1">interpolexp(A2414,serie_du,Taxas_DI)</f>
        <v>0.12321496341898275</v>
      </c>
      <c r="C2414" s="37">
        <f t="shared" ca="1" si="112"/>
        <v>3.0423004768544155</v>
      </c>
      <c r="D2414" s="36">
        <f t="shared" ca="1" si="114"/>
        <v>0.12361523280077091</v>
      </c>
      <c r="E2414" s="32">
        <v>0.12037819376564673</v>
      </c>
      <c r="F2414" s="35">
        <f t="shared" ca="1" si="113"/>
        <v>2.8367696533360132E-3</v>
      </c>
    </row>
    <row r="2415" spans="1:6" x14ac:dyDescent="0.25">
      <c r="A2415" s="23">
        <v>2414</v>
      </c>
      <c r="B2415" s="7" cm="1">
        <f t="array" aca="1" ref="B2415" ca="1">interpolexp(A2415,serie_du,Taxas_DI)</f>
        <v>0.12321512920110411</v>
      </c>
      <c r="C2415" s="37">
        <f t="shared" ca="1" si="112"/>
        <v>3.0437078828448838</v>
      </c>
      <c r="D2415" s="36">
        <f t="shared" ca="1" si="114"/>
        <v>0.12361523273352404</v>
      </c>
      <c r="E2415" s="32">
        <v>0.12037790003562865</v>
      </c>
      <c r="F2415" s="35">
        <f t="shared" ca="1" si="113"/>
        <v>2.8372291654754633E-3</v>
      </c>
    </row>
    <row r="2416" spans="1:6" x14ac:dyDescent="0.25">
      <c r="A2416" s="23">
        <v>2415</v>
      </c>
      <c r="B2416" s="7" cm="1">
        <f t="array" aca="1" ref="B2416" ca="1">interpolexp(A2416,serie_du,Taxas_DI)</f>
        <v>0.1232152948459575</v>
      </c>
      <c r="C2416" s="37">
        <f t="shared" ca="1" si="112"/>
        <v>3.0451159399188792</v>
      </c>
      <c r="D2416" s="36">
        <f t="shared" ca="1" si="114"/>
        <v>0.12361523273666353</v>
      </c>
      <c r="E2416" s="32">
        <v>0.12037760654886043</v>
      </c>
      <c r="F2416" s="35">
        <f t="shared" ca="1" si="113"/>
        <v>2.837688297097074E-3</v>
      </c>
    </row>
    <row r="2417" spans="1:6" x14ac:dyDescent="0.25">
      <c r="A2417" s="23">
        <v>2416</v>
      </c>
      <c r="B2417" s="7" cm="1">
        <f t="array" aca="1" ref="B2417" ca="1">interpolexp(A2417,serie_du,Taxas_DI)</f>
        <v>0.12321546035367614</v>
      </c>
      <c r="C2417" s="37">
        <f t="shared" ca="1" si="112"/>
        <v>3.0465246483766326</v>
      </c>
      <c r="D2417" s="36">
        <f t="shared" ca="1" si="114"/>
        <v>0.12361523264982388</v>
      </c>
      <c r="E2417" s="32">
        <v>0.12037731330505341</v>
      </c>
      <c r="F2417" s="35">
        <f t="shared" ca="1" si="113"/>
        <v>2.83814704862273E-3</v>
      </c>
    </row>
    <row r="2418" spans="1:6" x14ac:dyDescent="0.25">
      <c r="A2418" s="23">
        <v>2417</v>
      </c>
      <c r="B2418" s="7" cm="1">
        <f t="array" aca="1" ref="B2418" ca="1">interpolexp(A2418,serie_du,Taxas_DI)</f>
        <v>0.12321562572443767</v>
      </c>
      <c r="C2418" s="37">
        <f t="shared" ca="1" si="112"/>
        <v>3.0479340085196758</v>
      </c>
      <c r="D2418" s="36">
        <f t="shared" ca="1" si="114"/>
        <v>0.12361523258101448</v>
      </c>
      <c r="E2418" s="32">
        <v>0.12037702030389674</v>
      </c>
      <c r="F2418" s="35">
        <f t="shared" ca="1" si="113"/>
        <v>2.8386054205409295E-3</v>
      </c>
    </row>
    <row r="2419" spans="1:6" x14ac:dyDescent="0.25">
      <c r="A2419" s="23">
        <v>2418</v>
      </c>
      <c r="B2419" s="7" cm="1">
        <f t="array" aca="1" ref="B2419" ca="1">interpolexp(A2419,serie_du,Taxas_DI)</f>
        <v>0.12321579095841972</v>
      </c>
      <c r="C2419" s="37">
        <f t="shared" ca="1" si="112"/>
        <v>3.0493440206496869</v>
      </c>
      <c r="D2419" s="36">
        <f t="shared" ca="1" si="114"/>
        <v>0.12361523253085349</v>
      </c>
      <c r="E2419" s="32">
        <v>0.12037672754510176</v>
      </c>
      <c r="F2419" s="35">
        <f t="shared" ca="1" si="113"/>
        <v>2.839063413317966E-3</v>
      </c>
    </row>
    <row r="2420" spans="1:6" x14ac:dyDescent="0.25">
      <c r="A2420" s="23">
        <v>2419</v>
      </c>
      <c r="B2420" s="7" cm="1">
        <f t="array" aca="1" ref="B2420" ca="1">interpolexp(A2420,serie_du,Taxas_DI)</f>
        <v>0.12321595605577773</v>
      </c>
      <c r="C2420" s="37">
        <f t="shared" ca="1" si="112"/>
        <v>3.0507546850679144</v>
      </c>
      <c r="D2420" s="36">
        <f t="shared" ca="1" si="114"/>
        <v>0.12361523244652273</v>
      </c>
      <c r="E2420" s="32">
        <v>0.12037643502833539</v>
      </c>
      <c r="F2420" s="35">
        <f t="shared" ca="1" si="113"/>
        <v>2.8395210274423377E-3</v>
      </c>
    </row>
    <row r="2421" spans="1:6" x14ac:dyDescent="0.25">
      <c r="A2421" s="23">
        <v>2420</v>
      </c>
      <c r="B2421" s="7" cm="1">
        <f t="array" aca="1" ref="B2421" ca="1">interpolexp(A2421,serie_du,Taxas_DI)</f>
        <v>0.12321612101668933</v>
      </c>
      <c r="C2421" s="37">
        <f t="shared" ca="1" si="112"/>
        <v>3.0521660020763304</v>
      </c>
      <c r="D2421" s="36">
        <f t="shared" ca="1" si="114"/>
        <v>0.12361523238229388</v>
      </c>
      <c r="E2421" s="32">
        <v>0.12037614275333119</v>
      </c>
      <c r="F2421" s="35">
        <f t="shared" ca="1" si="113"/>
        <v>2.8399782633581339E-3</v>
      </c>
    </row>
    <row r="2422" spans="1:6" x14ac:dyDescent="0.25">
      <c r="A2422" s="23">
        <v>2421</v>
      </c>
      <c r="B2422" s="7" cm="1">
        <f t="array" aca="1" ref="B2422" ca="1">interpolexp(A2422,serie_du,Taxas_DI)</f>
        <v>0.12321628584135436</v>
      </c>
      <c r="C2422" s="37">
        <f t="shared" ca="1" si="112"/>
        <v>3.0535779719776346</v>
      </c>
      <c r="D2422" s="36">
        <f t="shared" ca="1" si="114"/>
        <v>0.12361523239259808</v>
      </c>
      <c r="E2422" s="32">
        <v>0.1203758507197783</v>
      </c>
      <c r="F2422" s="35">
        <f t="shared" ca="1" si="113"/>
        <v>2.840435121576057E-3</v>
      </c>
    </row>
    <row r="2423" spans="1:6" x14ac:dyDescent="0.25">
      <c r="A2423" s="23">
        <v>2422</v>
      </c>
      <c r="B2423" s="7" cm="1">
        <f t="array" aca="1" ref="B2423" ca="1">interpolexp(A2423,serie_du,Taxas_DI)</f>
        <v>0.12321645052988384</v>
      </c>
      <c r="C2423" s="37">
        <f t="shared" ca="1" si="112"/>
        <v>3.0549905950723537</v>
      </c>
      <c r="D2423" s="36">
        <f t="shared" ca="1" si="114"/>
        <v>0.12361523226304261</v>
      </c>
      <c r="E2423" s="32">
        <v>0.12037555892738805</v>
      </c>
      <c r="F2423" s="35">
        <f t="shared" ca="1" si="113"/>
        <v>2.8408916024957875E-3</v>
      </c>
    </row>
    <row r="2424" spans="1:6" x14ac:dyDescent="0.25">
      <c r="A2424" s="23">
        <v>2423</v>
      </c>
      <c r="B2424" s="7" cm="1">
        <f t="array" aca="1" ref="B2424" ca="1">interpolexp(A2424,serie_du,Taxas_DI)</f>
        <v>0.12321661508249981</v>
      </c>
      <c r="C2424" s="37">
        <f t="shared" ca="1" si="112"/>
        <v>3.056403871664064</v>
      </c>
      <c r="D2424" s="36">
        <f t="shared" ca="1" si="114"/>
        <v>0.1236152322632964</v>
      </c>
      <c r="E2424" s="32">
        <v>0.12037526737582738</v>
      </c>
      <c r="F2424" s="35">
        <f t="shared" ca="1" si="113"/>
        <v>2.8413477066724369E-3</v>
      </c>
    </row>
    <row r="2425" spans="1:6" x14ac:dyDescent="0.25">
      <c r="A2425" s="23">
        <v>2424</v>
      </c>
      <c r="B2425" s="7" cm="1">
        <f t="array" aca="1" ref="B2425" ca="1">interpolexp(A2425,serie_du,Taxas_DI)</f>
        <v>0.12321677949933552</v>
      </c>
      <c r="C2425" s="37">
        <f t="shared" ca="1" si="112"/>
        <v>3.0578178020541649</v>
      </c>
      <c r="D2425" s="36">
        <f t="shared" ca="1" si="114"/>
        <v>0.12361523217868386</v>
      </c>
      <c r="E2425" s="32">
        <v>0.12037497606485204</v>
      </c>
      <c r="F2425" s="35">
        <f t="shared" ca="1" si="113"/>
        <v>2.8418034344834808E-3</v>
      </c>
    </row>
    <row r="2426" spans="1:6" x14ac:dyDescent="0.25">
      <c r="A2426" s="23">
        <v>2425</v>
      </c>
      <c r="B2426" s="7" cm="1">
        <f t="array" aca="1" ref="B2426" ca="1">interpolexp(A2426,serie_du,Taxas_DI)</f>
        <v>0.12321694378056858</v>
      </c>
      <c r="C2426" s="37">
        <f t="shared" ca="1" si="112"/>
        <v>3.0592323865453652</v>
      </c>
      <c r="D2426" s="36">
        <f t="shared" ca="1" si="114"/>
        <v>0.12361523211766512</v>
      </c>
      <c r="E2426" s="32">
        <v>0.12037468499410675</v>
      </c>
      <c r="F2426" s="35">
        <f t="shared" ca="1" si="113"/>
        <v>2.8422587864618265E-3</v>
      </c>
    </row>
    <row r="2427" spans="1:6" x14ac:dyDescent="0.25">
      <c r="A2427" s="23">
        <v>2426</v>
      </c>
      <c r="B2427" s="7" cm="1">
        <f t="array" aca="1" ref="B2427" ca="1">interpolexp(A2427,serie_du,Taxas_DI)</f>
        <v>0.12321710792635443</v>
      </c>
      <c r="C2427" s="37">
        <f t="shared" ca="1" si="112"/>
        <v>3.0606476254399388</v>
      </c>
      <c r="D2427" s="36">
        <f t="shared" ca="1" si="114"/>
        <v>0.12361523202698632</v>
      </c>
      <c r="E2427" s="32">
        <v>0.12037439416332507</v>
      </c>
      <c r="F2427" s="35">
        <f t="shared" ca="1" si="113"/>
        <v>2.8427137630293586E-3</v>
      </c>
    </row>
    <row r="2428" spans="1:6" x14ac:dyDescent="0.25">
      <c r="A2428" s="23">
        <v>2427</v>
      </c>
      <c r="B2428" s="7" cm="1">
        <f t="array" aca="1" ref="B2428" ca="1">interpolexp(A2428,serie_du,Taxas_DI)</f>
        <v>0.12321727193689291</v>
      </c>
      <c r="C2428" s="37">
        <f t="shared" ca="1" si="112"/>
        <v>3.0620635190414713</v>
      </c>
      <c r="D2428" s="36">
        <f t="shared" ca="1" si="114"/>
        <v>0.12361523201499924</v>
      </c>
      <c r="E2428" s="32">
        <v>0.12037410357221834</v>
      </c>
      <c r="F2428" s="35">
        <f t="shared" ca="1" si="113"/>
        <v>2.8431683646745753E-3</v>
      </c>
    </row>
    <row r="2429" spans="1:6" x14ac:dyDescent="0.25">
      <c r="A2429" s="23">
        <v>2428</v>
      </c>
      <c r="B2429" s="7" cm="1">
        <f t="array" aca="1" ref="B2429" ca="1">interpolexp(A2429,serie_du,Taxas_DI)</f>
        <v>0.12321743581233946</v>
      </c>
      <c r="C2429" s="37">
        <f t="shared" ca="1" si="112"/>
        <v>3.0634800676525331</v>
      </c>
      <c r="D2429" s="36">
        <f t="shared" ca="1" si="114"/>
        <v>0.12361523197482294</v>
      </c>
      <c r="E2429" s="32">
        <v>0.12037381322047569</v>
      </c>
      <c r="F2429" s="35">
        <f t="shared" ca="1" si="113"/>
        <v>2.8436225918637703E-3</v>
      </c>
    </row>
    <row r="2430" spans="1:6" x14ac:dyDescent="0.25">
      <c r="A2430" s="23">
        <v>2429</v>
      </c>
      <c r="B2430" s="7" cm="1">
        <f t="array" aca="1" ref="B2430" ca="1">interpolexp(A2430,serie_du,Taxas_DI)</f>
        <v>0.12321759955282729</v>
      </c>
      <c r="C2430" s="37">
        <f t="shared" ca="1" si="112"/>
        <v>3.0648972715752545</v>
      </c>
      <c r="D2430" s="36">
        <f t="shared" ca="1" si="114"/>
        <v>0.12361523185290091</v>
      </c>
      <c r="E2430" s="32">
        <v>0.12037352310780847</v>
      </c>
      <c r="F2430" s="35">
        <f t="shared" ca="1" si="113"/>
        <v>2.8440764450188283E-3</v>
      </c>
    </row>
    <row r="2431" spans="1:6" x14ac:dyDescent="0.25">
      <c r="A2431" s="23">
        <v>2430</v>
      </c>
      <c r="B2431" s="7" cm="1">
        <f t="array" aca="1" ref="B2431" ca="1">interpolexp(A2431,serie_du,Taxas_DI)</f>
        <v>0.12321776315857846</v>
      </c>
      <c r="C2431" s="37">
        <f t="shared" ca="1" si="112"/>
        <v>3.0663151311142509</v>
      </c>
      <c r="D2431" s="36">
        <f t="shared" ca="1" si="114"/>
        <v>0.12361523186593582</v>
      </c>
      <c r="E2431" s="32">
        <v>0.12037323323390581</v>
      </c>
      <c r="F2431" s="35">
        <f t="shared" ca="1" si="113"/>
        <v>2.8445299246726563E-3</v>
      </c>
    </row>
    <row r="2432" spans="1:6" x14ac:dyDescent="0.25">
      <c r="A2432" s="23">
        <v>2431</v>
      </c>
      <c r="B2432" s="7" cm="1">
        <f t="array" aca="1" ref="B2432" ca="1">interpolexp(A2432,serie_du,Taxas_DI)</f>
        <v>0.12321792662970399</v>
      </c>
      <c r="C2432" s="37">
        <f t="shared" ca="1" si="112"/>
        <v>3.0677336465713623</v>
      </c>
      <c r="D2432" s="36">
        <f t="shared" ca="1" si="114"/>
        <v>0.1236152317445196</v>
      </c>
      <c r="E2432" s="32">
        <v>0.12037294359850126</v>
      </c>
      <c r="F2432" s="35">
        <f t="shared" ca="1" si="113"/>
        <v>2.8449830312027302E-3</v>
      </c>
    </row>
    <row r="2433" spans="1:6" x14ac:dyDescent="0.25">
      <c r="A2433" s="23">
        <v>2432</v>
      </c>
      <c r="B2433" s="7" cm="1">
        <f t="array" aca="1" ref="B2433" ca="1">interpolexp(A2433,serie_du,Taxas_DI)</f>
        <v>0.12321808996640371</v>
      </c>
      <c r="C2433" s="37">
        <f t="shared" ca="1" si="112"/>
        <v>3.0691528182509158</v>
      </c>
      <c r="D2433" s="36">
        <f t="shared" ca="1" si="114"/>
        <v>0.123615231705406</v>
      </c>
      <c r="E2433" s="32">
        <v>0.12037265420126175</v>
      </c>
      <c r="F2433" s="35">
        <f t="shared" ca="1" si="113"/>
        <v>2.8454357651419571E-3</v>
      </c>
    </row>
    <row r="2434" spans="1:6" x14ac:dyDescent="0.25">
      <c r="A2434" s="23">
        <v>2433</v>
      </c>
      <c r="B2434" s="7" cm="1">
        <f t="array" aca="1" ref="B2434" ca="1">interpolexp(A2434,serie_du,Taxas_DI)</f>
        <v>0.12321825316885526</v>
      </c>
      <c r="C2434" s="37">
        <f t="shared" ref="C2434:C2497" ca="1" si="115">(1+B2434)^(A2434/252)</f>
        <v>3.0705726464568013</v>
      </c>
      <c r="D2434" s="36">
        <f t="shared" ca="1" si="114"/>
        <v>0.12361523169530608</v>
      </c>
      <c r="E2434" s="32">
        <v>0.12037236504194304</v>
      </c>
      <c r="F2434" s="35">
        <f t="shared" ref="F2434:F2497" ca="1" si="116">B2434-E2434</f>
        <v>2.8458881269122216E-3</v>
      </c>
    </row>
    <row r="2435" spans="1:6" x14ac:dyDescent="0.25">
      <c r="A2435" s="23">
        <v>2434</v>
      </c>
      <c r="B2435" s="7" cm="1">
        <f t="array" aca="1" ref="B2435" ca="1">interpolexp(A2435,serie_du,Taxas_DI)</f>
        <v>0.12321841623719187</v>
      </c>
      <c r="C2435" s="37">
        <f t="shared" ca="1" si="115"/>
        <v>3.0719931314918849</v>
      </c>
      <c r="D2435" s="36">
        <f t="shared" ca="1" si="114"/>
        <v>0.12361523160671029</v>
      </c>
      <c r="E2435" s="32">
        <v>0.12037207612021206</v>
      </c>
      <c r="F2435" s="35">
        <f t="shared" ca="1" si="116"/>
        <v>2.8463401169798175E-3</v>
      </c>
    </row>
    <row r="2436" spans="1:6" x14ac:dyDescent="0.25">
      <c r="A2436" s="23">
        <v>2435</v>
      </c>
      <c r="B2436" s="7" cm="1">
        <f t="array" aca="1" ref="B2436" ca="1">interpolexp(A2436,serie_du,Taxas_DI)</f>
        <v>0.12321857917159118</v>
      </c>
      <c r="C2436" s="37">
        <f t="shared" ca="1" si="115"/>
        <v>3.0734142736603527</v>
      </c>
      <c r="D2436" s="36">
        <f t="shared" ref="D2436:D2499" ca="1" si="117">((((1+B2436)^(A2436/252))/((1+B2435)^(A2435/252)))^(252/1))-1</f>
        <v>0.12361523154850174</v>
      </c>
      <c r="E2436" s="32">
        <v>0.12037178743578014</v>
      </c>
      <c r="F2436" s="35">
        <f t="shared" ca="1" si="116"/>
        <v>2.8467917358110384E-3</v>
      </c>
    </row>
    <row r="2437" spans="1:6" x14ac:dyDescent="0.25">
      <c r="A2437" s="23">
        <v>2436</v>
      </c>
      <c r="B2437" s="7" cm="1">
        <f t="array" aca="1" ref="B2437" ca="1">interpolexp(A2437,serie_du,Taxas_DI)</f>
        <v>0.12321874197220861</v>
      </c>
      <c r="C2437" s="37">
        <f t="shared" ca="1" si="115"/>
        <v>3.074836073265951</v>
      </c>
      <c r="D2437" s="36">
        <f t="shared" ca="1" si="117"/>
        <v>0.12361523146718789</v>
      </c>
      <c r="E2437" s="32">
        <v>0.12037149898838084</v>
      </c>
      <c r="F2437" s="35">
        <f t="shared" ca="1" si="116"/>
        <v>2.8472429838277691E-3</v>
      </c>
    </row>
    <row r="2438" spans="1:6" x14ac:dyDescent="0.25">
      <c r="A2438" s="23">
        <v>2437</v>
      </c>
      <c r="B2438" s="7" cm="1">
        <f t="array" aca="1" ref="B2438" ca="1">interpolexp(A2438,serie_du,Taxas_DI)</f>
        <v>0.1232189046392218</v>
      </c>
      <c r="C2438" s="37">
        <f t="shared" ca="1" si="115"/>
        <v>3.0762585306131611</v>
      </c>
      <c r="D2438" s="36">
        <f t="shared" ca="1" si="117"/>
        <v>0.12361523141740549</v>
      </c>
      <c r="E2438" s="32">
        <v>0.1203712107777033</v>
      </c>
      <c r="F2438" s="35">
        <f t="shared" ca="1" si="116"/>
        <v>2.8476938615185077E-3</v>
      </c>
    </row>
    <row r="2439" spans="1:6" x14ac:dyDescent="0.25">
      <c r="A2439" s="23">
        <v>2438</v>
      </c>
      <c r="B2439" s="7" cm="1">
        <f t="array" aca="1" ref="B2439" ca="1">interpolexp(A2439,serie_du,Taxas_DI)</f>
        <v>0.12321906717280839</v>
      </c>
      <c r="C2439" s="37">
        <f t="shared" ca="1" si="115"/>
        <v>3.0776816460066123</v>
      </c>
      <c r="D2439" s="36">
        <f t="shared" ca="1" si="117"/>
        <v>0.12361523139994346</v>
      </c>
      <c r="E2439" s="32">
        <v>0.12037092280343664</v>
      </c>
      <c r="F2439" s="35">
        <f t="shared" ca="1" si="116"/>
        <v>2.8481443693717523E-3</v>
      </c>
    </row>
    <row r="2440" spans="1:6" x14ac:dyDescent="0.25">
      <c r="A2440" s="23">
        <v>2439</v>
      </c>
      <c r="B2440" s="7" cm="1">
        <f t="array" aca="1" ref="B2440" ca="1">interpolexp(A2440,serie_du,Taxas_DI)</f>
        <v>0.12321922957310161</v>
      </c>
      <c r="C2440" s="37">
        <f t="shared" ca="1" si="115"/>
        <v>3.0791054197499079</v>
      </c>
      <c r="D2440" s="36">
        <f t="shared" ca="1" si="117"/>
        <v>0.12361523130730134</v>
      </c>
      <c r="E2440" s="32">
        <v>0.12037063506533663</v>
      </c>
      <c r="F2440" s="35">
        <f t="shared" ca="1" si="116"/>
        <v>2.8485945077649788E-3</v>
      </c>
    </row>
    <row r="2441" spans="1:6" x14ac:dyDescent="0.25">
      <c r="A2441" s="23">
        <v>2440</v>
      </c>
      <c r="B2441" s="7" cm="1">
        <f t="array" aca="1" ref="B2441" ca="1">interpolexp(A2441,serie_du,Taxas_DI)</f>
        <v>0.12321939184030128</v>
      </c>
      <c r="C2441" s="37">
        <f t="shared" ca="1" si="115"/>
        <v>3.0805298521485613</v>
      </c>
      <c r="D2441" s="36">
        <f t="shared" ca="1" si="117"/>
        <v>0.12361523130234353</v>
      </c>
      <c r="E2441" s="32">
        <v>0.12037034756307019</v>
      </c>
      <c r="F2441" s="35">
        <f t="shared" ca="1" si="116"/>
        <v>2.8490442772310942E-3</v>
      </c>
    </row>
    <row r="2442" spans="1:6" x14ac:dyDescent="0.25">
      <c r="A2442" s="23">
        <v>2441</v>
      </c>
      <c r="B2442" s="7" cm="1">
        <f t="array" aca="1" ref="B2442" ca="1">interpolexp(A2442,serie_du,Taxas_DI)</f>
        <v>0.12321955397451845</v>
      </c>
      <c r="C2442" s="37">
        <f t="shared" ca="1" si="115"/>
        <v>3.0819549435058811</v>
      </c>
      <c r="D2442" s="36">
        <f t="shared" ca="1" si="117"/>
        <v>0.12361523116936546</v>
      </c>
      <c r="E2442" s="32">
        <v>0.12037006029639308</v>
      </c>
      <c r="F2442" s="35">
        <f t="shared" ca="1" si="116"/>
        <v>2.8494936781253699E-3</v>
      </c>
    </row>
    <row r="2443" spans="1:6" x14ac:dyDescent="0.25">
      <c r="A2443" s="23">
        <v>2442</v>
      </c>
      <c r="B2443" s="7" cm="1">
        <f t="array" aca="1" ref="B2443" ca="1">interpolexp(A2443,serie_du,Taxas_DI)</f>
        <v>0.12321971597597514</v>
      </c>
      <c r="C2443" s="37">
        <f t="shared" ca="1" si="115"/>
        <v>3.0833806941282678</v>
      </c>
      <c r="D2443" s="36">
        <f t="shared" ca="1" si="117"/>
        <v>0.12361523117956175</v>
      </c>
      <c r="E2443" s="32">
        <v>0.12036977326497222</v>
      </c>
      <c r="F2443" s="35">
        <f t="shared" ca="1" si="116"/>
        <v>2.8499427110029174E-3</v>
      </c>
    </row>
    <row r="2444" spans="1:6" x14ac:dyDescent="0.25">
      <c r="A2444" s="23">
        <v>2443</v>
      </c>
      <c r="B2444" s="7" cm="1">
        <f t="array" aca="1" ref="B2444" ca="1">interpolexp(A2444,serie_du,Taxas_DI)</f>
        <v>0.12321987784478239</v>
      </c>
      <c r="C2444" s="37">
        <f t="shared" ca="1" si="115"/>
        <v>3.084807104319323</v>
      </c>
      <c r="D2444" s="36">
        <f t="shared" ca="1" si="117"/>
        <v>0.12361523106286221</v>
      </c>
      <c r="E2444" s="32">
        <v>0.12036948646851897</v>
      </c>
      <c r="F2444" s="35">
        <f t="shared" ca="1" si="116"/>
        <v>2.850391376263417E-3</v>
      </c>
    </row>
    <row r="2445" spans="1:6" x14ac:dyDescent="0.25">
      <c r="A2445" s="23">
        <v>2444</v>
      </c>
      <c r="B2445" s="7" cm="1">
        <f t="array" aca="1" ref="B2445" ca="1">interpolexp(A2445,serie_du,Taxas_DI)</f>
        <v>0.12322003958114003</v>
      </c>
      <c r="C2445" s="37">
        <f t="shared" ca="1" si="115"/>
        <v>3.0862341743851562</v>
      </c>
      <c r="D2445" s="36">
        <f t="shared" ca="1" si="117"/>
        <v>0.1236152310365688</v>
      </c>
      <c r="E2445" s="32">
        <v>0.12036919990678907</v>
      </c>
      <c r="F2445" s="35">
        <f t="shared" ca="1" si="116"/>
        <v>2.8508396743509579E-3</v>
      </c>
    </row>
    <row r="2446" spans="1:6" x14ac:dyDescent="0.25">
      <c r="A2446" s="23">
        <v>2445</v>
      </c>
      <c r="B2446" s="7" cm="1">
        <f t="array" aca="1" ref="B2446" ca="1">interpolexp(A2446,serie_du,Taxas_DI)</f>
        <v>0.12322020118520349</v>
      </c>
      <c r="C2446" s="37">
        <f t="shared" ca="1" si="115"/>
        <v>3.0876619046308473</v>
      </c>
      <c r="D2446" s="36">
        <f t="shared" ca="1" si="117"/>
        <v>0.12361523099328453</v>
      </c>
      <c r="E2446" s="32">
        <v>0.12036891357944945</v>
      </c>
      <c r="F2446" s="35">
        <f t="shared" ca="1" si="116"/>
        <v>2.8512876057540382E-3</v>
      </c>
    </row>
    <row r="2447" spans="1:6" x14ac:dyDescent="0.25">
      <c r="A2447" s="23">
        <v>2446</v>
      </c>
      <c r="B2447" s="7" cm="1">
        <f t="array" aca="1" ref="B2447" ca="1">interpolexp(A2447,serie_du,Taxas_DI)</f>
        <v>0.12322036265712821</v>
      </c>
      <c r="C2447" s="37">
        <f t="shared" ca="1" si="115"/>
        <v>3.0890902953616202</v>
      </c>
      <c r="D2447" s="36">
        <f t="shared" ca="1" si="117"/>
        <v>0.12361523093321192</v>
      </c>
      <c r="E2447" s="32">
        <v>0.12036862748623367</v>
      </c>
      <c r="F2447" s="35">
        <f t="shared" ca="1" si="116"/>
        <v>2.8517351708945426E-3</v>
      </c>
    </row>
    <row r="2448" spans="1:6" x14ac:dyDescent="0.25">
      <c r="A2448" s="23">
        <v>2447</v>
      </c>
      <c r="B2448" s="7" cm="1">
        <f t="array" aca="1" ref="B2448" ca="1">interpolexp(A2448,serie_du,Taxas_DI)</f>
        <v>0.12322052399706962</v>
      </c>
      <c r="C2448" s="37">
        <f t="shared" ca="1" si="115"/>
        <v>3.0905193468828478</v>
      </c>
      <c r="D2448" s="36">
        <f t="shared" ca="1" si="117"/>
        <v>0.1236152308570424</v>
      </c>
      <c r="E2448" s="32">
        <v>0.12036834162685306</v>
      </c>
      <c r="F2448" s="35">
        <f t="shared" ca="1" si="116"/>
        <v>2.8521823702165605E-3</v>
      </c>
    </row>
    <row r="2449" spans="1:6" x14ac:dyDescent="0.25">
      <c r="A2449" s="23">
        <v>2448</v>
      </c>
      <c r="B2449" s="7" cm="1">
        <f t="array" aca="1" ref="B2449" ca="1">interpolexp(A2449,serie_du,Taxas_DI)</f>
        <v>0.12322068520520535</v>
      </c>
      <c r="C2449" s="37">
        <f t="shared" ca="1" si="115"/>
        <v>3.0919490595006462</v>
      </c>
      <c r="D2449" s="36">
        <f t="shared" ca="1" si="117"/>
        <v>0.1236152308200138</v>
      </c>
      <c r="E2449" s="32">
        <v>0.12036805600101896</v>
      </c>
      <c r="F2449" s="35">
        <f t="shared" ca="1" si="116"/>
        <v>2.8526292041863854E-3</v>
      </c>
    </row>
    <row r="2450" spans="1:6" x14ac:dyDescent="0.25">
      <c r="A2450" s="23">
        <v>2449</v>
      </c>
      <c r="B2450" s="7" cm="1">
        <f t="array" aca="1" ref="B2450" ca="1">interpolexp(A2450,serie_du,Taxas_DI)</f>
        <v>0.12322084628169083</v>
      </c>
      <c r="C2450" s="37">
        <f t="shared" ca="1" si="115"/>
        <v>3.0933794335206852</v>
      </c>
      <c r="D2450" s="36">
        <f t="shared" ca="1" si="117"/>
        <v>0.12361523076825875</v>
      </c>
      <c r="E2450" s="32">
        <v>0.12036777060844273</v>
      </c>
      <c r="F2450" s="35">
        <f t="shared" ca="1" si="116"/>
        <v>2.8530756732481066E-3</v>
      </c>
    </row>
    <row r="2451" spans="1:6" x14ac:dyDescent="0.25">
      <c r="A2451" s="23">
        <v>2450</v>
      </c>
      <c r="B2451" s="7" cm="1">
        <f t="array" aca="1" ref="B2451" ca="1">interpolexp(A2451,serie_du,Taxas_DI)</f>
        <v>0.1232210072266815</v>
      </c>
      <c r="C2451" s="37">
        <f t="shared" ca="1" si="115"/>
        <v>3.0948104692487828</v>
      </c>
      <c r="D2451" s="36">
        <f t="shared" ca="1" si="117"/>
        <v>0.12361523070233171</v>
      </c>
      <c r="E2451" s="32">
        <v>0.12036748544883569</v>
      </c>
      <c r="F2451" s="35">
        <f t="shared" ca="1" si="116"/>
        <v>2.8535217778458133E-3</v>
      </c>
    </row>
    <row r="2452" spans="1:6" x14ac:dyDescent="0.25">
      <c r="A2452" s="23">
        <v>2451</v>
      </c>
      <c r="B2452" s="7" cm="1">
        <f t="array" aca="1" ref="B2452" ca="1">interpolexp(A2452,serie_du,Taxas_DI)</f>
        <v>0.12322116804033278</v>
      </c>
      <c r="C2452" s="37">
        <f t="shared" ca="1" si="115"/>
        <v>3.0962421669909066</v>
      </c>
      <c r="D2452" s="36">
        <f t="shared" ca="1" si="117"/>
        <v>0.12361523062301427</v>
      </c>
      <c r="E2452" s="32">
        <v>0.12036720052190919</v>
      </c>
      <c r="F2452" s="35">
        <f t="shared" ca="1" si="116"/>
        <v>2.8539675184235946E-3</v>
      </c>
    </row>
    <row r="2453" spans="1:6" x14ac:dyDescent="0.25">
      <c r="A2453" s="23">
        <v>2452</v>
      </c>
      <c r="B2453" s="7" cm="1">
        <f t="array" aca="1" ref="B2453" ca="1">interpolexp(A2453,serie_du,Taxas_DI)</f>
        <v>0.12322132872282232</v>
      </c>
      <c r="C2453" s="37">
        <f t="shared" ca="1" si="115"/>
        <v>3.0976745270537664</v>
      </c>
      <c r="D2453" s="36">
        <f t="shared" ca="1" si="117"/>
        <v>0.12361523058531088</v>
      </c>
      <c r="E2453" s="32">
        <v>0.12036691582739678</v>
      </c>
      <c r="F2453" s="35">
        <f t="shared" ca="1" si="116"/>
        <v>2.8544128954255399E-3</v>
      </c>
    </row>
    <row r="2454" spans="1:6" x14ac:dyDescent="0.25">
      <c r="A2454" s="23">
        <v>2453</v>
      </c>
      <c r="B2454" s="7" cm="1">
        <f t="array" aca="1" ref="B2454" ca="1">interpolexp(A2454,serie_du,Taxas_DI)</f>
        <v>0.12322148927430554</v>
      </c>
      <c r="C2454" s="37">
        <f t="shared" ca="1" si="115"/>
        <v>3.0991075497436267</v>
      </c>
      <c r="D2454" s="36">
        <f t="shared" ca="1" si="117"/>
        <v>0.12361523053546586</v>
      </c>
      <c r="E2454" s="32">
        <v>0.1203666313650098</v>
      </c>
      <c r="F2454" s="35">
        <f t="shared" ca="1" si="116"/>
        <v>2.8548579092957382E-3</v>
      </c>
    </row>
    <row r="2455" spans="1:6" x14ac:dyDescent="0.25">
      <c r="A2455" s="23">
        <v>2454</v>
      </c>
      <c r="B2455" s="7" cm="1">
        <f t="array" aca="1" ref="B2455" ca="1">interpolexp(A2455,serie_du,Taxas_DI)</f>
        <v>0.12322164969493787</v>
      </c>
      <c r="C2455" s="37">
        <f t="shared" ca="1" si="115"/>
        <v>3.1005412353669004</v>
      </c>
      <c r="D2455" s="36">
        <f t="shared" ca="1" si="117"/>
        <v>0.12361523047407097</v>
      </c>
      <c r="E2455" s="32">
        <v>0.12036634713445959</v>
      </c>
      <c r="F2455" s="35">
        <f t="shared" ca="1" si="116"/>
        <v>2.8553025604782789E-3</v>
      </c>
    </row>
    <row r="2456" spans="1:6" x14ac:dyDescent="0.25">
      <c r="A2456" s="23">
        <v>2455</v>
      </c>
      <c r="B2456" s="7" cm="1">
        <f t="array" aca="1" ref="B2456" ca="1">interpolexp(A2456,serie_du,Taxas_DI)</f>
        <v>0.12322180998489696</v>
      </c>
      <c r="C2456" s="37">
        <f t="shared" ca="1" si="115"/>
        <v>3.1019755842307468</v>
      </c>
      <c r="D2456" s="36">
        <f t="shared" ca="1" si="117"/>
        <v>0.12361523045642175</v>
      </c>
      <c r="E2456" s="32">
        <v>0.1203660631354575</v>
      </c>
      <c r="F2456" s="35">
        <f t="shared" ca="1" si="116"/>
        <v>2.8557468494394556E-3</v>
      </c>
    </row>
    <row r="2457" spans="1:6" x14ac:dyDescent="0.25">
      <c r="A2457" s="23">
        <v>2456</v>
      </c>
      <c r="B2457" s="7" cm="1">
        <f t="array" aca="1" ref="B2457" ca="1">interpolexp(A2457,serie_du,Taxas_DI)</f>
        <v>0.12322197014431602</v>
      </c>
      <c r="C2457" s="37">
        <f t="shared" ca="1" si="115"/>
        <v>3.1034105966412771</v>
      </c>
      <c r="D2457" s="36">
        <f t="shared" ca="1" si="117"/>
        <v>0.12361523037379185</v>
      </c>
      <c r="E2457" s="32">
        <v>0.12036577936773707</v>
      </c>
      <c r="F2457" s="35">
        <f t="shared" ca="1" si="116"/>
        <v>2.8561907765789485E-3</v>
      </c>
    </row>
    <row r="2458" spans="1:6" x14ac:dyDescent="0.25">
      <c r="A2458" s="23">
        <v>2457</v>
      </c>
      <c r="B2458" s="7" cm="1">
        <f t="array" aca="1" ref="B2458" ca="1">interpolexp(A2458,serie_du,Taxas_DI)</f>
        <v>0.12322213017335049</v>
      </c>
      <c r="C2458" s="37">
        <f t="shared" ca="1" si="115"/>
        <v>3.104846272905351</v>
      </c>
      <c r="D2458" s="36">
        <f t="shared" ca="1" si="117"/>
        <v>0.12361523028156784</v>
      </c>
      <c r="E2458" s="32">
        <v>0.12036549583098743</v>
      </c>
      <c r="F2458" s="35">
        <f t="shared" ca="1" si="116"/>
        <v>2.8566343423630514E-3</v>
      </c>
    </row>
    <row r="2459" spans="1:6" x14ac:dyDescent="0.25">
      <c r="A2459" s="23">
        <v>2458</v>
      </c>
      <c r="B2459" s="7" cm="1">
        <f t="array" aca="1" ref="B2459" ca="1">interpolexp(A2459,serie_du,Taxas_DI)</f>
        <v>0.1232222900722002</v>
      </c>
      <c r="C2459" s="37">
        <f t="shared" ca="1" si="115"/>
        <v>3.1062826133311741</v>
      </c>
      <c r="D2459" s="36">
        <f t="shared" ca="1" si="117"/>
        <v>0.12361523028968091</v>
      </c>
      <c r="E2459" s="32">
        <v>0.12036521252496435</v>
      </c>
      <c r="F2459" s="35">
        <f t="shared" ca="1" si="116"/>
        <v>2.8570775472358534E-3</v>
      </c>
    </row>
    <row r="2460" spans="1:6" x14ac:dyDescent="0.25">
      <c r="A2460" s="23">
        <v>2459</v>
      </c>
      <c r="B2460" s="7" cm="1">
        <f t="array" aca="1" ref="B2460" ca="1">interpolexp(A2460,serie_du,Taxas_DI)</f>
        <v>0.12322244984097619</v>
      </c>
      <c r="C2460" s="37">
        <f t="shared" ca="1" si="115"/>
        <v>3.1077196182247038</v>
      </c>
      <c r="D2460" s="36">
        <f t="shared" ca="1" si="117"/>
        <v>0.12361523018004594</v>
      </c>
      <c r="E2460" s="32">
        <v>0.12036492944935695</v>
      </c>
      <c r="F2460" s="35">
        <f t="shared" ca="1" si="116"/>
        <v>2.8575203916192393E-3</v>
      </c>
    </row>
    <row r="2461" spans="1:6" x14ac:dyDescent="0.25">
      <c r="A2461" s="23">
        <v>2460</v>
      </c>
      <c r="B2461" s="7" cm="1">
        <f t="array" aca="1" ref="B2461" ca="1">interpolexp(A2461,serie_du,Taxas_DI)</f>
        <v>0.12322260947987829</v>
      </c>
      <c r="C2461" s="37">
        <f t="shared" ca="1" si="115"/>
        <v>3.1091572878944462</v>
      </c>
      <c r="D2461" s="36">
        <f t="shared" ca="1" si="117"/>
        <v>0.12361523017206033</v>
      </c>
      <c r="E2461" s="32">
        <v>0.12036464660387658</v>
      </c>
      <c r="F2461" s="35">
        <f t="shared" ca="1" si="116"/>
        <v>2.8579628760017073E-3</v>
      </c>
    </row>
    <row r="2462" spans="1:6" x14ac:dyDescent="0.25">
      <c r="A2462" s="23">
        <v>2461</v>
      </c>
      <c r="B2462" s="7" cm="1">
        <f t="array" aca="1" ref="B2462" ca="1">interpolexp(A2462,serie_du,Taxas_DI)</f>
        <v>0.12322276898901752</v>
      </c>
      <c r="C2462" s="37">
        <f t="shared" ca="1" si="115"/>
        <v>3.1105956226466551</v>
      </c>
      <c r="D2462" s="36">
        <f t="shared" ca="1" si="117"/>
        <v>0.12361523004757125</v>
      </c>
      <c r="E2462" s="32">
        <v>0.12036436398827899</v>
      </c>
      <c r="F2462" s="35">
        <f t="shared" ca="1" si="116"/>
        <v>2.8584050007385287E-3</v>
      </c>
    </row>
    <row r="2463" spans="1:6" x14ac:dyDescent="0.25">
      <c r="A2463" s="23">
        <v>2462</v>
      </c>
      <c r="B2463" s="7" cm="1">
        <f t="array" aca="1" ref="B2463" ca="1">interpolexp(A2463,serie_du,Taxas_DI)</f>
        <v>0.12322292836861592</v>
      </c>
      <c r="C2463" s="37">
        <f t="shared" ca="1" si="115"/>
        <v>3.1120346227907372</v>
      </c>
      <c r="D2463" s="36">
        <f t="shared" ca="1" si="117"/>
        <v>0.12361523008067499</v>
      </c>
      <c r="E2463" s="32">
        <v>0.12036408160225331</v>
      </c>
      <c r="F2463" s="35">
        <f t="shared" ca="1" si="116"/>
        <v>2.8588467663626105E-3</v>
      </c>
    </row>
    <row r="2464" spans="1:6" x14ac:dyDescent="0.25">
      <c r="A2464" s="23">
        <v>2463</v>
      </c>
      <c r="B2464" s="7" cm="1">
        <f t="array" aca="1" ref="B2464" ca="1">interpolexp(A2464,serie_du,Taxas_DI)</f>
        <v>0.12322308761876233</v>
      </c>
      <c r="C2464" s="37">
        <f t="shared" ca="1" si="115"/>
        <v>3.1134742886326428</v>
      </c>
      <c r="D2464" s="36">
        <f t="shared" ca="1" si="117"/>
        <v>0.12361522994386331</v>
      </c>
      <c r="E2464" s="32">
        <v>0.1203637994455331</v>
      </c>
      <c r="F2464" s="35">
        <f t="shared" ca="1" si="116"/>
        <v>2.8592881732292241E-3</v>
      </c>
    </row>
    <row r="2465" spans="1:6" x14ac:dyDescent="0.25">
      <c r="A2465" s="23">
        <v>2464</v>
      </c>
      <c r="B2465" s="7" cm="1">
        <f t="array" aca="1" ref="B2465" ca="1">interpolexp(A2465,serie_du,Taxas_DI)</f>
        <v>0.12322324673965657</v>
      </c>
      <c r="C2465" s="37">
        <f t="shared" ca="1" si="115"/>
        <v>3.114914620481477</v>
      </c>
      <c r="D2465" s="36">
        <f t="shared" ca="1" si="117"/>
        <v>0.12361522991132889</v>
      </c>
      <c r="E2465" s="32">
        <v>0.1203635175178519</v>
      </c>
      <c r="F2465" s="35">
        <f t="shared" ca="1" si="116"/>
        <v>2.8597292218046633E-3</v>
      </c>
    </row>
    <row r="2466" spans="1:6" x14ac:dyDescent="0.25">
      <c r="A2466" s="23">
        <v>2465</v>
      </c>
      <c r="B2466" s="7" cm="1">
        <f t="array" aca="1" ref="B2466" ca="1">interpolexp(A2466,serie_du,Taxas_DI)</f>
        <v>0.12322340573145407</v>
      </c>
      <c r="C2466" s="37">
        <f t="shared" ca="1" si="115"/>
        <v>3.1163556186452919</v>
      </c>
      <c r="D2466" s="36">
        <f t="shared" ca="1" si="117"/>
        <v>0.12361522987409757</v>
      </c>
      <c r="E2466" s="32">
        <v>0.12036323581889885</v>
      </c>
      <c r="F2466" s="35">
        <f t="shared" ca="1" si="116"/>
        <v>2.8601699125552216E-3</v>
      </c>
    </row>
    <row r="2467" spans="1:6" x14ac:dyDescent="0.25">
      <c r="A2467" s="23">
        <v>2466</v>
      </c>
      <c r="B2467" s="7" cm="1">
        <f t="array" aca="1" ref="B2467" ca="1">interpolexp(A2467,serie_du,Taxas_DI)</f>
        <v>0.12322356459431028</v>
      </c>
      <c r="C2467" s="37">
        <f t="shared" ca="1" si="115"/>
        <v>3.1177972834322896</v>
      </c>
      <c r="D2467" s="36">
        <f t="shared" ca="1" si="117"/>
        <v>0.1236152298330222</v>
      </c>
      <c r="E2467" s="32">
        <v>0.12036295434840749</v>
      </c>
      <c r="F2467" s="35">
        <f t="shared" ca="1" si="116"/>
        <v>2.8606102459027838E-3</v>
      </c>
    </row>
    <row r="2468" spans="1:6" x14ac:dyDescent="0.25">
      <c r="A2468" s="23">
        <v>2467</v>
      </c>
      <c r="B2468" s="7" cm="1">
        <f t="array" aca="1" ref="B2468" ca="1">interpolexp(A2468,serie_du,Taxas_DI)</f>
        <v>0.12322372332838061</v>
      </c>
      <c r="C2468" s="37">
        <f t="shared" ca="1" si="115"/>
        <v>3.1192396151508213</v>
      </c>
      <c r="D2468" s="36">
        <f t="shared" ca="1" si="117"/>
        <v>0.12361522978857953</v>
      </c>
      <c r="E2468" s="32">
        <v>0.12036267310613358</v>
      </c>
      <c r="F2468" s="35">
        <f t="shared" ca="1" si="116"/>
        <v>2.8610502222470302E-3</v>
      </c>
    </row>
    <row r="2469" spans="1:6" x14ac:dyDescent="0.25">
      <c r="A2469" s="23">
        <v>2468</v>
      </c>
      <c r="B2469" s="7" cm="1">
        <f t="array" aca="1" ref="B2469" ca="1">interpolexp(A2469,serie_du,Taxas_DI)</f>
        <v>0.1232238819337983</v>
      </c>
      <c r="C2469" s="37">
        <f t="shared" ca="1" si="115"/>
        <v>3.1206826141087842</v>
      </c>
      <c r="D2469" s="36">
        <f t="shared" ca="1" si="117"/>
        <v>0.12361522968672478</v>
      </c>
      <c r="E2469" s="32">
        <v>0.12036239209174404</v>
      </c>
      <c r="F2469" s="35">
        <f t="shared" ca="1" si="116"/>
        <v>2.8614898420542545E-3</v>
      </c>
    </row>
    <row r="2470" spans="1:6" x14ac:dyDescent="0.25">
      <c r="A2470" s="23">
        <v>2469</v>
      </c>
      <c r="B2470" s="7" cm="1">
        <f t="array" aca="1" ref="B2470" ca="1">interpolexp(A2470,serie_du,Taxas_DI)</f>
        <v>0.12322404041074098</v>
      </c>
      <c r="C2470" s="37">
        <f t="shared" ca="1" si="115"/>
        <v>3.1221262806154302</v>
      </c>
      <c r="D2470" s="36">
        <f t="shared" ca="1" si="117"/>
        <v>0.12361522963745619</v>
      </c>
      <c r="E2470" s="32">
        <v>0.12036211130499463</v>
      </c>
      <c r="F2470" s="35">
        <f t="shared" ca="1" si="116"/>
        <v>2.8619291057463414E-3</v>
      </c>
    </row>
    <row r="2471" spans="1:6" x14ac:dyDescent="0.25">
      <c r="A2471" s="23">
        <v>2470</v>
      </c>
      <c r="B2471" s="7" cm="1">
        <f t="array" aca="1" ref="B2471" ca="1">interpolexp(A2471,serie_du,Taxas_DI)</f>
        <v>0.12322419875936408</v>
      </c>
      <c r="C2471" s="37">
        <f t="shared" ca="1" si="115"/>
        <v>3.123570614979561</v>
      </c>
      <c r="D2471" s="36">
        <f t="shared" ca="1" si="117"/>
        <v>0.123615229586862</v>
      </c>
      <c r="E2471" s="32">
        <v>0.1203618307456189</v>
      </c>
      <c r="F2471" s="35">
        <f t="shared" ca="1" si="116"/>
        <v>2.8623680137451757E-3</v>
      </c>
    </row>
    <row r="2472" spans="1:6" x14ac:dyDescent="0.25">
      <c r="A2472" s="23">
        <v>2471</v>
      </c>
      <c r="B2472" s="7" cm="1">
        <f t="array" aca="1" ref="B2472" ca="1">interpolexp(A2472,serie_du,Taxas_DI)</f>
        <v>0.12322435697982304</v>
      </c>
      <c r="C2472" s="37">
        <f t="shared" ca="1" si="115"/>
        <v>3.1250156175101238</v>
      </c>
      <c r="D2472" s="36">
        <f t="shared" ca="1" si="117"/>
        <v>0.12361522953526283</v>
      </c>
      <c r="E2472" s="32">
        <v>0.12036155041330598</v>
      </c>
      <c r="F2472" s="35">
        <f t="shared" ca="1" si="116"/>
        <v>2.862806566517051E-3</v>
      </c>
    </row>
    <row r="2473" spans="1:6" x14ac:dyDescent="0.25">
      <c r="A2473" s="23">
        <v>2472</v>
      </c>
      <c r="B2473" s="7" cm="1">
        <f t="array" aca="1" ref="B2473" ca="1">interpolexp(A2473,serie_du,Taxas_DI)</f>
        <v>0.12322451507229548</v>
      </c>
      <c r="C2473" s="37">
        <f t="shared" ca="1" si="115"/>
        <v>3.1264612885168277</v>
      </c>
      <c r="D2473" s="36">
        <f t="shared" ca="1" si="117"/>
        <v>0.12361522953871407</v>
      </c>
      <c r="E2473" s="32">
        <v>0.12036127030781163</v>
      </c>
      <c r="F2473" s="35">
        <f t="shared" ca="1" si="116"/>
        <v>2.8632447644838521E-3</v>
      </c>
    </row>
    <row r="2474" spans="1:6" x14ac:dyDescent="0.25">
      <c r="A2474" s="23">
        <v>2473</v>
      </c>
      <c r="B2474" s="7" cm="1">
        <f t="array" aca="1" ref="B2474" ca="1">interpolexp(A2474,serie_du,Taxas_DI)</f>
        <v>0.12322467303689244</v>
      </c>
      <c r="C2474" s="37">
        <f t="shared" ca="1" si="115"/>
        <v>3.1279076283077063</v>
      </c>
      <c r="D2474" s="36">
        <f t="shared" ca="1" si="117"/>
        <v>0.12361522943238912</v>
      </c>
      <c r="E2474" s="32">
        <v>0.12036099042884718</v>
      </c>
      <c r="F2474" s="35">
        <f t="shared" ca="1" si="116"/>
        <v>2.8636826080452593E-3</v>
      </c>
    </row>
    <row r="2475" spans="1:6" x14ac:dyDescent="0.25">
      <c r="A2475" s="23">
        <v>2474</v>
      </c>
      <c r="B2475" s="7" cm="1">
        <f t="array" aca="1" ref="B2475" ca="1">interpolexp(A2475,serie_du,Taxas_DI)</f>
        <v>0.12322483087379155</v>
      </c>
      <c r="C2475" s="37">
        <f t="shared" ca="1" si="115"/>
        <v>3.1293546371927672</v>
      </c>
      <c r="D2475" s="36">
        <f t="shared" ca="1" si="117"/>
        <v>0.12361522938229452</v>
      </c>
      <c r="E2475" s="32">
        <v>0.12036071077614618</v>
      </c>
      <c r="F2475" s="35">
        <f t="shared" ca="1" si="116"/>
        <v>2.8641200976453618E-3</v>
      </c>
    </row>
    <row r="2476" spans="1:6" x14ac:dyDescent="0.25">
      <c r="A2476" s="23">
        <v>2475</v>
      </c>
      <c r="B2476" s="7" cm="1">
        <f t="array" aca="1" ref="B2476" ca="1">interpolexp(A2476,serie_du,Taxas_DI)</f>
        <v>0.12322498858314823</v>
      </c>
      <c r="C2476" s="37">
        <f t="shared" ca="1" si="115"/>
        <v>3.1308023154815574</v>
      </c>
      <c r="D2476" s="36">
        <f t="shared" ca="1" si="117"/>
        <v>0.12361522933365476</v>
      </c>
      <c r="E2476" s="32">
        <v>0.12036043134941998</v>
      </c>
      <c r="F2476" s="35">
        <f t="shared" ca="1" si="116"/>
        <v>2.8645572337282488E-3</v>
      </c>
    </row>
    <row r="2477" spans="1:6" x14ac:dyDescent="0.25">
      <c r="A2477" s="23">
        <v>2476</v>
      </c>
      <c r="B2477" s="7" cm="1">
        <f t="array" aca="1" ref="B2477" ca="1">interpolexp(A2477,serie_du,Taxas_DI)</f>
        <v>0.12322514616509572</v>
      </c>
      <c r="C2477" s="37">
        <f t="shared" ca="1" si="115"/>
        <v>3.1322506634831702</v>
      </c>
      <c r="D2477" s="36">
        <f t="shared" ca="1" si="117"/>
        <v>0.12361522923255364</v>
      </c>
      <c r="E2477" s="32">
        <v>0.12036015214840212</v>
      </c>
      <c r="F2477" s="35">
        <f t="shared" ca="1" si="116"/>
        <v>2.8649940166936005E-3</v>
      </c>
    </row>
    <row r="2478" spans="1:6" x14ac:dyDescent="0.25">
      <c r="A2478" s="23">
        <v>2477</v>
      </c>
      <c r="B2478" s="7" cm="1">
        <f t="array" aca="1" ref="B2478" ca="1">interpolexp(A2478,serie_du,Taxas_DI)</f>
        <v>0.12322530361983386</v>
      </c>
      <c r="C2478" s="37">
        <f t="shared" ca="1" si="115"/>
        <v>3.1336996815086691</v>
      </c>
      <c r="D2478" s="36">
        <f t="shared" ca="1" si="117"/>
        <v>0.12361522924410284</v>
      </c>
      <c r="E2478" s="32">
        <v>0.12035987317282615</v>
      </c>
      <c r="F2478" s="35">
        <f t="shared" ca="1" si="116"/>
        <v>2.8654304470077108E-3</v>
      </c>
    </row>
    <row r="2479" spans="1:6" x14ac:dyDescent="0.25">
      <c r="A2479" s="23">
        <v>2478</v>
      </c>
      <c r="B2479" s="7" cm="1">
        <f t="array" aca="1" ref="B2479" ca="1">interpolexp(A2479,serie_du,Taxas_DI)</f>
        <v>0.12322546094747366</v>
      </c>
      <c r="C2479" s="37">
        <f t="shared" ca="1" si="115"/>
        <v>3.1351493698668382</v>
      </c>
      <c r="D2479" s="36">
        <f t="shared" ca="1" si="117"/>
        <v>0.1236152291492969</v>
      </c>
      <c r="E2479" s="32">
        <v>0.1203595944224034</v>
      </c>
      <c r="F2479" s="35">
        <f t="shared" ca="1" si="116"/>
        <v>2.8658665250702597E-3</v>
      </c>
    </row>
    <row r="2480" spans="1:6" x14ac:dyDescent="0.25">
      <c r="A2480" s="23">
        <v>2479</v>
      </c>
      <c r="B2480" s="7" cm="1">
        <f t="array" aca="1" ref="B2480" ca="1">interpolexp(A2480,serie_du,Taxas_DI)</f>
        <v>0.12322561814819277</v>
      </c>
      <c r="C2480" s="37">
        <f t="shared" ca="1" si="115"/>
        <v>3.1365997288684344</v>
      </c>
      <c r="D2480" s="36">
        <f t="shared" ca="1" si="117"/>
        <v>0.12361522911352174</v>
      </c>
      <c r="E2480" s="32">
        <v>0.12035931589686744</v>
      </c>
      <c r="F2480" s="35">
        <f t="shared" ca="1" si="116"/>
        <v>2.8663022513253367E-3</v>
      </c>
    </row>
    <row r="2481" spans="1:6" x14ac:dyDescent="0.25">
      <c r="A2481" s="23">
        <v>2480</v>
      </c>
      <c r="B2481" s="7" cm="1">
        <f t="array" aca="1" ref="B2481" ca="1">interpolexp(A2481,serie_du,Taxas_DI)</f>
        <v>0.12322577522212441</v>
      </c>
      <c r="C2481" s="37">
        <f t="shared" ca="1" si="115"/>
        <v>3.1380507588231494</v>
      </c>
      <c r="D2481" s="36">
        <f t="shared" ca="1" si="117"/>
        <v>0.12361522902762734</v>
      </c>
      <c r="E2481" s="32">
        <v>0.12035903759595179</v>
      </c>
      <c r="F2481" s="35">
        <f t="shared" ca="1" si="116"/>
        <v>2.8667376261726218E-3</v>
      </c>
    </row>
    <row r="2482" spans="1:6" x14ac:dyDescent="0.25">
      <c r="A2482" s="23">
        <v>2481</v>
      </c>
      <c r="B2482" s="7" cm="1">
        <f t="array" aca="1" ref="B2482" ca="1">interpolexp(A2482,serie_du,Taxas_DI)</f>
        <v>0.12322593216944622</v>
      </c>
      <c r="C2482" s="37">
        <f t="shared" ca="1" si="115"/>
        <v>3.1395024600420416</v>
      </c>
      <c r="D2482" s="36">
        <f t="shared" ca="1" si="117"/>
        <v>0.12361522900193078</v>
      </c>
      <c r="E2482" s="32">
        <v>0.12035875951939001</v>
      </c>
      <c r="F2482" s="35">
        <f t="shared" ca="1" si="116"/>
        <v>2.8671726500562045E-3</v>
      </c>
    </row>
    <row r="2483" spans="1:6" x14ac:dyDescent="0.25">
      <c r="A2483" s="23">
        <v>2482</v>
      </c>
      <c r="B2483" s="7" cm="1">
        <f t="array" aca="1" ref="B2483" ca="1">interpolexp(A2483,serie_du,Taxas_DI)</f>
        <v>0.12322608899031362</v>
      </c>
      <c r="C2483" s="37">
        <f t="shared" ca="1" si="115"/>
        <v>3.1409548328357149</v>
      </c>
      <c r="D2483" s="36">
        <f t="shared" ca="1" si="117"/>
        <v>0.12361522898242261</v>
      </c>
      <c r="E2483" s="32">
        <v>0.12035848166689345</v>
      </c>
      <c r="F2483" s="35">
        <f t="shared" ca="1" si="116"/>
        <v>2.8676073234201738E-3</v>
      </c>
    </row>
    <row r="2484" spans="1:6" x14ac:dyDescent="0.25">
      <c r="A2484" s="23">
        <v>2483</v>
      </c>
      <c r="B2484" s="7" cm="1">
        <f t="array" aca="1" ref="B2484" ca="1">interpolexp(A2484,serie_du,Taxas_DI)</f>
        <v>0.12322624568483764</v>
      </c>
      <c r="C2484" s="37">
        <f t="shared" ca="1" si="115"/>
        <v>3.1424078775136959</v>
      </c>
      <c r="D2484" s="36">
        <f t="shared" ca="1" si="117"/>
        <v>0.12361522885918985</v>
      </c>
      <c r="E2484" s="32">
        <v>0.12035820403821784</v>
      </c>
      <c r="F2484" s="35">
        <f t="shared" ca="1" si="116"/>
        <v>2.8680416466198011E-3</v>
      </c>
    </row>
    <row r="2485" spans="1:6" x14ac:dyDescent="0.25">
      <c r="A2485" s="23">
        <v>2484</v>
      </c>
      <c r="B2485" s="7" cm="1">
        <f t="array" aca="1" ref="B2485" ca="1">interpolexp(A2485,serie_du,Taxas_DI)</f>
        <v>0.12322640225321813</v>
      </c>
      <c r="C2485" s="37">
        <f t="shared" ca="1" si="115"/>
        <v>3.143861594388111</v>
      </c>
      <c r="D2485" s="36">
        <f t="shared" ca="1" si="117"/>
        <v>0.12361522885346377</v>
      </c>
      <c r="E2485" s="32">
        <v>0.12035792663307454</v>
      </c>
      <c r="F2485" s="35">
        <f t="shared" ca="1" si="116"/>
        <v>2.8684756201435846E-3</v>
      </c>
    </row>
    <row r="2486" spans="1:6" x14ac:dyDescent="0.25">
      <c r="A2486" s="23">
        <v>2485</v>
      </c>
      <c r="B2486" s="7" cm="1">
        <f t="array" aca="1" ref="B2486" ca="1">interpolexp(A2486,serie_du,Taxas_DI)</f>
        <v>0.1232265586955883</v>
      </c>
      <c r="C2486" s="37">
        <f t="shared" ca="1" si="115"/>
        <v>3.1453159837693994</v>
      </c>
      <c r="D2486" s="36">
        <f t="shared" ca="1" si="117"/>
        <v>0.12361522880038556</v>
      </c>
      <c r="E2486" s="32">
        <v>0.12035764945119709</v>
      </c>
      <c r="F2486" s="35">
        <f t="shared" ca="1" si="116"/>
        <v>2.8689092443912045E-3</v>
      </c>
    </row>
    <row r="2487" spans="1:6" x14ac:dyDescent="0.25">
      <c r="A2487" s="23">
        <v>2486</v>
      </c>
      <c r="B2487" s="7" cm="1">
        <f t="array" aca="1" ref="B2487" ca="1">interpolexp(A2487,serie_du,Taxas_DI)</f>
        <v>0.12322671501208138</v>
      </c>
      <c r="C2487" s="37">
        <f t="shared" ca="1" si="115"/>
        <v>3.1467710459681517</v>
      </c>
      <c r="D2487" s="36">
        <f t="shared" ca="1" si="117"/>
        <v>0.12361522870057517</v>
      </c>
      <c r="E2487" s="32">
        <v>0.12035737249229683</v>
      </c>
      <c r="F2487" s="35">
        <f t="shared" ca="1" si="116"/>
        <v>2.8693425197845457E-3</v>
      </c>
    </row>
    <row r="2488" spans="1:6" x14ac:dyDescent="0.25">
      <c r="A2488" s="23">
        <v>2487</v>
      </c>
      <c r="B2488" s="7" cm="1">
        <f t="array" aca="1" ref="B2488" ca="1">interpolexp(A2488,serie_du,Taxas_DI)</f>
        <v>0.12322687120289721</v>
      </c>
      <c r="C2488" s="37">
        <f t="shared" ca="1" si="115"/>
        <v>3.1482267812969491</v>
      </c>
      <c r="D2488" s="36">
        <f t="shared" ca="1" si="117"/>
        <v>0.12361522872016728</v>
      </c>
      <c r="E2488" s="32">
        <v>0.12035709575612952</v>
      </c>
      <c r="F2488" s="35">
        <f t="shared" ca="1" si="116"/>
        <v>2.8697754467676972E-3</v>
      </c>
    </row>
    <row r="2489" spans="1:6" x14ac:dyDescent="0.25">
      <c r="A2489" s="23">
        <v>2488</v>
      </c>
      <c r="B2489" s="7" cm="1">
        <f t="array" aca="1" ref="B2489" ca="1">interpolexp(A2489,serie_du,Taxas_DI)</f>
        <v>0.12322702726814683</v>
      </c>
      <c r="C2489" s="37">
        <f t="shared" ca="1" si="115"/>
        <v>3.1496831900660691</v>
      </c>
      <c r="D2489" s="36">
        <f t="shared" ca="1" si="117"/>
        <v>0.12361522863911811</v>
      </c>
      <c r="E2489" s="32">
        <v>0.12035681924242869</v>
      </c>
      <c r="F2489" s="35">
        <f t="shared" ca="1" si="116"/>
        <v>2.870208025718135E-3</v>
      </c>
    </row>
    <row r="2490" spans="1:6" x14ac:dyDescent="0.25">
      <c r="A2490" s="23">
        <v>2489</v>
      </c>
      <c r="B2490" s="7" cm="1">
        <f t="array" aca="1" ref="B2490" ca="1">interpolexp(A2490,serie_du,Taxas_DI)</f>
        <v>0.12322718320798565</v>
      </c>
      <c r="C2490" s="37">
        <f t="shared" ca="1" si="115"/>
        <v>3.151140272587166</v>
      </c>
      <c r="D2490" s="36">
        <f t="shared" ca="1" si="117"/>
        <v>0.12361522856817908</v>
      </c>
      <c r="E2490" s="32">
        <v>0.1203565429509057</v>
      </c>
      <c r="F2490" s="35">
        <f t="shared" ca="1" si="116"/>
        <v>2.8706402570799483E-3</v>
      </c>
    </row>
    <row r="2491" spans="1:6" x14ac:dyDescent="0.25">
      <c r="A2491" s="23">
        <v>2490</v>
      </c>
      <c r="B2491" s="7" cm="1">
        <f t="array" aca="1" ref="B2491" ca="1">interpolexp(A2491,serie_du,Taxas_DI)</f>
        <v>0.1232273390225691</v>
      </c>
      <c r="C2491" s="37">
        <f t="shared" ca="1" si="115"/>
        <v>3.1525980291720463</v>
      </c>
      <c r="D2491" s="36">
        <f t="shared" ca="1" si="117"/>
        <v>0.12361522850814488</v>
      </c>
      <c r="E2491" s="32">
        <v>0.12035626688131629</v>
      </c>
      <c r="F2491" s="35">
        <f t="shared" ca="1" si="116"/>
        <v>2.8710721412528173E-3</v>
      </c>
    </row>
    <row r="2492" spans="1:6" x14ac:dyDescent="0.25">
      <c r="A2492" s="23">
        <v>2491</v>
      </c>
      <c r="B2492" s="7" cm="1">
        <f t="array" aca="1" ref="B2492" ca="1">interpolexp(A2492,serie_du,Taxas_DI)</f>
        <v>0.12322749471205263</v>
      </c>
      <c r="C2492" s="37">
        <f t="shared" ca="1" si="115"/>
        <v>3.1540564601326682</v>
      </c>
      <c r="D2492" s="36">
        <f t="shared" ca="1" si="117"/>
        <v>0.12361522845965434</v>
      </c>
      <c r="E2492" s="32">
        <v>0.1203559910333718</v>
      </c>
      <c r="F2492" s="35">
        <f t="shared" ca="1" si="116"/>
        <v>2.8715036786808312E-3</v>
      </c>
    </row>
    <row r="2493" spans="1:6" x14ac:dyDescent="0.25">
      <c r="A2493" s="23">
        <v>2492</v>
      </c>
      <c r="B2493" s="7" cm="1">
        <f t="array" aca="1" ref="B2493" ca="1">interpolexp(A2493,serie_du,Taxas_DI)</f>
        <v>0.12322765027659166</v>
      </c>
      <c r="C2493" s="37">
        <f t="shared" ca="1" si="115"/>
        <v>3.15551556578114</v>
      </c>
      <c r="D2493" s="36">
        <f t="shared" ca="1" si="117"/>
        <v>0.12361522842319261</v>
      </c>
      <c r="E2493" s="32">
        <v>0.12035571540682799</v>
      </c>
      <c r="F2493" s="35">
        <f t="shared" ca="1" si="116"/>
        <v>2.8719348697636704E-3</v>
      </c>
    </row>
    <row r="2494" spans="1:6" x14ac:dyDescent="0.25">
      <c r="A2494" s="23">
        <v>2493</v>
      </c>
      <c r="B2494" s="7" cm="1">
        <f t="array" aca="1" ref="B2494" ca="1">interpolexp(A2494,serie_du,Taxas_DI)</f>
        <v>0.12322780571631942</v>
      </c>
      <c r="C2494" s="37">
        <f t="shared" ca="1" si="115"/>
        <v>3.1569753464291042</v>
      </c>
      <c r="D2494" s="36">
        <f t="shared" ca="1" si="117"/>
        <v>0.12361522834401439</v>
      </c>
      <c r="E2494" s="32">
        <v>0.1203554400013962</v>
      </c>
      <c r="F2494" s="35">
        <f t="shared" ca="1" si="116"/>
        <v>2.8723657149232196E-3</v>
      </c>
    </row>
    <row r="2495" spans="1:6" x14ac:dyDescent="0.25">
      <c r="A2495" s="23">
        <v>2494</v>
      </c>
      <c r="B2495" s="7" cm="1">
        <f t="array" aca="1" ref="B2495" ca="1">interpolexp(A2495,serie_du,Taxas_DI)</f>
        <v>0.12322796103141354</v>
      </c>
      <c r="C2495" s="37">
        <f t="shared" ca="1" si="115"/>
        <v>3.1584358023895907</v>
      </c>
      <c r="D2495" s="36">
        <f t="shared" ca="1" si="117"/>
        <v>0.12361522833365512</v>
      </c>
      <c r="E2495" s="32">
        <v>0.12035516481680997</v>
      </c>
      <c r="F2495" s="35">
        <f t="shared" ca="1" si="116"/>
        <v>2.8727962146035679E-3</v>
      </c>
    </row>
    <row r="2496" spans="1:6" x14ac:dyDescent="0.25">
      <c r="A2496" s="23">
        <v>2495</v>
      </c>
      <c r="B2496" s="7" cm="1">
        <f t="array" aca="1" ref="B2496" ca="1">interpolexp(A2496,serie_du,Taxas_DI)</f>
        <v>0.12322811622198504</v>
      </c>
      <c r="C2496" s="37">
        <f t="shared" ca="1" si="115"/>
        <v>3.1598969339739247</v>
      </c>
      <c r="D2496" s="36">
        <f t="shared" ca="1" si="117"/>
        <v>0.12361522822629722</v>
      </c>
      <c r="E2496" s="32">
        <v>0.12035488985282505</v>
      </c>
      <c r="F2496" s="35">
        <f t="shared" ca="1" si="116"/>
        <v>2.8732263691599869E-3</v>
      </c>
    </row>
    <row r="2497" spans="1:6" x14ac:dyDescent="0.25">
      <c r="A2497" s="23">
        <v>2496</v>
      </c>
      <c r="B2497" s="7" cm="1">
        <f t="array" aca="1" ref="B2497" ca="1">interpolexp(A2497,serie_du,Taxas_DI)</f>
        <v>0.12322827128821157</v>
      </c>
      <c r="C2497" s="37">
        <f t="shared" ca="1" si="115"/>
        <v>3.1613587414954392</v>
      </c>
      <c r="D2497" s="36">
        <f t="shared" ca="1" si="117"/>
        <v>0.1236152281889884</v>
      </c>
      <c r="E2497" s="32">
        <v>0.1203546151091528</v>
      </c>
      <c r="F2497" s="35">
        <f t="shared" ca="1" si="116"/>
        <v>2.87365617905877E-3</v>
      </c>
    </row>
    <row r="2498" spans="1:6" x14ac:dyDescent="0.25">
      <c r="A2498" s="23">
        <v>2497</v>
      </c>
      <c r="B2498" s="7" cm="1">
        <f t="array" aca="1" ref="B2498" ca="1">interpolexp(A2498,serie_du,Taxas_DI)</f>
        <v>0.12322842623024854</v>
      </c>
      <c r="C2498" s="37">
        <f t="shared" ref="C2498:C2561" ca="1" si="118">(1+B2498)^(A2498/252)</f>
        <v>3.1628212252669985</v>
      </c>
      <c r="D2498" s="36">
        <f t="shared" ca="1" si="117"/>
        <v>0.12361522816666559</v>
      </c>
      <c r="E2498" s="32">
        <v>0.12035434058554895</v>
      </c>
      <c r="F2498" s="35">
        <f t="shared" ref="F2498:F2561" ca="1" si="119">B2498-E2498</f>
        <v>2.8740856446995977E-3</v>
      </c>
    </row>
    <row r="2499" spans="1:6" x14ac:dyDescent="0.25">
      <c r="A2499" s="23">
        <v>2498</v>
      </c>
      <c r="B2499" s="7" cm="1">
        <f t="array" aca="1" ref="B2499" ca="1">interpolexp(A2499,serie_du,Taxas_DI)</f>
        <v>0.1232285810482292</v>
      </c>
      <c r="C2499" s="37">
        <f t="shared" ca="1" si="118"/>
        <v>3.1642843856010008</v>
      </c>
      <c r="D2499" s="36">
        <f t="shared" ca="1" si="117"/>
        <v>0.12361522810475156</v>
      </c>
      <c r="E2499" s="32">
        <v>0.12035406628174705</v>
      </c>
      <c r="F2499" s="35">
        <f t="shared" ca="1" si="119"/>
        <v>2.8745147664821502E-3</v>
      </c>
    </row>
    <row r="2500" spans="1:6" x14ac:dyDescent="0.25">
      <c r="A2500" s="23">
        <v>2499</v>
      </c>
      <c r="B2500" s="7" cm="1">
        <f t="array" aca="1" ref="B2500" ca="1">interpolexp(A2500,serie_du,Taxas_DI)</f>
        <v>0.12322873574230897</v>
      </c>
      <c r="C2500" s="37">
        <f t="shared" ca="1" si="118"/>
        <v>3.1657482228106133</v>
      </c>
      <c r="D2500" s="36">
        <f t="shared" ref="D2500:D2563" ca="1" si="120">((((1+B2500)^(A2500/252))/((1+B2499)^(A2499/252)))^(252/1))-1</f>
        <v>0.12361522805903391</v>
      </c>
      <c r="E2500" s="32">
        <v>0.12035379219748066</v>
      </c>
      <c r="F2500" s="35">
        <f t="shared" ca="1" si="119"/>
        <v>2.8749435448283123E-3</v>
      </c>
    </row>
    <row r="2501" spans="1:6" x14ac:dyDescent="0.25">
      <c r="A2501" s="23">
        <v>2500</v>
      </c>
      <c r="B2501" s="7" cm="1">
        <f t="array" aca="1" ref="B2501" ca="1">interpolexp(A2501,serie_du,Taxas_DI)</f>
        <v>0.12322889031262108</v>
      </c>
      <c r="C2501" s="37">
        <f t="shared" ca="1" si="118"/>
        <v>3.167212737208537</v>
      </c>
      <c r="D2501" s="36">
        <f t="shared" ca="1" si="120"/>
        <v>0.12361522797492208</v>
      </c>
      <c r="E2501" s="32">
        <v>0.12035351833246111</v>
      </c>
      <c r="F2501" s="35">
        <f t="shared" ca="1" si="119"/>
        <v>2.8753719801599686E-3</v>
      </c>
    </row>
    <row r="2502" spans="1:6" x14ac:dyDescent="0.25">
      <c r="A2502" s="23">
        <v>2501</v>
      </c>
      <c r="B2502" s="7" cm="1">
        <f t="array" aca="1" ref="B2502" ca="1">interpolexp(A2502,serie_du,Taxas_DI)</f>
        <v>0.12322904475932095</v>
      </c>
      <c r="C2502" s="37">
        <f t="shared" ca="1" si="118"/>
        <v>3.1686779291082408</v>
      </c>
      <c r="D2502" s="36">
        <f t="shared" ca="1" si="120"/>
        <v>0.12361522790812574</v>
      </c>
      <c r="E2502" s="32">
        <v>0.12035324468646635</v>
      </c>
      <c r="F2502" s="35">
        <f t="shared" ca="1" si="119"/>
        <v>2.8758000728545952E-3</v>
      </c>
    </row>
    <row r="2503" spans="1:6" x14ac:dyDescent="0.25">
      <c r="A2503" s="23">
        <v>2502</v>
      </c>
      <c r="B2503" s="7" cm="1">
        <f t="array" aca="1" ref="B2503" ca="1">interpolexp(A2503,serie_du,Taxas_DI)</f>
        <v>0.12322919908258623</v>
      </c>
      <c r="C2503" s="37">
        <f t="shared" ca="1" si="118"/>
        <v>3.1701437988239705</v>
      </c>
      <c r="D2503" s="36">
        <f t="shared" ca="1" si="120"/>
        <v>0.12361522791518165</v>
      </c>
      <c r="E2503" s="32">
        <v>0.12035297125920774</v>
      </c>
      <c r="F2503" s="35">
        <f t="shared" ca="1" si="119"/>
        <v>2.8762278233784855E-3</v>
      </c>
    </row>
    <row r="2504" spans="1:6" x14ac:dyDescent="0.25">
      <c r="A2504" s="23">
        <v>2503</v>
      </c>
      <c r="B2504" s="7" cm="1">
        <f t="array" aca="1" ref="B2504" ca="1">interpolexp(A2504,serie_du,Taxas_DI)</f>
        <v>0.12322935328252793</v>
      </c>
      <c r="C2504" s="37">
        <f t="shared" ca="1" si="118"/>
        <v>3.1716103466682566</v>
      </c>
      <c r="D2504" s="36">
        <f t="shared" ca="1" si="120"/>
        <v>0.12361522782963053</v>
      </c>
      <c r="E2504" s="32">
        <v>0.12035269805041882</v>
      </c>
      <c r="F2504" s="35">
        <f t="shared" ca="1" si="119"/>
        <v>2.8766552321091154E-3</v>
      </c>
    </row>
    <row r="2505" spans="1:6" x14ac:dyDescent="0.25">
      <c r="A2505" s="23">
        <v>2504</v>
      </c>
      <c r="B2505" s="7" cm="1">
        <f t="array" aca="1" ref="B2505" ca="1">interpolexp(A2505,serie_du,Taxas_DI)</f>
        <v>0.12322950735930149</v>
      </c>
      <c r="C2505" s="37">
        <f t="shared" ca="1" si="118"/>
        <v>3.1730775729550267</v>
      </c>
      <c r="D2505" s="36">
        <f t="shared" ca="1" si="120"/>
        <v>0.12361522776364575</v>
      </c>
      <c r="E2505" s="32">
        <v>0.12035242505985533</v>
      </c>
      <c r="F2505" s="35">
        <f t="shared" ca="1" si="119"/>
        <v>2.8770822994461653E-3</v>
      </c>
    </row>
    <row r="2506" spans="1:6" x14ac:dyDescent="0.25">
      <c r="A2506" s="23">
        <v>2505</v>
      </c>
      <c r="B2506" s="7" cm="1">
        <f t="array" aca="1" ref="B2506" ca="1">interpolexp(A2506,serie_du,Taxas_DI)</f>
        <v>0.12322966131306234</v>
      </c>
      <c r="C2506" s="37">
        <f t="shared" ca="1" si="118"/>
        <v>3.174545477998358</v>
      </c>
      <c r="D2506" s="36">
        <f t="shared" ca="1" si="120"/>
        <v>0.12361522771740918</v>
      </c>
      <c r="E2506" s="32">
        <v>0.12035215228725082</v>
      </c>
      <c r="F2506" s="35">
        <f t="shared" ca="1" si="119"/>
        <v>2.8775090258115199E-3</v>
      </c>
    </row>
    <row r="2507" spans="1:6" x14ac:dyDescent="0.25">
      <c r="A2507" s="23">
        <v>2506</v>
      </c>
      <c r="B2507" s="7" cm="1">
        <f t="array" aca="1" ref="B2507" ca="1">interpolexp(A2507,serie_du,Taxas_DI)</f>
        <v>0.12322981514396592</v>
      </c>
      <c r="C2507" s="37">
        <f t="shared" ca="1" si="118"/>
        <v>3.1760140621124826</v>
      </c>
      <c r="D2507" s="36">
        <f t="shared" ca="1" si="120"/>
        <v>0.12361522769175881</v>
      </c>
      <c r="E2507" s="32">
        <v>0.12035187973236106</v>
      </c>
      <c r="F2507" s="35">
        <f t="shared" ca="1" si="119"/>
        <v>2.8779354116048594E-3</v>
      </c>
    </row>
    <row r="2508" spans="1:6" x14ac:dyDescent="0.25">
      <c r="A2508" s="23">
        <v>2507</v>
      </c>
      <c r="B2508" s="7" cm="1">
        <f t="array" aca="1" ref="B2508" ca="1">interpolexp(A2508,serie_du,Taxas_DI)</f>
        <v>0.12322996885214543</v>
      </c>
      <c r="C2508" s="37">
        <f t="shared" ca="1" si="118"/>
        <v>3.1774833256111581</v>
      </c>
      <c r="D2508" s="36">
        <f t="shared" ca="1" si="120"/>
        <v>0.12361522763147526</v>
      </c>
      <c r="E2508" s="32">
        <v>0.12035160739487516</v>
      </c>
      <c r="F2508" s="35">
        <f t="shared" ca="1" si="119"/>
        <v>2.8783614572702731E-3</v>
      </c>
    </row>
    <row r="2509" spans="1:6" x14ac:dyDescent="0.25">
      <c r="A2509" s="23">
        <v>2508</v>
      </c>
      <c r="B2509" s="7" cm="1">
        <f t="array" aca="1" ref="B2509" ca="1">interpolexp(A2509,serie_du,Taxas_DI)</f>
        <v>0.12323012243775633</v>
      </c>
      <c r="C2509" s="37">
        <f t="shared" ca="1" si="118"/>
        <v>3.1789532688089213</v>
      </c>
      <c r="D2509" s="36">
        <f t="shared" ca="1" si="120"/>
        <v>0.1236152275931659</v>
      </c>
      <c r="E2509" s="32">
        <v>0.1203513352745933</v>
      </c>
      <c r="F2509" s="35">
        <f t="shared" ca="1" si="119"/>
        <v>2.8787871631630324E-3</v>
      </c>
    </row>
    <row r="2510" spans="1:6" x14ac:dyDescent="0.25">
      <c r="A2510" s="23">
        <v>2509</v>
      </c>
      <c r="B2510" s="7" cm="1">
        <f t="array" aca="1" ref="B2510" ca="1">interpolexp(A2510,serie_du,Taxas_DI)</f>
        <v>0.12323027590093183</v>
      </c>
      <c r="C2510" s="37">
        <f t="shared" ca="1" si="118"/>
        <v>3.1804238920198329</v>
      </c>
      <c r="D2510" s="36">
        <f t="shared" ca="1" si="120"/>
        <v>0.12361522752134091</v>
      </c>
      <c r="E2510" s="32">
        <v>0.1203510633712046</v>
      </c>
      <c r="F2510" s="35">
        <f t="shared" ca="1" si="119"/>
        <v>2.8792125297272264E-3</v>
      </c>
    </row>
    <row r="2511" spans="1:6" x14ac:dyDescent="0.25">
      <c r="A2511" s="23">
        <v>2510</v>
      </c>
      <c r="B2511" s="7" cm="1">
        <f t="array" aca="1" ref="B2511" ca="1">interpolexp(A2511,serie_du,Taxas_DI)</f>
        <v>0.12323042924182737</v>
      </c>
      <c r="C2511" s="37">
        <f t="shared" ca="1" si="118"/>
        <v>3.1818951955587322</v>
      </c>
      <c r="D2511" s="36">
        <f t="shared" ca="1" si="120"/>
        <v>0.12361522747237763</v>
      </c>
      <c r="E2511" s="32">
        <v>0.12035079168448704</v>
      </c>
      <c r="F2511" s="35">
        <f t="shared" ca="1" si="119"/>
        <v>2.879637557340331E-3</v>
      </c>
    </row>
    <row r="2512" spans="1:6" x14ac:dyDescent="0.25">
      <c r="A2512" s="23">
        <v>2511</v>
      </c>
      <c r="B2512" s="7" cm="1">
        <f t="array" aca="1" ref="B2512" ca="1">interpolexp(A2512,serie_du,Taxas_DI)</f>
        <v>0.12323058246057617</v>
      </c>
      <c r="C2512" s="37">
        <f t="shared" ca="1" si="118"/>
        <v>3.1833671797399838</v>
      </c>
      <c r="D2512" s="36">
        <f t="shared" ca="1" si="120"/>
        <v>0.12361522739112862</v>
      </c>
      <c r="E2512" s="32">
        <v>0.12035052021415193</v>
      </c>
      <c r="F2512" s="35">
        <f t="shared" ca="1" si="119"/>
        <v>2.8800622464242309E-3</v>
      </c>
    </row>
    <row r="2513" spans="1:6" x14ac:dyDescent="0.25">
      <c r="A2513" s="23">
        <v>2512</v>
      </c>
      <c r="B2513" s="7" cm="1">
        <f t="array" aca="1" ref="B2513" ca="1">interpolexp(A2513,serie_du,Taxas_DI)</f>
        <v>0.12323073555735586</v>
      </c>
      <c r="C2513" s="37">
        <f t="shared" ca="1" si="118"/>
        <v>3.18483984487936</v>
      </c>
      <c r="D2513" s="36">
        <f t="shared" ca="1" si="120"/>
        <v>0.1236152273898643</v>
      </c>
      <c r="E2513" s="32">
        <v>0.12035024895997726</v>
      </c>
      <c r="F2513" s="35">
        <f t="shared" ca="1" si="119"/>
        <v>2.8804865973786065E-3</v>
      </c>
    </row>
    <row r="2514" spans="1:6" x14ac:dyDescent="0.25">
      <c r="A2514" s="23">
        <v>2513</v>
      </c>
      <c r="B2514" s="7" cm="1">
        <f t="array" aca="1" ref="B2514" ca="1">interpolexp(A2514,serie_du,Taxas_DI)</f>
        <v>0.12323088853227748</v>
      </c>
      <c r="C2514" s="37">
        <f t="shared" ca="1" si="118"/>
        <v>3.1863131912909011</v>
      </c>
      <c r="D2514" s="36">
        <f t="shared" ca="1" si="120"/>
        <v>0.12361522730162289</v>
      </c>
      <c r="E2514" s="32">
        <v>0.12034997792167434</v>
      </c>
      <c r="F2514" s="35">
        <f t="shared" ca="1" si="119"/>
        <v>2.8809106106031379E-3</v>
      </c>
    </row>
    <row r="2515" spans="1:6" x14ac:dyDescent="0.25">
      <c r="A2515" s="23">
        <v>2514</v>
      </c>
      <c r="B2515" s="7" cm="1">
        <f t="array" aca="1" ref="B2515" ca="1">interpolexp(A2515,serie_du,Taxas_DI)</f>
        <v>0.12323104138549645</v>
      </c>
      <c r="C2515" s="37">
        <f t="shared" ca="1" si="118"/>
        <v>3.1877872192900565</v>
      </c>
      <c r="D2515" s="36">
        <f t="shared" ca="1" si="120"/>
        <v>0.12361522723867524</v>
      </c>
      <c r="E2515" s="32">
        <v>0.12034970709897674</v>
      </c>
      <c r="F2515" s="35">
        <f t="shared" ca="1" si="119"/>
        <v>2.88133428651971E-3</v>
      </c>
    </row>
    <row r="2516" spans="1:6" x14ac:dyDescent="0.25">
      <c r="A2516" s="23">
        <v>2515</v>
      </c>
      <c r="B2516" s="7" cm="1">
        <f t="array" aca="1" ref="B2516" ca="1">interpolexp(A2516,serie_du,Taxas_DI)</f>
        <v>0.12323119411716821</v>
      </c>
      <c r="C2516" s="37">
        <f t="shared" ca="1" si="118"/>
        <v>3.1892619291924276</v>
      </c>
      <c r="D2516" s="36">
        <f t="shared" ca="1" si="120"/>
        <v>0.12361522720158535</v>
      </c>
      <c r="E2516" s="32">
        <v>0.12034943649166241</v>
      </c>
      <c r="F2516" s="35">
        <f t="shared" ca="1" si="119"/>
        <v>2.8817576255057986E-3</v>
      </c>
    </row>
    <row r="2517" spans="1:6" x14ac:dyDescent="0.25">
      <c r="A2517" s="23">
        <v>2516</v>
      </c>
      <c r="B2517" s="7" cm="1">
        <f t="array" aca="1" ref="B2517" ca="1">interpolexp(A2517,serie_du,Taxas_DI)</f>
        <v>0.12323134672744818</v>
      </c>
      <c r="C2517" s="37">
        <f t="shared" ca="1" si="118"/>
        <v>3.1907373213137706</v>
      </c>
      <c r="D2517" s="36">
        <f t="shared" ca="1" si="120"/>
        <v>0.12361522719108509</v>
      </c>
      <c r="E2517" s="32">
        <v>0.12034916609946489</v>
      </c>
      <c r="F2517" s="35">
        <f t="shared" ca="1" si="119"/>
        <v>2.8821806279832884E-3</v>
      </c>
    </row>
    <row r="2518" spans="1:6" x14ac:dyDescent="0.25">
      <c r="A2518" s="23">
        <v>2517</v>
      </c>
      <c r="B2518" s="7" cm="1">
        <f t="array" aca="1" ref="B2518" ca="1">interpolexp(A2518,serie_du,Taxas_DI)</f>
        <v>0.12323149921644738</v>
      </c>
      <c r="C2518" s="37">
        <f t="shared" ca="1" si="118"/>
        <v>3.1922133959687313</v>
      </c>
      <c r="D2518" s="36">
        <f t="shared" ca="1" si="120"/>
        <v>0.12361522709568651</v>
      </c>
      <c r="E2518" s="32">
        <v>0.12034889592211773</v>
      </c>
      <c r="F2518" s="35">
        <f t="shared" ca="1" si="119"/>
        <v>2.8826032943296553E-3</v>
      </c>
    </row>
    <row r="2519" spans="1:6" x14ac:dyDescent="0.25">
      <c r="A2519" s="23">
        <v>2518</v>
      </c>
      <c r="B2519" s="7" cm="1">
        <f t="array" aca="1" ref="B2519" ca="1">interpolexp(A2519,serie_du,Taxas_DI)</f>
        <v>0.12323165158432126</v>
      </c>
      <c r="C2519" s="37">
        <f t="shared" ca="1" si="118"/>
        <v>3.1936901534733706</v>
      </c>
      <c r="D2519" s="36">
        <f t="shared" ca="1" si="120"/>
        <v>0.12361522702812944</v>
      </c>
      <c r="E2519" s="32">
        <v>0.12034862595935447</v>
      </c>
      <c r="F2519" s="35">
        <f t="shared" ca="1" si="119"/>
        <v>2.8830256249667841E-3</v>
      </c>
    </row>
    <row r="2520" spans="1:6" x14ac:dyDescent="0.25">
      <c r="A2520" s="23">
        <v>2519</v>
      </c>
      <c r="B2520" s="7" cm="1">
        <f t="array" aca="1" ref="B2520" ca="1">interpolexp(A2520,serie_du,Taxas_DI)</f>
        <v>0.12323180383124743</v>
      </c>
      <c r="C2520" s="37">
        <f t="shared" ca="1" si="118"/>
        <v>3.1951675941445301</v>
      </c>
      <c r="D2520" s="36">
        <f t="shared" ca="1" si="120"/>
        <v>0.1236152270444919</v>
      </c>
      <c r="E2520" s="32">
        <v>0.12034835621095308</v>
      </c>
      <c r="F2520" s="35">
        <f t="shared" ca="1" si="119"/>
        <v>2.8834476202943549E-3</v>
      </c>
    </row>
    <row r="2521" spans="1:6" x14ac:dyDescent="0.25">
      <c r="A2521" s="23">
        <v>2520</v>
      </c>
      <c r="B2521" s="7" cm="1">
        <f t="array" aca="1" ref="B2521" ca="1">interpolexp(A2521,serie_du,Taxas_DI)</f>
        <v>0.12323195595731473</v>
      </c>
      <c r="C2521" s="37">
        <f t="shared" ca="1" si="118"/>
        <v>3.1966457182966841</v>
      </c>
      <c r="D2521" s="36">
        <f t="shared" ca="1" si="120"/>
        <v>0.12361522692206983</v>
      </c>
      <c r="E2521" s="32">
        <v>0.12034808667662489</v>
      </c>
      <c r="F2521" s="35">
        <f t="shared" ca="1" si="119"/>
        <v>2.8838692806898436E-3</v>
      </c>
    </row>
    <row r="2522" spans="1:6" x14ac:dyDescent="0.25">
      <c r="A2522" s="23">
        <v>2521</v>
      </c>
      <c r="B2522" s="7" cm="1">
        <f t="array" aca="1" ref="B2522" ca="1">interpolexp(A2522,serie_du,Taxas_DI)</f>
        <v>0.12323210796270079</v>
      </c>
      <c r="C2522" s="37">
        <f t="shared" ca="1" si="118"/>
        <v>3.198124526246982</v>
      </c>
      <c r="D2522" s="36">
        <f t="shared" ca="1" si="120"/>
        <v>0.12361522688496307</v>
      </c>
      <c r="E2522" s="32">
        <v>0.12034781735612565</v>
      </c>
      <c r="F2522" s="35">
        <f t="shared" ca="1" si="119"/>
        <v>2.884290606575135E-3</v>
      </c>
    </row>
    <row r="2523" spans="1:6" x14ac:dyDescent="0.25">
      <c r="A2523" s="23">
        <v>2522</v>
      </c>
      <c r="B2523" s="7" cm="1">
        <f t="array" aca="1" ref="B2523" ca="1">interpolexp(A2523,serie_du,Taxas_DI)</f>
        <v>0.12323225984756103</v>
      </c>
      <c r="C2523" s="37">
        <f t="shared" ca="1" si="118"/>
        <v>3.1996040183120944</v>
      </c>
      <c r="D2523" s="36">
        <f t="shared" ca="1" si="120"/>
        <v>0.1236152268777444</v>
      </c>
      <c r="E2523" s="32">
        <v>0.12034754824923333</v>
      </c>
      <c r="F2523" s="35">
        <f t="shared" ca="1" si="119"/>
        <v>2.884711598327705E-3</v>
      </c>
    </row>
    <row r="2524" spans="1:6" x14ac:dyDescent="0.25">
      <c r="A2524" s="23">
        <v>2523</v>
      </c>
      <c r="B2524" s="7" cm="1">
        <f t="array" aca="1" ref="B2524" ca="1">interpolexp(A2524,serie_du,Taxas_DI)</f>
        <v>0.12323241161200649</v>
      </c>
      <c r="C2524" s="37">
        <f t="shared" ca="1" si="118"/>
        <v>3.2010841948075823</v>
      </c>
      <c r="D2524" s="36">
        <f t="shared" ca="1" si="120"/>
        <v>0.12361522678922143</v>
      </c>
      <c r="E2524" s="32">
        <v>0.12034727935563705</v>
      </c>
      <c r="F2524" s="35">
        <f t="shared" ca="1" si="119"/>
        <v>2.8851322563694382E-3</v>
      </c>
    </row>
    <row r="2525" spans="1:6" x14ac:dyDescent="0.25">
      <c r="A2525" s="23">
        <v>2524</v>
      </c>
      <c r="B2525" s="7" cm="1">
        <f t="array" aca="1" ref="B2525" ca="1">interpolexp(A2525,serie_du,Taxas_DI)</f>
        <v>0.12323256325619258</v>
      </c>
      <c r="C2525" s="37">
        <f t="shared" ca="1" si="118"/>
        <v>3.202565056050422</v>
      </c>
      <c r="D2525" s="36">
        <f t="shared" ca="1" si="120"/>
        <v>0.12361522673176228</v>
      </c>
      <c r="E2525" s="32">
        <v>0.12034701067511477</v>
      </c>
      <c r="F2525" s="35">
        <f t="shared" ca="1" si="119"/>
        <v>2.8855525810778104E-3</v>
      </c>
    </row>
    <row r="2526" spans="1:6" x14ac:dyDescent="0.25">
      <c r="A2526" s="23">
        <v>2525</v>
      </c>
      <c r="B2526" s="7" cm="1">
        <f t="array" aca="1" ref="B2526" ca="1">interpolexp(A2526,serie_du,Taxas_DI)</f>
        <v>0.12323271478027475</v>
      </c>
      <c r="C2526" s="37">
        <f t="shared" ca="1" si="118"/>
        <v>3.204046602357745</v>
      </c>
      <c r="D2526" s="36">
        <f t="shared" ca="1" si="120"/>
        <v>0.12361522670608083</v>
      </c>
      <c r="E2526" s="32">
        <v>0.12034674220740005</v>
      </c>
      <c r="F2526" s="35">
        <f t="shared" ca="1" si="119"/>
        <v>2.8859725728747065E-3</v>
      </c>
    </row>
    <row r="2527" spans="1:6" x14ac:dyDescent="0.25">
      <c r="A2527" s="23">
        <v>2526</v>
      </c>
      <c r="B2527" s="7" cm="1">
        <f t="array" aca="1" ref="B2527" ca="1">interpolexp(A2527,serie_du,Taxas_DI)</f>
        <v>0.12323286618438622</v>
      </c>
      <c r="C2527" s="37">
        <f t="shared" ca="1" si="118"/>
        <v>3.2055288340462016</v>
      </c>
      <c r="D2527" s="36">
        <f t="shared" ca="1" si="120"/>
        <v>0.12361522665661107</v>
      </c>
      <c r="E2527" s="32">
        <v>0.12034647395227083</v>
      </c>
      <c r="F2527" s="35">
        <f t="shared" ca="1" si="119"/>
        <v>2.8863922321153979E-3</v>
      </c>
    </row>
    <row r="2528" spans="1:6" x14ac:dyDescent="0.25">
      <c r="A2528" s="23">
        <v>2527</v>
      </c>
      <c r="B2528" s="7" cm="1">
        <f t="array" aca="1" ref="B2528" ca="1">interpolexp(A2528,serie_du,Taxas_DI)</f>
        <v>0.12323301746866022</v>
      </c>
      <c r="C2528" s="37">
        <f t="shared" ca="1" si="118"/>
        <v>3.2070117514325949</v>
      </c>
      <c r="D2528" s="36">
        <f t="shared" ca="1" si="120"/>
        <v>0.12361522658403246</v>
      </c>
      <c r="E2528" s="32">
        <v>0.12034620590943845</v>
      </c>
      <c r="F2528" s="35">
        <f t="shared" ca="1" si="119"/>
        <v>2.8868115592217691E-3</v>
      </c>
    </row>
    <row r="2529" spans="1:6" x14ac:dyDescent="0.25">
      <c r="A2529" s="23">
        <v>2528</v>
      </c>
      <c r="B2529" s="7" cm="1">
        <f t="array" aca="1" ref="B2529" ca="1">interpolexp(A2529,serie_du,Taxas_DI)</f>
        <v>0.12323316863325218</v>
      </c>
      <c r="C2529" s="37">
        <f t="shared" ca="1" si="118"/>
        <v>3.2084953548345152</v>
      </c>
      <c r="D2529" s="36">
        <f t="shared" ca="1" si="120"/>
        <v>0.12361522654486023</v>
      </c>
      <c r="E2529" s="32">
        <v>0.12034593807868088</v>
      </c>
      <c r="F2529" s="35">
        <f t="shared" ca="1" si="119"/>
        <v>2.8872305545712962E-3</v>
      </c>
    </row>
    <row r="2530" spans="1:6" x14ac:dyDescent="0.25">
      <c r="A2530" s="23">
        <v>2529</v>
      </c>
      <c r="B2530" s="7" cm="1">
        <f t="array" aca="1" ref="B2530" ca="1">interpolexp(A2530,serie_du,Taxas_DI)</f>
        <v>0.12323331967829532</v>
      </c>
      <c r="C2530" s="37">
        <f t="shared" ca="1" si="118"/>
        <v>3.2099796445690725</v>
      </c>
      <c r="D2530" s="36">
        <f t="shared" ca="1" si="120"/>
        <v>0.1236152264837771</v>
      </c>
      <c r="E2530" s="32">
        <v>0.12034567045970945</v>
      </c>
      <c r="F2530" s="35">
        <f t="shared" ca="1" si="119"/>
        <v>2.8876492185858638E-3</v>
      </c>
    </row>
    <row r="2531" spans="1:6" x14ac:dyDescent="0.25">
      <c r="A2531" s="23">
        <v>2530</v>
      </c>
      <c r="B2531" s="7" cm="1">
        <f t="array" aca="1" ref="B2531" ca="1">interpolexp(A2531,serie_du,Taxas_DI)</f>
        <v>0.12323347060394507</v>
      </c>
      <c r="C2531" s="37">
        <f t="shared" ca="1" si="118"/>
        <v>3.2114646209541635</v>
      </c>
      <c r="D2531" s="36">
        <f t="shared" ca="1" si="120"/>
        <v>0.12361522645714107</v>
      </c>
      <c r="E2531" s="32">
        <v>0.12034540305232433</v>
      </c>
      <c r="F2531" s="35">
        <f t="shared" ca="1" si="119"/>
        <v>2.8880675516207432E-3</v>
      </c>
    </row>
    <row r="2532" spans="1:6" x14ac:dyDescent="0.25">
      <c r="A2532" s="23">
        <v>2531</v>
      </c>
      <c r="B2532" s="7" cm="1">
        <f t="array" aca="1" ref="B2532" ca="1">interpolexp(A2532,serie_du,Taxas_DI)</f>
        <v>0.12323362141033467</v>
      </c>
      <c r="C2532" s="37">
        <f t="shared" ca="1" si="118"/>
        <v>3.2129502843072055</v>
      </c>
      <c r="D2532" s="36">
        <f t="shared" ca="1" si="120"/>
        <v>0.12361522640980871</v>
      </c>
      <c r="E2532" s="32">
        <v>0.12034513585621465</v>
      </c>
      <c r="F2532" s="35">
        <f t="shared" ca="1" si="119"/>
        <v>2.8884855541200238E-3</v>
      </c>
    </row>
    <row r="2533" spans="1:6" x14ac:dyDescent="0.25">
      <c r="A2533" s="23">
        <v>2532</v>
      </c>
      <c r="B2533" s="7" cm="1">
        <f t="array" aca="1" ref="B2533" ca="1">interpolexp(A2533,serie_du,Taxas_DI)</f>
        <v>0.12323377209759734</v>
      </c>
      <c r="C2533" s="37">
        <f t="shared" ca="1" si="118"/>
        <v>3.2144366349457649</v>
      </c>
      <c r="D2533" s="36">
        <f t="shared" ca="1" si="120"/>
        <v>0.12361522634187594</v>
      </c>
      <c r="E2533" s="32">
        <v>0.12034486887118057</v>
      </c>
      <c r="F2533" s="35">
        <f t="shared" ca="1" si="119"/>
        <v>2.8889032264167724E-3</v>
      </c>
    </row>
    <row r="2534" spans="1:6" x14ac:dyDescent="0.25">
      <c r="A2534" s="23">
        <v>2533</v>
      </c>
      <c r="B2534" s="7" cm="1">
        <f t="array" aca="1" ref="B2534" ca="1">interpolexp(A2534,serie_du,Taxas_DI)</f>
        <v>0.1232339226658663</v>
      </c>
      <c r="C2534" s="37">
        <f t="shared" ca="1" si="118"/>
        <v>3.2159236731875636</v>
      </c>
      <c r="D2534" s="36">
        <f t="shared" ca="1" si="120"/>
        <v>0.12361522625428134</v>
      </c>
      <c r="E2534" s="32">
        <v>0.12034460209693343</v>
      </c>
      <c r="F2534" s="35">
        <f t="shared" ca="1" si="119"/>
        <v>2.8893205689328738E-3</v>
      </c>
    </row>
    <row r="2535" spans="1:6" x14ac:dyDescent="0.25">
      <c r="A2535" s="23">
        <v>2534</v>
      </c>
      <c r="B2535" s="7" cm="1">
        <f t="array" aca="1" ref="B2535" ca="1">interpolexp(A2535,serie_du,Taxas_DI)</f>
        <v>0.1232340731153192</v>
      </c>
      <c r="C2535" s="37">
        <f t="shared" ca="1" si="118"/>
        <v>3.2174113993517524</v>
      </c>
      <c r="D2535" s="36">
        <f t="shared" ca="1" si="120"/>
        <v>0.12361522625974586</v>
      </c>
      <c r="E2535" s="32">
        <v>0.12034433553327339</v>
      </c>
      <c r="F2535" s="35">
        <f t="shared" ca="1" si="119"/>
        <v>2.8897375820458038E-3</v>
      </c>
    </row>
    <row r="2536" spans="1:6" x14ac:dyDescent="0.25">
      <c r="A2536" s="23">
        <v>2535</v>
      </c>
      <c r="B2536" s="7" cm="1">
        <f t="array" aca="1" ref="B2536" ca="1">interpolexp(A2536,serie_du,Taxas_DI)</f>
        <v>0.12323422344606705</v>
      </c>
      <c r="C2536" s="37">
        <f t="shared" ca="1" si="118"/>
        <v>3.2188998137557219</v>
      </c>
      <c r="D2536" s="36">
        <f t="shared" ca="1" si="120"/>
        <v>0.12361522619042908</v>
      </c>
      <c r="E2536" s="32">
        <v>0.1203440691798896</v>
      </c>
      <c r="F2536" s="35">
        <f t="shared" ca="1" si="119"/>
        <v>2.8901542661774471E-3</v>
      </c>
    </row>
    <row r="2537" spans="1:6" x14ac:dyDescent="0.25">
      <c r="A2537" s="23">
        <v>2536</v>
      </c>
      <c r="B2537" s="7" cm="1">
        <f t="array" aca="1" ref="B2537" ca="1">interpolexp(A2537,serie_du,Taxas_DI)</f>
        <v>0.12323437365824308</v>
      </c>
      <c r="C2537" s="37">
        <f t="shared" ca="1" si="118"/>
        <v>3.2203889167176505</v>
      </c>
      <c r="D2537" s="36">
        <f t="shared" ca="1" si="120"/>
        <v>0.12361522610265596</v>
      </c>
      <c r="E2537" s="32">
        <v>0.12034380303658221</v>
      </c>
      <c r="F2537" s="35">
        <f t="shared" ca="1" si="119"/>
        <v>2.8905706216608706E-3</v>
      </c>
    </row>
    <row r="2538" spans="1:6" x14ac:dyDescent="0.25">
      <c r="A2538" s="23">
        <v>2537</v>
      </c>
      <c r="B2538" s="7" cm="1">
        <f t="array" aca="1" ref="B2538" ca="1">interpolexp(A2538,serie_du,Taxas_DI)</f>
        <v>0.12323452375202493</v>
      </c>
      <c r="C2538" s="37">
        <f t="shared" ca="1" si="118"/>
        <v>3.2218787085571563</v>
      </c>
      <c r="D2538" s="36">
        <f t="shared" ca="1" si="120"/>
        <v>0.1236152261101322</v>
      </c>
      <c r="E2538" s="32">
        <v>0.12034353710308476</v>
      </c>
      <c r="F2538" s="35">
        <f t="shared" ca="1" si="119"/>
        <v>2.8909866489401637E-3</v>
      </c>
    </row>
    <row r="2539" spans="1:6" x14ac:dyDescent="0.25">
      <c r="A2539" s="23">
        <v>2538</v>
      </c>
      <c r="B2539" s="7" cm="1">
        <f t="array" aca="1" ref="B2539" ca="1">interpolexp(A2539,serie_du,Taxas_DI)</f>
        <v>0.12323467372752361</v>
      </c>
      <c r="C2539" s="37">
        <f t="shared" ca="1" si="118"/>
        <v>3.2233691895920868</v>
      </c>
      <c r="D2539" s="36">
        <f t="shared" ca="1" si="120"/>
        <v>0.12361522604420982</v>
      </c>
      <c r="E2539" s="32">
        <v>0.12034327137915302</v>
      </c>
      <c r="F2539" s="35">
        <f t="shared" ca="1" si="119"/>
        <v>2.8914023483705975E-3</v>
      </c>
    </row>
    <row r="2540" spans="1:6" x14ac:dyDescent="0.25">
      <c r="A2540" s="23">
        <v>2539</v>
      </c>
      <c r="B2540" s="7" cm="1">
        <f t="array" aca="1" ref="B2540" ca="1">interpolexp(A2540,serie_du,Taxas_DI)</f>
        <v>0.12323482358487237</v>
      </c>
      <c r="C2540" s="37">
        <f t="shared" ca="1" si="118"/>
        <v>3.2248603601410837</v>
      </c>
      <c r="D2540" s="36">
        <f t="shared" ca="1" si="120"/>
        <v>0.12361522596169827</v>
      </c>
      <c r="E2540" s="32">
        <v>0.12034300586452051</v>
      </c>
      <c r="F2540" s="35">
        <f t="shared" ca="1" si="119"/>
        <v>2.8918177203518525E-3</v>
      </c>
    </row>
    <row r="2541" spans="1:6" x14ac:dyDescent="0.25">
      <c r="A2541" s="23">
        <v>2540</v>
      </c>
      <c r="B2541" s="7" cm="1">
        <f t="array" aca="1" ref="B2541" ca="1">interpolexp(A2541,serie_du,Taxas_DI)</f>
        <v>0.12323497332424882</v>
      </c>
      <c r="C2541" s="37">
        <f t="shared" ca="1" si="118"/>
        <v>3.2263522205242254</v>
      </c>
      <c r="D2541" s="36">
        <f t="shared" ca="1" si="120"/>
        <v>0.12361522597596597</v>
      </c>
      <c r="E2541" s="32">
        <v>0.12034274055896521</v>
      </c>
      <c r="F2541" s="35">
        <f t="shared" ca="1" si="119"/>
        <v>2.8922327652836088E-3</v>
      </c>
    </row>
    <row r="2542" spans="1:6" x14ac:dyDescent="0.25">
      <c r="A2542" s="23">
        <v>2541</v>
      </c>
      <c r="B2542" s="7" cm="1">
        <f t="array" aca="1" ref="B2542" ca="1">interpolexp(A2542,serie_du,Taxas_DI)</f>
        <v>0.12323512294574179</v>
      </c>
      <c r="C2542" s="37">
        <f t="shared" ca="1" si="118"/>
        <v>3.2278447710591798</v>
      </c>
      <c r="D2542" s="36">
        <f t="shared" ca="1" si="120"/>
        <v>0.12361522586220297</v>
      </c>
      <c r="E2542" s="32">
        <v>0.12034247546222065</v>
      </c>
      <c r="F2542" s="35">
        <f t="shared" ca="1" si="119"/>
        <v>2.892647483521138E-3</v>
      </c>
    </row>
    <row r="2543" spans="1:6" x14ac:dyDescent="0.25">
      <c r="A2543" s="23">
        <v>2542</v>
      </c>
      <c r="B2543" s="7" cm="1">
        <f t="array" aca="1" ref="B2543" ca="1">interpolexp(A2543,serie_du,Taxas_DI)</f>
        <v>0.12323527244952892</v>
      </c>
      <c r="C2543" s="37">
        <f t="shared" ca="1" si="118"/>
        <v>3.2293380120663322</v>
      </c>
      <c r="D2543" s="36">
        <f t="shared" ca="1" si="120"/>
        <v>0.12361522584618334</v>
      </c>
      <c r="E2543" s="32">
        <v>0.1203422105740648</v>
      </c>
      <c r="F2543" s="35">
        <f t="shared" ca="1" si="119"/>
        <v>2.8930618754641202E-3</v>
      </c>
    </row>
    <row r="2544" spans="1:6" x14ac:dyDescent="0.25">
      <c r="A2544" s="23">
        <v>2543</v>
      </c>
      <c r="B2544" s="7" cm="1">
        <f t="array" aca="1" ref="B2544" ca="1">interpolexp(A2544,serie_du,Taxas_DI)</f>
        <v>0.12323542183572123</v>
      </c>
      <c r="C2544" s="37">
        <f t="shared" ca="1" si="118"/>
        <v>3.2308319438642989</v>
      </c>
      <c r="D2544" s="36">
        <f t="shared" ca="1" si="120"/>
        <v>0.12361522575966277</v>
      </c>
      <c r="E2544" s="32">
        <v>0.12034194589423119</v>
      </c>
      <c r="F2544" s="35">
        <f t="shared" ca="1" si="119"/>
        <v>2.8934759414900313E-3</v>
      </c>
    </row>
    <row r="2545" spans="1:6" x14ac:dyDescent="0.25">
      <c r="A2545" s="23">
        <v>2544</v>
      </c>
      <c r="B2545" s="7" cm="1">
        <f t="array" aca="1" ref="B2545" ca="1">interpolexp(A2545,serie_du,Taxas_DI)</f>
        <v>0.12323557110449634</v>
      </c>
      <c r="C2545" s="37">
        <f t="shared" ca="1" si="118"/>
        <v>3.2323265667737782</v>
      </c>
      <c r="D2545" s="36">
        <f t="shared" ca="1" si="120"/>
        <v>0.12361522577216633</v>
      </c>
      <c r="E2545" s="32">
        <v>0.12034168142247559</v>
      </c>
      <c r="F2545" s="35">
        <f t="shared" ca="1" si="119"/>
        <v>2.893889682020756E-3</v>
      </c>
    </row>
    <row r="2546" spans="1:6" x14ac:dyDescent="0.25">
      <c r="A2546" s="23">
        <v>2545</v>
      </c>
      <c r="B2546" s="7" cm="1">
        <f t="array" aca="1" ref="B2546" ca="1">interpolexp(A2546,serie_du,Taxas_DI)</f>
        <v>0.12323572025594309</v>
      </c>
      <c r="C2546" s="37">
        <f t="shared" ca="1" si="118"/>
        <v>3.2338218811130472</v>
      </c>
      <c r="D2546" s="36">
        <f t="shared" ca="1" si="120"/>
        <v>0.12361522565859207</v>
      </c>
      <c r="E2546" s="32">
        <v>0.12034141715857594</v>
      </c>
      <c r="F2546" s="35">
        <f t="shared" ca="1" si="119"/>
        <v>2.8943030973671569E-3</v>
      </c>
    </row>
    <row r="2547" spans="1:6" x14ac:dyDescent="0.25">
      <c r="A2547" s="23">
        <v>2546</v>
      </c>
      <c r="B2547" s="7" cm="1">
        <f t="array" aca="1" ref="B2547" ca="1">interpolexp(A2547,serie_du,Taxas_DI)</f>
        <v>0.12323586929023911</v>
      </c>
      <c r="C2547" s="37">
        <f t="shared" ca="1" si="118"/>
        <v>3.2353178872031143</v>
      </c>
      <c r="D2547" s="36">
        <f t="shared" ca="1" si="120"/>
        <v>0.12361522564533711</v>
      </c>
      <c r="E2547" s="32">
        <v>0.12034115310224358</v>
      </c>
      <c r="F2547" s="35">
        <f t="shared" ca="1" si="119"/>
        <v>2.8947161879955274E-3</v>
      </c>
    </row>
    <row r="2548" spans="1:6" x14ac:dyDescent="0.25">
      <c r="A2548" s="23">
        <v>2547</v>
      </c>
      <c r="B2548" s="7" cm="1">
        <f t="array" aca="1" ref="B2548" ca="1">interpolexp(A2548,serie_du,Taxas_DI)</f>
        <v>0.12323601820751762</v>
      </c>
      <c r="C2548" s="37">
        <f t="shared" ca="1" si="118"/>
        <v>3.2368145853638559</v>
      </c>
      <c r="D2548" s="36">
        <f t="shared" ca="1" si="120"/>
        <v>0.12361522562015481</v>
      </c>
      <c r="E2548" s="32">
        <v>0.12034088925327868</v>
      </c>
      <c r="F2548" s="35">
        <f t="shared" ca="1" si="119"/>
        <v>2.8951289542389347E-3</v>
      </c>
    </row>
    <row r="2549" spans="1:6" x14ac:dyDescent="0.25">
      <c r="A2549" s="23">
        <v>2548</v>
      </c>
      <c r="B2549" s="7" cm="1">
        <f t="array" aca="1" ref="B2549" ca="1">interpolexp(A2549,serie_du,Taxas_DI)</f>
        <v>0.12323616700788964</v>
      </c>
      <c r="C2549" s="37">
        <f t="shared" ca="1" si="118"/>
        <v>3.2383119759146499</v>
      </c>
      <c r="D2549" s="36">
        <f t="shared" ca="1" si="120"/>
        <v>0.12361522552655457</v>
      </c>
      <c r="E2549" s="32">
        <v>0.12034062561139258</v>
      </c>
      <c r="F2549" s="35">
        <f t="shared" ca="1" si="119"/>
        <v>2.8955413964970589E-3</v>
      </c>
    </row>
    <row r="2550" spans="1:6" x14ac:dyDescent="0.25">
      <c r="A2550" s="23">
        <v>2549</v>
      </c>
      <c r="B2550" s="7" cm="1">
        <f t="array" aca="1" ref="B2550" ca="1">interpolexp(A2550,serie_du,Taxas_DI)</f>
        <v>0.12323631569151061</v>
      </c>
      <c r="C2550" s="37">
        <f t="shared" ca="1" si="118"/>
        <v>3.2398100591763268</v>
      </c>
      <c r="D2550" s="36">
        <f t="shared" ca="1" si="120"/>
        <v>0.12361522547868331</v>
      </c>
      <c r="E2550" s="32">
        <v>0.12034036217638544</v>
      </c>
      <c r="F2550" s="35">
        <f t="shared" ca="1" si="119"/>
        <v>2.8959535151251714E-3</v>
      </c>
    </row>
    <row r="2551" spans="1:6" x14ac:dyDescent="0.25">
      <c r="A2551" s="23">
        <v>2550</v>
      </c>
      <c r="B2551" s="7" cm="1">
        <f t="array" aca="1" ref="B2551" ca="1">interpolexp(A2551,serie_du,Taxas_DI)</f>
        <v>0.12323646425851376</v>
      </c>
      <c r="C2551" s="37">
        <f t="shared" ca="1" si="118"/>
        <v>3.2413088354692223</v>
      </c>
      <c r="D2551" s="36">
        <f t="shared" ca="1" si="120"/>
        <v>0.1236152254202989</v>
      </c>
      <c r="E2551" s="32">
        <v>0.1203400989479908</v>
      </c>
      <c r="F2551" s="35">
        <f t="shared" ca="1" si="119"/>
        <v>2.8963653105229525E-3</v>
      </c>
    </row>
    <row r="2552" spans="1:6" x14ac:dyDescent="0.25">
      <c r="A2552" s="23">
        <v>2551</v>
      </c>
      <c r="B2552" s="7" cm="1">
        <f t="array" aca="1" ref="B2552" ca="1">interpolexp(A2552,serie_du,Taxas_DI)</f>
        <v>0.1232366127090545</v>
      </c>
      <c r="C2552" s="37">
        <f t="shared" ca="1" si="118"/>
        <v>3.2428083051144765</v>
      </c>
      <c r="D2552" s="36">
        <f t="shared" ca="1" si="120"/>
        <v>0.1236152254087457</v>
      </c>
      <c r="E2552" s="32">
        <v>0.12033983592596442</v>
      </c>
      <c r="F2552" s="35">
        <f t="shared" ca="1" si="119"/>
        <v>2.8967767830900826E-3</v>
      </c>
    </row>
    <row r="2553" spans="1:6" x14ac:dyDescent="0.25">
      <c r="A2553" s="23">
        <v>2552</v>
      </c>
      <c r="B2553" s="7" cm="1">
        <f t="array" aca="1" ref="B2553" ca="1">interpolexp(A2553,serie_du,Taxas_DI)</f>
        <v>0.12323676104324388</v>
      </c>
      <c r="C2553" s="37">
        <f t="shared" ca="1" si="118"/>
        <v>3.2443084684320849</v>
      </c>
      <c r="D2553" s="36">
        <f t="shared" ca="1" si="120"/>
        <v>0.12361522533098457</v>
      </c>
      <c r="E2553" s="32">
        <v>0.12033957311008425</v>
      </c>
      <c r="F2553" s="35">
        <f t="shared" ca="1" si="119"/>
        <v>2.8971879331596284E-3</v>
      </c>
    </row>
    <row r="2554" spans="1:6" x14ac:dyDescent="0.25">
      <c r="A2554" s="23">
        <v>2553</v>
      </c>
      <c r="B2554" s="7" cm="1">
        <f t="array" aca="1" ref="B2554" ca="1">interpolexp(A2554,serie_du,Taxas_DI)</f>
        <v>0.12323690926123732</v>
      </c>
      <c r="C2554" s="37">
        <f t="shared" ca="1" si="118"/>
        <v>3.2458093257434983</v>
      </c>
      <c r="D2554" s="36">
        <f t="shared" ca="1" si="120"/>
        <v>0.12361522530127123</v>
      </c>
      <c r="E2554" s="32">
        <v>0.12033931050008384</v>
      </c>
      <c r="F2554" s="35">
        <f t="shared" ca="1" si="119"/>
        <v>2.8975987611534748E-3</v>
      </c>
    </row>
    <row r="2555" spans="1:6" x14ac:dyDescent="0.25">
      <c r="A2555" s="23">
        <v>2554</v>
      </c>
      <c r="B2555" s="7" cm="1">
        <f t="array" aca="1" ref="B2555" ca="1">interpolexp(A2555,serie_du,Taxas_DI)</f>
        <v>0.12323705736314583</v>
      </c>
      <c r="C2555" s="37">
        <f t="shared" ca="1" si="118"/>
        <v>3.2473108773690189</v>
      </c>
      <c r="D2555" s="36">
        <f t="shared" ca="1" si="120"/>
        <v>0.1236152252063869</v>
      </c>
      <c r="E2555" s="32">
        <v>0.12033904809571894</v>
      </c>
      <c r="F2555" s="35">
        <f t="shared" ca="1" si="119"/>
        <v>2.8980092674268931E-3</v>
      </c>
    </row>
    <row r="2556" spans="1:6" x14ac:dyDescent="0.25">
      <c r="A2556" s="23">
        <v>2555</v>
      </c>
      <c r="B2556" s="7" cm="1">
        <f t="array" aca="1" ref="B2556" ca="1">interpolexp(A2556,serie_du,Taxas_DI)</f>
        <v>0.12323720534914706</v>
      </c>
      <c r="C2556" s="37">
        <f t="shared" ca="1" si="118"/>
        <v>3.248813123631058</v>
      </c>
      <c r="D2556" s="36">
        <f t="shared" ca="1" si="120"/>
        <v>0.12361522521726132</v>
      </c>
      <c r="E2556" s="32">
        <v>0.1203387858967675</v>
      </c>
      <c r="F2556" s="35">
        <f t="shared" ca="1" si="119"/>
        <v>2.8984194523795637E-3</v>
      </c>
    </row>
    <row r="2557" spans="1:6" x14ac:dyDescent="0.25">
      <c r="A2557" s="23">
        <v>2556</v>
      </c>
      <c r="B2557" s="7" cm="1">
        <f t="array" aca="1" ref="B2557" ca="1">interpolexp(A2557,serie_du,Taxas_DI)</f>
        <v>0.12323735321935203</v>
      </c>
      <c r="C2557" s="37">
        <f t="shared" ca="1" si="118"/>
        <v>3.2503160648502294</v>
      </c>
      <c r="D2557" s="36">
        <f t="shared" ca="1" si="120"/>
        <v>0.12361522516421353</v>
      </c>
      <c r="E2557" s="32">
        <v>0.12033852390298527</v>
      </c>
      <c r="F2557" s="35">
        <f t="shared" ca="1" si="119"/>
        <v>2.8988293163667578E-3</v>
      </c>
    </row>
    <row r="2558" spans="1:6" x14ac:dyDescent="0.25">
      <c r="A2558" s="23">
        <v>2557</v>
      </c>
      <c r="B2558" s="7" cm="1">
        <f t="array" aca="1" ref="B2558" ca="1">interpolexp(A2558,serie_du,Taxas_DI)</f>
        <v>0.12323750097387176</v>
      </c>
      <c r="C2558" s="37">
        <f t="shared" ca="1" si="118"/>
        <v>3.2518197013473</v>
      </c>
      <c r="D2558" s="36">
        <f t="shared" ca="1" si="120"/>
        <v>0.12361522504775824</v>
      </c>
      <c r="E2558" s="32">
        <v>0.12033826211412801</v>
      </c>
      <c r="F2558" s="35">
        <f t="shared" ca="1" si="119"/>
        <v>2.8992388597437468E-3</v>
      </c>
    </row>
    <row r="2559" spans="1:6" x14ac:dyDescent="0.25">
      <c r="A2559" s="23">
        <v>2558</v>
      </c>
      <c r="B2559" s="7" cm="1">
        <f t="array" aca="1" ref="B2559" ca="1">interpolexp(A2559,serie_du,Taxas_DI)</f>
        <v>0.12323764861288389</v>
      </c>
      <c r="C2559" s="37">
        <f t="shared" ca="1" si="118"/>
        <v>3.2533240334451454</v>
      </c>
      <c r="D2559" s="36">
        <f t="shared" ca="1" si="120"/>
        <v>0.12361522503858979</v>
      </c>
      <c r="E2559" s="32">
        <v>0.12033800052995147</v>
      </c>
      <c r="F2559" s="35">
        <f t="shared" ca="1" si="119"/>
        <v>2.8996480829324156E-3</v>
      </c>
    </row>
    <row r="2560" spans="1:6" x14ac:dyDescent="0.25">
      <c r="A2560" s="23">
        <v>2559</v>
      </c>
      <c r="B2560" s="7" cm="1">
        <f t="array" aca="1" ref="B2560" ca="1">interpolexp(A2560,serie_du,Taxas_DI)</f>
        <v>0.12323779613652164</v>
      </c>
      <c r="C2560" s="37">
        <f t="shared" ca="1" si="118"/>
        <v>3.2548290614654971</v>
      </c>
      <c r="D2560" s="36">
        <f t="shared" ca="1" si="120"/>
        <v>0.12361522502407896</v>
      </c>
      <c r="E2560" s="32">
        <v>0.1203377391502114</v>
      </c>
      <c r="F2560" s="35">
        <f t="shared" ca="1" si="119"/>
        <v>2.9000569863102399E-3</v>
      </c>
    </row>
    <row r="2561" spans="1:6" x14ac:dyDescent="0.25">
      <c r="A2561" s="23">
        <v>2560</v>
      </c>
      <c r="B2561" s="7" cm="1">
        <f t="array" aca="1" ref="B2561" ca="1">interpolexp(A2561,serie_du,Taxas_DI)</f>
        <v>0.12323794354489603</v>
      </c>
      <c r="C2561" s="37">
        <f t="shared" ca="1" si="118"/>
        <v>3.2563347857295852</v>
      </c>
      <c r="D2561" s="36">
        <f t="shared" ca="1" si="120"/>
        <v>0.12361522494759791</v>
      </c>
      <c r="E2561" s="32">
        <v>0.12033747797466354</v>
      </c>
      <c r="F2561" s="35">
        <f t="shared" ca="1" si="119"/>
        <v>2.9004655702324911E-3</v>
      </c>
    </row>
    <row r="2562" spans="1:6" x14ac:dyDescent="0.25">
      <c r="A2562" s="23">
        <v>2561</v>
      </c>
      <c r="B2562" s="7" cm="1">
        <f t="array" aca="1" ref="B2562" ca="1">interpolexp(A2562,serie_du,Taxas_DI)</f>
        <v>0.1232380908381403</v>
      </c>
      <c r="C2562" s="37">
        <f t="shared" ref="C2562:C2625" ca="1" si="121">(1+B2562)^(A2562/252)</f>
        <v>3.2578412065594469</v>
      </c>
      <c r="D2562" s="36">
        <f t="shared" ca="1" si="120"/>
        <v>0.12361522486653231</v>
      </c>
      <c r="E2562" s="32">
        <v>0.12033721700310807</v>
      </c>
      <c r="F2562" s="35">
        <f t="shared" ref="F2562:F2625" ca="1" si="122">B2562-E2562</f>
        <v>2.9008738350322361E-3</v>
      </c>
    </row>
    <row r="2563" spans="1:6" x14ac:dyDescent="0.25">
      <c r="A2563" s="23">
        <v>2562</v>
      </c>
      <c r="B2563" s="7" cm="1">
        <f t="array" aca="1" ref="B2563" ca="1">interpolexp(A2563,serie_du,Taxas_DI)</f>
        <v>0.12323823801643208</v>
      </c>
      <c r="C2563" s="37">
        <f t="shared" ca="1" si="121"/>
        <v>3.2593483242785863</v>
      </c>
      <c r="D2563" s="36">
        <f t="shared" ca="1" si="120"/>
        <v>0.12361522489530707</v>
      </c>
      <c r="E2563" s="32">
        <v>0.12033695623525631</v>
      </c>
      <c r="F2563" s="35">
        <f t="shared" ca="1" si="122"/>
        <v>2.9012817811757685E-3</v>
      </c>
    </row>
    <row r="2564" spans="1:6" x14ac:dyDescent="0.25">
      <c r="A2564" s="23">
        <v>2563</v>
      </c>
      <c r="B2564" s="7" cm="1">
        <f t="array" aca="1" ref="B2564" ca="1">interpolexp(A2564,serie_du,Taxas_DI)</f>
        <v>0.12323838507983798</v>
      </c>
      <c r="C2564" s="37">
        <f t="shared" ca="1" si="121"/>
        <v>3.2608561392073883</v>
      </c>
      <c r="D2564" s="36">
        <f t="shared" ref="D2564:D2627" ca="1" si="123">((((1+B2564)^(A2564/252))/((1+B2563)^(A2563/252)))^(252/1))-1</f>
        <v>0.12361522475002396</v>
      </c>
      <c r="E2564" s="32">
        <v>0.12033669567090843</v>
      </c>
      <c r="F2564" s="35">
        <f t="shared" ca="1" si="122"/>
        <v>2.901689408929542E-3</v>
      </c>
    </row>
    <row r="2565" spans="1:6" x14ac:dyDescent="0.25">
      <c r="A2565" s="23">
        <v>2564</v>
      </c>
      <c r="B2565" s="7" cm="1">
        <f t="array" aca="1" ref="B2565" ca="1">interpolexp(A2565,serie_du,Taxas_DI)</f>
        <v>0.12323853202855783</v>
      </c>
      <c r="C2565" s="37">
        <f t="shared" ca="1" si="121"/>
        <v>3.2623646516703215</v>
      </c>
      <c r="D2565" s="36">
        <f t="shared" ca="1" si="123"/>
        <v>0.1236152247724478</v>
      </c>
      <c r="E2565" s="32">
        <v>0.12033643530979798</v>
      </c>
      <c r="F2565" s="35">
        <f t="shared" ca="1" si="122"/>
        <v>2.9020967187598501E-3</v>
      </c>
    </row>
    <row r="2566" spans="1:6" x14ac:dyDescent="0.25">
      <c r="A2566" s="23">
        <v>2565</v>
      </c>
      <c r="B2566" s="7" cm="1">
        <f t="array" aca="1" ref="B2566" ca="1">interpolexp(A2566,serie_du,Taxas_DI)</f>
        <v>0.12323867886268047</v>
      </c>
      <c r="C2566" s="37">
        <f t="shared" ca="1" si="121"/>
        <v>3.2638738619887362</v>
      </c>
      <c r="D2566" s="36">
        <f t="shared" ca="1" si="123"/>
        <v>0.1236152246788067</v>
      </c>
      <c r="E2566" s="32">
        <v>0.12033617515170292</v>
      </c>
      <c r="F2566" s="35">
        <f t="shared" ca="1" si="122"/>
        <v>2.9025037109775553E-3</v>
      </c>
    </row>
    <row r="2567" spans="1:6" x14ac:dyDescent="0.25">
      <c r="A2567" s="23">
        <v>2566</v>
      </c>
      <c r="B2567" s="7" cm="1">
        <f t="array" aca="1" ref="B2567" ca="1">interpolexp(A2567,serie_du,Taxas_DI)</f>
        <v>0.12323882558238353</v>
      </c>
      <c r="C2567" s="37">
        <f t="shared" ca="1" si="121"/>
        <v>3.2653837704867592</v>
      </c>
      <c r="D2567" s="36">
        <f t="shared" ca="1" si="123"/>
        <v>0.12361522469715513</v>
      </c>
      <c r="E2567" s="32">
        <v>0.12033591519637898</v>
      </c>
      <c r="F2567" s="35">
        <f t="shared" ca="1" si="122"/>
        <v>2.9029103860045424E-3</v>
      </c>
    </row>
    <row r="2568" spans="1:6" x14ac:dyDescent="0.25">
      <c r="A2568" s="23">
        <v>2567</v>
      </c>
      <c r="B2568" s="7" cm="1">
        <f t="array" aca="1" ref="B2568" ca="1">interpolexp(A2568,serie_du,Taxas_DI)</f>
        <v>0.12323897218775581</v>
      </c>
      <c r="C2568" s="37">
        <f t="shared" ca="1" si="121"/>
        <v>3.2668943774860497</v>
      </c>
      <c r="D2568" s="36">
        <f t="shared" ca="1" si="123"/>
        <v>0.12361522460039942</v>
      </c>
      <c r="E2568" s="32">
        <v>0.12033565544360414</v>
      </c>
      <c r="F2568" s="35">
        <f t="shared" ca="1" si="122"/>
        <v>2.9033167441516738E-3</v>
      </c>
    </row>
    <row r="2569" spans="1:6" x14ac:dyDescent="0.25">
      <c r="A2569" s="23">
        <v>2568</v>
      </c>
      <c r="B2569" s="7" cm="1">
        <f t="array" aca="1" ref="B2569" ca="1">interpolexp(A2569,serie_du,Taxas_DI)</f>
        <v>0.12323911867895276</v>
      </c>
      <c r="C2569" s="37">
        <f t="shared" ca="1" si="121"/>
        <v>3.2684056833103887</v>
      </c>
      <c r="D2569" s="36">
        <f t="shared" ca="1" si="123"/>
        <v>0.12361522455971685</v>
      </c>
      <c r="E2569" s="32">
        <v>0.12033539589311193</v>
      </c>
      <c r="F2569" s="35">
        <f t="shared" ca="1" si="122"/>
        <v>2.9037227858408343E-3</v>
      </c>
    </row>
    <row r="2570" spans="1:6" x14ac:dyDescent="0.25">
      <c r="A2570" s="23">
        <v>2569</v>
      </c>
      <c r="B2570" s="7" cm="1">
        <f t="array" aca="1" ref="B2570" ca="1">interpolexp(A2570,serie_du,Taxas_DI)</f>
        <v>0.12323926505610761</v>
      </c>
      <c r="C2570" s="37">
        <f t="shared" ca="1" si="121"/>
        <v>3.2699176882830598</v>
      </c>
      <c r="D2570" s="36">
        <f t="shared" ca="1" si="123"/>
        <v>0.12361522451889662</v>
      </c>
      <c r="E2570" s="32">
        <v>0.12033513654470251</v>
      </c>
      <c r="F2570" s="35">
        <f t="shared" ca="1" si="122"/>
        <v>2.9041285114050908E-3</v>
      </c>
    </row>
    <row r="2571" spans="1:6" x14ac:dyDescent="0.25">
      <c r="A2571" s="23">
        <v>2570</v>
      </c>
      <c r="B2571" s="7" cm="1">
        <f t="array" aca="1" ref="B2571" ca="1">interpolexp(A2571,serie_du,Taxas_DI)</f>
        <v>0.12323941131933136</v>
      </c>
      <c r="C2571" s="37">
        <f t="shared" ca="1" si="121"/>
        <v>3.2714303927268413</v>
      </c>
      <c r="D2571" s="36">
        <f t="shared" ca="1" si="123"/>
        <v>0.1236152244212827</v>
      </c>
      <c r="E2571" s="32">
        <v>0.12033487739810944</v>
      </c>
      <c r="F2571" s="35">
        <f t="shared" ca="1" si="122"/>
        <v>2.904533921221919E-3</v>
      </c>
    </row>
    <row r="2572" spans="1:6" x14ac:dyDescent="0.25">
      <c r="A2572" s="23">
        <v>2571</v>
      </c>
      <c r="B2572" s="7" cm="1">
        <f t="array" aca="1" ref="B2572" ca="1">interpolexp(A2572,serie_du,Taxas_DI)</f>
        <v>0.12323955746880166</v>
      </c>
      <c r="C2572" s="37">
        <f t="shared" ca="1" si="121"/>
        <v>3.2729437969666457</v>
      </c>
      <c r="D2572" s="36">
        <f t="shared" ca="1" si="123"/>
        <v>0.12361522443874051</v>
      </c>
      <c r="E2572" s="32">
        <v>0.12033461845308846</v>
      </c>
      <c r="F2572" s="35">
        <f t="shared" ca="1" si="122"/>
        <v>2.9049390157132038E-3</v>
      </c>
    </row>
    <row r="2573" spans="1:6" x14ac:dyDescent="0.25">
      <c r="A2573" s="23">
        <v>2572</v>
      </c>
      <c r="B2573" s="7" cm="1">
        <f t="array" aca="1" ref="B2573" ca="1">interpolexp(A2573,serie_du,Taxas_DI)</f>
        <v>0.12323970350460733</v>
      </c>
      <c r="C2573" s="37">
        <f t="shared" ca="1" si="121"/>
        <v>3.2744579013249027</v>
      </c>
      <c r="D2573" s="36">
        <f t="shared" ca="1" si="123"/>
        <v>0.12361522434336503</v>
      </c>
      <c r="E2573" s="32">
        <v>0.12033435970946194</v>
      </c>
      <c r="F2573" s="35">
        <f t="shared" ca="1" si="122"/>
        <v>2.9053437951453986E-3</v>
      </c>
    </row>
    <row r="2574" spans="1:6" x14ac:dyDescent="0.25">
      <c r="A2574" s="23">
        <v>2573</v>
      </c>
      <c r="B2574" s="7" cm="1">
        <f t="array" aca="1" ref="B2574" ca="1">interpolexp(A2574,serie_du,Taxas_DI)</f>
        <v>0.1232398494269038</v>
      </c>
      <c r="C2574" s="37">
        <f t="shared" ca="1" si="121"/>
        <v>3.2759727061261779</v>
      </c>
      <c r="D2574" s="36">
        <f t="shared" ca="1" si="123"/>
        <v>0.12361522430701521</v>
      </c>
      <c r="E2574" s="32">
        <v>0.12033410116694121</v>
      </c>
      <c r="F2574" s="35">
        <f t="shared" ca="1" si="122"/>
        <v>2.9057482599625928E-3</v>
      </c>
    </row>
    <row r="2575" spans="1:6" x14ac:dyDescent="0.25">
      <c r="A2575" s="23">
        <v>2574</v>
      </c>
      <c r="B2575" s="7" cm="1">
        <f t="array" aca="1" ref="B2575" ca="1">interpolexp(A2575,serie_du,Taxas_DI)</f>
        <v>0.1232399952358243</v>
      </c>
      <c r="C2575" s="37">
        <f t="shared" ca="1" si="121"/>
        <v>3.2774882116945312</v>
      </c>
      <c r="D2575" s="36">
        <f t="shared" ca="1" si="123"/>
        <v>0.12361522427297289</v>
      </c>
      <c r="E2575" s="32">
        <v>0.12033384282530424</v>
      </c>
      <c r="F2575" s="35">
        <f t="shared" ca="1" si="122"/>
        <v>2.9061524105200576E-3</v>
      </c>
    </row>
    <row r="2576" spans="1:6" x14ac:dyDescent="0.25">
      <c r="A2576" s="23">
        <v>2575</v>
      </c>
      <c r="B2576" s="7" cm="1">
        <f t="array" aca="1" ref="B2576" ca="1">interpolexp(A2576,serie_du,Taxas_DI)</f>
        <v>0.12323911465912385</v>
      </c>
      <c r="C2576" s="37">
        <f t="shared" ca="1" si="121"/>
        <v>3.2789738052837727</v>
      </c>
      <c r="D2576" s="36">
        <f t="shared" ca="1" si="123"/>
        <v>0.12097479649235754</v>
      </c>
      <c r="E2576" s="32">
        <v>0.12033358468432898</v>
      </c>
      <c r="F2576" s="35">
        <f t="shared" ca="1" si="122"/>
        <v>2.9055299747948737E-3</v>
      </c>
    </row>
    <row r="2577" spans="1:6" x14ac:dyDescent="0.25">
      <c r="A2577" s="23">
        <v>2576</v>
      </c>
      <c r="B2577" s="7" cm="1">
        <f t="array" aca="1" ref="B2577" ca="1">interpolexp(A2577,serie_du,Taxas_DI)</f>
        <v>0.12323823476609874</v>
      </c>
      <c r="C2577" s="37">
        <f t="shared" ca="1" si="121"/>
        <v>3.2804600722303174</v>
      </c>
      <c r="D2577" s="36">
        <f t="shared" ca="1" si="123"/>
        <v>0.12097479471391415</v>
      </c>
      <c r="E2577" s="32">
        <v>0.12033332674377117</v>
      </c>
      <c r="F2577" s="35">
        <f t="shared" ca="1" si="122"/>
        <v>2.9049080223275681E-3</v>
      </c>
    </row>
    <row r="2578" spans="1:6" x14ac:dyDescent="0.25">
      <c r="A2578" s="23">
        <v>2577</v>
      </c>
      <c r="B2578" s="7" cm="1">
        <f t="array" aca="1" ref="B2578" ca="1">interpolexp(A2578,serie_du,Taxas_DI)</f>
        <v>0.12323735555597182</v>
      </c>
      <c r="C2578" s="37">
        <f t="shared" ca="1" si="121"/>
        <v>3.2819470128399457</v>
      </c>
      <c r="D2578" s="36">
        <f t="shared" ca="1" si="123"/>
        <v>0.12097479298583047</v>
      </c>
      <c r="E2578" s="32">
        <v>0.12033306900340879</v>
      </c>
      <c r="F2578" s="35">
        <f t="shared" ca="1" si="122"/>
        <v>2.904286552563029E-3</v>
      </c>
    </row>
    <row r="2579" spans="1:6" x14ac:dyDescent="0.25">
      <c r="A2579" s="23">
        <v>2578</v>
      </c>
      <c r="B2579" s="7" cm="1">
        <f t="array" aca="1" ref="B2579" ca="1">interpolexp(A2579,serie_du,Taxas_DI)</f>
        <v>0.12323647702794371</v>
      </c>
      <c r="C2579" s="37">
        <f t="shared" ca="1" si="121"/>
        <v>3.2834346274178738</v>
      </c>
      <c r="D2579" s="36">
        <f t="shared" ca="1" si="123"/>
        <v>0.12097479124759514</v>
      </c>
      <c r="E2579" s="32">
        <v>0.12033281146299757</v>
      </c>
      <c r="F2579" s="35">
        <f t="shared" ca="1" si="122"/>
        <v>2.9036655649461451E-3</v>
      </c>
    </row>
    <row r="2580" spans="1:6" x14ac:dyDescent="0.25">
      <c r="A2580" s="23">
        <v>2579</v>
      </c>
      <c r="B2580" s="7" cm="1">
        <f t="array" aca="1" ref="B2580" ca="1">interpolexp(A2580,serie_du,Taxas_DI)</f>
        <v>0.12323559918119287</v>
      </c>
      <c r="C2580" s="37">
        <f t="shared" ca="1" si="121"/>
        <v>3.2849229162687594</v>
      </c>
      <c r="D2580" s="36">
        <f t="shared" ca="1" si="123"/>
        <v>0.12097478943925055</v>
      </c>
      <c r="E2580" s="32">
        <v>0.12033255412231547</v>
      </c>
      <c r="F2580" s="35">
        <f t="shared" ca="1" si="122"/>
        <v>2.9030450588773959E-3</v>
      </c>
    </row>
    <row r="2581" spans="1:6" x14ac:dyDescent="0.25">
      <c r="A2581" s="23">
        <v>2580</v>
      </c>
      <c r="B2581" s="7" cm="1">
        <f t="array" aca="1" ref="B2581" ca="1">interpolexp(A2581,serie_du,Taxas_DI)</f>
        <v>0.12323472201496433</v>
      </c>
      <c r="C2581" s="37">
        <f t="shared" ca="1" si="121"/>
        <v>3.2864118796993509</v>
      </c>
      <c r="D2581" s="36">
        <f t="shared" ca="1" si="123"/>
        <v>0.12097478772883763</v>
      </c>
      <c r="E2581" s="32">
        <v>0.12033229698109604</v>
      </c>
      <c r="F2581" s="35">
        <f t="shared" ca="1" si="122"/>
        <v>2.9024250338682833E-3</v>
      </c>
    </row>
    <row r="2582" spans="1:6" x14ac:dyDescent="0.25">
      <c r="A2582" s="23">
        <v>2581</v>
      </c>
      <c r="B2582" s="7" cm="1">
        <f t="array" aca="1" ref="B2582" ca="1">interpolexp(A2582,serie_du,Taxas_DI)</f>
        <v>0.12323384552845873</v>
      </c>
      <c r="C2582" s="37">
        <f t="shared" ca="1" si="121"/>
        <v>3.2879015180151705</v>
      </c>
      <c r="D2582" s="36">
        <f t="shared" ca="1" si="123"/>
        <v>0.12097478599880529</v>
      </c>
      <c r="E2582" s="32">
        <v>0.12033204003916165</v>
      </c>
      <c r="F2582" s="35">
        <f t="shared" ca="1" si="122"/>
        <v>2.9018054892970824E-3</v>
      </c>
    </row>
    <row r="2583" spans="1:6" x14ac:dyDescent="0.25">
      <c r="A2583" s="23">
        <v>2582</v>
      </c>
      <c r="B2583" s="7" cm="1">
        <f t="array" aca="1" ref="B2583" ca="1">interpolexp(A2583,serie_du,Taxas_DI)</f>
        <v>0.12323296972089892</v>
      </c>
      <c r="C2583" s="37">
        <f t="shared" ca="1" si="121"/>
        <v>3.2893918315225092</v>
      </c>
      <c r="D2583" s="36">
        <f t="shared" ca="1" si="123"/>
        <v>0.12097478430333397</v>
      </c>
      <c r="E2583" s="32">
        <v>0.12033178329624583</v>
      </c>
      <c r="F2583" s="35">
        <f t="shared" ca="1" si="122"/>
        <v>2.9011864246530905E-3</v>
      </c>
    </row>
    <row r="2584" spans="1:6" x14ac:dyDescent="0.25">
      <c r="A2584" s="23">
        <v>2583</v>
      </c>
      <c r="B2584" s="7" cm="1">
        <f t="array" aca="1" ref="B2584" ca="1">interpolexp(A2584,serie_du,Taxas_DI)</f>
        <v>0.12323209459144113</v>
      </c>
      <c r="C2584" s="37">
        <f t="shared" ca="1" si="121"/>
        <v>3.2908828205257605</v>
      </c>
      <c r="D2584" s="36">
        <f t="shared" ca="1" si="123"/>
        <v>0.12097478246758464</v>
      </c>
      <c r="E2584" s="32">
        <v>0.12033152675212655</v>
      </c>
      <c r="F2584" s="35">
        <f t="shared" ca="1" si="122"/>
        <v>2.9005678393145828E-3</v>
      </c>
    </row>
    <row r="2585" spans="1:6" x14ac:dyDescent="0.25">
      <c r="A2585" s="23">
        <v>2584</v>
      </c>
      <c r="B2585" s="7" cm="1">
        <f t="array" aca="1" ref="B2585" ca="1">interpolexp(A2585,serie_du,Taxas_DI)</f>
        <v>0.12323122013935262</v>
      </c>
      <c r="C2585" s="37">
        <f t="shared" ca="1" si="121"/>
        <v>3.292374485332751</v>
      </c>
      <c r="D2585" s="36">
        <f t="shared" ca="1" si="123"/>
        <v>0.12097478077455803</v>
      </c>
      <c r="E2585" s="32">
        <v>0.12033127040655955</v>
      </c>
      <c r="F2585" s="35">
        <f t="shared" ca="1" si="122"/>
        <v>2.8999497327930612E-3</v>
      </c>
    </row>
    <row r="2586" spans="1:6" x14ac:dyDescent="0.25">
      <c r="A2586" s="23">
        <v>2585</v>
      </c>
      <c r="B2586" s="7" cm="1">
        <f t="array" aca="1" ref="B2586" ca="1">interpolexp(A2586,serie_du,Taxas_DI)</f>
        <v>0.12323034636383401</v>
      </c>
      <c r="C2586" s="37">
        <f t="shared" ca="1" si="121"/>
        <v>3.2938668262494089</v>
      </c>
      <c r="D2586" s="36">
        <f t="shared" ca="1" si="123"/>
        <v>0.12097477904916154</v>
      </c>
      <c r="E2586" s="32">
        <v>0.1203310142593228</v>
      </c>
      <c r="F2586" s="35">
        <f t="shared" ca="1" si="122"/>
        <v>2.8993321045112097E-3</v>
      </c>
    </row>
    <row r="2587" spans="1:6" x14ac:dyDescent="0.25">
      <c r="A2587" s="23">
        <v>2586</v>
      </c>
      <c r="B2587" s="7" cm="1">
        <f t="array" aca="1" ref="B2587" ca="1">interpolexp(A2587,serie_du,Taxas_DI)</f>
        <v>0.12322947326410816</v>
      </c>
      <c r="C2587" s="37">
        <f t="shared" ca="1" si="121"/>
        <v>3.2953598435824367</v>
      </c>
      <c r="D2587" s="36">
        <f t="shared" ca="1" si="123"/>
        <v>0.12097477734600415</v>
      </c>
      <c r="E2587" s="32">
        <v>0.12033075831021645</v>
      </c>
      <c r="F2587" s="35">
        <f t="shared" ca="1" si="122"/>
        <v>2.8987149538917123E-3</v>
      </c>
    </row>
    <row r="2588" spans="1:6" x14ac:dyDescent="0.25">
      <c r="A2588" s="23">
        <v>2587</v>
      </c>
      <c r="B2588" s="7" cm="1">
        <f t="array" aca="1" ref="B2588" ca="1">interpolexp(A2588,serie_du,Taxas_DI)</f>
        <v>0.1232286008393535</v>
      </c>
      <c r="C2588" s="37">
        <f t="shared" ca="1" si="121"/>
        <v>3.296853537637296</v>
      </c>
      <c r="D2588" s="36">
        <f t="shared" ca="1" si="123"/>
        <v>0.12097477554682401</v>
      </c>
      <c r="E2588" s="32">
        <v>0.12033050255895184</v>
      </c>
      <c r="F2588" s="35">
        <f t="shared" ca="1" si="122"/>
        <v>2.898098280401662E-3</v>
      </c>
    </row>
    <row r="2589" spans="1:6" x14ac:dyDescent="0.25">
      <c r="A2589" s="23">
        <v>2588</v>
      </c>
      <c r="B2589" s="7" cm="1">
        <f t="array" aca="1" ref="B2589" ca="1">interpolexp(A2589,serie_du,Taxas_DI)</f>
        <v>0.12322772908883728</v>
      </c>
      <c r="C2589" s="37">
        <f t="shared" ca="1" si="121"/>
        <v>3.2983479087222318</v>
      </c>
      <c r="D2589" s="36">
        <f t="shared" ca="1" si="123"/>
        <v>0.12097477387822564</v>
      </c>
      <c r="E2589" s="32">
        <v>0.12033024700535133</v>
      </c>
      <c r="F2589" s="35">
        <f t="shared" ca="1" si="122"/>
        <v>2.8974820834859472E-3</v>
      </c>
    </row>
    <row r="2590" spans="1:6" x14ac:dyDescent="0.25">
      <c r="A2590" s="23">
        <v>2589</v>
      </c>
      <c r="B2590" s="7" cm="1">
        <f t="array" aca="1" ref="B2590" ca="1">interpolexp(A2590,serie_du,Taxas_DI)</f>
        <v>0.12322685801173794</v>
      </c>
      <c r="C2590" s="37">
        <f t="shared" ca="1" si="121"/>
        <v>3.2998429571429106</v>
      </c>
      <c r="D2590" s="36">
        <f t="shared" ca="1" si="123"/>
        <v>0.12097477210737195</v>
      </c>
      <c r="E2590" s="32">
        <v>0.12032999164917069</v>
      </c>
      <c r="F2590" s="35">
        <f t="shared" ca="1" si="122"/>
        <v>2.8968663625672519E-3</v>
      </c>
    </row>
    <row r="2591" spans="1:6" x14ac:dyDescent="0.25">
      <c r="A2591" s="23">
        <v>2590</v>
      </c>
      <c r="B2591" s="7" cm="1">
        <f t="array" aca="1" ref="B2591" ca="1">interpolexp(A2591,serie_du,Taxas_DI)</f>
        <v>0.12322598760730052</v>
      </c>
      <c r="C2591" s="37">
        <f t="shared" ca="1" si="121"/>
        <v>3.3013386832071125</v>
      </c>
      <c r="D2591" s="36">
        <f t="shared" ca="1" si="123"/>
        <v>0.12097477040343163</v>
      </c>
      <c r="E2591" s="32">
        <v>0.12032911153843084</v>
      </c>
      <c r="F2591" s="35">
        <f t="shared" ca="1" si="122"/>
        <v>2.8968760688696804E-3</v>
      </c>
    </row>
    <row r="2592" spans="1:6" x14ac:dyDescent="0.25">
      <c r="A2592" s="23">
        <v>2591</v>
      </c>
      <c r="B2592" s="7" cm="1">
        <f t="array" aca="1" ref="B2592" ca="1">interpolexp(A2592,serie_du,Taxas_DI)</f>
        <v>0.12322511787474788</v>
      </c>
      <c r="C2592" s="37">
        <f t="shared" ca="1" si="121"/>
        <v>3.30283508722205</v>
      </c>
      <c r="D2592" s="36">
        <f t="shared" ca="1" si="123"/>
        <v>0.12097476870574453</v>
      </c>
      <c r="E2592" s="32">
        <v>0.12032823210705867</v>
      </c>
      <c r="F2592" s="35">
        <f t="shared" ca="1" si="122"/>
        <v>2.8968857676892057E-3</v>
      </c>
    </row>
    <row r="2593" spans="1:6" x14ac:dyDescent="0.25">
      <c r="A2593" s="23">
        <v>2592</v>
      </c>
      <c r="B2593" s="7" cm="1">
        <f t="array" aca="1" ref="B2593" ca="1">interpolexp(A2593,serie_du,Taxas_DI)</f>
        <v>0.12322424881328065</v>
      </c>
      <c r="C2593" s="37">
        <f t="shared" ca="1" si="121"/>
        <v>3.3043321694943693</v>
      </c>
      <c r="D2593" s="36">
        <f t="shared" ca="1" si="123"/>
        <v>0.12097476695409792</v>
      </c>
      <c r="E2593" s="32">
        <v>0.12032735335425482</v>
      </c>
      <c r="F2593" s="35">
        <f t="shared" ca="1" si="122"/>
        <v>2.8968954590258278E-3</v>
      </c>
    </row>
    <row r="2594" spans="1:6" x14ac:dyDescent="0.25">
      <c r="A2594" s="23">
        <v>2593</v>
      </c>
      <c r="B2594" s="7" cm="1">
        <f t="array" aca="1" ref="B2594" ca="1">interpolexp(A2594,serie_du,Taxas_DI)</f>
        <v>0.12322338042214387</v>
      </c>
      <c r="C2594" s="37">
        <f t="shared" ca="1" si="121"/>
        <v>3.305829930332159</v>
      </c>
      <c r="D2594" s="36">
        <f t="shared" ca="1" si="123"/>
        <v>0.12097476525984807</v>
      </c>
      <c r="E2594" s="32">
        <v>0.12032647527926432</v>
      </c>
      <c r="F2594" s="35">
        <f t="shared" ca="1" si="122"/>
        <v>2.8969051428795467E-3</v>
      </c>
    </row>
    <row r="2595" spans="1:6" x14ac:dyDescent="0.25">
      <c r="A2595" s="23">
        <v>2594</v>
      </c>
      <c r="B2595" s="7" cm="1">
        <f t="array" aca="1" ref="B2595" ca="1">interpolexp(A2595,serie_du,Taxas_DI)</f>
        <v>0.12322251270053819</v>
      </c>
      <c r="C2595" s="37">
        <f t="shared" ca="1" si="121"/>
        <v>3.3073283700422684</v>
      </c>
      <c r="D2595" s="36">
        <f t="shared" ca="1" si="123"/>
        <v>0.12097476350517566</v>
      </c>
      <c r="E2595" s="32">
        <v>0.12032559788126562</v>
      </c>
      <c r="F2595" s="35">
        <f t="shared" ca="1" si="122"/>
        <v>2.8969148192725669E-3</v>
      </c>
    </row>
    <row r="2596" spans="1:6" x14ac:dyDescent="0.25">
      <c r="A2596" s="23">
        <v>2595</v>
      </c>
      <c r="B2596" s="7" cm="1">
        <f t="array" aca="1" ref="B2596" ca="1">interpolexp(A2596,serie_du,Taxas_DI)</f>
        <v>0.12322164564770866</v>
      </c>
      <c r="C2596" s="37">
        <f t="shared" ca="1" si="121"/>
        <v>3.3088274889329949</v>
      </c>
      <c r="D2596" s="36">
        <f t="shared" ca="1" si="123"/>
        <v>0.1209747618019712</v>
      </c>
      <c r="E2596" s="32">
        <v>0.12032472115950377</v>
      </c>
      <c r="F2596" s="35">
        <f t="shared" ca="1" si="122"/>
        <v>2.8969244882048883E-3</v>
      </c>
    </row>
    <row r="2597" spans="1:6" x14ac:dyDescent="0.25">
      <c r="A2597" s="23">
        <v>2596</v>
      </c>
      <c r="B2597" s="7" cm="1">
        <f t="array" aca="1" ref="B2597" ca="1">interpolexp(A2597,serie_du,Taxas_DI)</f>
        <v>0.12322077926287811</v>
      </c>
      <c r="C2597" s="37">
        <f t="shared" ca="1" si="121"/>
        <v>3.3103272873120684</v>
      </c>
      <c r="D2597" s="36">
        <f t="shared" ca="1" si="123"/>
        <v>0.12097476008969155</v>
      </c>
      <c r="E2597" s="32">
        <v>0.1203238451132016</v>
      </c>
      <c r="F2597" s="35">
        <f t="shared" ca="1" si="122"/>
        <v>2.8969341496765111E-3</v>
      </c>
    </row>
    <row r="2598" spans="1:6" x14ac:dyDescent="0.25">
      <c r="A2598" s="23">
        <v>2597</v>
      </c>
      <c r="B2598" s="7" cm="1">
        <f t="array" aca="1" ref="B2598" ca="1">interpolexp(A2598,serie_du,Taxas_DI)</f>
        <v>0.1232199135452694</v>
      </c>
      <c r="C2598" s="37">
        <f t="shared" ca="1" si="121"/>
        <v>3.3118277654873172</v>
      </c>
      <c r="D2598" s="36">
        <f t="shared" ca="1" si="123"/>
        <v>0.12097475836500582</v>
      </c>
      <c r="E2598" s="32">
        <v>0.12032296974155976</v>
      </c>
      <c r="F2598" s="35">
        <f t="shared" ca="1" si="122"/>
        <v>2.8969438037096396E-3</v>
      </c>
    </row>
    <row r="2599" spans="1:6" x14ac:dyDescent="0.25">
      <c r="A2599" s="23">
        <v>2598</v>
      </c>
      <c r="B2599" s="7" cm="1">
        <f t="array" aca="1" ref="B2599" ca="1">interpolexp(A2599,serie_du,Taxas_DI)</f>
        <v>0.12321904849412757</v>
      </c>
      <c r="C2599" s="37">
        <f t="shared" ca="1" si="121"/>
        <v>3.3133289237673518</v>
      </c>
      <c r="D2599" s="36">
        <f t="shared" ca="1" si="123"/>
        <v>0.12097475668258939</v>
      </c>
      <c r="E2599" s="32">
        <v>0.12032209504380109</v>
      </c>
      <c r="F2599" s="35">
        <f t="shared" ca="1" si="122"/>
        <v>2.8969534503264782E-3</v>
      </c>
    </row>
    <row r="2600" spans="1:6" x14ac:dyDescent="0.25">
      <c r="A2600" s="23">
        <v>2599</v>
      </c>
      <c r="B2600" s="7" cm="1">
        <f t="array" aca="1" ref="B2600" ca="1">interpolexp(A2600,serie_du,Taxas_DI)</f>
        <v>0.12321818410867547</v>
      </c>
      <c r="C2600" s="37">
        <f t="shared" ca="1" si="121"/>
        <v>3.3148307624602111</v>
      </c>
      <c r="D2600" s="36">
        <f t="shared" ca="1" si="123"/>
        <v>0.12097475498179411</v>
      </c>
      <c r="E2600" s="32">
        <v>0.12032122101917064</v>
      </c>
      <c r="F2600" s="35">
        <f t="shared" ca="1" si="122"/>
        <v>2.8969630895048226E-3</v>
      </c>
    </row>
    <row r="2601" spans="1:6" x14ac:dyDescent="0.25">
      <c r="A2601" s="23">
        <v>2600</v>
      </c>
      <c r="B2601" s="7" cm="1">
        <f t="array" aca="1" ref="B2601" ca="1">interpolexp(A2601,serie_du,Taxas_DI)</f>
        <v>0.12321732038813593</v>
      </c>
      <c r="C2601" s="37">
        <f t="shared" ca="1" si="121"/>
        <v>3.3163332818740368</v>
      </c>
      <c r="D2601" s="36">
        <f t="shared" ca="1" si="123"/>
        <v>0.12097475325952955</v>
      </c>
      <c r="E2601" s="32">
        <v>0.12032034766684685</v>
      </c>
      <c r="F2601" s="35">
        <f t="shared" ca="1" si="122"/>
        <v>2.8969727212890817E-3</v>
      </c>
    </row>
    <row r="2602" spans="1:6" x14ac:dyDescent="0.25">
      <c r="A2602" s="23">
        <v>2601</v>
      </c>
      <c r="B2602" s="7" cm="1">
        <f t="array" aca="1" ref="B2602" ca="1">interpolexp(A2602,serie_du,Taxas_DI)</f>
        <v>0.12321645733175401</v>
      </c>
      <c r="C2602" s="37">
        <f t="shared" ca="1" si="121"/>
        <v>3.3178364823177495</v>
      </c>
      <c r="D2602" s="36">
        <f t="shared" ca="1" si="123"/>
        <v>0.12097475157025417</v>
      </c>
      <c r="E2602" s="32">
        <v>0.12031947498611917</v>
      </c>
      <c r="F2602" s="35">
        <f t="shared" ca="1" si="122"/>
        <v>2.8969823456348465E-3</v>
      </c>
    </row>
    <row r="2603" spans="1:6" x14ac:dyDescent="0.25">
      <c r="A2603" s="23">
        <v>2602</v>
      </c>
      <c r="B2603" s="7" cm="1">
        <f t="array" aca="1" ref="B2603" ca="1">interpolexp(A2603,serie_du,Taxas_DI)</f>
        <v>0.12321559493875256</v>
      </c>
      <c r="C2603" s="37">
        <f t="shared" ca="1" si="121"/>
        <v>3.3193403640996988</v>
      </c>
      <c r="D2603" s="36">
        <f t="shared" ca="1" si="123"/>
        <v>0.12097474985338574</v>
      </c>
      <c r="E2603" s="32">
        <v>0.12031860297614383</v>
      </c>
      <c r="F2603" s="35">
        <f t="shared" ca="1" si="122"/>
        <v>2.8969919626087304E-3</v>
      </c>
    </row>
    <row r="2604" spans="1:6" x14ac:dyDescent="0.25">
      <c r="A2604" s="23">
        <v>2603</v>
      </c>
      <c r="B2604" s="7" cm="1">
        <f t="array" aca="1" ref="B2604" ca="1">interpolexp(A2604,serie_du,Taxas_DI)</f>
        <v>0.12321473320837661</v>
      </c>
      <c r="C2604" s="37">
        <f t="shared" ca="1" si="121"/>
        <v>3.3208449275290137</v>
      </c>
      <c r="D2604" s="36">
        <f t="shared" ca="1" si="123"/>
        <v>0.12097474816340181</v>
      </c>
      <c r="E2604" s="32">
        <v>0.12031773163618809</v>
      </c>
      <c r="F2604" s="35">
        <f t="shared" ca="1" si="122"/>
        <v>2.8970015721885289E-3</v>
      </c>
    </row>
    <row r="2605" spans="1:6" x14ac:dyDescent="0.25">
      <c r="A2605" s="23">
        <v>2604</v>
      </c>
      <c r="B2605" s="7" cm="1">
        <f t="array" aca="1" ref="B2605" ca="1">interpolexp(A2605,serie_du,Taxas_DI)</f>
        <v>0.12321387213987123</v>
      </c>
      <c r="C2605" s="37">
        <f t="shared" ca="1" si="121"/>
        <v>3.3223501729149292</v>
      </c>
      <c r="D2605" s="36">
        <f t="shared" ca="1" si="123"/>
        <v>0.12097474649732298</v>
      </c>
      <c r="E2605" s="32">
        <v>0.12031686096547478</v>
      </c>
      <c r="F2605" s="35">
        <f t="shared" ca="1" si="122"/>
        <v>2.8970111743964466E-3</v>
      </c>
    </row>
    <row r="2606" spans="1:6" x14ac:dyDescent="0.25">
      <c r="A2606" s="23">
        <v>2605</v>
      </c>
      <c r="B2606" s="7" cm="1">
        <f t="array" aca="1" ref="B2606" ca="1">interpolexp(A2606,serie_du,Taxas_DI)</f>
        <v>0.12321301173243704</v>
      </c>
      <c r="C2606" s="37">
        <f t="shared" ca="1" si="121"/>
        <v>3.3238561005654264</v>
      </c>
      <c r="D2606" s="36">
        <f t="shared" ca="1" si="123"/>
        <v>0.12097474473670822</v>
      </c>
      <c r="E2606" s="32">
        <v>0.12031599096322676</v>
      </c>
      <c r="F2606" s="35">
        <f t="shared" ca="1" si="122"/>
        <v>2.897020769210279E-3</v>
      </c>
    </row>
    <row r="2607" spans="1:6" x14ac:dyDescent="0.25">
      <c r="A2607" s="23">
        <v>2606</v>
      </c>
      <c r="B2607" s="7" cm="1">
        <f t="array" aca="1" ref="B2607" ca="1">interpolexp(A2607,serie_du,Taxas_DI)</f>
        <v>0.1232121519853635</v>
      </c>
      <c r="C2607" s="37">
        <f t="shared" ca="1" si="121"/>
        <v>3.3253627107913069</v>
      </c>
      <c r="D2607" s="36">
        <f t="shared" ca="1" si="123"/>
        <v>0.12097474310929912</v>
      </c>
      <c r="E2607" s="32">
        <v>0.12031512162868907</v>
      </c>
      <c r="F2607" s="35">
        <f t="shared" ca="1" si="122"/>
        <v>2.8970303566744349E-3</v>
      </c>
    </row>
    <row r="2608" spans="1:6" x14ac:dyDescent="0.25">
      <c r="A2608" s="23">
        <v>2607</v>
      </c>
      <c r="B2608" s="7" cm="1">
        <f t="array" aca="1" ref="B2608" ca="1">interpolexp(A2608,serie_du,Taxas_DI)</f>
        <v>0.12321129289785127</v>
      </c>
      <c r="C2608" s="37">
        <f t="shared" ca="1" si="121"/>
        <v>3.3268700039007597</v>
      </c>
      <c r="D2608" s="36">
        <f t="shared" ca="1" si="123"/>
        <v>0.1209747413812674</v>
      </c>
      <c r="E2608" s="32">
        <v>0.12031425296108456</v>
      </c>
      <c r="F2608" s="35">
        <f t="shared" ca="1" si="122"/>
        <v>2.8970399367667099E-3</v>
      </c>
    </row>
    <row r="2609" spans="1:6" x14ac:dyDescent="0.25">
      <c r="A2609" s="23">
        <v>2608</v>
      </c>
      <c r="B2609" s="7" cm="1">
        <f t="array" aca="1" ref="B2609" ca="1">interpolexp(A2609,serie_du,Taxas_DI)</f>
        <v>0.12321043446916757</v>
      </c>
      <c r="C2609" s="37">
        <f t="shared" ca="1" si="121"/>
        <v>3.3283779802041171</v>
      </c>
      <c r="D2609" s="36">
        <f t="shared" ca="1" si="123"/>
        <v>0.12097473972277428</v>
      </c>
      <c r="E2609" s="32">
        <v>0.12031338495963606</v>
      </c>
      <c r="F2609" s="35">
        <f t="shared" ca="1" si="122"/>
        <v>2.897049509531513E-3</v>
      </c>
    </row>
    <row r="2610" spans="1:6" x14ac:dyDescent="0.25">
      <c r="A2610" s="23">
        <v>2609</v>
      </c>
      <c r="B2610" s="7" cm="1">
        <f t="array" aca="1" ref="B2610" ca="1">interpolexp(A2610,serie_du,Taxas_DI)</f>
        <v>0.12320957669851307</v>
      </c>
      <c r="C2610" s="37">
        <f t="shared" ca="1" si="121"/>
        <v>3.3298866400097742</v>
      </c>
      <c r="D2610" s="36">
        <f t="shared" ca="1" si="123"/>
        <v>0.12097473795732139</v>
      </c>
      <c r="E2610" s="32">
        <v>0.12031251762356643</v>
      </c>
      <c r="F2610" s="35">
        <f t="shared" ca="1" si="122"/>
        <v>2.8970590749466396E-3</v>
      </c>
    </row>
    <row r="2611" spans="1:6" x14ac:dyDescent="0.25">
      <c r="A2611" s="23">
        <v>2610</v>
      </c>
      <c r="B2611" s="7" cm="1">
        <f t="array" aca="1" ref="B2611" ca="1">interpolexp(A2611,serie_du,Taxas_DI)</f>
        <v>0.12320871958519941</v>
      </c>
      <c r="C2611" s="37">
        <f t="shared" ca="1" si="121"/>
        <v>3.3313959836296365</v>
      </c>
      <c r="D2611" s="36">
        <f t="shared" ca="1" si="123"/>
        <v>0.12097473637105782</v>
      </c>
      <c r="E2611" s="32">
        <v>0.12031165095216512</v>
      </c>
      <c r="F2611" s="35">
        <f t="shared" ca="1" si="122"/>
        <v>2.8970686330342943E-3</v>
      </c>
    </row>
    <row r="2612" spans="1:6" x14ac:dyDescent="0.25">
      <c r="A2612" s="23">
        <v>2611</v>
      </c>
      <c r="B2612" s="7" cm="1">
        <f t="array" aca="1" ref="B2612" ca="1">interpolexp(A2612,serie_du,Taxas_DI)</f>
        <v>0.12320786312840504</v>
      </c>
      <c r="C2612" s="37">
        <f t="shared" ca="1" si="121"/>
        <v>3.3329060113716267</v>
      </c>
      <c r="D2612" s="36">
        <f t="shared" ca="1" si="123"/>
        <v>0.12097473461398556</v>
      </c>
      <c r="E2612" s="32">
        <v>0.12031078494461056</v>
      </c>
      <c r="F2612" s="35">
        <f t="shared" ca="1" si="122"/>
        <v>2.897078183794477E-3</v>
      </c>
    </row>
    <row r="2613" spans="1:6" x14ac:dyDescent="0.25">
      <c r="A2613" s="23">
        <v>2612</v>
      </c>
      <c r="B2613" s="7" cm="1">
        <f t="array" aca="1" ref="B2613" ca="1">interpolexp(A2613,serie_du,Taxas_DI)</f>
        <v>0.1232070073274194</v>
      </c>
      <c r="C2613" s="37">
        <f t="shared" ca="1" si="121"/>
        <v>3.3344167235471804</v>
      </c>
      <c r="D2613" s="36">
        <f t="shared" ca="1" si="123"/>
        <v>0.12097473297230765</v>
      </c>
      <c r="E2613" s="32">
        <v>0.12030991960017001</v>
      </c>
      <c r="F2613" s="35">
        <f t="shared" ca="1" si="122"/>
        <v>2.8970877272493922E-3</v>
      </c>
    </row>
    <row r="2614" spans="1:6" x14ac:dyDescent="0.25">
      <c r="A2614" s="23">
        <v>2613</v>
      </c>
      <c r="B2614" s="7" cm="1">
        <f t="array" aca="1" ref="B2614" ca="1">interpolexp(A2614,serie_du,Taxas_DI)</f>
        <v>0.12320615218146536</v>
      </c>
      <c r="C2614" s="37">
        <f t="shared" ca="1" si="121"/>
        <v>3.3359281204657907</v>
      </c>
      <c r="D2614" s="36">
        <f t="shared" ca="1" si="123"/>
        <v>0.12097473126934077</v>
      </c>
      <c r="E2614" s="32">
        <v>0.12030905491806632</v>
      </c>
      <c r="F2614" s="35">
        <f t="shared" ca="1" si="122"/>
        <v>2.8970972633990399E-3</v>
      </c>
    </row>
    <row r="2615" spans="1:6" x14ac:dyDescent="0.25">
      <c r="A2615" s="23">
        <v>2614</v>
      </c>
      <c r="B2615" s="7" cm="1">
        <f t="array" aca="1" ref="B2615" ca="1">interpolexp(A2615,serie_du,Taxas_DI)</f>
        <v>0.12320529768981014</v>
      </c>
      <c r="C2615" s="37">
        <f t="shared" ca="1" si="121"/>
        <v>3.3374402024384247</v>
      </c>
      <c r="D2615" s="36">
        <f t="shared" ca="1" si="123"/>
        <v>0.12097472961799394</v>
      </c>
      <c r="E2615" s="32">
        <v>0.12030819089754452</v>
      </c>
      <c r="F2615" s="35">
        <f t="shared" ca="1" si="122"/>
        <v>2.8971067922656246E-3</v>
      </c>
    </row>
    <row r="2616" spans="1:6" x14ac:dyDescent="0.25">
      <c r="A2616" s="23">
        <v>2615</v>
      </c>
      <c r="B2616" s="7" cm="1">
        <f t="array" aca="1" ref="B2616" ca="1">interpolexp(A2616,serie_du,Taxas_DI)</f>
        <v>0.12320444385167661</v>
      </c>
      <c r="C2616" s="37">
        <f t="shared" ca="1" si="121"/>
        <v>3.3389529697747831</v>
      </c>
      <c r="D2616" s="36">
        <f t="shared" ca="1" si="123"/>
        <v>0.12097472789923724</v>
      </c>
      <c r="E2616" s="32">
        <v>0.12030732753784967</v>
      </c>
      <c r="F2616" s="35">
        <f t="shared" ca="1" si="122"/>
        <v>2.8971163138269418E-3</v>
      </c>
    </row>
    <row r="2617" spans="1:6" x14ac:dyDescent="0.25">
      <c r="A2617" s="23">
        <v>2616</v>
      </c>
      <c r="B2617" s="7" cm="1">
        <f t="array" aca="1" ref="B2617" ca="1">interpolexp(A2617,serie_du,Taxas_DI)</f>
        <v>0.12320359066635422</v>
      </c>
      <c r="C2617" s="37">
        <f t="shared" ca="1" si="121"/>
        <v>3.3404664227867298</v>
      </c>
      <c r="D2617" s="36">
        <f t="shared" ca="1" si="123"/>
        <v>0.12097472628421158</v>
      </c>
      <c r="E2617" s="32">
        <v>0.12030646483824903</v>
      </c>
      <c r="F2617" s="35">
        <f t="shared" ca="1" si="122"/>
        <v>2.8971258281051959E-3</v>
      </c>
    </row>
    <row r="2618" spans="1:6" x14ac:dyDescent="0.25">
      <c r="A2618" s="23">
        <v>2617</v>
      </c>
      <c r="B2618" s="7" cm="1">
        <f t="array" aca="1" ref="B2618" ca="1">interpolexp(A2618,serie_du,Taxas_DI)</f>
        <v>0.12320273813306581</v>
      </c>
      <c r="C2618" s="37">
        <f t="shared" ca="1" si="121"/>
        <v>3.341980561784176</v>
      </c>
      <c r="D2618" s="36">
        <f t="shared" ca="1" si="123"/>
        <v>0.12097472459574976</v>
      </c>
      <c r="E2618" s="32">
        <v>0.12030560279794322</v>
      </c>
      <c r="F2618" s="35">
        <f t="shared" ca="1" si="122"/>
        <v>2.8971353351225915E-3</v>
      </c>
    </row>
    <row r="2619" spans="1:6" x14ac:dyDescent="0.25">
      <c r="A2619" s="23">
        <v>2618</v>
      </c>
      <c r="B2619" s="7" cm="1">
        <f t="array" aca="1" ref="B2619" ca="1">interpolexp(A2619,serie_du,Taxas_DI)</f>
        <v>0.12320188625105644</v>
      </c>
      <c r="C2619" s="37">
        <f t="shared" ca="1" si="121"/>
        <v>3.3434953870778257</v>
      </c>
      <c r="D2619" s="36">
        <f t="shared" ca="1" si="123"/>
        <v>0.12097472288903188</v>
      </c>
      <c r="E2619" s="32">
        <v>0.12030474141617731</v>
      </c>
      <c r="F2619" s="35">
        <f t="shared" ca="1" si="122"/>
        <v>2.8971448348791284E-3</v>
      </c>
    </row>
    <row r="2620" spans="1:6" x14ac:dyDescent="0.25">
      <c r="A2620" s="23">
        <v>2619</v>
      </c>
      <c r="B2620" s="7" cm="1">
        <f t="array" aca="1" ref="B2620" ca="1">interpolexp(A2620,serie_du,Taxas_DI)</f>
        <v>0.12320103501961555</v>
      </c>
      <c r="C2620" s="37">
        <f t="shared" ca="1" si="121"/>
        <v>3.3450108989798575</v>
      </c>
      <c r="D2620" s="36">
        <f t="shared" ca="1" si="123"/>
        <v>0.1209747212767549</v>
      </c>
      <c r="E2620" s="32">
        <v>0.12030388069224074</v>
      </c>
      <c r="F2620" s="35">
        <f t="shared" ca="1" si="122"/>
        <v>2.8971543273748068E-3</v>
      </c>
    </row>
    <row r="2621" spans="1:6" x14ac:dyDescent="0.25">
      <c r="A2621" s="23">
        <v>2620</v>
      </c>
      <c r="B2621" s="7" cm="1">
        <f t="array" aca="1" ref="B2621" ca="1">interpolexp(A2621,serie_du,Taxas_DI)</f>
        <v>0.12320018443796599</v>
      </c>
      <c r="C2621" s="37">
        <f t="shared" ca="1" si="121"/>
        <v>3.3465270978005011</v>
      </c>
      <c r="D2621" s="36">
        <f t="shared" ca="1" si="123"/>
        <v>0.12097471958231409</v>
      </c>
      <c r="E2621" s="32">
        <v>0.12030302062533416</v>
      </c>
      <c r="F2621" s="35">
        <f t="shared" ca="1" si="122"/>
        <v>2.8971638126318311E-3</v>
      </c>
    </row>
    <row r="2622" spans="1:6" x14ac:dyDescent="0.25">
      <c r="A2622" s="23">
        <v>2621</v>
      </c>
      <c r="B2622" s="7" cm="1">
        <f t="array" aca="1" ref="B2622" ca="1">interpolexp(A2622,serie_du,Taxas_DI)</f>
        <v>0.12319933450537501</v>
      </c>
      <c r="C2622" s="37">
        <f t="shared" ca="1" si="121"/>
        <v>3.3480439838514622</v>
      </c>
      <c r="D2622" s="36">
        <f t="shared" ca="1" si="123"/>
        <v>0.12097471791849213</v>
      </c>
      <c r="E2622" s="32">
        <v>0.12030216121472481</v>
      </c>
      <c r="F2622" s="35">
        <f t="shared" ca="1" si="122"/>
        <v>2.8971732906502012E-3</v>
      </c>
    </row>
    <row r="2623" spans="1:6" x14ac:dyDescent="0.25">
      <c r="A2623" s="23">
        <v>2622</v>
      </c>
      <c r="B2623" s="7" cm="1">
        <f t="array" aca="1" ref="B2623" ca="1">interpolexp(A2623,serie_du,Taxas_DI)</f>
        <v>0.12319848522108767</v>
      </c>
      <c r="C2623" s="37">
        <f t="shared" ca="1" si="121"/>
        <v>3.3495615574438657</v>
      </c>
      <c r="D2623" s="36">
        <f t="shared" ca="1" si="123"/>
        <v>0.12097471622443789</v>
      </c>
      <c r="E2623" s="32">
        <v>0.12030130245965776</v>
      </c>
      <c r="F2623" s="35">
        <f t="shared" ca="1" si="122"/>
        <v>2.8971827614299173E-3</v>
      </c>
    </row>
    <row r="2624" spans="1:6" x14ac:dyDescent="0.25">
      <c r="A2624" s="23">
        <v>2623</v>
      </c>
      <c r="B2624" s="7" cm="1">
        <f t="array" aca="1" ref="B2624" ca="1">interpolexp(A2624,serie_du,Taxas_DI)</f>
        <v>0.12319763658439342</v>
      </c>
      <c r="C2624" s="37">
        <f t="shared" ca="1" si="121"/>
        <v>3.3510798188903186</v>
      </c>
      <c r="D2624" s="36">
        <f t="shared" ca="1" si="123"/>
        <v>0.12097471461308262</v>
      </c>
      <c r="E2624" s="32">
        <v>0.12030044435940024</v>
      </c>
      <c r="F2624" s="35">
        <f t="shared" ca="1" si="122"/>
        <v>2.8971922249931836E-3</v>
      </c>
    </row>
    <row r="2625" spans="1:6" x14ac:dyDescent="0.25">
      <c r="A2625" s="23">
        <v>2624</v>
      </c>
      <c r="B2625" s="7" cm="1">
        <f t="array" aca="1" ref="B2625" ca="1">interpolexp(A2625,serie_du,Taxas_DI)</f>
        <v>0.12319678859451511</v>
      </c>
      <c r="C2625" s="37">
        <f t="shared" ca="1" si="121"/>
        <v>3.3525987685014718</v>
      </c>
      <c r="D2625" s="36">
        <f t="shared" ca="1" si="123"/>
        <v>0.12097471290778428</v>
      </c>
      <c r="E2625" s="32">
        <v>0.12029958691319731</v>
      </c>
      <c r="F2625" s="35">
        <f t="shared" ca="1" si="122"/>
        <v>2.8972016813177959E-3</v>
      </c>
    </row>
    <row r="2626" spans="1:6" x14ac:dyDescent="0.25">
      <c r="A2626" s="23">
        <v>2625</v>
      </c>
      <c r="B2626" s="7" cm="1">
        <f t="array" aca="1" ref="B2626" ca="1">interpolexp(A2626,serie_du,Taxas_DI)</f>
        <v>0.12319594125074218</v>
      </c>
      <c r="C2626" s="37">
        <f t="shared" ref="C2626:C2689" ca="1" si="124">(1+B2626)^(A2626/252)</f>
        <v>3.3541184065901435</v>
      </c>
      <c r="D2626" s="36">
        <f t="shared" ca="1" si="123"/>
        <v>0.12097471127910375</v>
      </c>
      <c r="E2626" s="32">
        <v>0.12029873012027181</v>
      </c>
      <c r="F2626" s="35">
        <f t="shared" ref="F2626:F2689" ca="1" si="125">B2626-E2626</f>
        <v>2.8972111304703674E-3</v>
      </c>
    </row>
    <row r="2627" spans="1:6" x14ac:dyDescent="0.25">
      <c r="A2627" s="23">
        <v>2626</v>
      </c>
      <c r="B2627" s="7" cm="1">
        <f t="array" aca="1" ref="B2627" ca="1">interpolexp(A2627,serie_du,Taxas_DI)</f>
        <v>0.12319509455231969</v>
      </c>
      <c r="C2627" s="37">
        <f t="shared" ca="1" si="124"/>
        <v>3.3556387334678845</v>
      </c>
      <c r="D2627" s="36">
        <f t="shared" ca="1" si="123"/>
        <v>0.12097470960845857</v>
      </c>
      <c r="E2627" s="32">
        <v>0.12029787397991321</v>
      </c>
      <c r="F2627" s="35">
        <f t="shared" ca="1" si="125"/>
        <v>2.8972205724064892E-3</v>
      </c>
    </row>
    <row r="2628" spans="1:6" x14ac:dyDescent="0.25">
      <c r="A2628" s="23">
        <v>2627</v>
      </c>
      <c r="B2628" s="7" cm="1">
        <f t="array" aca="1" ref="B2628" ca="1">interpolexp(A2628,serie_du,Taxas_DI)</f>
        <v>0.12319424849853711</v>
      </c>
      <c r="C2628" s="37">
        <f t="shared" ca="1" si="124"/>
        <v>3.3571597494477317</v>
      </c>
      <c r="D2628" s="36">
        <f t="shared" ref="D2628:D2691" ca="1" si="126">((((1+B2628)^(A2628/252))/((1+B2627)^(A2627/252)))^(252/1))-1</f>
        <v>0.12097470800895604</v>
      </c>
      <c r="E2628" s="32">
        <v>0.12029701849136654</v>
      </c>
      <c r="F2628" s="35">
        <f t="shared" ca="1" si="125"/>
        <v>2.8972300071705703E-3</v>
      </c>
    </row>
    <row r="2629" spans="1:6" x14ac:dyDescent="0.25">
      <c r="A2629" s="23">
        <v>2628</v>
      </c>
      <c r="B2629" s="7" cm="1">
        <f t="array" aca="1" ref="B2629" ca="1">interpolexp(A2629,serie_du,Taxas_DI)</f>
        <v>0.12319340308861726</v>
      </c>
      <c r="C2629" s="37">
        <f t="shared" ca="1" si="124"/>
        <v>3.3586814548407542</v>
      </c>
      <c r="D2629" s="36">
        <f t="shared" ca="1" si="126"/>
        <v>0.12097470630317408</v>
      </c>
      <c r="E2629" s="32">
        <v>0.12029616365385465</v>
      </c>
      <c r="F2629" s="35">
        <f t="shared" ca="1" si="125"/>
        <v>2.8972394347626107E-3</v>
      </c>
    </row>
    <row r="2630" spans="1:6" x14ac:dyDescent="0.25">
      <c r="A2630" s="23">
        <v>2629</v>
      </c>
      <c r="B2630" s="7" cm="1">
        <f t="array" aca="1" ref="B2630" ca="1">interpolexp(A2630,serie_du,Taxas_DI)</f>
        <v>0.12319255832184961</v>
      </c>
      <c r="C2630" s="37">
        <f t="shared" ca="1" si="124"/>
        <v>3.3602038499602012</v>
      </c>
      <c r="D2630" s="36">
        <f t="shared" ca="1" si="126"/>
        <v>0.12097470466265747</v>
      </c>
      <c r="E2630" s="32">
        <v>0.1202953094666892</v>
      </c>
      <c r="F2630" s="35">
        <f t="shared" ca="1" si="125"/>
        <v>2.8972488551604059E-3</v>
      </c>
    </row>
    <row r="2631" spans="1:6" x14ac:dyDescent="0.25">
      <c r="A2631" s="23">
        <v>2630</v>
      </c>
      <c r="B2631" s="7" cm="1">
        <f t="array" aca="1" ref="B2631" ca="1">interpolexp(A2631,serie_du,Taxas_DI)</f>
        <v>0.12319171419750141</v>
      </c>
      <c r="C2631" s="37">
        <f t="shared" ca="1" si="124"/>
        <v>3.3617269351187407</v>
      </c>
      <c r="D2631" s="36">
        <f t="shared" ca="1" si="126"/>
        <v>0.12097470302651159</v>
      </c>
      <c r="E2631" s="32">
        <v>0.12029445592911525</v>
      </c>
      <c r="F2631" s="35">
        <f t="shared" ca="1" si="125"/>
        <v>2.8972582683861603E-3</v>
      </c>
    </row>
    <row r="2632" spans="1:6" x14ac:dyDescent="0.25">
      <c r="A2632" s="23">
        <v>2631</v>
      </c>
      <c r="B2632" s="7" cm="1">
        <f t="array" aca="1" ref="B2632" ca="1">interpolexp(A2632,serie_du,Taxas_DI)</f>
        <v>0.12319087071483992</v>
      </c>
      <c r="C2632" s="37">
        <f t="shared" ca="1" si="124"/>
        <v>3.3632507106291429</v>
      </c>
      <c r="D2632" s="36">
        <f t="shared" ca="1" si="126"/>
        <v>0.12097470139144839</v>
      </c>
      <c r="E2632" s="32">
        <v>0.12029360304035563</v>
      </c>
      <c r="F2632" s="35">
        <f t="shared" ca="1" si="125"/>
        <v>2.8972676744842829E-3</v>
      </c>
    </row>
    <row r="2633" spans="1:6" x14ac:dyDescent="0.25">
      <c r="A2633" s="23">
        <v>2632</v>
      </c>
      <c r="B2633" s="7" cm="1">
        <f t="array" aca="1" ref="B2633" ca="1">interpolexp(A2633,serie_du,Taxas_DI)</f>
        <v>0.12319002787311017</v>
      </c>
      <c r="C2633" s="37">
        <f t="shared" ca="1" si="124"/>
        <v>3.3647751768035961</v>
      </c>
      <c r="D2633" s="36">
        <f t="shared" ca="1" si="126"/>
        <v>0.12097469969663455</v>
      </c>
      <c r="E2633" s="32">
        <v>0.12029275079969981</v>
      </c>
      <c r="F2633" s="35">
        <f t="shared" ca="1" si="125"/>
        <v>2.8972770734103648E-3</v>
      </c>
    </row>
    <row r="2634" spans="1:6" x14ac:dyDescent="0.25">
      <c r="A2634" s="23">
        <v>2633</v>
      </c>
      <c r="B2634" s="7" cm="1">
        <f t="array" aca="1" ref="B2634" ca="1">interpolexp(A2634,serie_du,Taxas_DI)</f>
        <v>0.12318918567162385</v>
      </c>
      <c r="C2634" s="37">
        <f t="shared" ca="1" si="124"/>
        <v>3.3663003339564739</v>
      </c>
      <c r="D2634" s="36">
        <f t="shared" ca="1" si="126"/>
        <v>0.12097469811383132</v>
      </c>
      <c r="E2634" s="32">
        <v>0.12029189920641503</v>
      </c>
      <c r="F2634" s="35">
        <f t="shared" ca="1" si="125"/>
        <v>2.8972864652088148E-3</v>
      </c>
    </row>
    <row r="2635" spans="1:6" x14ac:dyDescent="0.25">
      <c r="A2635" s="23">
        <v>2634</v>
      </c>
      <c r="B2635" s="7" cm="1">
        <f t="array" aca="1" ref="B2635" ca="1">interpolexp(A2635,serie_du,Taxas_DI)</f>
        <v>0.12318834410962598</v>
      </c>
      <c r="C2635" s="37">
        <f t="shared" ca="1" si="124"/>
        <v>3.3678261824001763</v>
      </c>
      <c r="D2635" s="36">
        <f t="shared" ca="1" si="126"/>
        <v>0.120974696465181</v>
      </c>
      <c r="E2635" s="32">
        <v>0.12029104825974635</v>
      </c>
      <c r="F2635" s="35">
        <f t="shared" ca="1" si="125"/>
        <v>2.8972958498796331E-3</v>
      </c>
    </row>
    <row r="2636" spans="1:6" x14ac:dyDescent="0.25">
      <c r="A2636" s="23">
        <v>2635</v>
      </c>
      <c r="B2636" s="7" cm="1">
        <f t="array" aca="1" ref="B2636" ca="1">interpolexp(A2636,serie_du,Taxas_DI)</f>
        <v>0.12318750318638383</v>
      </c>
      <c r="C2636" s="37">
        <f t="shared" ca="1" si="124"/>
        <v>3.3693527224479043</v>
      </c>
      <c r="D2636" s="36">
        <f t="shared" ca="1" si="126"/>
        <v>0.12097469480624312</v>
      </c>
      <c r="E2636" s="32">
        <v>0.12029019795896101</v>
      </c>
      <c r="F2636" s="35">
        <f t="shared" ca="1" si="125"/>
        <v>2.8973052274228195E-3</v>
      </c>
    </row>
    <row r="2637" spans="1:6" x14ac:dyDescent="0.25">
      <c r="A2637" s="23">
        <v>2636</v>
      </c>
      <c r="B2637" s="7" cm="1">
        <f t="array" aca="1" ref="B2637" ca="1">interpolexp(A2637,serie_du,Taxas_DI)</f>
        <v>0.12318666290118685</v>
      </c>
      <c r="C2637" s="37">
        <f t="shared" ca="1" si="124"/>
        <v>3.370879954413661</v>
      </c>
      <c r="D2637" s="36">
        <f t="shared" ca="1" si="126"/>
        <v>0.12097469319218312</v>
      </c>
      <c r="E2637" s="32">
        <v>0.12028934830332627</v>
      </c>
      <c r="F2637" s="35">
        <f t="shared" ca="1" si="125"/>
        <v>2.8973145978605785E-3</v>
      </c>
    </row>
    <row r="2638" spans="1:6" x14ac:dyDescent="0.25">
      <c r="A2638" s="23">
        <v>2637</v>
      </c>
      <c r="B2638" s="7" cm="1">
        <f t="array" aca="1" ref="B2638" ca="1">interpolexp(A2638,serie_du,Taxas_DI)</f>
        <v>0.1231858232533023</v>
      </c>
      <c r="C2638" s="37">
        <f t="shared" ca="1" si="124"/>
        <v>3.372407878610864</v>
      </c>
      <c r="D2638" s="36">
        <f t="shared" ca="1" si="126"/>
        <v>0.1209746915620924</v>
      </c>
      <c r="E2638" s="32">
        <v>0.12028849929210939</v>
      </c>
      <c r="F2638" s="35">
        <f t="shared" ca="1" si="125"/>
        <v>2.8973239611929102E-3</v>
      </c>
    </row>
    <row r="2639" spans="1:6" x14ac:dyDescent="0.25">
      <c r="A2639" s="23">
        <v>2638</v>
      </c>
      <c r="B2639" s="7" cm="1">
        <f t="array" aca="1" ref="B2639" ca="1">interpolexp(A2639,serie_du,Taxas_DI)</f>
        <v>0.12318498424199742</v>
      </c>
      <c r="C2639" s="37">
        <f t="shared" ca="1" si="124"/>
        <v>3.3739364953530351</v>
      </c>
      <c r="D2639" s="36">
        <f t="shared" ca="1" si="126"/>
        <v>0.12097468991281946</v>
      </c>
      <c r="E2639" s="32">
        <v>0.12028765092459981</v>
      </c>
      <c r="F2639" s="35">
        <f t="shared" ca="1" si="125"/>
        <v>2.8973333173976101E-3</v>
      </c>
    </row>
    <row r="2640" spans="1:6" x14ac:dyDescent="0.25">
      <c r="A2640" s="23">
        <v>2639</v>
      </c>
      <c r="B2640" s="7" cm="1">
        <f t="array" aca="1" ref="B2640" ca="1">interpolexp(A2640,serie_du,Taxas_DI)</f>
        <v>0.12318414586653947</v>
      </c>
      <c r="C2640" s="37">
        <f t="shared" ca="1" si="124"/>
        <v>3.3754658049538038</v>
      </c>
      <c r="D2640" s="36">
        <f t="shared" ca="1" si="126"/>
        <v>0.12097468824146707</v>
      </c>
      <c r="E2640" s="32">
        <v>0.12028680320002039</v>
      </c>
      <c r="F2640" s="35">
        <f t="shared" ca="1" si="125"/>
        <v>2.8973426665190871E-3</v>
      </c>
    </row>
    <row r="2641" spans="1:6" x14ac:dyDescent="0.25">
      <c r="A2641" s="23">
        <v>2640</v>
      </c>
      <c r="B2641" s="7" cm="1">
        <f t="array" aca="1" ref="B2641" ca="1">interpolexp(A2641,serie_du,Taxas_DI)</f>
        <v>0.12318330812624012</v>
      </c>
      <c r="C2641" s="37">
        <f t="shared" ca="1" si="124"/>
        <v>3.3769958077283051</v>
      </c>
      <c r="D2641" s="36">
        <f t="shared" ca="1" si="126"/>
        <v>0.12097468666215483</v>
      </c>
      <c r="E2641" s="32">
        <v>0.12028595611766058</v>
      </c>
      <c r="F2641" s="35">
        <f t="shared" ca="1" si="125"/>
        <v>2.8973520085795457E-3</v>
      </c>
    </row>
    <row r="2642" spans="1:6" x14ac:dyDescent="0.25">
      <c r="A2642" s="23">
        <v>2641</v>
      </c>
      <c r="B2642" s="7" cm="1">
        <f t="array" aca="1" ref="B2642" ca="1">interpolexp(A2642,serie_du,Taxas_DI)</f>
        <v>0.12318247102036661</v>
      </c>
      <c r="C2642" s="37">
        <f t="shared" ca="1" si="124"/>
        <v>3.3785265039903862</v>
      </c>
      <c r="D2642" s="36">
        <f t="shared" ca="1" si="126"/>
        <v>0.1209746850550808</v>
      </c>
      <c r="E2642" s="32">
        <v>0.12028510967680983</v>
      </c>
      <c r="F2642" s="35">
        <f t="shared" ca="1" si="125"/>
        <v>2.8973613435567813E-3</v>
      </c>
    </row>
    <row r="2643" spans="1:6" x14ac:dyDescent="0.25">
      <c r="A2643" s="23">
        <v>2642</v>
      </c>
      <c r="B2643" s="7" cm="1">
        <f t="array" aca="1" ref="B2643" ca="1">interpolexp(A2643,serie_du,Taxas_DI)</f>
        <v>0.1231816345481862</v>
      </c>
      <c r="C2643" s="37">
        <f t="shared" ca="1" si="124"/>
        <v>3.3800578940539996</v>
      </c>
      <c r="D2643" s="36">
        <f t="shared" ca="1" si="126"/>
        <v>0.12097468341719519</v>
      </c>
      <c r="E2643" s="32">
        <v>0.1202842638767132</v>
      </c>
      <c r="F2643" s="35">
        <f t="shared" ca="1" si="125"/>
        <v>2.8973706714729985E-3</v>
      </c>
    </row>
    <row r="2644" spans="1:6" x14ac:dyDescent="0.25">
      <c r="A2644" s="23">
        <v>2643</v>
      </c>
      <c r="B2644" s="7" cm="1">
        <f t="array" aca="1" ref="B2644" ca="1">interpolexp(A2644,serie_du,Taxas_DI)</f>
        <v>0.12318079870896614</v>
      </c>
      <c r="C2644" s="37">
        <f t="shared" ca="1" si="124"/>
        <v>3.381589978233206</v>
      </c>
      <c r="D2644" s="36">
        <f t="shared" ca="1" si="126"/>
        <v>0.1209746817457884</v>
      </c>
      <c r="E2644" s="32">
        <v>0.12028341871666015</v>
      </c>
      <c r="F2644" s="35">
        <f t="shared" ca="1" si="125"/>
        <v>2.8973799923059929E-3</v>
      </c>
    </row>
    <row r="2645" spans="1:6" x14ac:dyDescent="0.25">
      <c r="A2645" s="23">
        <v>2644</v>
      </c>
      <c r="B2645" s="7" cm="1">
        <f t="array" aca="1" ref="B2645" ca="1">interpolexp(A2645,serie_du,Taxas_DI)</f>
        <v>0.1231799635020181</v>
      </c>
      <c r="C2645" s="37">
        <f t="shared" ca="1" si="124"/>
        <v>3.3831227568435756</v>
      </c>
      <c r="D2645" s="36">
        <f t="shared" ca="1" si="126"/>
        <v>0.12097468015500246</v>
      </c>
      <c r="E2645" s="32">
        <v>0.12028257419591792</v>
      </c>
      <c r="F2645" s="35">
        <f t="shared" ca="1" si="125"/>
        <v>2.8973893061001732E-3</v>
      </c>
    </row>
    <row r="2646" spans="1:6" x14ac:dyDescent="0.25">
      <c r="A2646" s="23">
        <v>2645</v>
      </c>
      <c r="B2646" s="7" cm="1">
        <f t="array" aca="1" ref="B2646" ca="1">interpolexp(A2646,serie_du,Taxas_DI)</f>
        <v>0.12317912892663152</v>
      </c>
      <c r="C2646" s="37">
        <f t="shared" ca="1" si="124"/>
        <v>3.3846562302000871</v>
      </c>
      <c r="D2646" s="36">
        <f t="shared" ca="1" si="126"/>
        <v>0.12097467858333522</v>
      </c>
      <c r="E2646" s="32">
        <v>0.12028173031375378</v>
      </c>
      <c r="F2646" s="35">
        <f t="shared" ca="1" si="125"/>
        <v>2.897398612877744E-3</v>
      </c>
    </row>
    <row r="2647" spans="1:6" x14ac:dyDescent="0.25">
      <c r="A2647" s="23">
        <v>2646</v>
      </c>
      <c r="B2647" s="7" cm="1">
        <f t="array" aca="1" ref="B2647" ca="1">interpolexp(A2647,serie_du,Taxas_DI)</f>
        <v>0.12317829498205146</v>
      </c>
      <c r="C2647" s="37">
        <f t="shared" ca="1" si="124"/>
        <v>3.3861903986164248</v>
      </c>
      <c r="D2647" s="36">
        <f t="shared" ca="1" si="126"/>
        <v>0.12097467691104402</v>
      </c>
      <c r="E2647" s="32">
        <v>0.12028088706945717</v>
      </c>
      <c r="F2647" s="35">
        <f t="shared" ca="1" si="125"/>
        <v>2.8974079125942964E-3</v>
      </c>
    </row>
    <row r="2648" spans="1:6" x14ac:dyDescent="0.25">
      <c r="A2648" s="23">
        <v>2647</v>
      </c>
      <c r="B2648" s="7" cm="1">
        <f t="array" aca="1" ref="B2648" ca="1">interpolexp(A2648,serie_du,Taxas_DI)</f>
        <v>0.12317746166758958</v>
      </c>
      <c r="C2648" s="37">
        <f t="shared" ca="1" si="124"/>
        <v>3.3877252624084839</v>
      </c>
      <c r="D2648" s="36">
        <f t="shared" ca="1" si="126"/>
        <v>0.12097467531061734</v>
      </c>
      <c r="E2648" s="32">
        <v>0.12028004446231755</v>
      </c>
      <c r="F2648" s="35">
        <f t="shared" ca="1" si="125"/>
        <v>2.8974172052720348E-3</v>
      </c>
    </row>
    <row r="2649" spans="1:6" x14ac:dyDescent="0.25">
      <c r="A2649" s="23">
        <v>2648</v>
      </c>
      <c r="B2649" s="7" cm="1">
        <f t="array" aca="1" ref="B2649" ca="1">interpolexp(A2649,serie_du,Taxas_DI)</f>
        <v>0.12317662898251314</v>
      </c>
      <c r="C2649" s="37">
        <f t="shared" ca="1" si="124"/>
        <v>3.3892608218908657</v>
      </c>
      <c r="D2649" s="36">
        <f t="shared" ca="1" si="126"/>
        <v>0.12097467366226256</v>
      </c>
      <c r="E2649" s="32">
        <v>0.12027920249157997</v>
      </c>
      <c r="F2649" s="35">
        <f t="shared" ca="1" si="125"/>
        <v>2.8974264909331637E-3</v>
      </c>
    </row>
    <row r="2650" spans="1:6" x14ac:dyDescent="0.25">
      <c r="A2650" s="23">
        <v>2649</v>
      </c>
      <c r="B2650" s="7" cm="1">
        <f t="array" aca="1" ref="B2650" ca="1">interpolexp(A2650,serie_du,Taxas_DI)</f>
        <v>0.12317579692613378</v>
      </c>
      <c r="C2650" s="37">
        <f t="shared" ca="1" si="124"/>
        <v>3.3907970773796872</v>
      </c>
      <c r="D2650" s="36">
        <f t="shared" ca="1" si="126"/>
        <v>0.12097467208038282</v>
      </c>
      <c r="E2650" s="32">
        <v>0.1202783611565339</v>
      </c>
      <c r="F2650" s="35">
        <f t="shared" ca="1" si="125"/>
        <v>2.8974357695998876E-3</v>
      </c>
    </row>
    <row r="2651" spans="1:6" x14ac:dyDescent="0.25">
      <c r="A2651" s="23">
        <v>2650</v>
      </c>
      <c r="B2651" s="7" cm="1">
        <f t="array" aca="1" ref="B2651" ca="1">interpolexp(A2651,serie_du,Taxas_DI)</f>
        <v>0.12317496549774098</v>
      </c>
      <c r="C2651" s="37">
        <f t="shared" ca="1" si="124"/>
        <v>3.3923340291904709</v>
      </c>
      <c r="D2651" s="36">
        <f t="shared" ca="1" si="126"/>
        <v>0.12097467050349553</v>
      </c>
      <c r="E2651" s="32">
        <v>0.12027752045646878</v>
      </c>
      <c r="F2651" s="35">
        <f t="shared" ca="1" si="125"/>
        <v>2.8974450412722064E-3</v>
      </c>
    </row>
    <row r="2652" spans="1:6" x14ac:dyDescent="0.25">
      <c r="A2652" s="23">
        <v>2651</v>
      </c>
      <c r="B2652" s="7" cm="1">
        <f t="array" aca="1" ref="B2652" ca="1">interpolexp(A2652,serie_du,Taxas_DI)</f>
        <v>0.12317413469660199</v>
      </c>
      <c r="C2652" s="37">
        <f t="shared" ca="1" si="124"/>
        <v>3.3938716776381423</v>
      </c>
      <c r="D2652" s="36">
        <f t="shared" ca="1" si="126"/>
        <v>0.12097466886998332</v>
      </c>
      <c r="E2652" s="32">
        <v>0.12027668039065187</v>
      </c>
      <c r="F2652" s="35">
        <f t="shared" ca="1" si="125"/>
        <v>2.8974543059501201E-3</v>
      </c>
    </row>
    <row r="2653" spans="1:6" x14ac:dyDescent="0.25">
      <c r="A2653" s="23">
        <v>2652</v>
      </c>
      <c r="B2653" s="7" cm="1">
        <f t="array" aca="1" ref="B2653" ca="1">interpolexp(A2653,serie_du,Taxas_DI)</f>
        <v>0.12317330452200626</v>
      </c>
      <c r="C2653" s="37">
        <f t="shared" ca="1" si="124"/>
        <v>3.3954100230384401</v>
      </c>
      <c r="D2653" s="36">
        <f t="shared" ca="1" si="126"/>
        <v>0.1209746672357328</v>
      </c>
      <c r="E2653" s="32">
        <v>0.12027584095839483</v>
      </c>
      <c r="F2653" s="35">
        <f t="shared" ca="1" si="125"/>
        <v>2.8974635636114243E-3</v>
      </c>
    </row>
    <row r="2654" spans="1:6" x14ac:dyDescent="0.25">
      <c r="A2654" s="23">
        <v>2653</v>
      </c>
      <c r="B2654" s="7" cm="1">
        <f t="array" aca="1" ref="B2654" ca="1">interpolexp(A2654,serie_du,Taxas_DI)</f>
        <v>0.12317247497326544</v>
      </c>
      <c r="C2654" s="37">
        <f t="shared" ca="1" si="124"/>
        <v>3.3969490657079198</v>
      </c>
      <c r="D2654" s="36">
        <f t="shared" ca="1" si="126"/>
        <v>0.12097466565673209</v>
      </c>
      <c r="E2654" s="32">
        <v>0.12027500215894271</v>
      </c>
      <c r="F2654" s="35">
        <f t="shared" ca="1" si="125"/>
        <v>2.8974728143227324E-3</v>
      </c>
    </row>
    <row r="2655" spans="1:6" x14ac:dyDescent="0.25">
      <c r="A2655" s="23">
        <v>2654</v>
      </c>
      <c r="B2655" s="7" cm="1">
        <f t="array" aca="1" ref="B2655" ca="1">interpolexp(A2655,serie_du,Taxas_DI)</f>
        <v>0.12317164604964681</v>
      </c>
      <c r="C2655" s="37">
        <f t="shared" ca="1" si="124"/>
        <v>3.398488805961831</v>
      </c>
      <c r="D2655" s="36">
        <f t="shared" ca="1" si="126"/>
        <v>0.12097466401243229</v>
      </c>
      <c r="E2655" s="32">
        <v>0.12027416399160717</v>
      </c>
      <c r="F2655" s="35">
        <f t="shared" ca="1" si="125"/>
        <v>2.8974820580396354E-3</v>
      </c>
    </row>
    <row r="2656" spans="1:6" x14ac:dyDescent="0.25">
      <c r="A2656" s="23">
        <v>2655</v>
      </c>
      <c r="B2656" s="7" cm="1">
        <f t="array" aca="1" ref="B2656" ca="1">interpolexp(A2656,serie_du,Taxas_DI)</f>
        <v>0.12317081775048422</v>
      </c>
      <c r="C2656" s="37">
        <f t="shared" ca="1" si="124"/>
        <v>3.4000292441176576</v>
      </c>
      <c r="D2656" s="36">
        <f t="shared" ca="1" si="126"/>
        <v>0.12097466247666766</v>
      </c>
      <c r="E2656" s="32">
        <v>0.12027332645567768</v>
      </c>
      <c r="F2656" s="35">
        <f t="shared" ca="1" si="125"/>
        <v>2.8974912948065423E-3</v>
      </c>
    </row>
    <row r="2657" spans="1:6" x14ac:dyDescent="0.25">
      <c r="A2657" s="23">
        <v>2656</v>
      </c>
      <c r="B2657" s="7" cm="1">
        <f t="array" aca="1" ref="B2657" ca="1">interpolexp(A2657,serie_du,Taxas_DI)</f>
        <v>0.12316999007504492</v>
      </c>
      <c r="C2657" s="37">
        <f t="shared" ca="1" si="124"/>
        <v>3.4015703804908668</v>
      </c>
      <c r="D2657" s="36">
        <f t="shared" ca="1" si="126"/>
        <v>0.12097466086996445</v>
      </c>
      <c r="E2657" s="32">
        <v>0.12027248955042147</v>
      </c>
      <c r="F2657" s="35">
        <f t="shared" ca="1" si="125"/>
        <v>2.8975005246234531E-3</v>
      </c>
    </row>
    <row r="2658" spans="1:6" x14ac:dyDescent="0.25">
      <c r="A2658" s="23">
        <v>2657</v>
      </c>
      <c r="B2658" s="7" cm="1">
        <f t="array" aca="1" ref="B2658" ca="1">interpolexp(A2658,serie_du,Taxas_DI)</f>
        <v>0.12316916302261838</v>
      </c>
      <c r="C2658" s="37">
        <f t="shared" ca="1" si="124"/>
        <v>3.4031122153977451</v>
      </c>
      <c r="D2658" s="36">
        <f t="shared" ca="1" si="126"/>
        <v>0.12097465924840534</v>
      </c>
      <c r="E2658" s="32">
        <v>0.12027165327512801</v>
      </c>
      <c r="F2658" s="35">
        <f t="shared" ca="1" si="125"/>
        <v>2.8975097474903677E-3</v>
      </c>
    </row>
    <row r="2659" spans="1:6" x14ac:dyDescent="0.25">
      <c r="A2659" s="23">
        <v>2658</v>
      </c>
      <c r="B2659" s="7" cm="1">
        <f t="array" aca="1" ref="B2659" ca="1">interpolexp(A2659,serie_du,Taxas_DI)</f>
        <v>0.12316833659249404</v>
      </c>
      <c r="C2659" s="37">
        <f t="shared" ca="1" si="124"/>
        <v>3.4046547491546861</v>
      </c>
      <c r="D2659" s="36">
        <f t="shared" ca="1" si="126"/>
        <v>0.12097465760914594</v>
      </c>
      <c r="E2659" s="32">
        <v>0.12027081762910896</v>
      </c>
      <c r="F2659" s="35">
        <f t="shared" ca="1" si="125"/>
        <v>2.8975189633850817E-3</v>
      </c>
    </row>
    <row r="2660" spans="1:6" x14ac:dyDescent="0.25">
      <c r="A2660" s="23">
        <v>2659</v>
      </c>
      <c r="B2660" s="7" cm="1">
        <f t="array" aca="1" ref="B2660" ca="1">interpolexp(A2660,serie_du,Taxas_DI)</f>
        <v>0.12316751078400578</v>
      </c>
      <c r="C2660" s="37">
        <f t="shared" ca="1" si="124"/>
        <v>3.4061979820796138</v>
      </c>
      <c r="D2660" s="36">
        <f t="shared" ca="1" si="126"/>
        <v>0.1209746560671543</v>
      </c>
      <c r="E2660" s="32">
        <v>0.12026998261163158</v>
      </c>
      <c r="F2660" s="35">
        <f t="shared" ca="1" si="125"/>
        <v>2.8975281723742086E-3</v>
      </c>
    </row>
    <row r="2661" spans="1:6" x14ac:dyDescent="0.25">
      <c r="A2661" s="23">
        <v>2660</v>
      </c>
      <c r="B2661" s="7" cm="1">
        <f t="array" aca="1" ref="B2661" ca="1">interpolexp(A2661,serie_du,Taxas_DI)</f>
        <v>0.12316668559644306</v>
      </c>
      <c r="C2661" s="37">
        <f t="shared" ca="1" si="124"/>
        <v>3.4077419144891437</v>
      </c>
      <c r="D2661" s="36">
        <f t="shared" ca="1" si="126"/>
        <v>0.1209746545018644</v>
      </c>
      <c r="E2661" s="32">
        <v>0.12026914822198531</v>
      </c>
      <c r="F2661" s="35">
        <f t="shared" ca="1" si="125"/>
        <v>2.8975373744577482E-3</v>
      </c>
    </row>
    <row r="2662" spans="1:6" x14ac:dyDescent="0.25">
      <c r="A2662" s="23">
        <v>2661</v>
      </c>
      <c r="B2662" s="7" cm="1">
        <f t="array" aca="1" ref="B2662" ca="1">interpolexp(A2662,serie_du,Taxas_DI)</f>
        <v>0.12316586102907312</v>
      </c>
      <c r="C2662" s="37">
        <f t="shared" ca="1" si="124"/>
        <v>3.4092865466992883</v>
      </c>
      <c r="D2662" s="36">
        <f t="shared" ca="1" si="126"/>
        <v>0.12097465285158338</v>
      </c>
      <c r="E2662" s="32">
        <v>0.12026831445948183</v>
      </c>
      <c r="F2662" s="35">
        <f t="shared" ca="1" si="125"/>
        <v>2.8975465695912916E-3</v>
      </c>
    </row>
    <row r="2663" spans="1:6" x14ac:dyDescent="0.25">
      <c r="A2663" s="23">
        <v>2662</v>
      </c>
      <c r="B2663" s="7" cm="1">
        <f t="array" aca="1" ref="B2663" ca="1">interpolexp(A2663,serie_du,Taxas_DI)</f>
        <v>0.12316503708122983</v>
      </c>
      <c r="C2663" s="37">
        <f t="shared" ca="1" si="124"/>
        <v>3.410831879028303</v>
      </c>
      <c r="D2663" s="36">
        <f t="shared" ca="1" si="126"/>
        <v>0.12097465129014728</v>
      </c>
      <c r="E2663" s="32">
        <v>0.12026748132338838</v>
      </c>
      <c r="F2663" s="35">
        <f t="shared" ca="1" si="125"/>
        <v>2.8975557578414524E-3</v>
      </c>
    </row>
    <row r="2664" spans="1:6" x14ac:dyDescent="0.25">
      <c r="A2664" s="23">
        <v>2663</v>
      </c>
      <c r="B2664" s="7" cm="1">
        <f t="array" aca="1" ref="B2664" ca="1">interpolexp(A2664,serie_du,Taxas_DI)</f>
        <v>0.12316421375220266</v>
      </c>
      <c r="C2664" s="37">
        <f t="shared" ca="1" si="124"/>
        <v>3.4123779117931319</v>
      </c>
      <c r="D2664" s="36">
        <f t="shared" ca="1" si="126"/>
        <v>0.12097464969711291</v>
      </c>
      <c r="E2664" s="32">
        <v>0.12026664881303883</v>
      </c>
      <c r="F2664" s="35">
        <f t="shared" ca="1" si="125"/>
        <v>2.8975649391638214E-3</v>
      </c>
    </row>
    <row r="2665" spans="1:6" x14ac:dyDescent="0.25">
      <c r="A2665" s="23">
        <v>2664</v>
      </c>
      <c r="B2665" s="7" cm="1">
        <f t="array" aca="1" ref="B2665" ca="1">interpolexp(A2665,serie_du,Taxas_DI)</f>
        <v>0.12316339104130325</v>
      </c>
      <c r="C2665" s="37">
        <f t="shared" ca="1" si="124"/>
        <v>3.4139246453115404</v>
      </c>
      <c r="D2665" s="36">
        <f t="shared" ca="1" si="126"/>
        <v>0.12097464812844128</v>
      </c>
      <c r="E2665" s="32">
        <v>0.12026581692767824</v>
      </c>
      <c r="F2665" s="35">
        <f t="shared" ca="1" si="125"/>
        <v>2.8975741136250122E-3</v>
      </c>
    </row>
    <row r="2666" spans="1:6" x14ac:dyDescent="0.25">
      <c r="A2666" s="23">
        <v>2665</v>
      </c>
      <c r="B2666" s="7" cm="1">
        <f t="array" aca="1" ref="B2666" ca="1">interpolexp(A2666,serie_du,Taxas_DI)</f>
        <v>0.12316256894784328</v>
      </c>
      <c r="C2666" s="37">
        <f t="shared" ca="1" si="124"/>
        <v>3.4154720799014071</v>
      </c>
      <c r="D2666" s="36">
        <f t="shared" ca="1" si="126"/>
        <v>0.12097464658159884</v>
      </c>
      <c r="E2666" s="32">
        <v>0.12026498566664046</v>
      </c>
      <c r="F2666" s="35">
        <f t="shared" ca="1" si="125"/>
        <v>2.8975832812028202E-3</v>
      </c>
    </row>
    <row r="2667" spans="1:6" x14ac:dyDescent="0.25">
      <c r="A2667" s="23">
        <v>2666</v>
      </c>
      <c r="B2667" s="7" cm="1">
        <f t="array" aca="1" ref="B2667" ca="1">interpolexp(A2667,serie_du,Taxas_DI)</f>
        <v>0.12316174747108999</v>
      </c>
      <c r="C2667" s="37">
        <f t="shared" ca="1" si="124"/>
        <v>3.4170202158792886</v>
      </c>
      <c r="D2667" s="36">
        <f t="shared" ca="1" si="126"/>
        <v>0.12097464493547783</v>
      </c>
      <c r="E2667" s="32">
        <v>0.12026415502921495</v>
      </c>
      <c r="F2667" s="35">
        <f t="shared" ca="1" si="125"/>
        <v>2.8975924418750409E-3</v>
      </c>
    </row>
    <row r="2668" spans="1:6" x14ac:dyDescent="0.25">
      <c r="A2668" s="23">
        <v>2667</v>
      </c>
      <c r="B2668" s="7" cm="1">
        <f t="array" aca="1" ref="B2668" ca="1">interpolexp(A2668,serie_du,Taxas_DI)</f>
        <v>0.12316092661037725</v>
      </c>
      <c r="C2668" s="37">
        <f t="shared" ca="1" si="124"/>
        <v>3.4185690535639979</v>
      </c>
      <c r="D2668" s="36">
        <f t="shared" ca="1" si="126"/>
        <v>0.12097464336462349</v>
      </c>
      <c r="E2668" s="32">
        <v>0.12026332501469117</v>
      </c>
      <c r="F2668" s="35">
        <f t="shared" ca="1" si="125"/>
        <v>2.8976015956860834E-3</v>
      </c>
    </row>
    <row r="2669" spans="1:6" x14ac:dyDescent="0.25">
      <c r="A2669" s="23">
        <v>2668</v>
      </c>
      <c r="B2669" s="7" cm="1">
        <f t="array" aca="1" ref="B2669" ca="1">interpolexp(A2669,serie_du,Taxas_DI)</f>
        <v>0.12316010636501673</v>
      </c>
      <c r="C2669" s="37">
        <f t="shared" ca="1" si="124"/>
        <v>3.4201185932737426</v>
      </c>
      <c r="D2669" s="36">
        <f t="shared" ca="1" si="126"/>
        <v>0.12097464180705697</v>
      </c>
      <c r="E2669" s="32">
        <v>0.12026249562238078</v>
      </c>
      <c r="F2669" s="35">
        <f t="shared" ca="1" si="125"/>
        <v>2.8976107426359476E-3</v>
      </c>
    </row>
    <row r="2670" spans="1:6" x14ac:dyDescent="0.25">
      <c r="A2670" s="23">
        <v>2669</v>
      </c>
      <c r="B2670" s="7" cm="1">
        <f t="array" aca="1" ref="B2670" ca="1">interpolexp(A2670,serie_du,Taxas_DI)</f>
        <v>0.12315928673429788</v>
      </c>
      <c r="C2670" s="37">
        <f t="shared" ca="1" si="124"/>
        <v>3.4216688353261264</v>
      </c>
      <c r="D2670" s="36">
        <f t="shared" ca="1" si="126"/>
        <v>0.1209746402011036</v>
      </c>
      <c r="E2670" s="32">
        <v>0.12026166685157325</v>
      </c>
      <c r="F2670" s="35">
        <f t="shared" ca="1" si="125"/>
        <v>2.8976198827246336E-3</v>
      </c>
    </row>
    <row r="2671" spans="1:6" x14ac:dyDescent="0.25">
      <c r="A2671" s="23">
        <v>2670</v>
      </c>
      <c r="B2671" s="7" cm="1">
        <f t="array" aca="1" ref="B2671" ca="1">interpolexp(A2671,serie_du,Taxas_DI)</f>
        <v>0.12315846771755457</v>
      </c>
      <c r="C2671" s="37">
        <f t="shared" ca="1" si="124"/>
        <v>3.4232197800402964</v>
      </c>
      <c r="D2671" s="36">
        <f t="shared" ca="1" si="126"/>
        <v>0.12097463866217439</v>
      </c>
      <c r="E2671" s="32">
        <v>0.12026083870155801</v>
      </c>
      <c r="F2671" s="35">
        <f t="shared" ca="1" si="125"/>
        <v>2.8976290159965501E-3</v>
      </c>
    </row>
    <row r="2672" spans="1:6" x14ac:dyDescent="0.25">
      <c r="A2672" s="23">
        <v>2671</v>
      </c>
      <c r="B2672" s="7" cm="1">
        <f t="array" aca="1" ref="B2672" ca="1">interpolexp(A2672,serie_du,Taxas_DI)</f>
        <v>0.12315764931407625</v>
      </c>
      <c r="C2672" s="37">
        <f t="shared" ca="1" si="124"/>
        <v>3.4247714277340768</v>
      </c>
      <c r="D2672" s="36">
        <f t="shared" ca="1" si="126"/>
        <v>0.12097463706924771</v>
      </c>
      <c r="E2672" s="32">
        <v>0.12026001117166896</v>
      </c>
      <c r="F2672" s="35">
        <f t="shared" ca="1" si="125"/>
        <v>2.8976381424072883E-3</v>
      </c>
    </row>
    <row r="2673" spans="1:6" x14ac:dyDescent="0.25">
      <c r="A2673" s="23">
        <v>2672</v>
      </c>
      <c r="B2673" s="7" cm="1">
        <f t="array" aca="1" ref="B2673" ca="1">interpolexp(A2673,serie_du,Taxas_DI)</f>
        <v>0.12315683152319679</v>
      </c>
      <c r="C2673" s="37">
        <f t="shared" ca="1" si="124"/>
        <v>3.4263237787268346</v>
      </c>
      <c r="D2673" s="36">
        <f t="shared" ca="1" si="126"/>
        <v>0.12097463553760224</v>
      </c>
      <c r="E2673" s="32">
        <v>0.12025918426119553</v>
      </c>
      <c r="F2673" s="35">
        <f t="shared" ca="1" si="125"/>
        <v>2.8976472620012572E-3</v>
      </c>
    </row>
    <row r="2674" spans="1:6" x14ac:dyDescent="0.25">
      <c r="A2674" s="23">
        <v>2673</v>
      </c>
      <c r="B2674" s="7" cm="1">
        <f t="array" aca="1" ref="B2674" ca="1">interpolexp(A2674,serie_du,Taxas_DI)</f>
        <v>0.12315601434418344</v>
      </c>
      <c r="C2674" s="37">
        <f t="shared" ca="1" si="124"/>
        <v>3.4278768333359007</v>
      </c>
      <c r="D2674" s="36">
        <f t="shared" ca="1" si="126"/>
        <v>0.12097463388749086</v>
      </c>
      <c r="E2674" s="32">
        <v>0.12025835796944939</v>
      </c>
      <c r="F2674" s="35">
        <f t="shared" ca="1" si="125"/>
        <v>2.8976563747340478E-3</v>
      </c>
    </row>
    <row r="2675" spans="1:6" x14ac:dyDescent="0.25">
      <c r="A2675" s="23">
        <v>2674</v>
      </c>
      <c r="B2675" s="7" cm="1">
        <f t="array" aca="1" ref="B2675" ca="1">interpolexp(A2675,serie_du,Taxas_DI)</f>
        <v>0.12315519777641448</v>
      </c>
      <c r="C2675" s="37">
        <f t="shared" ca="1" si="124"/>
        <v>3.4294305918823023</v>
      </c>
      <c r="D2675" s="36">
        <f t="shared" ca="1" si="126"/>
        <v>0.12097463241170869</v>
      </c>
      <c r="E2675" s="32">
        <v>0.12025753229572</v>
      </c>
      <c r="F2675" s="35">
        <f t="shared" ca="1" si="125"/>
        <v>2.8976654806944779E-3</v>
      </c>
    </row>
    <row r="2676" spans="1:6" x14ac:dyDescent="0.25">
      <c r="A2676" s="23">
        <v>2675</v>
      </c>
      <c r="B2676" s="7" cm="1">
        <f t="array" aca="1" ref="B2676" ca="1">interpolexp(A2676,serie_du,Taxas_DI)</f>
        <v>0.12315438181913496</v>
      </c>
      <c r="C2676" s="37">
        <f t="shared" ca="1" si="124"/>
        <v>3.4309850546828691</v>
      </c>
      <c r="D2676" s="36">
        <f t="shared" ca="1" si="126"/>
        <v>0.12097463075239401</v>
      </c>
      <c r="E2676" s="32">
        <v>0.12025670723934123</v>
      </c>
      <c r="F2676" s="35">
        <f t="shared" ca="1" si="125"/>
        <v>2.8976745797937298E-3</v>
      </c>
    </row>
    <row r="2677" spans="1:6" x14ac:dyDescent="0.25">
      <c r="A2677" s="23">
        <v>2676</v>
      </c>
      <c r="B2677" s="7" cm="1">
        <f t="array" aca="1" ref="B2677" ca="1">interpolexp(A2677,serie_du,Taxas_DI)</f>
        <v>0.12315356647172315</v>
      </c>
      <c r="C2677" s="37">
        <f t="shared" ca="1" si="124"/>
        <v>3.4325402220588552</v>
      </c>
      <c r="D2677" s="36">
        <f t="shared" ca="1" si="126"/>
        <v>0.12097462926216651</v>
      </c>
      <c r="E2677" s="32">
        <v>0.12025588279958033</v>
      </c>
      <c r="F2677" s="35">
        <f t="shared" ca="1" si="125"/>
        <v>2.8976836721428256E-3</v>
      </c>
    </row>
    <row r="2678" spans="1:6" x14ac:dyDescent="0.25">
      <c r="A2678" s="23">
        <v>2677</v>
      </c>
      <c r="B2678" s="7" cm="1">
        <f t="array" aca="1" ref="B2678" ca="1">interpolexp(A2678,serie_du,Taxas_DI)</f>
        <v>0.12315275173346851</v>
      </c>
      <c r="C2678" s="37">
        <f t="shared" ca="1" si="124"/>
        <v>3.4340960943287508</v>
      </c>
      <c r="D2678" s="36">
        <f t="shared" ca="1" si="126"/>
        <v>0.12097462770138701</v>
      </c>
      <c r="E2678" s="32">
        <v>0.12025505897577116</v>
      </c>
      <c r="F2678" s="35">
        <f t="shared" ca="1" si="125"/>
        <v>2.8976927576973566E-3</v>
      </c>
    </row>
    <row r="2679" spans="1:6" x14ac:dyDescent="0.25">
      <c r="A2679" s="23">
        <v>2678</v>
      </c>
      <c r="B2679" s="7" cm="1">
        <f t="array" aca="1" ref="B2679" ca="1">interpolexp(A2679,serie_du,Taxas_DI)</f>
        <v>0.1231519376036605</v>
      </c>
      <c r="C2679" s="37">
        <f t="shared" ca="1" si="124"/>
        <v>3.435652671811154</v>
      </c>
      <c r="D2679" s="36">
        <f t="shared" ca="1" si="126"/>
        <v>0.12097462606717957</v>
      </c>
      <c r="E2679" s="32">
        <v>0.12025423576724759</v>
      </c>
      <c r="F2679" s="35">
        <f t="shared" ca="1" si="125"/>
        <v>2.8977018364129137E-3</v>
      </c>
    </row>
    <row r="2680" spans="1:6" x14ac:dyDescent="0.25">
      <c r="A2680" s="23">
        <v>2679</v>
      </c>
      <c r="B2680" s="7" cm="1">
        <f t="array" aca="1" ref="B2680" ca="1">interpolexp(A2680,serie_du,Taxas_DI)</f>
        <v>0.12315112408167739</v>
      </c>
      <c r="C2680" s="37">
        <f t="shared" ca="1" si="124"/>
        <v>3.4372099548276598</v>
      </c>
      <c r="D2680" s="36">
        <f t="shared" ca="1" si="126"/>
        <v>0.12097462459414077</v>
      </c>
      <c r="E2680" s="32">
        <v>0.12025341317325466</v>
      </c>
      <c r="F2680" s="35">
        <f t="shared" ca="1" si="125"/>
        <v>2.8977109084227237E-3</v>
      </c>
    </row>
    <row r="2681" spans="1:6" x14ac:dyDescent="0.25">
      <c r="A2681" s="23">
        <v>2680</v>
      </c>
      <c r="B2681" s="7" cm="1">
        <f t="array" aca="1" ref="B2681" ca="1">interpolexp(A2681,serie_du,Taxas_DI)</f>
        <v>0.12315031116678643</v>
      </c>
      <c r="C2681" s="37">
        <f t="shared" ca="1" si="124"/>
        <v>3.4387679436963676</v>
      </c>
      <c r="D2681" s="36">
        <f t="shared" ca="1" si="126"/>
        <v>0.1209746229828339</v>
      </c>
      <c r="E2681" s="32">
        <v>0.12025259119317067</v>
      </c>
      <c r="F2681" s="35">
        <f t="shared" ca="1" si="125"/>
        <v>2.8977199736157644E-3</v>
      </c>
    </row>
    <row r="2682" spans="1:6" x14ac:dyDescent="0.25">
      <c r="A2682" s="23">
        <v>2681</v>
      </c>
      <c r="B2682" s="7" cm="1">
        <f t="array" aca="1" ref="B2682" ca="1">interpolexp(A2682,serie_du,Taxas_DI)</f>
        <v>0.1231494988583437</v>
      </c>
      <c r="C2682" s="37">
        <f t="shared" ca="1" si="124"/>
        <v>3.4403266387383784</v>
      </c>
      <c r="D2682" s="36">
        <f t="shared" ca="1" si="126"/>
        <v>0.12097462146808846</v>
      </c>
      <c r="E2682" s="32">
        <v>0.12025176982628505</v>
      </c>
      <c r="F2682" s="35">
        <f t="shared" ca="1" si="125"/>
        <v>2.8977290320586491E-3</v>
      </c>
    </row>
    <row r="2683" spans="1:6" x14ac:dyDescent="0.25">
      <c r="A2683" s="23">
        <v>2682</v>
      </c>
      <c r="B2683" s="7" cm="1">
        <f t="array" aca="1" ref="B2683" ca="1">interpolexp(A2683,serie_du,Taxas_DI)</f>
        <v>0.12314868715563865</v>
      </c>
      <c r="C2683" s="37">
        <f t="shared" ca="1" si="124"/>
        <v>3.4418860402727325</v>
      </c>
      <c r="D2683" s="36">
        <f t="shared" ca="1" si="126"/>
        <v>0.1209746198687256</v>
      </c>
      <c r="E2683" s="32">
        <v>0.12025094907190947</v>
      </c>
      <c r="F2683" s="35">
        <f t="shared" ca="1" si="125"/>
        <v>2.8977380837291733E-3</v>
      </c>
    </row>
    <row r="2684" spans="1:6" x14ac:dyDescent="0.25">
      <c r="A2684" s="23">
        <v>2683</v>
      </c>
      <c r="B2684" s="7" cm="1">
        <f t="array" aca="1" ref="B2684" ca="1">interpolexp(A2684,serie_du,Taxas_DI)</f>
        <v>0.12314787605802735</v>
      </c>
      <c r="C2684" s="37">
        <f t="shared" ca="1" si="124"/>
        <v>3.443446148620759</v>
      </c>
      <c r="D2684" s="36">
        <f t="shared" ca="1" si="126"/>
        <v>0.12097461836076473</v>
      </c>
      <c r="E2684" s="32">
        <v>0.1202501289293334</v>
      </c>
      <c r="F2684" s="35">
        <f t="shared" ca="1" si="125"/>
        <v>2.8977471286939505E-3</v>
      </c>
    </row>
    <row r="2685" spans="1:6" x14ac:dyDescent="0.25">
      <c r="A2685" s="23">
        <v>2684</v>
      </c>
      <c r="B2685" s="7" cm="1">
        <f t="array" aca="1" ref="B2685" ca="1">interpolexp(A2685,serie_du,Taxas_DI)</f>
        <v>0.12314706556479926</v>
      </c>
      <c r="C2685" s="37">
        <f t="shared" ca="1" si="124"/>
        <v>3.4450069641017218</v>
      </c>
      <c r="D2685" s="36">
        <f t="shared" ca="1" si="126"/>
        <v>0.120974616762761</v>
      </c>
      <c r="E2685" s="32">
        <v>0.1202493093979351</v>
      </c>
      <c r="F2685" s="35">
        <f t="shared" ca="1" si="125"/>
        <v>2.8977561668641627E-3</v>
      </c>
    </row>
    <row r="2686" spans="1:6" x14ac:dyDescent="0.25">
      <c r="A2686" s="23">
        <v>2685</v>
      </c>
      <c r="B2686" s="7" cm="1">
        <f t="array" aca="1" ref="B2686" ca="1">interpolexp(A2686,serie_du,Taxas_DI)</f>
        <v>0.12314625567531046</v>
      </c>
      <c r="C2686" s="37">
        <f t="shared" ca="1" si="124"/>
        <v>3.4465684870371724</v>
      </c>
      <c r="D2686" s="36">
        <f t="shared" ca="1" si="126"/>
        <v>0.12097461525054287</v>
      </c>
      <c r="E2686" s="32">
        <v>0.12024849047695962</v>
      </c>
      <c r="F2686" s="35">
        <f t="shared" ca="1" si="125"/>
        <v>2.8977651983508323E-3</v>
      </c>
    </row>
    <row r="2687" spans="1:6" x14ac:dyDescent="0.25">
      <c r="A2687" s="23">
        <v>2686</v>
      </c>
      <c r="B2687" s="7" cm="1">
        <f t="array" aca="1" ref="B2687" ca="1">interpolexp(A2687,serie_du,Taxas_DI)</f>
        <v>0.12314544638887259</v>
      </c>
      <c r="C2687" s="37">
        <f t="shared" ca="1" si="124"/>
        <v>3.4481307177473268</v>
      </c>
      <c r="D2687" s="36">
        <f t="shared" ca="1" si="126"/>
        <v>0.12097461370252183</v>
      </c>
      <c r="E2687" s="32">
        <v>0.12024767216578525</v>
      </c>
      <c r="F2687" s="35">
        <f t="shared" ca="1" si="125"/>
        <v>2.897774223087346E-3</v>
      </c>
    </row>
    <row r="2688" spans="1:6" x14ac:dyDescent="0.25">
      <c r="A2688" s="23">
        <v>2687</v>
      </c>
      <c r="B2688" s="7" cm="1">
        <f t="array" aca="1" ref="B2688" ca="1">interpolexp(A2688,serie_du,Taxas_DI)</f>
        <v>0.12314463770481954</v>
      </c>
      <c r="C2688" s="37">
        <f t="shared" ca="1" si="124"/>
        <v>3.449693656553237</v>
      </c>
      <c r="D2688" s="36">
        <f t="shared" ca="1" si="126"/>
        <v>0.12097461217544359</v>
      </c>
      <c r="E2688" s="32">
        <v>0.12024685446370142</v>
      </c>
      <c r="F2688" s="35">
        <f t="shared" ca="1" si="125"/>
        <v>2.8977832411181126E-3</v>
      </c>
    </row>
    <row r="2689" spans="1:6" x14ac:dyDescent="0.25">
      <c r="A2689" s="23">
        <v>2688</v>
      </c>
      <c r="B2689" s="7" cm="1">
        <f t="array" aca="1" ref="B2689" ca="1">interpolexp(A2689,serie_du,Taxas_DI)</f>
        <v>0.12314382962246295</v>
      </c>
      <c r="C2689" s="37">
        <f t="shared" ca="1" si="124"/>
        <v>3.4512573037753418</v>
      </c>
      <c r="D2689" s="36">
        <f t="shared" ca="1" si="126"/>
        <v>0.12097461060714876</v>
      </c>
      <c r="E2689" s="32">
        <v>0.12024603737001982</v>
      </c>
      <c r="F2689" s="35">
        <f t="shared" ca="1" si="125"/>
        <v>2.8977922524431321E-3</v>
      </c>
    </row>
    <row r="2690" spans="1:6" x14ac:dyDescent="0.25">
      <c r="A2690" s="23">
        <v>2689</v>
      </c>
      <c r="B2690" s="7" cm="1">
        <f t="array" aca="1" ref="B2690" ca="1">interpolexp(A2690,serie_du,Taxas_DI)</f>
        <v>0.1231430221411367</v>
      </c>
      <c r="C2690" s="37">
        <f t="shared" ref="C2690:C2753" ca="1" si="127">(1+B2690)^(A2690/252)</f>
        <v>3.4528216597349188</v>
      </c>
      <c r="D2690" s="36">
        <f t="shared" ca="1" si="126"/>
        <v>0.1209746090543693</v>
      </c>
      <c r="E2690" s="32">
        <v>0.1202452208840965</v>
      </c>
      <c r="F2690" s="35">
        <f t="shared" ref="F2690:F2753" ca="1" si="128">B2690-E2690</f>
        <v>2.8978012570402001E-3</v>
      </c>
    </row>
    <row r="2691" spans="1:6" x14ac:dyDescent="0.25">
      <c r="A2691" s="23">
        <v>2690</v>
      </c>
      <c r="B2691" s="7" cm="1">
        <f t="array" aca="1" ref="B2691" ca="1">interpolexp(A2691,serie_du,Taxas_DI)</f>
        <v>0.12314221526017466</v>
      </c>
      <c r="C2691" s="37">
        <f t="shared" ca="1" si="127"/>
        <v>3.4543867247533586</v>
      </c>
      <c r="D2691" s="36">
        <f t="shared" ca="1" si="126"/>
        <v>0.12097460751450195</v>
      </c>
      <c r="E2691" s="32">
        <v>0.12024440500522093</v>
      </c>
      <c r="F2691" s="35">
        <f t="shared" ca="1" si="128"/>
        <v>2.8978102549537255E-3</v>
      </c>
    </row>
    <row r="2692" spans="1:6" x14ac:dyDescent="0.25">
      <c r="A2692" s="23">
        <v>2691</v>
      </c>
      <c r="B2692" s="7" cm="1">
        <f t="array" aca="1" ref="B2692" ca="1">interpolexp(A2692,serie_du,Taxas_DI)</f>
        <v>0.12314140897893289</v>
      </c>
      <c r="C2692" s="37">
        <f t="shared" ca="1" si="127"/>
        <v>3.4559524991528949</v>
      </c>
      <c r="D2692" s="36">
        <f t="shared" ref="D2692:D2755" ca="1" si="129">((((1+B2692)^(A2692/252))/((1+B2691)^(A2691/252)))^(252/1))-1</f>
        <v>0.12097460604444543</v>
      </c>
      <c r="E2692" s="32">
        <v>0.12024358973272697</v>
      </c>
      <c r="F2692" s="35">
        <f t="shared" ca="1" si="128"/>
        <v>2.8978192462059127E-3</v>
      </c>
    </row>
    <row r="2693" spans="1:6" x14ac:dyDescent="0.25">
      <c r="A2693" s="23">
        <v>2692</v>
      </c>
      <c r="B2693" s="7" cm="1">
        <f t="array" aca="1" ref="B2693" ca="1">interpolexp(A2693,serie_du,Taxas_DI)</f>
        <v>0.12314060329667864</v>
      </c>
      <c r="C2693" s="37">
        <f t="shared" ca="1" si="127"/>
        <v>3.4575189832529571</v>
      </c>
      <c r="D2693" s="36">
        <f t="shared" ca="1" si="129"/>
        <v>0.12097460440315366</v>
      </c>
      <c r="E2693" s="32">
        <v>0.12024277506594849</v>
      </c>
      <c r="F2693" s="35">
        <f t="shared" ca="1" si="128"/>
        <v>2.8978282307301484E-3</v>
      </c>
    </row>
    <row r="2694" spans="1:6" x14ac:dyDescent="0.25">
      <c r="A2694" s="23">
        <v>2693</v>
      </c>
      <c r="B2694" s="7" cm="1">
        <f t="array" aca="1" ref="B2694" ca="1">interpolexp(A2694,serie_du,Taxas_DI)</f>
        <v>0.1231397982128124</v>
      </c>
      <c r="C2694" s="37">
        <f t="shared" ca="1" si="127"/>
        <v>3.4590861773774644</v>
      </c>
      <c r="D2694" s="36">
        <f t="shared" ca="1" si="129"/>
        <v>0.1209746029456531</v>
      </c>
      <c r="E2694" s="32">
        <v>0.12024196100419715</v>
      </c>
      <c r="F2694" s="35">
        <f t="shared" ca="1" si="128"/>
        <v>2.8978372086152504E-3</v>
      </c>
    </row>
    <row r="2695" spans="1:6" x14ac:dyDescent="0.25">
      <c r="A2695" s="23">
        <v>2694</v>
      </c>
      <c r="B2695" s="7" cm="1">
        <f t="array" aca="1" ref="B2695" ca="1">interpolexp(A2695,serie_du,Taxas_DI)</f>
        <v>0.12313899372662362</v>
      </c>
      <c r="C2695" s="37">
        <f t="shared" ca="1" si="127"/>
        <v>3.4606540818468012</v>
      </c>
      <c r="D2695" s="36">
        <f t="shared" ca="1" si="129"/>
        <v>0.12097460137116278</v>
      </c>
      <c r="E2695" s="32">
        <v>0.12024114754680681</v>
      </c>
      <c r="F2695" s="35">
        <f t="shared" ca="1" si="128"/>
        <v>2.8978461798168098E-3</v>
      </c>
    </row>
    <row r="2696" spans="1:6" x14ac:dyDescent="0.25">
      <c r="A2696" s="23">
        <v>2695</v>
      </c>
      <c r="B2696" s="7" cm="1">
        <f t="array" aca="1" ref="B2696" ca="1">interpolexp(A2696,serie_du,Taxas_DI)</f>
        <v>0.12313818983746838</v>
      </c>
      <c r="C2696" s="37">
        <f t="shared" ca="1" si="127"/>
        <v>3.4622226969836536</v>
      </c>
      <c r="D2696" s="36">
        <f t="shared" ca="1" si="129"/>
        <v>0.12097459985574899</v>
      </c>
      <c r="E2696" s="32">
        <v>0.12024033469308915</v>
      </c>
      <c r="F2696" s="35">
        <f t="shared" ca="1" si="128"/>
        <v>2.8978551443792355E-3</v>
      </c>
    </row>
    <row r="2697" spans="1:6" x14ac:dyDescent="0.25">
      <c r="A2697" s="23">
        <v>2696</v>
      </c>
      <c r="B2697" s="7" cm="1">
        <f t="array" aca="1" ref="B2697" ca="1">interpolexp(A2697,serie_du,Taxas_DI)</f>
        <v>0.12313738654468054</v>
      </c>
      <c r="C2697" s="37">
        <f t="shared" ca="1" si="127"/>
        <v>3.4637920231100932</v>
      </c>
      <c r="D2697" s="36">
        <f t="shared" ca="1" si="129"/>
        <v>0.12097459833737378</v>
      </c>
      <c r="E2697" s="32">
        <v>0.12023952244240022</v>
      </c>
      <c r="F2697" s="35">
        <f t="shared" ca="1" si="128"/>
        <v>2.8978641022803231E-3</v>
      </c>
    </row>
    <row r="2698" spans="1:6" x14ac:dyDescent="0.25">
      <c r="A2698" s="23">
        <v>2697</v>
      </c>
      <c r="B2698" s="7" cm="1">
        <f t="array" aca="1" ref="B2698" ca="1">interpolexp(A2698,serie_du,Taxas_DI)</f>
        <v>0.12313658384759396</v>
      </c>
      <c r="C2698" s="37">
        <f t="shared" ca="1" si="127"/>
        <v>3.4653620605483044</v>
      </c>
      <c r="D2698" s="36">
        <f t="shared" ca="1" si="129"/>
        <v>0.12097459681335887</v>
      </c>
      <c r="E2698" s="32">
        <v>0.12023871079405168</v>
      </c>
      <c r="F2698" s="35">
        <f t="shared" ca="1" si="128"/>
        <v>2.897873053542277E-3</v>
      </c>
    </row>
    <row r="2699" spans="1:6" x14ac:dyDescent="0.25">
      <c r="A2699" s="23">
        <v>2698</v>
      </c>
      <c r="B2699" s="7" cm="1">
        <f t="array" aca="1" ref="B2699" ca="1">interpolexp(A2699,serie_du,Taxas_DI)</f>
        <v>0.12313578174554252</v>
      </c>
      <c r="C2699" s="37">
        <f t="shared" ca="1" si="127"/>
        <v>3.4669328096205834</v>
      </c>
      <c r="D2699" s="36">
        <f t="shared" ca="1" si="129"/>
        <v>0.12097459528075816</v>
      </c>
      <c r="E2699" s="32">
        <v>0.12023789974737742</v>
      </c>
      <c r="F2699" s="35">
        <f t="shared" ca="1" si="128"/>
        <v>2.8978819981650972E-3</v>
      </c>
    </row>
    <row r="2700" spans="1:6" x14ac:dyDescent="0.25">
      <c r="A2700" s="23">
        <v>2699</v>
      </c>
      <c r="B2700" s="7" cm="1">
        <f t="array" aca="1" ref="B2700" ca="1">interpolexp(A2700,serie_du,Taxas_DI)</f>
        <v>0.12313498023786007</v>
      </c>
      <c r="C2700" s="37">
        <f t="shared" ca="1" si="127"/>
        <v>3.4685042706493414</v>
      </c>
      <c r="D2700" s="36">
        <f t="shared" ca="1" si="129"/>
        <v>0.12097459373721331</v>
      </c>
      <c r="E2700" s="32">
        <v>0.12023708930168908</v>
      </c>
      <c r="F2700" s="35">
        <f t="shared" ca="1" si="128"/>
        <v>2.8978909361709881E-3</v>
      </c>
    </row>
    <row r="2701" spans="1:6" x14ac:dyDescent="0.25">
      <c r="A2701" s="23">
        <v>2700</v>
      </c>
      <c r="B2701" s="7" cm="1">
        <f t="array" aca="1" ref="B2701" ca="1">interpolexp(A2701,serie_du,Taxas_DI)</f>
        <v>0.12313417932390269</v>
      </c>
      <c r="C2701" s="37">
        <f t="shared" ca="1" si="127"/>
        <v>3.4700764439578369</v>
      </c>
      <c r="D2701" s="36">
        <f t="shared" ca="1" si="129"/>
        <v>0.12097459223981133</v>
      </c>
      <c r="E2701" s="32">
        <v>0.12023627945636495</v>
      </c>
      <c r="F2701" s="35">
        <f t="shared" ca="1" si="128"/>
        <v>2.8978998675377454E-3</v>
      </c>
    </row>
    <row r="2702" spans="1:6" x14ac:dyDescent="0.25">
      <c r="A2702" s="23">
        <v>2701</v>
      </c>
      <c r="B2702" s="7" cm="1">
        <f t="array" aca="1" ref="B2702" ca="1">interpolexp(A2702,serie_du,Taxas_DI)</f>
        <v>0.12313337900300425</v>
      </c>
      <c r="C2702" s="37">
        <f t="shared" ca="1" si="127"/>
        <v>3.4716493298687086</v>
      </c>
      <c r="D2702" s="36">
        <f t="shared" ca="1" si="129"/>
        <v>0.12097459072600869</v>
      </c>
      <c r="E2702" s="32">
        <v>0.12023547021069447</v>
      </c>
      <c r="F2702" s="35">
        <f t="shared" ca="1" si="128"/>
        <v>2.8979087923097779E-3</v>
      </c>
    </row>
    <row r="2703" spans="1:6" x14ac:dyDescent="0.25">
      <c r="A2703" s="23">
        <v>2702</v>
      </c>
      <c r="B2703" s="7" cm="1">
        <f t="array" aca="1" ref="B2703" ca="1">interpolexp(A2703,serie_du,Taxas_DI)</f>
        <v>0.12313257927449861</v>
      </c>
      <c r="C2703" s="37">
        <f t="shared" ca="1" si="127"/>
        <v>3.4732229287047089</v>
      </c>
      <c r="D2703" s="36">
        <f t="shared" ca="1" si="129"/>
        <v>0.12097458919334692</v>
      </c>
      <c r="E2703" s="32">
        <v>0.12023466156403373</v>
      </c>
      <c r="F2703" s="35">
        <f t="shared" ca="1" si="128"/>
        <v>2.8979177104648812E-3</v>
      </c>
    </row>
    <row r="2704" spans="1:6" x14ac:dyDescent="0.25">
      <c r="A2704" s="23">
        <v>2703</v>
      </c>
      <c r="B2704" s="7" cm="1">
        <f t="array" aca="1" ref="B2704" ca="1">interpolexp(A2704,serie_du,Taxas_DI)</f>
        <v>0.12313178013771964</v>
      </c>
      <c r="C2704" s="37">
        <f t="shared" ca="1" si="127"/>
        <v>3.4747972407887038</v>
      </c>
      <c r="D2704" s="36">
        <f t="shared" ca="1" si="129"/>
        <v>0.12097458763905111</v>
      </c>
      <c r="E2704" s="32">
        <v>0.12023385351571658</v>
      </c>
      <c r="F2704" s="35">
        <f t="shared" ca="1" si="128"/>
        <v>2.8979266220030553E-3</v>
      </c>
    </row>
    <row r="2705" spans="1:6" x14ac:dyDescent="0.25">
      <c r="A2705" s="23">
        <v>2704</v>
      </c>
      <c r="B2705" s="7" cm="1">
        <f t="array" aca="1" ref="B2705" ca="1">interpolexp(A2705,serie_du,Taxas_DI)</f>
        <v>0.12313098159204561</v>
      </c>
      <c r="C2705" s="37">
        <f t="shared" ca="1" si="127"/>
        <v>3.4763722664451451</v>
      </c>
      <c r="D2705" s="36">
        <f t="shared" ca="1" si="129"/>
        <v>0.12097458618016521</v>
      </c>
      <c r="E2705" s="32">
        <v>0.12023304606505469</v>
      </c>
      <c r="F2705" s="35">
        <f t="shared" ca="1" si="128"/>
        <v>2.8979355269909135E-3</v>
      </c>
    </row>
    <row r="2706" spans="1:6" x14ac:dyDescent="0.25">
      <c r="A2706" s="23">
        <v>2705</v>
      </c>
      <c r="B2706" s="7" cm="1">
        <f t="array" aca="1" ref="B2706" ca="1">interpolexp(A2706,serie_du,Taxas_DI)</f>
        <v>0.12313018363678818</v>
      </c>
      <c r="C2706" s="37">
        <f t="shared" ca="1" si="127"/>
        <v>3.4779480059963919</v>
      </c>
      <c r="D2706" s="36">
        <f t="shared" ca="1" si="129"/>
        <v>0.12097458463472943</v>
      </c>
      <c r="E2706" s="32">
        <v>0.12023223921142634</v>
      </c>
      <c r="F2706" s="35">
        <f t="shared" ca="1" si="128"/>
        <v>2.8979444253618425E-3</v>
      </c>
    </row>
    <row r="2707" spans="1:6" x14ac:dyDescent="0.25">
      <c r="A2707" s="23">
        <v>2706</v>
      </c>
      <c r="B2707" s="7" cm="1">
        <f t="array" aca="1" ref="B2707" ca="1">interpolexp(A2707,serie_du,Taxas_DI)</f>
        <v>0.12312938627130343</v>
      </c>
      <c r="C2707" s="37">
        <f t="shared" ca="1" si="127"/>
        <v>3.4795244597663872</v>
      </c>
      <c r="D2707" s="36">
        <f t="shared" ca="1" si="129"/>
        <v>0.12097458311942377</v>
      </c>
      <c r="E2707" s="32">
        <v>0.12023143295414318</v>
      </c>
      <c r="F2707" s="35">
        <f t="shared" ca="1" si="128"/>
        <v>2.8979533171602512E-3</v>
      </c>
    </row>
    <row r="2708" spans="1:6" x14ac:dyDescent="0.25">
      <c r="A2708" s="23">
        <v>2707</v>
      </c>
      <c r="B2708" s="7" cm="1">
        <f t="array" aca="1" ref="B2708" ca="1">interpolexp(A2708,serie_du,Taxas_DI)</f>
        <v>0.12312858949494743</v>
      </c>
      <c r="C2708" s="37">
        <f t="shared" ca="1" si="127"/>
        <v>3.4811016280791942</v>
      </c>
      <c r="D2708" s="36">
        <f t="shared" ca="1" si="129"/>
        <v>0.12097458163219676</v>
      </c>
      <c r="E2708" s="32">
        <v>0.12023062729253908</v>
      </c>
      <c r="F2708" s="35">
        <f t="shared" ca="1" si="128"/>
        <v>2.897962202408344E-3</v>
      </c>
    </row>
    <row r="2709" spans="1:6" x14ac:dyDescent="0.25">
      <c r="A2709" s="23">
        <v>2708</v>
      </c>
      <c r="B2709" s="7" cm="1">
        <f t="array" aca="1" ref="B2709" ca="1">interpolexp(A2709,serie_du,Taxas_DI)</f>
        <v>0.12312779330705403</v>
      </c>
      <c r="C2709" s="37">
        <f t="shared" ca="1" si="127"/>
        <v>3.4826795112582487</v>
      </c>
      <c r="D2709" s="36">
        <f t="shared" ca="1" si="129"/>
        <v>0.12097458011012718</v>
      </c>
      <c r="E2709" s="32">
        <v>0.12022982222597012</v>
      </c>
      <c r="F2709" s="35">
        <f t="shared" ca="1" si="128"/>
        <v>2.8979710810839165E-3</v>
      </c>
    </row>
    <row r="2710" spans="1:6" x14ac:dyDescent="0.25">
      <c r="A2710" s="23">
        <v>2709</v>
      </c>
      <c r="B2710" s="7" cm="1">
        <f t="array" aca="1" ref="B2710" ca="1">interpolexp(A2710,serie_du,Taxas_DI)</f>
        <v>0.12312699770697932</v>
      </c>
      <c r="C2710" s="37">
        <f t="shared" ca="1" si="127"/>
        <v>3.4842581096278415</v>
      </c>
      <c r="D2710" s="36">
        <f t="shared" ca="1" si="129"/>
        <v>0.12097457861077565</v>
      </c>
      <c r="E2710" s="32">
        <v>0.12022901775379236</v>
      </c>
      <c r="F2710" s="35">
        <f t="shared" ca="1" si="128"/>
        <v>2.8979799531869688E-3</v>
      </c>
    </row>
    <row r="2711" spans="1:6" x14ac:dyDescent="0.25">
      <c r="A2711" s="23">
        <v>2710</v>
      </c>
      <c r="B2711" s="7" cm="1">
        <f t="array" aca="1" ref="B2711" ca="1">interpolexp(A2711,serie_du,Taxas_DI)</f>
        <v>0.12312620269405716</v>
      </c>
      <c r="C2711" s="37">
        <f t="shared" ca="1" si="127"/>
        <v>3.4858374235116383</v>
      </c>
      <c r="D2711" s="36">
        <f t="shared" ca="1" si="129"/>
        <v>0.12097457707137926</v>
      </c>
      <c r="E2711" s="32">
        <v>0.12022821387529525</v>
      </c>
      <c r="F2711" s="35">
        <f t="shared" ca="1" si="128"/>
        <v>2.8979888187619096E-3</v>
      </c>
    </row>
    <row r="2712" spans="1:6" x14ac:dyDescent="0.25">
      <c r="A2712" s="23">
        <v>2711</v>
      </c>
      <c r="B2712" s="7" cm="1">
        <f t="array" aca="1" ref="B2712" ca="1">interpolexp(A2712,serie_du,Taxas_DI)</f>
        <v>0.12312540826766583</v>
      </c>
      <c r="C2712" s="37">
        <f t="shared" ca="1" si="127"/>
        <v>3.4874174532348974</v>
      </c>
      <c r="D2712" s="36">
        <f t="shared" ca="1" si="129"/>
        <v>0.12097457560930547</v>
      </c>
      <c r="E2712" s="32">
        <v>0.12022741058987929</v>
      </c>
      <c r="F2712" s="35">
        <f t="shared" ca="1" si="128"/>
        <v>2.8979976777865346E-3</v>
      </c>
    </row>
    <row r="2713" spans="1:6" x14ac:dyDescent="0.25">
      <c r="A2713" s="23">
        <v>2712</v>
      </c>
      <c r="B2713" s="7" cm="1">
        <f t="array" aca="1" ref="B2713" ca="1">interpolexp(A2713,serie_du,Taxas_DI)</f>
        <v>0.12312461442713918</v>
      </c>
      <c r="C2713" s="37">
        <f t="shared" ca="1" si="127"/>
        <v>3.4889981991215175</v>
      </c>
      <c r="D2713" s="36">
        <f t="shared" ca="1" si="129"/>
        <v>0.1209745741023438</v>
      </c>
      <c r="E2713" s="32">
        <v>0.12022660789685613</v>
      </c>
      <c r="F2713" s="35">
        <f t="shared" ca="1" si="128"/>
        <v>2.8980065302830482E-3</v>
      </c>
    </row>
    <row r="2714" spans="1:6" x14ac:dyDescent="0.25">
      <c r="A2714" s="23">
        <v>2713</v>
      </c>
      <c r="B2714" s="7" cm="1">
        <f t="array" aca="1" ref="B2714" ca="1">interpolexp(A2714,serie_du,Taxas_DI)</f>
        <v>0.12312382117183329</v>
      </c>
      <c r="C2714" s="37">
        <f t="shared" ca="1" si="127"/>
        <v>3.490579661496247</v>
      </c>
      <c r="D2714" s="36">
        <f t="shared" ca="1" si="129"/>
        <v>0.12097457260744471</v>
      </c>
      <c r="E2714" s="32">
        <v>0.12022580579555964</v>
      </c>
      <c r="F2714" s="35">
        <f t="shared" ca="1" si="128"/>
        <v>2.8980153762736549E-3</v>
      </c>
    </row>
    <row r="2715" spans="1:6" x14ac:dyDescent="0.25">
      <c r="A2715" s="23">
        <v>2714</v>
      </c>
      <c r="B2715" s="7" cm="1">
        <f t="array" aca="1" ref="B2715" ca="1">interpolexp(A2715,serie_du,Taxas_DI)</f>
        <v>0.12312302850108203</v>
      </c>
      <c r="C2715" s="37">
        <f t="shared" ca="1" si="127"/>
        <v>3.4921618406832118</v>
      </c>
      <c r="D2715" s="36">
        <f t="shared" ca="1" si="129"/>
        <v>0.12097457106230491</v>
      </c>
      <c r="E2715" s="32">
        <v>0.12022500428536809</v>
      </c>
      <c r="F2715" s="35">
        <f t="shared" ca="1" si="128"/>
        <v>2.8980242157139458E-3</v>
      </c>
    </row>
    <row r="2716" spans="1:6" x14ac:dyDescent="0.25">
      <c r="A2716" s="23">
        <v>2715</v>
      </c>
      <c r="B2716" s="7" cm="1">
        <f t="array" aca="1" ref="B2716" ca="1">interpolexp(A2716,serie_du,Taxas_DI)</f>
        <v>0.12312223641426367</v>
      </c>
      <c r="C2716" s="37">
        <f t="shared" ca="1" si="127"/>
        <v>3.4937447370081318</v>
      </c>
      <c r="D2716" s="36">
        <f t="shared" ca="1" si="129"/>
        <v>0.12097456958398567</v>
      </c>
      <c r="E2716" s="32">
        <v>0.12022420336561535</v>
      </c>
      <c r="F2716" s="35">
        <f t="shared" ca="1" si="128"/>
        <v>2.8980330486483297E-3</v>
      </c>
    </row>
    <row r="2717" spans="1:6" x14ac:dyDescent="0.25">
      <c r="A2717" s="23">
        <v>2716</v>
      </c>
      <c r="B2717" s="7" cm="1">
        <f t="array" aca="1" ref="B2717" ca="1">interpolexp(A2717,serie_du,Taxas_DI)</f>
        <v>0.12312144491073429</v>
      </c>
      <c r="C2717" s="37">
        <f t="shared" ca="1" si="127"/>
        <v>3.4953283507961093</v>
      </c>
      <c r="D2717" s="36">
        <f t="shared" ca="1" si="129"/>
        <v>0.12097456811063179</v>
      </c>
      <c r="E2717" s="32">
        <v>0.12022340303565748</v>
      </c>
      <c r="F2717" s="35">
        <f t="shared" ca="1" si="128"/>
        <v>2.8980418750768067E-3</v>
      </c>
    </row>
    <row r="2718" spans="1:6" x14ac:dyDescent="0.25">
      <c r="A2718" s="23">
        <v>2717</v>
      </c>
      <c r="B2718" s="7" cm="1">
        <f t="array" aca="1" ref="B2718" ca="1">interpolexp(A2718,serie_du,Taxas_DI)</f>
        <v>0.12312065398984995</v>
      </c>
      <c r="C2718" s="37">
        <f t="shared" ca="1" si="127"/>
        <v>3.4969126823723551</v>
      </c>
      <c r="D2718" s="36">
        <f t="shared" ca="1" si="129"/>
        <v>0.12097456663909956</v>
      </c>
      <c r="E2718" s="32">
        <v>0.12022260329482837</v>
      </c>
      <c r="F2718" s="35">
        <f t="shared" ca="1" si="128"/>
        <v>2.8980506950215812E-3</v>
      </c>
    </row>
    <row r="2719" spans="1:6" x14ac:dyDescent="0.25">
      <c r="A2719" s="23">
        <v>2718</v>
      </c>
      <c r="B2719" s="7" cm="1">
        <f t="array" aca="1" ref="B2719" ca="1">interpolexp(A2719,serie_du,Taxas_DI)</f>
        <v>0.12311986365094452</v>
      </c>
      <c r="C2719" s="37">
        <f t="shared" ca="1" si="127"/>
        <v>3.4984977320614528</v>
      </c>
      <c r="D2719" s="36">
        <f t="shared" ca="1" si="129"/>
        <v>0.12097456510671734</v>
      </c>
      <c r="E2719" s="32">
        <v>0.12022180414246186</v>
      </c>
      <c r="F2719" s="35">
        <f t="shared" ca="1" si="128"/>
        <v>2.8980595084826533E-3</v>
      </c>
    </row>
    <row r="2720" spans="1:6" x14ac:dyDescent="0.25">
      <c r="A2720" s="23">
        <v>2719</v>
      </c>
      <c r="B2720" s="7" cm="1">
        <f t="array" aca="1" ref="B2720" ca="1">interpolexp(A2720,serie_du,Taxas_DI)</f>
        <v>0.12311907389339627</v>
      </c>
      <c r="C2720" s="37">
        <f t="shared" ca="1" si="127"/>
        <v>3.5000835001895911</v>
      </c>
      <c r="D2720" s="36">
        <f t="shared" ca="1" si="129"/>
        <v>0.12097456363137127</v>
      </c>
      <c r="E2720" s="32">
        <v>0.12022100557795845</v>
      </c>
      <c r="F2720" s="35">
        <f t="shared" ca="1" si="128"/>
        <v>2.8980683154378184E-3</v>
      </c>
    </row>
    <row r="2721" spans="1:6" x14ac:dyDescent="0.25">
      <c r="A2721" s="23">
        <v>2720</v>
      </c>
      <c r="B2721" s="7" cm="1">
        <f t="array" aca="1" ref="B2721" ca="1">interpolexp(A2721,serie_du,Taxas_DI)</f>
        <v>0.12311828471653907</v>
      </c>
      <c r="C2721" s="37">
        <f t="shared" ca="1" si="127"/>
        <v>3.5016699870815837</v>
      </c>
      <c r="D2721" s="36">
        <f t="shared" ca="1" si="129"/>
        <v>0.12097456209006796</v>
      </c>
      <c r="E2721" s="32">
        <v>0.12022020760062979</v>
      </c>
      <c r="F2721" s="35">
        <f t="shared" ca="1" si="128"/>
        <v>2.8980771159092811E-3</v>
      </c>
    </row>
    <row r="2722" spans="1:6" x14ac:dyDescent="0.25">
      <c r="A2722" s="23">
        <v>2721</v>
      </c>
      <c r="B2722" s="7" cm="1">
        <f t="array" aca="1" ref="B2722" ca="1">interpolexp(A2722,serie_du,Taxas_DI)</f>
        <v>0.12311749611977341</v>
      </c>
      <c r="C2722" s="37">
        <f t="shared" ca="1" si="127"/>
        <v>3.5032571930645986</v>
      </c>
      <c r="D2722" s="36">
        <f t="shared" ca="1" si="129"/>
        <v>0.12097456066083923</v>
      </c>
      <c r="E2722" s="32">
        <v>0.12021941020983196</v>
      </c>
      <c r="F2722" s="35">
        <f t="shared" ca="1" si="128"/>
        <v>2.8980859099414502E-3</v>
      </c>
    </row>
    <row r="2723" spans="1:6" x14ac:dyDescent="0.25">
      <c r="A2723" s="23">
        <v>2722</v>
      </c>
      <c r="B2723" s="7" cm="1">
        <f t="array" aca="1" ref="B2723" ca="1">interpolexp(A2723,serie_du,Taxas_DI)</f>
        <v>0.12311670810243314</v>
      </c>
      <c r="C2723" s="37">
        <f t="shared" ca="1" si="127"/>
        <v>3.504845118463682</v>
      </c>
      <c r="D2723" s="36">
        <f t="shared" ca="1" si="129"/>
        <v>0.12097455916063349</v>
      </c>
      <c r="E2723" s="32">
        <v>0.12021861340494322</v>
      </c>
      <c r="F2723" s="35">
        <f t="shared" ca="1" si="128"/>
        <v>2.8980946974899169E-3</v>
      </c>
    </row>
    <row r="2724" spans="1:6" x14ac:dyDescent="0.25">
      <c r="A2724" s="23">
        <v>2723</v>
      </c>
      <c r="B2724" s="7" cm="1">
        <f t="array" aca="1" ref="B2724" ca="1">interpolexp(A2724,serie_du,Taxas_DI)</f>
        <v>0.12311592066387433</v>
      </c>
      <c r="C2724" s="37">
        <f t="shared" ca="1" si="127"/>
        <v>3.5064337636047376</v>
      </c>
      <c r="D2724" s="36">
        <f t="shared" ca="1" si="129"/>
        <v>0.12097455764681175</v>
      </c>
      <c r="E2724" s="32">
        <v>0.12021781718527524</v>
      </c>
      <c r="F2724" s="35">
        <f t="shared" ca="1" si="128"/>
        <v>2.89810347859909E-3</v>
      </c>
    </row>
    <row r="2725" spans="1:6" x14ac:dyDescent="0.25">
      <c r="A2725" s="23">
        <v>2724</v>
      </c>
      <c r="B2725" s="7" cm="1">
        <f t="array" aca="1" ref="B2725" ca="1">interpolexp(A2725,serie_du,Taxas_DI)</f>
        <v>0.12311513380349748</v>
      </c>
      <c r="C2725" s="37">
        <f t="shared" ca="1" si="127"/>
        <v>3.5080231288152905</v>
      </c>
      <c r="D2725" s="36">
        <f t="shared" ca="1" si="129"/>
        <v>0.12097455623787967</v>
      </c>
      <c r="E2725" s="32">
        <v>0.12021702155022851</v>
      </c>
      <c r="F2725" s="35">
        <f t="shared" ca="1" si="128"/>
        <v>2.8981122532689696E-3</v>
      </c>
    </row>
    <row r="2726" spans="1:6" x14ac:dyDescent="0.25">
      <c r="A2726" s="23">
        <v>2725</v>
      </c>
      <c r="B2726" s="7" cm="1">
        <f t="array" aca="1" ref="B2726" ca="1">interpolexp(A2726,serie_du,Taxas_DI)</f>
        <v>0.12311434752061423</v>
      </c>
      <c r="C2726" s="37">
        <f t="shared" ca="1" si="127"/>
        <v>3.5096132144199785</v>
      </c>
      <c r="D2726" s="36">
        <f t="shared" ca="1" si="129"/>
        <v>0.12097455468950113</v>
      </c>
      <c r="E2726" s="32">
        <v>0.12021622649913688</v>
      </c>
      <c r="F2726" s="35">
        <f t="shared" ca="1" si="128"/>
        <v>2.8981210214773512E-3</v>
      </c>
    </row>
    <row r="2727" spans="1:6" x14ac:dyDescent="0.25">
      <c r="A2727" s="23">
        <v>2726</v>
      </c>
      <c r="B2727" s="7" cm="1">
        <f t="array" aca="1" ref="B2727" ca="1">interpolexp(A2727,serie_du,Taxas_DI)</f>
        <v>0.12311356181462507</v>
      </c>
      <c r="C2727" s="37">
        <f t="shared" ca="1" si="127"/>
        <v>3.5112040207465589</v>
      </c>
      <c r="D2727" s="36">
        <f t="shared" ca="1" si="129"/>
        <v>0.12097455324090278</v>
      </c>
      <c r="E2727" s="32">
        <v>0.12021543203137863</v>
      </c>
      <c r="F2727" s="35">
        <f t="shared" ca="1" si="128"/>
        <v>2.8981297832464392E-3</v>
      </c>
    </row>
    <row r="2728" spans="1:6" x14ac:dyDescent="0.25">
      <c r="A2728" s="23">
        <v>2727</v>
      </c>
      <c r="B2728" s="7" cm="1">
        <f t="array" aca="1" ref="B2728" ca="1">interpolexp(A2728,serie_du,Taxas_DI)</f>
        <v>0.12311277668488607</v>
      </c>
      <c r="C2728" s="37">
        <f t="shared" ca="1" si="127"/>
        <v>3.5127955481214026</v>
      </c>
      <c r="D2728" s="36">
        <f t="shared" ca="1" si="129"/>
        <v>0.12097455176861294</v>
      </c>
      <c r="E2728" s="32">
        <v>0.12021463814626543</v>
      </c>
      <c r="F2728" s="35">
        <f t="shared" ca="1" si="128"/>
        <v>2.8981385386206426E-3</v>
      </c>
    </row>
    <row r="2729" spans="1:6" x14ac:dyDescent="0.25">
      <c r="A2729" s="23">
        <v>2728</v>
      </c>
      <c r="B2729" s="7" cm="1">
        <f t="array" aca="1" ref="B2729" ca="1">interpolexp(A2729,serie_du,Taxas_DI)</f>
        <v>0.1231119921307533</v>
      </c>
      <c r="C2729" s="37">
        <f t="shared" ca="1" si="127"/>
        <v>3.5143877968709978</v>
      </c>
      <c r="D2729" s="36">
        <f t="shared" ca="1" si="129"/>
        <v>0.12097455027018267</v>
      </c>
      <c r="E2729" s="32">
        <v>0.12021384484319775</v>
      </c>
      <c r="F2729" s="35">
        <f t="shared" ca="1" si="128"/>
        <v>2.8981472875555525E-3</v>
      </c>
    </row>
    <row r="2730" spans="1:6" x14ac:dyDescent="0.25">
      <c r="A2730" s="23">
        <v>2729</v>
      </c>
      <c r="B2730" s="7" cm="1">
        <f t="array" aca="1" ref="B2730" ca="1">interpolexp(A2730,serie_du,Taxas_DI)</f>
        <v>0.12311120815160503</v>
      </c>
      <c r="C2730" s="37">
        <f t="shared" ca="1" si="127"/>
        <v>3.5159807673227004</v>
      </c>
      <c r="D2730" s="36">
        <f t="shared" ca="1" si="129"/>
        <v>0.12097454880341463</v>
      </c>
      <c r="E2730" s="32">
        <v>0.12021305212153166</v>
      </c>
      <c r="F2730" s="35">
        <f t="shared" ca="1" si="128"/>
        <v>2.8981560300733733E-3</v>
      </c>
    </row>
    <row r="2731" spans="1:6" x14ac:dyDescent="0.25">
      <c r="A2731" s="23">
        <v>2730</v>
      </c>
      <c r="B2731" s="7" cm="1">
        <f t="array" aca="1" ref="B2731" ca="1">interpolexp(A2731,serie_du,Taxas_DI)</f>
        <v>0.12311042474679734</v>
      </c>
      <c r="C2731" s="37">
        <f t="shared" ca="1" si="127"/>
        <v>3.5175744598032317</v>
      </c>
      <c r="D2731" s="36">
        <f t="shared" ca="1" si="129"/>
        <v>0.12097454730539781</v>
      </c>
      <c r="E2731" s="32">
        <v>0.12021225998060103</v>
      </c>
      <c r="F2731" s="35">
        <f t="shared" ca="1" si="128"/>
        <v>2.8981647661963095E-3</v>
      </c>
    </row>
    <row r="2732" spans="1:6" x14ac:dyDescent="0.25">
      <c r="A2732" s="23">
        <v>2731</v>
      </c>
      <c r="B2732" s="7" cm="1">
        <f t="array" aca="1" ref="B2732" ca="1">interpolexp(A2732,serie_du,Taxas_DI)</f>
        <v>0.12310964191573071</v>
      </c>
      <c r="C2732" s="37">
        <f t="shared" ca="1" si="127"/>
        <v>3.5191688746409349</v>
      </c>
      <c r="D2732" s="36">
        <f t="shared" ca="1" si="129"/>
        <v>0.12097454589449508</v>
      </c>
      <c r="E2732" s="32">
        <v>0.12021146841980634</v>
      </c>
      <c r="F2732" s="35">
        <f t="shared" ca="1" si="128"/>
        <v>2.898173495924361E-3</v>
      </c>
    </row>
    <row r="2733" spans="1:6" x14ac:dyDescent="0.25">
      <c r="A2733" s="23">
        <v>2732</v>
      </c>
      <c r="B2733" s="7" cm="1">
        <f t="array" aca="1" ref="B2733" ca="1">interpolexp(A2733,serie_du,Taxas_DI)</f>
        <v>0.12310885965773899</v>
      </c>
      <c r="C2733" s="37">
        <f t="shared" ca="1" si="127"/>
        <v>3.520764012162013</v>
      </c>
      <c r="D2733" s="36">
        <f t="shared" ca="1" si="129"/>
        <v>0.12097454438697075</v>
      </c>
      <c r="E2733" s="32">
        <v>0.12021067743848146</v>
      </c>
      <c r="F2733" s="35">
        <f t="shared" ca="1" si="128"/>
        <v>2.8981822192575279E-3</v>
      </c>
    </row>
    <row r="2734" spans="1:6" x14ac:dyDescent="0.25">
      <c r="A2734" s="23">
        <v>2733</v>
      </c>
      <c r="B2734" s="7" cm="1">
        <f t="array" aca="1" ref="B2734" ca="1">interpolexp(A2734,serie_du,Taxas_DI)</f>
        <v>0.12310807797220047</v>
      </c>
      <c r="C2734" s="37">
        <f t="shared" ca="1" si="127"/>
        <v>3.5223598726942869</v>
      </c>
      <c r="D2734" s="36">
        <f t="shared" ca="1" si="129"/>
        <v>0.12097454290080512</v>
      </c>
      <c r="E2734" s="32">
        <v>0.12020988703600466</v>
      </c>
      <c r="F2734" s="35">
        <f t="shared" ca="1" si="128"/>
        <v>2.8981909361958103E-3</v>
      </c>
    </row>
    <row r="2735" spans="1:6" x14ac:dyDescent="0.25">
      <c r="A2735" s="23">
        <v>2734</v>
      </c>
      <c r="B2735" s="7" cm="1">
        <f t="array" aca="1" ref="B2735" ca="1">interpolexp(A2735,serie_du,Taxas_DI)</f>
        <v>0.12310729685851562</v>
      </c>
      <c r="C2735" s="37">
        <f t="shared" ca="1" si="127"/>
        <v>3.5239564565664585</v>
      </c>
      <c r="D2735" s="36">
        <f t="shared" ca="1" si="129"/>
        <v>0.12097454149467812</v>
      </c>
      <c r="E2735" s="32">
        <v>0.12020909721173201</v>
      </c>
      <c r="F2735" s="35">
        <f t="shared" ca="1" si="128"/>
        <v>2.8981996467836169E-3</v>
      </c>
    </row>
    <row r="2736" spans="1:6" x14ac:dyDescent="0.25">
      <c r="A2736" s="23">
        <v>2735</v>
      </c>
      <c r="B2736" s="7" cm="1">
        <f t="array" aca="1" ref="B2736" ca="1">interpolexp(A2736,serie_du,Taxas_DI)</f>
        <v>0.12310651631601832</v>
      </c>
      <c r="C2736" s="37">
        <f t="shared" ca="1" si="127"/>
        <v>3.5255537641050738</v>
      </c>
      <c r="D2736" s="36">
        <f t="shared" ca="1" si="129"/>
        <v>0.12097453998381758</v>
      </c>
      <c r="E2736" s="32">
        <v>0.12020830796504178</v>
      </c>
      <c r="F2736" s="35">
        <f t="shared" ca="1" si="128"/>
        <v>2.8982083509765388E-3</v>
      </c>
    </row>
    <row r="2737" spans="1:6" x14ac:dyDescent="0.25">
      <c r="A2737" s="23">
        <v>2736</v>
      </c>
      <c r="B2737" s="7" cm="1">
        <f t="array" aca="1" ref="B2737" ca="1">interpolexp(A2737,serie_du,Taxas_DI)</f>
        <v>0.12310573634408684</v>
      </c>
      <c r="C2737" s="37">
        <f t="shared" ca="1" si="127"/>
        <v>3.5271517956383107</v>
      </c>
      <c r="D2737" s="36">
        <f t="shared" ca="1" si="129"/>
        <v>0.12097453848720119</v>
      </c>
      <c r="E2737" s="32">
        <v>0.12020751929529006</v>
      </c>
      <c r="F2737" s="35">
        <f t="shared" ca="1" si="128"/>
        <v>2.8982170487967807E-3</v>
      </c>
    </row>
    <row r="2738" spans="1:6" x14ac:dyDescent="0.25">
      <c r="A2738" s="23">
        <v>2737</v>
      </c>
      <c r="B2738" s="7" cm="1">
        <f t="array" aca="1" ref="B2738" ca="1">interpolexp(A2738,serie_du,Taxas_DI)</f>
        <v>0.12310495694212165</v>
      </c>
      <c r="C2738" s="37">
        <f t="shared" ca="1" si="127"/>
        <v>3.5287505514952215</v>
      </c>
      <c r="D2738" s="36">
        <f t="shared" ca="1" si="129"/>
        <v>0.12097453706294514</v>
      </c>
      <c r="E2738" s="32">
        <v>0.12020673120183289</v>
      </c>
      <c r="F2738" s="35">
        <f t="shared" ca="1" si="128"/>
        <v>2.8982257402887512E-3</v>
      </c>
    </row>
    <row r="2739" spans="1:6" x14ac:dyDescent="0.25">
      <c r="A2739" s="23">
        <v>2738</v>
      </c>
      <c r="B2739" s="7" cm="1">
        <f t="array" aca="1" ref="B2739" ca="1">interpolexp(A2739,serie_du,Taxas_DI)</f>
        <v>0.12310417810950103</v>
      </c>
      <c r="C2739" s="37">
        <f t="shared" ca="1" si="127"/>
        <v>3.53035003200422</v>
      </c>
      <c r="D2739" s="36">
        <f t="shared" ca="1" si="129"/>
        <v>0.12097453564781535</v>
      </c>
      <c r="E2739" s="32">
        <v>0.12020594368407078</v>
      </c>
      <c r="F2739" s="35">
        <f t="shared" ca="1" si="128"/>
        <v>2.8982344254302461E-3</v>
      </c>
    </row>
    <row r="2740" spans="1:6" x14ac:dyDescent="0.25">
      <c r="A2740" s="23">
        <v>2739</v>
      </c>
      <c r="B2740" s="7" cm="1">
        <f t="array" aca="1" ref="B2740" ca="1">interpolexp(A2740,serie_du,Taxas_DI)</f>
        <v>0.12310339984555885</v>
      </c>
      <c r="C2740" s="37">
        <f t="shared" ca="1" si="127"/>
        <v>3.5319502374923184</v>
      </c>
      <c r="D2740" s="36">
        <f t="shared" ca="1" si="129"/>
        <v>0.12097453411792003</v>
      </c>
      <c r="E2740" s="32">
        <v>0.12020515674135979</v>
      </c>
      <c r="F2740" s="35">
        <f t="shared" ca="1" si="128"/>
        <v>2.8982431041990608E-3</v>
      </c>
    </row>
    <row r="2741" spans="1:6" x14ac:dyDescent="0.25">
      <c r="A2741" s="23">
        <v>2740</v>
      </c>
      <c r="B2741" s="7" cm="1">
        <f t="array" aca="1" ref="B2741" ca="1">interpolexp(A2741,serie_du,Taxas_DI)</f>
        <v>0.12310262214971779</v>
      </c>
      <c r="C2741" s="37">
        <f t="shared" ca="1" si="127"/>
        <v>3.533551168289685</v>
      </c>
      <c r="D2741" s="36">
        <f t="shared" ca="1" si="129"/>
        <v>0.12097453271379832</v>
      </c>
      <c r="E2741" s="32">
        <v>0.12020437037305598</v>
      </c>
      <c r="F2741" s="35">
        <f t="shared" ca="1" si="128"/>
        <v>2.8982517766618088E-3</v>
      </c>
    </row>
    <row r="2742" spans="1:6" x14ac:dyDescent="0.25">
      <c r="A2742" s="23">
        <v>2741</v>
      </c>
      <c r="B2742" s="7" cm="1">
        <f t="array" aca="1" ref="B2742" ca="1">interpolexp(A2742,serie_du,Taxas_DI)</f>
        <v>0.12310184502133392</v>
      </c>
      <c r="C2742" s="37">
        <f t="shared" ca="1" si="127"/>
        <v>3.5351528247243249</v>
      </c>
      <c r="D2742" s="36">
        <f t="shared" ca="1" si="129"/>
        <v>0.12097453125053992</v>
      </c>
      <c r="E2742" s="32">
        <v>0.12020358457853764</v>
      </c>
      <c r="F2742" s="35">
        <f t="shared" ca="1" si="128"/>
        <v>2.8982604427962855E-3</v>
      </c>
    </row>
    <row r="2743" spans="1:6" x14ac:dyDescent="0.25">
      <c r="A2743" s="23">
        <v>2742</v>
      </c>
      <c r="B2743" s="7" cm="1">
        <f t="array" aca="1" ref="B2743" ca="1">interpolexp(A2743,serie_du,Taxas_DI)</f>
        <v>0.12310106845978552</v>
      </c>
      <c r="C2743" s="37">
        <f t="shared" ca="1" si="127"/>
        <v>3.5367552071251236</v>
      </c>
      <c r="D2743" s="36">
        <f t="shared" ca="1" si="129"/>
        <v>0.12097452978658496</v>
      </c>
      <c r="E2743" s="32">
        <v>0.12020279935718303</v>
      </c>
      <c r="F2743" s="35">
        <f t="shared" ca="1" si="128"/>
        <v>2.8982691026024909E-3</v>
      </c>
    </row>
    <row r="2744" spans="1:6" x14ac:dyDescent="0.25">
      <c r="A2744" s="23">
        <v>2743</v>
      </c>
      <c r="B2744" s="7" cm="1">
        <f t="array" aca="1" ref="B2744" ca="1">interpolexp(A2744,serie_du,Taxas_DI)</f>
        <v>0.12310029246445087</v>
      </c>
      <c r="C2744" s="37">
        <f t="shared" ca="1" si="127"/>
        <v>3.5383583158210827</v>
      </c>
      <c r="D2744" s="36">
        <f t="shared" ca="1" si="129"/>
        <v>0.12097452831928401</v>
      </c>
      <c r="E2744" s="32">
        <v>0.12020201470834824</v>
      </c>
      <c r="F2744" s="35">
        <f t="shared" ca="1" si="128"/>
        <v>2.8982777561026296E-3</v>
      </c>
    </row>
    <row r="2745" spans="1:6" x14ac:dyDescent="0.25">
      <c r="A2745" s="23">
        <v>2744</v>
      </c>
      <c r="B2745" s="7" cm="1">
        <f t="array" aca="1" ref="B2745" ca="1">interpolexp(A2745,serie_du,Taxas_DI)</f>
        <v>0.12309951703470823</v>
      </c>
      <c r="C2745" s="37">
        <f t="shared" ca="1" si="127"/>
        <v>3.5399621511413222</v>
      </c>
      <c r="D2745" s="36">
        <f t="shared" ca="1" si="129"/>
        <v>0.12097452684632382</v>
      </c>
      <c r="E2745" s="32">
        <v>0.12020123063143373</v>
      </c>
      <c r="F2745" s="35">
        <f t="shared" ca="1" si="128"/>
        <v>2.898286403274497E-3</v>
      </c>
    </row>
    <row r="2746" spans="1:6" x14ac:dyDescent="0.25">
      <c r="A2746" s="23">
        <v>2745</v>
      </c>
      <c r="B2746" s="7" cm="1">
        <f t="array" aca="1" ref="B2746" ca="1">interpolexp(A2746,serie_du,Taxas_DI)</f>
        <v>0.12309874216995809</v>
      </c>
      <c r="C2746" s="37">
        <f t="shared" ca="1" si="127"/>
        <v>3.5415667134158406</v>
      </c>
      <c r="D2746" s="36">
        <f t="shared" ca="1" si="129"/>
        <v>0.12097452542583476</v>
      </c>
      <c r="E2746" s="32">
        <v>0.12020044712579558</v>
      </c>
      <c r="F2746" s="35">
        <f t="shared" ca="1" si="128"/>
        <v>2.8982950441625022E-3</v>
      </c>
    </row>
    <row r="2747" spans="1:6" x14ac:dyDescent="0.25">
      <c r="A2747" s="23">
        <v>2746</v>
      </c>
      <c r="B2747" s="7" cm="1">
        <f t="array" aca="1" ref="B2747" ca="1">interpolexp(A2747,serie_du,Taxas_DI)</f>
        <v>0.12309796786957872</v>
      </c>
      <c r="C2747" s="37">
        <f t="shared" ca="1" si="127"/>
        <v>3.5431720029739986</v>
      </c>
      <c r="D2747" s="36">
        <f t="shared" ca="1" si="129"/>
        <v>0.12097452399485364</v>
      </c>
      <c r="E2747" s="32">
        <v>0.12019966419083428</v>
      </c>
      <c r="F2747" s="35">
        <f t="shared" ca="1" si="128"/>
        <v>2.8983036787444405E-3</v>
      </c>
    </row>
    <row r="2748" spans="1:6" x14ac:dyDescent="0.25">
      <c r="A2748" s="23">
        <v>2747</v>
      </c>
      <c r="B2748" s="7" cm="1">
        <f t="array" aca="1" ref="B2748" ca="1">interpolexp(A2748,serie_du,Taxas_DI)</f>
        <v>0.1230971941329484</v>
      </c>
      <c r="C2748" s="37">
        <f t="shared" ca="1" si="127"/>
        <v>3.544778020145269</v>
      </c>
      <c r="D2748" s="36">
        <f t="shared" ca="1" si="129"/>
        <v>0.12097452255058072</v>
      </c>
      <c r="E2748" s="32">
        <v>0.12019888182588367</v>
      </c>
      <c r="F2748" s="35">
        <f t="shared" ca="1" si="128"/>
        <v>2.898312307064721E-3</v>
      </c>
    </row>
    <row r="2749" spans="1:6" x14ac:dyDescent="0.25">
      <c r="A2749" s="23">
        <v>2748</v>
      </c>
      <c r="B2749" s="7" cm="1">
        <f t="array" aca="1" ref="B2749" ca="1">interpolexp(A2749,serie_du,Taxas_DI)</f>
        <v>0.1230964209594454</v>
      </c>
      <c r="C2749" s="37">
        <f t="shared" ca="1" si="127"/>
        <v>3.5463847652592468</v>
      </c>
      <c r="D2749" s="36">
        <f t="shared" ca="1" si="129"/>
        <v>0.12097452109077156</v>
      </c>
      <c r="E2749" s="32">
        <v>0.12019810003036646</v>
      </c>
      <c r="F2749" s="35">
        <f t="shared" ca="1" si="128"/>
        <v>2.8983209290789347E-3</v>
      </c>
    </row>
    <row r="2750" spans="1:6" x14ac:dyDescent="0.25">
      <c r="A2750" s="23">
        <v>2749</v>
      </c>
      <c r="B2750" s="7" cm="1">
        <f t="array" aca="1" ref="B2750" ca="1">interpolexp(A2750,serie_du,Taxas_DI)</f>
        <v>0.1230956483484702</v>
      </c>
      <c r="C2750" s="37">
        <f t="shared" ca="1" si="127"/>
        <v>3.5479922386464073</v>
      </c>
      <c r="D2750" s="36">
        <f t="shared" ca="1" si="129"/>
        <v>0.12097451967370754</v>
      </c>
      <c r="E2750" s="32">
        <v>0.1201973188036165</v>
      </c>
      <c r="F2750" s="35">
        <f t="shared" ca="1" si="128"/>
        <v>2.898329544853695E-3</v>
      </c>
    </row>
    <row r="2751" spans="1:6" x14ac:dyDescent="0.25">
      <c r="A2751" s="23">
        <v>2750</v>
      </c>
      <c r="B2751" s="7" cm="1">
        <f t="array" aca="1" ref="B2751" ca="1">interpolexp(A2751,serie_du,Taxas_DI)</f>
        <v>0.12309487629937887</v>
      </c>
      <c r="C2751" s="37">
        <f t="shared" ca="1" si="127"/>
        <v>3.549600440635817</v>
      </c>
      <c r="D2751" s="36">
        <f t="shared" ca="1" si="129"/>
        <v>0.12097451817528149</v>
      </c>
      <c r="E2751" s="32">
        <v>0.12019653814505649</v>
      </c>
      <c r="F2751" s="35">
        <f t="shared" ca="1" si="128"/>
        <v>2.8983381543223885E-3</v>
      </c>
    </row>
    <row r="2752" spans="1:6" x14ac:dyDescent="0.25">
      <c r="A2752" s="23">
        <v>2751</v>
      </c>
      <c r="B2752" s="7" cm="1">
        <f t="array" aca="1" ref="B2752" ca="1">interpolexp(A2752,serie_du,Taxas_DI)</f>
        <v>0.12309410481159411</v>
      </c>
      <c r="C2752" s="37">
        <f t="shared" ca="1" si="127"/>
        <v>3.5512093715589539</v>
      </c>
      <c r="D2752" s="36">
        <f t="shared" ca="1" si="129"/>
        <v>0.12097451677554516</v>
      </c>
      <c r="E2752" s="32">
        <v>0.12019575805404248</v>
      </c>
      <c r="F2752" s="35">
        <f t="shared" ca="1" si="128"/>
        <v>2.8983467575516286E-3</v>
      </c>
    </row>
    <row r="2753" spans="1:6" x14ac:dyDescent="0.25">
      <c r="A2753" s="23">
        <v>2752</v>
      </c>
      <c r="B2753" s="7" cm="1">
        <f t="array" aca="1" ref="B2753" ca="1">interpolexp(A2753,serie_du,Taxas_DI)</f>
        <v>0.12309333388449417</v>
      </c>
      <c r="C2753" s="37">
        <f t="shared" ca="1" si="127"/>
        <v>3.5528190317458885</v>
      </c>
      <c r="D2753" s="36">
        <f t="shared" ca="1" si="129"/>
        <v>0.12097451535052572</v>
      </c>
      <c r="E2753" s="32">
        <v>0.12019497852997496</v>
      </c>
      <c r="F2753" s="35">
        <f t="shared" ca="1" si="128"/>
        <v>2.8983553545192109E-3</v>
      </c>
    </row>
    <row r="2754" spans="1:6" x14ac:dyDescent="0.25">
      <c r="A2754" s="23">
        <v>2753</v>
      </c>
      <c r="B2754" s="7" cm="1">
        <f t="array" aca="1" ref="B2754" ca="1">interpolexp(A2754,serie_du,Taxas_DI)</f>
        <v>0.12309256351745734</v>
      </c>
      <c r="C2754" s="37">
        <f t="shared" ref="C2754:C2817" ca="1" si="130">(1+B2754)^(A2754/252)</f>
        <v>3.5544294215268066</v>
      </c>
      <c r="D2754" s="36">
        <f t="shared" ca="1" si="129"/>
        <v>0.12097451389754732</v>
      </c>
      <c r="E2754" s="32">
        <v>0.12019419957221</v>
      </c>
      <c r="F2754" s="35">
        <f t="shared" ref="F2754:F2817" ca="1" si="131">B2754-E2754</f>
        <v>2.8983639452473398E-3</v>
      </c>
    </row>
    <row r="2755" spans="1:6" x14ac:dyDescent="0.25">
      <c r="A2755" s="23">
        <v>2754</v>
      </c>
      <c r="B2755" s="7" cm="1">
        <f t="array" aca="1" ref="B2755" ca="1">interpolexp(A2755,serie_du,Taxas_DI)</f>
        <v>0.1230917937098841</v>
      </c>
      <c r="C2755" s="37">
        <f t="shared" ca="1" si="130"/>
        <v>3.5560405412327816</v>
      </c>
      <c r="D2755" s="36">
        <f t="shared" ca="1" si="129"/>
        <v>0.12097451247519886</v>
      </c>
      <c r="E2755" s="32">
        <v>0.12019342118012588</v>
      </c>
      <c r="F2755" s="35">
        <f t="shared" ca="1" si="131"/>
        <v>2.8983725297582197E-3</v>
      </c>
    </row>
    <row r="2756" spans="1:6" x14ac:dyDescent="0.25">
      <c r="A2756" s="23">
        <v>2755</v>
      </c>
      <c r="B2756" s="7" cm="1">
        <f t="array" aca="1" ref="B2756" ca="1">interpolexp(A2756,serie_du,Taxas_DI)</f>
        <v>0.12309102446115272</v>
      </c>
      <c r="C2756" s="37">
        <f t="shared" ca="1" si="130"/>
        <v>3.5576523911942366</v>
      </c>
      <c r="D2756" s="36">
        <f t="shared" ref="D2756:D2819" ca="1" si="132">((((1+B2756)^(A2756/252))/((1+B2755)^(A2755/252)))^(252/1))-1</f>
        <v>0.12097451101996959</v>
      </c>
      <c r="E2756" s="32">
        <v>0.12019264335314528</v>
      </c>
      <c r="F2756" s="35">
        <f t="shared" ca="1" si="131"/>
        <v>2.8983811080074418E-3</v>
      </c>
    </row>
    <row r="2757" spans="1:6" x14ac:dyDescent="0.25">
      <c r="A2757" s="23">
        <v>2756</v>
      </c>
      <c r="B2757" s="7" cm="1">
        <f t="array" aca="1" ref="B2757" ca="1">interpolexp(A2757,serie_du,Taxas_DI)</f>
        <v>0.12309025577066368</v>
      </c>
      <c r="C2757" s="37">
        <f t="shared" ca="1" si="130"/>
        <v>3.5592649717424854</v>
      </c>
      <c r="D2757" s="36">
        <f t="shared" ca="1" si="132"/>
        <v>0.12097450959063827</v>
      </c>
      <c r="E2757" s="32">
        <v>0.12019186609062427</v>
      </c>
      <c r="F2757" s="35">
        <f t="shared" ca="1" si="131"/>
        <v>2.8983896800394149E-3</v>
      </c>
    </row>
    <row r="2758" spans="1:6" x14ac:dyDescent="0.25">
      <c r="A2758" s="23">
        <v>2757</v>
      </c>
      <c r="B2758" s="7" cm="1">
        <f t="array" aca="1" ref="B2758" ca="1">interpolexp(A2758,serie_du,Taxas_DI)</f>
        <v>0.12308948763781746</v>
      </c>
      <c r="C2758" s="37">
        <f t="shared" ca="1" si="130"/>
        <v>3.5608782832089578</v>
      </c>
      <c r="D2758" s="36">
        <f t="shared" ca="1" si="132"/>
        <v>0.12097450818454214</v>
      </c>
      <c r="E2758" s="32">
        <v>0.12019108939196332</v>
      </c>
      <c r="F2758" s="35">
        <f t="shared" ca="1" si="131"/>
        <v>2.8983982458541391E-3</v>
      </c>
    </row>
    <row r="2759" spans="1:6" x14ac:dyDescent="0.25">
      <c r="A2759" s="23">
        <v>2758</v>
      </c>
      <c r="B2759" s="7" cm="1">
        <f t="array" aca="1" ref="B2759" ca="1">interpolexp(A2759,serie_du,Taxas_DI)</f>
        <v>0.12308872006199234</v>
      </c>
      <c r="C2759" s="37">
        <f t="shared" ca="1" si="130"/>
        <v>3.5624923259244374</v>
      </c>
      <c r="D2759" s="36">
        <f t="shared" ca="1" si="132"/>
        <v>0.12097450673838983</v>
      </c>
      <c r="E2759" s="32">
        <v>0.12019031325654073</v>
      </c>
      <c r="F2759" s="35">
        <f t="shared" ca="1" si="131"/>
        <v>2.8984068054516143E-3</v>
      </c>
    </row>
    <row r="2760" spans="1:6" x14ac:dyDescent="0.25">
      <c r="A2760" s="23">
        <v>2759</v>
      </c>
      <c r="B2760" s="7" cm="1">
        <f t="array" aca="1" ref="B2760" ca="1">interpolexp(A2760,serie_du,Taxas_DI)</f>
        <v>0.12308795304258879</v>
      </c>
      <c r="C2760" s="37">
        <f t="shared" ca="1" si="130"/>
        <v>3.5641071002205944</v>
      </c>
      <c r="D2760" s="36">
        <f t="shared" ca="1" si="132"/>
        <v>0.12097450531077003</v>
      </c>
      <c r="E2760" s="32">
        <v>0.12018953768373475</v>
      </c>
      <c r="F2760" s="35">
        <f t="shared" ca="1" si="131"/>
        <v>2.8984153588540451E-3</v>
      </c>
    </row>
    <row r="2761" spans="1:6" x14ac:dyDescent="0.25">
      <c r="A2761" s="23">
        <v>2760</v>
      </c>
      <c r="B2761" s="7" cm="1">
        <f t="array" aca="1" ref="B2761" ca="1">interpolexp(A2761,serie_du,Taxas_DI)</f>
        <v>0.1230871865790073</v>
      </c>
      <c r="C2761" s="37">
        <f t="shared" ca="1" si="130"/>
        <v>3.5657226064292216</v>
      </c>
      <c r="D2761" s="36">
        <f t="shared" ca="1" si="132"/>
        <v>0.12097450389933373</v>
      </c>
      <c r="E2761" s="32">
        <v>0.12018876267294587</v>
      </c>
      <c r="F2761" s="35">
        <f t="shared" ca="1" si="131"/>
        <v>2.8984239060614314E-3</v>
      </c>
    </row>
    <row r="2762" spans="1:6" x14ac:dyDescent="0.25">
      <c r="A2762" s="23">
        <v>2761</v>
      </c>
      <c r="B2762" s="7" cm="1">
        <f t="array" aca="1" ref="B2762" ca="1">interpolexp(A2762,serie_du,Taxas_DI)</f>
        <v>0.12308642067062614</v>
      </c>
      <c r="C2762" s="37">
        <f t="shared" ca="1" si="130"/>
        <v>3.5673388448814563</v>
      </c>
      <c r="D2762" s="36">
        <f t="shared" ca="1" si="132"/>
        <v>0.12097450244034991</v>
      </c>
      <c r="E2762" s="32">
        <v>0.12018798822357457</v>
      </c>
      <c r="F2762" s="35">
        <f t="shared" ca="1" si="131"/>
        <v>2.8984324470515688E-3</v>
      </c>
    </row>
    <row r="2763" spans="1:6" x14ac:dyDescent="0.25">
      <c r="A2763" s="23">
        <v>2762</v>
      </c>
      <c r="B2763" s="7" cm="1">
        <f t="array" aca="1" ref="B2763" ca="1">interpolexp(A2763,serie_du,Taxas_DI)</f>
        <v>0.12308565531686799</v>
      </c>
      <c r="C2763" s="37">
        <f t="shared" ca="1" si="130"/>
        <v>3.5689558159101038</v>
      </c>
      <c r="D2763" s="36">
        <f t="shared" ca="1" si="132"/>
        <v>0.12097450105387586</v>
      </c>
      <c r="E2763" s="32">
        <v>0.12018721433499913</v>
      </c>
      <c r="F2763" s="35">
        <f t="shared" ca="1" si="131"/>
        <v>2.8984409818688661E-3</v>
      </c>
    </row>
    <row r="2764" spans="1:6" x14ac:dyDescent="0.25">
      <c r="A2764" s="23">
        <v>2763</v>
      </c>
      <c r="B2764" s="7" cm="1">
        <f t="array" aca="1" ref="B2764" ca="1">interpolexp(A2764,serie_du,Taxas_DI)</f>
        <v>0.12308489051711113</v>
      </c>
      <c r="C2764" s="37">
        <f t="shared" ca="1" si="130"/>
        <v>3.5705735198465414</v>
      </c>
      <c r="D2764" s="36">
        <f t="shared" ca="1" si="132"/>
        <v>0.12097449961506812</v>
      </c>
      <c r="E2764" s="32">
        <v>0.12018644100659781</v>
      </c>
      <c r="F2764" s="35">
        <f t="shared" ca="1" si="131"/>
        <v>2.8984495105133234E-3</v>
      </c>
    </row>
    <row r="2765" spans="1:6" x14ac:dyDescent="0.25">
      <c r="A2765" s="23">
        <v>2764</v>
      </c>
      <c r="B2765" s="7" cm="1">
        <f t="array" aca="1" ref="B2765" ca="1">interpolexp(A2765,serie_du,Taxas_DI)</f>
        <v>0.12308412627077825</v>
      </c>
      <c r="C2765" s="37">
        <f t="shared" ca="1" si="130"/>
        <v>3.5721919570238168</v>
      </c>
      <c r="D2765" s="36">
        <f t="shared" ca="1" si="132"/>
        <v>0.12097449824412321</v>
      </c>
      <c r="E2765" s="32">
        <v>0.1201856682377711</v>
      </c>
      <c r="F2765" s="35">
        <f t="shared" ca="1" si="131"/>
        <v>2.8984580330071452E-3</v>
      </c>
    </row>
    <row r="2766" spans="1:6" x14ac:dyDescent="0.25">
      <c r="A2766" s="23">
        <v>2765</v>
      </c>
      <c r="B2766" s="7" cm="1">
        <f t="array" aca="1" ref="B2766" ca="1">interpolexp(A2766,serie_du,Taxas_DI)</f>
        <v>0.12308336257722541</v>
      </c>
      <c r="C2766" s="37">
        <f t="shared" ca="1" si="130"/>
        <v>3.5738111277727707</v>
      </c>
      <c r="D2766" s="36">
        <f t="shared" ca="1" si="132"/>
        <v>0.12097449675456895</v>
      </c>
      <c r="E2766" s="32">
        <v>0.12018489602791949</v>
      </c>
      <c r="F2766" s="35">
        <f t="shared" ca="1" si="131"/>
        <v>2.8984665493059225E-3</v>
      </c>
    </row>
    <row r="2767" spans="1:6" x14ac:dyDescent="0.25">
      <c r="A2767" s="23">
        <v>2766</v>
      </c>
      <c r="B2767" s="7" cm="1">
        <f t="array" aca="1" ref="B2767" ca="1">interpolexp(A2767,serie_du,Taxas_DI)</f>
        <v>0.1230825994358975</v>
      </c>
      <c r="C2767" s="37">
        <f t="shared" ca="1" si="130"/>
        <v>3.5754310324274674</v>
      </c>
      <c r="D2767" s="36">
        <f t="shared" ca="1" si="132"/>
        <v>0.1209744953894154</v>
      </c>
      <c r="E2767" s="32">
        <v>0.12018412437644344</v>
      </c>
      <c r="F2767" s="35">
        <f t="shared" ca="1" si="131"/>
        <v>2.8984750594540643E-3</v>
      </c>
    </row>
    <row r="2768" spans="1:6" x14ac:dyDescent="0.25">
      <c r="A2768" s="23">
        <v>2767</v>
      </c>
      <c r="B2768" s="7" cm="1">
        <f t="array" aca="1" ref="B2768" ca="1">interpolexp(A2768,serie_du,Taxas_DI)</f>
        <v>0.1230818368461728</v>
      </c>
      <c r="C2768" s="37">
        <f t="shared" ca="1" si="130"/>
        <v>3.5770516713197633</v>
      </c>
      <c r="D2768" s="36">
        <f t="shared" ca="1" si="132"/>
        <v>0.12097449396217019</v>
      </c>
      <c r="E2768" s="32">
        <v>0.12018335328269902</v>
      </c>
      <c r="F2768" s="35">
        <f t="shared" ca="1" si="131"/>
        <v>2.8984835634737749E-3</v>
      </c>
    </row>
    <row r="2769" spans="1:6" x14ac:dyDescent="0.25">
      <c r="A2769" s="23">
        <v>2768</v>
      </c>
      <c r="B2769" s="7" cm="1">
        <f t="array" aca="1" ref="B2769" ca="1">interpolexp(A2769,serie_du,Taxas_DI)</f>
        <v>0.12308107480745178</v>
      </c>
      <c r="C2769" s="37">
        <f t="shared" ca="1" si="130"/>
        <v>3.5786730447824122</v>
      </c>
      <c r="D2769" s="36">
        <f t="shared" ca="1" si="132"/>
        <v>0.12097449253193915</v>
      </c>
      <c r="E2769" s="32">
        <v>0.12018258274613114</v>
      </c>
      <c r="F2769" s="35">
        <f t="shared" ca="1" si="131"/>
        <v>2.8984920613206455E-3</v>
      </c>
    </row>
    <row r="2770" spans="1:6" x14ac:dyDescent="0.25">
      <c r="A2770" s="23">
        <v>2769</v>
      </c>
      <c r="B2770" s="7" cm="1">
        <f t="array" aca="1" ref="B2770" ca="1">interpolexp(A2770,serie_du,Taxas_DI)</f>
        <v>0.12308031331913494</v>
      </c>
      <c r="C2770" s="37">
        <f t="shared" ca="1" si="130"/>
        <v>3.5802951531482856</v>
      </c>
      <c r="D2770" s="36">
        <f t="shared" ca="1" si="132"/>
        <v>0.12097449109607017</v>
      </c>
      <c r="E2770" s="32">
        <v>0.12018181276611806</v>
      </c>
      <c r="F2770" s="35">
        <f t="shared" ca="1" si="131"/>
        <v>2.8985005530168806E-3</v>
      </c>
    </row>
    <row r="2771" spans="1:6" x14ac:dyDescent="0.25">
      <c r="A2771" s="23">
        <v>2770</v>
      </c>
      <c r="B2771" s="7" cm="1">
        <f t="array" aca="1" ref="B2771" ca="1">interpolexp(A2771,serie_du,Taxas_DI)</f>
        <v>0.12307955238064494</v>
      </c>
      <c r="C2771" s="37">
        <f t="shared" ca="1" si="130"/>
        <v>3.581917996751157</v>
      </c>
      <c r="D2771" s="36">
        <f t="shared" ca="1" si="132"/>
        <v>0.12097448971374281</v>
      </c>
      <c r="E2771" s="32">
        <v>0.12018104334203805</v>
      </c>
      <c r="F2771" s="35">
        <f t="shared" ca="1" si="131"/>
        <v>2.898509038606889E-3</v>
      </c>
    </row>
    <row r="2772" spans="1:6" x14ac:dyDescent="0.25">
      <c r="A2772" s="23">
        <v>2771</v>
      </c>
      <c r="B2772" s="7" cm="1">
        <f t="array" aca="1" ref="B2772" ca="1">interpolexp(A2772,serie_du,Taxas_DI)</f>
        <v>0.12307879199138227</v>
      </c>
      <c r="C2772" s="37">
        <f t="shared" ca="1" si="130"/>
        <v>3.583541575924142</v>
      </c>
      <c r="D2772" s="36">
        <f t="shared" ca="1" si="132"/>
        <v>0.12097448832127022</v>
      </c>
      <c r="E2772" s="32">
        <v>0.12018027447331381</v>
      </c>
      <c r="F2772" s="35">
        <f t="shared" ca="1" si="131"/>
        <v>2.8985175180684664E-3</v>
      </c>
    </row>
    <row r="2773" spans="1:6" x14ac:dyDescent="0.25">
      <c r="A2773" s="23">
        <v>2772</v>
      </c>
      <c r="B2773" s="7" cm="1">
        <f t="array" aca="1" ref="B2773" ca="1">interpolexp(A2773,serie_du,Taxas_DI)</f>
        <v>0.12307803215074742</v>
      </c>
      <c r="C2773" s="37">
        <f t="shared" ca="1" si="130"/>
        <v>3.5851658910004764</v>
      </c>
      <c r="D2773" s="36">
        <f t="shared" ca="1" si="132"/>
        <v>0.12097448691607804</v>
      </c>
      <c r="E2773" s="32">
        <v>0.1201795061593236</v>
      </c>
      <c r="F2773" s="35">
        <f t="shared" ca="1" si="131"/>
        <v>2.8985259914238171E-3</v>
      </c>
    </row>
    <row r="2774" spans="1:6" x14ac:dyDescent="0.25">
      <c r="A2774" s="23">
        <v>2773</v>
      </c>
      <c r="B2774" s="7" cm="1">
        <f t="array" aca="1" ref="B2774" ca="1">interpolexp(A2774,serie_du,Taxas_DI)</f>
        <v>0.12307727285814085</v>
      </c>
      <c r="C2774" s="37">
        <f t="shared" ca="1" si="130"/>
        <v>3.5867909423135185</v>
      </c>
      <c r="D2774" s="36">
        <f t="shared" ca="1" si="132"/>
        <v>0.1209744854959427</v>
      </c>
      <c r="E2774" s="32">
        <v>0.12017873839949011</v>
      </c>
      <c r="F2774" s="35">
        <f t="shared" ca="1" si="131"/>
        <v>2.8985344586507367E-3</v>
      </c>
    </row>
    <row r="2775" spans="1:6" x14ac:dyDescent="0.25">
      <c r="A2775" s="23">
        <v>2774</v>
      </c>
      <c r="B2775" s="7" cm="1">
        <f t="array" aca="1" ref="B2775" ca="1">interpolexp(A2775,serie_du,Taxas_DI)</f>
        <v>0.12307651411298526</v>
      </c>
      <c r="C2775" s="37">
        <f t="shared" ca="1" si="130"/>
        <v>3.5884167301975243</v>
      </c>
      <c r="D2775" s="36">
        <f t="shared" ca="1" si="132"/>
        <v>0.1209744841197562</v>
      </c>
      <c r="E2775" s="32">
        <v>0.12017797119321383</v>
      </c>
      <c r="F2775" s="35">
        <f t="shared" ca="1" si="131"/>
        <v>2.8985429197714296E-3</v>
      </c>
    </row>
    <row r="2776" spans="1:6" x14ac:dyDescent="0.25">
      <c r="A2776" s="23">
        <v>2775</v>
      </c>
      <c r="B2776" s="7" cm="1">
        <f t="array" aca="1" ref="B2776" ca="1">interpolexp(A2776,serie_du,Taxas_DI)</f>
        <v>0.12307575591465891</v>
      </c>
      <c r="C2776" s="37">
        <f t="shared" ca="1" si="130"/>
        <v>3.5900432549853125</v>
      </c>
      <c r="D2776" s="36">
        <f t="shared" ca="1" si="132"/>
        <v>0.12097448266245658</v>
      </c>
      <c r="E2776" s="32">
        <v>0.12017720453987302</v>
      </c>
      <c r="F2776" s="35">
        <f t="shared" ca="1" si="131"/>
        <v>2.898551374785896E-3</v>
      </c>
    </row>
    <row r="2777" spans="1:6" x14ac:dyDescent="0.25">
      <c r="A2777" s="23">
        <v>2776</v>
      </c>
      <c r="B2777" s="7" cm="1">
        <f t="array" aca="1" ref="B2777" ca="1">interpolexp(A2777,serie_du,Taxas_DI)</f>
        <v>0.12307499826260671</v>
      </c>
      <c r="C2777" s="37">
        <f t="shared" ca="1" si="130"/>
        <v>3.5916705170121661</v>
      </c>
      <c r="D2777" s="36">
        <f t="shared" ca="1" si="132"/>
        <v>0.12097448130597455</v>
      </c>
      <c r="E2777" s="32">
        <v>0.12017643843886816</v>
      </c>
      <c r="F2777" s="35">
        <f t="shared" ca="1" si="131"/>
        <v>2.8985598237385446E-3</v>
      </c>
    </row>
    <row r="2778" spans="1:6" x14ac:dyDescent="0.25">
      <c r="A2778" s="23">
        <v>2777</v>
      </c>
      <c r="B2778" s="7" cm="1">
        <f t="array" aca="1" ref="B2778" ca="1">interpolexp(A2778,serie_du,Taxas_DI)</f>
        <v>0.12307424115620691</v>
      </c>
      <c r="C2778" s="37">
        <f t="shared" ca="1" si="130"/>
        <v>3.5932985166111435</v>
      </c>
      <c r="D2778" s="36">
        <f t="shared" ca="1" si="132"/>
        <v>0.12097447986340759</v>
      </c>
      <c r="E2778" s="32">
        <v>0.12017567288962194</v>
      </c>
      <c r="F2778" s="35">
        <f t="shared" ca="1" si="131"/>
        <v>2.8985682665849666E-3</v>
      </c>
    </row>
    <row r="2779" spans="1:6" x14ac:dyDescent="0.25">
      <c r="A2779" s="23">
        <v>2778</v>
      </c>
      <c r="B2779" s="7" cm="1">
        <f t="array" aca="1" ref="B2779" ca="1">interpolexp(A2779,serie_du,Taxas_DI)</f>
        <v>0.12307348459490441</v>
      </c>
      <c r="C2779" s="37">
        <f t="shared" ca="1" si="130"/>
        <v>3.5949272541177719</v>
      </c>
      <c r="D2779" s="36">
        <f t="shared" ca="1" si="132"/>
        <v>0.12097447851705989</v>
      </c>
      <c r="E2779" s="32">
        <v>0.12017490789153484</v>
      </c>
      <c r="F2779" s="35">
        <f t="shared" ca="1" si="131"/>
        <v>2.8985767033695709E-3</v>
      </c>
    </row>
    <row r="2780" spans="1:6" x14ac:dyDescent="0.25">
      <c r="A2780" s="23">
        <v>2779</v>
      </c>
      <c r="B2780" s="7" cm="1">
        <f t="array" aca="1" ref="B2780" ca="1">interpolexp(A2780,serie_du,Taxas_DI)</f>
        <v>0.12307272857807749</v>
      </c>
      <c r="C2780" s="37">
        <f t="shared" ca="1" si="130"/>
        <v>3.5965567298653536</v>
      </c>
      <c r="D2780" s="36">
        <f t="shared" ca="1" si="132"/>
        <v>0.12097447708002984</v>
      </c>
      <c r="E2780" s="32">
        <v>0.12017414344402955</v>
      </c>
      <c r="F2780" s="35">
        <f t="shared" ca="1" si="131"/>
        <v>2.8985851340479485E-3</v>
      </c>
    </row>
    <row r="2781" spans="1:6" x14ac:dyDescent="0.25">
      <c r="A2781" s="23">
        <v>2780</v>
      </c>
      <c r="B2781" s="7" cm="1">
        <f t="array" aca="1" ref="B2781" ca="1">interpolexp(A2781,serie_du,Taxas_DI)</f>
        <v>0.12307197310517104</v>
      </c>
      <c r="C2781" s="37">
        <f t="shared" ca="1" si="130"/>
        <v>3.5981869441896599</v>
      </c>
      <c r="D2781" s="36">
        <f t="shared" ca="1" si="132"/>
        <v>0.12097447573442976</v>
      </c>
      <c r="E2781" s="32">
        <v>0.12017337954646212</v>
      </c>
      <c r="F2781" s="35">
        <f t="shared" ca="1" si="131"/>
        <v>2.8985935587089173E-3</v>
      </c>
    </row>
    <row r="2782" spans="1:6" x14ac:dyDescent="0.25">
      <c r="A2782" s="23">
        <v>2781</v>
      </c>
      <c r="B2782" s="7" cm="1">
        <f t="array" aca="1" ref="B2782" ca="1">interpolexp(A2782,serie_du,Taxas_DI)</f>
        <v>0.12307121817556332</v>
      </c>
      <c r="C2782" s="37">
        <f t="shared" ca="1" si="130"/>
        <v>3.5998178974242339</v>
      </c>
      <c r="D2782" s="36">
        <f t="shared" ca="1" si="132"/>
        <v>0.12097447429334829</v>
      </c>
      <c r="E2782" s="32">
        <v>0.12017261619829966</v>
      </c>
      <c r="F2782" s="35">
        <f t="shared" ca="1" si="131"/>
        <v>2.8986019772636595E-3</v>
      </c>
    </row>
    <row r="2783" spans="1:6" x14ac:dyDescent="0.25">
      <c r="A2783" s="23">
        <v>2782</v>
      </c>
      <c r="B2783" s="7" cm="1">
        <f t="array" aca="1" ref="B2783" ca="1">interpolexp(A2783,serie_du,Taxas_DI)</f>
        <v>0.12307046378869924</v>
      </c>
      <c r="C2783" s="37">
        <f t="shared" ca="1" si="130"/>
        <v>3.6014495899050933</v>
      </c>
      <c r="D2783" s="36">
        <f t="shared" ca="1" si="132"/>
        <v>0.12097447293920327</v>
      </c>
      <c r="E2783" s="32">
        <v>0.12017185339889824</v>
      </c>
      <c r="F2783" s="35">
        <f t="shared" ca="1" si="131"/>
        <v>2.8986103898009929E-3</v>
      </c>
    </row>
    <row r="2784" spans="1:6" x14ac:dyDescent="0.25">
      <c r="A2784" s="23">
        <v>2783</v>
      </c>
      <c r="B2784" s="7" cm="1">
        <f t="array" aca="1" ref="B2784" ca="1">interpolexp(A2784,serie_du,Taxas_DI)</f>
        <v>0.12306970994395705</v>
      </c>
      <c r="C2784" s="37">
        <f t="shared" ca="1" si="130"/>
        <v>3.6030820219660225</v>
      </c>
      <c r="D2784" s="36">
        <f t="shared" ca="1" si="132"/>
        <v>0.12097447148478802</v>
      </c>
      <c r="E2784" s="32">
        <v>0.12017109114768054</v>
      </c>
      <c r="F2784" s="35">
        <f t="shared" ca="1" si="131"/>
        <v>2.8986187962765086E-3</v>
      </c>
    </row>
    <row r="2785" spans="1:6" x14ac:dyDescent="0.25">
      <c r="A2785" s="23">
        <v>2784</v>
      </c>
      <c r="B2785" s="7" cm="1">
        <f t="array" aca="1" ref="B2785" ca="1">interpolexp(A2785,serie_du,Taxas_DI)</f>
        <v>0.12306895664080386</v>
      </c>
      <c r="C2785" s="37">
        <f t="shared" ca="1" si="130"/>
        <v>3.6047151939440711</v>
      </c>
      <c r="D2785" s="36">
        <f t="shared" ca="1" si="132"/>
        <v>0.12097447017430829</v>
      </c>
      <c r="E2785" s="32">
        <v>0.12017032944409145</v>
      </c>
      <c r="F2785" s="35">
        <f t="shared" ca="1" si="131"/>
        <v>2.8986271967124111E-3</v>
      </c>
    </row>
    <row r="2786" spans="1:6" x14ac:dyDescent="0.25">
      <c r="A2786" s="23">
        <v>2785</v>
      </c>
      <c r="B2786" s="7" cm="1">
        <f t="array" aca="1" ref="B2786" ca="1">interpolexp(A2786,serie_du,Taxas_DI)</f>
        <v>0.12306820387861794</v>
      </c>
      <c r="C2786" s="37">
        <f t="shared" ca="1" si="130"/>
        <v>3.6063491061732664</v>
      </c>
      <c r="D2786" s="36">
        <f t="shared" ca="1" si="132"/>
        <v>0.12097446875874374</v>
      </c>
      <c r="E2786" s="32">
        <v>0.12016956828748704</v>
      </c>
      <c r="F2786" s="35">
        <f t="shared" ca="1" si="131"/>
        <v>2.8986355911309047E-3</v>
      </c>
    </row>
    <row r="2787" spans="1:6" x14ac:dyDescent="0.25">
      <c r="A2787" s="23">
        <v>2786</v>
      </c>
      <c r="B2787" s="7" cm="1">
        <f t="array" aca="1" ref="B2787" ca="1">interpolexp(A2787,serie_du,Taxas_DI)</f>
        <v>0.12306745165682198</v>
      </c>
      <c r="C2787" s="37">
        <f t="shared" ca="1" si="130"/>
        <v>3.60798375898933</v>
      </c>
      <c r="D2787" s="36">
        <f t="shared" ca="1" si="132"/>
        <v>0.12097446735918505</v>
      </c>
      <c r="E2787" s="32">
        <v>0.12016880767731219</v>
      </c>
      <c r="F2787" s="35">
        <f t="shared" ca="1" si="131"/>
        <v>2.8986439795097851E-3</v>
      </c>
    </row>
    <row r="2788" spans="1:6" x14ac:dyDescent="0.25">
      <c r="A2788" s="23">
        <v>2787</v>
      </c>
      <c r="B2788" s="7" cm="1">
        <f t="array" aca="1" ref="B2788" ca="1">interpolexp(A2788,serie_du,Taxas_DI)</f>
        <v>0.12306669997483866</v>
      </c>
      <c r="C2788" s="37">
        <f t="shared" ca="1" si="130"/>
        <v>3.6096191527281078</v>
      </c>
      <c r="D2788" s="36">
        <f t="shared" ca="1" si="132"/>
        <v>0.12097446597342087</v>
      </c>
      <c r="E2788" s="32">
        <v>0.1201680476129674</v>
      </c>
      <c r="F2788" s="35">
        <f t="shared" ca="1" si="131"/>
        <v>2.8986523618712567E-3</v>
      </c>
    </row>
    <row r="2789" spans="1:6" x14ac:dyDescent="0.25">
      <c r="A2789" s="23">
        <v>2788</v>
      </c>
      <c r="B2789" s="7" cm="1">
        <f t="array" aca="1" ref="B2789" ca="1">interpolexp(A2789,serie_du,Taxas_DI)</f>
        <v>0.12306594883209065</v>
      </c>
      <c r="C2789" s="37">
        <f t="shared" ca="1" si="130"/>
        <v>3.6112552877255668</v>
      </c>
      <c r="D2789" s="36">
        <f t="shared" ca="1" si="132"/>
        <v>0.12097446459886108</v>
      </c>
      <c r="E2789" s="32">
        <v>0.12016728809387534</v>
      </c>
      <c r="F2789" s="35">
        <f t="shared" ca="1" si="131"/>
        <v>2.8986607382153196E-3</v>
      </c>
    </row>
    <row r="2790" spans="1:6" x14ac:dyDescent="0.25">
      <c r="A2790" s="23">
        <v>2789</v>
      </c>
      <c r="B2790" s="7" cm="1">
        <f t="array" aca="1" ref="B2790" ca="1">interpolexp(A2790,serie_du,Taxas_DI)</f>
        <v>0.12306519822800066</v>
      </c>
      <c r="C2790" s="37">
        <f t="shared" ca="1" si="130"/>
        <v>3.6128921643177985</v>
      </c>
      <c r="D2790" s="36">
        <f t="shared" ca="1" si="132"/>
        <v>0.12097446323346661</v>
      </c>
      <c r="E2790" s="32">
        <v>0.12016652911943648</v>
      </c>
      <c r="F2790" s="35">
        <f t="shared" ca="1" si="131"/>
        <v>2.898669108564178E-3</v>
      </c>
    </row>
    <row r="2791" spans="1:6" x14ac:dyDescent="0.25">
      <c r="A2791" s="23">
        <v>2790</v>
      </c>
      <c r="B2791" s="7" cm="1">
        <f t="array" aca="1" ref="B2791" ca="1">interpolexp(A2791,serie_du,Taxas_DI)</f>
        <v>0.12306444816196915</v>
      </c>
      <c r="C2791" s="37">
        <f t="shared" ca="1" si="130"/>
        <v>3.6145297828402252</v>
      </c>
      <c r="D2791" s="36">
        <f t="shared" ca="1" si="132"/>
        <v>0.12097446181297777</v>
      </c>
      <c r="E2791" s="32">
        <v>0.12016577068907353</v>
      </c>
      <c r="F2791" s="35">
        <f t="shared" ca="1" si="131"/>
        <v>2.8986774728956277E-3</v>
      </c>
    </row>
    <row r="2792" spans="1:6" x14ac:dyDescent="0.25">
      <c r="A2792" s="23">
        <v>2791</v>
      </c>
      <c r="B2792" s="7" cm="1">
        <f t="array" aca="1" ref="B2792" ca="1">interpolexp(A2792,serie_du,Taxas_DI)</f>
        <v>0.12306369863344102</v>
      </c>
      <c r="C2792" s="37">
        <f t="shared" ca="1" si="130"/>
        <v>3.6161681436299737</v>
      </c>
      <c r="D2792" s="36">
        <f t="shared" ca="1" si="132"/>
        <v>0.12097446045867444</v>
      </c>
      <c r="E2792" s="32">
        <v>0.12016501280220915</v>
      </c>
      <c r="F2792" s="35">
        <f t="shared" ca="1" si="131"/>
        <v>2.8986858312318731E-3</v>
      </c>
    </row>
    <row r="2793" spans="1:6" x14ac:dyDescent="0.25">
      <c r="A2793" s="23">
        <v>2792</v>
      </c>
      <c r="B2793" s="7" cm="1">
        <f t="array" aca="1" ref="B2793" ca="1">interpolexp(A2793,serie_du,Taxas_DI)</f>
        <v>0.12306294964183895</v>
      </c>
      <c r="C2793" s="37">
        <f t="shared" ca="1" si="130"/>
        <v>3.617807247023503</v>
      </c>
      <c r="D2793" s="36">
        <f t="shared" ca="1" si="132"/>
        <v>0.12097445910652094</v>
      </c>
      <c r="E2793" s="32">
        <v>0.12016425545824383</v>
      </c>
      <c r="F2793" s="35">
        <f t="shared" ca="1" si="131"/>
        <v>2.8986941835951185E-3</v>
      </c>
    </row>
    <row r="2794" spans="1:6" x14ac:dyDescent="0.25">
      <c r="A2794" s="23">
        <v>2793</v>
      </c>
      <c r="B2794" s="7" cm="1">
        <f t="array" aca="1" ref="B2794" ca="1">interpolexp(A2794,serie_du,Taxas_DI)</f>
        <v>0.12306220118656341</v>
      </c>
      <c r="C2794" s="37">
        <f t="shared" ca="1" si="130"/>
        <v>3.6194470933566047</v>
      </c>
      <c r="D2794" s="36">
        <f t="shared" ca="1" si="132"/>
        <v>0.12097445769240744</v>
      </c>
      <c r="E2794" s="32">
        <v>0.12016349865660025</v>
      </c>
      <c r="F2794" s="35">
        <f t="shared" ca="1" si="131"/>
        <v>2.8987025299631597E-3</v>
      </c>
    </row>
    <row r="2795" spans="1:6" x14ac:dyDescent="0.25">
      <c r="A2795" s="23">
        <v>2794</v>
      </c>
      <c r="B2795" s="7" cm="1">
        <f t="array" aca="1" ref="B2795" ca="1">interpolexp(A2795,serie_du,Taxas_DI)</f>
        <v>0.12306145326705931</v>
      </c>
      <c r="C2795" s="37">
        <f t="shared" ca="1" si="130"/>
        <v>3.6210876829667753</v>
      </c>
      <c r="D2795" s="36">
        <f t="shared" ca="1" si="132"/>
        <v>0.12097445633761783</v>
      </c>
      <c r="E2795" s="32">
        <v>0.1201627423966789</v>
      </c>
      <c r="F2795" s="35">
        <f t="shared" ca="1" si="131"/>
        <v>2.8987108703804054E-3</v>
      </c>
    </row>
    <row r="2796" spans="1:6" x14ac:dyDescent="0.25">
      <c r="A2796" s="23">
        <v>2795</v>
      </c>
      <c r="B2796" s="7" cm="1">
        <f t="array" aca="1" ref="B2796" ca="1">interpolexp(A2796,serie_du,Taxas_DI)</f>
        <v>0.12306070588274931</v>
      </c>
      <c r="C2796" s="37">
        <f t="shared" ca="1" si="130"/>
        <v>3.6227290161908425</v>
      </c>
      <c r="D2796" s="36">
        <f t="shared" ca="1" si="132"/>
        <v>0.12097445497793435</v>
      </c>
      <c r="E2796" s="32">
        <v>0.12016198667792466</v>
      </c>
      <c r="F2796" s="35">
        <f t="shared" ca="1" si="131"/>
        <v>2.8987192048246513E-3</v>
      </c>
    </row>
    <row r="2797" spans="1:6" x14ac:dyDescent="0.25">
      <c r="A2797" s="23">
        <v>2796</v>
      </c>
      <c r="B2797" s="7" cm="1">
        <f t="array" aca="1" ref="B2797" ca="1">interpolexp(A2797,serie_du,Taxas_DI)</f>
        <v>0.12305995903303391</v>
      </c>
      <c r="C2797" s="37">
        <f t="shared" ca="1" si="130"/>
        <v>3.6243710933649638</v>
      </c>
      <c r="D2797" s="36">
        <f t="shared" ca="1" si="132"/>
        <v>0.12097445354926384</v>
      </c>
      <c r="E2797" s="32">
        <v>0.12016123149976021</v>
      </c>
      <c r="F2797" s="35">
        <f t="shared" ca="1" si="131"/>
        <v>2.8987275332736928E-3</v>
      </c>
    </row>
    <row r="2798" spans="1:6" x14ac:dyDescent="0.25">
      <c r="A2798" s="23">
        <v>2797</v>
      </c>
      <c r="B2798" s="7" cm="1">
        <f t="array" aca="1" ref="B2798" ca="1">interpolexp(A2798,serie_du,Taxas_DI)</f>
        <v>0.12305921271738018</v>
      </c>
      <c r="C2798" s="37">
        <f t="shared" ca="1" si="130"/>
        <v>3.6260139148278041</v>
      </c>
      <c r="D2798" s="36">
        <f t="shared" ca="1" si="132"/>
        <v>0.12097445223521586</v>
      </c>
      <c r="E2798" s="32">
        <v>0.12016047686158604</v>
      </c>
      <c r="F2798" s="35">
        <f t="shared" ca="1" si="131"/>
        <v>2.8987358557941434E-3</v>
      </c>
    </row>
    <row r="2799" spans="1:6" x14ac:dyDescent="0.25">
      <c r="A2799" s="23">
        <v>2798</v>
      </c>
      <c r="B2799" s="7" cm="1">
        <f t="array" aca="1" ref="B2799" ca="1">interpolexp(A2799,serie_du,Taxas_DI)</f>
        <v>0.12305846693518863</v>
      </c>
      <c r="C2799" s="37">
        <f t="shared" ca="1" si="130"/>
        <v>3.6276574809157647</v>
      </c>
      <c r="D2799" s="36">
        <f t="shared" ca="1" si="132"/>
        <v>0.12097445084730629</v>
      </c>
      <c r="E2799" s="32">
        <v>0.12015972276282483</v>
      </c>
      <c r="F2799" s="35">
        <f t="shared" ca="1" si="131"/>
        <v>2.8987441723637986E-3</v>
      </c>
    </row>
    <row r="2800" spans="1:6" x14ac:dyDescent="0.25">
      <c r="A2800" s="23">
        <v>2799</v>
      </c>
      <c r="B2800" s="7" cm="1">
        <f t="array" aca="1" ref="B2800" ca="1">interpolexp(A2800,serie_du,Taxas_DI)</f>
        <v>0.12305772168590412</v>
      </c>
      <c r="C2800" s="37">
        <f t="shared" ca="1" si="130"/>
        <v>3.6293017919669661</v>
      </c>
      <c r="D2800" s="36">
        <f t="shared" ca="1" si="132"/>
        <v>0.12097444950770497</v>
      </c>
      <c r="E2800" s="32">
        <v>0.12015896920289926</v>
      </c>
      <c r="F2800" s="35">
        <f t="shared" ca="1" si="131"/>
        <v>2.8987524830048628E-3</v>
      </c>
    </row>
    <row r="2801" spans="1:6" x14ac:dyDescent="0.25">
      <c r="A2801" s="23">
        <v>2800</v>
      </c>
      <c r="B2801" s="7" cm="1">
        <f t="array" aca="1" ref="B2801" ca="1">interpolexp(A2801,serie_du,Taxas_DI)</f>
        <v>0.12305697696892715</v>
      </c>
      <c r="C2801" s="37">
        <f t="shared" ca="1" si="130"/>
        <v>3.6309468483180534</v>
      </c>
      <c r="D2801" s="36">
        <f t="shared" ca="1" si="132"/>
        <v>0.12097444808950719</v>
      </c>
      <c r="E2801" s="32">
        <v>0.12015821618125422</v>
      </c>
      <c r="F2801" s="35">
        <f t="shared" ca="1" si="131"/>
        <v>2.8987607876729271E-3</v>
      </c>
    </row>
    <row r="2802" spans="1:6" x14ac:dyDescent="0.25">
      <c r="A2802" s="23">
        <v>2801</v>
      </c>
      <c r="B2802" s="7" cm="1">
        <f t="array" aca="1" ref="B2802" ca="1">interpolexp(A2802,serie_du,Taxas_DI)</f>
        <v>0.12305623278372479</v>
      </c>
      <c r="C2802" s="37">
        <f t="shared" ca="1" si="130"/>
        <v>3.6325926503081907</v>
      </c>
      <c r="D2802" s="36">
        <f t="shared" ca="1" si="132"/>
        <v>0.12097444677696623</v>
      </c>
      <c r="E2802" s="32">
        <v>0.12015746369729019</v>
      </c>
      <c r="F2802" s="35">
        <f t="shared" ca="1" si="131"/>
        <v>2.898769086434605E-3</v>
      </c>
    </row>
    <row r="2803" spans="1:6" x14ac:dyDescent="0.25">
      <c r="A2803" s="23">
        <v>2802</v>
      </c>
      <c r="B2803" s="7" cm="1">
        <f t="array" aca="1" ref="B2803" ca="1">interpolexp(A2803,serie_du,Taxas_DI)</f>
        <v>0.12305548912969755</v>
      </c>
      <c r="C2803" s="37">
        <f t="shared" ca="1" si="130"/>
        <v>3.6342391982742734</v>
      </c>
      <c r="D2803" s="36">
        <f t="shared" ca="1" si="132"/>
        <v>0.12097444538154223</v>
      </c>
      <c r="E2803" s="32">
        <v>0.12015671175042986</v>
      </c>
      <c r="F2803" s="35">
        <f t="shared" ca="1" si="131"/>
        <v>2.8987773792676919E-3</v>
      </c>
    </row>
    <row r="2804" spans="1:6" x14ac:dyDescent="0.25">
      <c r="A2804" s="23">
        <v>2803</v>
      </c>
      <c r="B2804" s="7" cm="1">
        <f t="array" aca="1" ref="B2804" ca="1">interpolexp(A2804,serie_du,Taxas_DI)</f>
        <v>0.12305474600629029</v>
      </c>
      <c r="C2804" s="37">
        <f t="shared" ca="1" si="130"/>
        <v>3.6358864925549148</v>
      </c>
      <c r="D2804" s="36">
        <f t="shared" ca="1" si="132"/>
        <v>0.12097444402508306</v>
      </c>
      <c r="E2804" s="32">
        <v>0.1201559603400959</v>
      </c>
      <c r="F2804" s="35">
        <f t="shared" ca="1" si="131"/>
        <v>2.8987856661943923E-3</v>
      </c>
    </row>
    <row r="2805" spans="1:6" x14ac:dyDescent="0.25">
      <c r="A2805" s="23">
        <v>2804</v>
      </c>
      <c r="B2805" s="7" cm="1">
        <f t="array" aca="1" ref="B2805" ca="1">interpolexp(A2805,serie_du,Taxas_DI)</f>
        <v>0.12305400341294792</v>
      </c>
      <c r="C2805" s="37">
        <f t="shared" ca="1" si="130"/>
        <v>3.6375345334888549</v>
      </c>
      <c r="D2805" s="36">
        <f t="shared" ca="1" si="132"/>
        <v>0.12097444270532254</v>
      </c>
      <c r="E2805" s="32">
        <v>0.12015520946573321</v>
      </c>
      <c r="F2805" s="35">
        <f t="shared" ca="1" si="131"/>
        <v>2.8987939472147062E-3</v>
      </c>
    </row>
    <row r="2806" spans="1:6" x14ac:dyDescent="0.25">
      <c r="A2806" s="23">
        <v>2805</v>
      </c>
      <c r="B2806" s="7" cm="1">
        <f t="array" aca="1" ref="B2806" ca="1">interpolexp(A2806,serie_du,Taxas_DI)</f>
        <v>0.12305326134907091</v>
      </c>
      <c r="C2806" s="37">
        <f t="shared" ca="1" si="130"/>
        <v>3.6391833214133573</v>
      </c>
      <c r="D2806" s="36">
        <f t="shared" ca="1" si="132"/>
        <v>0.12097444129571922</v>
      </c>
      <c r="E2806" s="32">
        <v>0.12015445912676448</v>
      </c>
      <c r="F2806" s="35">
        <f t="shared" ca="1" si="131"/>
        <v>2.8988022223064291E-3</v>
      </c>
    </row>
    <row r="2807" spans="1:6" x14ac:dyDescent="0.25">
      <c r="A2807" s="23">
        <v>2806</v>
      </c>
      <c r="B2807" s="7" cm="1">
        <f t="array" aca="1" ref="B2807" ca="1">interpolexp(A2807,serie_du,Taxas_DI)</f>
        <v>0.12305251981412635</v>
      </c>
      <c r="C2807" s="37">
        <f t="shared" ca="1" si="130"/>
        <v>3.6408328566682102</v>
      </c>
      <c r="D2807" s="36">
        <f t="shared" ca="1" si="132"/>
        <v>0.12097443998048352</v>
      </c>
      <c r="E2807" s="32">
        <v>0.12015370932261238</v>
      </c>
      <c r="F2807" s="35">
        <f t="shared" ca="1" si="131"/>
        <v>2.8988104915139701E-3</v>
      </c>
    </row>
    <row r="2808" spans="1:6" x14ac:dyDescent="0.25">
      <c r="A2808" s="23">
        <v>2807</v>
      </c>
      <c r="B2808" s="7" cm="1">
        <f t="array" aca="1" ref="B2808" ca="1">interpolexp(A2808,serie_du,Taxas_DI)</f>
        <v>0.12305177880751472</v>
      </c>
      <c r="C2808" s="37">
        <f t="shared" ca="1" si="130"/>
        <v>3.6424831395909245</v>
      </c>
      <c r="D2808" s="36">
        <f t="shared" ca="1" si="132"/>
        <v>0.12097443857089307</v>
      </c>
      <c r="E2808" s="32">
        <v>0.1201529600526996</v>
      </c>
      <c r="F2808" s="35">
        <f t="shared" ca="1" si="131"/>
        <v>2.8988187548151245E-3</v>
      </c>
    </row>
    <row r="2809" spans="1:6" x14ac:dyDescent="0.25">
      <c r="A2809" s="23">
        <v>2808</v>
      </c>
      <c r="B2809" s="7" cm="1">
        <f t="array" aca="1" ref="B2809" ca="1">interpolexp(A2809,serie_du,Taxas_DI)</f>
        <v>0.12305103832870312</v>
      </c>
      <c r="C2809" s="37">
        <f t="shared" ca="1" si="130"/>
        <v>3.6441341705215384</v>
      </c>
      <c r="D2809" s="36">
        <f t="shared" ca="1" si="132"/>
        <v>0.12097443725115142</v>
      </c>
      <c r="E2809" s="32">
        <v>0.12015221131644882</v>
      </c>
      <c r="F2809" s="35">
        <f t="shared" ca="1" si="131"/>
        <v>2.8988270122543014E-3</v>
      </c>
    </row>
    <row r="2810" spans="1:6" x14ac:dyDescent="0.25">
      <c r="A2810" s="23">
        <v>2809</v>
      </c>
      <c r="B2810" s="7" cm="1">
        <f t="array" aca="1" ref="B2810" ca="1">interpolexp(A2810,serie_du,Taxas_DI)</f>
        <v>0.12305029837711423</v>
      </c>
      <c r="C2810" s="37">
        <f t="shared" ca="1" si="130"/>
        <v>3.6457859497986127</v>
      </c>
      <c r="D2810" s="36">
        <f t="shared" ca="1" si="132"/>
        <v>0.12097443589458368</v>
      </c>
      <c r="E2810" s="32">
        <v>0.12015146311332714</v>
      </c>
      <c r="F2810" s="35">
        <f t="shared" ca="1" si="131"/>
        <v>2.8988352637870918E-3</v>
      </c>
    </row>
    <row r="2811" spans="1:6" x14ac:dyDescent="0.25">
      <c r="A2811" s="23">
        <v>2810</v>
      </c>
      <c r="B2811" s="7" cm="1">
        <f t="array" aca="1" ref="B2811" ca="1">interpolexp(A2811,serie_du,Taxas_DI)</f>
        <v>0.12304955895219294</v>
      </c>
      <c r="C2811" s="37">
        <f t="shared" ca="1" si="130"/>
        <v>3.6474384777616349</v>
      </c>
      <c r="D2811" s="36">
        <f t="shared" ca="1" si="132"/>
        <v>0.12097443456136348</v>
      </c>
      <c r="E2811" s="32">
        <v>0.12015071544271283</v>
      </c>
      <c r="F2811" s="35">
        <f t="shared" ca="1" si="131"/>
        <v>2.898843509480109E-3</v>
      </c>
    </row>
    <row r="2812" spans="1:6" x14ac:dyDescent="0.25">
      <c r="A2812" s="23">
        <v>2811</v>
      </c>
      <c r="B2812" s="7" cm="1">
        <f t="array" aca="1" ref="B2812" ca="1">interpolexp(A2812,serie_du,Taxas_DI)</f>
        <v>0.12304882005336193</v>
      </c>
      <c r="C2812" s="37">
        <f t="shared" ca="1" si="130"/>
        <v>3.6490917547494139</v>
      </c>
      <c r="D2812" s="36">
        <f t="shared" ca="1" si="132"/>
        <v>0.12097443318680434</v>
      </c>
      <c r="E2812" s="32">
        <v>0.12014996830407298</v>
      </c>
      <c r="F2812" s="35">
        <f t="shared" ca="1" si="131"/>
        <v>2.8988517492889443E-3</v>
      </c>
    </row>
    <row r="2813" spans="1:6" x14ac:dyDescent="0.25">
      <c r="A2813" s="23">
        <v>2812</v>
      </c>
      <c r="B2813" s="7" cm="1">
        <f t="array" aca="1" ref="B2813" ca="1">interpolexp(A2813,serie_du,Taxas_DI)</f>
        <v>0.12304808168008829</v>
      </c>
      <c r="C2813" s="37">
        <f t="shared" ca="1" si="130"/>
        <v>3.6507457811024904</v>
      </c>
      <c r="D2813" s="36">
        <f t="shared" ca="1" si="132"/>
        <v>0.12097443189318602</v>
      </c>
      <c r="E2813" s="32">
        <v>0.12014922169685249</v>
      </c>
      <c r="F2813" s="35">
        <f t="shared" ca="1" si="131"/>
        <v>2.898859983235802E-3</v>
      </c>
    </row>
    <row r="2814" spans="1:6" x14ac:dyDescent="0.25">
      <c r="A2814" s="23">
        <v>2813</v>
      </c>
      <c r="B2814" s="7" cm="1">
        <f t="array" aca="1" ref="B2814" ca="1">interpolexp(A2814,serie_du,Taxas_DI)</f>
        <v>0.12304734383177252</v>
      </c>
      <c r="C2814" s="37">
        <f t="shared" ca="1" si="130"/>
        <v>3.652400557159118</v>
      </c>
      <c r="D2814" s="36">
        <f t="shared" ca="1" si="132"/>
        <v>0.12097443049156476</v>
      </c>
      <c r="E2814" s="32">
        <v>0.12014847562045183</v>
      </c>
      <c r="F2814" s="35">
        <f t="shared" ca="1" si="131"/>
        <v>2.8988682113206821E-3</v>
      </c>
    </row>
    <row r="2815" spans="1:6" x14ac:dyDescent="0.25">
      <c r="A2815" s="23">
        <v>2814</v>
      </c>
      <c r="B2815" s="7" cm="1">
        <f t="array" aca="1" ref="B2815" ca="1">interpolexp(A2815,serie_du,Taxas_DI)</f>
        <v>0.12304660650788168</v>
      </c>
      <c r="C2815" s="37">
        <f t="shared" ca="1" si="130"/>
        <v>3.6540560832600897</v>
      </c>
      <c r="D2815" s="36">
        <f t="shared" ca="1" si="132"/>
        <v>0.1209744291665642</v>
      </c>
      <c r="E2815" s="32">
        <v>0.12014773007429369</v>
      </c>
      <c r="F2815" s="35">
        <f t="shared" ca="1" si="131"/>
        <v>2.8988764335879935E-3</v>
      </c>
    </row>
    <row r="2816" spans="1:6" x14ac:dyDescent="0.25">
      <c r="A2816" s="23">
        <v>2815</v>
      </c>
      <c r="B2816" s="7" cm="1">
        <f t="array" aca="1" ref="B2816" ca="1">interpolexp(A2816,serie_du,Taxas_DI)</f>
        <v>0.12304586970783848</v>
      </c>
      <c r="C2816" s="37">
        <f t="shared" ca="1" si="130"/>
        <v>3.6557123597447112</v>
      </c>
      <c r="D2816" s="36">
        <f t="shared" ca="1" si="132"/>
        <v>0.1209744277911915</v>
      </c>
      <c r="E2816" s="32">
        <v>0.12014698505786736</v>
      </c>
      <c r="F2816" s="35">
        <f t="shared" ca="1" si="131"/>
        <v>2.8988846499711229E-3</v>
      </c>
    </row>
    <row r="2817" spans="1:6" x14ac:dyDescent="0.25">
      <c r="A2817" s="23">
        <v>2816</v>
      </c>
      <c r="B2817" s="7" cm="1">
        <f t="array" aca="1" ref="B2817" ca="1">interpolexp(A2817,serie_du,Taxas_DI)</f>
        <v>0.12304513343111001</v>
      </c>
      <c r="C2817" s="37">
        <f t="shared" ca="1" si="130"/>
        <v>3.6573693869540271</v>
      </c>
      <c r="D2817" s="36">
        <f t="shared" ca="1" si="132"/>
        <v>0.12097442648786982</v>
      </c>
      <c r="E2817" s="32">
        <v>0.12014624057057333</v>
      </c>
      <c r="F2817" s="35">
        <f t="shared" ca="1" si="131"/>
        <v>2.8988928605366837E-3</v>
      </c>
    </row>
    <row r="2818" spans="1:6" x14ac:dyDescent="0.25">
      <c r="A2818" s="23">
        <v>2817</v>
      </c>
      <c r="B2818" s="7" cm="1">
        <f t="array" aca="1" ref="B2818" ca="1">interpolexp(A2818,serie_du,Taxas_DI)</f>
        <v>0.12304439767711894</v>
      </c>
      <c r="C2818" s="37">
        <f t="shared" ref="C2818:C2881" ca="1" si="133">(1+B2818)^(A2818/252)</f>
        <v>3.6590271652275961</v>
      </c>
      <c r="D2818" s="36">
        <f t="shared" ca="1" si="132"/>
        <v>0.12097442512999179</v>
      </c>
      <c r="E2818" s="32">
        <v>0.12014549661183427</v>
      </c>
      <c r="F2818" s="35">
        <f t="shared" ref="F2818:F2881" ca="1" si="134">B2818-E2818</f>
        <v>2.8989010652846758E-3</v>
      </c>
    </row>
    <row r="2819" spans="1:6" x14ac:dyDescent="0.25">
      <c r="A2819" s="23">
        <v>2818</v>
      </c>
      <c r="B2819" s="7" cm="1">
        <f t="array" aca="1" ref="B2819" ca="1">interpolexp(A2819,serie_du,Taxas_DI)</f>
        <v>0.12304366244531018</v>
      </c>
      <c r="C2819" s="37">
        <f t="shared" ca="1" si="133"/>
        <v>3.6606856949059048</v>
      </c>
      <c r="D2819" s="36">
        <f t="shared" ca="1" si="132"/>
        <v>0.12097442377728096</v>
      </c>
      <c r="E2819" s="32">
        <v>0.12014475318111728</v>
      </c>
      <c r="F2819" s="35">
        <f t="shared" ca="1" si="134"/>
        <v>2.8989092641928949E-3</v>
      </c>
    </row>
    <row r="2820" spans="1:6" x14ac:dyDescent="0.25">
      <c r="A2820" s="23">
        <v>2819</v>
      </c>
      <c r="B2820" s="7" cm="1">
        <f t="array" aca="1" ref="B2820" ca="1">interpolexp(A2820,serie_du,Taxas_DI)</f>
        <v>0.1230429277351508</v>
      </c>
      <c r="C2820" s="37">
        <f t="shared" ca="1" si="133"/>
        <v>3.6623449763303775</v>
      </c>
      <c r="D2820" s="36">
        <f t="shared" ref="D2820:D2883" ca="1" si="135">((((1+B2820)^(A2820/252))/((1+B2819)^(A2819/252)))^(252/1))-1</f>
        <v>0.12097442249017698</v>
      </c>
      <c r="E2820" s="32">
        <v>0.12014401027784505</v>
      </c>
      <c r="F2820" s="35">
        <f t="shared" ca="1" si="134"/>
        <v>2.8989174573057497E-3</v>
      </c>
    </row>
    <row r="2821" spans="1:6" x14ac:dyDescent="0.25">
      <c r="A2821" s="23">
        <v>2820</v>
      </c>
      <c r="B2821" s="7" cm="1">
        <f t="array" aca="1" ref="B2821" ca="1">interpolexp(A2821,serie_du,Taxas_DI)</f>
        <v>0.12304219354604129</v>
      </c>
      <c r="C2821" s="37">
        <f t="shared" ca="1" si="133"/>
        <v>3.6640050098401362</v>
      </c>
      <c r="D2821" s="36">
        <f t="shared" ca="1" si="135"/>
        <v>0.12097442107915679</v>
      </c>
      <c r="E2821" s="32">
        <v>0.12014326790146246</v>
      </c>
      <c r="F2821" s="35">
        <f t="shared" ca="1" si="134"/>
        <v>2.8989256445788314E-3</v>
      </c>
    </row>
    <row r="2822" spans="1:6" x14ac:dyDescent="0.25">
      <c r="A2822" s="23">
        <v>2821</v>
      </c>
      <c r="B2822" s="7" cm="1">
        <f t="array" aca="1" ref="B2822" ca="1">interpolexp(A2822,serie_du,Taxas_DI)</f>
        <v>0.12304145987747095</v>
      </c>
      <c r="C2822" s="37">
        <f t="shared" ca="1" si="133"/>
        <v>3.6656657957776666</v>
      </c>
      <c r="D2822" s="36">
        <f t="shared" ca="1" si="135"/>
        <v>0.12097441979168044</v>
      </c>
      <c r="E2822" s="32">
        <v>0.1201425260514144</v>
      </c>
      <c r="F2822" s="35">
        <f t="shared" ca="1" si="134"/>
        <v>2.8989338260565489E-3</v>
      </c>
    </row>
    <row r="2823" spans="1:6" x14ac:dyDescent="0.25">
      <c r="A2823" s="23">
        <v>2822</v>
      </c>
      <c r="B2823" s="7" cm="1">
        <f t="array" aca="1" ref="B2823" ca="1">interpolexp(A2823,serie_du,Taxas_DI)</f>
        <v>0.12304072672886246</v>
      </c>
      <c r="C2823" s="37">
        <f t="shared" ca="1" si="133"/>
        <v>3.6673273344831485</v>
      </c>
      <c r="D2823" s="36">
        <f t="shared" ca="1" si="135"/>
        <v>0.12097441843816004</v>
      </c>
      <c r="E2823" s="32">
        <v>0.12014178472712356</v>
      </c>
      <c r="F2823" s="35">
        <f t="shared" ca="1" si="134"/>
        <v>2.8989420017389023E-3</v>
      </c>
    </row>
    <row r="2824" spans="1:6" x14ac:dyDescent="0.25">
      <c r="A2824" s="23">
        <v>2823</v>
      </c>
      <c r="B2824" s="7" cm="1">
        <f t="array" aca="1" ref="B2824" ca="1">interpolexp(A2824,serie_du,Taxas_DI)</f>
        <v>0.12303999409968291</v>
      </c>
      <c r="C2824" s="37">
        <f t="shared" ca="1" si="133"/>
        <v>3.6689896262985147</v>
      </c>
      <c r="D2824" s="36">
        <f t="shared" ca="1" si="135"/>
        <v>0.12097441714166512</v>
      </c>
      <c r="E2824" s="32">
        <v>0.12014104392805702</v>
      </c>
      <c r="F2824" s="35">
        <f t="shared" ca="1" si="134"/>
        <v>2.8989501716258914E-3</v>
      </c>
    </row>
    <row r="2825" spans="1:6" x14ac:dyDescent="0.25">
      <c r="A2825" s="23">
        <v>2824</v>
      </c>
      <c r="B2825" s="7" cm="1">
        <f t="array" aca="1" ref="B2825" ca="1">interpolexp(A2825,serie_du,Taxas_DI)</f>
        <v>0.12303999418912248</v>
      </c>
      <c r="C2825" s="37">
        <f t="shared" ca="1" si="133"/>
        <v>3.6706794906231934</v>
      </c>
      <c r="D2825" s="36">
        <f t="shared" ca="1" si="135"/>
        <v>0.12304024667694935</v>
      </c>
      <c r="E2825" s="32">
        <v>0.12014030365361528</v>
      </c>
      <c r="F2825" s="35">
        <f t="shared" ca="1" si="134"/>
        <v>2.8996905355072045E-3</v>
      </c>
    </row>
    <row r="2826" spans="1:6" x14ac:dyDescent="0.25">
      <c r="A2826" s="23">
        <v>2825</v>
      </c>
      <c r="B2826" s="7" cm="1">
        <f t="array" aca="1" ref="B2826" ca="1">interpolexp(A2826,serie_du,Taxas_DI)</f>
        <v>0.12303999427849543</v>
      </c>
      <c r="C2826" s="37">
        <f t="shared" ca="1" si="133"/>
        <v>3.6723701332659626</v>
      </c>
      <c r="D2826" s="36">
        <f t="shared" ca="1" si="135"/>
        <v>0.12304024666783908</v>
      </c>
      <c r="E2826" s="32">
        <v>0.12013956390328762</v>
      </c>
      <c r="F2826" s="35">
        <f t="shared" ca="1" si="134"/>
        <v>2.9004303752078187E-3</v>
      </c>
    </row>
    <row r="2827" spans="1:6" x14ac:dyDescent="0.25">
      <c r="A2827" s="23">
        <v>2826</v>
      </c>
      <c r="B2827" s="7" cm="1">
        <f t="array" aca="1" ref="B2827" ca="1">interpolexp(A2827,serie_du,Taxas_DI)</f>
        <v>0.12303999436782398</v>
      </c>
      <c r="C2827" s="37">
        <f t="shared" ca="1" si="133"/>
        <v>3.6740615545861091</v>
      </c>
      <c r="D2827" s="36">
        <f t="shared" ca="1" si="135"/>
        <v>0.1230402467209768</v>
      </c>
      <c r="E2827" s="32">
        <v>0.12013882467649672</v>
      </c>
      <c r="F2827" s="35">
        <f t="shared" ca="1" si="134"/>
        <v>2.9011696913272544E-3</v>
      </c>
    </row>
    <row r="2828" spans="1:6" x14ac:dyDescent="0.25">
      <c r="A2828" s="23">
        <v>2827</v>
      </c>
      <c r="B2828" s="7" cm="1">
        <f t="array" aca="1" ref="B2828" ca="1">interpolexp(A2828,serie_du,Taxas_DI)</f>
        <v>0.12303999445706371</v>
      </c>
      <c r="C2828" s="37">
        <f t="shared" ca="1" si="133"/>
        <v>3.6757537549406463</v>
      </c>
      <c r="D2828" s="36">
        <f t="shared" ca="1" si="135"/>
        <v>0.12304024664856383</v>
      </c>
      <c r="E2828" s="32">
        <v>0.12013808597266529</v>
      </c>
      <c r="F2828" s="35">
        <f t="shared" ca="1" si="134"/>
        <v>2.9019084843984189E-3</v>
      </c>
    </row>
    <row r="2829" spans="1:6" x14ac:dyDescent="0.25">
      <c r="A2829" s="23">
        <v>2828</v>
      </c>
      <c r="B2829" s="7" cm="1">
        <f t="array" aca="1" ref="B2829" ca="1">interpolexp(A2829,serie_du,Taxas_DI)</f>
        <v>0.12303999454625902</v>
      </c>
      <c r="C2829" s="37">
        <f t="shared" ca="1" si="133"/>
        <v>3.6774467346900082</v>
      </c>
      <c r="D2829" s="36">
        <f t="shared" ca="1" si="135"/>
        <v>0.12304024670136671</v>
      </c>
      <c r="E2829" s="32">
        <v>0.1201373477912826</v>
      </c>
      <c r="F2829" s="35">
        <f t="shared" ca="1" si="134"/>
        <v>2.9026467549764234E-3</v>
      </c>
    </row>
    <row r="2830" spans="1:6" x14ac:dyDescent="0.25">
      <c r="A2830" s="23">
        <v>2829</v>
      </c>
      <c r="B2830" s="7" cm="1">
        <f t="array" aca="1" ref="B2830" ca="1">interpolexp(A2830,serie_du,Taxas_DI)</f>
        <v>0.12303999463538773</v>
      </c>
      <c r="C2830" s="37">
        <f t="shared" ca="1" si="133"/>
        <v>3.6791404941923531</v>
      </c>
      <c r="D2830" s="36">
        <f t="shared" ca="1" si="135"/>
        <v>0.12304024669137825</v>
      </c>
      <c r="E2830" s="32">
        <v>0.12013661013177135</v>
      </c>
      <c r="F2830" s="35">
        <f t="shared" ca="1" si="134"/>
        <v>2.9033845036163797E-3</v>
      </c>
    </row>
    <row r="2831" spans="1:6" x14ac:dyDescent="0.25">
      <c r="A2831" s="23">
        <v>2830</v>
      </c>
      <c r="B2831" s="7" cm="1">
        <f t="array" aca="1" ref="B2831" ca="1">interpolexp(A2831,serie_du,Taxas_DI)</f>
        <v>0.12303999472444982</v>
      </c>
      <c r="C2831" s="37">
        <f t="shared" ca="1" si="133"/>
        <v>3.6808350338068156</v>
      </c>
      <c r="D2831" s="36">
        <f t="shared" ca="1" si="135"/>
        <v>0.12304024668115177</v>
      </c>
      <c r="E2831" s="32">
        <v>0.12013587299357642</v>
      </c>
      <c r="F2831" s="35">
        <f t="shared" ca="1" si="134"/>
        <v>2.9041217308733991E-3</v>
      </c>
    </row>
    <row r="2832" spans="1:6" x14ac:dyDescent="0.25">
      <c r="A2832" s="23">
        <v>2831</v>
      </c>
      <c r="B2832" s="7" cm="1">
        <f t="array" aca="1" ref="B2832" ca="1">interpolexp(A2832,serie_du,Taxas_DI)</f>
        <v>0.1230399948134453</v>
      </c>
      <c r="C2832" s="37">
        <f t="shared" ca="1" si="133"/>
        <v>3.6825303538926986</v>
      </c>
      <c r="D2832" s="36">
        <f t="shared" ca="1" si="135"/>
        <v>0.12304024667072744</v>
      </c>
      <c r="E2832" s="32">
        <v>0.1201351363761427</v>
      </c>
      <c r="F2832" s="35">
        <f t="shared" ca="1" si="134"/>
        <v>2.9048584373025932E-3</v>
      </c>
    </row>
    <row r="2833" spans="1:6" x14ac:dyDescent="0.25">
      <c r="A2833" s="23">
        <v>2832</v>
      </c>
      <c r="B2833" s="7" cm="1">
        <f t="array" aca="1" ref="B2833" ca="1">interpolexp(A2833,serie_du,Taxas_DI)</f>
        <v>0.12303999490239637</v>
      </c>
      <c r="C2833" s="37">
        <f t="shared" ca="1" si="133"/>
        <v>3.6842264548102852</v>
      </c>
      <c r="D2833" s="36">
        <f t="shared" ca="1" si="135"/>
        <v>0.12304024672286484</v>
      </c>
      <c r="E2833" s="32">
        <v>0.12013440027891509</v>
      </c>
      <c r="F2833" s="35">
        <f t="shared" ca="1" si="134"/>
        <v>2.9055946234812779E-3</v>
      </c>
    </row>
    <row r="2834" spans="1:6" x14ac:dyDescent="0.25">
      <c r="A2834" s="23">
        <v>2833</v>
      </c>
      <c r="B2834" s="7" cm="1">
        <f t="array" aca="1" ref="B2834" ca="1">interpolexp(A2834,serie_du,Taxas_DI)</f>
        <v>0.12303999499128082</v>
      </c>
      <c r="C2834" s="37">
        <f t="shared" ca="1" si="133"/>
        <v>3.6859233369183935</v>
      </c>
      <c r="D2834" s="36">
        <f t="shared" ca="1" si="135"/>
        <v>0.1230402467121352</v>
      </c>
      <c r="E2834" s="32">
        <v>0.12013366470138287</v>
      </c>
      <c r="F2834" s="35">
        <f t="shared" ca="1" si="134"/>
        <v>2.9063302898979515E-3</v>
      </c>
    </row>
    <row r="2835" spans="1:6" x14ac:dyDescent="0.25">
      <c r="A2835" s="23">
        <v>2834</v>
      </c>
      <c r="B2835" s="7" cm="1">
        <f t="array" aca="1" ref="B2835" ca="1">interpolexp(A2835,serie_du,Taxas_DI)</f>
        <v>0.12303999508007646</v>
      </c>
      <c r="C2835" s="37">
        <f t="shared" ca="1" si="133"/>
        <v>3.6876210005759993</v>
      </c>
      <c r="D2835" s="36">
        <f t="shared" ca="1" si="135"/>
        <v>0.12304024663804536</v>
      </c>
      <c r="E2835" s="32">
        <v>0.12013292964294653</v>
      </c>
      <c r="F2835" s="35">
        <f t="shared" ca="1" si="134"/>
        <v>2.9070654371299298E-3</v>
      </c>
    </row>
    <row r="2836" spans="1:6" x14ac:dyDescent="0.25">
      <c r="A2836" s="23">
        <v>2835</v>
      </c>
      <c r="B2836" s="7" cm="1">
        <f t="array" aca="1" ref="B2836" ca="1">interpolexp(A2836,serie_du,Taxas_DI)</f>
        <v>0.12303999516882769</v>
      </c>
      <c r="C2836" s="37">
        <f t="shared" ca="1" si="133"/>
        <v>3.6893194461447094</v>
      </c>
      <c r="D2836" s="36">
        <f t="shared" ca="1" si="135"/>
        <v>0.12304024668993319</v>
      </c>
      <c r="E2836" s="32">
        <v>0.12013219510307316</v>
      </c>
      <c r="F2836" s="35">
        <f t="shared" ca="1" si="134"/>
        <v>2.9078000657545289E-3</v>
      </c>
    </row>
    <row r="2837" spans="1:6" x14ac:dyDescent="0.25">
      <c r="A2837" s="23">
        <v>2836</v>
      </c>
      <c r="B2837" s="7" cm="1">
        <f t="array" aca="1" ref="B2837" ca="1">interpolexp(A2837,serie_du,Taxas_DI)</f>
        <v>0.1230399952575123</v>
      </c>
      <c r="C2837" s="37">
        <f t="shared" ca="1" si="133"/>
        <v>3.6910186739838307</v>
      </c>
      <c r="D2837" s="36">
        <f t="shared" ca="1" si="135"/>
        <v>0.12304024667845082</v>
      </c>
      <c r="E2837" s="32">
        <v>0.12013146108120765</v>
      </c>
      <c r="F2837" s="35">
        <f t="shared" ca="1" si="134"/>
        <v>2.9085341763046557E-3</v>
      </c>
    </row>
    <row r="2838" spans="1:6" x14ac:dyDescent="0.25">
      <c r="A2838" s="23">
        <v>2837</v>
      </c>
      <c r="B2838" s="7" cm="1">
        <f t="array" aca="1" ref="B2838" ca="1">interpolexp(A2838,serie_du,Taxas_DI)</f>
        <v>0.12303999534615251</v>
      </c>
      <c r="C2838" s="37">
        <f t="shared" ca="1" si="133"/>
        <v>3.6927186844544813</v>
      </c>
      <c r="D2838" s="36">
        <f t="shared" ca="1" si="135"/>
        <v>0.1230402467297842</v>
      </c>
      <c r="E2838" s="32">
        <v>0.12013072757683929</v>
      </c>
      <c r="F2838" s="35">
        <f t="shared" ca="1" si="134"/>
        <v>2.9092677693132174E-3</v>
      </c>
    </row>
    <row r="2839" spans="1:6" x14ac:dyDescent="0.25">
      <c r="A2839" s="23">
        <v>2838</v>
      </c>
      <c r="B2839" s="7" cm="1">
        <f t="array" aca="1" ref="B2839" ca="1">interpolexp(A2839,serie_du,Taxas_DI)</f>
        <v>0.1230399954347039</v>
      </c>
      <c r="C2839" s="37">
        <f t="shared" ca="1" si="133"/>
        <v>3.6944194779154809</v>
      </c>
      <c r="D2839" s="36">
        <f t="shared" ca="1" si="135"/>
        <v>0.12304024665502711</v>
      </c>
      <c r="E2839" s="32">
        <v>0.12012999458936857</v>
      </c>
      <c r="F2839" s="35">
        <f t="shared" ca="1" si="134"/>
        <v>2.9100008453353254E-3</v>
      </c>
    </row>
    <row r="2840" spans="1:6" x14ac:dyDescent="0.25">
      <c r="A2840" s="23">
        <v>2839</v>
      </c>
      <c r="B2840" s="7" cm="1">
        <f t="array" aca="1" ref="B2840" ca="1">interpolexp(A2840,serie_du,Taxas_DI)</f>
        <v>0.12303999552321088</v>
      </c>
      <c r="C2840" s="37">
        <f t="shared" ca="1" si="133"/>
        <v>3.6961210547291006</v>
      </c>
      <c r="D2840" s="36">
        <f t="shared" ca="1" si="135"/>
        <v>0.12304024670600699</v>
      </c>
      <c r="E2840" s="32">
        <v>0.12012999468511421</v>
      </c>
      <c r="F2840" s="35">
        <f t="shared" ca="1" si="134"/>
        <v>2.9100008380966713E-3</v>
      </c>
    </row>
    <row r="2841" spans="1:6" x14ac:dyDescent="0.25">
      <c r="A2841" s="23">
        <v>2840</v>
      </c>
      <c r="B2841" s="7" cm="1">
        <f t="array" aca="1" ref="B2841" ca="1">interpolexp(A2841,serie_du,Taxas_DI)</f>
        <v>0.12303999561165124</v>
      </c>
      <c r="C2841" s="37">
        <f t="shared" ca="1" si="133"/>
        <v>3.6978234152553124</v>
      </c>
      <c r="D2841" s="36">
        <f t="shared" ca="1" si="135"/>
        <v>0.12304024669390179</v>
      </c>
      <c r="E2841" s="32">
        <v>0.12012999478079323</v>
      </c>
      <c r="F2841" s="35">
        <f t="shared" ca="1" si="134"/>
        <v>2.9100008308580172E-3</v>
      </c>
    </row>
    <row r="2842" spans="1:6" x14ac:dyDescent="0.25">
      <c r="A2842" s="23">
        <v>2841</v>
      </c>
      <c r="B2842" s="7" cm="1">
        <f t="array" aca="1" ref="B2842" ca="1">interpolexp(A2842,serie_du,Taxas_DI)</f>
        <v>0.123039995700025</v>
      </c>
      <c r="C2842" s="37">
        <f t="shared" ca="1" si="133"/>
        <v>3.6995265598550753</v>
      </c>
      <c r="D2842" s="36">
        <f t="shared" ca="1" si="135"/>
        <v>0.12304024668146507</v>
      </c>
      <c r="E2842" s="32">
        <v>0.12012999487642784</v>
      </c>
      <c r="F2842" s="35">
        <f t="shared" ca="1" si="134"/>
        <v>2.9100008235971586E-3</v>
      </c>
    </row>
    <row r="2843" spans="1:6" x14ac:dyDescent="0.25">
      <c r="A2843" s="23">
        <v>2842</v>
      </c>
      <c r="B2843" s="7" cm="1">
        <f t="array" aca="1" ref="B2843" ca="1">interpolexp(A2843,serie_du,Taxas_DI)</f>
        <v>0.12303999578833213</v>
      </c>
      <c r="C2843" s="37">
        <f t="shared" ca="1" si="133"/>
        <v>3.7012304888895176</v>
      </c>
      <c r="D2843" s="36">
        <f t="shared" ca="1" si="135"/>
        <v>0.12304024666896485</v>
      </c>
      <c r="E2843" s="32">
        <v>0.12012999497197363</v>
      </c>
      <c r="F2843" s="35">
        <f t="shared" ca="1" si="134"/>
        <v>2.9100008163585045E-3</v>
      </c>
    </row>
    <row r="2844" spans="1:6" x14ac:dyDescent="0.25">
      <c r="A2844" s="23">
        <v>2843</v>
      </c>
      <c r="B2844" s="7" cm="1">
        <f t="array" aca="1" ref="B2844" ca="1">interpolexp(A2844,serie_du,Taxas_DI)</f>
        <v>0.12303999587657266</v>
      </c>
      <c r="C2844" s="37">
        <f t="shared" ca="1" si="133"/>
        <v>3.7029352027199289</v>
      </c>
      <c r="D2844" s="36">
        <f t="shared" ca="1" si="135"/>
        <v>0.12304024665615354</v>
      </c>
      <c r="E2844" s="32">
        <v>0.12012999506745281</v>
      </c>
      <c r="F2844" s="35">
        <f t="shared" ca="1" si="134"/>
        <v>2.9100008091198504E-3</v>
      </c>
    </row>
    <row r="2845" spans="1:6" x14ac:dyDescent="0.25">
      <c r="A2845" s="23">
        <v>2844</v>
      </c>
      <c r="B2845" s="7" cm="1">
        <f t="array" aca="1" ref="B2845" ca="1">interpolexp(A2845,serie_du,Taxas_DI)</f>
        <v>0.12303999596476878</v>
      </c>
      <c r="C2845" s="37">
        <f t="shared" ca="1" si="133"/>
        <v>3.7046407017085974</v>
      </c>
      <c r="D2845" s="36">
        <f t="shared" ca="1" si="135"/>
        <v>0.12304024670638425</v>
      </c>
      <c r="E2845" s="32">
        <v>0.12012999516286538</v>
      </c>
      <c r="F2845" s="35">
        <f t="shared" ca="1" si="134"/>
        <v>2.9100008019034007E-3</v>
      </c>
    </row>
    <row r="2846" spans="1:6" x14ac:dyDescent="0.25">
      <c r="A2846" s="23">
        <v>2845</v>
      </c>
      <c r="B2846" s="7" cm="1">
        <f t="array" aca="1" ref="B2846" ca="1">interpolexp(A2846,serie_du,Taxas_DI)</f>
        <v>0.12303999605289828</v>
      </c>
      <c r="C2846" s="37">
        <f t="shared" ca="1" si="133"/>
        <v>3.7063469862163205</v>
      </c>
      <c r="D2846" s="36">
        <f t="shared" ca="1" si="135"/>
        <v>0.12304024669321079</v>
      </c>
      <c r="E2846" s="32">
        <v>0.12012999525821133</v>
      </c>
      <c r="F2846" s="35">
        <f t="shared" ca="1" si="134"/>
        <v>2.9100007946869511E-3</v>
      </c>
    </row>
    <row r="2847" spans="1:6" x14ac:dyDescent="0.25">
      <c r="A2847" s="23">
        <v>2846</v>
      </c>
      <c r="B2847" s="7" cm="1">
        <f t="array" aca="1" ref="B2847" ca="1">interpolexp(A2847,serie_du,Taxas_DI)</f>
        <v>0.12303999614096117</v>
      </c>
      <c r="C2847" s="37">
        <f t="shared" ca="1" si="133"/>
        <v>3.7080540566048921</v>
      </c>
      <c r="D2847" s="36">
        <f t="shared" ca="1" si="135"/>
        <v>0.12304024667996361</v>
      </c>
      <c r="E2847" s="32">
        <v>0.12012999535349067</v>
      </c>
      <c r="F2847" s="35">
        <f t="shared" ca="1" si="134"/>
        <v>2.9100007874705014E-3</v>
      </c>
    </row>
    <row r="2848" spans="1:6" x14ac:dyDescent="0.25">
      <c r="A2848" s="23">
        <v>2847</v>
      </c>
      <c r="B2848" s="7" cm="1">
        <f t="array" aca="1" ref="B2848" ca="1">interpolexp(A2848,serie_du,Taxas_DI)</f>
        <v>0.12303999622895745</v>
      </c>
      <c r="C2848" s="37">
        <f t="shared" ca="1" si="133"/>
        <v>3.7097619132362687</v>
      </c>
      <c r="D2848" s="36">
        <f t="shared" ca="1" si="135"/>
        <v>0.12304024666633717</v>
      </c>
      <c r="E2848" s="32">
        <v>0.1201299954487034</v>
      </c>
      <c r="F2848" s="35">
        <f t="shared" ca="1" si="134"/>
        <v>2.9100007802540517E-3</v>
      </c>
    </row>
    <row r="2849" spans="1:6" x14ac:dyDescent="0.25">
      <c r="A2849" s="23">
        <v>2848</v>
      </c>
      <c r="B2849" s="7" cm="1">
        <f t="array" aca="1" ref="B2849" ca="1">interpolexp(A2849,serie_du,Taxas_DI)</f>
        <v>0.12303999631690932</v>
      </c>
      <c r="C2849" s="37">
        <f t="shared" ca="1" si="133"/>
        <v>3.7114705564734072</v>
      </c>
      <c r="D2849" s="36">
        <f t="shared" ca="1" si="135"/>
        <v>0.12304024671596281</v>
      </c>
      <c r="E2849" s="32">
        <v>0.12012999554384951</v>
      </c>
      <c r="F2849" s="35">
        <f t="shared" ca="1" si="134"/>
        <v>2.9100007730598065E-3</v>
      </c>
    </row>
    <row r="2850" spans="1:6" x14ac:dyDescent="0.25">
      <c r="A2850" s="23">
        <v>2849</v>
      </c>
      <c r="B2850" s="7" cm="1">
        <f t="array" aca="1" ref="B2850" ca="1">interpolexp(A2850,serie_du,Taxas_DI)</f>
        <v>0.12303999640479457</v>
      </c>
      <c r="C2850" s="37">
        <f t="shared" ca="1" si="133"/>
        <v>3.7131799866777682</v>
      </c>
      <c r="D2850" s="36">
        <f t="shared" ca="1" si="135"/>
        <v>0.12304024670192804</v>
      </c>
      <c r="E2850" s="32">
        <v>0.12012999563892901</v>
      </c>
      <c r="F2850" s="35">
        <f t="shared" ca="1" si="134"/>
        <v>2.9100007658655613E-3</v>
      </c>
    </row>
    <row r="2851" spans="1:6" x14ac:dyDescent="0.25">
      <c r="A2851" s="23">
        <v>2850</v>
      </c>
      <c r="B2851" s="7" cm="1">
        <f t="array" aca="1" ref="B2851" ca="1">interpolexp(A2851,serie_du,Taxas_DI)</f>
        <v>0.12303999649261321</v>
      </c>
      <c r="C2851" s="37">
        <f t="shared" ca="1" si="133"/>
        <v>3.7148902042118146</v>
      </c>
      <c r="D2851" s="36">
        <f t="shared" ca="1" si="135"/>
        <v>0.12304024668799007</v>
      </c>
      <c r="E2851" s="32">
        <v>0.1201299957339419</v>
      </c>
      <c r="F2851" s="35">
        <f t="shared" ca="1" si="134"/>
        <v>2.9100007586713161E-3</v>
      </c>
    </row>
    <row r="2852" spans="1:6" x14ac:dyDescent="0.25">
      <c r="A2852" s="23">
        <v>2851</v>
      </c>
      <c r="B2852" s="7" cm="1">
        <f t="array" aca="1" ref="B2852" ca="1">interpolexp(A2852,serie_du,Taxas_DI)</f>
        <v>0.12303999658036524</v>
      </c>
      <c r="C2852" s="37">
        <f t="shared" ca="1" si="133"/>
        <v>3.7166012094381689</v>
      </c>
      <c r="D2852" s="36">
        <f t="shared" ca="1" si="135"/>
        <v>0.12304024667367086</v>
      </c>
      <c r="E2852" s="32">
        <v>0.12012999582888817</v>
      </c>
      <c r="F2852" s="35">
        <f t="shared" ca="1" si="134"/>
        <v>2.9100007514770709E-3</v>
      </c>
    </row>
    <row r="2853" spans="1:6" x14ac:dyDescent="0.25">
      <c r="A2853" s="23">
        <v>2852</v>
      </c>
      <c r="B2853" s="7" cm="1">
        <f t="array" aca="1" ref="B2853" ca="1">interpolexp(A2853,serie_du,Taxas_DI)</f>
        <v>0.12303999666805066</v>
      </c>
      <c r="C2853" s="37">
        <f t="shared" ca="1" si="133"/>
        <v>3.7183130027196252</v>
      </c>
      <c r="D2853" s="36">
        <f t="shared" ca="1" si="135"/>
        <v>0.12304024665918312</v>
      </c>
      <c r="E2853" s="32">
        <v>0.12012999592376783</v>
      </c>
      <c r="F2853" s="35">
        <f t="shared" ca="1" si="134"/>
        <v>2.9100007442828257E-3</v>
      </c>
    </row>
    <row r="2854" spans="1:6" x14ac:dyDescent="0.25">
      <c r="A2854" s="23">
        <v>2853</v>
      </c>
      <c r="B2854" s="7" cm="1">
        <f t="array" aca="1" ref="B2854" ca="1">interpolexp(A2854,serie_du,Taxas_DI)</f>
        <v>0.12303999675569166</v>
      </c>
      <c r="C2854" s="37">
        <f t="shared" ca="1" si="133"/>
        <v>3.7200255844199757</v>
      </c>
      <c r="D2854" s="36">
        <f t="shared" ca="1" si="135"/>
        <v>0.12304024670782421</v>
      </c>
      <c r="E2854" s="32">
        <v>0.12012999601858088</v>
      </c>
      <c r="F2854" s="35">
        <f t="shared" ca="1" si="134"/>
        <v>2.910000737110785E-3</v>
      </c>
    </row>
    <row r="2855" spans="1:6" x14ac:dyDescent="0.25">
      <c r="A2855" s="23">
        <v>2854</v>
      </c>
      <c r="B2855" s="7" cm="1">
        <f t="array" aca="1" ref="B2855" ca="1">interpolexp(A2855,serie_du,Taxas_DI)</f>
        <v>0.12303999684326605</v>
      </c>
      <c r="C2855" s="37">
        <f t="shared" ca="1" si="133"/>
        <v>3.7217389549015167</v>
      </c>
      <c r="D2855" s="36">
        <f t="shared" ca="1" si="135"/>
        <v>0.12304024669308711</v>
      </c>
      <c r="E2855" s="32">
        <v>0.12012999611332731</v>
      </c>
      <c r="F2855" s="35">
        <f t="shared" ca="1" si="134"/>
        <v>2.9100007299387443E-3</v>
      </c>
    </row>
    <row r="2856" spans="1:6" x14ac:dyDescent="0.25">
      <c r="A2856" s="23">
        <v>2855</v>
      </c>
      <c r="B2856" s="7" cm="1">
        <f t="array" aca="1" ref="B2856" ca="1">interpolexp(A2856,serie_du,Taxas_DI)</f>
        <v>0.12303999693077383</v>
      </c>
      <c r="C2856" s="37">
        <f t="shared" ca="1" si="133"/>
        <v>3.7234531145275414</v>
      </c>
      <c r="D2856" s="36">
        <f t="shared" ca="1" si="135"/>
        <v>0.12304024667801339</v>
      </c>
      <c r="E2856" s="32">
        <v>0.12012999620800713</v>
      </c>
      <c r="F2856" s="35">
        <f t="shared" ca="1" si="134"/>
        <v>2.9100007227667035E-3</v>
      </c>
    </row>
    <row r="2857" spans="1:6" x14ac:dyDescent="0.25">
      <c r="A2857" s="23">
        <v>2856</v>
      </c>
      <c r="B2857" s="7" cm="1">
        <f t="array" aca="1" ref="B2857" ca="1">interpolexp(A2857,serie_du,Taxas_DI)</f>
        <v>0.123039997018215</v>
      </c>
      <c r="C2857" s="37">
        <f t="shared" ca="1" si="133"/>
        <v>3.7251680636615121</v>
      </c>
      <c r="D2857" s="36">
        <f t="shared" ca="1" si="135"/>
        <v>0.12304024666275915</v>
      </c>
      <c r="E2857" s="32">
        <v>0.12012999630262033</v>
      </c>
      <c r="F2857" s="35">
        <f t="shared" ca="1" si="134"/>
        <v>2.9100007155946628E-3</v>
      </c>
    </row>
    <row r="2858" spans="1:6" x14ac:dyDescent="0.25">
      <c r="A2858" s="23">
        <v>2857</v>
      </c>
      <c r="B2858" s="7" cm="1">
        <f t="array" aca="1" ref="B2858" ca="1">interpolexp(A2858,serie_du,Taxas_DI)</f>
        <v>0.12303999710561175</v>
      </c>
      <c r="C2858" s="37">
        <f t="shared" ca="1" si="133"/>
        <v>3.7268838026678925</v>
      </c>
      <c r="D2858" s="36">
        <f t="shared" ca="1" si="135"/>
        <v>0.12304024671075942</v>
      </c>
      <c r="E2858" s="32">
        <v>0.12012999639716693</v>
      </c>
      <c r="F2858" s="35">
        <f t="shared" ca="1" si="134"/>
        <v>2.9100007084448265E-3</v>
      </c>
    </row>
    <row r="2859" spans="1:6" x14ac:dyDescent="0.25">
      <c r="A2859" s="23">
        <v>2858</v>
      </c>
      <c r="B2859" s="7" cm="1">
        <f t="array" aca="1" ref="B2859" ca="1">interpolexp(A2859,serie_du,Taxas_DI)</f>
        <v>0.1230399971929419</v>
      </c>
      <c r="C2859" s="37">
        <f t="shared" ca="1" si="133"/>
        <v>3.7286003319096466</v>
      </c>
      <c r="D2859" s="36">
        <f t="shared" ca="1" si="135"/>
        <v>0.12304024669521563</v>
      </c>
      <c r="E2859" s="32">
        <v>0.12012999649164691</v>
      </c>
      <c r="F2859" s="35">
        <f t="shared" ca="1" si="134"/>
        <v>2.9100007012949902E-3</v>
      </c>
    </row>
    <row r="2860" spans="1:6" x14ac:dyDescent="0.25">
      <c r="A2860" s="23">
        <v>2859</v>
      </c>
      <c r="B2860" s="7" cm="1">
        <f t="array" aca="1" ref="B2860" ca="1">interpolexp(A2860,serie_du,Taxas_DI)</f>
        <v>0.12303999728020543</v>
      </c>
      <c r="C2860" s="37">
        <f t="shared" ca="1" si="133"/>
        <v>3.7303176517507364</v>
      </c>
      <c r="D2860" s="36">
        <f t="shared" ca="1" si="135"/>
        <v>0.12304024667939828</v>
      </c>
      <c r="E2860" s="32">
        <v>0.12012999658606027</v>
      </c>
      <c r="F2860" s="35">
        <f t="shared" ca="1" si="134"/>
        <v>2.9100006941451539E-3</v>
      </c>
    </row>
    <row r="2861" spans="1:6" x14ac:dyDescent="0.25">
      <c r="A2861" s="23">
        <v>2860</v>
      </c>
      <c r="B2861" s="7" cm="1">
        <f t="array" aca="1" ref="B2861" ca="1">interpolexp(A2861,serie_du,Taxas_DI)</f>
        <v>0.12303999736740234</v>
      </c>
      <c r="C2861" s="37">
        <f t="shared" ca="1" si="133"/>
        <v>3.732035762555296</v>
      </c>
      <c r="D2861" s="36">
        <f t="shared" ca="1" si="135"/>
        <v>0.12304024666350988</v>
      </c>
      <c r="E2861" s="32">
        <v>0.12012999668042923</v>
      </c>
      <c r="F2861" s="35">
        <f t="shared" ca="1" si="134"/>
        <v>2.9100006869731132E-3</v>
      </c>
    </row>
    <row r="2862" spans="1:6" x14ac:dyDescent="0.25">
      <c r="A2862" s="23">
        <v>2861</v>
      </c>
      <c r="B2862" s="7" cm="1">
        <f t="array" aca="1" ref="B2862" ca="1">interpolexp(A2862,serie_du,Taxas_DI)</f>
        <v>0.12303999745455485</v>
      </c>
      <c r="C2862" s="37">
        <f t="shared" ca="1" si="133"/>
        <v>3.7337546646884592</v>
      </c>
      <c r="D2862" s="36">
        <f t="shared" ca="1" si="135"/>
        <v>0.12304024671069524</v>
      </c>
      <c r="E2862" s="32">
        <v>0.12012999677470937</v>
      </c>
      <c r="F2862" s="35">
        <f t="shared" ca="1" si="134"/>
        <v>2.9100006798454814E-3</v>
      </c>
    </row>
    <row r="2863" spans="1:6" x14ac:dyDescent="0.25">
      <c r="A2863" s="23">
        <v>2862</v>
      </c>
      <c r="B2863" s="7" cm="1">
        <f t="array" aca="1" ref="B2863" ca="1">interpolexp(A2863,serie_du,Taxas_DI)</f>
        <v>0.12303999754161854</v>
      </c>
      <c r="C2863" s="37">
        <f t="shared" ca="1" si="133"/>
        <v>3.7354743585130219</v>
      </c>
      <c r="D2863" s="36">
        <f t="shared" ca="1" si="135"/>
        <v>0.12304024663089108</v>
      </c>
      <c r="E2863" s="32">
        <v>0.12012999686892289</v>
      </c>
      <c r="F2863" s="35">
        <f t="shared" ca="1" si="134"/>
        <v>2.9100006726956451E-3</v>
      </c>
    </row>
    <row r="2864" spans="1:6" x14ac:dyDescent="0.25">
      <c r="A2864" s="23">
        <v>2863</v>
      </c>
      <c r="B2864" s="7" cm="1">
        <f t="array" aca="1" ref="B2864" ca="1">interpolexp(A2864,serie_du,Taxas_DI)</f>
        <v>0.12303999762866002</v>
      </c>
      <c r="C2864" s="37">
        <f t="shared" ca="1" si="133"/>
        <v>3.7371948443961314</v>
      </c>
      <c r="D2864" s="36">
        <f t="shared" ca="1" si="135"/>
        <v>0.12304024674132097</v>
      </c>
      <c r="E2864" s="32">
        <v>0.12012999696306981</v>
      </c>
      <c r="F2864" s="35">
        <f t="shared" ca="1" si="134"/>
        <v>2.9100006655902177E-3</v>
      </c>
    </row>
    <row r="2865" spans="1:6" x14ac:dyDescent="0.25">
      <c r="A2865" s="23">
        <v>2864</v>
      </c>
      <c r="B2865" s="7" cm="1">
        <f t="array" aca="1" ref="B2865" ca="1">interpolexp(A2865,serie_du,Taxas_DI)</f>
        <v>0.12303999771561269</v>
      </c>
      <c r="C2865" s="37">
        <f t="shared" ca="1" si="133"/>
        <v>3.7389161227000782</v>
      </c>
      <c r="D2865" s="36">
        <f t="shared" ca="1" si="135"/>
        <v>0.12304024666118818</v>
      </c>
      <c r="E2865" s="32">
        <v>0.12012999705715011</v>
      </c>
      <c r="F2865" s="35">
        <f t="shared" ca="1" si="134"/>
        <v>2.9100006584625859E-3</v>
      </c>
    </row>
    <row r="2866" spans="1:6" x14ac:dyDescent="0.25">
      <c r="A2866" s="23">
        <v>2865</v>
      </c>
      <c r="B2866" s="7" cm="1">
        <f t="array" aca="1" ref="B2866" ca="1">interpolexp(A2866,serie_du,Taxas_DI)</f>
        <v>0.12303999780252095</v>
      </c>
      <c r="C2866" s="37">
        <f t="shared" ca="1" si="133"/>
        <v>3.7406381937915101</v>
      </c>
      <c r="D2866" s="36">
        <f t="shared" ca="1" si="135"/>
        <v>0.12304024670776048</v>
      </c>
      <c r="E2866" s="32">
        <v>0.120129997151186</v>
      </c>
      <c r="F2866" s="35">
        <f t="shared" ca="1" si="134"/>
        <v>2.9100006513349541E-3</v>
      </c>
    </row>
    <row r="2867" spans="1:6" x14ac:dyDescent="0.25">
      <c r="A2867" s="23">
        <v>2866</v>
      </c>
      <c r="B2867" s="7" cm="1">
        <f t="array" aca="1" ref="B2867" ca="1">interpolexp(A2867,serie_du,Taxas_DI)</f>
        <v>0.1230399978893626</v>
      </c>
      <c r="C2867" s="37">
        <f t="shared" ca="1" si="133"/>
        <v>3.7423610580347271</v>
      </c>
      <c r="D2867" s="36">
        <f t="shared" ca="1" si="135"/>
        <v>0.12304024669068392</v>
      </c>
      <c r="E2867" s="32">
        <v>0.12012999724513307</v>
      </c>
      <c r="F2867" s="35">
        <f t="shared" ca="1" si="134"/>
        <v>2.9100006442295268E-3</v>
      </c>
    </row>
    <row r="2868" spans="1:6" x14ac:dyDescent="0.25">
      <c r="A2868" s="23">
        <v>2867</v>
      </c>
      <c r="B2868" s="7" cm="1">
        <f t="array" aca="1" ref="B2868" ca="1">interpolexp(A2868,serie_du,Taxas_DI)</f>
        <v>0.12303999797613763</v>
      </c>
      <c r="C2868" s="37">
        <f t="shared" ca="1" si="133"/>
        <v>3.7440847157950374</v>
      </c>
      <c r="D2868" s="36">
        <f t="shared" ca="1" si="135"/>
        <v>0.12304024667342151</v>
      </c>
      <c r="E2868" s="32">
        <v>0.12012999733903573</v>
      </c>
      <c r="F2868" s="35">
        <f t="shared" ca="1" si="134"/>
        <v>2.9100006371018949E-3</v>
      </c>
    </row>
    <row r="2869" spans="1:6" x14ac:dyDescent="0.25">
      <c r="A2869" s="23">
        <v>2868</v>
      </c>
      <c r="B2869" s="7" cm="1">
        <f t="array" aca="1" ref="B2869" ca="1">interpolexp(A2869,serie_du,Taxas_DI)</f>
        <v>0.12303999806284605</v>
      </c>
      <c r="C2869" s="37">
        <f t="shared" ca="1" si="133"/>
        <v>3.7458091674379159</v>
      </c>
      <c r="D2869" s="36">
        <f t="shared" ca="1" si="135"/>
        <v>0.12304024665590552</v>
      </c>
      <c r="E2869" s="32">
        <v>0.12012999743284958</v>
      </c>
      <c r="F2869" s="35">
        <f t="shared" ca="1" si="134"/>
        <v>2.9100006299964676E-3</v>
      </c>
    </row>
    <row r="2870" spans="1:6" x14ac:dyDescent="0.25">
      <c r="A2870" s="23">
        <v>2869</v>
      </c>
      <c r="B2870" s="7" cm="1">
        <f t="array" aca="1" ref="B2870" ca="1">interpolexp(A2870,serie_du,Taxas_DI)</f>
        <v>0.12303999814951005</v>
      </c>
      <c r="C2870" s="37">
        <f t="shared" ca="1" si="133"/>
        <v>3.7475344133298494</v>
      </c>
      <c r="D2870" s="36">
        <f t="shared" ca="1" si="135"/>
        <v>0.12304024670186675</v>
      </c>
      <c r="E2870" s="32">
        <v>0.12012999752661901</v>
      </c>
      <c r="F2870" s="35">
        <f t="shared" ca="1" si="134"/>
        <v>2.9100006228910402E-3</v>
      </c>
    </row>
    <row r="2871" spans="1:6" x14ac:dyDescent="0.25">
      <c r="A2871" s="23">
        <v>2870</v>
      </c>
      <c r="B2871" s="7" cm="1">
        <f t="array" aca="1" ref="B2871" ca="1">interpolexp(A2871,serie_du,Taxas_DI)</f>
        <v>0.12303999823610745</v>
      </c>
      <c r="C2871" s="37">
        <f t="shared" ca="1" si="133"/>
        <v>3.749260453835809</v>
      </c>
      <c r="D2871" s="36">
        <f t="shared" ca="1" si="135"/>
        <v>0.12304024668404012</v>
      </c>
      <c r="E2871" s="32">
        <v>0.12012999762029963</v>
      </c>
      <c r="F2871" s="35">
        <f t="shared" ca="1" si="134"/>
        <v>2.9100006158078173E-3</v>
      </c>
    </row>
    <row r="2872" spans="1:6" x14ac:dyDescent="0.25">
      <c r="A2872" s="23">
        <v>2871</v>
      </c>
      <c r="B2872" s="7" cm="1">
        <f t="array" aca="1" ref="B2872" ca="1">interpolexp(A2872,serie_du,Taxas_DI)</f>
        <v>0.12303999832263823</v>
      </c>
      <c r="C2872" s="37">
        <f t="shared" ca="1" si="133"/>
        <v>3.7509872893217748</v>
      </c>
      <c r="D2872" s="36">
        <f t="shared" ca="1" si="135"/>
        <v>0.12304024666602542</v>
      </c>
      <c r="E2872" s="32">
        <v>0.12012999771393584</v>
      </c>
      <c r="F2872" s="35">
        <f t="shared" ca="1" si="134"/>
        <v>2.91000060870239E-3</v>
      </c>
    </row>
    <row r="2873" spans="1:6" x14ac:dyDescent="0.25">
      <c r="A2873" s="23">
        <v>2872</v>
      </c>
      <c r="B2873" s="7" cm="1">
        <f t="array" aca="1" ref="B2873" ca="1">interpolexp(A2873,serie_du,Taxas_DI)</f>
        <v>0.12303999840912461</v>
      </c>
      <c r="C2873" s="37">
        <f t="shared" ca="1" si="133"/>
        <v>3.7527149201547423</v>
      </c>
      <c r="D2873" s="36">
        <f t="shared" ca="1" si="135"/>
        <v>0.12304024671157432</v>
      </c>
      <c r="E2873" s="32">
        <v>0.12012999780748324</v>
      </c>
      <c r="F2873" s="35">
        <f t="shared" ca="1" si="134"/>
        <v>2.9100006016413715E-3</v>
      </c>
    </row>
    <row r="2874" spans="1:6" x14ac:dyDescent="0.25">
      <c r="A2874" s="23">
        <v>2873</v>
      </c>
      <c r="B2874" s="7" cm="1">
        <f t="array" aca="1" ref="B2874" ca="1">interpolexp(A2874,serie_du,Taxas_DI)</f>
        <v>0.12303999849554437</v>
      </c>
      <c r="C2874" s="37">
        <f t="shared" ca="1" si="133"/>
        <v>3.7544433467001843</v>
      </c>
      <c r="D2874" s="36">
        <f t="shared" ca="1" si="135"/>
        <v>0.12304024669314884</v>
      </c>
      <c r="E2874" s="32">
        <v>0.12012999790098622</v>
      </c>
      <c r="F2874" s="35">
        <f t="shared" ca="1" si="134"/>
        <v>2.9100005945581486E-3</v>
      </c>
    </row>
    <row r="2875" spans="1:6" x14ac:dyDescent="0.25">
      <c r="A2875" s="23">
        <v>2874</v>
      </c>
      <c r="B2875" s="7" cm="1">
        <f t="array" aca="1" ref="B2875" ca="1">interpolexp(A2875,serie_du,Taxas_DI)</f>
        <v>0.12303999858189751</v>
      </c>
      <c r="C2875" s="37">
        <f t="shared" ca="1" si="133"/>
        <v>3.7561725693245869</v>
      </c>
      <c r="D2875" s="36">
        <f t="shared" ca="1" si="135"/>
        <v>0.12304024667442781</v>
      </c>
      <c r="E2875" s="32">
        <v>0.12012999799442259</v>
      </c>
      <c r="F2875" s="35">
        <f t="shared" ca="1" si="134"/>
        <v>2.9100005874749257E-3</v>
      </c>
    </row>
    <row r="2876" spans="1:6" x14ac:dyDescent="0.25">
      <c r="A2876" s="23">
        <v>2875</v>
      </c>
      <c r="B2876" s="7" cm="1">
        <f t="array" aca="1" ref="B2876" ca="1">interpolexp(A2876,serie_du,Taxas_DI)</f>
        <v>0.12303999866818405</v>
      </c>
      <c r="C2876" s="37">
        <f t="shared" ca="1" si="133"/>
        <v>3.7579025883946069</v>
      </c>
      <c r="D2876" s="36">
        <f t="shared" ca="1" si="135"/>
        <v>0.12304024665571789</v>
      </c>
      <c r="E2876" s="32">
        <v>0.12012999808779234</v>
      </c>
      <c r="F2876" s="35">
        <f t="shared" ca="1" si="134"/>
        <v>2.9100005803917028E-3</v>
      </c>
    </row>
    <row r="2877" spans="1:6" x14ac:dyDescent="0.25">
      <c r="A2877" s="23">
        <v>2876</v>
      </c>
      <c r="B2877" s="7" cm="1">
        <f t="array" aca="1" ref="B2877" ca="1">interpolexp(A2877,serie_du,Taxas_DI)</f>
        <v>0.12303999875442617</v>
      </c>
      <c r="C2877" s="37">
        <f t="shared" ca="1" si="133"/>
        <v>3.7596334042779169</v>
      </c>
      <c r="D2877" s="36">
        <f t="shared" ca="1" si="135"/>
        <v>0.12304024670055225</v>
      </c>
      <c r="E2877" s="32">
        <v>0.12012999818109549</v>
      </c>
      <c r="F2877" s="35">
        <f t="shared" ca="1" si="134"/>
        <v>2.9100005733306844E-3</v>
      </c>
    </row>
    <row r="2878" spans="1:6" x14ac:dyDescent="0.25">
      <c r="A2878" s="23">
        <v>2877</v>
      </c>
      <c r="B2878" s="7" cm="1">
        <f t="array" aca="1" ref="B2878" ca="1">interpolexp(A2878,serie_du,Taxas_DI)</f>
        <v>0.12303999884060168</v>
      </c>
      <c r="C2878" s="37">
        <f t="shared" ca="1" si="133"/>
        <v>3.7613650173406623</v>
      </c>
      <c r="D2878" s="36">
        <f t="shared" ca="1" si="135"/>
        <v>0.12304024668140134</v>
      </c>
      <c r="E2878" s="32">
        <v>0.12012999827433202</v>
      </c>
      <c r="F2878" s="35">
        <f t="shared" ca="1" si="134"/>
        <v>2.910000566269666E-3</v>
      </c>
    </row>
    <row r="2879" spans="1:6" x14ac:dyDescent="0.25">
      <c r="A2879" s="23">
        <v>2878</v>
      </c>
      <c r="B2879" s="7" cm="1">
        <f t="array" aca="1" ref="B2879" ca="1">interpolexp(A2879,serie_du,Taxas_DI)</f>
        <v>0.12303999892673279</v>
      </c>
      <c r="C2879" s="37">
        <f t="shared" ca="1" si="133"/>
        <v>3.7630974279508553</v>
      </c>
      <c r="D2879" s="36">
        <f t="shared" ca="1" si="135"/>
        <v>0.12304024672593949</v>
      </c>
      <c r="E2879" s="32">
        <v>0.12012999836750193</v>
      </c>
      <c r="F2879" s="35">
        <f t="shared" ca="1" si="134"/>
        <v>2.910000559230852E-3</v>
      </c>
    </row>
    <row r="2880" spans="1:6" x14ac:dyDescent="0.25">
      <c r="A2880" s="23">
        <v>2879</v>
      </c>
      <c r="B2880" s="7" cm="1">
        <f t="array" aca="1" ref="B2880" ca="1">interpolexp(A2880,serie_du,Taxas_DI)</f>
        <v>0.12303999901277507</v>
      </c>
      <c r="C2880" s="37">
        <f t="shared" ca="1" si="133"/>
        <v>3.7648306364741284</v>
      </c>
      <c r="D2880" s="36">
        <f t="shared" ca="1" si="135"/>
        <v>0.12304024664248248</v>
      </c>
      <c r="E2880" s="32">
        <v>0.12012999846060524</v>
      </c>
      <c r="F2880" s="35">
        <f t="shared" ca="1" si="134"/>
        <v>2.9100005521698336E-3</v>
      </c>
    </row>
    <row r="2881" spans="1:6" x14ac:dyDescent="0.25">
      <c r="A2881" s="23">
        <v>2880</v>
      </c>
      <c r="B2881" s="7" cm="1">
        <f t="array" aca="1" ref="B2881" ca="1">interpolexp(A2881,serie_du,Taxas_DI)</f>
        <v>0.12303999909877295</v>
      </c>
      <c r="C2881" s="37">
        <f t="shared" ca="1" si="133"/>
        <v>3.7665646432796831</v>
      </c>
      <c r="D2881" s="36">
        <f t="shared" ca="1" si="135"/>
        <v>0.12304024668673086</v>
      </c>
      <c r="E2881" s="32">
        <v>0.12012999855364193</v>
      </c>
      <c r="F2881" s="35">
        <f t="shared" ca="1" si="134"/>
        <v>2.9100005451310196E-3</v>
      </c>
    </row>
    <row r="2882" spans="1:6" x14ac:dyDescent="0.25">
      <c r="A2882" s="23">
        <v>2881</v>
      </c>
      <c r="B2882" s="7" cm="1">
        <f t="array" aca="1" ref="B2882" ca="1">interpolexp(A2882,serie_du,Taxas_DI)</f>
        <v>0.12303999918472641</v>
      </c>
      <c r="C2882" s="37">
        <f t="shared" ref="C2882:C2945" ca="1" si="136">(1+B2882)^(A2882/252)</f>
        <v>3.7682994487351897</v>
      </c>
      <c r="D2882" s="36">
        <f t="shared" ca="1" si="135"/>
        <v>0.12304024673072367</v>
      </c>
      <c r="E2882" s="32">
        <v>0.12012999864663421</v>
      </c>
      <c r="F2882" s="35">
        <f t="shared" ref="F2882:F2945" ca="1" si="137">B2882-E2882</f>
        <v>2.9100005380922056E-3</v>
      </c>
    </row>
    <row r="2883" spans="1:6" x14ac:dyDescent="0.25">
      <c r="A2883" s="23">
        <v>2882</v>
      </c>
      <c r="B2883" s="7" cm="1">
        <f t="array" aca="1" ref="B2883" ca="1">interpolexp(A2883,serie_du,Taxas_DI)</f>
        <v>0.12303999927059106</v>
      </c>
      <c r="C2883" s="37">
        <f t="shared" ca="1" si="136"/>
        <v>3.7700350532067861</v>
      </c>
      <c r="D2883" s="36">
        <f t="shared" ca="1" si="135"/>
        <v>0.12304024664668489</v>
      </c>
      <c r="E2883" s="32">
        <v>0.12012999873955987</v>
      </c>
      <c r="F2883" s="35">
        <f t="shared" ca="1" si="137"/>
        <v>2.9100005310311872E-3</v>
      </c>
    </row>
    <row r="2884" spans="1:6" x14ac:dyDescent="0.25">
      <c r="A2884" s="23">
        <v>2883</v>
      </c>
      <c r="B2884" s="7" cm="1">
        <f t="array" aca="1" ref="B2884" ca="1">interpolexp(A2884,serie_du,Taxas_DI)</f>
        <v>0.1230399993564113</v>
      </c>
      <c r="C2884" s="37">
        <f t="shared" ca="1" si="136"/>
        <v>3.771771457064184</v>
      </c>
      <c r="D2884" s="36">
        <f t="shared" ref="D2884:D2947" ca="1" si="138">((((1+B2884)^(A2884/252))/((1+B2883)^(A2883/252)))^(252/1))-1</f>
        <v>0.12304024669037239</v>
      </c>
      <c r="E2884" s="32">
        <v>0.12012999883239672</v>
      </c>
      <c r="F2884" s="35">
        <f t="shared" ca="1" si="137"/>
        <v>2.9100005240145776E-3</v>
      </c>
    </row>
    <row r="2885" spans="1:6" x14ac:dyDescent="0.25">
      <c r="A2885" s="23">
        <v>2884</v>
      </c>
      <c r="B2885" s="7" cm="1">
        <f t="array" aca="1" ref="B2885" ca="1">interpolexp(A2885,serie_du,Taxas_DI)</f>
        <v>0.12303999944216493</v>
      </c>
      <c r="C2885" s="37">
        <f t="shared" ca="1" si="136"/>
        <v>3.7735086606747101</v>
      </c>
      <c r="D2885" s="36">
        <f t="shared" ca="1" si="138"/>
        <v>0.12304024666990565</v>
      </c>
      <c r="E2885" s="32">
        <v>0.12012999892518916</v>
      </c>
      <c r="F2885" s="35">
        <f t="shared" ca="1" si="137"/>
        <v>2.9100005169757637E-3</v>
      </c>
    </row>
    <row r="2886" spans="1:6" x14ac:dyDescent="0.25">
      <c r="A2886" s="23">
        <v>2885</v>
      </c>
      <c r="B2886" s="7" cm="1">
        <f t="array" aca="1" ref="B2886" ca="1">interpolexp(A2886,serie_du,Taxas_DI)</f>
        <v>0.12303999952787414</v>
      </c>
      <c r="C2886" s="37">
        <f t="shared" ca="1" si="136"/>
        <v>3.7752466644075655</v>
      </c>
      <c r="D2886" s="36">
        <f t="shared" ca="1" si="138"/>
        <v>0.12304024671326941</v>
      </c>
      <c r="E2886" s="32">
        <v>0.12012999901791499</v>
      </c>
      <c r="F2886" s="35">
        <f t="shared" ca="1" si="137"/>
        <v>2.9100005099591542E-3</v>
      </c>
    </row>
    <row r="2887" spans="1:6" x14ac:dyDescent="0.25">
      <c r="A2887" s="23">
        <v>2886</v>
      </c>
      <c r="B2887" s="7" cm="1">
        <f t="array" aca="1" ref="B2887" ca="1">interpolexp(A2887,serie_du,Taxas_DI)</f>
        <v>0.12303999961351675</v>
      </c>
      <c r="C2887" s="37">
        <f t="shared" ca="1" si="136"/>
        <v>3.7769854686304161</v>
      </c>
      <c r="D2887" s="36">
        <f t="shared" ca="1" si="138"/>
        <v>0.1230402466924585</v>
      </c>
      <c r="E2887" s="32">
        <v>0.120129999110552</v>
      </c>
      <c r="F2887" s="35">
        <f t="shared" ca="1" si="137"/>
        <v>2.9100005029647491E-3</v>
      </c>
    </row>
    <row r="2888" spans="1:6" x14ac:dyDescent="0.25">
      <c r="A2888" s="23">
        <v>2887</v>
      </c>
      <c r="B2888" s="7" cm="1">
        <f t="array" aca="1" ref="B2888" ca="1">interpolexp(A2888,serie_du,Taxas_DI)</f>
        <v>0.12303999969909274</v>
      </c>
      <c r="C2888" s="37">
        <f t="shared" ca="1" si="136"/>
        <v>3.7787250737119487</v>
      </c>
      <c r="D2888" s="36">
        <f t="shared" ca="1" si="138"/>
        <v>0.12304024667148039</v>
      </c>
      <c r="E2888" s="32">
        <v>0.1201299992031446</v>
      </c>
      <c r="F2888" s="35">
        <f t="shared" ca="1" si="137"/>
        <v>2.9100004959481396E-3</v>
      </c>
    </row>
    <row r="2889" spans="1:6" x14ac:dyDescent="0.25">
      <c r="A2889" s="23">
        <v>2888</v>
      </c>
      <c r="B2889" s="7" cm="1">
        <f t="array" aca="1" ref="B2889" ca="1">interpolexp(A2889,serie_du,Taxas_DI)</f>
        <v>0.12303999978462432</v>
      </c>
      <c r="C2889" s="37">
        <f t="shared" ca="1" si="136"/>
        <v>3.7804654800218751</v>
      </c>
      <c r="D2889" s="36">
        <f t="shared" ca="1" si="138"/>
        <v>0.12304024671433367</v>
      </c>
      <c r="E2889" s="32">
        <v>0.12012999929569279</v>
      </c>
      <c r="F2889" s="35">
        <f t="shared" ca="1" si="137"/>
        <v>2.9100004889315301E-3</v>
      </c>
    </row>
    <row r="2890" spans="1:6" x14ac:dyDescent="0.25">
      <c r="A2890" s="23">
        <v>2889</v>
      </c>
      <c r="B2890" s="7" cm="1">
        <f t="array" aca="1" ref="B2890" ca="1">interpolexp(A2890,serie_du,Taxas_DI)</f>
        <v>0.12303999987008929</v>
      </c>
      <c r="C2890" s="37">
        <f t="shared" ca="1" si="136"/>
        <v>3.782206687928368</v>
      </c>
      <c r="D2890" s="36">
        <f t="shared" ca="1" si="138"/>
        <v>0.12304024669296099</v>
      </c>
      <c r="E2890" s="32">
        <v>0.12012999938815216</v>
      </c>
      <c r="F2890" s="35">
        <f t="shared" ca="1" si="137"/>
        <v>2.910000481937125E-3</v>
      </c>
    </row>
    <row r="2891" spans="1:6" x14ac:dyDescent="0.25">
      <c r="A2891" s="23">
        <v>2890</v>
      </c>
      <c r="B2891" s="7" cm="1">
        <f t="array" aca="1" ref="B2891" ca="1">interpolexp(A2891,serie_du,Taxas_DI)</f>
        <v>0.12303999995548764</v>
      </c>
      <c r="C2891" s="37">
        <f t="shared" ca="1" si="136"/>
        <v>3.7839486978006245</v>
      </c>
      <c r="D2891" s="36">
        <f t="shared" ca="1" si="138"/>
        <v>0.12304024667141666</v>
      </c>
      <c r="E2891" s="32">
        <v>0.12012999948054492</v>
      </c>
      <c r="F2891" s="35">
        <f t="shared" ca="1" si="137"/>
        <v>2.91000047494272E-3</v>
      </c>
    </row>
    <row r="2892" spans="1:6" x14ac:dyDescent="0.25">
      <c r="A2892" s="23">
        <v>2891</v>
      </c>
      <c r="B2892" s="7" cm="1">
        <f t="array" aca="1" ref="B2892" ca="1">interpolexp(A2892,serie_du,Taxas_DI)</f>
        <v>0.12304000004081939</v>
      </c>
      <c r="C2892" s="37">
        <f t="shared" ca="1" si="136"/>
        <v>3.7856915100080091</v>
      </c>
      <c r="D2892" s="36">
        <f t="shared" ca="1" si="138"/>
        <v>0.12304024664951063</v>
      </c>
      <c r="E2892" s="32">
        <v>0.12012999957289328</v>
      </c>
      <c r="F2892" s="35">
        <f t="shared" ca="1" si="137"/>
        <v>2.9100004679261104E-3</v>
      </c>
    </row>
    <row r="2893" spans="1:6" x14ac:dyDescent="0.25">
      <c r="A2893" s="23">
        <v>2892</v>
      </c>
      <c r="B2893" s="7" cm="1">
        <f t="array" aca="1" ref="B2893" ca="1">interpolexp(A2893,serie_du,Taxas_DI)</f>
        <v>0.12304000012610672</v>
      </c>
      <c r="C2893" s="37">
        <f t="shared" ca="1" si="136"/>
        <v>3.787435124920921</v>
      </c>
      <c r="D2893" s="36">
        <f t="shared" ca="1" si="138"/>
        <v>0.12304024669188163</v>
      </c>
      <c r="E2893" s="32">
        <v>0.12012999966515281</v>
      </c>
      <c r="F2893" s="35">
        <f t="shared" ca="1" si="137"/>
        <v>2.9100004609539099E-3</v>
      </c>
    </row>
    <row r="2894" spans="1:6" x14ac:dyDescent="0.25">
      <c r="A2894" s="23">
        <v>2893</v>
      </c>
      <c r="B2894" s="7" cm="1">
        <f t="array" aca="1" ref="B2894" ca="1">interpolexp(A2894,serie_du,Taxas_DI)</f>
        <v>0.12304000021134964</v>
      </c>
      <c r="C2894" s="37">
        <f t="shared" ca="1" si="136"/>
        <v>3.7891795429090664</v>
      </c>
      <c r="D2894" s="36">
        <f t="shared" ca="1" si="138"/>
        <v>0.1230402467338545</v>
      </c>
      <c r="E2894" s="32">
        <v>0.12012999975736793</v>
      </c>
      <c r="F2894" s="35">
        <f t="shared" ca="1" si="137"/>
        <v>2.9100004539817093E-3</v>
      </c>
    </row>
    <row r="2895" spans="1:6" x14ac:dyDescent="0.25">
      <c r="A2895" s="23">
        <v>2894</v>
      </c>
      <c r="B2895" s="7" cm="1">
        <f t="array" aca="1" ref="B2895" ca="1">interpolexp(A2895,serie_du,Taxas_DI)</f>
        <v>0.12304000029650375</v>
      </c>
      <c r="C2895" s="37">
        <f t="shared" ca="1" si="136"/>
        <v>3.7909247643406054</v>
      </c>
      <c r="D2895" s="36">
        <f t="shared" ca="1" si="138"/>
        <v>0.12304024664737412</v>
      </c>
      <c r="E2895" s="32">
        <v>0.12012999984951644</v>
      </c>
      <c r="F2895" s="35">
        <f t="shared" ca="1" si="137"/>
        <v>2.9100004469873042E-3</v>
      </c>
    </row>
    <row r="2896" spans="1:6" x14ac:dyDescent="0.25">
      <c r="A2896" s="23">
        <v>2895</v>
      </c>
      <c r="B2896" s="7" cm="1">
        <f t="array" aca="1" ref="B2896" ca="1">interpolexp(A2896,serie_du,Taxas_DI)</f>
        <v>0.12304000038161345</v>
      </c>
      <c r="C2896" s="37">
        <f t="shared" ca="1" si="136"/>
        <v>3.7926707895873046</v>
      </c>
      <c r="D2896" s="36">
        <f t="shared" ca="1" si="138"/>
        <v>0.12304024668905433</v>
      </c>
      <c r="E2896" s="32">
        <v>0.12012999994159834</v>
      </c>
      <c r="F2896" s="35">
        <f t="shared" ca="1" si="137"/>
        <v>2.9100004400151036E-3</v>
      </c>
    </row>
    <row r="2897" spans="1:6" x14ac:dyDescent="0.25">
      <c r="A2897" s="23">
        <v>2896</v>
      </c>
      <c r="B2897" s="7" cm="1">
        <f t="array" aca="1" ref="B2897" ca="1">interpolexp(A2897,serie_du,Taxas_DI)</f>
        <v>0.12304000046665653</v>
      </c>
      <c r="C2897" s="37">
        <f t="shared" ca="1" si="136"/>
        <v>3.7944176190185246</v>
      </c>
      <c r="D2897" s="36">
        <f t="shared" ca="1" si="138"/>
        <v>0.12304024666652502</v>
      </c>
      <c r="E2897" s="32">
        <v>0.12013000003361363</v>
      </c>
      <c r="F2897" s="35">
        <f t="shared" ca="1" si="137"/>
        <v>2.910000433042903E-3</v>
      </c>
    </row>
    <row r="2898" spans="1:6" x14ac:dyDescent="0.25">
      <c r="A2898" s="23">
        <v>2897</v>
      </c>
      <c r="B2898" s="7" cm="1">
        <f t="array" aca="1" ref="B2898" ca="1">interpolexp(A2898,serie_du,Taxas_DI)</f>
        <v>0.1230400005516552</v>
      </c>
      <c r="C2898" s="37">
        <f t="shared" ca="1" si="136"/>
        <v>3.7961652530055132</v>
      </c>
      <c r="D2898" s="36">
        <f t="shared" ca="1" si="138"/>
        <v>0.12304024670776048</v>
      </c>
      <c r="E2898" s="32">
        <v>0.1201300001255623</v>
      </c>
      <c r="F2898" s="35">
        <f t="shared" ca="1" si="137"/>
        <v>2.9100004260929069E-3</v>
      </c>
    </row>
    <row r="2899" spans="1:6" x14ac:dyDescent="0.25">
      <c r="A2899" s="23">
        <v>2898</v>
      </c>
      <c r="B2899" s="7" cm="1">
        <f t="array" aca="1" ref="B2899" ca="1">interpolexp(A2899,serie_du,Taxas_DI)</f>
        <v>0.12304000063658727</v>
      </c>
      <c r="C2899" s="37">
        <f t="shared" ca="1" si="136"/>
        <v>3.7979136919179717</v>
      </c>
      <c r="D2899" s="36">
        <f t="shared" ca="1" si="138"/>
        <v>0.1230402466848517</v>
      </c>
      <c r="E2899" s="32">
        <v>0.12013000021746656</v>
      </c>
      <c r="F2899" s="35">
        <f t="shared" ca="1" si="137"/>
        <v>2.9100004191207063E-3</v>
      </c>
    </row>
    <row r="2900" spans="1:6" x14ac:dyDescent="0.25">
      <c r="A2900" s="23">
        <v>2899</v>
      </c>
      <c r="B2900" s="7" cm="1">
        <f t="array" aca="1" ref="B2900" ca="1">interpolexp(A2900,serie_du,Taxas_DI)</f>
        <v>0.12304000072145271</v>
      </c>
      <c r="C2900" s="37">
        <f t="shared" ca="1" si="136"/>
        <v>3.7996629361266283</v>
      </c>
      <c r="D2900" s="36">
        <f t="shared" ca="1" si="138"/>
        <v>0.12304024666163138</v>
      </c>
      <c r="E2900" s="32">
        <v>0.120130000309282</v>
      </c>
      <c r="F2900" s="35">
        <f t="shared" ca="1" si="137"/>
        <v>2.9100004121707101E-3</v>
      </c>
    </row>
    <row r="2901" spans="1:6" x14ac:dyDescent="0.25">
      <c r="A2901" s="23">
        <v>2900</v>
      </c>
      <c r="B2901" s="7" cm="1">
        <f t="array" aca="1" ref="B2901" ca="1">interpolexp(A2901,serie_du,Taxas_DI)</f>
        <v>0.12304000080627375</v>
      </c>
      <c r="C2901" s="37">
        <f t="shared" ca="1" si="136"/>
        <v>3.8014129860032471</v>
      </c>
      <c r="D2901" s="36">
        <f t="shared" ca="1" si="138"/>
        <v>0.12304024670243141</v>
      </c>
      <c r="E2901" s="32">
        <v>0.12013000040105304</v>
      </c>
      <c r="F2901" s="35">
        <f t="shared" ca="1" si="137"/>
        <v>2.910000405220714E-3</v>
      </c>
    </row>
    <row r="2902" spans="1:6" x14ac:dyDescent="0.25">
      <c r="A2902" s="23">
        <v>2901</v>
      </c>
      <c r="B2902" s="7" cm="1">
        <f t="array" aca="1" ref="B2902" ca="1">interpolexp(A2902,serie_du,Taxas_DI)</f>
        <v>0.12304000089102818</v>
      </c>
      <c r="C2902" s="37">
        <f t="shared" ca="1" si="136"/>
        <v>3.8031638419180385</v>
      </c>
      <c r="D2902" s="36">
        <f t="shared" ca="1" si="138"/>
        <v>0.12304024667889957</v>
      </c>
      <c r="E2902" s="32">
        <v>0.12013000049275746</v>
      </c>
      <c r="F2902" s="35">
        <f t="shared" ca="1" si="137"/>
        <v>2.9100003982707179E-3</v>
      </c>
    </row>
    <row r="2903" spans="1:6" x14ac:dyDescent="0.25">
      <c r="A2903" s="23">
        <v>2902</v>
      </c>
      <c r="B2903" s="7" cm="1">
        <f t="array" aca="1" ref="B2903" ca="1">interpolexp(A2903,serie_du,Taxas_DI)</f>
        <v>0.1230400009757382</v>
      </c>
      <c r="C2903" s="37">
        <f t="shared" ca="1" si="136"/>
        <v>3.8049155042431093</v>
      </c>
      <c r="D2903" s="36">
        <f t="shared" ca="1" si="138"/>
        <v>0.12304024671947666</v>
      </c>
      <c r="E2903" s="32">
        <v>0.12013000058439527</v>
      </c>
      <c r="F2903" s="35">
        <f t="shared" ca="1" si="137"/>
        <v>2.9100003913429262E-3</v>
      </c>
    </row>
    <row r="2904" spans="1:6" x14ac:dyDescent="0.25">
      <c r="A2904" s="23">
        <v>2903</v>
      </c>
      <c r="B2904" s="7" cm="1">
        <f t="array" aca="1" ref="B2904" ca="1">interpolexp(A2904,serie_du,Taxas_DI)</f>
        <v>0.1230400010603816</v>
      </c>
      <c r="C2904" s="37">
        <f t="shared" ca="1" si="136"/>
        <v>3.8066679733490094</v>
      </c>
      <c r="D2904" s="36">
        <f t="shared" ca="1" si="138"/>
        <v>0.1230402466955971</v>
      </c>
      <c r="E2904" s="32">
        <v>0.12013000067596646</v>
      </c>
      <c r="F2904" s="35">
        <f t="shared" ca="1" si="137"/>
        <v>2.9100003844151345E-3</v>
      </c>
    </row>
    <row r="2905" spans="1:6" x14ac:dyDescent="0.25">
      <c r="A2905" s="23">
        <v>2904</v>
      </c>
      <c r="B2905" s="7" cm="1">
        <f t="array" aca="1" ref="B2905" ca="1">interpolexp(A2905,serie_du,Taxas_DI)</f>
        <v>0.12304000114495839</v>
      </c>
      <c r="C2905" s="37">
        <f t="shared" ca="1" si="136"/>
        <v>3.808421249607322</v>
      </c>
      <c r="D2905" s="36">
        <f t="shared" ca="1" si="138"/>
        <v>0.12304024667141666</v>
      </c>
      <c r="E2905" s="32">
        <v>0.12013000076747105</v>
      </c>
      <c r="F2905" s="35">
        <f t="shared" ca="1" si="137"/>
        <v>2.9100003774873429E-3</v>
      </c>
    </row>
    <row r="2906" spans="1:6" x14ac:dyDescent="0.25">
      <c r="A2906" s="23">
        <v>2905</v>
      </c>
      <c r="B2906" s="7" cm="1">
        <f t="array" aca="1" ref="B2906" ca="1">interpolexp(A2906,serie_du,Taxas_DI)</f>
        <v>0.12304000122946857</v>
      </c>
      <c r="C2906" s="37">
        <f t="shared" ca="1" si="136"/>
        <v>3.8101753333898034</v>
      </c>
      <c r="D2906" s="36">
        <f t="shared" ca="1" si="138"/>
        <v>0.12304024664706237</v>
      </c>
      <c r="E2906" s="32">
        <v>0.12013000085893122</v>
      </c>
      <c r="F2906" s="35">
        <f t="shared" ca="1" si="137"/>
        <v>2.9100003705373467E-3</v>
      </c>
    </row>
    <row r="2907" spans="1:6" x14ac:dyDescent="0.25">
      <c r="A2907" s="23">
        <v>2906</v>
      </c>
      <c r="B2907" s="7" cm="1">
        <f t="array" aca="1" ref="B2907" ca="1">interpolexp(A2907,serie_du,Taxas_DI)</f>
        <v>0.12304000131393433</v>
      </c>
      <c r="C2907" s="37">
        <f t="shared" ca="1" si="136"/>
        <v>3.8119302250692479</v>
      </c>
      <c r="D2907" s="36">
        <f t="shared" ca="1" si="138"/>
        <v>0.12304024668691849</v>
      </c>
      <c r="E2907" s="32">
        <v>0.12013000095030257</v>
      </c>
      <c r="F2907" s="35">
        <f t="shared" ca="1" si="137"/>
        <v>2.9100003636317595E-3</v>
      </c>
    </row>
    <row r="2908" spans="1:6" x14ac:dyDescent="0.25">
      <c r="A2908" s="23">
        <v>2907</v>
      </c>
      <c r="B2908" s="7" cm="1">
        <f t="array" aca="1" ref="B2908" ca="1">interpolexp(A2908,serie_du,Taxas_DI)</f>
        <v>0.12304000139835569</v>
      </c>
      <c r="C2908" s="37">
        <f t="shared" ca="1" si="136"/>
        <v>3.8136859250177584</v>
      </c>
      <c r="D2908" s="36">
        <f t="shared" ca="1" si="138"/>
        <v>0.12304024672689584</v>
      </c>
      <c r="E2908" s="32">
        <v>0.12013000104162952</v>
      </c>
      <c r="F2908" s="35">
        <f t="shared" ca="1" si="137"/>
        <v>2.9100003567261723E-3</v>
      </c>
    </row>
    <row r="2909" spans="1:6" x14ac:dyDescent="0.25">
      <c r="A2909" s="23">
        <v>2908</v>
      </c>
      <c r="B2909" s="7" cm="1">
        <f t="array" aca="1" ref="B2909" ca="1">interpolexp(A2909,serie_du,Taxas_DI)</f>
        <v>0.12304000148268823</v>
      </c>
      <c r="C2909" s="37">
        <f t="shared" ca="1" si="136"/>
        <v>3.8154424336058628</v>
      </c>
      <c r="D2909" s="36">
        <f t="shared" ca="1" si="138"/>
        <v>0.12304024663735791</v>
      </c>
      <c r="E2909" s="32">
        <v>0.12013000113288985</v>
      </c>
      <c r="F2909" s="35">
        <f t="shared" ca="1" si="137"/>
        <v>2.9100003497983806E-3</v>
      </c>
    </row>
    <row r="2910" spans="1:6" x14ac:dyDescent="0.25">
      <c r="A2910" s="23">
        <v>2909</v>
      </c>
      <c r="B2910" s="7" cm="1">
        <f t="array" aca="1" ref="B2910" ca="1">interpolexp(A2910,serie_du,Taxas_DI)</f>
        <v>0.12304000156699857</v>
      </c>
      <c r="C2910" s="37">
        <f t="shared" ca="1" si="136"/>
        <v>3.8171997512086153</v>
      </c>
      <c r="D2910" s="36">
        <f t="shared" ca="1" si="138"/>
        <v>0.12304024674150682</v>
      </c>
      <c r="E2910" s="32">
        <v>0.12013000122408357</v>
      </c>
      <c r="F2910" s="35">
        <f t="shared" ca="1" si="137"/>
        <v>2.9100003429149979E-3</v>
      </c>
    </row>
    <row r="2911" spans="1:6" x14ac:dyDescent="0.25">
      <c r="A2911" s="23">
        <v>2910</v>
      </c>
      <c r="B2911" s="7" cm="1">
        <f t="array" aca="1" ref="B2911" ca="1">interpolexp(A2911,serie_du,Taxas_DI)</f>
        <v>0.12304000165122009</v>
      </c>
      <c r="C2911" s="37">
        <f t="shared" ca="1" si="136"/>
        <v>3.8189578781960147</v>
      </c>
      <c r="D2911" s="36">
        <f t="shared" ca="1" si="138"/>
        <v>0.12304024665163849</v>
      </c>
      <c r="E2911" s="32">
        <v>0.12013000131523288</v>
      </c>
      <c r="F2911" s="35">
        <f t="shared" ca="1" si="137"/>
        <v>2.9100003359872062E-3</v>
      </c>
    </row>
    <row r="2912" spans="1:6" x14ac:dyDescent="0.25">
      <c r="A2912" s="23">
        <v>2911</v>
      </c>
      <c r="B2912" s="7" cm="1">
        <f t="array" aca="1" ref="B2912" ca="1">interpolexp(A2912,serie_du,Taxas_DI)</f>
        <v>0.1230400017353972</v>
      </c>
      <c r="C2912" s="37">
        <f t="shared" ca="1" si="136"/>
        <v>3.8207168149425907</v>
      </c>
      <c r="D2912" s="36">
        <f t="shared" ca="1" si="138"/>
        <v>0.12304024669087155</v>
      </c>
      <c r="E2912" s="32">
        <v>0.12013000140629337</v>
      </c>
      <c r="F2912" s="35">
        <f t="shared" ca="1" si="137"/>
        <v>2.9100003291038234E-3</v>
      </c>
    </row>
    <row r="2913" spans="1:6" x14ac:dyDescent="0.25">
      <c r="A2913" s="23">
        <v>2912</v>
      </c>
      <c r="B2913" s="7" cm="1">
        <f t="array" aca="1" ref="B2913" ca="1">interpolexp(A2913,serie_du,Taxas_DI)</f>
        <v>0.12304000181950769</v>
      </c>
      <c r="C2913" s="37">
        <f t="shared" ca="1" si="136"/>
        <v>3.8224765618204244</v>
      </c>
      <c r="D2913" s="36">
        <f t="shared" ca="1" si="138"/>
        <v>0.12304024666507685</v>
      </c>
      <c r="E2913" s="32">
        <v>0.12013000149730946</v>
      </c>
      <c r="F2913" s="35">
        <f t="shared" ca="1" si="137"/>
        <v>2.9100003221982362E-3</v>
      </c>
    </row>
    <row r="2914" spans="1:6" x14ac:dyDescent="0.25">
      <c r="A2914" s="23">
        <v>2913</v>
      </c>
      <c r="B2914" s="7" cm="1">
        <f t="array" aca="1" ref="B2914" ca="1">interpolexp(A2914,serie_du,Taxas_DI)</f>
        <v>0.12304000190357378</v>
      </c>
      <c r="C2914" s="37">
        <f t="shared" ca="1" si="136"/>
        <v>3.8242371192035218</v>
      </c>
      <c r="D2914" s="36">
        <f t="shared" ca="1" si="138"/>
        <v>0.1230402467041265</v>
      </c>
      <c r="E2914" s="32">
        <v>0.12013000158825893</v>
      </c>
      <c r="F2914" s="35">
        <f t="shared" ca="1" si="137"/>
        <v>2.9100003153148535E-3</v>
      </c>
    </row>
    <row r="2915" spans="1:6" x14ac:dyDescent="0.25">
      <c r="A2915" s="23">
        <v>2914</v>
      </c>
      <c r="B2915" s="7" cm="1">
        <f t="array" aca="1" ref="B2915" ca="1">interpolexp(A2915,serie_du,Taxas_DI)</f>
        <v>0.12304000198757326</v>
      </c>
      <c r="C2915" s="37">
        <f t="shared" ca="1" si="136"/>
        <v>3.825998487464306</v>
      </c>
      <c r="D2915" s="36">
        <f t="shared" ca="1" si="138"/>
        <v>0.12304024667807711</v>
      </c>
      <c r="E2915" s="32">
        <v>0.12013000167914178</v>
      </c>
      <c r="F2915" s="35">
        <f t="shared" ca="1" si="137"/>
        <v>2.9100003084314707E-3</v>
      </c>
    </row>
    <row r="2916" spans="1:6" x14ac:dyDescent="0.25">
      <c r="A2916" s="23">
        <v>2915</v>
      </c>
      <c r="B2916" s="7" cm="1">
        <f t="array" aca="1" ref="B2916" ca="1">interpolexp(A2916,serie_du,Taxas_DI)</f>
        <v>0.12304000207152832</v>
      </c>
      <c r="C2916" s="37">
        <f t="shared" ca="1" si="136"/>
        <v>3.8277606669771251</v>
      </c>
      <c r="D2916" s="36">
        <f t="shared" ca="1" si="138"/>
        <v>0.12304024671665026</v>
      </c>
      <c r="E2916" s="32">
        <v>0.12013000176995803</v>
      </c>
      <c r="F2916" s="35">
        <f t="shared" ca="1" si="137"/>
        <v>2.9100003015702924E-3</v>
      </c>
    </row>
    <row r="2917" spans="1:6" x14ac:dyDescent="0.25">
      <c r="A2917" s="23">
        <v>2916</v>
      </c>
      <c r="B2917" s="7" cm="1">
        <f t="array" aca="1" ref="B2917" ca="1">interpolexp(A2917,serie_du,Taxas_DI)</f>
        <v>0.12304000215541677</v>
      </c>
      <c r="C2917" s="37">
        <f t="shared" ca="1" si="136"/>
        <v>3.8295236581147472</v>
      </c>
      <c r="D2917" s="36">
        <f t="shared" ca="1" si="138"/>
        <v>0.12304024669024471</v>
      </c>
      <c r="E2917" s="32">
        <v>0.12013000186072986</v>
      </c>
      <c r="F2917" s="35">
        <f t="shared" ca="1" si="137"/>
        <v>2.9100002946869097E-3</v>
      </c>
    </row>
    <row r="2918" spans="1:6" x14ac:dyDescent="0.25">
      <c r="A2918" s="23">
        <v>2917</v>
      </c>
      <c r="B2918" s="7" cm="1">
        <f t="array" aca="1" ref="B2918" ca="1">interpolexp(A2918,serie_du,Taxas_DI)</f>
        <v>0.12304000223923861</v>
      </c>
      <c r="C2918" s="37">
        <f t="shared" ca="1" si="136"/>
        <v>3.8312874612509891</v>
      </c>
      <c r="D2918" s="36">
        <f t="shared" ca="1" si="138"/>
        <v>0.12304024666375968</v>
      </c>
      <c r="E2918" s="32">
        <v>0.12013000195141288</v>
      </c>
      <c r="F2918" s="35">
        <f t="shared" ca="1" si="137"/>
        <v>2.9100002878257314E-3</v>
      </c>
    </row>
    <row r="2919" spans="1:6" x14ac:dyDescent="0.25">
      <c r="A2919" s="23">
        <v>2918</v>
      </c>
      <c r="B2919" s="7" cm="1">
        <f t="array" aca="1" ref="B2919" ca="1">interpolexp(A2919,serie_du,Taxas_DI)</f>
        <v>0.12304000232301604</v>
      </c>
      <c r="C2919" s="37">
        <f t="shared" ca="1" si="136"/>
        <v>3.8330520767607155</v>
      </c>
      <c r="D2919" s="36">
        <f t="shared" ca="1" si="138"/>
        <v>0.12304024670180458</v>
      </c>
      <c r="E2919" s="32">
        <v>0.12013000204205149</v>
      </c>
      <c r="F2919" s="35">
        <f t="shared" ca="1" si="137"/>
        <v>2.9100002809645531E-3</v>
      </c>
    </row>
    <row r="2920" spans="1:6" x14ac:dyDescent="0.25">
      <c r="A2920" s="23">
        <v>2919</v>
      </c>
      <c r="B2920" s="7" cm="1">
        <f t="array" aca="1" ref="B2920" ca="1">interpolexp(A2920,serie_du,Taxas_DI)</f>
        <v>0.12304000240672686</v>
      </c>
      <c r="C2920" s="37">
        <f t="shared" ca="1" si="136"/>
        <v>3.8348175050172095</v>
      </c>
      <c r="D2920" s="36">
        <f t="shared" ca="1" si="138"/>
        <v>0.12304024667493052</v>
      </c>
      <c r="E2920" s="32">
        <v>0.12013000213262348</v>
      </c>
      <c r="F2920" s="35">
        <f t="shared" ca="1" si="137"/>
        <v>2.9100002741033748E-3</v>
      </c>
    </row>
    <row r="2921" spans="1:6" x14ac:dyDescent="0.25">
      <c r="A2921" s="23">
        <v>2920</v>
      </c>
      <c r="B2921" s="7" cm="1">
        <f t="array" aca="1" ref="B2921" ca="1">interpolexp(A2921,serie_du,Taxas_DI)</f>
        <v>0.12304000249037106</v>
      </c>
      <c r="C2921" s="37">
        <f t="shared" ca="1" si="136"/>
        <v>3.8365837463948029</v>
      </c>
      <c r="D2921" s="36">
        <f t="shared" ca="1" si="138"/>
        <v>0.1230402466477496</v>
      </c>
      <c r="E2921" s="32">
        <v>0.12013000222312886</v>
      </c>
      <c r="F2921" s="35">
        <f t="shared" ca="1" si="137"/>
        <v>2.9100002672421965E-3</v>
      </c>
    </row>
    <row r="2922" spans="1:6" x14ac:dyDescent="0.25">
      <c r="A2922" s="23">
        <v>2921</v>
      </c>
      <c r="B2922" s="7" cm="1">
        <f t="array" aca="1" ref="B2922" ca="1">interpolexp(A2922,serie_du,Taxas_DI)</f>
        <v>0.12304000257397085</v>
      </c>
      <c r="C2922" s="37">
        <f t="shared" ca="1" si="136"/>
        <v>3.8383508012688825</v>
      </c>
      <c r="D2922" s="36">
        <f t="shared" ca="1" si="138"/>
        <v>0.12304024668548053</v>
      </c>
      <c r="E2922" s="32">
        <v>0.12013000231358983</v>
      </c>
      <c r="F2922" s="35">
        <f t="shared" ca="1" si="137"/>
        <v>2.9100002603810182E-3</v>
      </c>
    </row>
    <row r="2923" spans="1:6" x14ac:dyDescent="0.25">
      <c r="A2923" s="23">
        <v>2922</v>
      </c>
      <c r="B2923" s="7" cm="1">
        <f t="array" aca="1" ref="B2923" ca="1">interpolexp(A2923,serie_du,Taxas_DI)</f>
        <v>0.12304000265752624</v>
      </c>
      <c r="C2923" s="37">
        <f t="shared" ca="1" si="136"/>
        <v>3.8401186700141237</v>
      </c>
      <c r="D2923" s="36">
        <f t="shared" ca="1" si="138"/>
        <v>0.12304024672280112</v>
      </c>
      <c r="E2923" s="32">
        <v>0.12013000240398419</v>
      </c>
      <c r="F2923" s="35">
        <f t="shared" ca="1" si="137"/>
        <v>2.9100002535420444E-3</v>
      </c>
    </row>
    <row r="2924" spans="1:6" x14ac:dyDescent="0.25">
      <c r="A2924" s="23">
        <v>2923</v>
      </c>
      <c r="B2924" s="7" cm="1">
        <f t="array" aca="1" ref="B2924" ca="1">interpolexp(A2924,serie_du,Taxas_DI)</f>
        <v>0.12304000274101501</v>
      </c>
      <c r="C2924" s="37">
        <f t="shared" ca="1" si="136"/>
        <v>3.8418873530045001</v>
      </c>
      <c r="D2924" s="36">
        <f t="shared" ca="1" si="138"/>
        <v>0.1230402466952778</v>
      </c>
      <c r="E2924" s="32">
        <v>0.12013000249431194</v>
      </c>
      <c r="F2924" s="35">
        <f t="shared" ca="1" si="137"/>
        <v>2.9100002467030706E-3</v>
      </c>
    </row>
    <row r="2925" spans="1:6" x14ac:dyDescent="0.25">
      <c r="A2925" s="23">
        <v>2924</v>
      </c>
      <c r="B2925" s="7" cm="1">
        <f t="array" aca="1" ref="B2925" ca="1">interpolexp(A2925,serie_du,Taxas_DI)</f>
        <v>0.12304000282443717</v>
      </c>
      <c r="C2925" s="37">
        <f t="shared" ca="1" si="136"/>
        <v>3.8436568506150319</v>
      </c>
      <c r="D2925" s="36">
        <f t="shared" ca="1" si="138"/>
        <v>0.12304024666740165</v>
      </c>
      <c r="E2925" s="32">
        <v>0.12013000258457307</v>
      </c>
      <c r="F2925" s="35">
        <f t="shared" ca="1" si="137"/>
        <v>2.9100002398640967E-3</v>
      </c>
    </row>
    <row r="2926" spans="1:6" x14ac:dyDescent="0.25">
      <c r="A2926" s="23">
        <v>2925</v>
      </c>
      <c r="B2926" s="7" cm="1">
        <f t="array" aca="1" ref="B2926" ca="1">interpolexp(A2926,serie_du,Taxas_DI)</f>
        <v>0.12304000290781492</v>
      </c>
      <c r="C2926" s="37">
        <f t="shared" ca="1" si="136"/>
        <v>3.8454271632217973</v>
      </c>
      <c r="D2926" s="36">
        <f t="shared" ca="1" si="138"/>
        <v>0.12304024670438007</v>
      </c>
      <c r="E2926" s="32">
        <v>0.12013000267476759</v>
      </c>
      <c r="F2926" s="35">
        <f t="shared" ca="1" si="137"/>
        <v>2.9100002330473274E-3</v>
      </c>
    </row>
    <row r="2927" spans="1:6" x14ac:dyDescent="0.25">
      <c r="A2927" s="23">
        <v>2926</v>
      </c>
      <c r="B2927" s="7" cm="1">
        <f t="array" aca="1" ref="B2927" ca="1">interpolexp(A2927,serie_du,Taxas_DI)</f>
        <v>0.12304000299112605</v>
      </c>
      <c r="C2927" s="37">
        <f t="shared" ca="1" si="136"/>
        <v>3.8471982911992821</v>
      </c>
      <c r="D2927" s="36">
        <f t="shared" ca="1" si="138"/>
        <v>0.12304024667619817</v>
      </c>
      <c r="E2927" s="32">
        <v>0.1201300027649177</v>
      </c>
      <c r="F2927" s="35">
        <f t="shared" ca="1" si="137"/>
        <v>2.9100002262083535E-3</v>
      </c>
    </row>
    <row r="2928" spans="1:6" x14ac:dyDescent="0.25">
      <c r="A2928" s="23">
        <v>2927</v>
      </c>
      <c r="B2928" s="7" cm="1">
        <f t="array" aca="1" ref="B2928" ca="1">interpolexp(A2928,serie_du,Taxas_DI)</f>
        <v>0.12304000307437057</v>
      </c>
      <c r="C2928" s="37">
        <f t="shared" ca="1" si="136"/>
        <v>3.848970234923029</v>
      </c>
      <c r="D2928" s="36">
        <f t="shared" ca="1" si="138"/>
        <v>0.12304024664793944</v>
      </c>
      <c r="E2928" s="32">
        <v>0.12013000285497899</v>
      </c>
      <c r="F2928" s="35">
        <f t="shared" ca="1" si="137"/>
        <v>2.9100002193915842E-3</v>
      </c>
    </row>
    <row r="2929" spans="1:6" x14ac:dyDescent="0.25">
      <c r="A2929" s="23">
        <v>2928</v>
      </c>
      <c r="B2929" s="7" cm="1">
        <f t="array" aca="1" ref="B2929" ca="1">interpolexp(A2929,serie_du,Taxas_DI)</f>
        <v>0.12304000315757069</v>
      </c>
      <c r="C2929" s="37">
        <f t="shared" ca="1" si="136"/>
        <v>3.8507429947696337</v>
      </c>
      <c r="D2929" s="36">
        <f t="shared" ca="1" si="138"/>
        <v>0.12304024668429037</v>
      </c>
      <c r="E2929" s="32">
        <v>0.12013000294499587</v>
      </c>
      <c r="F2929" s="35">
        <f t="shared" ca="1" si="137"/>
        <v>2.9100002125748148E-3</v>
      </c>
    </row>
    <row r="2930" spans="1:6" x14ac:dyDescent="0.25">
      <c r="A2930" s="23">
        <v>2929</v>
      </c>
      <c r="B2930" s="7" cm="1">
        <f t="array" aca="1" ref="B2930" ca="1">interpolexp(A2930,serie_du,Taxas_DI)</f>
        <v>0.12304000324072639</v>
      </c>
      <c r="C2930" s="37">
        <f t="shared" ca="1" si="136"/>
        <v>3.8525165711149878</v>
      </c>
      <c r="D2930" s="36">
        <f t="shared" ca="1" si="138"/>
        <v>0.12304024672072655</v>
      </c>
      <c r="E2930" s="32">
        <v>0.12013000303496835</v>
      </c>
      <c r="F2930" s="35">
        <f t="shared" ca="1" si="137"/>
        <v>2.9100002057580454E-3</v>
      </c>
    </row>
    <row r="2931" spans="1:6" x14ac:dyDescent="0.25">
      <c r="A2931" s="23">
        <v>2930</v>
      </c>
      <c r="B2931" s="7" cm="1">
        <f t="array" aca="1" ref="B2931" ca="1">interpolexp(A2931,serie_du,Taxas_DI)</f>
        <v>0.12304000332381548</v>
      </c>
      <c r="C2931" s="37">
        <f t="shared" ca="1" si="136"/>
        <v>3.8542909643342642</v>
      </c>
      <c r="D2931" s="36">
        <f t="shared" ca="1" si="138"/>
        <v>0.1230402466917575</v>
      </c>
      <c r="E2931" s="32">
        <v>0.120130003124852</v>
      </c>
      <c r="F2931" s="35">
        <f t="shared" ca="1" si="137"/>
        <v>2.9100001989634805E-3</v>
      </c>
    </row>
    <row r="2932" spans="1:6" x14ac:dyDescent="0.25">
      <c r="A2932" s="23">
        <v>2931</v>
      </c>
      <c r="B2932" s="7" cm="1">
        <f t="array" aca="1" ref="B2932" ca="1">interpolexp(A2932,serie_du,Taxas_DI)</f>
        <v>0.12304000340683796</v>
      </c>
      <c r="C2932" s="37">
        <f t="shared" ca="1" si="136"/>
        <v>3.8560661748036984</v>
      </c>
      <c r="D2932" s="36">
        <f t="shared" ca="1" si="138"/>
        <v>0.12304024666275915</v>
      </c>
      <c r="E2932" s="32">
        <v>0.12013000321469125</v>
      </c>
      <c r="F2932" s="35">
        <f t="shared" ca="1" si="137"/>
        <v>2.9100001921467111E-3</v>
      </c>
    </row>
    <row r="2933" spans="1:6" x14ac:dyDescent="0.25">
      <c r="A2933" s="23">
        <v>2932</v>
      </c>
      <c r="B2933" s="7" cm="1">
        <f t="array" aca="1" ref="B2933" ca="1">interpolexp(A2933,serie_du,Taxas_DI)</f>
        <v>0.12304000348981603</v>
      </c>
      <c r="C2933" s="37">
        <f t="shared" ca="1" si="136"/>
        <v>3.8578422029005819</v>
      </c>
      <c r="D2933" s="36">
        <f t="shared" ca="1" si="138"/>
        <v>0.12304024669853986</v>
      </c>
      <c r="E2933" s="32">
        <v>0.12013000330446388</v>
      </c>
      <c r="F2933" s="35">
        <f t="shared" ca="1" si="137"/>
        <v>2.9100001853521462E-3</v>
      </c>
    </row>
    <row r="2934" spans="1:6" x14ac:dyDescent="0.25">
      <c r="A2934" s="23">
        <v>2933</v>
      </c>
      <c r="B2934" s="7" cm="1">
        <f t="array" aca="1" ref="B2934" ca="1">interpolexp(A2934,serie_du,Taxas_DI)</f>
        <v>0.12304000357272749</v>
      </c>
      <c r="C2934" s="37">
        <f t="shared" ca="1" si="136"/>
        <v>3.8596190490006093</v>
      </c>
      <c r="D2934" s="36">
        <f t="shared" ca="1" si="138"/>
        <v>0.12304024666915625</v>
      </c>
      <c r="E2934" s="32">
        <v>0.1201300033941699</v>
      </c>
      <c r="F2934" s="35">
        <f t="shared" ca="1" si="137"/>
        <v>2.9100001785575813E-3</v>
      </c>
    </row>
    <row r="2935" spans="1:6" x14ac:dyDescent="0.25">
      <c r="A2935" s="23">
        <v>2934</v>
      </c>
      <c r="B2935" s="7" cm="1">
        <f t="array" aca="1" ref="B2935" ca="1">interpolexp(A2935,serie_du,Taxas_DI)</f>
        <v>0.12304000365559453</v>
      </c>
      <c r="C2935" s="37">
        <f t="shared" ca="1" si="136"/>
        <v>3.861396713481422</v>
      </c>
      <c r="D2935" s="36">
        <f t="shared" ca="1" si="138"/>
        <v>0.12304024670462943</v>
      </c>
      <c r="E2935" s="32">
        <v>0.12013000348383152</v>
      </c>
      <c r="F2935" s="35">
        <f t="shared" ca="1" si="137"/>
        <v>2.9100001717630164E-3</v>
      </c>
    </row>
    <row r="2936" spans="1:6" x14ac:dyDescent="0.25">
      <c r="A2936" s="23">
        <v>2935</v>
      </c>
      <c r="B2936" s="7" cm="1">
        <f t="array" aca="1" ref="B2936" ca="1">interpolexp(A2936,serie_du,Taxas_DI)</f>
        <v>0.12304000373839497</v>
      </c>
      <c r="C2936" s="37">
        <f t="shared" ca="1" si="136"/>
        <v>3.8631751967190606</v>
      </c>
      <c r="D2936" s="36">
        <f t="shared" ca="1" si="138"/>
        <v>0.12304024667493052</v>
      </c>
      <c r="E2936" s="32">
        <v>0.12013000357340431</v>
      </c>
      <c r="F2936" s="35">
        <f t="shared" ca="1" si="137"/>
        <v>2.9100001649906559E-3</v>
      </c>
    </row>
    <row r="2937" spans="1:6" x14ac:dyDescent="0.25">
      <c r="A2937" s="23">
        <v>2936</v>
      </c>
      <c r="B2937" s="7" cm="1">
        <f t="array" aca="1" ref="B2937" ca="1">interpolexp(A2937,serie_du,Taxas_DI)</f>
        <v>0.12304000382115099</v>
      </c>
      <c r="C2937" s="37">
        <f t="shared" ca="1" si="136"/>
        <v>3.8649544990915139</v>
      </c>
      <c r="D2937" s="36">
        <f t="shared" ca="1" si="138"/>
        <v>0.12304024671013081</v>
      </c>
      <c r="E2937" s="32">
        <v>0.12013000366293269</v>
      </c>
      <c r="F2937" s="35">
        <f t="shared" ca="1" si="137"/>
        <v>2.9100001582182955E-3</v>
      </c>
    </row>
    <row r="2938" spans="1:6" x14ac:dyDescent="0.25">
      <c r="A2938" s="23">
        <v>2937</v>
      </c>
      <c r="B2938" s="7" cm="1">
        <f t="array" aca="1" ref="B2938" ca="1">interpolexp(A2938,serie_du,Taxas_DI)</f>
        <v>0.1230400039038404</v>
      </c>
      <c r="C2938" s="37">
        <f t="shared" ca="1" si="136"/>
        <v>3.8667346209751678</v>
      </c>
      <c r="D2938" s="36">
        <f t="shared" ca="1" si="138"/>
        <v>0.123040246680026</v>
      </c>
      <c r="E2938" s="32">
        <v>0.12013000375239447</v>
      </c>
      <c r="F2938" s="35">
        <f t="shared" ca="1" si="137"/>
        <v>2.910000151445935E-3</v>
      </c>
    </row>
    <row r="2939" spans="1:6" x14ac:dyDescent="0.25">
      <c r="A2939" s="23">
        <v>2938</v>
      </c>
      <c r="B2939" s="7" cm="1">
        <f t="array" aca="1" ref="B2939" ca="1">interpolexp(A2939,serie_du,Taxas_DI)</f>
        <v>0.1230400039864632</v>
      </c>
      <c r="C2939" s="37">
        <f t="shared" ca="1" si="136"/>
        <v>3.8685155627474686</v>
      </c>
      <c r="D2939" s="36">
        <f t="shared" ca="1" si="138"/>
        <v>0.12304024664963586</v>
      </c>
      <c r="E2939" s="32">
        <v>0.12013000384181183</v>
      </c>
      <c r="F2939" s="35">
        <f t="shared" ca="1" si="137"/>
        <v>2.9100001446513701E-3</v>
      </c>
    </row>
    <row r="2940" spans="1:6" x14ac:dyDescent="0.25">
      <c r="A2940" s="23">
        <v>2939</v>
      </c>
      <c r="B2940" s="7" cm="1">
        <f t="array" aca="1" ref="B2940" ca="1">interpolexp(A2940,serie_du,Taxas_DI)</f>
        <v>0.12304000406904159</v>
      </c>
      <c r="C2940" s="37">
        <f t="shared" ca="1" si="136"/>
        <v>3.8702973247869319</v>
      </c>
      <c r="D2940" s="36">
        <f t="shared" ca="1" si="138"/>
        <v>0.12304024668435254</v>
      </c>
      <c r="E2940" s="32">
        <v>0.12013000393116258</v>
      </c>
      <c r="F2940" s="35">
        <f t="shared" ca="1" si="137"/>
        <v>2.9100001378790097E-3</v>
      </c>
    </row>
    <row r="2941" spans="1:6" x14ac:dyDescent="0.25">
      <c r="A2941" s="23">
        <v>2940</v>
      </c>
      <c r="B2941" s="7" cm="1">
        <f t="array" aca="1" ref="B2941" ca="1">interpolexp(A2941,serie_du,Taxas_DI)</f>
        <v>0.12304000415157557</v>
      </c>
      <c r="C2941" s="37">
        <f t="shared" ca="1" si="136"/>
        <v>3.8720799074713543</v>
      </c>
      <c r="D2941" s="36">
        <f t="shared" ca="1" si="138"/>
        <v>0.12304024671897706</v>
      </c>
      <c r="E2941" s="32">
        <v>0.12013000402044671</v>
      </c>
      <c r="F2941" s="35">
        <f t="shared" ca="1" si="137"/>
        <v>2.9100001311288537E-3</v>
      </c>
    </row>
    <row r="2942" spans="1:6" x14ac:dyDescent="0.25">
      <c r="A2942" s="23">
        <v>2941</v>
      </c>
      <c r="B2942" s="7" cm="1">
        <f t="array" aca="1" ref="B2942" ca="1">interpolexp(A2942,serie_du,Taxas_DI)</f>
        <v>0.12304000423404293</v>
      </c>
      <c r="C2942" s="37">
        <f t="shared" ca="1" si="136"/>
        <v>3.8738633111778142</v>
      </c>
      <c r="D2942" s="36">
        <f t="shared" ca="1" si="138"/>
        <v>0.12304024668817792</v>
      </c>
      <c r="E2942" s="32">
        <v>0.12013000410966423</v>
      </c>
      <c r="F2942" s="35">
        <f t="shared" ca="1" si="137"/>
        <v>2.9100001243786977E-3</v>
      </c>
    </row>
    <row r="2943" spans="1:6" x14ac:dyDescent="0.25">
      <c r="A2943" s="23">
        <v>2942</v>
      </c>
      <c r="B2943" s="7" cm="1">
        <f t="array" aca="1" ref="B2943" ca="1">interpolexp(A2943,serie_du,Taxas_DI)</f>
        <v>0.12304000431644369</v>
      </c>
      <c r="C2943" s="37">
        <f t="shared" ca="1" si="136"/>
        <v>3.8756475362844527</v>
      </c>
      <c r="D2943" s="36">
        <f t="shared" ca="1" si="138"/>
        <v>0.12304024665696978</v>
      </c>
      <c r="E2943" s="32">
        <v>0.12013000419881514</v>
      </c>
      <c r="F2943" s="35">
        <f t="shared" ca="1" si="137"/>
        <v>2.9100001176285417E-3</v>
      </c>
    </row>
    <row r="2944" spans="1:6" x14ac:dyDescent="0.25">
      <c r="A2944" s="23">
        <v>2943</v>
      </c>
      <c r="B2944" s="7" cm="1">
        <f t="array" aca="1" ref="B2944" ca="1">interpolexp(A2944,serie_du,Taxas_DI)</f>
        <v>0.12304000439880003</v>
      </c>
      <c r="C2944" s="37">
        <f t="shared" ca="1" si="136"/>
        <v>3.8774325831704863</v>
      </c>
      <c r="D2944" s="36">
        <f t="shared" ca="1" si="138"/>
        <v>0.12304024669124702</v>
      </c>
      <c r="E2944" s="32">
        <v>0.12013000428792164</v>
      </c>
      <c r="F2944" s="35">
        <f t="shared" ca="1" si="137"/>
        <v>2.9100001108783857E-3</v>
      </c>
    </row>
    <row r="2945" spans="1:6" x14ac:dyDescent="0.25">
      <c r="A2945" s="23">
        <v>2944</v>
      </c>
      <c r="B2945" s="7" cm="1">
        <f t="array" aca="1" ref="B2945" ca="1">interpolexp(A2945,serie_du,Taxas_DI)</f>
        <v>0.12304000448111196</v>
      </c>
      <c r="C2945" s="37">
        <f t="shared" ca="1" si="136"/>
        <v>3.8792184522144058</v>
      </c>
      <c r="D2945" s="36">
        <f t="shared" ca="1" si="138"/>
        <v>0.12304024672511771</v>
      </c>
      <c r="E2945" s="32">
        <v>0.12013000437696153</v>
      </c>
      <c r="F2945" s="35">
        <f t="shared" ca="1" si="137"/>
        <v>2.9100001041504342E-3</v>
      </c>
    </row>
    <row r="2946" spans="1:6" x14ac:dyDescent="0.25">
      <c r="A2946" s="23">
        <v>2945</v>
      </c>
      <c r="B2946" s="7" cm="1">
        <f t="array" aca="1" ref="B2946" ca="1">interpolexp(A2946,serie_du,Taxas_DI)</f>
        <v>0.12304000456335729</v>
      </c>
      <c r="C2946" s="37">
        <f t="shared" ref="C2946:C3009" ca="1" si="139">(1+B2946)^(A2946/252)</f>
        <v>3.8810051437939852</v>
      </c>
      <c r="D2946" s="36">
        <f t="shared" ca="1" si="138"/>
        <v>0.12304024669365199</v>
      </c>
      <c r="E2946" s="32">
        <v>0.12013000446595701</v>
      </c>
      <c r="F2946" s="35">
        <f t="shared" ref="F2946:F3009" ca="1" si="140">B2946-E2946</f>
        <v>2.9100000974002782E-3</v>
      </c>
    </row>
    <row r="2947" spans="1:6" x14ac:dyDescent="0.25">
      <c r="A2947" s="23">
        <v>2946</v>
      </c>
      <c r="B2947" s="7" cm="1">
        <f t="array" aca="1" ref="B2947" ca="1">interpolexp(A2947,serie_du,Taxas_DI)</f>
        <v>0.12304000464553599</v>
      </c>
      <c r="C2947" s="37">
        <f t="shared" ca="1" si="139"/>
        <v>3.882792658288063</v>
      </c>
      <c r="D2947" s="36">
        <f t="shared" ca="1" si="138"/>
        <v>0.12304024666182301</v>
      </c>
      <c r="E2947" s="32">
        <v>0.12013000455486367</v>
      </c>
      <c r="F2947" s="35">
        <f t="shared" ca="1" si="140"/>
        <v>2.9100000906723267E-3</v>
      </c>
    </row>
    <row r="2948" spans="1:6" x14ac:dyDescent="0.25">
      <c r="A2948" s="23">
        <v>2947</v>
      </c>
      <c r="B2948" s="7" cm="1">
        <f t="array" aca="1" ref="B2948" ca="1">interpolexp(A2948,serie_du,Taxas_DI)</f>
        <v>0.12304000472767029</v>
      </c>
      <c r="C2948" s="37">
        <f t="shared" ca="1" si="139"/>
        <v>3.8845809960765538</v>
      </c>
      <c r="D2948" s="36">
        <f t="shared" ref="D2948:D3011" ca="1" si="141">((((1+B2948)^(A2948/252))/((1+B2947)^(A2947/252)))^(252/1))-1</f>
        <v>0.12304024669533953</v>
      </c>
      <c r="E2948" s="32">
        <v>0.12013000464372592</v>
      </c>
      <c r="F2948" s="35">
        <f t="shared" ca="1" si="140"/>
        <v>2.9100000839443751E-3</v>
      </c>
    </row>
    <row r="2949" spans="1:6" x14ac:dyDescent="0.25">
      <c r="A2949" s="23">
        <v>2948</v>
      </c>
      <c r="B2949" s="7" cm="1">
        <f t="array" aca="1" ref="B2949" ca="1">interpolexp(A2949,serie_du,Taxas_DI)</f>
        <v>0.12304000480973798</v>
      </c>
      <c r="C2949" s="37">
        <f t="shared" ca="1" si="139"/>
        <v>3.8863701575377503</v>
      </c>
      <c r="D2949" s="36">
        <f t="shared" ca="1" si="141"/>
        <v>0.12304024666326097</v>
      </c>
      <c r="E2949" s="32">
        <v>0.12013000473252156</v>
      </c>
      <c r="F2949" s="35">
        <f t="shared" ca="1" si="140"/>
        <v>2.9100000772164236E-3</v>
      </c>
    </row>
    <row r="2950" spans="1:6" x14ac:dyDescent="0.25">
      <c r="A2950" s="23">
        <v>2949</v>
      </c>
      <c r="B2950" s="7" cm="1">
        <f t="array" aca="1" ref="B2950" ca="1">interpolexp(A2950,serie_du,Taxas_DI)</f>
        <v>0.12304000489176126</v>
      </c>
      <c r="C2950" s="37">
        <f t="shared" ca="1" si="139"/>
        <v>3.8881601430519157</v>
      </c>
      <c r="D2950" s="36">
        <f t="shared" ca="1" si="141"/>
        <v>0.12304024669634894</v>
      </c>
      <c r="E2950" s="32">
        <v>0.12013000482127278</v>
      </c>
      <c r="F2950" s="35">
        <f t="shared" ca="1" si="140"/>
        <v>2.9100000704884721E-3</v>
      </c>
    </row>
    <row r="2951" spans="1:6" x14ac:dyDescent="0.25">
      <c r="A2951" s="23">
        <v>2950</v>
      </c>
      <c r="B2951" s="7" cm="1">
        <f t="array" aca="1" ref="B2951" ca="1">interpolexp(A2951,serie_du,Taxas_DI)</f>
        <v>0.12304000497371792</v>
      </c>
      <c r="C2951" s="37">
        <f t="shared" ca="1" si="139"/>
        <v>3.8899509529976921</v>
      </c>
      <c r="D2951" s="36">
        <f t="shared" ca="1" si="141"/>
        <v>0.12304024666401303</v>
      </c>
      <c r="E2951" s="32">
        <v>0.1201300049099574</v>
      </c>
      <c r="F2951" s="35">
        <f t="shared" ca="1" si="140"/>
        <v>2.9100000637605206E-3</v>
      </c>
    </row>
    <row r="2952" spans="1:6" x14ac:dyDescent="0.25">
      <c r="A2952" s="23">
        <v>2951</v>
      </c>
      <c r="B2952" s="7" cm="1">
        <f t="array" aca="1" ref="B2952" ca="1">interpolexp(A2952,serie_du,Taxas_DI)</f>
        <v>0.12304000505563017</v>
      </c>
      <c r="C2952" s="37">
        <f t="shared" ca="1" si="139"/>
        <v>3.8917425877556928</v>
      </c>
      <c r="D2952" s="36">
        <f t="shared" ca="1" si="141"/>
        <v>0.12304024669679015</v>
      </c>
      <c r="E2952" s="32">
        <v>0.1201300049985754</v>
      </c>
      <c r="F2952" s="35">
        <f t="shared" ca="1" si="140"/>
        <v>2.9100000570547735E-3</v>
      </c>
    </row>
    <row r="2953" spans="1:6" x14ac:dyDescent="0.25">
      <c r="A2953" s="23">
        <v>2952</v>
      </c>
      <c r="B2953" s="7" cm="1">
        <f t="array" aca="1" ref="B2953" ca="1">interpolexp(A2953,serie_du,Taxas_DI)</f>
        <v>0.12304000513747582</v>
      </c>
      <c r="C2953" s="37">
        <f t="shared" ca="1" si="139"/>
        <v>3.893535047704908</v>
      </c>
      <c r="D2953" s="36">
        <f t="shared" ca="1" si="141"/>
        <v>0.12304024666401303</v>
      </c>
      <c r="E2953" s="32">
        <v>0.12013000508712679</v>
      </c>
      <c r="F2953" s="35">
        <f t="shared" ca="1" si="140"/>
        <v>2.9100000503490264E-3</v>
      </c>
    </row>
    <row r="2954" spans="1:6" x14ac:dyDescent="0.25">
      <c r="A2954" s="23">
        <v>2953</v>
      </c>
      <c r="B2954" s="7" cm="1">
        <f t="array" aca="1" ref="B2954" ca="1">interpolexp(A2954,serie_du,Taxas_DI)</f>
        <v>0.12304000521927705</v>
      </c>
      <c r="C2954" s="37">
        <f t="shared" ca="1" si="139"/>
        <v>3.895328333226304</v>
      </c>
      <c r="D2954" s="36">
        <f t="shared" ca="1" si="141"/>
        <v>0.12304024669659896</v>
      </c>
      <c r="E2954" s="32">
        <v>0.12013000517563377</v>
      </c>
      <c r="F2954" s="35">
        <f t="shared" ca="1" si="140"/>
        <v>2.9100000436432794E-3</v>
      </c>
    </row>
    <row r="2955" spans="1:6" x14ac:dyDescent="0.25">
      <c r="A2955" s="23">
        <v>2954</v>
      </c>
      <c r="B2955" s="7" cm="1">
        <f t="array" aca="1" ref="B2955" ca="1">interpolexp(A2955,serie_du,Taxas_DI)</f>
        <v>0.12304000530103387</v>
      </c>
      <c r="C2955" s="37">
        <f t="shared" ca="1" si="139"/>
        <v>3.8971224447001198</v>
      </c>
      <c r="D2955" s="36">
        <f t="shared" ca="1" si="141"/>
        <v>0.12304024672889913</v>
      </c>
      <c r="E2955" s="32">
        <v>0.12013000526407414</v>
      </c>
      <c r="F2955" s="35">
        <f t="shared" ca="1" si="140"/>
        <v>2.9100000369597367E-3</v>
      </c>
    </row>
    <row r="2956" spans="1:6" x14ac:dyDescent="0.25">
      <c r="A2956" s="23">
        <v>2955</v>
      </c>
      <c r="B2956" s="7" cm="1">
        <f t="array" aca="1" ref="B2956" ca="1">interpolexp(A2956,serie_du,Taxas_DI)</f>
        <v>0.12304000538270188</v>
      </c>
      <c r="C2956" s="37">
        <f t="shared" ca="1" si="139"/>
        <v>3.8989173825049668</v>
      </c>
      <c r="D2956" s="36">
        <f t="shared" ca="1" si="141"/>
        <v>0.12304024663008084</v>
      </c>
      <c r="E2956" s="32">
        <v>0.12013000535244789</v>
      </c>
      <c r="F2956" s="35">
        <f t="shared" ca="1" si="140"/>
        <v>2.9100000302539897E-3</v>
      </c>
    </row>
    <row r="2957" spans="1:6" x14ac:dyDescent="0.25">
      <c r="A2957" s="23">
        <v>2956</v>
      </c>
      <c r="B2957" s="7" cm="1">
        <f t="array" aca="1" ref="B2957" ca="1">interpolexp(A2957,serie_du,Taxas_DI)</f>
        <v>0.12304000546434768</v>
      </c>
      <c r="C2957" s="37">
        <f t="shared" ca="1" si="139"/>
        <v>3.9007131470241414</v>
      </c>
      <c r="D2957" s="36">
        <f t="shared" ca="1" si="141"/>
        <v>0.12304024672764857</v>
      </c>
      <c r="E2957" s="32">
        <v>0.12013000544077723</v>
      </c>
      <c r="F2957" s="35">
        <f t="shared" ca="1" si="140"/>
        <v>2.9100000235704471E-3</v>
      </c>
    </row>
    <row r="2958" spans="1:6" x14ac:dyDescent="0.25">
      <c r="A2958" s="23">
        <v>2957</v>
      </c>
      <c r="B2958" s="7" cm="1">
        <f t="array" aca="1" ref="B2958" ca="1">interpolexp(A2958,serie_du,Taxas_DI)</f>
        <v>0.12304000554592687</v>
      </c>
      <c r="C2958" s="37">
        <f t="shared" ca="1" si="139"/>
        <v>3.9025097386366059</v>
      </c>
      <c r="D2958" s="36">
        <f t="shared" ca="1" si="141"/>
        <v>0.12304024669408786</v>
      </c>
      <c r="E2958" s="32">
        <v>0.12013000552901776</v>
      </c>
      <c r="F2958" s="35">
        <f t="shared" ca="1" si="140"/>
        <v>2.9100000169091089E-3</v>
      </c>
    </row>
    <row r="2959" spans="1:6" x14ac:dyDescent="0.25">
      <c r="A2959" s="23">
        <v>2958</v>
      </c>
      <c r="B2959" s="7" cm="1">
        <f t="array" aca="1" ref="B2959" ca="1">interpolexp(A2959,serie_du,Taxas_DI)</f>
        <v>0.12304000562743944</v>
      </c>
      <c r="C2959" s="37">
        <f t="shared" ca="1" si="139"/>
        <v>3.9043071577232964</v>
      </c>
      <c r="D2959" s="36">
        <f t="shared" ca="1" si="141"/>
        <v>0.12304024666012303</v>
      </c>
      <c r="E2959" s="32">
        <v>0.12013000561723608</v>
      </c>
      <c r="F2959" s="35">
        <f t="shared" ca="1" si="140"/>
        <v>2.9100000102033619E-3</v>
      </c>
    </row>
    <row r="2960" spans="1:6" x14ac:dyDescent="0.25">
      <c r="A2960" s="23">
        <v>2959</v>
      </c>
      <c r="B2960" s="7" cm="1">
        <f t="array" aca="1" ref="B2960" ca="1">interpolexp(A2960,serie_du,Taxas_DI)</f>
        <v>0.12304000570890761</v>
      </c>
      <c r="C2960" s="37">
        <f t="shared" ca="1" si="139"/>
        <v>3.906105404666238</v>
      </c>
      <c r="D2960" s="36">
        <f t="shared" ca="1" si="141"/>
        <v>0.12304024669181945</v>
      </c>
      <c r="E2960" s="32">
        <v>0.12013000570536558</v>
      </c>
      <c r="F2960" s="35">
        <f t="shared" ca="1" si="140"/>
        <v>2.9100000035420237E-3</v>
      </c>
    </row>
    <row r="2961" spans="1:6" x14ac:dyDescent="0.25">
      <c r="A2961" s="23">
        <v>2960</v>
      </c>
      <c r="B2961" s="7" cm="1">
        <f t="array" aca="1" ref="B2961" ca="1">interpolexp(A2961,serie_du,Taxas_DI)</f>
        <v>0.12304000579030916</v>
      </c>
      <c r="C2961" s="37">
        <f t="shared" ca="1" si="139"/>
        <v>3.9079044798458136</v>
      </c>
      <c r="D2961" s="36">
        <f t="shared" ca="1" si="141"/>
        <v>0.12304024665747693</v>
      </c>
      <c r="E2961" s="32">
        <v>0.12013000579345068</v>
      </c>
      <c r="F2961" s="35">
        <f t="shared" ca="1" si="140"/>
        <v>2.9099999968584811E-3</v>
      </c>
    </row>
    <row r="2962" spans="1:6" x14ac:dyDescent="0.25">
      <c r="A2962" s="23">
        <v>2961</v>
      </c>
      <c r="B2962" s="7" cm="1">
        <f t="array" aca="1" ref="B2962" ca="1">interpolexp(A2962,serie_du,Taxas_DI)</f>
        <v>0.1230400058716663</v>
      </c>
      <c r="C2962" s="37">
        <f t="shared" ca="1" si="139"/>
        <v>3.9097043836443994</v>
      </c>
      <c r="D2962" s="36">
        <f t="shared" ca="1" si="141"/>
        <v>0.12304024668886893</v>
      </c>
      <c r="E2962" s="32">
        <v>0.12013000588146916</v>
      </c>
      <c r="F2962" s="35">
        <f t="shared" ca="1" si="140"/>
        <v>2.9099999901971429E-3</v>
      </c>
    </row>
    <row r="2963" spans="1:6" x14ac:dyDescent="0.25">
      <c r="A2963" s="23">
        <v>2962</v>
      </c>
      <c r="B2963" s="7" cm="1">
        <f t="array" aca="1" ref="B2963" ca="1">interpolexp(A2963,serie_du,Taxas_DI)</f>
        <v>0.12304000595297904</v>
      </c>
      <c r="C2963" s="37">
        <f t="shared" ca="1" si="139"/>
        <v>3.9115051164436387</v>
      </c>
      <c r="D2963" s="36">
        <f t="shared" ca="1" si="141"/>
        <v>0.12304024672004177</v>
      </c>
      <c r="E2963" s="32">
        <v>0.12013000596944323</v>
      </c>
      <c r="F2963" s="35">
        <f t="shared" ca="1" si="140"/>
        <v>2.9099999835358048E-3</v>
      </c>
    </row>
    <row r="2964" spans="1:6" x14ac:dyDescent="0.25">
      <c r="A2964" s="23">
        <v>2963</v>
      </c>
      <c r="B2964" s="7" cm="1">
        <f t="array" aca="1" ref="B2964" ca="1">interpolexp(A2964,serie_du,Taxas_DI)</f>
        <v>0.12304000603422516</v>
      </c>
      <c r="C2964" s="37">
        <f t="shared" ca="1" si="139"/>
        <v>3.913306678624441</v>
      </c>
      <c r="D2964" s="36">
        <f t="shared" ca="1" si="141"/>
        <v>0.12304024668523095</v>
      </c>
      <c r="E2964" s="32">
        <v>0.12013000605732849</v>
      </c>
      <c r="F2964" s="35">
        <f t="shared" ca="1" si="140"/>
        <v>2.9099999768966711E-3</v>
      </c>
    </row>
    <row r="2965" spans="1:6" x14ac:dyDescent="0.25">
      <c r="A2965" s="23">
        <v>2964</v>
      </c>
      <c r="B2965" s="7" cm="1">
        <f t="array" aca="1" ref="B2965" ca="1">interpolexp(A2965,serie_du,Taxas_DI)</f>
        <v>0.12304000611540467</v>
      </c>
      <c r="C2965" s="37">
        <f t="shared" ca="1" si="139"/>
        <v>3.9151090705688016</v>
      </c>
      <c r="D2965" s="36">
        <f t="shared" ca="1" si="141"/>
        <v>0.12304024665038882</v>
      </c>
      <c r="E2965" s="32">
        <v>0.12013000614516933</v>
      </c>
      <c r="F2965" s="35">
        <f t="shared" ca="1" si="140"/>
        <v>2.909999970235333E-3</v>
      </c>
    </row>
    <row r="2966" spans="1:6" x14ac:dyDescent="0.25">
      <c r="A2966" s="23">
        <v>2965</v>
      </c>
      <c r="B2966" s="7" cm="1">
        <f t="array" aca="1" ref="B2966" ca="1">interpolexp(A2966,serie_du,Taxas_DI)</f>
        <v>0.12304000619653976</v>
      </c>
      <c r="C2966" s="37">
        <f t="shared" ca="1" si="139"/>
        <v>3.9169122926597999</v>
      </c>
      <c r="D2966" s="36">
        <f t="shared" ca="1" si="141"/>
        <v>0.12304024668102764</v>
      </c>
      <c r="E2966" s="32">
        <v>0.12013000623296577</v>
      </c>
      <c r="F2966" s="35">
        <f t="shared" ca="1" si="140"/>
        <v>2.9099999635739948E-3</v>
      </c>
    </row>
    <row r="2967" spans="1:6" x14ac:dyDescent="0.25">
      <c r="A2967" s="23">
        <v>2966</v>
      </c>
      <c r="B2967" s="7" cm="1">
        <f t="array" aca="1" ref="B2967" ca="1">interpolexp(A2967,serie_du,Taxas_DI)</f>
        <v>0.12304000627763045</v>
      </c>
      <c r="C2967" s="37">
        <f t="shared" ca="1" si="139"/>
        <v>3.9187163452797846</v>
      </c>
      <c r="D2967" s="36">
        <f t="shared" ca="1" si="141"/>
        <v>0.12304024671163627</v>
      </c>
      <c r="E2967" s="32">
        <v>0.12013000632069559</v>
      </c>
      <c r="F2967" s="35">
        <f t="shared" ca="1" si="140"/>
        <v>2.9099999569348611E-3</v>
      </c>
    </row>
    <row r="2968" spans="1:6" x14ac:dyDescent="0.25">
      <c r="A2968" s="23">
        <v>2967</v>
      </c>
      <c r="B2968" s="7" cm="1">
        <f t="array" aca="1" ref="B2968" ca="1">interpolexp(A2968,serie_du,Taxas_DI)</f>
        <v>0.12304000635865453</v>
      </c>
      <c r="C2968" s="37">
        <f t="shared" ca="1" si="139"/>
        <v>3.9205212288103652</v>
      </c>
      <c r="D2968" s="36">
        <f t="shared" ca="1" si="141"/>
        <v>0.12304024667607205</v>
      </c>
      <c r="E2968" s="32">
        <v>0.1201300064083588</v>
      </c>
      <c r="F2968" s="35">
        <f t="shared" ca="1" si="140"/>
        <v>2.9099999502957274E-3</v>
      </c>
    </row>
    <row r="2969" spans="1:6" x14ac:dyDescent="0.25">
      <c r="A2969" s="23">
        <v>2968</v>
      </c>
      <c r="B2969" s="7" cm="1">
        <f t="array" aca="1" ref="B2969" ca="1">interpolexp(A2969,serie_du,Taxas_DI)</f>
        <v>0.1230400064396342</v>
      </c>
      <c r="C2969" s="37">
        <f t="shared" ca="1" si="139"/>
        <v>3.9223269436351544</v>
      </c>
      <c r="D2969" s="36">
        <f t="shared" ca="1" si="141"/>
        <v>0.12304024670632208</v>
      </c>
      <c r="E2969" s="32">
        <v>0.1201300064959554</v>
      </c>
      <c r="F2969" s="35">
        <f t="shared" ca="1" si="140"/>
        <v>2.9099999436787982E-3</v>
      </c>
    </row>
    <row r="2970" spans="1:6" x14ac:dyDescent="0.25">
      <c r="A2970" s="23">
        <v>2969</v>
      </c>
      <c r="B2970" s="7" cm="1">
        <f t="array" aca="1" ref="B2970" ca="1">interpolexp(A2970,serie_du,Taxas_DI)</f>
        <v>0.12304000652054725</v>
      </c>
      <c r="C2970" s="37">
        <f t="shared" ca="1" si="139"/>
        <v>3.9241334901361133</v>
      </c>
      <c r="D2970" s="36">
        <f t="shared" ca="1" si="141"/>
        <v>0.12304024667047786</v>
      </c>
      <c r="E2970" s="32">
        <v>0.12013000658350759</v>
      </c>
      <c r="F2970" s="35">
        <f t="shared" ca="1" si="140"/>
        <v>2.9099999370396645E-3</v>
      </c>
    </row>
    <row r="2971" spans="1:6" x14ac:dyDescent="0.25">
      <c r="A2971" s="23">
        <v>2970</v>
      </c>
      <c r="B2971" s="7" cm="1">
        <f t="array" aca="1" ref="B2971" ca="1">interpolexp(A2971,serie_du,Taxas_DI)</f>
        <v>0.1230400066014159</v>
      </c>
      <c r="C2971" s="37">
        <f t="shared" ca="1" si="139"/>
        <v>3.9259408686972099</v>
      </c>
      <c r="D2971" s="36">
        <f t="shared" ca="1" si="141"/>
        <v>0.12304024670055225</v>
      </c>
      <c r="E2971" s="32">
        <v>0.12013000667099316</v>
      </c>
      <c r="F2971" s="35">
        <f t="shared" ca="1" si="140"/>
        <v>2.9099999304227353E-3</v>
      </c>
    </row>
    <row r="2972" spans="1:6" x14ac:dyDescent="0.25">
      <c r="A2972" s="23">
        <v>2971</v>
      </c>
      <c r="B2972" s="7" cm="1">
        <f t="array" aca="1" ref="B2972" ca="1">interpolexp(A2972,serie_du,Taxas_DI)</f>
        <v>0.12304000668221793</v>
      </c>
      <c r="C2972" s="37">
        <f t="shared" ca="1" si="139"/>
        <v>3.9277490797007535</v>
      </c>
      <c r="D2972" s="36">
        <f t="shared" ca="1" si="141"/>
        <v>0.12304024666420088</v>
      </c>
      <c r="E2972" s="32">
        <v>0.12013000675843433</v>
      </c>
      <c r="F2972" s="35">
        <f t="shared" ca="1" si="140"/>
        <v>2.9099999237836016E-3</v>
      </c>
    </row>
    <row r="2973" spans="1:6" x14ac:dyDescent="0.25">
      <c r="A2973" s="23">
        <v>2972</v>
      </c>
      <c r="B2973" s="7" cm="1">
        <f t="array" aca="1" ref="B2973" ca="1">interpolexp(A2973,serie_du,Taxas_DI)</f>
        <v>0.12304000676297555</v>
      </c>
      <c r="C2973" s="37">
        <f t="shared" ca="1" si="139"/>
        <v>3.9295581235310677</v>
      </c>
      <c r="D2973" s="36">
        <f t="shared" ca="1" si="141"/>
        <v>0.12304024669396374</v>
      </c>
      <c r="E2973" s="32">
        <v>0.12013000684580888</v>
      </c>
      <c r="F2973" s="35">
        <f t="shared" ca="1" si="140"/>
        <v>2.9099999171666724E-3</v>
      </c>
    </row>
    <row r="2974" spans="1:6" x14ac:dyDescent="0.25">
      <c r="A2974" s="23">
        <v>2973</v>
      </c>
      <c r="B2974" s="7" cm="1">
        <f t="array" aca="1" ref="B2974" ca="1">interpolexp(A2974,serie_du,Taxas_DI)</f>
        <v>0.12304000684366656</v>
      </c>
      <c r="C2974" s="37">
        <f t="shared" ca="1" si="139"/>
        <v>3.931368000570814</v>
      </c>
      <c r="D2974" s="36">
        <f t="shared" ca="1" si="141"/>
        <v>0.12304024665735103</v>
      </c>
      <c r="E2974" s="32">
        <v>0.12013000693311682</v>
      </c>
      <c r="F2974" s="35">
        <f t="shared" ca="1" si="140"/>
        <v>2.9099999105497432E-3</v>
      </c>
    </row>
    <row r="2975" spans="1:6" x14ac:dyDescent="0.25">
      <c r="A2975" s="23">
        <v>2974</v>
      </c>
      <c r="B2975" s="7" cm="1">
        <f t="array" aca="1" ref="B2975" ca="1">interpolexp(A2975,serie_du,Taxas_DI)</f>
        <v>0.12304000692433537</v>
      </c>
      <c r="C2975" s="37">
        <f t="shared" ca="1" si="139"/>
        <v>3.9331787112055867</v>
      </c>
      <c r="D2975" s="36">
        <f t="shared" ca="1" si="141"/>
        <v>0.12304024675268987</v>
      </c>
      <c r="E2975" s="32">
        <v>0.12013000702035814</v>
      </c>
      <c r="F2975" s="35">
        <f t="shared" ca="1" si="140"/>
        <v>2.9099999039772229E-3</v>
      </c>
    </row>
    <row r="2976" spans="1:6" x14ac:dyDescent="0.25">
      <c r="A2976" s="23">
        <v>2975</v>
      </c>
      <c r="B2976" s="7" cm="1">
        <f t="array" aca="1" ref="B2976" ca="1">interpolexp(A2976,serie_du,Taxas_DI)</f>
        <v>0.12304000700491535</v>
      </c>
      <c r="C2976" s="37">
        <f t="shared" ca="1" si="139"/>
        <v>3.9349902558165675</v>
      </c>
      <c r="D2976" s="36">
        <f t="shared" ca="1" si="141"/>
        <v>0.12304024664982149</v>
      </c>
      <c r="E2976" s="32">
        <v>0.12013000710755506</v>
      </c>
      <c r="F2976" s="35">
        <f t="shared" ca="1" si="140"/>
        <v>2.9099998973602936E-3</v>
      </c>
    </row>
    <row r="2977" spans="1:6" x14ac:dyDescent="0.25">
      <c r="A2977" s="23">
        <v>2976</v>
      </c>
      <c r="B2977" s="7" cm="1">
        <f t="array" aca="1" ref="B2977" ca="1">interpolexp(A2977,serie_du,Taxas_DI)</f>
        <v>0.12304000708545093</v>
      </c>
      <c r="C2977" s="37">
        <f t="shared" ca="1" si="139"/>
        <v>3.936802634789704</v>
      </c>
      <c r="D2977" s="36">
        <f t="shared" ca="1" si="141"/>
        <v>0.12304024667889957</v>
      </c>
      <c r="E2977" s="32">
        <v>0.12013000719470757</v>
      </c>
      <c r="F2977" s="35">
        <f t="shared" ca="1" si="140"/>
        <v>2.9099998907433644E-3</v>
      </c>
    </row>
    <row r="2978" spans="1:6" x14ac:dyDescent="0.25">
      <c r="A2978" s="23">
        <v>2977</v>
      </c>
      <c r="B2978" s="7" cm="1">
        <f t="array" aca="1" ref="B2978" ca="1">interpolexp(A2978,serie_du,Taxas_DI)</f>
        <v>0.1230400071659421</v>
      </c>
      <c r="C2978" s="37">
        <f t="shared" ca="1" si="139"/>
        <v>3.9386158485092833</v>
      </c>
      <c r="D2978" s="36">
        <f t="shared" ca="1" si="141"/>
        <v>0.12304024670763614</v>
      </c>
      <c r="E2978" s="32">
        <v>0.12013000728177126</v>
      </c>
      <c r="F2978" s="35">
        <f t="shared" ca="1" si="140"/>
        <v>2.9099998841708441E-3</v>
      </c>
    </row>
    <row r="2979" spans="1:6" x14ac:dyDescent="0.25">
      <c r="A2979" s="23">
        <v>2978</v>
      </c>
      <c r="B2979" s="7" cm="1">
        <f t="array" aca="1" ref="B2979" ca="1">interpolexp(A2979,serie_du,Taxas_DI)</f>
        <v>0.12304000724636666</v>
      </c>
      <c r="C2979" s="37">
        <f t="shared" ca="1" si="139"/>
        <v>3.9404298973588543</v>
      </c>
      <c r="D2979" s="36">
        <f t="shared" ca="1" si="141"/>
        <v>0.12304024667041569</v>
      </c>
      <c r="E2979" s="32">
        <v>0.12013000736879054</v>
      </c>
      <c r="F2979" s="35">
        <f t="shared" ca="1" si="140"/>
        <v>2.9099998775761193E-3</v>
      </c>
    </row>
    <row r="2980" spans="1:6" x14ac:dyDescent="0.25">
      <c r="A2980" s="23">
        <v>2979</v>
      </c>
      <c r="B2980" s="7" cm="1">
        <f t="array" aca="1" ref="B2980" ca="1">interpolexp(A2980,serie_du,Taxas_DI)</f>
        <v>0.1230400073267468</v>
      </c>
      <c r="C2980" s="37">
        <f t="shared" ca="1" si="139"/>
        <v>3.9422447817239741</v>
      </c>
      <c r="D2980" s="36">
        <f t="shared" ca="1" si="141"/>
        <v>0.12304024669872793</v>
      </c>
      <c r="E2980" s="32">
        <v>0.12013000745576541</v>
      </c>
      <c r="F2980" s="35">
        <f t="shared" ca="1" si="140"/>
        <v>2.9099998709813946E-3</v>
      </c>
    </row>
    <row r="2981" spans="1:6" x14ac:dyDescent="0.25">
      <c r="A2981" s="23">
        <v>2980</v>
      </c>
      <c r="B2981" s="7" cm="1">
        <f t="array" aca="1" ref="B2981" ca="1">interpolexp(A2981,serie_du,Taxas_DI)</f>
        <v>0.12304000740706034</v>
      </c>
      <c r="C2981" s="37">
        <f t="shared" ca="1" si="139"/>
        <v>3.9440605019885466</v>
      </c>
      <c r="D2981" s="36">
        <f t="shared" ca="1" si="141"/>
        <v>0.12304024666112423</v>
      </c>
      <c r="E2981" s="32">
        <v>0.12013000754267367</v>
      </c>
      <c r="F2981" s="35">
        <f t="shared" ca="1" si="140"/>
        <v>2.9099998643866698E-3</v>
      </c>
    </row>
    <row r="2982" spans="1:6" x14ac:dyDescent="0.25">
      <c r="A2982" s="23">
        <v>2981</v>
      </c>
      <c r="B2982" s="7" cm="1">
        <f t="array" aca="1" ref="B2982" ca="1">interpolexp(A2982,serie_du,Taxas_DI)</f>
        <v>0.12304000748732946</v>
      </c>
      <c r="C2982" s="37">
        <f t="shared" ca="1" si="139"/>
        <v>3.9458770585384872</v>
      </c>
      <c r="D2982" s="36">
        <f t="shared" ca="1" si="141"/>
        <v>0.12304024668930769</v>
      </c>
      <c r="E2982" s="32">
        <v>0.12013000762951531</v>
      </c>
      <c r="F2982" s="35">
        <f t="shared" ca="1" si="140"/>
        <v>2.9099998578141495E-3</v>
      </c>
    </row>
    <row r="2983" spans="1:6" x14ac:dyDescent="0.25">
      <c r="A2983" s="23">
        <v>2982</v>
      </c>
      <c r="B2983" s="7" cm="1">
        <f t="array" aca="1" ref="B2983" ca="1">interpolexp(A2983,serie_du,Taxas_DI)</f>
        <v>0.12304000756755418</v>
      </c>
      <c r="C2983" s="37">
        <f t="shared" ca="1" si="139"/>
        <v>3.9476944517589732</v>
      </c>
      <c r="D2983" s="36">
        <f t="shared" ca="1" si="141"/>
        <v>0.123040246717534</v>
      </c>
      <c r="E2983" s="32">
        <v>0.12013000771629034</v>
      </c>
      <c r="F2983" s="35">
        <f t="shared" ca="1" si="140"/>
        <v>2.9099998512638336E-3</v>
      </c>
    </row>
    <row r="2984" spans="1:6" x14ac:dyDescent="0.25">
      <c r="A2984" s="23">
        <v>2983</v>
      </c>
      <c r="B2984" s="7" cm="1">
        <f t="array" aca="1" ref="B2984" ca="1">interpolexp(A2984,serie_du,Taxas_DI)</f>
        <v>0.12304000764771228</v>
      </c>
      <c r="C2984" s="37">
        <f t="shared" ca="1" si="139"/>
        <v>3.9495126820344297</v>
      </c>
      <c r="D2984" s="36">
        <f t="shared" ca="1" si="141"/>
        <v>0.12304024667914848</v>
      </c>
      <c r="E2984" s="32">
        <v>0.12013000780302097</v>
      </c>
      <c r="F2984" s="35">
        <f t="shared" ca="1" si="140"/>
        <v>2.9099998446913133E-3</v>
      </c>
    </row>
    <row r="2985" spans="1:6" x14ac:dyDescent="0.25">
      <c r="A2985" s="23">
        <v>2984</v>
      </c>
      <c r="B2985" s="7" cm="1">
        <f t="array" aca="1" ref="B2985" ca="1">interpolexp(A2985,serie_du,Taxas_DI)</f>
        <v>0.12304000772780377</v>
      </c>
      <c r="C2985" s="37">
        <f t="shared" ca="1" si="139"/>
        <v>3.9513317497503873</v>
      </c>
      <c r="D2985" s="36">
        <f t="shared" ca="1" si="141"/>
        <v>0.12304024664074631</v>
      </c>
      <c r="E2985" s="32">
        <v>0.12013000788968498</v>
      </c>
      <c r="F2985" s="35">
        <f t="shared" ca="1" si="140"/>
        <v>2.909999838118793E-3</v>
      </c>
    </row>
    <row r="2986" spans="1:6" x14ac:dyDescent="0.25">
      <c r="A2986" s="23">
        <v>2985</v>
      </c>
      <c r="B2986" s="7" cm="1">
        <f t="array" aca="1" ref="B2986" ca="1">interpolexp(A2986,serie_du,Taxas_DI)</f>
        <v>0.12304000780787305</v>
      </c>
      <c r="C2986" s="37">
        <f t="shared" ca="1" si="139"/>
        <v>3.9531516552944006</v>
      </c>
      <c r="D2986" s="36">
        <f t="shared" ca="1" si="141"/>
        <v>0.12304024673461056</v>
      </c>
      <c r="E2986" s="32">
        <v>0.12013000797630458</v>
      </c>
      <c r="F2986" s="35">
        <f t="shared" ca="1" si="140"/>
        <v>2.9099998315684772E-3</v>
      </c>
    </row>
    <row r="2987" spans="1:6" x14ac:dyDescent="0.25">
      <c r="A2987" s="23">
        <v>2986</v>
      </c>
      <c r="B2987" s="7" cm="1">
        <f t="array" aca="1" ref="B2987" ca="1">interpolexp(A2987,serie_du,Taxas_DI)</f>
        <v>0.12304000788787572</v>
      </c>
      <c r="C2987" s="37">
        <f t="shared" ca="1" si="139"/>
        <v>3.9549723990505048</v>
      </c>
      <c r="D2987" s="36">
        <f t="shared" ca="1" si="141"/>
        <v>0.12304024669585045</v>
      </c>
      <c r="E2987" s="32">
        <v>0.12013000806285756</v>
      </c>
      <c r="F2987" s="35">
        <f t="shared" ca="1" si="140"/>
        <v>2.9099998250181613E-3</v>
      </c>
    </row>
    <row r="2988" spans="1:6" x14ac:dyDescent="0.25">
      <c r="A2988" s="23">
        <v>2987</v>
      </c>
      <c r="B2988" s="7" cm="1">
        <f t="array" aca="1" ref="B2988" ca="1">interpolexp(A2988,serie_du,Taxas_DI)</f>
        <v>0.12304000796781178</v>
      </c>
      <c r="C2988" s="37">
        <f t="shared" ca="1" si="139"/>
        <v>3.9567939814047608</v>
      </c>
      <c r="D2988" s="36">
        <f t="shared" ca="1" si="141"/>
        <v>0.1230402466568441</v>
      </c>
      <c r="E2988" s="32">
        <v>0.12013000814934394</v>
      </c>
      <c r="F2988" s="35">
        <f t="shared" ca="1" si="140"/>
        <v>2.9099998184678455E-3</v>
      </c>
    </row>
    <row r="2989" spans="1:6" x14ac:dyDescent="0.25">
      <c r="A2989" s="23">
        <v>2988</v>
      </c>
      <c r="B2989" s="7" cm="1">
        <f t="array" aca="1" ref="B2989" ca="1">interpolexp(A2989,serie_du,Taxas_DI)</f>
        <v>0.12304000804770343</v>
      </c>
      <c r="C2989" s="37">
        <f t="shared" ca="1" si="139"/>
        <v>3.9586164027443362</v>
      </c>
      <c r="D2989" s="36">
        <f t="shared" ca="1" si="141"/>
        <v>0.1230402466841658</v>
      </c>
      <c r="E2989" s="32">
        <v>0.1201300082357859</v>
      </c>
      <c r="F2989" s="35">
        <f t="shared" ca="1" si="140"/>
        <v>2.9099998119175297E-3</v>
      </c>
    </row>
    <row r="2990" spans="1:6" x14ac:dyDescent="0.25">
      <c r="A2990" s="23">
        <v>2989</v>
      </c>
      <c r="B2990" s="7" cm="1">
        <f t="array" aca="1" ref="B2990" ca="1">interpolexp(A2990,serie_du,Taxas_DI)</f>
        <v>0.12304000812755067</v>
      </c>
      <c r="C2990" s="37">
        <f t="shared" ca="1" si="139"/>
        <v>3.9604396634556474</v>
      </c>
      <c r="D2990" s="36">
        <f t="shared" ca="1" si="141"/>
        <v>0.12304024671113312</v>
      </c>
      <c r="E2990" s="32">
        <v>0.12013000832216125</v>
      </c>
      <c r="F2990" s="35">
        <f t="shared" ca="1" si="140"/>
        <v>2.9099998053894183E-3</v>
      </c>
    </row>
    <row r="2991" spans="1:6" x14ac:dyDescent="0.25">
      <c r="A2991" s="23">
        <v>2990</v>
      </c>
      <c r="B2991" s="7" cm="1">
        <f t="array" aca="1" ref="B2991" ca="1">interpolexp(A2991,serie_du,Taxas_DI)</f>
        <v>0.1230400082073313</v>
      </c>
      <c r="C2991" s="37">
        <f t="shared" ca="1" si="139"/>
        <v>3.962263763924363</v>
      </c>
      <c r="D2991" s="36">
        <f t="shared" ca="1" si="141"/>
        <v>0.12304024667166691</v>
      </c>
      <c r="E2991" s="32">
        <v>0.12013000840849219</v>
      </c>
      <c r="F2991" s="35">
        <f t="shared" ca="1" si="140"/>
        <v>2.9099997988391024E-3</v>
      </c>
    </row>
    <row r="2992" spans="1:6" x14ac:dyDescent="0.25">
      <c r="A2992" s="23">
        <v>2991</v>
      </c>
      <c r="B2992" s="7" cm="1">
        <f t="array" aca="1" ref="B2992" ca="1">interpolexp(A2992,serie_du,Taxas_DI)</f>
        <v>0.12304000828706751</v>
      </c>
      <c r="C2992" s="37">
        <f t="shared" ca="1" si="139"/>
        <v>3.9640887045381845</v>
      </c>
      <c r="D2992" s="36">
        <f t="shared" ca="1" si="141"/>
        <v>0.12304024669835401</v>
      </c>
      <c r="E2992" s="32">
        <v>0.12013000849475652</v>
      </c>
      <c r="F2992" s="35">
        <f t="shared" ca="1" si="140"/>
        <v>2.909999792310991E-3</v>
      </c>
    </row>
    <row r="2993" spans="1:6" x14ac:dyDescent="0.25">
      <c r="A2993" s="23">
        <v>2992</v>
      </c>
      <c r="B2993" s="7" cm="1">
        <f t="array" aca="1" ref="B2993" ca="1">interpolexp(A2993,serie_du,Taxas_DI)</f>
        <v>0.12304000836673712</v>
      </c>
      <c r="C2993" s="37">
        <f t="shared" ca="1" si="139"/>
        <v>3.9659144856831356</v>
      </c>
      <c r="D2993" s="36">
        <f t="shared" ca="1" si="141"/>
        <v>0.12304024665862157</v>
      </c>
      <c r="E2993" s="32">
        <v>0.12013000858095424</v>
      </c>
      <c r="F2993" s="35">
        <f t="shared" ca="1" si="140"/>
        <v>2.9099997857828797E-3</v>
      </c>
    </row>
    <row r="2994" spans="1:6" x14ac:dyDescent="0.25">
      <c r="A2994" s="23">
        <v>2993</v>
      </c>
      <c r="B2994" s="7" cm="1">
        <f t="array" aca="1" ref="B2994" ca="1">interpolexp(A2994,serie_du,Taxas_DI)</f>
        <v>0.12304000844636231</v>
      </c>
      <c r="C2994" s="37">
        <f t="shared" ca="1" si="139"/>
        <v>3.967741107747274</v>
      </c>
      <c r="D2994" s="36">
        <f t="shared" ca="1" si="141"/>
        <v>0.12304024668491564</v>
      </c>
      <c r="E2994" s="32">
        <v>0.12013000866710755</v>
      </c>
      <c r="F2994" s="35">
        <f t="shared" ca="1" si="140"/>
        <v>2.9099997792547683E-3</v>
      </c>
    </row>
    <row r="2995" spans="1:6" x14ac:dyDescent="0.25">
      <c r="A2995" s="23">
        <v>2994</v>
      </c>
      <c r="B2995" s="7" cm="1">
        <f t="array" aca="1" ref="B2995" ca="1">interpolexp(A2995,serie_du,Taxas_DI)</f>
        <v>0.1230400085259431</v>
      </c>
      <c r="C2995" s="37">
        <f t="shared" ca="1" si="139"/>
        <v>3.9695685711179114</v>
      </c>
      <c r="D2995" s="36">
        <f t="shared" ca="1" si="141"/>
        <v>0.12304024671132074</v>
      </c>
      <c r="E2995" s="32">
        <v>0.12013000875319424</v>
      </c>
      <c r="F2995" s="35">
        <f t="shared" ca="1" si="140"/>
        <v>2.9099997727488613E-3</v>
      </c>
    </row>
    <row r="2996" spans="1:6" x14ac:dyDescent="0.25">
      <c r="A2996" s="23">
        <v>2995</v>
      </c>
      <c r="B2996" s="7" cm="1">
        <f t="array" aca="1" ref="B2996" ca="1">interpolexp(A2996,serie_du,Taxas_DI)</f>
        <v>0.12304000860545727</v>
      </c>
      <c r="C2996" s="37">
        <f t="shared" ca="1" si="139"/>
        <v>3.971396876181601</v>
      </c>
      <c r="D2996" s="36">
        <f t="shared" ca="1" si="141"/>
        <v>0.12304024667091351</v>
      </c>
      <c r="E2996" s="32">
        <v>0.12013000883923652</v>
      </c>
      <c r="F2996" s="35">
        <f t="shared" ca="1" si="140"/>
        <v>2.90999976622075E-3</v>
      </c>
    </row>
    <row r="2997" spans="1:6" x14ac:dyDescent="0.25">
      <c r="A2997" s="23">
        <v>2996</v>
      </c>
      <c r="B2997" s="7" cm="1">
        <f t="array" aca="1" ref="B2997" ca="1">interpolexp(A2997,serie_du,Taxas_DI)</f>
        <v>0.12304000868492704</v>
      </c>
      <c r="C2997" s="37">
        <f t="shared" ca="1" si="139"/>
        <v>3.9732260233269412</v>
      </c>
      <c r="D2997" s="36">
        <f t="shared" ca="1" si="141"/>
        <v>0.12304024669691449</v>
      </c>
      <c r="E2997" s="32">
        <v>0.12013000892521219</v>
      </c>
      <c r="F2997" s="35">
        <f t="shared" ca="1" si="140"/>
        <v>2.909999759714843E-3</v>
      </c>
    </row>
    <row r="2998" spans="1:6" x14ac:dyDescent="0.25">
      <c r="A2998" s="23">
        <v>2997</v>
      </c>
      <c r="B2998" s="7" cm="1">
        <f t="array" aca="1" ref="B2998" ca="1">interpolexp(A2998,serie_du,Taxas_DI)</f>
        <v>0.12304000876433019</v>
      </c>
      <c r="C2998" s="37">
        <f t="shared" ca="1" si="139"/>
        <v>3.9750560129408412</v>
      </c>
      <c r="D2998" s="36">
        <f t="shared" ca="1" si="141"/>
        <v>0.12304024665615354</v>
      </c>
      <c r="E2998" s="32">
        <v>0.12013000901114346</v>
      </c>
      <c r="F2998" s="35">
        <f t="shared" ca="1" si="140"/>
        <v>2.9099997531867317E-3</v>
      </c>
    </row>
    <row r="2999" spans="1:6" x14ac:dyDescent="0.25">
      <c r="A2999" s="23">
        <v>2998</v>
      </c>
      <c r="B2999" s="7" cm="1">
        <f t="array" aca="1" ref="B2999" ca="1">interpolexp(A2999,serie_du,Taxas_DI)</f>
        <v>0.12304000884368893</v>
      </c>
      <c r="C2999" s="37">
        <f t="shared" ca="1" si="139"/>
        <v>3.9768868454122588</v>
      </c>
      <c r="D2999" s="36">
        <f t="shared" ca="1" si="141"/>
        <v>0.1230402466819045</v>
      </c>
      <c r="E2999" s="32">
        <v>0.12013000909700811</v>
      </c>
      <c r="F2999" s="35">
        <f t="shared" ca="1" si="140"/>
        <v>2.9099997466808247E-3</v>
      </c>
    </row>
    <row r="3000" spans="1:6" x14ac:dyDescent="0.25">
      <c r="A3000" s="23">
        <v>2999</v>
      </c>
      <c r="B3000" s="7" cm="1">
        <f t="array" aca="1" ref="B3000" ca="1">interpolexp(A3000,serie_du,Taxas_DI)</f>
        <v>0.12304000892300326</v>
      </c>
      <c r="C3000" s="37">
        <f t="shared" ca="1" si="139"/>
        <v>3.9787185211293945</v>
      </c>
      <c r="D3000" s="36">
        <f t="shared" ca="1" si="141"/>
        <v>0.12304024670732483</v>
      </c>
      <c r="E3000" s="32">
        <v>0.12013000918280614</v>
      </c>
      <c r="F3000" s="35">
        <f t="shared" ca="1" si="140"/>
        <v>2.9099997401971223E-3</v>
      </c>
    </row>
    <row r="3001" spans="1:6" x14ac:dyDescent="0.25">
      <c r="A3001" s="23">
        <v>3000</v>
      </c>
      <c r="B3001" s="7" cm="1">
        <f t="array" aca="1" ref="B3001" ca="1">interpolexp(A3001,serie_du,Taxas_DI)</f>
        <v>0.12304000900225098</v>
      </c>
      <c r="C3001" s="37">
        <f t="shared" ca="1" si="139"/>
        <v>3.9805510404796944</v>
      </c>
      <c r="D3001" s="36">
        <f t="shared" ca="1" si="141"/>
        <v>0.12304024666627522</v>
      </c>
      <c r="E3001" s="32">
        <v>0.12013000926855977</v>
      </c>
      <c r="F3001" s="35">
        <f t="shared" ca="1" si="140"/>
        <v>2.9099997336912153E-3</v>
      </c>
    </row>
    <row r="3002" spans="1:6" x14ac:dyDescent="0.25">
      <c r="A3002" s="23">
        <v>3001</v>
      </c>
      <c r="B3002" s="7" cm="1">
        <f t="array" aca="1" ref="B3002" ca="1">interpolexp(A3002,serie_du,Taxas_DI)</f>
        <v>0.12304000908145429</v>
      </c>
      <c r="C3002" s="37">
        <f t="shared" ca="1" si="139"/>
        <v>3.9823844038526506</v>
      </c>
      <c r="D3002" s="36">
        <f t="shared" ca="1" si="141"/>
        <v>0.12304024669130875</v>
      </c>
      <c r="E3002" s="32">
        <v>0.12013000935424678</v>
      </c>
      <c r="F3002" s="35">
        <f t="shared" ca="1" si="140"/>
        <v>2.9099997272075129E-3</v>
      </c>
    </row>
    <row r="3003" spans="1:6" x14ac:dyDescent="0.25">
      <c r="A3003" s="23">
        <v>3002</v>
      </c>
      <c r="B3003" s="7" cm="1">
        <f t="array" aca="1" ref="B3003" ca="1">interpolexp(A3003,serie_du,Taxas_DI)</f>
        <v>0.1230400091606132</v>
      </c>
      <c r="C3003" s="37">
        <f t="shared" ca="1" si="139"/>
        <v>3.9842186116370044</v>
      </c>
      <c r="D3003" s="36">
        <f t="shared" ca="1" si="141"/>
        <v>0.12304024671652591</v>
      </c>
      <c r="E3003" s="32">
        <v>0.12013000943986718</v>
      </c>
      <c r="F3003" s="35">
        <f t="shared" ca="1" si="140"/>
        <v>2.9099997207460149E-3</v>
      </c>
    </row>
    <row r="3004" spans="1:6" x14ac:dyDescent="0.25">
      <c r="A3004" s="23">
        <v>3003</v>
      </c>
      <c r="B3004" s="7" cm="1">
        <f t="array" aca="1" ref="B3004" ca="1">interpolexp(A3004,serie_du,Taxas_DI)</f>
        <v>0.12304000923970548</v>
      </c>
      <c r="C3004" s="37">
        <f t="shared" ca="1" si="139"/>
        <v>3.9860536642207336</v>
      </c>
      <c r="D3004" s="36">
        <f t="shared" ca="1" si="141"/>
        <v>0.12304024667480529</v>
      </c>
      <c r="E3004" s="32">
        <v>0.12013000952544317</v>
      </c>
      <c r="F3004" s="35">
        <f t="shared" ca="1" si="140"/>
        <v>2.9099997142623124E-3</v>
      </c>
    </row>
    <row r="3005" spans="1:6" x14ac:dyDescent="0.25">
      <c r="A3005" s="23">
        <v>3004</v>
      </c>
      <c r="B3005" s="7" cm="1">
        <f t="array" aca="1" ref="B3005" ca="1">interpolexp(A3005,serie_du,Taxas_DI)</f>
        <v>0.12304000931875336</v>
      </c>
      <c r="C3005" s="37">
        <f t="shared" ca="1" si="139"/>
        <v>3.9878895619938715</v>
      </c>
      <c r="D3005" s="36">
        <f t="shared" ca="1" si="141"/>
        <v>0.12304024669948022</v>
      </c>
      <c r="E3005" s="32">
        <v>0.12013000961097475</v>
      </c>
      <c r="F3005" s="35">
        <f t="shared" ca="1" si="140"/>
        <v>2.9099997077786099E-3</v>
      </c>
    </row>
    <row r="3006" spans="1:6" x14ac:dyDescent="0.25">
      <c r="A3006" s="23">
        <v>3005</v>
      </c>
      <c r="B3006" s="7" cm="1">
        <f t="array" aca="1" ref="B3006" ca="1">interpolexp(A3006,serie_du,Taxas_DI)</f>
        <v>0.12304000939773463</v>
      </c>
      <c r="C3006" s="37">
        <f t="shared" ca="1" si="139"/>
        <v>3.9897263053447554</v>
      </c>
      <c r="D3006" s="36">
        <f t="shared" ca="1" si="141"/>
        <v>0.12304024665754221</v>
      </c>
      <c r="E3006" s="32">
        <v>0.12013000969643972</v>
      </c>
      <c r="F3006" s="35">
        <f t="shared" ca="1" si="140"/>
        <v>2.9099997012949075E-3</v>
      </c>
    </row>
    <row r="3007" spans="1:6" x14ac:dyDescent="0.25">
      <c r="A3007" s="23">
        <v>3006</v>
      </c>
      <c r="B3007" s="7" cm="1">
        <f t="array" aca="1" ref="B3007" ca="1">interpolexp(A3007,serie_du,Taxas_DI)</f>
        <v>0.12304000947667149</v>
      </c>
      <c r="C3007" s="37">
        <f t="shared" ca="1" si="139"/>
        <v>3.9915638946637784</v>
      </c>
      <c r="D3007" s="36">
        <f t="shared" ca="1" si="141"/>
        <v>0.12304024668196667</v>
      </c>
      <c r="E3007" s="32">
        <v>0.12013000978183808</v>
      </c>
      <c r="F3007" s="35">
        <f t="shared" ca="1" si="140"/>
        <v>2.9099996948334095E-3</v>
      </c>
    </row>
    <row r="3008" spans="1:6" x14ac:dyDescent="0.25">
      <c r="A3008" s="23">
        <v>3007</v>
      </c>
      <c r="B3008" s="7" cm="1">
        <f t="array" aca="1" ref="B3008" ca="1">interpolexp(A3008,serie_du,Taxas_DI)</f>
        <v>0.12304000955556393</v>
      </c>
      <c r="C3008" s="37">
        <f t="shared" ca="1" si="139"/>
        <v>3.993402330340575</v>
      </c>
      <c r="D3008" s="36">
        <f t="shared" ca="1" si="141"/>
        <v>0.12304024670626035</v>
      </c>
      <c r="E3008" s="32">
        <v>0.12013000986719202</v>
      </c>
      <c r="F3008" s="35">
        <f t="shared" ca="1" si="140"/>
        <v>2.9099996883719115E-3</v>
      </c>
    </row>
    <row r="3009" spans="1:6" x14ac:dyDescent="0.25">
      <c r="A3009" s="23">
        <v>3008</v>
      </c>
      <c r="B3009" s="7" cm="1">
        <f t="array" aca="1" ref="B3009" ca="1">interpolexp(A3009,serie_du,Taxas_DI)</f>
        <v>0.12304000963438977</v>
      </c>
      <c r="C3009" s="37">
        <f t="shared" ca="1" si="139"/>
        <v>3.9952416127640182</v>
      </c>
      <c r="D3009" s="36">
        <f t="shared" ca="1" si="141"/>
        <v>0.12304024666375968</v>
      </c>
      <c r="E3009" s="32">
        <v>0.12013000995247936</v>
      </c>
      <c r="F3009" s="35">
        <f t="shared" ca="1" si="140"/>
        <v>2.9099996819104135E-3</v>
      </c>
    </row>
    <row r="3010" spans="1:6" x14ac:dyDescent="0.25">
      <c r="A3010" s="23">
        <v>3009</v>
      </c>
      <c r="B3010" s="7" cm="1">
        <f t="array" aca="1" ref="B3010" ca="1">interpolexp(A3010,serie_du,Taxas_DI)</f>
        <v>0.12304000971317119</v>
      </c>
      <c r="C3010" s="37">
        <f t="shared" ref="C3010:C3073" ca="1" si="142">(1+B3010)^(A3010/252)</f>
        <v>3.9970817423250407</v>
      </c>
      <c r="D3010" s="36">
        <f t="shared" ca="1" si="141"/>
        <v>0.1230402466876781</v>
      </c>
      <c r="E3010" s="32">
        <v>0.12013001003772228</v>
      </c>
      <c r="F3010" s="35">
        <f t="shared" ref="F3010:F3073" ca="1" si="143">B3010-E3010</f>
        <v>2.9099996754489155E-3</v>
      </c>
    </row>
    <row r="3011" spans="1:6" x14ac:dyDescent="0.25">
      <c r="A3011" s="23">
        <v>3010</v>
      </c>
      <c r="B3011" s="7" cm="1">
        <f t="array" aca="1" ref="B3011" ca="1">interpolexp(A3011,serie_du,Taxas_DI)</f>
        <v>0.12304000979190821</v>
      </c>
      <c r="C3011" s="37">
        <f t="shared" ca="1" si="142"/>
        <v>3.9989227194138173</v>
      </c>
      <c r="D3011" s="36">
        <f t="shared" ca="1" si="141"/>
        <v>0.12304024671163627</v>
      </c>
      <c r="E3011" s="32">
        <v>0.12013001012289859</v>
      </c>
      <c r="F3011" s="35">
        <f t="shared" ca="1" si="143"/>
        <v>2.9099996690096219E-3</v>
      </c>
    </row>
    <row r="3012" spans="1:6" x14ac:dyDescent="0.25">
      <c r="A3012" s="23">
        <v>3011</v>
      </c>
      <c r="B3012" s="7" cm="1">
        <f t="array" aca="1" ref="B3012" ca="1">interpolexp(A3012,serie_du,Taxas_DI)</f>
        <v>0.12304000987057861</v>
      </c>
      <c r="C3012" s="37">
        <f t="shared" ca="1" si="142"/>
        <v>4.0007645444197566</v>
      </c>
      <c r="D3012" s="36">
        <f t="shared" ref="D3012:D3075" ca="1" si="144">((((1+B3012)^(A3012/252))/((1+B3011)^(A3011/252)))^(252/1))-1</f>
        <v>0.12304024666859137</v>
      </c>
      <c r="E3012" s="32">
        <v>0.12013001020800829</v>
      </c>
      <c r="F3012" s="35">
        <f t="shared" ca="1" si="143"/>
        <v>2.9099996625703284E-3</v>
      </c>
    </row>
    <row r="3013" spans="1:6" x14ac:dyDescent="0.25">
      <c r="A3013" s="23">
        <v>3012</v>
      </c>
      <c r="B3013" s="7" cm="1">
        <f t="array" aca="1" ref="B3013" ca="1">interpolexp(A3013,serie_du,Taxas_DI)</f>
        <v>0.12304000994920461</v>
      </c>
      <c r="C3013" s="37">
        <f t="shared" ca="1" si="142"/>
        <v>4.002607217734333</v>
      </c>
      <c r="D3013" s="36">
        <f t="shared" ca="1" si="144"/>
        <v>0.12304024669206926</v>
      </c>
      <c r="E3013" s="32">
        <v>0.12013001029309578</v>
      </c>
      <c r="F3013" s="35">
        <f t="shared" ca="1" si="143"/>
        <v>2.9099996561088304E-3</v>
      </c>
    </row>
    <row r="3014" spans="1:6" x14ac:dyDescent="0.25">
      <c r="A3014" s="23">
        <v>3013</v>
      </c>
      <c r="B3014" s="7" cm="1">
        <f t="array" aca="1" ref="B3014" ca="1">interpolexp(A3014,serie_du,Taxas_DI)</f>
        <v>0.12304001002776399</v>
      </c>
      <c r="C3014" s="37">
        <f t="shared" ca="1" si="142"/>
        <v>4.0044507397473144</v>
      </c>
      <c r="D3014" s="36">
        <f t="shared" ca="1" si="144"/>
        <v>0.12304024664868818</v>
      </c>
      <c r="E3014" s="32">
        <v>0.12013001037809445</v>
      </c>
      <c r="F3014" s="35">
        <f t="shared" ca="1" si="143"/>
        <v>2.9099996496695368E-3</v>
      </c>
    </row>
    <row r="3015" spans="1:6" x14ac:dyDescent="0.25">
      <c r="A3015" s="23">
        <v>3014</v>
      </c>
      <c r="B3015" s="7" cm="1">
        <f t="array" aca="1" ref="B3015" ca="1">interpolexp(A3015,serie_du,Taxas_DI)</f>
        <v>0.12304001010630117</v>
      </c>
      <c r="C3015" s="37">
        <f t="shared" ca="1" si="142"/>
        <v>4.006295110851485</v>
      </c>
      <c r="D3015" s="36">
        <f t="shared" ca="1" si="144"/>
        <v>0.12304024673887604</v>
      </c>
      <c r="E3015" s="32">
        <v>0.12013001046304872</v>
      </c>
      <c r="F3015" s="35">
        <f t="shared" ca="1" si="143"/>
        <v>2.9099996432524478E-3</v>
      </c>
    </row>
    <row r="3016" spans="1:6" x14ac:dyDescent="0.25">
      <c r="A3016" s="23">
        <v>3015</v>
      </c>
      <c r="B3016" s="7" cm="1">
        <f t="array" aca="1" ref="B3016" ca="1">interpolexp(A3016,serie_du,Taxas_DI)</f>
        <v>0.12304001018474953</v>
      </c>
      <c r="C3016" s="37">
        <f t="shared" ca="1" si="142"/>
        <v>4.008140331435075</v>
      </c>
      <c r="D3016" s="36">
        <f t="shared" ca="1" si="144"/>
        <v>0.12304024662813817</v>
      </c>
      <c r="E3016" s="32">
        <v>0.12013001054793637</v>
      </c>
      <c r="F3016" s="35">
        <f t="shared" ca="1" si="143"/>
        <v>2.9099996368131542E-3</v>
      </c>
    </row>
    <row r="3017" spans="1:6" x14ac:dyDescent="0.25">
      <c r="A3017" s="23">
        <v>3016</v>
      </c>
      <c r="B3017" s="7" cm="1">
        <f t="array" aca="1" ref="B3017" ca="1">interpolexp(A3017,serie_du,Taxas_DI)</f>
        <v>0.12304001026317568</v>
      </c>
      <c r="C3017" s="37">
        <f t="shared" ca="1" si="142"/>
        <v>4.0099864018921805</v>
      </c>
      <c r="D3017" s="36">
        <f t="shared" ca="1" si="144"/>
        <v>0.1230402467180991</v>
      </c>
      <c r="E3017" s="32">
        <v>0.12013001063277962</v>
      </c>
      <c r="F3017" s="35">
        <f t="shared" ca="1" si="143"/>
        <v>2.9099996303960651E-3</v>
      </c>
    </row>
    <row r="3018" spans="1:6" x14ac:dyDescent="0.25">
      <c r="A3018" s="23">
        <v>3017</v>
      </c>
      <c r="B3018" s="7" cm="1">
        <f t="array" aca="1" ref="B3018" ca="1">interpolexp(A3018,serie_du,Taxas_DI)</f>
        <v>0.12304001034153522</v>
      </c>
      <c r="C3018" s="37">
        <f t="shared" ca="1" si="142"/>
        <v>4.0118333226123353</v>
      </c>
      <c r="D3018" s="36">
        <f t="shared" ca="1" si="144"/>
        <v>0.12304024667385827</v>
      </c>
      <c r="E3018" s="32">
        <v>0.12013001071755625</v>
      </c>
      <c r="F3018" s="35">
        <f t="shared" ca="1" si="143"/>
        <v>2.909999623978976E-3</v>
      </c>
    </row>
    <row r="3019" spans="1:6" x14ac:dyDescent="0.25">
      <c r="A3019" s="23">
        <v>3018</v>
      </c>
      <c r="B3019" s="7" cm="1">
        <f t="array" aca="1" ref="B3019" ca="1">interpolexp(A3019,serie_du,Taxas_DI)</f>
        <v>0.12304001041985035</v>
      </c>
      <c r="C3019" s="37">
        <f t="shared" ca="1" si="142"/>
        <v>4.0136810939881036</v>
      </c>
      <c r="D3019" s="36">
        <f t="shared" ca="1" si="144"/>
        <v>0.12304024669666114</v>
      </c>
      <c r="E3019" s="32">
        <v>0.12013001080228847</v>
      </c>
      <c r="F3019" s="35">
        <f t="shared" ca="1" si="143"/>
        <v>2.909999617561887E-3</v>
      </c>
    </row>
    <row r="3020" spans="1:6" x14ac:dyDescent="0.25">
      <c r="A3020" s="23">
        <v>3019</v>
      </c>
      <c r="B3020" s="7" cm="1">
        <f t="array" aca="1" ref="B3020" ca="1">interpolexp(A3020,serie_du,Taxas_DI)</f>
        <v>0.12304001049812108</v>
      </c>
      <c r="C3020" s="37">
        <f t="shared" ca="1" si="142"/>
        <v>4.015529716411276</v>
      </c>
      <c r="D3020" s="36">
        <f t="shared" ca="1" si="144"/>
        <v>0.12304024671916514</v>
      </c>
      <c r="E3020" s="32">
        <v>0.12013001088697628</v>
      </c>
      <c r="F3020" s="35">
        <f t="shared" ca="1" si="143"/>
        <v>2.9099996111447979E-3</v>
      </c>
    </row>
    <row r="3021" spans="1:6" x14ac:dyDescent="0.25">
      <c r="A3021" s="23">
        <v>3020</v>
      </c>
      <c r="B3021" s="7" cm="1">
        <f t="array" aca="1" ref="B3021" ca="1">interpolexp(A3021,serie_du,Taxas_DI)</f>
        <v>0.12304001057632519</v>
      </c>
      <c r="C3021" s="37">
        <f t="shared" ca="1" si="142"/>
        <v>4.0173791902728775</v>
      </c>
      <c r="D3021" s="36">
        <f t="shared" ca="1" si="144"/>
        <v>0.12304024667455504</v>
      </c>
      <c r="E3021" s="32">
        <v>0.12013001097157527</v>
      </c>
      <c r="F3021" s="35">
        <f t="shared" ca="1" si="143"/>
        <v>2.9099996047499133E-3</v>
      </c>
    </row>
    <row r="3022" spans="1:6" x14ac:dyDescent="0.25">
      <c r="A3022" s="23">
        <v>3021</v>
      </c>
      <c r="B3022" s="7" cm="1">
        <f t="array" aca="1" ref="B3022" ca="1">interpolexp(A3022,serie_du,Taxas_DI)</f>
        <v>0.12304001065446268</v>
      </c>
      <c r="C3022" s="37">
        <f t="shared" ca="1" si="142"/>
        <v>4.0192295159650584</v>
      </c>
      <c r="D3022" s="36">
        <f t="shared" ca="1" si="144"/>
        <v>0.12304024662970203</v>
      </c>
      <c r="E3022" s="32">
        <v>0.12013001105615206</v>
      </c>
      <c r="F3022" s="35">
        <f t="shared" ca="1" si="143"/>
        <v>2.9099995983106197E-3</v>
      </c>
    </row>
    <row r="3023" spans="1:6" x14ac:dyDescent="0.25">
      <c r="A3023" s="23">
        <v>3022</v>
      </c>
      <c r="B3023" s="7" cm="1">
        <f t="array" aca="1" ref="B3023" ca="1">interpolexp(A3023,serie_du,Taxas_DI)</f>
        <v>0.12304001073257798</v>
      </c>
      <c r="C3023" s="37">
        <f t="shared" ca="1" si="142"/>
        <v>4.0210806938820607</v>
      </c>
      <c r="D3023" s="36">
        <f t="shared" ca="1" si="144"/>
        <v>0.12304024671897706</v>
      </c>
      <c r="E3023" s="32">
        <v>0.12013001114064004</v>
      </c>
      <c r="F3023" s="35">
        <f t="shared" ca="1" si="143"/>
        <v>2.9099995919379396E-3</v>
      </c>
    </row>
    <row r="3024" spans="1:6" x14ac:dyDescent="0.25">
      <c r="A3024" s="23">
        <v>3023</v>
      </c>
      <c r="B3024" s="7" cm="1">
        <f t="array" aca="1" ref="B3024" ca="1">interpolexp(A3024,serie_du,Taxas_DI)</f>
        <v>0.12304001081062665</v>
      </c>
      <c r="C3024" s="37">
        <f t="shared" ca="1" si="142"/>
        <v>4.022932724414491</v>
      </c>
      <c r="D3024" s="36">
        <f t="shared" ca="1" si="144"/>
        <v>0.12304024667367086</v>
      </c>
      <c r="E3024" s="32">
        <v>0.1201300112250836</v>
      </c>
      <c r="F3024" s="35">
        <f t="shared" ca="1" si="143"/>
        <v>2.9099995855430549E-3</v>
      </c>
    </row>
    <row r="3025" spans="1:6" x14ac:dyDescent="0.25">
      <c r="A3025" s="23">
        <v>3024</v>
      </c>
      <c r="B3025" s="7" cm="1">
        <f t="array" aca="1" ref="B3025" ca="1">interpolexp(A3025,serie_du,Taxas_DI)</f>
        <v>0.12304001088863092</v>
      </c>
      <c r="C3025" s="37">
        <f t="shared" ca="1" si="142"/>
        <v>4.0247856079560025</v>
      </c>
      <c r="D3025" s="36">
        <f t="shared" ca="1" si="144"/>
        <v>0.12304024669566238</v>
      </c>
      <c r="E3025" s="32">
        <v>0.12013001130948275</v>
      </c>
      <c r="F3025" s="35">
        <f t="shared" ca="1" si="143"/>
        <v>2.9099995791481703E-3</v>
      </c>
    </row>
    <row r="3026" spans="1:6" x14ac:dyDescent="0.25">
      <c r="A3026" s="23">
        <v>3025</v>
      </c>
      <c r="B3026" s="7" cm="1">
        <f t="array" aca="1" ref="B3026" ca="1">interpolexp(A3026,serie_du,Taxas_DI)</f>
        <v>0.12304001096659078</v>
      </c>
      <c r="C3026" s="37">
        <f t="shared" ca="1" si="142"/>
        <v>4.0266393448994693</v>
      </c>
      <c r="D3026" s="36">
        <f t="shared" ca="1" si="144"/>
        <v>0.12304024671722291</v>
      </c>
      <c r="E3026" s="32">
        <v>0.12013001139381529</v>
      </c>
      <c r="F3026" s="35">
        <f t="shared" ca="1" si="143"/>
        <v>2.9099995727754902E-3</v>
      </c>
    </row>
    <row r="3027" spans="1:6" x14ac:dyDescent="0.25">
      <c r="A3027" s="23">
        <v>3026</v>
      </c>
      <c r="B3027" s="7" cm="1">
        <f t="array" aca="1" ref="B3027" ca="1">interpolexp(A3027,serie_du,Taxas_DI)</f>
        <v>0.12304001104448403</v>
      </c>
      <c r="C3027" s="37">
        <f t="shared" ca="1" si="142"/>
        <v>4.0284939356369946</v>
      </c>
      <c r="D3027" s="36">
        <f t="shared" ca="1" si="144"/>
        <v>0.12304024667154279</v>
      </c>
      <c r="E3027" s="32">
        <v>0.12013001147810343</v>
      </c>
      <c r="F3027" s="35">
        <f t="shared" ca="1" si="143"/>
        <v>2.9099995663806055E-3</v>
      </c>
    </row>
    <row r="3028" spans="1:6" x14ac:dyDescent="0.25">
      <c r="A3028" s="23">
        <v>3027</v>
      </c>
      <c r="B3028" s="7" cm="1">
        <f t="array" aca="1" ref="B3028" ca="1">interpolexp(A3028,serie_du,Taxas_DI)</f>
        <v>0.12304001112233287</v>
      </c>
      <c r="C3028" s="37">
        <f t="shared" ca="1" si="142"/>
        <v>4.0303493805627753</v>
      </c>
      <c r="D3028" s="36">
        <f t="shared" ca="1" si="144"/>
        <v>0.12304024669302316</v>
      </c>
      <c r="E3028" s="32">
        <v>0.12013001156232495</v>
      </c>
      <c r="F3028" s="35">
        <f t="shared" ca="1" si="143"/>
        <v>2.9099995600079254E-3</v>
      </c>
    </row>
    <row r="3029" spans="1:6" x14ac:dyDescent="0.25">
      <c r="A3029" s="23">
        <v>3028</v>
      </c>
      <c r="B3029" s="7" cm="1">
        <f t="array" aca="1" ref="B3029" ca="1">interpolexp(A3029,serie_du,Taxas_DI)</f>
        <v>0.1230400112001151</v>
      </c>
      <c r="C3029" s="37">
        <f t="shared" ca="1" si="142"/>
        <v>4.0322056800692696</v>
      </c>
      <c r="D3029" s="36">
        <f t="shared" ca="1" si="144"/>
        <v>0.12304024664687097</v>
      </c>
      <c r="E3029" s="32">
        <v>0.12013001164650206</v>
      </c>
      <c r="F3029" s="35">
        <f t="shared" ca="1" si="143"/>
        <v>2.9099995536130407E-3</v>
      </c>
    </row>
    <row r="3030" spans="1:6" x14ac:dyDescent="0.25">
      <c r="A3030" s="23">
        <v>3029</v>
      </c>
      <c r="B3030" s="7" cm="1">
        <f t="array" aca="1" ref="B3030" ca="1">interpolexp(A3030,serie_du,Taxas_DI)</f>
        <v>0.12304001127787512</v>
      </c>
      <c r="C3030" s="37">
        <f t="shared" ca="1" si="142"/>
        <v>4.0340628345519987</v>
      </c>
      <c r="D3030" s="36">
        <f t="shared" ca="1" si="144"/>
        <v>0.12304024673530178</v>
      </c>
      <c r="E3030" s="32">
        <v>0.12013001173061255</v>
      </c>
      <c r="F3030" s="35">
        <f t="shared" ca="1" si="143"/>
        <v>2.909999547262565E-3</v>
      </c>
    </row>
    <row r="3031" spans="1:6" x14ac:dyDescent="0.25">
      <c r="A3031" s="23">
        <v>3030</v>
      </c>
      <c r="B3031" s="7" cm="1">
        <f t="array" aca="1" ref="B3031" ca="1">interpolexp(A3031,serie_du,Taxas_DI)</f>
        <v>0.12304001135554632</v>
      </c>
      <c r="C3031" s="37">
        <f t="shared" ca="1" si="142"/>
        <v>4.0359208444018666</v>
      </c>
      <c r="D3031" s="36">
        <f t="shared" ca="1" si="144"/>
        <v>0.12304024662159541</v>
      </c>
      <c r="E3031" s="32">
        <v>0.12013001181465643</v>
      </c>
      <c r="F3031" s="35">
        <f t="shared" ca="1" si="143"/>
        <v>2.9099995408898849E-3</v>
      </c>
    </row>
    <row r="3032" spans="1:6" x14ac:dyDescent="0.25">
      <c r="A3032" s="23">
        <v>3031</v>
      </c>
      <c r="B3032" s="7" cm="1">
        <f t="array" aca="1" ref="B3032" ca="1">interpolexp(A3032,serie_du,Taxas_DI)</f>
        <v>0.12304001143319532</v>
      </c>
      <c r="C3032" s="37">
        <f t="shared" ca="1" si="142"/>
        <v>4.0377797100157151</v>
      </c>
      <c r="D3032" s="36">
        <f t="shared" ca="1" si="144"/>
        <v>0.12304024670969516</v>
      </c>
      <c r="E3032" s="32">
        <v>0.12013001189867811</v>
      </c>
      <c r="F3032" s="35">
        <f t="shared" ca="1" si="143"/>
        <v>2.9099995345172047E-3</v>
      </c>
    </row>
    <row r="3033" spans="1:6" x14ac:dyDescent="0.25">
      <c r="A3033" s="23">
        <v>3032</v>
      </c>
      <c r="B3033" s="7" cm="1">
        <f t="array" aca="1" ref="B3033" ca="1">interpolexp(A3033,serie_du,Taxas_DI)</f>
        <v>0.1230400115107777</v>
      </c>
      <c r="C3033" s="37">
        <f t="shared" ca="1" si="142"/>
        <v>4.0396394317857709</v>
      </c>
      <c r="D3033" s="36">
        <f t="shared" ca="1" si="144"/>
        <v>0.12304024666301272</v>
      </c>
      <c r="E3033" s="32">
        <v>0.12013001198261097</v>
      </c>
      <c r="F3033" s="35">
        <f t="shared" ca="1" si="143"/>
        <v>2.909999528166729E-3</v>
      </c>
    </row>
    <row r="3034" spans="1:6" x14ac:dyDescent="0.25">
      <c r="A3034" s="23">
        <v>3033</v>
      </c>
      <c r="B3034" s="7" cm="1">
        <f t="array" aca="1" ref="B3034" ca="1">interpolexp(A3034,serie_du,Taxas_DI)</f>
        <v>0.12304001158831568</v>
      </c>
      <c r="C3034" s="37">
        <f t="shared" ca="1" si="142"/>
        <v>4.0415000101073204</v>
      </c>
      <c r="D3034" s="36">
        <f t="shared" ca="1" si="144"/>
        <v>0.12304024668347568</v>
      </c>
      <c r="E3034" s="32">
        <v>0.12013001206649943</v>
      </c>
      <c r="F3034" s="35">
        <f t="shared" ca="1" si="143"/>
        <v>2.9099995218162533E-3</v>
      </c>
    </row>
    <row r="3035" spans="1:6" x14ac:dyDescent="0.25">
      <c r="A3035" s="23">
        <v>3034</v>
      </c>
      <c r="B3035" s="7" cm="1">
        <f t="array" aca="1" ref="B3035" ca="1">interpolexp(A3035,serie_du,Taxas_DI)</f>
        <v>0.12304001166580925</v>
      </c>
      <c r="C3035" s="37">
        <f t="shared" ca="1" si="142"/>
        <v>4.043361445374873</v>
      </c>
      <c r="D3035" s="36">
        <f t="shared" ca="1" si="144"/>
        <v>0.12304024670380742</v>
      </c>
      <c r="E3035" s="32">
        <v>0.12013001215034347</v>
      </c>
      <c r="F3035" s="35">
        <f t="shared" ca="1" si="143"/>
        <v>2.9099995154657776E-3</v>
      </c>
    </row>
    <row r="3036" spans="1:6" x14ac:dyDescent="0.25">
      <c r="A3036" s="23">
        <v>3035</v>
      </c>
      <c r="B3036" s="7" cm="1">
        <f t="array" aca="1" ref="B3036" ca="1">interpolexp(A3036,serie_du,Taxas_DI)</f>
        <v>0.1230400117432584</v>
      </c>
      <c r="C3036" s="37">
        <f t="shared" ca="1" si="142"/>
        <v>4.0452237379831191</v>
      </c>
      <c r="D3036" s="36">
        <f t="shared" ca="1" si="144"/>
        <v>0.12304024672399105</v>
      </c>
      <c r="E3036" s="32">
        <v>0.1201300122341209</v>
      </c>
      <c r="F3036" s="35">
        <f t="shared" ca="1" si="143"/>
        <v>2.9099995091375064E-3</v>
      </c>
    </row>
    <row r="3037" spans="1:6" x14ac:dyDescent="0.25">
      <c r="A3037" s="23">
        <v>3036</v>
      </c>
      <c r="B3037" s="7" cm="1">
        <f t="array" aca="1" ref="B3037" ca="1">interpolexp(A3037,serie_du,Taxas_DI)</f>
        <v>0.12304001182064095</v>
      </c>
      <c r="C3037" s="37">
        <f t="shared" ca="1" si="142"/>
        <v>4.0470868883259676</v>
      </c>
      <c r="D3037" s="36">
        <f t="shared" ca="1" si="144"/>
        <v>0.12304024667669911</v>
      </c>
      <c r="E3037" s="32">
        <v>0.12013001231785392</v>
      </c>
      <c r="F3037" s="35">
        <f t="shared" ca="1" si="143"/>
        <v>2.9099995027870307E-3</v>
      </c>
    </row>
    <row r="3038" spans="1:6" x14ac:dyDescent="0.25">
      <c r="A3038" s="23">
        <v>3037</v>
      </c>
      <c r="B3038" s="7" cm="1">
        <f t="array" aca="1" ref="B3038" ca="1">interpolexp(A3038,serie_du,Taxas_DI)</f>
        <v>0.12304001189797908</v>
      </c>
      <c r="C3038" s="37">
        <f t="shared" ca="1" si="142"/>
        <v>4.0489508967994361</v>
      </c>
      <c r="D3038" s="36">
        <f t="shared" ca="1" si="144"/>
        <v>0.12304024669659896</v>
      </c>
      <c r="E3038" s="32">
        <v>0.12013001240152033</v>
      </c>
      <c r="F3038" s="35">
        <f t="shared" ca="1" si="143"/>
        <v>2.9099994964587594E-3</v>
      </c>
    </row>
    <row r="3039" spans="1:6" x14ac:dyDescent="0.25">
      <c r="A3039" s="23">
        <v>3038</v>
      </c>
      <c r="B3039" s="7" cm="1">
        <f t="array" aca="1" ref="B3039" ca="1">interpolexp(A3039,serie_du,Taxas_DI)</f>
        <v>0.12304001197525061</v>
      </c>
      <c r="C3039" s="37">
        <f t="shared" ca="1" si="142"/>
        <v>4.050815763797794</v>
      </c>
      <c r="D3039" s="36">
        <f t="shared" ca="1" si="144"/>
        <v>0.12304024664888313</v>
      </c>
      <c r="E3039" s="32">
        <v>0.12013001248514232</v>
      </c>
      <c r="F3039" s="35">
        <f t="shared" ca="1" si="143"/>
        <v>2.9099994901082837E-3</v>
      </c>
    </row>
    <row r="3040" spans="1:6" x14ac:dyDescent="0.25">
      <c r="A3040" s="23">
        <v>3039</v>
      </c>
      <c r="B3040" s="7" cm="1">
        <f t="array" aca="1" ref="B3040" ca="1">interpolexp(A3040,serie_du,Taxas_DI)</f>
        <v>0.12304001205247772</v>
      </c>
      <c r="C3040" s="37">
        <f t="shared" ca="1" si="142"/>
        <v>4.0526814897174246</v>
      </c>
      <c r="D3040" s="36">
        <f t="shared" ca="1" si="144"/>
        <v>0.12304024666846569</v>
      </c>
      <c r="E3040" s="32">
        <v>0.12013001256869771</v>
      </c>
      <c r="F3040" s="35">
        <f t="shared" ca="1" si="143"/>
        <v>2.9099994837800125E-3</v>
      </c>
    </row>
    <row r="3041" spans="1:6" x14ac:dyDescent="0.25">
      <c r="A3041" s="23">
        <v>3040</v>
      </c>
      <c r="B3041" s="7" cm="1">
        <f t="array" aca="1" ref="B3041" ca="1">interpolexp(A3041,serie_du,Taxas_DI)</f>
        <v>0.12304001212966043</v>
      </c>
      <c r="C3041" s="37">
        <f t="shared" ca="1" si="142"/>
        <v>4.0545480749539289</v>
      </c>
      <c r="D3041" s="36">
        <f t="shared" ca="1" si="144"/>
        <v>0.12304024668792812</v>
      </c>
      <c r="E3041" s="32">
        <v>0.12013001265220868</v>
      </c>
      <c r="F3041" s="35">
        <f t="shared" ca="1" si="143"/>
        <v>2.9099994774517413E-3</v>
      </c>
    </row>
    <row r="3042" spans="1:6" x14ac:dyDescent="0.25">
      <c r="A3042" s="23">
        <v>3041</v>
      </c>
      <c r="B3042" s="7" cm="1">
        <f t="array" aca="1" ref="B3042" ca="1">interpolexp(A3042,serie_du,Taxas_DI)</f>
        <v>0.12304001220679872</v>
      </c>
      <c r="C3042" s="37">
        <f t="shared" ca="1" si="142"/>
        <v>4.0564155199030889</v>
      </c>
      <c r="D3042" s="36">
        <f t="shared" ca="1" si="144"/>
        <v>0.1230402467071956</v>
      </c>
      <c r="E3042" s="32">
        <v>0.12013001273565305</v>
      </c>
      <c r="F3042" s="35">
        <f t="shared" ca="1" si="143"/>
        <v>2.9099994711456745E-3</v>
      </c>
    </row>
    <row r="3043" spans="1:6" x14ac:dyDescent="0.25">
      <c r="A3043" s="23">
        <v>3042</v>
      </c>
      <c r="B3043" s="7" cm="1">
        <f t="array" aca="1" ref="B3043" ca="1">interpolexp(A3043,serie_du,Taxas_DI)</f>
        <v>0.1230400122838704</v>
      </c>
      <c r="C3043" s="37">
        <f t="shared" ca="1" si="142"/>
        <v>4.0582838249599007</v>
      </c>
      <c r="D3043" s="36">
        <f t="shared" ca="1" si="144"/>
        <v>0.12304024665887181</v>
      </c>
      <c r="E3043" s="32">
        <v>0.120130012819053</v>
      </c>
      <c r="F3043" s="35">
        <f t="shared" ca="1" si="143"/>
        <v>2.9099994648174032E-3</v>
      </c>
    </row>
    <row r="3044" spans="1:6" x14ac:dyDescent="0.25">
      <c r="A3044" s="23">
        <v>3043</v>
      </c>
      <c r="B3044" s="7" cm="1">
        <f t="array" aca="1" ref="B3044" ca="1">interpolexp(A3044,serie_du,Taxas_DI)</f>
        <v>0.12304001236091988</v>
      </c>
      <c r="C3044" s="37">
        <f t="shared" ca="1" si="142"/>
        <v>4.0601529905224503</v>
      </c>
      <c r="D3044" s="36">
        <f t="shared" ca="1" si="144"/>
        <v>0.12304024674553959</v>
      </c>
      <c r="E3044" s="32">
        <v>0.12013001290238634</v>
      </c>
      <c r="F3044" s="35">
        <f t="shared" ca="1" si="143"/>
        <v>2.9099994585335409E-3</v>
      </c>
    </row>
    <row r="3045" spans="1:6" x14ac:dyDescent="0.25">
      <c r="A3045" s="23">
        <v>3044</v>
      </c>
      <c r="B3045" s="7" cm="1">
        <f t="array" aca="1" ref="B3045" ca="1">interpolexp(A3045,serie_du,Taxas_DI)</f>
        <v>0.12304001243788054</v>
      </c>
      <c r="C3045" s="37">
        <f t="shared" ca="1" si="142"/>
        <v>4.0620230169841562</v>
      </c>
      <c r="D3045" s="36">
        <f t="shared" ca="1" si="144"/>
        <v>0.12304024662914026</v>
      </c>
      <c r="E3045" s="32">
        <v>0.12013001298567527</v>
      </c>
      <c r="F3045" s="35">
        <f t="shared" ca="1" si="143"/>
        <v>2.9099994522052697E-3</v>
      </c>
    </row>
    <row r="3046" spans="1:6" x14ac:dyDescent="0.25">
      <c r="A3046" s="23">
        <v>3045</v>
      </c>
      <c r="B3046" s="7" cm="1">
        <f t="array" aca="1" ref="B3046" ca="1">interpolexp(A3046,serie_du,Taxas_DI)</f>
        <v>0.123040012514819</v>
      </c>
      <c r="C3046" s="37">
        <f t="shared" ca="1" si="142"/>
        <v>4.0638939047444413</v>
      </c>
      <c r="D3046" s="36">
        <f t="shared" ca="1" si="144"/>
        <v>0.12304024671552338</v>
      </c>
      <c r="E3046" s="32">
        <v>0.12013001306891979</v>
      </c>
      <c r="F3046" s="35">
        <f t="shared" ca="1" si="143"/>
        <v>2.9099994458992029E-3</v>
      </c>
    </row>
    <row r="3047" spans="1:6" x14ac:dyDescent="0.25">
      <c r="A3047" s="23">
        <v>3046</v>
      </c>
      <c r="B3047" s="7" cm="1">
        <f t="array" aca="1" ref="B3047" ca="1">interpolexp(A3047,serie_du,Taxas_DI)</f>
        <v>0.12304001259169084</v>
      </c>
      <c r="C3047" s="37">
        <f t="shared" ca="1" si="142"/>
        <v>4.0657656541980591</v>
      </c>
      <c r="D3047" s="36">
        <f t="shared" ca="1" si="144"/>
        <v>0.12304024666646285</v>
      </c>
      <c r="E3047" s="32">
        <v>0.1201300131520977</v>
      </c>
      <c r="F3047" s="35">
        <f t="shared" ca="1" si="143"/>
        <v>2.9099994395931361E-3</v>
      </c>
    </row>
    <row r="3048" spans="1:6" x14ac:dyDescent="0.25">
      <c r="A3048" s="23">
        <v>3047</v>
      </c>
      <c r="B3048" s="7" cm="1">
        <f t="array" aca="1" ref="B3048" ca="1">interpolexp(A3048,serie_du,Taxas_DI)</f>
        <v>0.12304001266851827</v>
      </c>
      <c r="C3048" s="37">
        <f t="shared" ca="1" si="142"/>
        <v>4.0676382657428576</v>
      </c>
      <c r="D3048" s="36">
        <f t="shared" ca="1" si="144"/>
        <v>0.12304024668491564</v>
      </c>
      <c r="E3048" s="32">
        <v>0.120130013235209</v>
      </c>
      <c r="F3048" s="35">
        <f t="shared" ca="1" si="143"/>
        <v>2.9099994333092738E-3</v>
      </c>
    </row>
    <row r="3049" spans="1:6" x14ac:dyDescent="0.25">
      <c r="A3049" s="23">
        <v>3048</v>
      </c>
      <c r="B3049" s="7" cm="1">
        <f t="array" aca="1" ref="B3049" ca="1">interpolexp(A3049,serie_du,Taxas_DI)</f>
        <v>0.1230400127453013</v>
      </c>
      <c r="C3049" s="37">
        <f t="shared" ca="1" si="142"/>
        <v>4.0695117397758969</v>
      </c>
      <c r="D3049" s="36">
        <f t="shared" ca="1" si="144"/>
        <v>0.12304024670318348</v>
      </c>
      <c r="E3049" s="32">
        <v>0.12013001331827589</v>
      </c>
      <c r="F3049" s="35">
        <f t="shared" ca="1" si="143"/>
        <v>2.9099994270254115E-3</v>
      </c>
    </row>
    <row r="3050" spans="1:6" x14ac:dyDescent="0.25">
      <c r="A3050" s="23">
        <v>3049</v>
      </c>
      <c r="B3050" s="7" cm="1">
        <f t="array" aca="1" ref="B3050" ca="1">interpolexp(A3050,serie_du,Taxas_DI)</f>
        <v>0.12304001282203991</v>
      </c>
      <c r="C3050" s="37">
        <f t="shared" ca="1" si="142"/>
        <v>4.071386076694421</v>
      </c>
      <c r="D3050" s="36">
        <f t="shared" ca="1" si="144"/>
        <v>0.12304024672142533</v>
      </c>
      <c r="E3050" s="32">
        <v>0.12013001340129836</v>
      </c>
      <c r="F3050" s="35">
        <f t="shared" ca="1" si="143"/>
        <v>2.9099994207415492E-3</v>
      </c>
    </row>
    <row r="3051" spans="1:6" x14ac:dyDescent="0.25">
      <c r="A3051" s="23">
        <v>3050</v>
      </c>
      <c r="B3051" s="7" cm="1">
        <f t="array" aca="1" ref="B3051" ca="1">interpolexp(A3051,serie_du,Taxas_DI)</f>
        <v>0.12304001289871191</v>
      </c>
      <c r="C3051" s="37">
        <f t="shared" ca="1" si="142"/>
        <v>4.0732612768948808</v>
      </c>
      <c r="D3051" s="36">
        <f t="shared" ca="1" si="144"/>
        <v>0.12304024667166691</v>
      </c>
      <c r="E3051" s="32">
        <v>0.12013001348425423</v>
      </c>
      <c r="F3051" s="35">
        <f t="shared" ca="1" si="143"/>
        <v>2.9099994144576868E-3</v>
      </c>
    </row>
    <row r="3052" spans="1:6" x14ac:dyDescent="0.25">
      <c r="A3052" s="23">
        <v>3051</v>
      </c>
      <c r="B3052" s="7" cm="1">
        <f t="array" aca="1" ref="B3052" ca="1">interpolexp(A3052,serie_du,Taxas_DI)</f>
        <v>0.12304001297533951</v>
      </c>
      <c r="C3052" s="37">
        <f t="shared" ca="1" si="142"/>
        <v>4.0751373407758598</v>
      </c>
      <c r="D3052" s="36">
        <f t="shared" ca="1" si="144"/>
        <v>0.12304024668955771</v>
      </c>
      <c r="E3052" s="32">
        <v>0.12013001356714348</v>
      </c>
      <c r="F3052" s="35">
        <f t="shared" ca="1" si="143"/>
        <v>2.909999408196029E-3</v>
      </c>
    </row>
    <row r="3053" spans="1:6" x14ac:dyDescent="0.25">
      <c r="A3053" s="23">
        <v>3052</v>
      </c>
      <c r="B3053" s="7" cm="1">
        <f t="array" aca="1" ref="B3053" ca="1">interpolexp(A3053,serie_du,Taxas_DI)</f>
        <v>0.12304001305190049</v>
      </c>
      <c r="C3053" s="37">
        <f t="shared" ca="1" si="142"/>
        <v>4.0770142687341719</v>
      </c>
      <c r="D3053" s="36">
        <f t="shared" ca="1" si="144"/>
        <v>0.12304024663935942</v>
      </c>
      <c r="E3053" s="32">
        <v>0.12013001365001053</v>
      </c>
      <c r="F3053" s="35">
        <f t="shared" ca="1" si="143"/>
        <v>2.9099994018899622E-3</v>
      </c>
    </row>
    <row r="3054" spans="1:6" x14ac:dyDescent="0.25">
      <c r="A3054" s="23">
        <v>3053</v>
      </c>
      <c r="B3054" s="7" cm="1">
        <f t="array" aca="1" ref="B3054" ca="1">interpolexp(A3054,serie_du,Taxas_DI)</f>
        <v>0.12304001312843926</v>
      </c>
      <c r="C3054" s="37">
        <f t="shared" ca="1" si="142"/>
        <v>4.0788920611697472</v>
      </c>
      <c r="D3054" s="36">
        <f t="shared" ca="1" si="144"/>
        <v>0.12304024672474401</v>
      </c>
      <c r="E3054" s="32">
        <v>0.12013001373278875</v>
      </c>
      <c r="F3054" s="35">
        <f t="shared" ca="1" si="143"/>
        <v>2.9099993956505088E-3</v>
      </c>
    </row>
    <row r="3055" spans="1:6" x14ac:dyDescent="0.25">
      <c r="A3055" s="23">
        <v>3054</v>
      </c>
      <c r="B3055" s="7" cm="1">
        <f t="array" aca="1" ref="B3055" ca="1">interpolexp(A3055,serie_du,Taxas_DI)</f>
        <v>0.12304001320491142</v>
      </c>
      <c r="C3055" s="37">
        <f t="shared" ca="1" si="142"/>
        <v>4.0807707184787922</v>
      </c>
      <c r="D3055" s="36">
        <f t="shared" ca="1" si="144"/>
        <v>0.12304024667449354</v>
      </c>
      <c r="E3055" s="32">
        <v>0.12013001381554478</v>
      </c>
      <c r="F3055" s="35">
        <f t="shared" ca="1" si="143"/>
        <v>2.9099993893666465E-3</v>
      </c>
    </row>
    <row r="3056" spans="1:6" x14ac:dyDescent="0.25">
      <c r="A3056" s="23">
        <v>3055</v>
      </c>
      <c r="B3056" s="7" cm="1">
        <f t="array" aca="1" ref="B3056" ca="1">interpolexp(A3056,serie_du,Taxas_DI)</f>
        <v>0.12304001328133918</v>
      </c>
      <c r="C3056" s="37">
        <f t="shared" ca="1" si="142"/>
        <v>4.0826502410606231</v>
      </c>
      <c r="D3056" s="36">
        <f t="shared" ca="1" si="144"/>
        <v>0.12304024669169378</v>
      </c>
      <c r="E3056" s="32">
        <v>0.12013001389823419</v>
      </c>
      <c r="F3056" s="35">
        <f t="shared" ca="1" si="143"/>
        <v>2.9099993831049886E-3</v>
      </c>
    </row>
    <row r="3057" spans="1:6" x14ac:dyDescent="0.25">
      <c r="A3057" s="23">
        <v>3056</v>
      </c>
      <c r="B3057" s="7" cm="1">
        <f t="array" aca="1" ref="B3057" ca="1">interpolexp(A3057,serie_du,Taxas_DI)</f>
        <v>0.12304001335770032</v>
      </c>
      <c r="C3057" s="37">
        <f t="shared" ca="1" si="142"/>
        <v>4.0845306293127877</v>
      </c>
      <c r="D3057" s="36">
        <f t="shared" ca="1" si="144"/>
        <v>0.12304024664099611</v>
      </c>
      <c r="E3057" s="32">
        <v>0.12013001398085699</v>
      </c>
      <c r="F3057" s="35">
        <f t="shared" ca="1" si="143"/>
        <v>2.9099993768433308E-3</v>
      </c>
    </row>
    <row r="3058" spans="1:6" x14ac:dyDescent="0.25">
      <c r="A3058" s="23">
        <v>3057</v>
      </c>
      <c r="B3058" s="7" cm="1">
        <f t="array" aca="1" ref="B3058" ca="1">interpolexp(A3058,serie_du,Taxas_DI)</f>
        <v>0.12304001343403925</v>
      </c>
      <c r="C3058" s="37">
        <f t="shared" ca="1" si="142"/>
        <v>4.086411883635952</v>
      </c>
      <c r="D3058" s="36">
        <f t="shared" ca="1" si="144"/>
        <v>0.12304024672581559</v>
      </c>
      <c r="E3058" s="32">
        <v>0.12013001406343538</v>
      </c>
      <c r="F3058" s="35">
        <f t="shared" ca="1" si="143"/>
        <v>2.9099993706038774E-3</v>
      </c>
    </row>
    <row r="3059" spans="1:6" x14ac:dyDescent="0.25">
      <c r="A3059" s="23">
        <v>3058</v>
      </c>
      <c r="B3059" s="7" cm="1">
        <f t="array" aca="1" ref="B3059" ca="1">interpolexp(A3059,serie_du,Taxas_DI)</f>
        <v>0.12304001351031157</v>
      </c>
      <c r="C3059" s="37">
        <f t="shared" ca="1" si="142"/>
        <v>4.0882940044270528</v>
      </c>
      <c r="D3059" s="36">
        <f t="shared" ca="1" si="144"/>
        <v>0.12304024667486702</v>
      </c>
      <c r="E3059" s="32">
        <v>0.12013001414596935</v>
      </c>
      <c r="F3059" s="35">
        <f t="shared" ca="1" si="143"/>
        <v>2.9099993643422195E-3</v>
      </c>
    </row>
    <row r="3060" spans="1:6" x14ac:dyDescent="0.25">
      <c r="A3060" s="23">
        <v>3059</v>
      </c>
      <c r="B3060" s="7" cm="1">
        <f t="array" aca="1" ref="B3060" ca="1">interpolexp(A3060,serie_du,Taxas_DI)</f>
        <v>0.12304001358653949</v>
      </c>
      <c r="C3060" s="37">
        <f t="shared" ca="1" si="142"/>
        <v>4.0901769920861435</v>
      </c>
      <c r="D3060" s="36">
        <f t="shared" ca="1" si="144"/>
        <v>0.12304024669150793</v>
      </c>
      <c r="E3060" s="32">
        <v>0.12013001422843672</v>
      </c>
      <c r="F3060" s="35">
        <f t="shared" ca="1" si="143"/>
        <v>2.9099993581027661E-3</v>
      </c>
    </row>
    <row r="3061" spans="1:6" x14ac:dyDescent="0.25">
      <c r="A3061" s="23">
        <v>3060</v>
      </c>
      <c r="B3061" s="7" cm="1">
        <f t="array" aca="1" ref="B3061" ca="1">interpolexp(A3061,serie_du,Taxas_DI)</f>
        <v>0.12304001366272299</v>
      </c>
      <c r="C3061" s="37">
        <f t="shared" ca="1" si="142"/>
        <v>4.0920608470124842</v>
      </c>
      <c r="D3061" s="36">
        <f t="shared" ca="1" si="144"/>
        <v>0.12304024670800984</v>
      </c>
      <c r="E3061" s="32">
        <v>0.12013001431085968</v>
      </c>
      <c r="F3061" s="35">
        <f t="shared" ca="1" si="143"/>
        <v>2.9099993518633127E-3</v>
      </c>
    </row>
    <row r="3062" spans="1:6" x14ac:dyDescent="0.25">
      <c r="A3062" s="23">
        <v>3061</v>
      </c>
      <c r="B3062" s="7" cm="1">
        <f t="array" aca="1" ref="B3062" ca="1">interpolexp(A3062,serie_du,Taxas_DI)</f>
        <v>0.12304001373883988</v>
      </c>
      <c r="C3062" s="37">
        <f t="shared" ca="1" si="142"/>
        <v>4.0939455696045384</v>
      </c>
      <c r="D3062" s="36">
        <f t="shared" ca="1" si="144"/>
        <v>0.12304024665653213</v>
      </c>
      <c r="E3062" s="32">
        <v>0.12013001439321602</v>
      </c>
      <c r="F3062" s="35">
        <f t="shared" ca="1" si="143"/>
        <v>2.9099993456238593E-3</v>
      </c>
    </row>
    <row r="3063" spans="1:6" x14ac:dyDescent="0.25">
      <c r="A3063" s="23">
        <v>3062</v>
      </c>
      <c r="B3063" s="7" cm="1">
        <f t="array" aca="1" ref="B3063" ca="1">interpolexp(A3063,serie_du,Taxas_DI)</f>
        <v>0.12304001381491236</v>
      </c>
      <c r="C3063" s="37">
        <f t="shared" ca="1" si="142"/>
        <v>4.0958311602629154</v>
      </c>
      <c r="D3063" s="36">
        <f t="shared" ca="1" si="144"/>
        <v>0.12304024667279423</v>
      </c>
      <c r="E3063" s="32">
        <v>0.12013001447552796</v>
      </c>
      <c r="F3063" s="35">
        <f t="shared" ca="1" si="143"/>
        <v>2.9099993393844059E-3</v>
      </c>
    </row>
    <row r="3064" spans="1:6" x14ac:dyDescent="0.25">
      <c r="A3064" s="23">
        <v>3063</v>
      </c>
      <c r="B3064" s="7" cm="1">
        <f t="array" aca="1" ref="B3064" ca="1">interpolexp(A3064,serie_du,Taxas_DI)</f>
        <v>0.12304001389094044</v>
      </c>
      <c r="C3064" s="37">
        <f t="shared" ca="1" si="142"/>
        <v>4.0977176193874278</v>
      </c>
      <c r="D3064" s="36">
        <f t="shared" ca="1" si="144"/>
        <v>0.12304024668893043</v>
      </c>
      <c r="E3064" s="32">
        <v>0.12013001455779548</v>
      </c>
      <c r="F3064" s="35">
        <f t="shared" ca="1" si="143"/>
        <v>2.9099993331449525E-3</v>
      </c>
    </row>
    <row r="3065" spans="1:6" x14ac:dyDescent="0.25">
      <c r="A3065" s="23">
        <v>3064</v>
      </c>
      <c r="B3065" s="7" cm="1">
        <f t="array" aca="1" ref="B3065" ca="1">interpolexp(A3065,serie_du,Taxas_DI)</f>
        <v>0.1230400139669241</v>
      </c>
      <c r="C3065" s="37">
        <f t="shared" ca="1" si="142"/>
        <v>4.0996049473780705</v>
      </c>
      <c r="D3065" s="36">
        <f t="shared" ca="1" si="144"/>
        <v>0.12304024670481706</v>
      </c>
      <c r="E3065" s="32">
        <v>0.1201300146399964</v>
      </c>
      <c r="F3065" s="35">
        <f t="shared" ca="1" si="143"/>
        <v>2.9099993269277036E-3</v>
      </c>
    </row>
    <row r="3066" spans="1:6" x14ac:dyDescent="0.25">
      <c r="A3066" s="23">
        <v>3065</v>
      </c>
      <c r="B3066" s="7" cm="1">
        <f t="array" aca="1" ref="B3066" ca="1">interpolexp(A3066,serie_du,Taxas_DI)</f>
        <v>0.12304001404284115</v>
      </c>
      <c r="C3066" s="37">
        <f t="shared" ca="1" si="142"/>
        <v>4.1014931446340412</v>
      </c>
      <c r="D3066" s="36">
        <f t="shared" ca="1" si="144"/>
        <v>0.12304024665276692</v>
      </c>
      <c r="E3066" s="32">
        <v>0.1201300147221307</v>
      </c>
      <c r="F3066" s="35">
        <f t="shared" ca="1" si="143"/>
        <v>2.9099993207104546E-3</v>
      </c>
    </row>
    <row r="3067" spans="1:6" x14ac:dyDescent="0.25">
      <c r="A3067" s="23">
        <v>3066</v>
      </c>
      <c r="B3067" s="7" cm="1">
        <f t="array" aca="1" ref="B3067" ca="1">interpolexp(A3067,serie_du,Taxas_DI)</f>
        <v>0.123040014118736</v>
      </c>
      <c r="C3067" s="37">
        <f t="shared" ca="1" si="142"/>
        <v>4.1033822115576761</v>
      </c>
      <c r="D3067" s="36">
        <f t="shared" ca="1" si="144"/>
        <v>0.12304024673655167</v>
      </c>
      <c r="E3067" s="32">
        <v>0.12013001480424279</v>
      </c>
      <c r="F3067" s="35">
        <f t="shared" ca="1" si="143"/>
        <v>2.9099993144932057E-3</v>
      </c>
    </row>
    <row r="3068" spans="1:6" x14ac:dyDescent="0.25">
      <c r="A3068" s="23">
        <v>3067</v>
      </c>
      <c r="B3068" s="7" cm="1">
        <f t="array" aca="1" ref="B3068" ca="1">interpolexp(A3068,serie_du,Taxas_DI)</f>
        <v>0.12304001419456423</v>
      </c>
      <c r="C3068" s="37">
        <f t="shared" ca="1" si="142"/>
        <v>4.1052721485475496</v>
      </c>
      <c r="D3068" s="36">
        <f t="shared" ca="1" si="144"/>
        <v>0.12304024668391267</v>
      </c>
      <c r="E3068" s="32">
        <v>0.12013001488626607</v>
      </c>
      <c r="F3068" s="35">
        <f t="shared" ca="1" si="143"/>
        <v>2.9099993082981612E-3</v>
      </c>
    </row>
    <row r="3069" spans="1:6" x14ac:dyDescent="0.25">
      <c r="A3069" s="23">
        <v>3068</v>
      </c>
      <c r="B3069" s="7" cm="1">
        <f t="array" aca="1" ref="B3069" ca="1">interpolexp(A3069,serie_du,Taxas_DI)</f>
        <v>0.12304001427032585</v>
      </c>
      <c r="C3069" s="37">
        <f t="shared" ca="1" si="142"/>
        <v>4.1071629560043945</v>
      </c>
      <c r="D3069" s="36">
        <f t="shared" ca="1" si="144"/>
        <v>0.12304024663120683</v>
      </c>
      <c r="E3069" s="32">
        <v>0.12013001496826714</v>
      </c>
      <c r="F3069" s="35">
        <f t="shared" ca="1" si="143"/>
        <v>2.9099993020587078E-3</v>
      </c>
    </row>
    <row r="3070" spans="1:6" x14ac:dyDescent="0.25">
      <c r="A3070" s="23">
        <v>3069</v>
      </c>
      <c r="B3070" s="7" cm="1">
        <f t="array" aca="1" ref="B3070" ca="1">interpolexp(A3070,serie_du,Taxas_DI)</f>
        <v>0.12304001434606526</v>
      </c>
      <c r="C3070" s="37">
        <f t="shared" ca="1" si="142"/>
        <v>4.1090546343311054</v>
      </c>
      <c r="D3070" s="36">
        <f t="shared" ca="1" si="144"/>
        <v>0.12304024671458325</v>
      </c>
      <c r="E3070" s="32">
        <v>0.1201300150502016</v>
      </c>
      <c r="F3070" s="35">
        <f t="shared" ca="1" si="143"/>
        <v>2.9099992958636633E-3</v>
      </c>
    </row>
    <row r="3071" spans="1:6" x14ac:dyDescent="0.25">
      <c r="A3071" s="23">
        <v>3070</v>
      </c>
      <c r="B3071" s="7" cm="1">
        <f t="array" aca="1" ref="B3071" ca="1">interpolexp(A3071,serie_du,Taxas_DI)</f>
        <v>0.12304001442173806</v>
      </c>
      <c r="C3071" s="37">
        <f t="shared" ca="1" si="142"/>
        <v>4.1109471839268092</v>
      </c>
      <c r="D3071" s="36">
        <f t="shared" ca="1" si="144"/>
        <v>0.12304024666163138</v>
      </c>
      <c r="E3071" s="32">
        <v>0.12013001513206945</v>
      </c>
      <c r="F3071" s="35">
        <f t="shared" ca="1" si="143"/>
        <v>2.9099992896686189E-3</v>
      </c>
    </row>
    <row r="3072" spans="1:6" x14ac:dyDescent="0.25">
      <c r="A3072" s="23">
        <v>3071</v>
      </c>
      <c r="B3072" s="7" cm="1">
        <f t="array" aca="1" ref="B3072" ca="1">interpolexp(A3072,serie_du,Taxas_DI)</f>
        <v>0.12304001449738866</v>
      </c>
      <c r="C3072" s="37">
        <f t="shared" ca="1" si="142"/>
        <v>4.1128406051947728</v>
      </c>
      <c r="D3072" s="36">
        <f t="shared" ca="1" si="144"/>
        <v>0.12304024674478686</v>
      </c>
      <c r="E3072" s="32">
        <v>0.12013001521391509</v>
      </c>
      <c r="F3072" s="35">
        <f t="shared" ca="1" si="143"/>
        <v>2.9099992834735744E-3</v>
      </c>
    </row>
    <row r="3073" spans="1:6" x14ac:dyDescent="0.25">
      <c r="A3073" s="23">
        <v>3072</v>
      </c>
      <c r="B3073" s="7" cm="1">
        <f t="array" aca="1" ref="B3073" ca="1">interpolexp(A3073,serie_du,Taxas_DI)</f>
        <v>0.12304001457295044</v>
      </c>
      <c r="C3073" s="37">
        <f t="shared" ca="1" si="142"/>
        <v>4.1147348985334951</v>
      </c>
      <c r="D3073" s="36">
        <f t="shared" ca="1" si="144"/>
        <v>0.12304024662315882</v>
      </c>
      <c r="E3073" s="32">
        <v>0.12013001529567191</v>
      </c>
      <c r="F3073" s="35">
        <f t="shared" ca="1" si="143"/>
        <v>2.9099992772785299E-3</v>
      </c>
    </row>
    <row r="3074" spans="1:6" x14ac:dyDescent="0.25">
      <c r="A3074" s="23">
        <v>3073</v>
      </c>
      <c r="B3074" s="7" cm="1">
        <f t="array" aca="1" ref="B3074" ca="1">interpolexp(A3074,serie_du,Taxas_DI)</f>
        <v>0.12304001464849001</v>
      </c>
      <c r="C3074" s="37">
        <f t="shared" ref="C3074:C3137" ca="1" si="145">(1+B3074)^(A3074/252)</f>
        <v>4.1166300643476088</v>
      </c>
      <c r="D3074" s="36">
        <f t="shared" ca="1" si="144"/>
        <v>0.1230402467061309</v>
      </c>
      <c r="E3074" s="32">
        <v>0.12013001537740653</v>
      </c>
      <c r="F3074" s="35">
        <f t="shared" ref="F3074:F3137" ca="1" si="146">B3074-E3074</f>
        <v>2.9099992710834854E-3</v>
      </c>
    </row>
    <row r="3075" spans="1:6" x14ac:dyDescent="0.25">
      <c r="A3075" s="23">
        <v>3074</v>
      </c>
      <c r="B3075" s="7" cm="1">
        <f t="array" aca="1" ref="B3075" ca="1">interpolexp(A3075,serie_du,Taxas_DI)</f>
        <v>0.12304001472398518</v>
      </c>
      <c r="C3075" s="37">
        <f t="shared" ca="1" si="145"/>
        <v>4.1185261030379632</v>
      </c>
      <c r="D3075" s="36">
        <f t="shared" ca="1" si="144"/>
        <v>0.12304024672060287</v>
      </c>
      <c r="E3075" s="32">
        <v>0.12013001545907454</v>
      </c>
      <c r="F3075" s="35">
        <f t="shared" ca="1" si="146"/>
        <v>2.9099992649106454E-3</v>
      </c>
    </row>
    <row r="3076" spans="1:6" x14ac:dyDescent="0.25">
      <c r="A3076" s="23">
        <v>3075</v>
      </c>
      <c r="B3076" s="7" cm="1">
        <f t="array" aca="1" ref="B3076" ca="1">interpolexp(A3076,serie_du,Taxas_DI)</f>
        <v>0.12304001479941373</v>
      </c>
      <c r="C3076" s="37">
        <f t="shared" ca="1" si="145"/>
        <v>4.1204230150055947</v>
      </c>
      <c r="D3076" s="36">
        <f t="shared" ref="D3076:D3139" ca="1" si="147">((((1+B3076)^(A3076/252))/((1+B3075)^(A3075/252)))^(252/1))-1</f>
        <v>0.12304024666683611</v>
      </c>
      <c r="E3076" s="32">
        <v>0.12013001554067593</v>
      </c>
      <c r="F3076" s="35">
        <f t="shared" ca="1" si="146"/>
        <v>2.9099992587378054E-3</v>
      </c>
    </row>
    <row r="3077" spans="1:6" x14ac:dyDescent="0.25">
      <c r="A3077" s="23">
        <v>3076</v>
      </c>
      <c r="B3077" s="7" cm="1">
        <f t="array" aca="1" ref="B3077" ca="1">interpolexp(A3077,serie_du,Taxas_DI)</f>
        <v>0.12304001487479788</v>
      </c>
      <c r="C3077" s="37">
        <f t="shared" ca="1" si="145"/>
        <v>4.1223208006537062</v>
      </c>
      <c r="D3077" s="36">
        <f t="shared" ca="1" si="147"/>
        <v>0.12304024668102764</v>
      </c>
      <c r="E3077" s="32">
        <v>0.12013001562225512</v>
      </c>
      <c r="F3077" s="35">
        <f t="shared" ca="1" si="146"/>
        <v>2.9099992525427609E-3</v>
      </c>
    </row>
    <row r="3078" spans="1:6" x14ac:dyDescent="0.25">
      <c r="A3078" s="23">
        <v>3077</v>
      </c>
      <c r="B3078" s="7" cm="1">
        <f t="array" aca="1" ref="B3078" ca="1">interpolexp(A3078,serie_du,Taxas_DI)</f>
        <v>0.12304001485967664</v>
      </c>
      <c r="C3078" s="37">
        <f t="shared" ca="1" si="145"/>
        <v>4.1242194563283556</v>
      </c>
      <c r="D3078" s="36">
        <f t="shared" ca="1" si="147"/>
        <v>0.12303996834686148</v>
      </c>
      <c r="E3078" s="32">
        <v>0.12013001570376769</v>
      </c>
      <c r="F3078" s="35">
        <f t="shared" ca="1" si="146"/>
        <v>2.9099991559089489E-3</v>
      </c>
    </row>
    <row r="3079" spans="1:6" x14ac:dyDescent="0.25">
      <c r="A3079" s="23">
        <v>3078</v>
      </c>
      <c r="B3079" s="7" cm="1">
        <f t="array" aca="1" ref="B3079" ca="1">interpolexp(A3079,serie_du,Taxas_DI)</f>
        <v>0.1230400148445554</v>
      </c>
      <c r="C3079" s="37">
        <f t="shared" ca="1" si="145"/>
        <v>4.1261189864840846</v>
      </c>
      <c r="D3079" s="36">
        <f t="shared" ca="1" si="147"/>
        <v>0.12303996831647246</v>
      </c>
      <c r="E3079" s="32">
        <v>0.12013001578521365</v>
      </c>
      <c r="F3079" s="35">
        <f t="shared" ca="1" si="146"/>
        <v>2.9099990593417502E-3</v>
      </c>
    </row>
    <row r="3080" spans="1:6" x14ac:dyDescent="0.25">
      <c r="A3080" s="23">
        <v>3079</v>
      </c>
      <c r="B3080" s="7" cm="1">
        <f t="array" aca="1" ref="B3080" ca="1">interpolexp(A3080,serie_du,Taxas_DI)</f>
        <v>0.12304001482945637</v>
      </c>
      <c r="C3080" s="37">
        <f t="shared" ca="1" si="145"/>
        <v>4.1280193915246608</v>
      </c>
      <c r="D3080" s="36">
        <f t="shared" ca="1" si="147"/>
        <v>0.1230399683545762</v>
      </c>
      <c r="E3080" s="32">
        <v>0.1201300158666152</v>
      </c>
      <c r="F3080" s="35">
        <f t="shared" ca="1" si="146"/>
        <v>2.9099989628411649E-3</v>
      </c>
    </row>
    <row r="3081" spans="1:6" x14ac:dyDescent="0.25">
      <c r="A3081" s="23">
        <v>3080</v>
      </c>
      <c r="B3081" s="7" cm="1">
        <f t="array" aca="1" ref="B3081" ca="1">interpolexp(A3081,serie_du,Taxas_DI)</f>
        <v>0.12304001481435733</v>
      </c>
      <c r="C3081" s="37">
        <f t="shared" ca="1" si="145"/>
        <v>4.1299206718520409</v>
      </c>
      <c r="D3081" s="36">
        <f t="shared" ca="1" si="147"/>
        <v>0.12303996832444808</v>
      </c>
      <c r="E3081" s="32">
        <v>0.12013001594797235</v>
      </c>
      <c r="F3081" s="35">
        <f t="shared" ca="1" si="146"/>
        <v>2.9099988663849885E-3</v>
      </c>
    </row>
    <row r="3082" spans="1:6" x14ac:dyDescent="0.25">
      <c r="A3082" s="23">
        <v>3081</v>
      </c>
      <c r="B3082" s="7" cm="1">
        <f t="array" aca="1" ref="B3082" ca="1">interpolexp(A3082,serie_du,Taxas_DI)</f>
        <v>0.1230400147992583</v>
      </c>
      <c r="C3082" s="37">
        <f t="shared" ca="1" si="145"/>
        <v>4.1318228278693647</v>
      </c>
      <c r="D3082" s="36">
        <f t="shared" ca="1" si="147"/>
        <v>0.12303996829427555</v>
      </c>
      <c r="E3082" s="32">
        <v>0.12013001602926288</v>
      </c>
      <c r="F3082" s="35">
        <f t="shared" ca="1" si="146"/>
        <v>2.9099987699954255E-3</v>
      </c>
    </row>
    <row r="3083" spans="1:6" x14ac:dyDescent="0.25">
      <c r="A3083" s="23">
        <v>3082</v>
      </c>
      <c r="B3083" s="7" cm="1">
        <f t="array" aca="1" ref="B3083" ca="1">interpolexp(A3083,serie_du,Taxas_DI)</f>
        <v>0.12304001478418147</v>
      </c>
      <c r="C3083" s="37">
        <f t="shared" ca="1" si="145"/>
        <v>4.1337258599809532</v>
      </c>
      <c r="D3083" s="36">
        <f t="shared" ca="1" si="147"/>
        <v>0.12303996833241282</v>
      </c>
      <c r="E3083" s="32">
        <v>0.120130016110509</v>
      </c>
      <c r="F3083" s="35">
        <f t="shared" ca="1" si="146"/>
        <v>2.9099986736724759E-3</v>
      </c>
    </row>
    <row r="3084" spans="1:6" x14ac:dyDescent="0.25">
      <c r="A3084" s="23">
        <v>3083</v>
      </c>
      <c r="B3084" s="7" cm="1">
        <f t="array" aca="1" ref="B3084" ca="1">interpolexp(A3084,serie_du,Taxas_DI)</f>
        <v>0.12304001476912685</v>
      </c>
      <c r="C3084" s="37">
        <f t="shared" ca="1" si="145"/>
        <v>4.1356297685903209</v>
      </c>
      <c r="D3084" s="36">
        <f t="shared" ca="1" si="147"/>
        <v>0.12303996837080367</v>
      </c>
      <c r="E3084" s="32">
        <v>0.12013001619171071</v>
      </c>
      <c r="F3084" s="35">
        <f t="shared" ca="1" si="146"/>
        <v>2.9099985774161397E-3</v>
      </c>
    </row>
    <row r="3085" spans="1:6" x14ac:dyDescent="0.25">
      <c r="A3085" s="23">
        <v>3084</v>
      </c>
      <c r="B3085" s="7" cm="1">
        <f t="array" aca="1" ref="B3085" ca="1">interpolexp(A3085,serie_du,Taxas_DI)</f>
        <v>0.12304001475405002</v>
      </c>
      <c r="C3085" s="37">
        <f t="shared" ca="1" si="145"/>
        <v>4.1375345540991635</v>
      </c>
      <c r="D3085" s="36">
        <f t="shared" ca="1" si="147"/>
        <v>0.12303996827217145</v>
      </c>
      <c r="E3085" s="32">
        <v>0.12013001627284581</v>
      </c>
      <c r="F3085" s="35">
        <f t="shared" ca="1" si="146"/>
        <v>2.9099984812042123E-3</v>
      </c>
    </row>
    <row r="3086" spans="1:6" x14ac:dyDescent="0.25">
      <c r="A3086" s="23">
        <v>3085</v>
      </c>
      <c r="B3086" s="7" cm="1">
        <f t="array" aca="1" ref="B3086" ca="1">interpolexp(A3086,serie_du,Taxas_DI)</f>
        <v>0.1230400147390176</v>
      </c>
      <c r="C3086" s="37">
        <f t="shared" ca="1" si="145"/>
        <v>4.1394402169143651</v>
      </c>
      <c r="D3086" s="36">
        <f t="shared" ca="1" si="147"/>
        <v>0.12303996837903353</v>
      </c>
      <c r="E3086" s="32">
        <v>0.1201300163539365</v>
      </c>
      <c r="F3086" s="35">
        <f t="shared" ca="1" si="146"/>
        <v>2.9099983850811029E-3</v>
      </c>
    </row>
    <row r="3087" spans="1:6" x14ac:dyDescent="0.25">
      <c r="A3087" s="23">
        <v>3086</v>
      </c>
      <c r="B3087" s="7" cm="1">
        <f t="array" aca="1" ref="B3087" ca="1">interpolexp(A3087,serie_du,Taxas_DI)</f>
        <v>0.12304001472396298</v>
      </c>
      <c r="C3087" s="37">
        <f t="shared" ca="1" si="145"/>
        <v>4.1413467574369918</v>
      </c>
      <c r="D3087" s="36">
        <f t="shared" ca="1" si="147"/>
        <v>0.12303996828046326</v>
      </c>
      <c r="E3087" s="32">
        <v>0.12013001643496057</v>
      </c>
      <c r="F3087" s="35">
        <f t="shared" ca="1" si="146"/>
        <v>2.9099982890024023E-3</v>
      </c>
    </row>
    <row r="3088" spans="1:6" x14ac:dyDescent="0.25">
      <c r="A3088" s="23">
        <v>3087</v>
      </c>
      <c r="B3088" s="7" cm="1">
        <f t="array" aca="1" ref="B3088" ca="1">interpolexp(A3088,serie_du,Taxas_DI)</f>
        <v>0.12304001470895276</v>
      </c>
      <c r="C3088" s="37">
        <f t="shared" ca="1" si="145"/>
        <v>4.1432541760743034</v>
      </c>
      <c r="D3088" s="36">
        <f t="shared" ca="1" si="147"/>
        <v>0.1230399683873773</v>
      </c>
      <c r="E3088" s="32">
        <v>0.12013001651594024</v>
      </c>
      <c r="F3088" s="35">
        <f t="shared" ca="1" si="146"/>
        <v>2.9099981930125196E-3</v>
      </c>
    </row>
    <row r="3089" spans="1:6" x14ac:dyDescent="0.25">
      <c r="A3089" s="23">
        <v>3088</v>
      </c>
      <c r="B3089" s="7" cm="1">
        <f t="array" aca="1" ref="B3089" ca="1">interpolexp(A3089,serie_du,Taxas_DI)</f>
        <v>0.12304001469392034</v>
      </c>
      <c r="C3089" s="37">
        <f t="shared" ca="1" si="145"/>
        <v>4.1451624732277352</v>
      </c>
      <c r="D3089" s="36">
        <f t="shared" ca="1" si="147"/>
        <v>0.12303996828886876</v>
      </c>
      <c r="E3089" s="32">
        <v>0.1201300165968755</v>
      </c>
      <c r="F3089" s="35">
        <f t="shared" ca="1" si="146"/>
        <v>2.9099980970448414E-3</v>
      </c>
    </row>
    <row r="3090" spans="1:6" x14ac:dyDescent="0.25">
      <c r="A3090" s="23">
        <v>3089</v>
      </c>
      <c r="B3090" s="7" cm="1">
        <f t="array" aca="1" ref="B3090" ca="1">interpolexp(A3090,serie_du,Taxas_DI)</f>
        <v>0.12304001467891013</v>
      </c>
      <c r="C3090" s="37">
        <f t="shared" ca="1" si="145"/>
        <v>4.1470716493039177</v>
      </c>
      <c r="D3090" s="36">
        <f t="shared" ca="1" si="147"/>
        <v>0.12303996832733732</v>
      </c>
      <c r="E3090" s="32">
        <v>0.12013001667774414</v>
      </c>
      <c r="F3090" s="35">
        <f t="shared" ca="1" si="146"/>
        <v>2.909998001165981E-3</v>
      </c>
    </row>
    <row r="3091" spans="1:6" x14ac:dyDescent="0.25">
      <c r="A3091" s="23">
        <v>3090</v>
      </c>
      <c r="B3091" s="7" cm="1">
        <f t="array" aca="1" ref="B3091" ca="1">interpolexp(A3091,serie_du,Taxas_DI)</f>
        <v>0.12304001466392211</v>
      </c>
      <c r="C3091" s="37">
        <f t="shared" ca="1" si="145"/>
        <v>4.1489817047076691</v>
      </c>
      <c r="D3091" s="36">
        <f t="shared" ca="1" si="147"/>
        <v>0.12303996836594133</v>
      </c>
      <c r="E3091" s="32">
        <v>0.12013001675856838</v>
      </c>
      <c r="F3091" s="35">
        <f t="shared" ca="1" si="146"/>
        <v>2.9099979053537339E-3</v>
      </c>
    </row>
    <row r="3092" spans="1:6" x14ac:dyDescent="0.25">
      <c r="A3092" s="23">
        <v>3091</v>
      </c>
      <c r="B3092" s="7" cm="1">
        <f t="array" aca="1" ref="B3092" ca="1">interpolexp(A3092,serie_du,Taxas_DI)</f>
        <v>0.1230400146489341</v>
      </c>
      <c r="C3092" s="37">
        <f t="shared" ca="1" si="145"/>
        <v>4.1508926398429828</v>
      </c>
      <c r="D3092" s="36">
        <f t="shared" ca="1" si="147"/>
        <v>0.1230399683359924</v>
      </c>
      <c r="E3092" s="32">
        <v>0.12013001683934821</v>
      </c>
      <c r="F3092" s="35">
        <f t="shared" ca="1" si="146"/>
        <v>2.9099978095858958E-3</v>
      </c>
    </row>
    <row r="3093" spans="1:6" x14ac:dyDescent="0.25">
      <c r="A3093" s="23">
        <v>3092</v>
      </c>
      <c r="B3093" s="7" cm="1">
        <f t="array" aca="1" ref="B3093" ca="1">interpolexp(A3093,serie_du,Taxas_DI)</f>
        <v>0.12304001463394609</v>
      </c>
      <c r="C3093" s="37">
        <f t="shared" ca="1" si="145"/>
        <v>4.1528044551150458</v>
      </c>
      <c r="D3093" s="36">
        <f t="shared" ca="1" si="147"/>
        <v>0.12303996830610431</v>
      </c>
      <c r="E3093" s="32">
        <v>0.12013001671096202</v>
      </c>
      <c r="F3093" s="35">
        <f t="shared" ca="1" si="146"/>
        <v>2.9099979229840756E-3</v>
      </c>
    </row>
    <row r="3094" spans="1:6" x14ac:dyDescent="0.25">
      <c r="A3094" s="23">
        <v>3093</v>
      </c>
      <c r="B3094" s="7" cm="1">
        <f t="array" aca="1" ref="B3094" ca="1">interpolexp(A3094,serie_du,Taxas_DI)</f>
        <v>0.12304001461898029</v>
      </c>
      <c r="C3094" s="37">
        <f t="shared" ca="1" si="145"/>
        <v>4.1547171509302352</v>
      </c>
      <c r="D3094" s="36">
        <f t="shared" ca="1" si="147"/>
        <v>0.12303996834459907</v>
      </c>
      <c r="E3094" s="32">
        <v>0.12013001658264244</v>
      </c>
      <c r="F3094" s="35">
        <f t="shared" ca="1" si="146"/>
        <v>2.9099980363378464E-3</v>
      </c>
    </row>
    <row r="3095" spans="1:6" x14ac:dyDescent="0.25">
      <c r="A3095" s="23">
        <v>3094</v>
      </c>
      <c r="B3095" s="7" cm="1">
        <f t="array" aca="1" ref="B3095" ca="1">interpolexp(A3095,serie_du,Taxas_DI)</f>
        <v>0.12304001460401448</v>
      </c>
      <c r="C3095" s="37">
        <f t="shared" ca="1" si="145"/>
        <v>4.1566307276931092</v>
      </c>
      <c r="D3095" s="36">
        <f t="shared" ca="1" si="147"/>
        <v>0.12303996831490105</v>
      </c>
      <c r="E3095" s="32">
        <v>0.12013001645441168</v>
      </c>
      <c r="F3095" s="35">
        <f t="shared" ca="1" si="146"/>
        <v>2.9099981496027993E-3</v>
      </c>
    </row>
    <row r="3096" spans="1:6" x14ac:dyDescent="0.25">
      <c r="A3096" s="23">
        <v>3095</v>
      </c>
      <c r="B3096" s="7" cm="1">
        <f t="array" aca="1" ref="B3096" ca="1">interpolexp(A3096,serie_du,Taxas_DI)</f>
        <v>0.12304001458907088</v>
      </c>
      <c r="C3096" s="37">
        <f t="shared" ca="1" si="145"/>
        <v>4.158545185810417</v>
      </c>
      <c r="D3096" s="36">
        <f t="shared" ca="1" si="147"/>
        <v>0.12303996835344289</v>
      </c>
      <c r="E3096" s="32">
        <v>0.12013001632626974</v>
      </c>
      <c r="F3096" s="35">
        <f t="shared" ca="1" si="146"/>
        <v>2.9099982628011389E-3</v>
      </c>
    </row>
    <row r="3097" spans="1:6" x14ac:dyDescent="0.25">
      <c r="A3097" s="23">
        <v>3096</v>
      </c>
      <c r="B3097" s="7" cm="1">
        <f t="array" aca="1" ref="B3097" ca="1">interpolexp(A3097,serie_du,Taxas_DI)</f>
        <v>0.12304001457412728</v>
      </c>
      <c r="C3097" s="37">
        <f t="shared" ca="1" si="145"/>
        <v>4.160460525687089</v>
      </c>
      <c r="D3097" s="36">
        <f t="shared" ca="1" si="147"/>
        <v>0.12303996832374198</v>
      </c>
      <c r="E3097" s="32">
        <v>0.12013001619821662</v>
      </c>
      <c r="F3097" s="35">
        <f t="shared" ca="1" si="146"/>
        <v>2.9099983759106607E-3</v>
      </c>
    </row>
    <row r="3098" spans="1:6" x14ac:dyDescent="0.25">
      <c r="A3098" s="23">
        <v>3097</v>
      </c>
      <c r="B3098" s="7" cm="1">
        <f t="array" aca="1" ref="B3098" ca="1">interpolexp(A3098,serie_du,Taxas_DI)</f>
        <v>0.12304001455918367</v>
      </c>
      <c r="C3098" s="37">
        <f t="shared" ca="1" si="145"/>
        <v>4.1623767477292413</v>
      </c>
      <c r="D3098" s="36">
        <f t="shared" ca="1" si="147"/>
        <v>0.12303996829377839</v>
      </c>
      <c r="E3098" s="32">
        <v>0.12013001607023011</v>
      </c>
      <c r="F3098" s="35">
        <f t="shared" ca="1" si="146"/>
        <v>2.9099984889535691E-3</v>
      </c>
    </row>
    <row r="3099" spans="1:6" x14ac:dyDescent="0.25">
      <c r="A3099" s="23">
        <v>3098</v>
      </c>
      <c r="B3099" s="7" cm="1">
        <f t="array" aca="1" ref="B3099" ca="1">interpolexp(A3099,serie_du,Taxas_DI)</f>
        <v>0.12304001454426228</v>
      </c>
      <c r="C3099" s="37">
        <f t="shared" ca="1" si="145"/>
        <v>4.1642938523441924</v>
      </c>
      <c r="D3099" s="36">
        <f t="shared" ca="1" si="147"/>
        <v>0.12303996833260444</v>
      </c>
      <c r="E3099" s="32">
        <v>0.12013001594233241</v>
      </c>
      <c r="F3099" s="35">
        <f t="shared" ca="1" si="146"/>
        <v>2.909998601929864E-3</v>
      </c>
    </row>
    <row r="3100" spans="1:6" x14ac:dyDescent="0.25">
      <c r="A3100" s="23">
        <v>3099</v>
      </c>
      <c r="B3100" s="7" cm="1">
        <f t="array" aca="1" ref="B3100" ca="1">interpolexp(A3100,serie_du,Taxas_DI)</f>
        <v>0.12304001452936308</v>
      </c>
      <c r="C3100" s="37">
        <f t="shared" ca="1" si="145"/>
        <v>4.1662118399384411</v>
      </c>
      <c r="D3100" s="36">
        <f t="shared" ca="1" si="147"/>
        <v>0.12303996837168429</v>
      </c>
      <c r="E3100" s="32">
        <v>0.12013001581452354</v>
      </c>
      <c r="F3100" s="35">
        <f t="shared" ca="1" si="146"/>
        <v>2.9099987148395456E-3</v>
      </c>
    </row>
    <row r="3101" spans="1:6" x14ac:dyDescent="0.25">
      <c r="A3101" s="23">
        <v>3100</v>
      </c>
      <c r="B3101" s="7" cm="1">
        <f t="array" aca="1" ref="B3101" ca="1">interpolexp(A3101,serie_du,Taxas_DI)</f>
        <v>0.12304001451444169</v>
      </c>
      <c r="C3101" s="37">
        <f t="shared" ca="1" si="145"/>
        <v>4.1681307109166426</v>
      </c>
      <c r="D3101" s="36">
        <f t="shared" ca="1" si="147"/>
        <v>0.1230399682730603</v>
      </c>
      <c r="E3101" s="32">
        <v>0.12013001568680348</v>
      </c>
      <c r="F3101" s="35">
        <f t="shared" ca="1" si="146"/>
        <v>2.9099988276382049E-3</v>
      </c>
    </row>
    <row r="3102" spans="1:6" x14ac:dyDescent="0.25">
      <c r="A3102" s="23">
        <v>3101</v>
      </c>
      <c r="B3102" s="7" cm="1">
        <f t="array" aca="1" ref="B3102" ca="1">interpolexp(A3102,serie_du,Taxas_DI)</f>
        <v>0.1230400144995647</v>
      </c>
      <c r="C3102" s="37">
        <f t="shared" ca="1" si="145"/>
        <v>4.1700504656887052</v>
      </c>
      <c r="D3102" s="36">
        <f t="shared" ca="1" si="147"/>
        <v>0.12303996838085829</v>
      </c>
      <c r="E3102" s="32">
        <v>0.12013001555915004</v>
      </c>
      <c r="F3102" s="35">
        <f t="shared" ca="1" si="146"/>
        <v>2.9099989404146598E-3</v>
      </c>
    </row>
    <row r="3103" spans="1:6" x14ac:dyDescent="0.25">
      <c r="A3103" s="23">
        <v>3102</v>
      </c>
      <c r="B3103" s="7" cm="1">
        <f t="array" aca="1" ref="B3103" ca="1">interpolexp(A3103,serie_du,Taxas_DI)</f>
        <v>0.12304001448466551</v>
      </c>
      <c r="C3103" s="37">
        <f t="shared" ca="1" si="145"/>
        <v>4.1719711046586472</v>
      </c>
      <c r="D3103" s="36">
        <f t="shared" ca="1" si="147"/>
        <v>0.1230399682824117</v>
      </c>
      <c r="E3103" s="32">
        <v>0.12013001543158541</v>
      </c>
      <c r="F3103" s="35">
        <f t="shared" ca="1" si="146"/>
        <v>2.9099990530800923E-3</v>
      </c>
    </row>
    <row r="3104" spans="1:6" x14ac:dyDescent="0.25">
      <c r="A3104" s="23">
        <v>3103</v>
      </c>
      <c r="B3104" s="7" cm="1">
        <f t="array" aca="1" ref="B3104" ca="1">interpolexp(A3104,serie_du,Taxas_DI)</f>
        <v>0.12304001446978852</v>
      </c>
      <c r="C3104" s="37">
        <f t="shared" ca="1" si="145"/>
        <v>4.1738926282357367</v>
      </c>
      <c r="D3104" s="36">
        <f t="shared" ca="1" si="147"/>
        <v>0.12303996832136388</v>
      </c>
      <c r="E3104" s="32">
        <v>0.1201300153040874</v>
      </c>
      <c r="F3104" s="35">
        <f t="shared" ca="1" si="146"/>
        <v>2.9099991657011159E-3</v>
      </c>
    </row>
    <row r="3105" spans="1:6" x14ac:dyDescent="0.25">
      <c r="A3105" s="23">
        <v>3104</v>
      </c>
      <c r="B3105" s="7" cm="1">
        <f t="array" aca="1" ref="B3105" ca="1">interpolexp(A3105,serie_du,Taxas_DI)</f>
        <v>0.12304001445493373</v>
      </c>
      <c r="C3105" s="37">
        <f t="shared" ca="1" si="145"/>
        <v>4.1758150368274096</v>
      </c>
      <c r="D3105" s="36">
        <f t="shared" ca="1" si="147"/>
        <v>0.12303996836048792</v>
      </c>
      <c r="E3105" s="32">
        <v>0.12013001517670041</v>
      </c>
      <c r="F3105" s="35">
        <f t="shared" ca="1" si="146"/>
        <v>2.9099992782333217E-3</v>
      </c>
    </row>
    <row r="3106" spans="1:6" x14ac:dyDescent="0.25">
      <c r="A3106" s="23">
        <v>3105</v>
      </c>
      <c r="B3106" s="7" cm="1">
        <f t="array" aca="1" ref="B3106" ca="1">interpolexp(A3106,serie_du,Taxas_DI)</f>
        <v>0.12304001444007895</v>
      </c>
      <c r="C3106" s="37">
        <f t="shared" ca="1" si="145"/>
        <v>4.1777383308402687</v>
      </c>
      <c r="D3106" s="36">
        <f t="shared" ca="1" si="147"/>
        <v>0.1230399683307879</v>
      </c>
      <c r="E3106" s="32">
        <v>0.12013001504938003</v>
      </c>
      <c r="F3106" s="35">
        <f t="shared" ca="1" si="146"/>
        <v>2.9099993906989141E-3</v>
      </c>
    </row>
    <row r="3107" spans="1:6" x14ac:dyDescent="0.25">
      <c r="A3107" s="23">
        <v>3106</v>
      </c>
      <c r="B3107" s="7" cm="1">
        <f t="array" aca="1" ref="B3107" ca="1">interpolexp(A3107,serie_du,Taxas_DI)</f>
        <v>0.12304001442522416</v>
      </c>
      <c r="C3107" s="37">
        <f t="shared" ca="1" si="145"/>
        <v>4.1796625106821228</v>
      </c>
      <c r="D3107" s="36">
        <f t="shared" ca="1" si="147"/>
        <v>0.12303996830124309</v>
      </c>
      <c r="E3107" s="32">
        <v>0.12013001492212627</v>
      </c>
      <c r="F3107" s="35">
        <f t="shared" ca="1" si="146"/>
        <v>2.9099995030978931E-3</v>
      </c>
    </row>
    <row r="3108" spans="1:6" x14ac:dyDescent="0.25">
      <c r="A3108" s="23">
        <v>3107</v>
      </c>
      <c r="B3108" s="7" cm="1">
        <f t="array" aca="1" ref="B3108" ca="1">interpolexp(A3108,serie_du,Taxas_DI)</f>
        <v>0.12304001441039158</v>
      </c>
      <c r="C3108" s="37">
        <f t="shared" ca="1" si="145"/>
        <v>4.1815875767619808</v>
      </c>
      <c r="D3108" s="36">
        <f t="shared" ca="1" si="147"/>
        <v>0.12303996834031961</v>
      </c>
      <c r="E3108" s="32">
        <v>0.12013001479498353</v>
      </c>
      <c r="F3108" s="35">
        <f t="shared" ca="1" si="146"/>
        <v>2.9099996154080543E-3</v>
      </c>
    </row>
    <row r="3109" spans="1:6" x14ac:dyDescent="0.25">
      <c r="A3109" s="23">
        <v>3108</v>
      </c>
      <c r="B3109" s="7" cm="1">
        <f t="array" aca="1" ref="B3109" ca="1">interpolexp(A3109,serie_du,Taxas_DI)</f>
        <v>0.12304001439558121</v>
      </c>
      <c r="C3109" s="37">
        <f t="shared" ca="1" si="145"/>
        <v>4.1835135294880299</v>
      </c>
      <c r="D3109" s="36">
        <f t="shared" ca="1" si="147"/>
        <v>0.12303996837978581</v>
      </c>
      <c r="E3109" s="32">
        <v>0.1201300146679074</v>
      </c>
      <c r="F3109" s="35">
        <f t="shared" ca="1" si="146"/>
        <v>2.9099997276738065E-3</v>
      </c>
    </row>
    <row r="3110" spans="1:6" x14ac:dyDescent="0.25">
      <c r="A3110" s="23">
        <v>3109</v>
      </c>
      <c r="B3110" s="7" cm="1">
        <f t="array" aca="1" ref="B3110" ca="1">interpolexp(A3110,serie_du,Taxas_DI)</f>
        <v>0.12304001438074863</v>
      </c>
      <c r="C3110" s="37">
        <f t="shared" ca="1" si="145"/>
        <v>4.1854403692665993</v>
      </c>
      <c r="D3110" s="36">
        <f t="shared" ca="1" si="147"/>
        <v>0.12303996828102837</v>
      </c>
      <c r="E3110" s="32">
        <v>0.12013001454092009</v>
      </c>
      <c r="F3110" s="35">
        <f t="shared" ca="1" si="146"/>
        <v>2.9099998398285365E-3</v>
      </c>
    </row>
    <row r="3111" spans="1:6" x14ac:dyDescent="0.25">
      <c r="A3111" s="23">
        <v>3110</v>
      </c>
      <c r="B3111" s="7" cm="1">
        <f t="array" aca="1" ref="B3111" ca="1">interpolexp(A3111,serie_du,Taxas_DI)</f>
        <v>0.12304001436593826</v>
      </c>
      <c r="C3111" s="37">
        <f t="shared" ca="1" si="145"/>
        <v>4.1873680965082904</v>
      </c>
      <c r="D3111" s="36">
        <f t="shared" ca="1" si="147"/>
        <v>0.12303996832054875</v>
      </c>
      <c r="E3111" s="32">
        <v>0.1201300144139994</v>
      </c>
      <c r="F3111" s="35">
        <f t="shared" ca="1" si="146"/>
        <v>2.9099999519388575E-3</v>
      </c>
    </row>
    <row r="3112" spans="1:6" x14ac:dyDescent="0.25">
      <c r="A3112" s="23">
        <v>3111</v>
      </c>
      <c r="B3112" s="7" cm="1">
        <f t="array" aca="1" ref="B3112" ca="1">interpolexp(A3112,serie_du,Taxas_DI)</f>
        <v>0.12304001435115008</v>
      </c>
      <c r="C3112" s="37">
        <f t="shared" ca="1" si="145"/>
        <v>4.1892967116218491</v>
      </c>
      <c r="D3112" s="36">
        <f t="shared" ca="1" si="147"/>
        <v>0.12303996835985975</v>
      </c>
      <c r="E3112" s="32">
        <v>0.12013001428716752</v>
      </c>
      <c r="F3112" s="35">
        <f t="shared" ca="1" si="146"/>
        <v>2.9100000639825652E-3</v>
      </c>
    </row>
    <row r="3113" spans="1:6" x14ac:dyDescent="0.25">
      <c r="A3113" s="23">
        <v>3112</v>
      </c>
      <c r="B3113" s="7" cm="1">
        <f t="array" aca="1" ref="B3113" ca="1">interpolexp(A3113,serie_du,Taxas_DI)</f>
        <v>0.12304001433636191</v>
      </c>
      <c r="C3113" s="37">
        <f t="shared" ca="1" si="145"/>
        <v>4.1912262150151918</v>
      </c>
      <c r="D3113" s="36">
        <f t="shared" ca="1" si="147"/>
        <v>0.12303996833041042</v>
      </c>
      <c r="E3113" s="32">
        <v>0.12013001416042446</v>
      </c>
      <c r="F3113" s="35">
        <f t="shared" ca="1" si="146"/>
        <v>2.910000175937455E-3</v>
      </c>
    </row>
    <row r="3114" spans="1:6" x14ac:dyDescent="0.25">
      <c r="A3114" s="23">
        <v>3113</v>
      </c>
      <c r="B3114" s="7" cm="1">
        <f t="array" aca="1" ref="B3114" ca="1">interpolexp(A3114,serie_du,Taxas_DI)</f>
        <v>0.12304001432157374</v>
      </c>
      <c r="C3114" s="37">
        <f t="shared" ca="1" si="145"/>
        <v>4.1931566070974382</v>
      </c>
      <c r="D3114" s="36">
        <f t="shared" ca="1" si="147"/>
        <v>0.1230399683007446</v>
      </c>
      <c r="E3114" s="32">
        <v>0.12013001403374801</v>
      </c>
      <c r="F3114" s="35">
        <f t="shared" ca="1" si="146"/>
        <v>2.9100002878257314E-3</v>
      </c>
    </row>
    <row r="3115" spans="1:6" x14ac:dyDescent="0.25">
      <c r="A3115" s="23">
        <v>3114</v>
      </c>
      <c r="B3115" s="7" cm="1">
        <f t="array" aca="1" ref="B3115" ca="1">interpolexp(A3115,serie_du,Taxas_DI)</f>
        <v>0.12304001430680778</v>
      </c>
      <c r="C3115" s="37">
        <f t="shared" ca="1" si="145"/>
        <v>4.1950878882789278</v>
      </c>
      <c r="D3115" s="36">
        <f t="shared" ca="1" si="147"/>
        <v>0.12303996834038156</v>
      </c>
      <c r="E3115" s="32">
        <v>0.12013001390716038</v>
      </c>
      <c r="F3115" s="35">
        <f t="shared" ca="1" si="146"/>
        <v>2.9100003996473944E-3</v>
      </c>
    </row>
    <row r="3116" spans="1:6" x14ac:dyDescent="0.25">
      <c r="A3116" s="23">
        <v>3115</v>
      </c>
      <c r="B3116" s="7" cm="1">
        <f t="array" aca="1" ref="B3116" ca="1">interpolexp(A3116,serie_du,Taxas_DI)</f>
        <v>0.12304001429206401</v>
      </c>
      <c r="C3116" s="37">
        <f t="shared" ca="1" si="145"/>
        <v>4.1970200589691604</v>
      </c>
      <c r="D3116" s="36">
        <f t="shared" ca="1" si="147"/>
        <v>0.12303996837998143</v>
      </c>
      <c r="E3116" s="32">
        <v>0.12013001378066157</v>
      </c>
      <c r="F3116" s="35">
        <f t="shared" ca="1" si="146"/>
        <v>2.9100005114024441E-3</v>
      </c>
    </row>
    <row r="3117" spans="1:6" x14ac:dyDescent="0.25">
      <c r="A3117" s="23">
        <v>3116</v>
      </c>
      <c r="B3117" s="7" cm="1">
        <f t="array" aca="1" ref="B3117" ca="1">interpolexp(A3117,serie_du,Taxas_DI)</f>
        <v>0.12304001427729805</v>
      </c>
      <c r="C3117" s="37">
        <f t="shared" ca="1" si="145"/>
        <v>4.1989531195757754</v>
      </c>
      <c r="D3117" s="36">
        <f t="shared" ca="1" si="147"/>
        <v>0.1230399682813399</v>
      </c>
      <c r="E3117" s="32">
        <v>0.12013001365425158</v>
      </c>
      <c r="F3117" s="35">
        <f t="shared" ca="1" si="146"/>
        <v>2.9100006230464714E-3</v>
      </c>
    </row>
    <row r="3118" spans="1:6" x14ac:dyDescent="0.25">
      <c r="A3118" s="23">
        <v>3117</v>
      </c>
      <c r="B3118" s="7" cm="1">
        <f t="array" aca="1" ref="B3118" ca="1">interpolexp(A3118,serie_du,Taxas_DI)</f>
        <v>0.12304001426255429</v>
      </c>
      <c r="C3118" s="37">
        <f t="shared" ca="1" si="145"/>
        <v>4.2008870705107002</v>
      </c>
      <c r="D3118" s="36">
        <f t="shared" ca="1" si="147"/>
        <v>0.12303996832092801</v>
      </c>
      <c r="E3118" s="32">
        <v>0.1201300135279082</v>
      </c>
      <c r="F3118" s="35">
        <f t="shared" ca="1" si="146"/>
        <v>2.9100007346460899E-3</v>
      </c>
    </row>
    <row r="3119" spans="1:6" x14ac:dyDescent="0.25">
      <c r="A3119" s="23">
        <v>3118</v>
      </c>
      <c r="B3119" s="7" cm="1">
        <f t="array" aca="1" ref="B3119" ca="1">interpolexp(A3119,serie_du,Taxas_DI)</f>
        <v>0.12304001424783273</v>
      </c>
      <c r="C3119" s="37">
        <f t="shared" ca="1" si="145"/>
        <v>4.2028219121840067</v>
      </c>
      <c r="D3119" s="36">
        <f t="shared" ca="1" si="147"/>
        <v>0.12303996836079989</v>
      </c>
      <c r="E3119" s="32">
        <v>0.12013001340165363</v>
      </c>
      <c r="F3119" s="35">
        <f t="shared" ca="1" si="146"/>
        <v>2.9100008461790949E-3</v>
      </c>
    </row>
    <row r="3120" spans="1:6" x14ac:dyDescent="0.25">
      <c r="A3120" s="23">
        <v>3119</v>
      </c>
      <c r="B3120" s="7" cm="1">
        <f t="array" aca="1" ref="B3120" ca="1">interpolexp(A3120,serie_du,Taxas_DI)</f>
        <v>0.12304001423311117</v>
      </c>
      <c r="C3120" s="37">
        <f t="shared" ca="1" si="145"/>
        <v>4.2047576450049187</v>
      </c>
      <c r="D3120" s="36">
        <f t="shared" ca="1" si="147"/>
        <v>0.12303996833122466</v>
      </c>
      <c r="E3120" s="32">
        <v>0.12013001327546569</v>
      </c>
      <c r="F3120" s="35">
        <f t="shared" ca="1" si="146"/>
        <v>2.9100009576454866E-3</v>
      </c>
    </row>
    <row r="3121" spans="1:6" x14ac:dyDescent="0.25">
      <c r="A3121" s="23">
        <v>3120</v>
      </c>
      <c r="B3121" s="7" cm="1">
        <f t="array" aca="1" ref="B3121" ca="1">interpolexp(A3121,serie_du,Taxas_DI)</f>
        <v>0.12304001421838962</v>
      </c>
      <c r="C3121" s="37">
        <f t="shared" ca="1" si="145"/>
        <v>4.2066942693838829</v>
      </c>
      <c r="D3121" s="36">
        <f t="shared" ca="1" si="147"/>
        <v>0.12303996830180886</v>
      </c>
      <c r="E3121" s="32">
        <v>0.12013001314936655</v>
      </c>
      <c r="F3121" s="35">
        <f t="shared" ca="1" si="146"/>
        <v>2.9100010690230604E-3</v>
      </c>
    </row>
    <row r="3122" spans="1:6" x14ac:dyDescent="0.25">
      <c r="A3122" s="23">
        <v>3121</v>
      </c>
      <c r="B3122" s="7" cm="1">
        <f t="array" aca="1" ref="B3122" ca="1">interpolexp(A3122,serie_du,Taxas_DI)</f>
        <v>0.12304001420369026</v>
      </c>
      <c r="C3122" s="37">
        <f t="shared" ca="1" si="145"/>
        <v>4.2086317857325621</v>
      </c>
      <c r="D3122" s="36">
        <f t="shared" ca="1" si="147"/>
        <v>0.12303996834171849</v>
      </c>
      <c r="E3122" s="32">
        <v>0.12013001302335624</v>
      </c>
      <c r="F3122" s="35">
        <f t="shared" ca="1" si="146"/>
        <v>2.9100011803340209E-3</v>
      </c>
    </row>
    <row r="3123" spans="1:6" x14ac:dyDescent="0.25">
      <c r="A3123" s="23">
        <v>3122</v>
      </c>
      <c r="B3123" s="7" cm="1">
        <f t="array" aca="1" ref="B3123" ca="1">interpolexp(A3123,serie_du,Taxas_DI)</f>
        <v>0.12304001418899091</v>
      </c>
      <c r="C3123" s="37">
        <f t="shared" ca="1" si="145"/>
        <v>4.2105701944607503</v>
      </c>
      <c r="D3123" s="36">
        <f t="shared" ca="1" si="147"/>
        <v>0.12303996831239306</v>
      </c>
      <c r="E3123" s="32">
        <v>0.12013001289741254</v>
      </c>
      <c r="F3123" s="35">
        <f t="shared" ca="1" si="146"/>
        <v>2.910001291578368E-3</v>
      </c>
    </row>
    <row r="3124" spans="1:6" x14ac:dyDescent="0.25">
      <c r="A3124" s="23">
        <v>3123</v>
      </c>
      <c r="B3124" s="7" cm="1">
        <f t="array" aca="1" ref="B3124" ca="1">interpolexp(A3124,serie_du,Taxas_DI)</f>
        <v>0.12304001417431376</v>
      </c>
      <c r="C3124" s="37">
        <f t="shared" ca="1" si="145"/>
        <v>4.2125094959804867</v>
      </c>
      <c r="D3124" s="36">
        <f t="shared" ca="1" si="147"/>
        <v>0.12303996835212883</v>
      </c>
      <c r="E3124" s="32">
        <v>0.12013001277155766</v>
      </c>
      <c r="F3124" s="35">
        <f t="shared" ca="1" si="146"/>
        <v>2.9100014027561016E-3</v>
      </c>
    </row>
    <row r="3125" spans="1:6" x14ac:dyDescent="0.25">
      <c r="A3125" s="23">
        <v>3124</v>
      </c>
      <c r="B3125" s="7" cm="1">
        <f t="array" aca="1" ref="B3125" ca="1">interpolexp(A3125,serie_du,Taxas_DI)</f>
        <v>0.12304001415963661</v>
      </c>
      <c r="C3125" s="37">
        <f t="shared" ca="1" si="145"/>
        <v>4.2144496907019455</v>
      </c>
      <c r="D3125" s="36">
        <f t="shared" ca="1" si="147"/>
        <v>0.12303996832286579</v>
      </c>
      <c r="E3125" s="32">
        <v>0.12013001264576939</v>
      </c>
      <c r="F3125" s="35">
        <f t="shared" ca="1" si="146"/>
        <v>2.9100015138672219E-3</v>
      </c>
    </row>
    <row r="3126" spans="1:6" x14ac:dyDescent="0.25">
      <c r="A3126" s="23">
        <v>3125</v>
      </c>
      <c r="B3126" s="7" cm="1">
        <f t="array" aca="1" ref="B3126" ca="1">interpolexp(A3126,serie_du,Taxas_DI)</f>
        <v>0.12304001414498167</v>
      </c>
      <c r="C3126" s="37">
        <f t="shared" ca="1" si="145"/>
        <v>4.2163907790375488</v>
      </c>
      <c r="D3126" s="36">
        <f t="shared" ca="1" si="147"/>
        <v>0.12303996836293618</v>
      </c>
      <c r="E3126" s="32">
        <v>0.12013001252009214</v>
      </c>
      <c r="F3126" s="35">
        <f t="shared" ca="1" si="146"/>
        <v>2.9100016248895244E-3</v>
      </c>
    </row>
    <row r="3127" spans="1:6" x14ac:dyDescent="0.25">
      <c r="A3127" s="23">
        <v>3126</v>
      </c>
      <c r="B3127" s="7" cm="1">
        <f t="array" aca="1" ref="B3127" ca="1">interpolexp(A3127,serie_du,Taxas_DI)</f>
        <v>0.12304001413032672</v>
      </c>
      <c r="C3127" s="37">
        <f t="shared" ca="1" si="145"/>
        <v>4.2183327613978454</v>
      </c>
      <c r="D3127" s="36">
        <f t="shared" ca="1" si="147"/>
        <v>0.12303996833373865</v>
      </c>
      <c r="E3127" s="32">
        <v>0.12013001239445931</v>
      </c>
      <c r="F3127" s="35">
        <f t="shared" ca="1" si="146"/>
        <v>2.9100017358674179E-3</v>
      </c>
    </row>
    <row r="3128" spans="1:6" x14ac:dyDescent="0.25">
      <c r="A3128" s="23">
        <v>3127</v>
      </c>
      <c r="B3128" s="7" cm="1">
        <f t="array" aca="1" ref="B3128" ca="1">interpolexp(A3128,serie_du,Taxas_DI)</f>
        <v>0.12304001411567178</v>
      </c>
      <c r="C3128" s="37">
        <f t="shared" ca="1" si="145"/>
        <v>4.2202756381946003</v>
      </c>
      <c r="D3128" s="36">
        <f t="shared" ca="1" si="147"/>
        <v>0.12303996830428732</v>
      </c>
      <c r="E3128" s="32">
        <v>0.12013001226893749</v>
      </c>
      <c r="F3128" s="35">
        <f t="shared" ca="1" si="146"/>
        <v>2.9100018467342892E-3</v>
      </c>
    </row>
    <row r="3129" spans="1:6" x14ac:dyDescent="0.25">
      <c r="A3129" s="23">
        <v>3128</v>
      </c>
      <c r="B3129" s="7" cm="1">
        <f t="array" aca="1" ref="B3129" ca="1">interpolexp(A3129,serie_du,Taxas_DI)</f>
        <v>0.12304001410103904</v>
      </c>
      <c r="C3129" s="37">
        <f t="shared" ca="1" si="145"/>
        <v>4.2222194098408119</v>
      </c>
      <c r="D3129" s="36">
        <f t="shared" ca="1" si="147"/>
        <v>0.12303996834447628</v>
      </c>
      <c r="E3129" s="32">
        <v>0.12013001214348229</v>
      </c>
      <c r="F3129" s="35">
        <f t="shared" ca="1" si="146"/>
        <v>2.9100019575567515E-3</v>
      </c>
    </row>
    <row r="3130" spans="1:6" x14ac:dyDescent="0.25">
      <c r="A3130" s="23">
        <v>3129</v>
      </c>
      <c r="B3130" s="7" cm="1">
        <f t="array" aca="1" ref="B3130" ca="1">interpolexp(A3130,serie_du,Taxas_DI)</f>
        <v>0.1230400140864063</v>
      </c>
      <c r="C3130" s="37">
        <f t="shared" ca="1" si="145"/>
        <v>4.2241640767475905</v>
      </c>
      <c r="D3130" s="36">
        <f t="shared" ca="1" si="147"/>
        <v>0.12303996831508734</v>
      </c>
      <c r="E3130" s="32">
        <v>0.12013001201811591</v>
      </c>
      <c r="F3130" s="35">
        <f t="shared" ca="1" si="146"/>
        <v>2.910002068290396E-3</v>
      </c>
    </row>
    <row r="3131" spans="1:6" x14ac:dyDescent="0.25">
      <c r="A3131" s="23">
        <v>3130</v>
      </c>
      <c r="B3131" s="7" cm="1">
        <f t="array" aca="1" ref="B3131" ca="1">interpolexp(A3131,serie_du,Taxas_DI)</f>
        <v>0.12304001407179577</v>
      </c>
      <c r="C3131" s="37">
        <f t="shared" ca="1" si="145"/>
        <v>4.2261096393283166</v>
      </c>
      <c r="D3131" s="36">
        <f t="shared" ca="1" si="147"/>
        <v>0.12303996835551678</v>
      </c>
      <c r="E3131" s="32">
        <v>0.12013001189281614</v>
      </c>
      <c r="F3131" s="35">
        <f t="shared" ca="1" si="146"/>
        <v>2.9100021789796315E-3</v>
      </c>
    </row>
    <row r="3132" spans="1:6" x14ac:dyDescent="0.25">
      <c r="A3132" s="23">
        <v>3131</v>
      </c>
      <c r="B3132" s="7" cm="1">
        <f t="array" aca="1" ref="B3132" ca="1">interpolexp(A3132,serie_du,Taxas_DI)</f>
        <v>0.12304001405718523</v>
      </c>
      <c r="C3132" s="37">
        <f t="shared" ca="1" si="145"/>
        <v>4.2280560979944779</v>
      </c>
      <c r="D3132" s="36">
        <f t="shared" ca="1" si="147"/>
        <v>0.12303996832621089</v>
      </c>
      <c r="E3132" s="32">
        <v>0.12013001176760518</v>
      </c>
      <c r="F3132" s="35">
        <f t="shared" ca="1" si="146"/>
        <v>2.9100022895800493E-3</v>
      </c>
    </row>
    <row r="3133" spans="1:6" x14ac:dyDescent="0.25">
      <c r="A3133" s="23">
        <v>3132</v>
      </c>
      <c r="B3133" s="7" cm="1">
        <f t="array" aca="1" ref="B3133" ca="1">interpolexp(A3133,serie_du,Taxas_DI)</f>
        <v>0.1230400140425747</v>
      </c>
      <c r="C3133" s="37">
        <f t="shared" ca="1" si="145"/>
        <v>4.230003453158794</v>
      </c>
      <c r="D3133" s="36">
        <f t="shared" ca="1" si="147"/>
        <v>0.12303996829697872</v>
      </c>
      <c r="E3133" s="32">
        <v>0.12013001164246084</v>
      </c>
      <c r="F3133" s="35">
        <f t="shared" ca="1" si="146"/>
        <v>2.9100024001138536E-3</v>
      </c>
    </row>
    <row r="3134" spans="1:6" x14ac:dyDescent="0.25">
      <c r="A3134" s="23">
        <v>3133</v>
      </c>
      <c r="B3134" s="7" cm="1">
        <f t="array" aca="1" ref="B3134" ca="1">interpolexp(A3134,serie_du,Taxas_DI)</f>
        <v>0.12304001402798637</v>
      </c>
      <c r="C3134" s="37">
        <f t="shared" ca="1" si="145"/>
        <v>4.2319517052352129</v>
      </c>
      <c r="D3134" s="36">
        <f t="shared" ca="1" si="147"/>
        <v>0.12303996833731445</v>
      </c>
      <c r="E3134" s="32">
        <v>0.12013001151740532</v>
      </c>
      <c r="F3134" s="35">
        <f t="shared" ca="1" si="146"/>
        <v>2.9100025105810445E-3</v>
      </c>
    </row>
    <row r="3135" spans="1:6" x14ac:dyDescent="0.25">
      <c r="A3135" s="23">
        <v>3134</v>
      </c>
      <c r="B3135" s="7" cm="1">
        <f t="array" aca="1" ref="B3135" ca="1">interpolexp(A3135,serie_du,Taxas_DI)</f>
        <v>0.12304001401339804</v>
      </c>
      <c r="C3135" s="37">
        <f t="shared" ca="1" si="145"/>
        <v>4.2339008546357961</v>
      </c>
      <c r="D3135" s="36">
        <f t="shared" ca="1" si="147"/>
        <v>0.1230399683082577</v>
      </c>
      <c r="E3135" s="32">
        <v>0.12013001139243862</v>
      </c>
      <c r="F3135" s="35">
        <f t="shared" ca="1" si="146"/>
        <v>2.9100026209594176E-3</v>
      </c>
    </row>
    <row r="3136" spans="1:6" x14ac:dyDescent="0.25">
      <c r="A3136" s="23">
        <v>3135</v>
      </c>
      <c r="B3136" s="7" cm="1">
        <f t="array" aca="1" ref="B3136" ca="1">interpolexp(A3136,serie_du,Taxas_DI)</f>
        <v>0.12304001399883191</v>
      </c>
      <c r="C3136" s="37">
        <f t="shared" ca="1" si="145"/>
        <v>4.23585090177487</v>
      </c>
      <c r="D3136" s="36">
        <f t="shared" ca="1" si="147"/>
        <v>0.12303996834849129</v>
      </c>
      <c r="E3136" s="32">
        <v>0.12013001126753853</v>
      </c>
      <c r="F3136" s="35">
        <f t="shared" ca="1" si="146"/>
        <v>2.9100027312933818E-3</v>
      </c>
    </row>
    <row r="3137" spans="1:6" x14ac:dyDescent="0.25">
      <c r="A3137" s="23">
        <v>3136</v>
      </c>
      <c r="B3137" s="7" cm="1">
        <f t="array" aca="1" ref="B3137" ca="1">interpolexp(A3137,serie_du,Taxas_DI)</f>
        <v>0.12304001398426578</v>
      </c>
      <c r="C3137" s="37">
        <f t="shared" ca="1" si="145"/>
        <v>4.2378018470648779</v>
      </c>
      <c r="D3137" s="36">
        <f t="shared" ca="1" si="147"/>
        <v>0.12303996831953912</v>
      </c>
      <c r="E3137" s="32">
        <v>0.12013001114272726</v>
      </c>
      <c r="F3137" s="35">
        <f t="shared" ca="1" si="146"/>
        <v>2.9100028415385282E-3</v>
      </c>
    </row>
    <row r="3138" spans="1:6" x14ac:dyDescent="0.25">
      <c r="A3138" s="23">
        <v>3137</v>
      </c>
      <c r="B3138" s="7" cm="1">
        <f t="array" aca="1" ref="B3138" ca="1">interpolexp(A3138,serie_du,Taxas_DI)</f>
        <v>0.12304001396972186</v>
      </c>
      <c r="C3138" s="37">
        <f t="shared" ref="C3138:C3201" ca="1" si="148">(1+B3138)^(A3138/252)</f>
        <v>4.23975369092053</v>
      </c>
      <c r="D3138" s="36">
        <f t="shared" ca="1" si="147"/>
        <v>0.12303996835998499</v>
      </c>
      <c r="E3138" s="32">
        <v>0.1201300110179826</v>
      </c>
      <c r="F3138" s="35">
        <f t="shared" ref="F3138:F3201" ca="1" si="149">B3138-E3138</f>
        <v>2.9100029517392656E-3</v>
      </c>
    </row>
    <row r="3139" spans="1:6" x14ac:dyDescent="0.25">
      <c r="A3139" s="23">
        <v>3138</v>
      </c>
      <c r="B3139" s="7" cm="1">
        <f t="array" aca="1" ref="B3139" ca="1">interpolexp(A3139,serie_du,Taxas_DI)</f>
        <v>0.12304001395517794</v>
      </c>
      <c r="C3139" s="37">
        <f t="shared" ca="1" si="148"/>
        <v>4.2417064337546444</v>
      </c>
      <c r="D3139" s="36">
        <f t="shared" ca="1" si="147"/>
        <v>0.12303996833091135</v>
      </c>
      <c r="E3139" s="32">
        <v>0.12013001089332676</v>
      </c>
      <c r="F3139" s="35">
        <f t="shared" ca="1" si="149"/>
        <v>2.9100030618511852E-3</v>
      </c>
    </row>
    <row r="3140" spans="1:6" x14ac:dyDescent="0.25">
      <c r="A3140" s="23">
        <v>3139</v>
      </c>
      <c r="B3140" s="7" cm="1">
        <f t="array" aca="1" ref="B3140" ca="1">interpolexp(A3140,serie_du,Taxas_DI)</f>
        <v>0.12304001394063402</v>
      </c>
      <c r="C3140" s="37">
        <f t="shared" ca="1" si="148"/>
        <v>4.2436600759812722</v>
      </c>
      <c r="D3140" s="36">
        <f t="shared" ref="D3140:D3203" ca="1" si="150">((((1+B3140)^(A3140/252))/((1+B3139)^(A3139/252)))^(252/1))-1</f>
        <v>0.12303996830180886</v>
      </c>
      <c r="E3140" s="32">
        <v>0.12013001076875973</v>
      </c>
      <c r="F3140" s="35">
        <f t="shared" ca="1" si="149"/>
        <v>2.9100031718742869E-3</v>
      </c>
    </row>
    <row r="3141" spans="1:6" x14ac:dyDescent="0.25">
      <c r="A3141" s="23">
        <v>3140</v>
      </c>
      <c r="B3141" s="7" cm="1">
        <f t="array" aca="1" ref="B3141" ca="1">interpolexp(A3141,serie_du,Taxas_DI)</f>
        <v>0.1230400139261123</v>
      </c>
      <c r="C3141" s="37">
        <f t="shared" ca="1" si="148"/>
        <v>4.2456146180157006</v>
      </c>
      <c r="D3141" s="36">
        <f t="shared" ca="1" si="150"/>
        <v>0.12303996834247122</v>
      </c>
      <c r="E3141" s="32">
        <v>0.12013001064425932</v>
      </c>
      <c r="F3141" s="35">
        <f t="shared" ca="1" si="149"/>
        <v>2.9100032818529797E-3</v>
      </c>
    </row>
    <row r="3142" spans="1:6" x14ac:dyDescent="0.25">
      <c r="A3142" s="23">
        <v>3141</v>
      </c>
      <c r="B3142" s="7" cm="1">
        <f t="array" aca="1" ref="B3142" ca="1">interpolexp(A3142,serie_du,Taxas_DI)</f>
        <v>0.12304001391159058</v>
      </c>
      <c r="C3142" s="37">
        <f t="shared" ca="1" si="148"/>
        <v>4.2475700602713156</v>
      </c>
      <c r="D3142" s="36">
        <f t="shared" ca="1" si="150"/>
        <v>0.12303996831339603</v>
      </c>
      <c r="E3142" s="32">
        <v>0.12013001051984773</v>
      </c>
      <c r="F3142" s="35">
        <f t="shared" ca="1" si="149"/>
        <v>2.9100033917428547E-3</v>
      </c>
    </row>
    <row r="3143" spans="1:6" x14ac:dyDescent="0.25">
      <c r="A3143" s="23">
        <v>3142</v>
      </c>
      <c r="B3143" s="7" cm="1">
        <f t="array" aca="1" ref="B3143" ca="1">interpolexp(A3143,serie_du,Taxas_DI)</f>
        <v>0.12304001389709107</v>
      </c>
      <c r="C3143" s="37">
        <f t="shared" ca="1" si="148"/>
        <v>4.2495264031637889</v>
      </c>
      <c r="D3143" s="36">
        <f t="shared" ca="1" si="150"/>
        <v>0.12303996835406994</v>
      </c>
      <c r="E3143" s="32">
        <v>0.12013001039550275</v>
      </c>
      <c r="F3143" s="35">
        <f t="shared" ca="1" si="149"/>
        <v>2.9100035015883208E-3</v>
      </c>
    </row>
    <row r="3144" spans="1:6" x14ac:dyDescent="0.25">
      <c r="A3144" s="23">
        <v>3143</v>
      </c>
      <c r="B3144" s="7" cm="1">
        <f t="array" aca="1" ref="B3144" ca="1">interpolexp(A3144,serie_du,Taxas_DI)</f>
        <v>0.12304001388259156</v>
      </c>
      <c r="C3144" s="37">
        <f t="shared" ca="1" si="148"/>
        <v>4.2514836471068893</v>
      </c>
      <c r="D3144" s="36">
        <f t="shared" ca="1" si="150"/>
        <v>0.12303996832514663</v>
      </c>
      <c r="E3144" s="32">
        <v>0.12013001027124659</v>
      </c>
      <c r="F3144" s="35">
        <f t="shared" ca="1" si="149"/>
        <v>2.910003611344969E-3</v>
      </c>
    </row>
    <row r="3145" spans="1:6" x14ac:dyDescent="0.25">
      <c r="A3145" s="23">
        <v>3144</v>
      </c>
      <c r="B3145" s="7" cm="1">
        <f t="array" aca="1" ref="B3145" ca="1">interpolexp(A3145,serie_du,Taxas_DI)</f>
        <v>0.12304001386811425</v>
      </c>
      <c r="C3145" s="37">
        <f t="shared" ca="1" si="148"/>
        <v>4.2534417925166697</v>
      </c>
      <c r="D3145" s="36">
        <f t="shared" ca="1" si="150"/>
        <v>0.12303996836594133</v>
      </c>
      <c r="E3145" s="32">
        <v>0.12013001014705704</v>
      </c>
      <c r="F3145" s="35">
        <f t="shared" ca="1" si="149"/>
        <v>2.9100037210572083E-3</v>
      </c>
    </row>
    <row r="3146" spans="1:6" x14ac:dyDescent="0.25">
      <c r="A3146" s="23">
        <v>3145</v>
      </c>
      <c r="B3146" s="7" cm="1">
        <f t="array" aca="1" ref="B3146" ca="1">interpolexp(A3146,serie_du,Taxas_DI)</f>
        <v>0.12304001385361474</v>
      </c>
      <c r="C3146" s="37">
        <f t="shared" ca="1" si="148"/>
        <v>4.2554008398062289</v>
      </c>
      <c r="D3146" s="36">
        <f t="shared" ca="1" si="150"/>
        <v>0.12303996826715391</v>
      </c>
      <c r="E3146" s="32">
        <v>0.12013001002295631</v>
      </c>
      <c r="F3146" s="35">
        <f t="shared" ca="1" si="149"/>
        <v>2.9100038306584253E-3</v>
      </c>
    </row>
    <row r="3147" spans="1:6" x14ac:dyDescent="0.25">
      <c r="A3147" s="23">
        <v>3146</v>
      </c>
      <c r="B3147" s="7" cm="1">
        <f t="array" aca="1" ref="B3147" ca="1">interpolexp(A3147,serie_du,Taxas_DI)</f>
        <v>0.12304001383915963</v>
      </c>
      <c r="C3147" s="37">
        <f t="shared" ca="1" si="148"/>
        <v>4.2573607893941032</v>
      </c>
      <c r="D3147" s="36">
        <f t="shared" ca="1" si="150"/>
        <v>0.12303996837784492</v>
      </c>
      <c r="E3147" s="32">
        <v>0.1201300098989444</v>
      </c>
      <c r="F3147" s="35">
        <f t="shared" ca="1" si="149"/>
        <v>2.9100039402152333E-3</v>
      </c>
    </row>
    <row r="3148" spans="1:6" x14ac:dyDescent="0.25">
      <c r="A3148" s="23">
        <v>3147</v>
      </c>
      <c r="B3148" s="7" cm="1">
        <f t="array" aca="1" ref="B3148" ca="1">interpolexp(A3148,serie_du,Taxas_DI)</f>
        <v>0.12304001382468233</v>
      </c>
      <c r="C3148" s="37">
        <f t="shared" ca="1" si="148"/>
        <v>4.259321641692722</v>
      </c>
      <c r="D3148" s="36">
        <f t="shared" ca="1" si="150"/>
        <v>0.12303996827902508</v>
      </c>
      <c r="E3148" s="32">
        <v>0.1201300097749991</v>
      </c>
      <c r="F3148" s="35">
        <f t="shared" ca="1" si="149"/>
        <v>2.9100040496832236E-3</v>
      </c>
    </row>
    <row r="3149" spans="1:6" x14ac:dyDescent="0.25">
      <c r="A3149" s="23">
        <v>3148</v>
      </c>
      <c r="B3149" s="7" cm="1">
        <f t="array" aca="1" ref="B3149" ca="1">interpolexp(A3149,serie_du,Taxas_DI)</f>
        <v>0.12304001381024943</v>
      </c>
      <c r="C3149" s="37">
        <f t="shared" ca="1" si="148"/>
        <v>4.2612833971210113</v>
      </c>
      <c r="D3149" s="36">
        <f t="shared" ca="1" si="150"/>
        <v>0.12303996838995257</v>
      </c>
      <c r="E3149" s="32">
        <v>0.12013000965112042</v>
      </c>
      <c r="F3149" s="35">
        <f t="shared" ca="1" si="149"/>
        <v>2.9100041591290093E-3</v>
      </c>
    </row>
    <row r="3150" spans="1:6" x14ac:dyDescent="0.25">
      <c r="A3150" s="23">
        <v>3149</v>
      </c>
      <c r="B3150" s="7" cm="1">
        <f t="array" aca="1" ref="B3150" ca="1">interpolexp(A3150,serie_du,Taxas_DI)</f>
        <v>0.12304001379579432</v>
      </c>
      <c r="C3150" s="37">
        <f t="shared" ca="1" si="148"/>
        <v>4.2632460560917771</v>
      </c>
      <c r="D3150" s="36">
        <f t="shared" ca="1" si="150"/>
        <v>0.12303996829121222</v>
      </c>
      <c r="E3150" s="32">
        <v>0.12013000952735275</v>
      </c>
      <c r="F3150" s="35">
        <f t="shared" ca="1" si="149"/>
        <v>2.9100042684415683E-3</v>
      </c>
    </row>
    <row r="3151" spans="1:6" x14ac:dyDescent="0.25">
      <c r="A3151" s="23">
        <v>3150</v>
      </c>
      <c r="B3151" s="7" cm="1">
        <f t="array" aca="1" ref="B3151" ca="1">interpolexp(A3151,serie_du,Taxas_DI)</f>
        <v>0.12304001378136142</v>
      </c>
      <c r="C3151" s="37">
        <f t="shared" ca="1" si="148"/>
        <v>4.2652096190232758</v>
      </c>
      <c r="D3151" s="36">
        <f t="shared" ca="1" si="150"/>
        <v>0.12303996833210151</v>
      </c>
      <c r="E3151" s="32">
        <v>0.1201300094036295</v>
      </c>
      <c r="F3151" s="35">
        <f t="shared" ca="1" si="149"/>
        <v>2.9100043777319229E-3</v>
      </c>
    </row>
    <row r="3152" spans="1:6" x14ac:dyDescent="0.25">
      <c r="A3152" s="23">
        <v>3151</v>
      </c>
      <c r="B3152" s="7" cm="1">
        <f t="array" aca="1" ref="B3152" ca="1">interpolexp(A3152,serie_du,Taxas_DI)</f>
        <v>0.12304001376692852</v>
      </c>
      <c r="C3152" s="37">
        <f t="shared" ca="1" si="148"/>
        <v>4.2671740863308036</v>
      </c>
      <c r="D3152" s="36">
        <f t="shared" ca="1" si="150"/>
        <v>0.12303996830341024</v>
      </c>
      <c r="E3152" s="32">
        <v>0.12013000928001727</v>
      </c>
      <c r="F3152" s="35">
        <f t="shared" ca="1" si="149"/>
        <v>2.9100044869112551E-3</v>
      </c>
    </row>
    <row r="3153" spans="1:6" x14ac:dyDescent="0.25">
      <c r="A3153" s="23">
        <v>3152</v>
      </c>
      <c r="B3153" s="7" cm="1">
        <f t="array" aca="1" ref="B3153" ca="1">interpolexp(A3153,serie_du,Taxas_DI)</f>
        <v>0.12304001375251783</v>
      </c>
      <c r="C3153" s="37">
        <f t="shared" ca="1" si="148"/>
        <v>4.2691394584319493</v>
      </c>
      <c r="D3153" s="36">
        <f t="shared" ca="1" si="150"/>
        <v>0.12303996834441411</v>
      </c>
      <c r="E3153" s="32">
        <v>0.12013000915644945</v>
      </c>
      <c r="F3153" s="35">
        <f t="shared" ca="1" si="149"/>
        <v>2.9100045960683829E-3</v>
      </c>
    </row>
    <row r="3154" spans="1:6" x14ac:dyDescent="0.25">
      <c r="A3154" s="23">
        <v>3153</v>
      </c>
      <c r="B3154" s="7" cm="1">
        <f t="array" aca="1" ref="B3154" ca="1">interpolexp(A3154,serie_du,Taxas_DI)</f>
        <v>0.12304001373812934</v>
      </c>
      <c r="C3154" s="37">
        <f t="shared" ca="1" si="148"/>
        <v>4.2711057357434452</v>
      </c>
      <c r="D3154" s="36">
        <f t="shared" ca="1" si="150"/>
        <v>0.12303996838562625</v>
      </c>
      <c r="E3154" s="32">
        <v>0.12013000903299265</v>
      </c>
      <c r="F3154" s="35">
        <f t="shared" ca="1" si="149"/>
        <v>2.9100047051366928E-3</v>
      </c>
    </row>
    <row r="3155" spans="1:6" x14ac:dyDescent="0.25">
      <c r="A3155" s="23">
        <v>3154</v>
      </c>
      <c r="B3155" s="7" cm="1">
        <f t="array" aca="1" ref="B3155" ca="1">interpolexp(A3155,serie_du,Taxas_DI)</f>
        <v>0.12304001372371864</v>
      </c>
      <c r="C3155" s="37">
        <f t="shared" ca="1" si="148"/>
        <v>4.2730729186800991</v>
      </c>
      <c r="D3155" s="36">
        <f t="shared" ca="1" si="150"/>
        <v>0.12303996828680264</v>
      </c>
      <c r="E3155" s="32">
        <v>0.12013000890958025</v>
      </c>
      <c r="F3155" s="35">
        <f t="shared" ca="1" si="149"/>
        <v>2.9100048141383894E-3</v>
      </c>
    </row>
    <row r="3156" spans="1:6" x14ac:dyDescent="0.25">
      <c r="A3156" s="23">
        <v>3155</v>
      </c>
      <c r="B3156" s="7" cm="1">
        <f t="array" aca="1" ref="B3156" ca="1">interpolexp(A3156,serie_du,Taxas_DI)</f>
        <v>0.12304001370933015</v>
      </c>
      <c r="C3156" s="37">
        <f t="shared" ca="1" si="148"/>
        <v>4.2750410076611374</v>
      </c>
      <c r="D3156" s="36">
        <f t="shared" ca="1" si="150"/>
        <v>0.12303996832802366</v>
      </c>
      <c r="E3156" s="32">
        <v>0.12013000878627889</v>
      </c>
      <c r="F3156" s="35">
        <f t="shared" ca="1" si="149"/>
        <v>2.9100049230512681E-3</v>
      </c>
    </row>
    <row r="3157" spans="1:6" x14ac:dyDescent="0.25">
      <c r="A3157" s="23">
        <v>3156</v>
      </c>
      <c r="B3157" s="7" cm="1">
        <f t="array" aca="1" ref="B3157" ca="1">interpolexp(A3157,serie_du,Taxas_DI)</f>
        <v>0.12304001369496387</v>
      </c>
      <c r="C3157" s="37">
        <f t="shared" ca="1" si="148"/>
        <v>4.2770100031038671</v>
      </c>
      <c r="D3157" s="36">
        <f t="shared" ca="1" si="150"/>
        <v>0.12303996836932973</v>
      </c>
      <c r="E3157" s="32">
        <v>0.12013000866304413</v>
      </c>
      <c r="F3157" s="35">
        <f t="shared" ca="1" si="149"/>
        <v>2.9100050319197379E-3</v>
      </c>
    </row>
    <row r="3158" spans="1:6" x14ac:dyDescent="0.25">
      <c r="A3158" s="23">
        <v>3157</v>
      </c>
      <c r="B3158" s="7" cm="1">
        <f t="array" aca="1" ref="B3158" ca="1">interpolexp(A3158,serie_du,Taxas_DI)</f>
        <v>0.12304001368057538</v>
      </c>
      <c r="C3158" s="37">
        <f t="shared" ca="1" si="148"/>
        <v>4.2789799054236664</v>
      </c>
      <c r="D3158" s="36">
        <f t="shared" ca="1" si="150"/>
        <v>0.12303996827041663</v>
      </c>
      <c r="E3158" s="32">
        <v>0.12013000853987599</v>
      </c>
      <c r="F3158" s="35">
        <f t="shared" ca="1" si="149"/>
        <v>2.9100051406993899E-3</v>
      </c>
    </row>
    <row r="3159" spans="1:6" x14ac:dyDescent="0.25">
      <c r="A3159" s="23">
        <v>3158</v>
      </c>
      <c r="B3159" s="7" cm="1">
        <f t="array" aca="1" ref="B3159" ca="1">interpolexp(A3159,serie_du,Taxas_DI)</f>
        <v>0.1230400136662313</v>
      </c>
      <c r="C3159" s="37">
        <f t="shared" ca="1" si="148"/>
        <v>4.2809507150414055</v>
      </c>
      <c r="D3159" s="36">
        <f t="shared" ca="1" si="150"/>
        <v>0.1230399683819845</v>
      </c>
      <c r="E3159" s="32">
        <v>0.12013000841679666</v>
      </c>
      <c r="F3159" s="35">
        <f t="shared" ca="1" si="149"/>
        <v>2.9100052494346329E-3</v>
      </c>
    </row>
    <row r="3160" spans="1:6" x14ac:dyDescent="0.25">
      <c r="A3160" s="23">
        <v>3159</v>
      </c>
      <c r="B3160" s="7" cm="1">
        <f t="array" aca="1" ref="B3160" ca="1">interpolexp(A3160,serie_du,Taxas_DI)</f>
        <v>0.12304001365186501</v>
      </c>
      <c r="C3160" s="37">
        <f t="shared" ca="1" si="148"/>
        <v>4.2829224323717856</v>
      </c>
      <c r="D3160" s="36">
        <f t="shared" ca="1" si="150"/>
        <v>0.12303996828316466</v>
      </c>
      <c r="E3160" s="32">
        <v>0.12013000829378395</v>
      </c>
      <c r="F3160" s="35">
        <f t="shared" ca="1" si="149"/>
        <v>2.9100053580810581E-3</v>
      </c>
    </row>
    <row r="3161" spans="1:6" x14ac:dyDescent="0.25">
      <c r="A3161" s="23">
        <v>3160</v>
      </c>
      <c r="B3161" s="7" cm="1">
        <f t="array" aca="1" ref="B3161" ca="1">interpolexp(A3161,serie_du,Taxas_DI)</f>
        <v>0.12304001363752093</v>
      </c>
      <c r="C3161" s="37">
        <f t="shared" ca="1" si="148"/>
        <v>4.2848950578350022</v>
      </c>
      <c r="D3161" s="36">
        <f t="shared" ca="1" si="150"/>
        <v>0.12303996832457975</v>
      </c>
      <c r="E3161" s="32">
        <v>0.12013000817086006</v>
      </c>
      <c r="F3161" s="35">
        <f t="shared" ca="1" si="149"/>
        <v>2.9100054666608699E-3</v>
      </c>
    </row>
    <row r="3162" spans="1:6" x14ac:dyDescent="0.25">
      <c r="A3162" s="23">
        <v>3161</v>
      </c>
      <c r="B3162" s="7" cm="1">
        <f t="array" aca="1" ref="B3162" ca="1">interpolexp(A3162,serie_du,Taxas_DI)</f>
        <v>0.12304001362319905</v>
      </c>
      <c r="C3162" s="37">
        <f t="shared" ca="1" si="148"/>
        <v>4.2868685918493243</v>
      </c>
      <c r="D3162" s="36">
        <f t="shared" ca="1" si="150"/>
        <v>0.12303996836606657</v>
      </c>
      <c r="E3162" s="32">
        <v>0.12013000804802498</v>
      </c>
      <c r="F3162" s="35">
        <f t="shared" ca="1" si="149"/>
        <v>2.9100055751740683E-3</v>
      </c>
    </row>
    <row r="3163" spans="1:6" x14ac:dyDescent="0.25">
      <c r="A3163" s="23">
        <v>3162</v>
      </c>
      <c r="B3163" s="7" cm="1">
        <f t="array" aca="1" ref="B3163" ca="1">interpolexp(A3163,serie_du,Taxas_DI)</f>
        <v>0.12304001360887717</v>
      </c>
      <c r="C3163" s="37">
        <f t="shared" ca="1" si="148"/>
        <v>4.2888430348321487</v>
      </c>
      <c r="D3163" s="36">
        <f t="shared" ca="1" si="150"/>
        <v>0.12303996833737663</v>
      </c>
      <c r="E3163" s="32">
        <v>0.12013000792525652</v>
      </c>
      <c r="F3163" s="35">
        <f t="shared" ca="1" si="149"/>
        <v>2.9100056836206534E-3</v>
      </c>
    </row>
    <row r="3164" spans="1:6" x14ac:dyDescent="0.25">
      <c r="A3164" s="23">
        <v>3163</v>
      </c>
      <c r="B3164" s="7" cm="1">
        <f t="array" aca="1" ref="B3164" ca="1">interpolexp(A3164,serie_du,Taxas_DI)</f>
        <v>0.1230400135945553</v>
      </c>
      <c r="C3164" s="37">
        <f t="shared" ca="1" si="148"/>
        <v>4.290818387202127</v>
      </c>
      <c r="D3164" s="36">
        <f t="shared" ca="1" si="150"/>
        <v>0.12303996830875508</v>
      </c>
      <c r="E3164" s="32">
        <v>0.12013000780255467</v>
      </c>
      <c r="F3164" s="35">
        <f t="shared" ca="1" si="149"/>
        <v>2.910005792000625E-3</v>
      </c>
    </row>
    <row r="3165" spans="1:6" x14ac:dyDescent="0.25">
      <c r="A3165" s="23">
        <v>3164</v>
      </c>
      <c r="B3165" s="7" cm="1">
        <f t="array" aca="1" ref="B3165" ca="1">interpolexp(A3165,serie_du,Taxas_DI)</f>
        <v>0.12304001358025562</v>
      </c>
      <c r="C3165" s="37">
        <f t="shared" ca="1" si="148"/>
        <v>4.2927946493791715</v>
      </c>
      <c r="D3165" s="36">
        <f t="shared" ca="1" si="150"/>
        <v>0.12303996835043773</v>
      </c>
      <c r="E3165" s="32">
        <v>0.12013000767994164</v>
      </c>
      <c r="F3165" s="35">
        <f t="shared" ca="1" si="149"/>
        <v>2.9100059003139833E-3</v>
      </c>
    </row>
    <row r="3166" spans="1:6" x14ac:dyDescent="0.25">
      <c r="A3166" s="23">
        <v>3165</v>
      </c>
      <c r="B3166" s="7" cm="1">
        <f t="array" aca="1" ref="B3166" ca="1">interpolexp(A3166,serie_du,Taxas_DI)</f>
        <v>0.12304001356595595</v>
      </c>
      <c r="C3166" s="37">
        <f t="shared" ca="1" si="148"/>
        <v>4.2947718217812536</v>
      </c>
      <c r="D3166" s="36">
        <f t="shared" ca="1" si="150"/>
        <v>0.12303996832180175</v>
      </c>
      <c r="E3166" s="32">
        <v>0.12013000755739522</v>
      </c>
      <c r="F3166" s="35">
        <f t="shared" ca="1" si="149"/>
        <v>2.9100060085607282E-3</v>
      </c>
    </row>
    <row r="3167" spans="1:6" x14ac:dyDescent="0.25">
      <c r="A3167" s="23">
        <v>3166</v>
      </c>
      <c r="B3167" s="7" cm="1">
        <f t="array" aca="1" ref="B3167" ca="1">interpolexp(A3167,serie_du,Taxas_DI)</f>
        <v>0.12304001355165628</v>
      </c>
      <c r="C3167" s="37">
        <f t="shared" ca="1" si="148"/>
        <v>4.2967499048276041</v>
      </c>
      <c r="D3167" s="36">
        <f t="shared" ca="1" si="150"/>
        <v>0.12303996829314934</v>
      </c>
      <c r="E3167" s="32">
        <v>0.12013000743493762</v>
      </c>
      <c r="F3167" s="35">
        <f t="shared" ca="1" si="149"/>
        <v>2.9100061167186553E-3</v>
      </c>
    </row>
    <row r="3168" spans="1:6" x14ac:dyDescent="0.25">
      <c r="A3168" s="23">
        <v>3167</v>
      </c>
      <c r="B3168" s="7" cm="1">
        <f t="array" aca="1" ref="B3168" ca="1">interpolexp(A3168,serie_du,Taxas_DI)</f>
        <v>0.12304001353737881</v>
      </c>
      <c r="C3168" s="37">
        <f t="shared" ca="1" si="148"/>
        <v>4.2987288989387151</v>
      </c>
      <c r="D3168" s="36">
        <f t="shared" ca="1" si="150"/>
        <v>0.12303996833492858</v>
      </c>
      <c r="E3168" s="32">
        <v>0.12013000731256884</v>
      </c>
      <c r="F3168" s="35">
        <f t="shared" ca="1" si="149"/>
        <v>2.910006224809969E-3</v>
      </c>
    </row>
    <row r="3169" spans="1:6" x14ac:dyDescent="0.25">
      <c r="A3169" s="23">
        <v>3168</v>
      </c>
      <c r="B3169" s="7" cm="1">
        <f t="array" aca="1" ref="B3169" ca="1">interpolexp(A3169,serie_du,Taxas_DI)</f>
        <v>0.12304001352312355</v>
      </c>
      <c r="C3169" s="37">
        <f t="shared" ca="1" si="148"/>
        <v>4.3007088045342048</v>
      </c>
      <c r="D3169" s="36">
        <f t="shared" ca="1" si="150"/>
        <v>0.12303996837665521</v>
      </c>
      <c r="E3169" s="32">
        <v>0.12013000719024447</v>
      </c>
      <c r="F3169" s="35">
        <f t="shared" ca="1" si="149"/>
        <v>2.9100063328790782E-3</v>
      </c>
    </row>
    <row r="3170" spans="1:6" x14ac:dyDescent="0.25">
      <c r="A3170" s="23">
        <v>3169</v>
      </c>
      <c r="B3170" s="7" cm="1">
        <f t="array" aca="1" ref="B3170" ca="1">interpolexp(A3170,serie_du,Taxas_DI)</f>
        <v>0.12304001350884608</v>
      </c>
      <c r="C3170" s="37">
        <f t="shared" ca="1" si="148"/>
        <v>4.3026896220317488</v>
      </c>
      <c r="D3170" s="36">
        <f t="shared" ca="1" si="150"/>
        <v>0.12303996827789732</v>
      </c>
      <c r="E3170" s="32">
        <v>0.12013000706803112</v>
      </c>
      <c r="F3170" s="35">
        <f t="shared" ca="1" si="149"/>
        <v>2.9100064408149606E-3</v>
      </c>
    </row>
    <row r="3171" spans="1:6" x14ac:dyDescent="0.25">
      <c r="A3171" s="23">
        <v>3170</v>
      </c>
      <c r="B3171" s="7" cm="1">
        <f t="array" aca="1" ref="B3171" ca="1">interpolexp(A3171,serie_du,Taxas_DI)</f>
        <v>0.12304001349461302</v>
      </c>
      <c r="C3171" s="37">
        <f t="shared" ca="1" si="148"/>
        <v>4.3046713518545552</v>
      </c>
      <c r="D3171" s="36">
        <f t="shared" ca="1" si="150"/>
        <v>0.12303996838995257</v>
      </c>
      <c r="E3171" s="32">
        <v>0.12013000694586218</v>
      </c>
      <c r="F3171" s="35">
        <f t="shared" ca="1" si="149"/>
        <v>2.9100065487508431E-3</v>
      </c>
    </row>
    <row r="3172" spans="1:6" x14ac:dyDescent="0.25">
      <c r="A3172" s="23">
        <v>3171</v>
      </c>
      <c r="B3172" s="7" cm="1">
        <f t="array" aca="1" ref="B3172" ca="1">interpolexp(A3172,serie_du,Taxas_DI)</f>
        <v>0.12304001348035776</v>
      </c>
      <c r="C3172" s="37">
        <f t="shared" ca="1" si="148"/>
        <v>4.3066539944196158</v>
      </c>
      <c r="D3172" s="36">
        <f t="shared" ca="1" si="150"/>
        <v>0.12303996829121222</v>
      </c>
      <c r="E3172" s="32">
        <v>0.12013000682380426</v>
      </c>
      <c r="F3172" s="35">
        <f t="shared" ca="1" si="149"/>
        <v>2.9100066565534988E-3</v>
      </c>
    </row>
    <row r="3173" spans="1:6" x14ac:dyDescent="0.25">
      <c r="A3173" s="23">
        <v>3172</v>
      </c>
      <c r="B3173" s="7" cm="1">
        <f t="array" aca="1" ref="B3173" ca="1">interpolexp(A3173,serie_du,Taxas_DI)</f>
        <v>0.1230400134661247</v>
      </c>
      <c r="C3173" s="37">
        <f t="shared" ca="1" si="148"/>
        <v>4.3086375501494594</v>
      </c>
      <c r="D3173" s="36">
        <f t="shared" ca="1" si="150"/>
        <v>0.12303996833304165</v>
      </c>
      <c r="E3173" s="32">
        <v>0.12013000670179075</v>
      </c>
      <c r="F3173" s="35">
        <f t="shared" ca="1" si="149"/>
        <v>2.91000676433395E-3</v>
      </c>
    </row>
    <row r="3174" spans="1:6" x14ac:dyDescent="0.25">
      <c r="A3174" s="23">
        <v>3173</v>
      </c>
      <c r="B3174" s="7" cm="1">
        <f t="array" aca="1" ref="B3174" ca="1">interpolexp(A3174,serie_du,Taxas_DI)</f>
        <v>0.12304001345191384</v>
      </c>
      <c r="C3174" s="37">
        <f t="shared" ca="1" si="148"/>
        <v>4.3106220194646756</v>
      </c>
      <c r="D3174" s="36">
        <f t="shared" ca="1" si="150"/>
        <v>0.12303996837514619</v>
      </c>
      <c r="E3174" s="32">
        <v>0.12013000657988826</v>
      </c>
      <c r="F3174" s="35">
        <f t="shared" ca="1" si="149"/>
        <v>2.9100068720255834E-3</v>
      </c>
    </row>
    <row r="3175" spans="1:6" x14ac:dyDescent="0.25">
      <c r="A3175" s="23">
        <v>3174</v>
      </c>
      <c r="B3175" s="7" cm="1">
        <f t="array" aca="1" ref="B3175" ca="1">interpolexp(A3175,serie_du,Taxas_DI)</f>
        <v>0.12304001343768078</v>
      </c>
      <c r="C3175" s="37">
        <f t="shared" ca="1" si="148"/>
        <v>4.3126074027838941</v>
      </c>
      <c r="D3175" s="36">
        <f t="shared" ca="1" si="150"/>
        <v>0.12303996827613695</v>
      </c>
      <c r="E3175" s="32">
        <v>0.12013000645803018</v>
      </c>
      <c r="F3175" s="35">
        <f t="shared" ca="1" si="149"/>
        <v>2.9100069796506034E-3</v>
      </c>
    </row>
    <row r="3176" spans="1:6" x14ac:dyDescent="0.25">
      <c r="A3176" s="23">
        <v>3175</v>
      </c>
      <c r="B3176" s="7" cm="1">
        <f t="array" aca="1" ref="B3176" ca="1">interpolexp(A3176,serie_du,Taxas_DI)</f>
        <v>0.12304001342346993</v>
      </c>
      <c r="C3176" s="37">
        <f t="shared" ca="1" si="148"/>
        <v>4.3145937005302351</v>
      </c>
      <c r="D3176" s="36">
        <f t="shared" ca="1" si="150"/>
        <v>0.12303996831822595</v>
      </c>
      <c r="E3176" s="32">
        <v>0.12013000633626092</v>
      </c>
      <c r="F3176" s="35">
        <f t="shared" ca="1" si="149"/>
        <v>2.91000708720901E-3</v>
      </c>
    </row>
    <row r="3177" spans="1:6" x14ac:dyDescent="0.25">
      <c r="A3177" s="23">
        <v>3176</v>
      </c>
      <c r="B3177" s="7" cm="1">
        <f t="array" aca="1" ref="B3177" ca="1">interpolexp(A3177,serie_du,Taxas_DI)</f>
        <v>0.12304001340928128</v>
      </c>
      <c r="C3177" s="37">
        <f t="shared" ca="1" si="148"/>
        <v>4.3165809131248647</v>
      </c>
      <c r="D3177" s="36">
        <f t="shared" ca="1" si="150"/>
        <v>0.12303996836023834</v>
      </c>
      <c r="E3177" s="32">
        <v>0.12013000621458048</v>
      </c>
      <c r="F3177" s="35">
        <f t="shared" ca="1" si="149"/>
        <v>2.9100071947008033E-3</v>
      </c>
    </row>
    <row r="3178" spans="1:6" x14ac:dyDescent="0.25">
      <c r="A3178" s="23">
        <v>3177</v>
      </c>
      <c r="B3178" s="7" cm="1">
        <f t="array" aca="1" ref="B3178" ca="1">interpolexp(A3178,serie_du,Taxas_DI)</f>
        <v>0.12304001339509263</v>
      </c>
      <c r="C3178" s="37">
        <f t="shared" ca="1" si="148"/>
        <v>4.3185690409880717</v>
      </c>
      <c r="D3178" s="36">
        <f t="shared" ca="1" si="150"/>
        <v>0.12303996833203934</v>
      </c>
      <c r="E3178" s="32">
        <v>0.12013000609296665</v>
      </c>
      <c r="F3178" s="35">
        <f t="shared" ca="1" si="149"/>
        <v>2.9100073021259831E-3</v>
      </c>
    </row>
    <row r="3179" spans="1:6" x14ac:dyDescent="0.25">
      <c r="A3179" s="23">
        <v>3178</v>
      </c>
      <c r="B3179" s="7" cm="1">
        <f t="array" aca="1" ref="B3179" ca="1">interpolexp(A3179,serie_du,Taxas_DI)</f>
        <v>0.12304001338090398</v>
      </c>
      <c r="C3179" s="37">
        <f t="shared" ca="1" si="148"/>
        <v>4.3205580845414042</v>
      </c>
      <c r="D3179" s="36">
        <f t="shared" ca="1" si="150"/>
        <v>0.12303996830347241</v>
      </c>
      <c r="E3179" s="32">
        <v>0.12013000597144163</v>
      </c>
      <c r="F3179" s="35">
        <f t="shared" ca="1" si="149"/>
        <v>2.9100074094623452E-3</v>
      </c>
    </row>
    <row r="3180" spans="1:6" x14ac:dyDescent="0.25">
      <c r="A3180" s="23">
        <v>3179</v>
      </c>
      <c r="B3180" s="7" cm="1">
        <f t="array" aca="1" ref="B3180" ca="1">interpolexp(A3180,serie_du,Taxas_DI)</f>
        <v>0.12304001336673753</v>
      </c>
      <c r="C3180" s="37">
        <f t="shared" ca="1" si="148"/>
        <v>4.322548044207692</v>
      </c>
      <c r="D3180" s="36">
        <f t="shared" ca="1" si="150"/>
        <v>0.1230399683457899</v>
      </c>
      <c r="E3180" s="32">
        <v>0.12013000584996103</v>
      </c>
      <c r="F3180" s="35">
        <f t="shared" ca="1" si="149"/>
        <v>2.9100075167765027E-3</v>
      </c>
    </row>
    <row r="3181" spans="1:6" x14ac:dyDescent="0.25">
      <c r="A3181" s="23">
        <v>3180</v>
      </c>
      <c r="B3181" s="7" cm="1">
        <f t="array" aca="1" ref="B3181" ca="1">interpolexp(A3181,serie_du,Taxas_DI)</f>
        <v>0.12304001335257109</v>
      </c>
      <c r="C3181" s="37">
        <f t="shared" ca="1" si="148"/>
        <v>4.3245389204077984</v>
      </c>
      <c r="D3181" s="36">
        <f t="shared" ca="1" si="150"/>
        <v>0.12303996831741038</v>
      </c>
      <c r="E3181" s="32">
        <v>0.12013000572859145</v>
      </c>
      <c r="F3181" s="35">
        <f t="shared" ca="1" si="149"/>
        <v>2.910007623979638E-3</v>
      </c>
    </row>
    <row r="3182" spans="1:6" x14ac:dyDescent="0.25">
      <c r="A3182" s="23">
        <v>3181</v>
      </c>
      <c r="B3182" s="7" cm="1">
        <f t="array" aca="1" ref="B3182" ca="1">interpolexp(A3182,serie_du,Taxas_DI)</f>
        <v>0.12304001333842685</v>
      </c>
      <c r="C3182" s="37">
        <f t="shared" ca="1" si="148"/>
        <v>4.3265307135649422</v>
      </c>
      <c r="D3182" s="36">
        <f t="shared" ca="1" si="150"/>
        <v>0.12303996835985975</v>
      </c>
      <c r="E3182" s="32">
        <v>0.12013000560726628</v>
      </c>
      <c r="F3182" s="35">
        <f t="shared" ca="1" si="149"/>
        <v>2.9100077311605688E-3</v>
      </c>
    </row>
    <row r="3183" spans="1:6" x14ac:dyDescent="0.25">
      <c r="A3183" s="23">
        <v>3182</v>
      </c>
      <c r="B3183" s="7" cm="1">
        <f t="array" aca="1" ref="B3183" ca="1">interpolexp(A3183,serie_du,Taxas_DI)</f>
        <v>0.1230400133242826</v>
      </c>
      <c r="C3183" s="37">
        <f t="shared" ca="1" si="148"/>
        <v>4.3285234241003714</v>
      </c>
      <c r="D3183" s="36">
        <f t="shared" ca="1" si="150"/>
        <v>0.12303996833141073</v>
      </c>
      <c r="E3183" s="32">
        <v>0.12013000548605213</v>
      </c>
      <c r="F3183" s="35">
        <f t="shared" ca="1" si="149"/>
        <v>2.9100078382304773E-3</v>
      </c>
    </row>
    <row r="3184" spans="1:6" x14ac:dyDescent="0.25">
      <c r="A3184" s="23">
        <v>3183</v>
      </c>
      <c r="B3184" s="7" cm="1">
        <f t="array" aca="1" ref="B3184" ca="1">interpolexp(A3184,serie_du,Taxas_DI)</f>
        <v>0.12304001331013836</v>
      </c>
      <c r="C3184" s="37">
        <f t="shared" ca="1" si="148"/>
        <v>4.3305170524366146</v>
      </c>
      <c r="D3184" s="36">
        <f t="shared" ca="1" si="150"/>
        <v>0.12303996830321529</v>
      </c>
      <c r="E3184" s="32">
        <v>0.12013000536488239</v>
      </c>
      <c r="F3184" s="35">
        <f t="shared" ca="1" si="149"/>
        <v>2.9100079452559768E-3</v>
      </c>
    </row>
    <row r="3185" spans="1:6" x14ac:dyDescent="0.25">
      <c r="A3185" s="23">
        <v>3184</v>
      </c>
      <c r="B3185" s="7" cm="1">
        <f t="array" aca="1" ref="B3185" ca="1">interpolexp(A3185,serie_du,Taxas_DI)</f>
        <v>0.12304001329601633</v>
      </c>
      <c r="C3185" s="37">
        <f t="shared" ca="1" si="148"/>
        <v>4.3325115989974714</v>
      </c>
      <c r="D3185" s="36">
        <f t="shared" ca="1" si="150"/>
        <v>0.1230399683455401</v>
      </c>
      <c r="E3185" s="32">
        <v>0.12013000524380146</v>
      </c>
      <c r="F3185" s="35">
        <f t="shared" ca="1" si="149"/>
        <v>2.910008052214863E-3</v>
      </c>
    </row>
    <row r="3186" spans="1:6" x14ac:dyDescent="0.25">
      <c r="A3186" s="23">
        <v>3185</v>
      </c>
      <c r="B3186" s="7" cm="1">
        <f t="array" aca="1" ref="B3186" ca="1">interpolexp(A3186,serie_du,Taxas_DI)</f>
        <v>0.12304001328189429</v>
      </c>
      <c r="C3186" s="37">
        <f t="shared" ca="1" si="148"/>
        <v>4.3345070642047778</v>
      </c>
      <c r="D3186" s="36">
        <f t="shared" ca="1" si="150"/>
        <v>0.12303996831734842</v>
      </c>
      <c r="E3186" s="32">
        <v>0.12013000512280936</v>
      </c>
      <c r="F3186" s="35">
        <f t="shared" ca="1" si="149"/>
        <v>2.9100081590849314E-3</v>
      </c>
    </row>
    <row r="3187" spans="1:6" x14ac:dyDescent="0.25">
      <c r="A3187" s="23">
        <v>3186</v>
      </c>
      <c r="B3187" s="7" cm="1">
        <f t="array" aca="1" ref="B3187" ca="1">interpolexp(A3187,serie_du,Taxas_DI)</f>
        <v>0.12304001326779446</v>
      </c>
      <c r="C3187" s="37">
        <f t="shared" ca="1" si="148"/>
        <v>4.3365034484827252</v>
      </c>
      <c r="D3187" s="36">
        <f t="shared" ca="1" si="150"/>
        <v>0.12303996835979758</v>
      </c>
      <c r="E3187" s="32">
        <v>0.12013000500188387</v>
      </c>
      <c r="F3187" s="35">
        <f t="shared" ca="1" si="149"/>
        <v>2.9100082659105908E-3</v>
      </c>
    </row>
    <row r="3188" spans="1:6" x14ac:dyDescent="0.25">
      <c r="A3188" s="23">
        <v>3187</v>
      </c>
      <c r="B3188" s="7" cm="1">
        <f t="array" aca="1" ref="B3188" ca="1">interpolexp(A3188,serie_du,Taxas_DI)</f>
        <v>0.12304001325369462</v>
      </c>
      <c r="C3188" s="37">
        <f t="shared" ca="1" si="148"/>
        <v>4.3385007522535366</v>
      </c>
      <c r="D3188" s="36">
        <f t="shared" ca="1" si="150"/>
        <v>0.12303996833166408</v>
      </c>
      <c r="E3188" s="32">
        <v>0.12013000488102499</v>
      </c>
      <c r="F3188" s="35">
        <f t="shared" ca="1" si="149"/>
        <v>2.9100083726696369E-3</v>
      </c>
    </row>
    <row r="3189" spans="1:6" x14ac:dyDescent="0.25">
      <c r="A3189" s="23">
        <v>3188</v>
      </c>
      <c r="B3189" s="7" cm="1">
        <f t="array" aca="1" ref="B3189" ca="1">interpolexp(A3189,serie_du,Taxas_DI)</f>
        <v>0.12304001323959479</v>
      </c>
      <c r="C3189" s="37">
        <f t="shared" ca="1" si="148"/>
        <v>4.340498975940708</v>
      </c>
      <c r="D3189" s="36">
        <f t="shared" ca="1" si="150"/>
        <v>0.12303996830334896</v>
      </c>
      <c r="E3189" s="32">
        <v>0.12013000476025493</v>
      </c>
      <c r="F3189" s="35">
        <f t="shared" ca="1" si="149"/>
        <v>2.9100084793398651E-3</v>
      </c>
    </row>
    <row r="3190" spans="1:6" x14ac:dyDescent="0.25">
      <c r="A3190" s="23">
        <v>3189</v>
      </c>
      <c r="B3190" s="7" cm="1">
        <f t="array" aca="1" ref="B3190" ca="1">interpolexp(A3190,serie_du,Taxas_DI)</f>
        <v>0.12304001322551716</v>
      </c>
      <c r="C3190" s="37">
        <f t="shared" ca="1" si="148"/>
        <v>4.3424981199690258</v>
      </c>
      <c r="D3190" s="36">
        <f t="shared" ca="1" si="150"/>
        <v>0.12303996834617159</v>
      </c>
      <c r="E3190" s="32">
        <v>0.12013000463955148</v>
      </c>
      <c r="F3190" s="35">
        <f t="shared" ca="1" si="149"/>
        <v>2.9100085859656843E-3</v>
      </c>
    </row>
    <row r="3191" spans="1:6" x14ac:dyDescent="0.25">
      <c r="A3191" s="23">
        <v>3190</v>
      </c>
      <c r="B3191" s="7" cm="1">
        <f t="array" aca="1" ref="B3191" ca="1">interpolexp(A3191,serie_du,Taxas_DI)</f>
        <v>0.12304001321143954</v>
      </c>
      <c r="C3191" s="37">
        <f t="shared" ca="1" si="148"/>
        <v>4.3444981847612878</v>
      </c>
      <c r="D3191" s="36">
        <f t="shared" ca="1" si="150"/>
        <v>0.1230399683178518</v>
      </c>
      <c r="E3191" s="32">
        <v>0.12013000451893685</v>
      </c>
      <c r="F3191" s="35">
        <f t="shared" ca="1" si="149"/>
        <v>2.9100086925026858E-3</v>
      </c>
    </row>
    <row r="3192" spans="1:6" x14ac:dyDescent="0.25">
      <c r="A3192" s="23">
        <v>3191</v>
      </c>
      <c r="B3192" s="7" cm="1">
        <f t="array" aca="1" ref="B3192" ca="1">interpolexp(A3192,serie_du,Taxas_DI)</f>
        <v>0.12304001319738411</v>
      </c>
      <c r="C3192" s="37">
        <f t="shared" ca="1" si="148"/>
        <v>4.3464991707426712</v>
      </c>
      <c r="D3192" s="36">
        <f t="shared" ca="1" si="150"/>
        <v>0.12303996836061204</v>
      </c>
      <c r="E3192" s="32">
        <v>0.12013000439838883</v>
      </c>
      <c r="F3192" s="35">
        <f t="shared" ca="1" si="149"/>
        <v>2.9100087989952783E-3</v>
      </c>
    </row>
    <row r="3193" spans="1:6" x14ac:dyDescent="0.25">
      <c r="A3193" s="23">
        <v>3192</v>
      </c>
      <c r="B3193" s="7" cm="1">
        <f t="array" aca="1" ref="B3193" ca="1">interpolexp(A3193,serie_du,Taxas_DI)</f>
        <v>0.12304001318332869</v>
      </c>
      <c r="C3193" s="37">
        <f t="shared" ca="1" si="148"/>
        <v>4.3485010783363665</v>
      </c>
      <c r="D3193" s="36">
        <f t="shared" ca="1" si="150"/>
        <v>0.12303996833241282</v>
      </c>
      <c r="E3193" s="32">
        <v>0.12013000427790743</v>
      </c>
      <c r="F3193" s="35">
        <f t="shared" ca="1" si="149"/>
        <v>2.9100089054212575E-3</v>
      </c>
    </row>
    <row r="3194" spans="1:6" x14ac:dyDescent="0.25">
      <c r="A3194" s="23">
        <v>3193</v>
      </c>
      <c r="B3194" s="7" cm="1">
        <f t="array" aca="1" ref="B3194" ca="1">interpolexp(A3194,serie_du,Taxas_DI)</f>
        <v>0.12304001316927327</v>
      </c>
      <c r="C3194" s="37">
        <f t="shared" ca="1" si="148"/>
        <v>4.3505039079668517</v>
      </c>
      <c r="D3194" s="36">
        <f t="shared" ca="1" si="150"/>
        <v>0.12303996830441322</v>
      </c>
      <c r="E3194" s="32">
        <v>0.12013000415751485</v>
      </c>
      <c r="F3194" s="35">
        <f t="shared" ca="1" si="149"/>
        <v>2.9100090117584188E-3</v>
      </c>
    </row>
    <row r="3195" spans="1:6" x14ac:dyDescent="0.25">
      <c r="A3195" s="23">
        <v>3194</v>
      </c>
      <c r="B3195" s="7" cm="1">
        <f t="array" aca="1" ref="B3195" ca="1">interpolexp(A3195,serie_du,Taxas_DI)</f>
        <v>0.12304001315524005</v>
      </c>
      <c r="C3195" s="37">
        <f t="shared" ca="1" si="148"/>
        <v>4.3525076600598842</v>
      </c>
      <c r="D3195" s="36">
        <f t="shared" ca="1" si="150"/>
        <v>0.12303996834711151</v>
      </c>
      <c r="E3195" s="32">
        <v>0.12013000403718888</v>
      </c>
      <c r="F3195" s="35">
        <f t="shared" ca="1" si="149"/>
        <v>2.9100091180511711E-3</v>
      </c>
    </row>
    <row r="3196" spans="1:6" x14ac:dyDescent="0.25">
      <c r="A3196" s="23">
        <v>3195</v>
      </c>
      <c r="B3196" s="7" cm="1">
        <f t="array" aca="1" ref="B3196" ca="1">interpolexp(A3196,serie_du,Taxas_DI)</f>
        <v>0.12304001314120683</v>
      </c>
      <c r="C3196" s="37">
        <f t="shared" ca="1" si="148"/>
        <v>4.3545123350392458</v>
      </c>
      <c r="D3196" s="36">
        <f t="shared" ca="1" si="150"/>
        <v>0.12303996831916542</v>
      </c>
      <c r="E3196" s="32">
        <v>0.12013000391692952</v>
      </c>
      <c r="F3196" s="35">
        <f t="shared" ca="1" si="149"/>
        <v>2.9100092242773101E-3</v>
      </c>
    </row>
    <row r="3197" spans="1:6" x14ac:dyDescent="0.25">
      <c r="A3197" s="23">
        <v>3196</v>
      </c>
      <c r="B3197" s="7" cm="1">
        <f t="array" aca="1" ref="B3197" ca="1">interpolexp(A3197,serie_du,Taxas_DI)</f>
        <v>0.12304001312717361</v>
      </c>
      <c r="C3197" s="37">
        <f t="shared" ca="1" si="148"/>
        <v>4.3565179333299948</v>
      </c>
      <c r="D3197" s="36">
        <f t="shared" ca="1" si="150"/>
        <v>0.1230399682910206</v>
      </c>
      <c r="E3197" s="32">
        <v>0.12013000379675898</v>
      </c>
      <c r="F3197" s="35">
        <f t="shared" ca="1" si="149"/>
        <v>2.9100093304146313E-3</v>
      </c>
    </row>
    <row r="3198" spans="1:6" x14ac:dyDescent="0.25">
      <c r="A3198" s="23">
        <v>3197</v>
      </c>
      <c r="B3198" s="7" cm="1">
        <f t="array" aca="1" ref="B3198" ca="1">interpolexp(A3198,serie_du,Taxas_DI)</f>
        <v>0.12304001311316259</v>
      </c>
      <c r="C3198" s="37">
        <f t="shared" ca="1" si="148"/>
        <v>4.3585244553584852</v>
      </c>
      <c r="D3198" s="36">
        <f t="shared" ca="1" si="150"/>
        <v>0.12303996833404995</v>
      </c>
      <c r="E3198" s="32">
        <v>0.12013000367667725</v>
      </c>
      <c r="F3198" s="35">
        <f t="shared" ca="1" si="149"/>
        <v>2.9100094364853391E-3</v>
      </c>
    </row>
    <row r="3199" spans="1:6" x14ac:dyDescent="0.25">
      <c r="A3199" s="23">
        <v>3198</v>
      </c>
      <c r="B3199" s="7" cm="1">
        <f t="array" aca="1" ref="B3199" ca="1">interpolexp(A3199,serie_du,Taxas_DI)</f>
        <v>0.12304001309917378</v>
      </c>
      <c r="C3199" s="37">
        <f t="shared" ca="1" si="148"/>
        <v>4.3605319015501696</v>
      </c>
      <c r="D3199" s="36">
        <f t="shared" ca="1" si="150"/>
        <v>0.12303996837690478</v>
      </c>
      <c r="E3199" s="32">
        <v>0.12013000355663994</v>
      </c>
      <c r="F3199" s="35">
        <f t="shared" ca="1" si="149"/>
        <v>2.9100095425338424E-3</v>
      </c>
    </row>
    <row r="3200" spans="1:6" x14ac:dyDescent="0.25">
      <c r="A3200" s="23">
        <v>3199</v>
      </c>
      <c r="B3200" s="7" cm="1">
        <f t="array" aca="1" ref="B3200" ca="1">interpolexp(A3200,serie_du,Taxas_DI)</f>
        <v>0.12304001308516277</v>
      </c>
      <c r="C3200" s="37">
        <f t="shared" ca="1" si="148"/>
        <v>4.3625402723285136</v>
      </c>
      <c r="D3200" s="36">
        <f t="shared" ca="1" si="150"/>
        <v>0.12303996827796126</v>
      </c>
      <c r="E3200" s="32">
        <v>0.12013000343669145</v>
      </c>
      <c r="F3200" s="35">
        <f t="shared" ca="1" si="149"/>
        <v>2.9100096484713234E-3</v>
      </c>
    </row>
    <row r="3201" spans="1:6" x14ac:dyDescent="0.25">
      <c r="A3201" s="23">
        <v>3200</v>
      </c>
      <c r="B3201" s="7" cm="1">
        <f t="array" aca="1" ref="B3201" ca="1">interpolexp(A3201,serie_du,Taxas_DI)</f>
        <v>0.12304001307119616</v>
      </c>
      <c r="C3201" s="37">
        <f t="shared" ca="1" si="148"/>
        <v>4.3645495681226452</v>
      </c>
      <c r="D3201" s="36">
        <f t="shared" ca="1" si="150"/>
        <v>0.12303996839201958</v>
      </c>
      <c r="E3201" s="32">
        <v>0.12013000331683177</v>
      </c>
      <c r="F3201" s="35">
        <f t="shared" ca="1" si="149"/>
        <v>2.9100097543643955E-3</v>
      </c>
    </row>
    <row r="3202" spans="1:6" x14ac:dyDescent="0.25">
      <c r="A3202" s="23">
        <v>3201</v>
      </c>
      <c r="B3202" s="7" cm="1">
        <f t="array" aca="1" ref="B3202" ca="1">interpolexp(A3202,serie_du,Taxas_DI)</f>
        <v>0.12304001305720735</v>
      </c>
      <c r="C3202" s="37">
        <f t="shared" ref="C3202:C3265" ca="1" si="151">(1+B3202)^(A3202/252)</f>
        <v>4.366559789355323</v>
      </c>
      <c r="D3202" s="36">
        <f t="shared" ca="1" si="150"/>
        <v>0.12303996829302544</v>
      </c>
      <c r="E3202" s="32">
        <v>0.1201300031970387</v>
      </c>
      <c r="F3202" s="35">
        <f t="shared" ref="F3202:F3265" ca="1" si="152">B3202-E3202</f>
        <v>2.9100098601686497E-3</v>
      </c>
    </row>
    <row r="3203" spans="1:6" x14ac:dyDescent="0.25">
      <c r="A3203" s="23">
        <v>3202</v>
      </c>
      <c r="B3203" s="7" cm="1">
        <f t="array" aca="1" ref="B3203" ca="1">interpolexp(A3203,serie_du,Taxas_DI)</f>
        <v>0.12304001304324075</v>
      </c>
      <c r="C3203" s="37">
        <f t="shared" ca="1" si="151"/>
        <v>4.3685709364549759</v>
      </c>
      <c r="D3203" s="36">
        <f t="shared" ca="1" si="150"/>
        <v>0.1230399683361163</v>
      </c>
      <c r="E3203" s="32">
        <v>0.12013000307731225</v>
      </c>
      <c r="F3203" s="35">
        <f t="shared" ca="1" si="152"/>
        <v>2.910009965928495E-3</v>
      </c>
    </row>
    <row r="3204" spans="1:6" x14ac:dyDescent="0.25">
      <c r="A3204" s="23">
        <v>3203</v>
      </c>
      <c r="B3204" s="7" cm="1">
        <f t="array" aca="1" ref="B3204" ca="1">interpolexp(A3204,serie_du,Taxas_DI)</f>
        <v>0.12304001302927414</v>
      </c>
      <c r="C3204" s="37">
        <f t="shared" ca="1" si="151"/>
        <v>4.3705830098469436</v>
      </c>
      <c r="D3204" s="36">
        <f t="shared" ref="D3204:D3267" ca="1" si="153">((((1+B3204)^(A3204/252))/((1+B3203)^(A3203/252)))^(252/1))-1</f>
        <v>0.1230399683082577</v>
      </c>
      <c r="E3204" s="32">
        <v>0.12013000295767462</v>
      </c>
      <c r="F3204" s="35">
        <f t="shared" ca="1" si="152"/>
        <v>2.9100100715995225E-3</v>
      </c>
    </row>
    <row r="3205" spans="1:6" x14ac:dyDescent="0.25">
      <c r="A3205" s="23">
        <v>3204</v>
      </c>
      <c r="B3205" s="7" cm="1">
        <f t="array" aca="1" ref="B3205" ca="1">interpolexp(A3205,serie_du,Taxas_DI)</f>
        <v>0.12304001301532974</v>
      </c>
      <c r="C3205" s="37">
        <f t="shared" ca="1" si="151"/>
        <v>4.3725960099589534</v>
      </c>
      <c r="D3205" s="36">
        <f t="shared" ca="1" si="153"/>
        <v>0.12303996835131392</v>
      </c>
      <c r="E3205" s="32">
        <v>0.1201300028381036</v>
      </c>
      <c r="F3205" s="35">
        <f t="shared" ca="1" si="152"/>
        <v>2.9100101772261411E-3</v>
      </c>
    </row>
    <row r="3206" spans="1:6" x14ac:dyDescent="0.25">
      <c r="A3206" s="23">
        <v>3205</v>
      </c>
      <c r="B3206" s="7" cm="1">
        <f t="array" aca="1" ref="B3206" ca="1">interpolexp(A3206,serie_du,Taxas_DI)</f>
        <v>0.12304001300138534</v>
      </c>
      <c r="C3206" s="37">
        <f t="shared" ca="1" si="151"/>
        <v>4.3746099372167402</v>
      </c>
      <c r="D3206" s="36">
        <f t="shared" ca="1" si="153"/>
        <v>0.12303996832361852</v>
      </c>
      <c r="E3206" s="32">
        <v>0.12013000271859919</v>
      </c>
      <c r="F3206" s="35">
        <f t="shared" ca="1" si="152"/>
        <v>2.9100102827861463E-3</v>
      </c>
    </row>
    <row r="3207" spans="1:6" x14ac:dyDescent="0.25">
      <c r="A3207" s="23">
        <v>3206</v>
      </c>
      <c r="B3207" s="7" cm="1">
        <f t="array" aca="1" ref="B3207" ca="1">interpolexp(A3207,serie_du,Taxas_DI)</f>
        <v>0.12304001298746314</v>
      </c>
      <c r="C3207" s="37">
        <f t="shared" ca="1" si="151"/>
        <v>4.3766247920484229</v>
      </c>
      <c r="D3207" s="36">
        <f t="shared" ca="1" si="153"/>
        <v>0.12303996836675557</v>
      </c>
      <c r="E3207" s="32">
        <v>0.1201300025991614</v>
      </c>
      <c r="F3207" s="35">
        <f t="shared" ca="1" si="152"/>
        <v>2.9100103883017425E-3</v>
      </c>
    </row>
    <row r="3208" spans="1:6" x14ac:dyDescent="0.25">
      <c r="A3208" s="23">
        <v>3207</v>
      </c>
      <c r="B3208" s="7" cm="1">
        <f t="array" aca="1" ref="B3208" ca="1">interpolexp(A3208,serie_du,Taxas_DI)</f>
        <v>0.12304001297351874</v>
      </c>
      <c r="C3208" s="37">
        <f t="shared" ca="1" si="151"/>
        <v>4.378640574879026</v>
      </c>
      <c r="D3208" s="36">
        <f t="shared" ca="1" si="153"/>
        <v>0.12303996826783936</v>
      </c>
      <c r="E3208" s="32">
        <v>0.12013000247983463</v>
      </c>
      <c r="F3208" s="35">
        <f t="shared" ca="1" si="152"/>
        <v>2.910010493684112E-3</v>
      </c>
    </row>
    <row r="3209" spans="1:6" x14ac:dyDescent="0.25">
      <c r="A3209" s="23">
        <v>3208</v>
      </c>
      <c r="B3209" s="7" cm="1">
        <f t="array" aca="1" ref="B3209" ca="1">interpolexp(A3209,serie_du,Taxas_DI)</f>
        <v>0.12304001295961875</v>
      </c>
      <c r="C3209" s="37">
        <f t="shared" ca="1" si="151"/>
        <v>4.3806572861392681</v>
      </c>
      <c r="D3209" s="36">
        <f t="shared" ca="1" si="153"/>
        <v>0.1230399683823602</v>
      </c>
      <c r="E3209" s="32">
        <v>0.12013000236055227</v>
      </c>
      <c r="F3209" s="35">
        <f t="shared" ca="1" si="152"/>
        <v>2.9100105990664815E-3</v>
      </c>
    </row>
    <row r="3210" spans="1:6" x14ac:dyDescent="0.25">
      <c r="A3210" s="23">
        <v>3209</v>
      </c>
      <c r="B3210" s="7" cm="1">
        <f t="array" aca="1" ref="B3210" ca="1">interpolexp(A3210,serie_du,Taxas_DI)</f>
        <v>0.12304001294569655</v>
      </c>
      <c r="C3210" s="37">
        <f t="shared" ca="1" si="151"/>
        <v>4.3826749262534594</v>
      </c>
      <c r="D3210" s="36">
        <f t="shared" ca="1" si="153"/>
        <v>0.12303996828329034</v>
      </c>
      <c r="E3210" s="32">
        <v>0.12013000224135872</v>
      </c>
      <c r="F3210" s="35">
        <f t="shared" ca="1" si="152"/>
        <v>2.9100107043378287E-3</v>
      </c>
    </row>
    <row r="3211" spans="1:6" x14ac:dyDescent="0.25">
      <c r="A3211" s="23">
        <v>3210</v>
      </c>
      <c r="B3211" s="7" cm="1">
        <f t="array" aca="1" ref="B3211" ca="1">interpolexp(A3211,serie_du,Taxas_DI)</f>
        <v>0.12304001293179656</v>
      </c>
      <c r="C3211" s="37">
        <f t="shared" ca="1" si="151"/>
        <v>4.3846934956516179</v>
      </c>
      <c r="D3211" s="36">
        <f t="shared" ca="1" si="153"/>
        <v>0.12303996832677244</v>
      </c>
      <c r="E3211" s="32">
        <v>0.12013000212223179</v>
      </c>
      <c r="F3211" s="35">
        <f t="shared" ca="1" si="152"/>
        <v>2.910010809564767E-3</v>
      </c>
    </row>
    <row r="3212" spans="1:6" x14ac:dyDescent="0.25">
      <c r="A3212" s="23">
        <v>3211</v>
      </c>
      <c r="B3212" s="7" cm="1">
        <f t="array" aca="1" ref="B3212" ca="1">interpolexp(A3212,serie_du,Taxas_DI)</f>
        <v>0.12304001291791877</v>
      </c>
      <c r="C3212" s="37">
        <f t="shared" ca="1" si="151"/>
        <v>4.3867129947617531</v>
      </c>
      <c r="D3212" s="36">
        <f t="shared" ca="1" si="153"/>
        <v>0.12303996837020725</v>
      </c>
      <c r="E3212" s="32">
        <v>0.12013000200317148</v>
      </c>
      <c r="F3212" s="35">
        <f t="shared" ca="1" si="152"/>
        <v>2.9100109147472963E-3</v>
      </c>
    </row>
    <row r="3213" spans="1:6" x14ac:dyDescent="0.25">
      <c r="A3213" s="23">
        <v>3212</v>
      </c>
      <c r="B3213" s="7" cm="1">
        <f t="array" aca="1" ref="B3213" ca="1">interpolexp(A3213,serie_du,Taxas_DI)</f>
        <v>0.12304001290404099</v>
      </c>
      <c r="C3213" s="37">
        <f t="shared" ca="1" si="151"/>
        <v>4.3887334240109661</v>
      </c>
      <c r="D3213" s="36">
        <f t="shared" ca="1" si="153"/>
        <v>0.12303996834240927</v>
      </c>
      <c r="E3213" s="32">
        <v>0.12013000188419998</v>
      </c>
      <c r="F3213" s="35">
        <f t="shared" ca="1" si="152"/>
        <v>2.9100110198410079E-3</v>
      </c>
    </row>
    <row r="3214" spans="1:6" x14ac:dyDescent="0.25">
      <c r="A3214" s="23">
        <v>3213</v>
      </c>
      <c r="B3214" s="7" cm="1">
        <f t="array" aca="1" ref="B3214" ca="1">interpolexp(A3214,serie_du,Taxas_DI)</f>
        <v>0.1230400128901632</v>
      </c>
      <c r="C3214" s="37">
        <f t="shared" ca="1" si="151"/>
        <v>4.3907547838276617</v>
      </c>
      <c r="D3214" s="36">
        <f t="shared" ca="1" si="153"/>
        <v>0.12303996831477537</v>
      </c>
      <c r="E3214" s="32">
        <v>0.12013000176529509</v>
      </c>
      <c r="F3214" s="35">
        <f t="shared" ca="1" si="152"/>
        <v>2.910011124868106E-3</v>
      </c>
    </row>
    <row r="3215" spans="1:6" x14ac:dyDescent="0.25">
      <c r="A3215" s="23">
        <v>3214</v>
      </c>
      <c r="B3215" s="7" cm="1">
        <f t="array" aca="1" ref="B3215" ca="1">interpolexp(A3215,serie_du,Taxas_DI)</f>
        <v>0.12304001287628541</v>
      </c>
      <c r="C3215" s="37">
        <f t="shared" ca="1" si="151"/>
        <v>4.3927770746404384</v>
      </c>
      <c r="D3215" s="36">
        <f t="shared" ca="1" si="153"/>
        <v>0.12303996828699404</v>
      </c>
      <c r="E3215" s="32">
        <v>0.12013000164645682</v>
      </c>
      <c r="F3215" s="35">
        <f t="shared" ca="1" si="152"/>
        <v>2.9100112298285907E-3</v>
      </c>
    </row>
    <row r="3216" spans="1:6" x14ac:dyDescent="0.25">
      <c r="A3216" s="23">
        <v>3215</v>
      </c>
      <c r="B3216" s="7" cm="1">
        <f t="array" aca="1" ref="B3216" ca="1">interpolexp(A3216,serie_du,Taxas_DI)</f>
        <v>0.12304001286242983</v>
      </c>
      <c r="C3216" s="37">
        <f t="shared" ca="1" si="151"/>
        <v>4.3948002968791995</v>
      </c>
      <c r="D3216" s="36">
        <f t="shared" ca="1" si="153"/>
        <v>0.12303996833047615</v>
      </c>
      <c r="E3216" s="32">
        <v>0.12013000152770736</v>
      </c>
      <c r="F3216" s="35">
        <f t="shared" ca="1" si="152"/>
        <v>2.9100113347224621E-3</v>
      </c>
    </row>
    <row r="3217" spans="1:6" x14ac:dyDescent="0.25">
      <c r="A3217" s="23">
        <v>3216</v>
      </c>
      <c r="B3217" s="7" cm="1">
        <f t="array" aca="1" ref="B3217" ca="1">interpolexp(A3217,serie_du,Taxas_DI)</f>
        <v>0.12304001284859645</v>
      </c>
      <c r="C3217" s="37">
        <f t="shared" ca="1" si="151"/>
        <v>4.3968244509729466</v>
      </c>
      <c r="D3217" s="36">
        <f t="shared" ca="1" si="153"/>
        <v>0.1230399683743777</v>
      </c>
      <c r="E3217" s="32">
        <v>0.12013000140902452</v>
      </c>
      <c r="F3217" s="35">
        <f t="shared" ca="1" si="152"/>
        <v>2.9100114395719245E-3</v>
      </c>
    </row>
    <row r="3218" spans="1:6" x14ac:dyDescent="0.25">
      <c r="A3218" s="23">
        <v>3217</v>
      </c>
      <c r="B3218" s="7" cm="1">
        <f t="array" aca="1" ref="B3218" ca="1">interpolexp(A3218,serie_du,Taxas_DI)</f>
        <v>0.12304001283476307</v>
      </c>
      <c r="C3218" s="37">
        <f t="shared" ca="1" si="151"/>
        <v>4.3988495373497614</v>
      </c>
      <c r="D3218" s="36">
        <f t="shared" ca="1" si="153"/>
        <v>0.12303996834661168</v>
      </c>
      <c r="E3218" s="32">
        <v>0.1201300012904305</v>
      </c>
      <c r="F3218" s="35">
        <f t="shared" ca="1" si="152"/>
        <v>2.9100115443325691E-3</v>
      </c>
    </row>
    <row r="3219" spans="1:6" x14ac:dyDescent="0.25">
      <c r="A3219" s="23">
        <v>3218</v>
      </c>
      <c r="B3219" s="7" cm="1">
        <f t="array" aca="1" ref="B3219" ca="1">interpolexp(A3219,serie_du,Taxas_DI)</f>
        <v>0.12304001282092969</v>
      </c>
      <c r="C3219" s="37">
        <f t="shared" ca="1" si="151"/>
        <v>4.4008755564390336</v>
      </c>
      <c r="D3219" s="36">
        <f t="shared" ca="1" si="153"/>
        <v>0.12303996831891562</v>
      </c>
      <c r="E3219" s="32">
        <v>0.12013000117188088</v>
      </c>
      <c r="F3219" s="35">
        <f t="shared" ca="1" si="152"/>
        <v>2.9100116490488048E-3</v>
      </c>
    </row>
    <row r="3220" spans="1:6" x14ac:dyDescent="0.25">
      <c r="A3220" s="23">
        <v>3219</v>
      </c>
      <c r="B3220" s="7" cm="1">
        <f t="array" aca="1" ref="B3220" ca="1">interpolexp(A3220,serie_du,Taxas_DI)</f>
        <v>0.12304001280709631</v>
      </c>
      <c r="C3220" s="37">
        <f t="shared" ca="1" si="151"/>
        <v>4.4029025086703522</v>
      </c>
      <c r="D3220" s="36">
        <f t="shared" ca="1" si="153"/>
        <v>0.12303996829127417</v>
      </c>
      <c r="E3220" s="32">
        <v>0.12013000105342009</v>
      </c>
      <c r="F3220" s="35">
        <f t="shared" ca="1" si="152"/>
        <v>2.9100117536762227E-3</v>
      </c>
    </row>
    <row r="3221" spans="1:6" x14ac:dyDescent="0.25">
      <c r="A3221" s="23">
        <v>3220</v>
      </c>
      <c r="B3221" s="7" cm="1">
        <f t="array" aca="1" ref="B3221" ca="1">interpolexp(A3221,serie_du,Taxas_DI)</f>
        <v>0.12304001279328514</v>
      </c>
      <c r="C3221" s="37">
        <f t="shared" ca="1" si="151"/>
        <v>4.4049303944746159</v>
      </c>
      <c r="D3221" s="36">
        <f t="shared" ca="1" si="153"/>
        <v>0.12303996833517816</v>
      </c>
      <c r="E3221" s="32">
        <v>0.12013000093504811</v>
      </c>
      <c r="F3221" s="35">
        <f t="shared" ca="1" si="152"/>
        <v>2.9100118582370271E-3</v>
      </c>
    </row>
    <row r="3222" spans="1:6" x14ac:dyDescent="0.25">
      <c r="A3222" s="23">
        <v>3221</v>
      </c>
      <c r="B3222" s="7" cm="1">
        <f t="array" aca="1" ref="B3222" ca="1">interpolexp(A3222,serie_du,Taxas_DI)</f>
        <v>0.12304001277949617</v>
      </c>
      <c r="C3222" s="37">
        <f t="shared" ca="1" si="151"/>
        <v>4.4069592142818079</v>
      </c>
      <c r="D3222" s="36">
        <f t="shared" ca="1" si="153"/>
        <v>0.12303996837897158</v>
      </c>
      <c r="E3222" s="32">
        <v>0.12013000081672054</v>
      </c>
      <c r="F3222" s="35">
        <f t="shared" ca="1" si="152"/>
        <v>2.9100119627756271E-3</v>
      </c>
    </row>
    <row r="3223" spans="1:6" x14ac:dyDescent="0.25">
      <c r="A3223" s="23">
        <v>3222</v>
      </c>
      <c r="B3223" s="7" cm="1">
        <f t="array" aca="1" ref="B3223" ca="1">interpolexp(A3223,serie_du,Taxas_DI)</f>
        <v>0.12304001276568499</v>
      </c>
      <c r="C3223" s="37">
        <f t="shared" ca="1" si="151"/>
        <v>4.4089889685198864</v>
      </c>
      <c r="D3223" s="36">
        <f t="shared" ca="1" si="153"/>
        <v>0.12303996827990238</v>
      </c>
      <c r="E3223" s="32">
        <v>0.12013000069848179</v>
      </c>
      <c r="F3223" s="35">
        <f t="shared" ca="1" si="152"/>
        <v>2.9100120672032048E-3</v>
      </c>
    </row>
    <row r="3224" spans="1:6" x14ac:dyDescent="0.25">
      <c r="A3224" s="23">
        <v>3223</v>
      </c>
      <c r="B3224" s="7" cm="1">
        <f t="array" aca="1" ref="B3224" ca="1">interpolexp(A3224,serie_du,Taxas_DI)</f>
        <v>0.12304001275189602</v>
      </c>
      <c r="C3224" s="37">
        <f t="shared" ca="1" si="151"/>
        <v>4.4110196576214582</v>
      </c>
      <c r="D3224" s="36">
        <f t="shared" ca="1" si="153"/>
        <v>0.1230399683238681</v>
      </c>
      <c r="E3224" s="32">
        <v>0.12013000058030965</v>
      </c>
      <c r="F3224" s="35">
        <f t="shared" ca="1" si="152"/>
        <v>2.9100121715863736E-3</v>
      </c>
    </row>
    <row r="3225" spans="1:6" x14ac:dyDescent="0.25">
      <c r="A3225" s="23">
        <v>3224</v>
      </c>
      <c r="B3225" s="7" cm="1">
        <f t="array" aca="1" ref="B3225" ca="1">interpolexp(A3225,serie_du,Taxas_DI)</f>
        <v>0.12304001273812926</v>
      </c>
      <c r="C3225" s="37">
        <f t="shared" ca="1" si="151"/>
        <v>4.4130512820171033</v>
      </c>
      <c r="D3225" s="36">
        <f t="shared" ca="1" si="153"/>
        <v>0.1230399683678296</v>
      </c>
      <c r="E3225" s="32">
        <v>0.12013000046222633</v>
      </c>
      <c r="F3225" s="35">
        <f t="shared" ca="1" si="152"/>
        <v>2.910012275902929E-3</v>
      </c>
    </row>
    <row r="3226" spans="1:6" x14ac:dyDescent="0.25">
      <c r="A3226" s="23">
        <v>3225</v>
      </c>
      <c r="B3226" s="7" cm="1">
        <f t="array" aca="1" ref="B3226" ca="1">interpolexp(A3226,serie_du,Taxas_DI)</f>
        <v>0.12304001272436249</v>
      </c>
      <c r="C3226" s="37">
        <f t="shared" ca="1" si="151"/>
        <v>4.4150838421364824</v>
      </c>
      <c r="D3226" s="36">
        <f t="shared" ca="1" si="153"/>
        <v>0.12303996834019526</v>
      </c>
      <c r="E3226" s="32">
        <v>0.12013000034420962</v>
      </c>
      <c r="F3226" s="35">
        <f t="shared" ca="1" si="152"/>
        <v>2.910012380152871E-3</v>
      </c>
    </row>
    <row r="3227" spans="1:6" x14ac:dyDescent="0.25">
      <c r="A3227" s="23">
        <v>3226</v>
      </c>
      <c r="B3227" s="7" cm="1">
        <f t="array" aca="1" ref="B3227" ca="1">interpolexp(A3227,serie_du,Taxas_DI)</f>
        <v>0.12304001271059573</v>
      </c>
      <c r="C3227" s="37">
        <f t="shared" ca="1" si="151"/>
        <v>4.4171173384105735</v>
      </c>
      <c r="D3227" s="36">
        <f t="shared" ca="1" si="153"/>
        <v>0.12303996831283404</v>
      </c>
      <c r="E3227" s="32">
        <v>0.12013000022625953</v>
      </c>
      <c r="F3227" s="35">
        <f t="shared" ca="1" si="152"/>
        <v>2.9100124843361996E-3</v>
      </c>
    </row>
    <row r="3228" spans="1:6" x14ac:dyDescent="0.25">
      <c r="A3228" s="23">
        <v>3227</v>
      </c>
      <c r="B3228" s="7" cm="1">
        <f t="array" aca="1" ref="B3228" ca="1">interpolexp(A3228,serie_du,Taxas_DI)</f>
        <v>0.12304001269682896</v>
      </c>
      <c r="C3228" s="37">
        <f t="shared" ca="1" si="151"/>
        <v>4.4191517712705464</v>
      </c>
      <c r="D3228" s="36">
        <f t="shared" ca="1" si="153"/>
        <v>0.12303996828523167</v>
      </c>
      <c r="E3228" s="32">
        <v>0.12013000010837604</v>
      </c>
      <c r="F3228" s="35">
        <f t="shared" ca="1" si="152"/>
        <v>2.9100125884529149E-3</v>
      </c>
    </row>
    <row r="3229" spans="1:6" x14ac:dyDescent="0.25">
      <c r="A3229" s="23">
        <v>3228</v>
      </c>
      <c r="B3229" s="7" cm="1">
        <f t="array" aca="1" ref="B3229" ca="1">interpolexp(A3229,serie_du,Taxas_DI)</f>
        <v>0.1230400126831066</v>
      </c>
      <c r="C3229" s="37">
        <f t="shared" ca="1" si="151"/>
        <v>4.4211871411500141</v>
      </c>
      <c r="D3229" s="36">
        <f t="shared" ca="1" si="153"/>
        <v>0.12303996840106568</v>
      </c>
      <c r="E3229" s="32">
        <v>0.12012999999058138</v>
      </c>
      <c r="F3229" s="35">
        <f t="shared" ca="1" si="152"/>
        <v>2.9100126925252212E-3</v>
      </c>
    </row>
    <row r="3230" spans="1:6" x14ac:dyDescent="0.25">
      <c r="A3230" s="23">
        <v>3229</v>
      </c>
      <c r="B3230" s="7" cm="1">
        <f t="array" aca="1" ref="B3230" ca="1">interpolexp(A3230,serie_du,Taxas_DI)</f>
        <v>0.12304001266936204</v>
      </c>
      <c r="C3230" s="37">
        <f t="shared" ca="1" si="151"/>
        <v>4.4232234484771897</v>
      </c>
      <c r="D3230" s="36">
        <f t="shared" ca="1" si="153"/>
        <v>0.12303996830193409</v>
      </c>
      <c r="E3230" s="32">
        <v>0.12012999987285333</v>
      </c>
      <c r="F3230" s="35">
        <f t="shared" ca="1" si="152"/>
        <v>2.9100127965087097E-3</v>
      </c>
    </row>
    <row r="3231" spans="1:6" x14ac:dyDescent="0.25">
      <c r="A3231" s="23">
        <v>3230</v>
      </c>
      <c r="B3231" s="7" cm="1">
        <f t="array" aca="1" ref="B3231" ca="1">interpolexp(A3231,serie_du,Taxas_DI)</f>
        <v>0.12304001265563969</v>
      </c>
      <c r="C3231" s="37">
        <f t="shared" ca="1" si="151"/>
        <v>4.4252606936860808</v>
      </c>
      <c r="D3231" s="36">
        <f t="shared" ca="1" si="153"/>
        <v>0.12303996834604747</v>
      </c>
      <c r="E3231" s="32">
        <v>0.1201299997551919</v>
      </c>
      <c r="F3231" s="35">
        <f t="shared" ca="1" si="152"/>
        <v>2.9100129004477893E-3</v>
      </c>
    </row>
    <row r="3232" spans="1:6" x14ac:dyDescent="0.25">
      <c r="A3232" s="23">
        <v>3231</v>
      </c>
      <c r="B3232" s="7" cm="1">
        <f t="array" aca="1" ref="B3232" ca="1">interpolexp(A3232,serie_du,Taxas_DI)</f>
        <v>0.12304001264191733</v>
      </c>
      <c r="C3232" s="37">
        <f t="shared" ca="1" si="151"/>
        <v>4.4272988772075399</v>
      </c>
      <c r="D3232" s="36">
        <f t="shared" ca="1" si="153"/>
        <v>0.12303996831878994</v>
      </c>
      <c r="E3232" s="32">
        <v>0.12012999963761928</v>
      </c>
      <c r="F3232" s="35">
        <f t="shared" ca="1" si="152"/>
        <v>2.910013004298051E-3</v>
      </c>
    </row>
    <row r="3233" spans="1:6" x14ac:dyDescent="0.25">
      <c r="A3233" s="23">
        <v>3232</v>
      </c>
      <c r="B3233" s="7" cm="1">
        <f t="array" aca="1" ref="B3233" ca="1">interpolexp(A3233,serie_du,Taxas_DI)</f>
        <v>0.12304001262819497</v>
      </c>
      <c r="C3233" s="37">
        <f t="shared" ca="1" si="151"/>
        <v>4.4293379994737307</v>
      </c>
      <c r="D3233" s="36">
        <f t="shared" ca="1" si="153"/>
        <v>0.12303996829127417</v>
      </c>
      <c r="E3233" s="32">
        <v>0.12012999952011327</v>
      </c>
      <c r="F3233" s="35">
        <f t="shared" ca="1" si="152"/>
        <v>2.9100131080816993E-3</v>
      </c>
    </row>
    <row r="3234" spans="1:6" x14ac:dyDescent="0.25">
      <c r="A3234" s="23">
        <v>3233</v>
      </c>
      <c r="B3234" s="7" cm="1">
        <f t="array" aca="1" ref="B3234" ca="1">interpolexp(A3234,serie_du,Taxas_DI)</f>
        <v>0.12304001261449482</v>
      </c>
      <c r="C3234" s="37">
        <f t="shared" ca="1" si="151"/>
        <v>4.4313780609181421</v>
      </c>
      <c r="D3234" s="36">
        <f t="shared" ca="1" si="153"/>
        <v>0.12303996833548991</v>
      </c>
      <c r="E3234" s="32">
        <v>0.12012999940267388</v>
      </c>
      <c r="F3234" s="35">
        <f t="shared" ca="1" si="152"/>
        <v>2.9100132118209387E-3</v>
      </c>
    </row>
    <row r="3235" spans="1:6" x14ac:dyDescent="0.25">
      <c r="A3235" s="23">
        <v>3234</v>
      </c>
      <c r="B3235" s="7" cm="1">
        <f t="array" aca="1" ref="B3235" ca="1">interpolexp(A3235,serie_du,Taxas_DI)</f>
        <v>0.12304001260081687</v>
      </c>
      <c r="C3235" s="37">
        <f t="shared" ca="1" si="151"/>
        <v>4.4334190619733462</v>
      </c>
      <c r="D3235" s="36">
        <f t="shared" ca="1" si="153"/>
        <v>0.12303996838004339</v>
      </c>
      <c r="E3235" s="32">
        <v>0.1201299992853011</v>
      </c>
      <c r="F3235" s="35">
        <f t="shared" ca="1" si="152"/>
        <v>2.9100133155157692E-3</v>
      </c>
    </row>
    <row r="3236" spans="1:6" x14ac:dyDescent="0.25">
      <c r="A3236" s="23">
        <v>3235</v>
      </c>
      <c r="B3236" s="7" cm="1">
        <f t="array" aca="1" ref="B3236" ca="1">interpolexp(A3236,serie_du,Taxas_DI)</f>
        <v>0.12304001258711672</v>
      </c>
      <c r="C3236" s="37">
        <f t="shared" ca="1" si="151"/>
        <v>4.4354610030698556</v>
      </c>
      <c r="D3236" s="36">
        <f t="shared" ca="1" si="153"/>
        <v>0.12303996828084229</v>
      </c>
      <c r="E3236" s="32">
        <v>0.12012999916801714</v>
      </c>
      <c r="F3236" s="35">
        <f t="shared" ca="1" si="152"/>
        <v>2.9100134190995774E-3</v>
      </c>
    </row>
    <row r="3237" spans="1:6" x14ac:dyDescent="0.25">
      <c r="A3237" s="23">
        <v>3236</v>
      </c>
      <c r="B3237" s="7" cm="1">
        <f t="array" aca="1" ref="B3237" ca="1">interpolexp(A3237,serie_du,Taxas_DI)</f>
        <v>0.12304001257343877</v>
      </c>
      <c r="C3237" s="37">
        <f t="shared" ca="1" si="151"/>
        <v>4.4375038846428856</v>
      </c>
      <c r="D3237" s="36">
        <f t="shared" ca="1" si="153"/>
        <v>0.1230399683253327</v>
      </c>
      <c r="E3237" s="32">
        <v>0.1201299990507998</v>
      </c>
      <c r="F3237" s="35">
        <f t="shared" ca="1" si="152"/>
        <v>2.9100135226389767E-3</v>
      </c>
    </row>
    <row r="3238" spans="1:6" x14ac:dyDescent="0.25">
      <c r="A3238" s="23">
        <v>3237</v>
      </c>
      <c r="B3238" s="7" cm="1">
        <f t="array" aca="1" ref="B3238" ca="1">interpolexp(A3238,serie_du,Taxas_DI)</f>
        <v>0.12304001255978303</v>
      </c>
      <c r="C3238" s="37">
        <f t="shared" ca="1" si="151"/>
        <v>4.4395477071256</v>
      </c>
      <c r="D3238" s="36">
        <f t="shared" ca="1" si="153"/>
        <v>0.12303996836970876</v>
      </c>
      <c r="E3238" s="32">
        <v>0.12012999893364906</v>
      </c>
      <c r="F3238" s="35">
        <f t="shared" ca="1" si="152"/>
        <v>2.9100136261339671E-3</v>
      </c>
    </row>
    <row r="3239" spans="1:6" x14ac:dyDescent="0.25">
      <c r="A3239" s="23">
        <v>3238</v>
      </c>
      <c r="B3239" s="7" cm="1">
        <f t="array" aca="1" ref="B3239" ca="1">interpolexp(A3239,serie_du,Taxas_DI)</f>
        <v>0.12304001254612729</v>
      </c>
      <c r="C3239" s="37">
        <f t="shared" ca="1" si="151"/>
        <v>4.4415924709502388</v>
      </c>
      <c r="D3239" s="36">
        <f t="shared" ca="1" si="153"/>
        <v>0.12303996834253517</v>
      </c>
      <c r="E3239" s="32">
        <v>0.12012999881658715</v>
      </c>
      <c r="F3239" s="35">
        <f t="shared" ca="1" si="152"/>
        <v>2.9100137295401396E-3</v>
      </c>
    </row>
    <row r="3240" spans="1:6" x14ac:dyDescent="0.25">
      <c r="A3240" s="23">
        <v>3239</v>
      </c>
      <c r="B3240" s="7" cm="1">
        <f t="array" aca="1" ref="B3240" ca="1">interpolexp(A3240,serie_du,Taxas_DI)</f>
        <v>0.12304001253247154</v>
      </c>
      <c r="C3240" s="37">
        <f t="shared" ca="1" si="151"/>
        <v>4.4436381765503601</v>
      </c>
      <c r="D3240" s="36">
        <f t="shared" ca="1" si="153"/>
        <v>0.12303996831508734</v>
      </c>
      <c r="E3240" s="32">
        <v>0.12012999869956964</v>
      </c>
      <c r="F3240" s="35">
        <f t="shared" ca="1" si="152"/>
        <v>2.9100138329019032E-3</v>
      </c>
    </row>
    <row r="3241" spans="1:6" x14ac:dyDescent="0.25">
      <c r="A3241" s="23">
        <v>3240</v>
      </c>
      <c r="B3241" s="7" cm="1">
        <f t="array" aca="1" ref="B3241" ca="1">interpolexp(A3241,serie_du,Taxas_DI)</f>
        <v>0.1230400125188158</v>
      </c>
      <c r="C3241" s="37">
        <f t="shared" ca="1" si="151"/>
        <v>4.4456848243597307</v>
      </c>
      <c r="D3241" s="36">
        <f t="shared" ca="1" si="153"/>
        <v>0.12303996828792885</v>
      </c>
      <c r="E3241" s="32">
        <v>0.12012999858264095</v>
      </c>
      <c r="F3241" s="35">
        <f t="shared" ca="1" si="152"/>
        <v>2.9100139361748489E-3</v>
      </c>
    </row>
    <row r="3242" spans="1:6" x14ac:dyDescent="0.25">
      <c r="A3242" s="23">
        <v>3241</v>
      </c>
      <c r="B3242" s="7" cm="1">
        <f t="array" aca="1" ref="B3242" ca="1">interpolexp(A3242,serie_du,Taxas_DI)</f>
        <v>0.12304001250518226</v>
      </c>
      <c r="C3242" s="37">
        <f t="shared" ca="1" si="151"/>
        <v>4.4477324148134398</v>
      </c>
      <c r="D3242" s="36">
        <f t="shared" ca="1" si="153"/>
        <v>0.12303996833253872</v>
      </c>
      <c r="E3242" s="32">
        <v>0.12012999846580108</v>
      </c>
      <c r="F3242" s="35">
        <f t="shared" ca="1" si="152"/>
        <v>2.9100140393811813E-3</v>
      </c>
    </row>
    <row r="3243" spans="1:6" x14ac:dyDescent="0.25">
      <c r="A3243" s="23">
        <v>3242</v>
      </c>
      <c r="B3243" s="7" cm="1">
        <f t="array" aca="1" ref="B3243" ca="1">interpolexp(A3243,serie_du,Taxas_DI)</f>
        <v>0.12304001249157093</v>
      </c>
      <c r="C3243" s="37">
        <f t="shared" ca="1" si="151"/>
        <v>4.4497809483456532</v>
      </c>
      <c r="D3243" s="36">
        <f t="shared" ca="1" si="153"/>
        <v>0.12303996837728248</v>
      </c>
      <c r="E3243" s="32">
        <v>0.12012999834900562</v>
      </c>
      <c r="F3243" s="35">
        <f t="shared" ca="1" si="152"/>
        <v>2.9100141425653092E-3</v>
      </c>
    </row>
    <row r="3244" spans="1:6" x14ac:dyDescent="0.25">
      <c r="A3244" s="23">
        <v>3243</v>
      </c>
      <c r="B3244" s="7" cm="1">
        <f t="array" aca="1" ref="B3244" ca="1">interpolexp(A3244,serie_du,Taxas_DI)</f>
        <v>0.12304001247793739</v>
      </c>
      <c r="C3244" s="37">
        <f t="shared" ca="1" si="151"/>
        <v>4.4518304253884677</v>
      </c>
      <c r="D3244" s="36">
        <f t="shared" ca="1" si="153"/>
        <v>0.12303996827796126</v>
      </c>
      <c r="E3244" s="32">
        <v>0.12012999823229897</v>
      </c>
      <c r="F3244" s="35">
        <f t="shared" ca="1" si="152"/>
        <v>2.9100142456384148E-3</v>
      </c>
    </row>
    <row r="3245" spans="1:6" x14ac:dyDescent="0.25">
      <c r="A3245" s="23">
        <v>3244</v>
      </c>
      <c r="B3245" s="7" cm="1">
        <f t="array" aca="1" ref="B3245" ca="1">interpolexp(A3245,serie_du,Taxas_DI)</f>
        <v>0.12304001246434826</v>
      </c>
      <c r="C3245" s="37">
        <f t="shared" ca="1" si="151"/>
        <v>4.453880846379846</v>
      </c>
      <c r="D3245" s="36">
        <f t="shared" ca="1" si="153"/>
        <v>0.12303996839485842</v>
      </c>
      <c r="E3245" s="32">
        <v>0.12012999811565894</v>
      </c>
      <c r="F3245" s="35">
        <f t="shared" ca="1" si="152"/>
        <v>2.910014348689316E-3</v>
      </c>
    </row>
    <row r="3246" spans="1:6" x14ac:dyDescent="0.25">
      <c r="A3246" s="23">
        <v>3245</v>
      </c>
      <c r="B3246" s="7" cm="1">
        <f t="array" aca="1" ref="B3246" ca="1">interpolexp(A3246,serie_du,Taxas_DI)</f>
        <v>0.12304001245073692</v>
      </c>
      <c r="C3246" s="37">
        <f t="shared" ca="1" si="151"/>
        <v>4.4559322117511488</v>
      </c>
      <c r="D3246" s="36">
        <f t="shared" ca="1" si="153"/>
        <v>0.1230399682955392</v>
      </c>
      <c r="E3246" s="32">
        <v>0.12012999799908552</v>
      </c>
      <c r="F3246" s="35">
        <f t="shared" ca="1" si="152"/>
        <v>2.9100144516513993E-3</v>
      </c>
    </row>
    <row r="3247" spans="1:6" x14ac:dyDescent="0.25">
      <c r="A3247" s="23">
        <v>3246</v>
      </c>
      <c r="B3247" s="7" cm="1">
        <f t="array" aca="1" ref="B3247" ca="1">interpolexp(A3247,serie_du,Taxas_DI)</f>
        <v>0.12304001243714779</v>
      </c>
      <c r="C3247" s="37">
        <f t="shared" ca="1" si="151"/>
        <v>4.4579845219396086</v>
      </c>
      <c r="D3247" s="36">
        <f t="shared" ca="1" si="153"/>
        <v>0.1230399683404455</v>
      </c>
      <c r="E3247" s="32">
        <v>0.12012999788257872</v>
      </c>
      <c r="F3247" s="35">
        <f t="shared" ca="1" si="152"/>
        <v>2.9100145545690737E-3</v>
      </c>
    </row>
    <row r="3248" spans="1:6" x14ac:dyDescent="0.25">
      <c r="A3248" s="23">
        <v>3247</v>
      </c>
      <c r="B3248" s="7" cm="1">
        <f t="array" aca="1" ref="B3248" ca="1">interpolexp(A3248,serie_du,Taxas_DI)</f>
        <v>0.12304001242355866</v>
      </c>
      <c r="C3248" s="37">
        <f t="shared" ca="1" si="151"/>
        <v>4.4600377773792514</v>
      </c>
      <c r="D3248" s="36">
        <f t="shared" ca="1" si="153"/>
        <v>0.12303996831320796</v>
      </c>
      <c r="E3248" s="32">
        <v>0.12012999776616073</v>
      </c>
      <c r="F3248" s="35">
        <f t="shared" ca="1" si="152"/>
        <v>2.9100146573979302E-3</v>
      </c>
    </row>
    <row r="3249" spans="1:6" x14ac:dyDescent="0.25">
      <c r="A3249" s="23">
        <v>3248</v>
      </c>
      <c r="B3249" s="7" cm="1">
        <f t="array" aca="1" ref="B3249" ca="1">interpolexp(A3249,serie_du,Taxas_DI)</f>
        <v>0.12304001240999174</v>
      </c>
      <c r="C3249" s="37">
        <f t="shared" ca="1" si="151"/>
        <v>4.4620919785065798</v>
      </c>
      <c r="D3249" s="36">
        <f t="shared" ca="1" si="153"/>
        <v>0.12303996835822595</v>
      </c>
      <c r="E3249" s="32">
        <v>0.12012999764980936</v>
      </c>
      <c r="F3249" s="35">
        <f t="shared" ca="1" si="152"/>
        <v>2.9100147601823778E-3</v>
      </c>
    </row>
    <row r="3250" spans="1:6" x14ac:dyDescent="0.25">
      <c r="A3250" s="23">
        <v>3249</v>
      </c>
      <c r="B3250" s="7" cm="1">
        <f t="array" aca="1" ref="B3250" ca="1">interpolexp(A3250,serie_du,Taxas_DI)</f>
        <v>0.12304001239642481</v>
      </c>
      <c r="C3250" s="37">
        <f t="shared" ca="1" si="151"/>
        <v>4.4641471257560186</v>
      </c>
      <c r="D3250" s="36">
        <f t="shared" ca="1" si="153"/>
        <v>0.12303996833097508</v>
      </c>
      <c r="E3250" s="32">
        <v>0.1201299975335246</v>
      </c>
      <c r="F3250" s="35">
        <f t="shared" ca="1" si="152"/>
        <v>2.9100148629002121E-3</v>
      </c>
    </row>
    <row r="3251" spans="1:6" x14ac:dyDescent="0.25">
      <c r="A3251" s="23">
        <v>3250</v>
      </c>
      <c r="B3251" s="7" cm="1">
        <f t="array" aca="1" ref="B3251" ca="1">interpolexp(A3251,serie_du,Taxas_DI)</f>
        <v>0.12304001238285789</v>
      </c>
      <c r="C3251" s="37">
        <f t="shared" ca="1" si="151"/>
        <v>4.4662032195633348</v>
      </c>
      <c r="D3251" s="36">
        <f t="shared" ca="1" si="153"/>
        <v>0.12303996830390984</v>
      </c>
      <c r="E3251" s="32">
        <v>0.12012999741730646</v>
      </c>
      <c r="F3251" s="35">
        <f t="shared" ca="1" si="152"/>
        <v>2.9100149655514329E-3</v>
      </c>
    </row>
    <row r="3252" spans="1:6" x14ac:dyDescent="0.25">
      <c r="A3252" s="23">
        <v>3251</v>
      </c>
      <c r="B3252" s="7" cm="1">
        <f t="array" aca="1" ref="B3252" ca="1">interpolexp(A3252,serie_du,Taxas_DI)</f>
        <v>0.12304001236931317</v>
      </c>
      <c r="C3252" s="37">
        <f t="shared" ca="1" si="151"/>
        <v>4.4682602603656312</v>
      </c>
      <c r="D3252" s="36">
        <f t="shared" ca="1" si="153"/>
        <v>0.12303996834892827</v>
      </c>
      <c r="E3252" s="32">
        <v>0.12012999730117713</v>
      </c>
      <c r="F3252" s="35">
        <f t="shared" ca="1" si="152"/>
        <v>2.9100150681360404E-3</v>
      </c>
    </row>
    <row r="3253" spans="1:6" x14ac:dyDescent="0.25">
      <c r="A3253" s="23">
        <v>3252</v>
      </c>
      <c r="B3253" s="7" cm="1">
        <f t="array" aca="1" ref="B3253" ca="1">interpolexp(A3253,serie_du,Taxas_DI)</f>
        <v>0.12304001235576845</v>
      </c>
      <c r="C3253" s="37">
        <f t="shared" ca="1" si="151"/>
        <v>4.4703182485979358</v>
      </c>
      <c r="D3253" s="36">
        <f t="shared" ca="1" si="153"/>
        <v>0.12303996832192565</v>
      </c>
      <c r="E3253" s="32">
        <v>0.12012999718511441</v>
      </c>
      <c r="F3253" s="35">
        <f t="shared" ca="1" si="152"/>
        <v>2.9100151706540345E-3</v>
      </c>
    </row>
    <row r="3254" spans="1:6" x14ac:dyDescent="0.25">
      <c r="A3254" s="23">
        <v>3253</v>
      </c>
      <c r="B3254" s="7" cm="1">
        <f t="array" aca="1" ref="B3254" ca="1">interpolexp(A3254,serie_du,Taxas_DI)</f>
        <v>0.12304001234222373</v>
      </c>
      <c r="C3254" s="37">
        <f t="shared" ca="1" si="151"/>
        <v>4.4723771846966134</v>
      </c>
      <c r="D3254" s="36">
        <f t="shared" ca="1" si="153"/>
        <v>0.12303996829471697</v>
      </c>
      <c r="E3254" s="32">
        <v>0.12012999706909611</v>
      </c>
      <c r="F3254" s="35">
        <f t="shared" ca="1" si="152"/>
        <v>2.9100152731276197E-3</v>
      </c>
    </row>
    <row r="3255" spans="1:6" x14ac:dyDescent="0.25">
      <c r="A3255" s="23">
        <v>3254</v>
      </c>
      <c r="B3255" s="7" cm="1">
        <f t="array" aca="1" ref="B3255" ca="1">interpolexp(A3255,serie_du,Taxas_DI)</f>
        <v>0.12304001232870121</v>
      </c>
      <c r="C3255" s="37">
        <f t="shared" ca="1" si="151"/>
        <v>4.474437069099376</v>
      </c>
      <c r="D3255" s="36">
        <f t="shared" ca="1" si="153"/>
        <v>0.12303996834000763</v>
      </c>
      <c r="E3255" s="32">
        <v>0.12012999695318882</v>
      </c>
      <c r="F3255" s="35">
        <f t="shared" ca="1" si="152"/>
        <v>2.910015375512387E-3</v>
      </c>
    </row>
    <row r="3256" spans="1:6" x14ac:dyDescent="0.25">
      <c r="A3256" s="23">
        <v>3255</v>
      </c>
      <c r="B3256" s="7" cm="1">
        <f t="array" aca="1" ref="B3256" ca="1">interpolexp(A3256,serie_du,Taxas_DI)</f>
        <v>0.12304001231517869</v>
      </c>
      <c r="C3256" s="37">
        <f t="shared" ca="1" si="151"/>
        <v>4.4764979022418494</v>
      </c>
      <c r="D3256" s="36">
        <f t="shared" ca="1" si="153"/>
        <v>0.12303996831289599</v>
      </c>
      <c r="E3256" s="32">
        <v>0.12012999683732595</v>
      </c>
      <c r="F3256" s="35">
        <f t="shared" ca="1" si="152"/>
        <v>2.9100154778527454E-3</v>
      </c>
    </row>
    <row r="3257" spans="1:6" x14ac:dyDescent="0.25">
      <c r="A3257" s="23">
        <v>3256</v>
      </c>
      <c r="B3257" s="7" cm="1">
        <f t="array" aca="1" ref="B3257" ca="1">interpolexp(A3257,serie_du,Taxas_DI)</f>
        <v>0.12304001230167838</v>
      </c>
      <c r="C3257" s="37">
        <f t="shared" ca="1" si="151"/>
        <v>4.478559684562148</v>
      </c>
      <c r="D3257" s="36">
        <f t="shared" ca="1" si="153"/>
        <v>0.12303996835816466</v>
      </c>
      <c r="E3257" s="32">
        <v>0.12012999672155189</v>
      </c>
      <c r="F3257" s="35">
        <f t="shared" ca="1" si="152"/>
        <v>2.9100155801264904E-3</v>
      </c>
    </row>
    <row r="3258" spans="1:6" x14ac:dyDescent="0.25">
      <c r="A3258" s="23">
        <v>3257</v>
      </c>
      <c r="B3258" s="7" cm="1">
        <f t="array" aca="1" ref="B3258" ca="1">interpolexp(A3258,serie_du,Taxas_DI)</f>
        <v>0.12304001228817807</v>
      </c>
      <c r="C3258" s="37">
        <f t="shared" ca="1" si="151"/>
        <v>4.4806224164962991</v>
      </c>
      <c r="D3258" s="36">
        <f t="shared" ca="1" si="153"/>
        <v>0.12303996833109876</v>
      </c>
      <c r="E3258" s="32">
        <v>0.12012999660584445</v>
      </c>
      <c r="F3258" s="35">
        <f t="shared" ca="1" si="152"/>
        <v>2.9100156823336221E-3</v>
      </c>
    </row>
    <row r="3259" spans="1:6" x14ac:dyDescent="0.25">
      <c r="A3259" s="23">
        <v>3258</v>
      </c>
      <c r="B3259" s="7" cm="1">
        <f t="array" aca="1" ref="B3259" ca="1">interpolexp(A3259,serie_du,Taxas_DI)</f>
        <v>0.12304001227467776</v>
      </c>
      <c r="C3259" s="37">
        <f t="shared" ca="1" si="151"/>
        <v>4.4826860984816781</v>
      </c>
      <c r="D3259" s="36">
        <f t="shared" ca="1" si="153"/>
        <v>0.12303996830428732</v>
      </c>
      <c r="E3259" s="32">
        <v>0.12012999649020362</v>
      </c>
      <c r="F3259" s="35">
        <f t="shared" ca="1" si="152"/>
        <v>2.9100157844741403E-3</v>
      </c>
    </row>
    <row r="3260" spans="1:6" x14ac:dyDescent="0.25">
      <c r="A3260" s="23">
        <v>3259</v>
      </c>
      <c r="B3260" s="7" cm="1">
        <f t="array" aca="1" ref="B3260" ca="1">interpolexp(A3260,serie_du,Taxas_DI)</f>
        <v>0.12304001226119965</v>
      </c>
      <c r="C3260" s="37">
        <f t="shared" ca="1" si="151"/>
        <v>4.4847507309570007</v>
      </c>
      <c r="D3260" s="36">
        <f t="shared" ca="1" si="153"/>
        <v>0.12303996834948916</v>
      </c>
      <c r="E3260" s="32">
        <v>0.1201299963746294</v>
      </c>
      <c r="F3260" s="35">
        <f t="shared" ca="1" si="152"/>
        <v>2.9100158865702497E-3</v>
      </c>
    </row>
    <row r="3261" spans="1:6" x14ac:dyDescent="0.25">
      <c r="A3261" s="23">
        <v>3260</v>
      </c>
      <c r="B3261" s="7" cm="1">
        <f t="array" aca="1" ref="B3261" ca="1">interpolexp(A3261,serie_du,Taxas_DI)</f>
        <v>0.12304001224772154</v>
      </c>
      <c r="C3261" s="37">
        <f t="shared" ca="1" si="151"/>
        <v>4.4868163143588999</v>
      </c>
      <c r="D3261" s="36">
        <f t="shared" ca="1" si="153"/>
        <v>0.12303996832255382</v>
      </c>
      <c r="E3261" s="32">
        <v>0.1201299962591218</v>
      </c>
      <c r="F3261" s="35">
        <f t="shared" ca="1" si="152"/>
        <v>2.9100159885997456E-3</v>
      </c>
    </row>
    <row r="3262" spans="1:6" x14ac:dyDescent="0.25">
      <c r="A3262" s="23">
        <v>3261</v>
      </c>
      <c r="B3262" s="7" cm="1">
        <f t="array" aca="1" ref="B3262" ca="1">interpolexp(A3262,serie_du,Taxas_DI)</f>
        <v>0.12304001223426564</v>
      </c>
      <c r="C3262" s="37">
        <f t="shared" ca="1" si="151"/>
        <v>4.4888828491265</v>
      </c>
      <c r="D3262" s="36">
        <f t="shared" ca="1" si="153"/>
        <v>0.12303996836801567</v>
      </c>
      <c r="E3262" s="32">
        <v>0.12012999614370301</v>
      </c>
      <c r="F3262" s="35">
        <f t="shared" ca="1" si="152"/>
        <v>2.9100160905626282E-3</v>
      </c>
    </row>
    <row r="3263" spans="1:6" x14ac:dyDescent="0.25">
      <c r="A3263" s="23">
        <v>3262</v>
      </c>
      <c r="B3263" s="7" cm="1">
        <f t="array" aca="1" ref="B3263" ca="1">interpolexp(A3263,serie_du,Taxas_DI)</f>
        <v>0.12304001222080974</v>
      </c>
      <c r="C3263" s="37">
        <f t="shared" ca="1" si="151"/>
        <v>4.4909503356968328</v>
      </c>
      <c r="D3263" s="36">
        <f t="shared" ca="1" si="153"/>
        <v>0.12303996834108788</v>
      </c>
      <c r="E3263" s="32">
        <v>0.12012999602832863</v>
      </c>
      <c r="F3263" s="35">
        <f t="shared" ca="1" si="152"/>
        <v>2.9100161924811019E-3</v>
      </c>
    </row>
    <row r="3264" spans="1:6" x14ac:dyDescent="0.25">
      <c r="A3264" s="23">
        <v>3263</v>
      </c>
      <c r="B3264" s="7" cm="1">
        <f t="array" aca="1" ref="B3264" ca="1">interpolexp(A3264,serie_du,Taxas_DI)</f>
        <v>0.12304001220735383</v>
      </c>
      <c r="C3264" s="37">
        <f t="shared" ca="1" si="151"/>
        <v>4.4930187745082781</v>
      </c>
      <c r="D3264" s="36">
        <f t="shared" ca="1" si="153"/>
        <v>0.1230399683141481</v>
      </c>
      <c r="E3264" s="32">
        <v>0.12012999591304308</v>
      </c>
      <c r="F3264" s="35">
        <f t="shared" ca="1" si="152"/>
        <v>2.9100162943107577E-3</v>
      </c>
    </row>
    <row r="3265" spans="1:6" x14ac:dyDescent="0.25">
      <c r="A3265" s="23">
        <v>3264</v>
      </c>
      <c r="B3265" s="7" cm="1">
        <f t="array" aca="1" ref="B3265" ca="1">interpolexp(A3265,serie_du,Taxas_DI)</f>
        <v>0.12304001219389793</v>
      </c>
      <c r="C3265" s="37">
        <f t="shared" ca="1" si="151"/>
        <v>4.4950881659994204</v>
      </c>
      <c r="D3265" s="36">
        <f t="shared" ca="1" si="153"/>
        <v>0.12303996828736707</v>
      </c>
      <c r="E3265" s="32">
        <v>0.12012999579784633</v>
      </c>
      <c r="F3265" s="35">
        <f t="shared" ca="1" si="152"/>
        <v>2.9100163960515957E-3</v>
      </c>
    </row>
    <row r="3266" spans="1:6" x14ac:dyDescent="0.25">
      <c r="A3266" s="23">
        <v>3265</v>
      </c>
      <c r="B3266" s="7" cm="1">
        <f t="array" aca="1" ref="B3266" ca="1">interpolexp(A3266,serie_du,Taxas_DI)</f>
        <v>0.12304001218046423</v>
      </c>
      <c r="C3266" s="37">
        <f t="shared" ref="C3266:C3329" ca="1" si="154">(1+B3266)^(A3266/252)</f>
        <v>4.4971585106101921</v>
      </c>
      <c r="D3266" s="36">
        <f t="shared" ca="1" si="153"/>
        <v>0.12303996833279229</v>
      </c>
      <c r="E3266" s="32">
        <v>0.120129995682694</v>
      </c>
      <c r="F3266" s="35">
        <f t="shared" ref="F3266:F3329" ca="1" si="155">B3266-E3266</f>
        <v>2.9100164977702292E-3</v>
      </c>
    </row>
    <row r="3267" spans="1:6" x14ac:dyDescent="0.25">
      <c r="A3267" s="23">
        <v>3266</v>
      </c>
      <c r="B3267" s="7" cm="1">
        <f t="array" aca="1" ref="B3267" ca="1">interpolexp(A3267,serie_du,Taxas_DI)</f>
        <v>0.12304001216705274</v>
      </c>
      <c r="C3267" s="37">
        <f t="shared" ca="1" si="154"/>
        <v>4.4992298087795861</v>
      </c>
      <c r="D3267" s="36">
        <f t="shared" ca="1" si="153"/>
        <v>0.12303996837859588</v>
      </c>
      <c r="E3267" s="32">
        <v>0.12012999556760828</v>
      </c>
      <c r="F3267" s="35">
        <f t="shared" ca="1" si="155"/>
        <v>2.9100165994444538E-3</v>
      </c>
    </row>
    <row r="3268" spans="1:6" x14ac:dyDescent="0.25">
      <c r="A3268" s="23">
        <v>3267</v>
      </c>
      <c r="B3268" s="7" cm="1">
        <f t="array" aca="1" ref="B3268" ca="1">interpolexp(A3268,serie_du,Taxas_DI)</f>
        <v>0.12304001215361904</v>
      </c>
      <c r="C3268" s="37">
        <f t="shared" ca="1" si="154"/>
        <v>4.5013020609444832</v>
      </c>
      <c r="D3268" s="36">
        <f t="shared" ref="D3268:D3331" ca="1" si="156">((((1+B3268)^(A3268/252))/((1+B3267)^(A3267/252)))^(252/1))-1</f>
        <v>0.1230399682791492</v>
      </c>
      <c r="E3268" s="32">
        <v>0.12012999545261138</v>
      </c>
      <c r="F3268" s="35">
        <f t="shared" ca="1" si="155"/>
        <v>2.9100167010076561E-3</v>
      </c>
    </row>
    <row r="3269" spans="1:6" x14ac:dyDescent="0.25">
      <c r="A3269" s="23">
        <v>3268</v>
      </c>
      <c r="B3269" s="7" cm="1">
        <f t="array" aca="1" ref="B3269" ca="1">interpolexp(A3269,serie_du,Taxas_DI)</f>
        <v>0.12304001214020754</v>
      </c>
      <c r="C3269" s="37">
        <f t="shared" ca="1" si="154"/>
        <v>4.5033752675465806</v>
      </c>
      <c r="D3269" s="36">
        <f t="shared" ca="1" si="156"/>
        <v>0.12303996832482955</v>
      </c>
      <c r="E3269" s="32">
        <v>0.12012999533768109</v>
      </c>
      <c r="F3269" s="35">
        <f t="shared" ca="1" si="155"/>
        <v>2.9100168025264495E-3</v>
      </c>
    </row>
    <row r="3270" spans="1:6" x14ac:dyDescent="0.25">
      <c r="A3270" s="23">
        <v>3269</v>
      </c>
      <c r="B3270" s="7" cm="1">
        <f t="array" aca="1" ref="B3270" ca="1">interpolexp(A3270,serie_du,Taxas_DI)</f>
        <v>0.12304001212681825</v>
      </c>
      <c r="C3270" s="37">
        <f t="shared" ca="1" si="154"/>
        <v>4.5054494290254743</v>
      </c>
      <c r="D3270" s="36">
        <f t="shared" ca="1" si="156"/>
        <v>0.12303996837051945</v>
      </c>
      <c r="E3270" s="32">
        <v>0.12012999522281742</v>
      </c>
      <c r="F3270" s="35">
        <f t="shared" ca="1" si="155"/>
        <v>2.9100169040008339E-3</v>
      </c>
    </row>
    <row r="3271" spans="1:6" x14ac:dyDescent="0.25">
      <c r="A3271" s="23">
        <v>3270</v>
      </c>
      <c r="B3271" s="7" cm="1">
        <f t="array" aca="1" ref="B3271" ca="1">interpolexp(A3271,serie_du,Taxas_DI)</f>
        <v>0.12304001211342896</v>
      </c>
      <c r="C3271" s="37">
        <f t="shared" ca="1" si="154"/>
        <v>4.5075245458198099</v>
      </c>
      <c r="D3271" s="36">
        <f t="shared" ca="1" si="156"/>
        <v>0.12303996834397291</v>
      </c>
      <c r="E3271" s="32">
        <v>0.12012999510802036</v>
      </c>
      <c r="F3271" s="35">
        <f t="shared" ca="1" si="155"/>
        <v>2.910017005408605E-3</v>
      </c>
    </row>
    <row r="3272" spans="1:6" x14ac:dyDescent="0.25">
      <c r="A3272" s="23">
        <v>3271</v>
      </c>
      <c r="B3272" s="7" cm="1">
        <f t="array" aca="1" ref="B3272" ca="1">interpolexp(A3272,serie_du,Taxas_DI)</f>
        <v>0.12304001210003968</v>
      </c>
      <c r="C3272" s="37">
        <f t="shared" ca="1" si="154"/>
        <v>4.5096006183695803</v>
      </c>
      <c r="D3272" s="36">
        <f t="shared" ca="1" si="156"/>
        <v>0.12303996831703734</v>
      </c>
      <c r="E3272" s="32">
        <v>0.12012999499328991</v>
      </c>
      <c r="F3272" s="35">
        <f t="shared" ca="1" si="155"/>
        <v>2.9100171067497627E-3</v>
      </c>
    </row>
    <row r="3273" spans="1:6" x14ac:dyDescent="0.25">
      <c r="A3273" s="23">
        <v>3272</v>
      </c>
      <c r="B3273" s="7" cm="1">
        <f t="array" aca="1" ref="B3273" ca="1">interpolexp(A3273,serie_du,Taxas_DI)</f>
        <v>0.12304001208665039</v>
      </c>
      <c r="C3273" s="37">
        <f t="shared" ca="1" si="154"/>
        <v>4.5116776471149889</v>
      </c>
      <c r="D3273" s="36">
        <f t="shared" ca="1" si="156"/>
        <v>0.12303996829026431</v>
      </c>
      <c r="E3273" s="32">
        <v>0.12012999487864828</v>
      </c>
      <c r="F3273" s="35">
        <f t="shared" ca="1" si="155"/>
        <v>2.9100172080021025E-3</v>
      </c>
    </row>
    <row r="3274" spans="1:6" x14ac:dyDescent="0.25">
      <c r="A3274" s="23">
        <v>3273</v>
      </c>
      <c r="B3274" s="7" cm="1">
        <f t="array" aca="1" ref="B3274" ca="1">interpolexp(A3274,serie_du,Taxas_DI)</f>
        <v>0.1230400120732833</v>
      </c>
      <c r="C3274" s="37">
        <f t="shared" ca="1" si="154"/>
        <v>4.5137556324975971</v>
      </c>
      <c r="D3274" s="36">
        <f t="shared" ca="1" si="156"/>
        <v>0.1230399683361163</v>
      </c>
      <c r="E3274" s="32">
        <v>0.12012999476405106</v>
      </c>
      <c r="F3274" s="35">
        <f t="shared" ca="1" si="155"/>
        <v>2.9100173092322379E-3</v>
      </c>
    </row>
    <row r="3275" spans="1:6" x14ac:dyDescent="0.25">
      <c r="A3275" s="23">
        <v>3274</v>
      </c>
      <c r="B3275" s="7" cm="1">
        <f t="array" aca="1" ref="B3275" ca="1">interpolexp(A3275,serie_du,Taxas_DI)</f>
        <v>0.12304001205993842</v>
      </c>
      <c r="C3275" s="37">
        <f t="shared" ca="1" si="154"/>
        <v>4.5158345749580162</v>
      </c>
      <c r="D3275" s="36">
        <f t="shared" ca="1" si="156"/>
        <v>0.12303996838217213</v>
      </c>
      <c r="E3275" s="32">
        <v>0.12012999464954266</v>
      </c>
      <c r="F3275" s="35">
        <f t="shared" ca="1" si="155"/>
        <v>2.9100174103957599E-3</v>
      </c>
    </row>
    <row r="3276" spans="1:6" x14ac:dyDescent="0.25">
      <c r="A3276" s="23">
        <v>3275</v>
      </c>
      <c r="B3276" s="7" cm="1">
        <f t="array" aca="1" ref="B3276" ca="1">interpolexp(A3276,serie_du,Taxas_DI)</f>
        <v>0.12304001204657133</v>
      </c>
      <c r="C3276" s="37">
        <f t="shared" ca="1" si="154"/>
        <v>4.5179144749347335</v>
      </c>
      <c r="D3276" s="36">
        <f t="shared" ca="1" si="156"/>
        <v>0.12303996828266128</v>
      </c>
      <c r="E3276" s="32">
        <v>0.12012999453510087</v>
      </c>
      <c r="F3276" s="35">
        <f t="shared" ca="1" si="155"/>
        <v>2.9100175114704641E-3</v>
      </c>
    </row>
    <row r="3277" spans="1:6" x14ac:dyDescent="0.25">
      <c r="A3277" s="23">
        <v>3276</v>
      </c>
      <c r="B3277" s="7" cm="1">
        <f t="array" aca="1" ref="B3277" ca="1">interpolexp(A3277,serie_du,Taxas_DI)</f>
        <v>0.12304001203322645</v>
      </c>
      <c r="C3277" s="37">
        <f t="shared" ca="1" si="154"/>
        <v>4.5199953328710851</v>
      </c>
      <c r="D3277" s="36">
        <f t="shared" ca="1" si="156"/>
        <v>0.12303996832877551</v>
      </c>
      <c r="E3277" s="32">
        <v>0.12012999442072569</v>
      </c>
      <c r="F3277" s="35">
        <f t="shared" ca="1" si="155"/>
        <v>2.9100176125007593E-3</v>
      </c>
    </row>
    <row r="3278" spans="1:6" x14ac:dyDescent="0.25">
      <c r="A3278" s="23">
        <v>3277</v>
      </c>
      <c r="B3278" s="7" cm="1">
        <f t="array" aca="1" ref="B3278" ca="1">interpolexp(A3278,serie_du,Taxas_DI)</f>
        <v>0.12304001201990378</v>
      </c>
      <c r="C3278" s="37">
        <f t="shared" ca="1" si="154"/>
        <v>4.522077149208287</v>
      </c>
      <c r="D3278" s="36">
        <f t="shared" ca="1" si="156"/>
        <v>0.12303996837481512</v>
      </c>
      <c r="E3278" s="32">
        <v>0.12012999430641713</v>
      </c>
      <c r="F3278" s="35">
        <f t="shared" ca="1" si="155"/>
        <v>2.9100177134866456E-3</v>
      </c>
    </row>
    <row r="3279" spans="1:6" x14ac:dyDescent="0.25">
      <c r="A3279" s="23">
        <v>3278</v>
      </c>
      <c r="B3279" s="7" cm="1">
        <f t="array" aca="1" ref="B3279" ca="1">interpolexp(A3279,serie_du,Taxas_DI)</f>
        <v>0.1230400120065589</v>
      </c>
      <c r="C3279" s="37">
        <f t="shared" ca="1" si="154"/>
        <v>4.524159924385434</v>
      </c>
      <c r="D3279" s="36">
        <f t="shared" ca="1" si="156"/>
        <v>0.12303996827538843</v>
      </c>
      <c r="E3279" s="32">
        <v>0.12012999419219739</v>
      </c>
      <c r="F3279" s="35">
        <f t="shared" ca="1" si="155"/>
        <v>2.9100178143615096E-3</v>
      </c>
    </row>
    <row r="3280" spans="1:6" x14ac:dyDescent="0.25">
      <c r="A3280" s="23">
        <v>3279</v>
      </c>
      <c r="B3280" s="7" cm="1">
        <f t="array" aca="1" ref="B3280" ca="1">interpolexp(A3280,serie_du,Taxas_DI)</f>
        <v>0.12304001199325842</v>
      </c>
      <c r="C3280" s="37">
        <f t="shared" ca="1" si="154"/>
        <v>4.5262436588476396</v>
      </c>
      <c r="D3280" s="36">
        <f t="shared" ca="1" si="156"/>
        <v>0.12303996839435927</v>
      </c>
      <c r="E3280" s="32">
        <v>0.12012999407802205</v>
      </c>
      <c r="F3280" s="35">
        <f t="shared" ca="1" si="155"/>
        <v>2.9100179152363737E-3</v>
      </c>
    </row>
    <row r="3281" spans="1:6" x14ac:dyDescent="0.25">
      <c r="A3281" s="23">
        <v>3280</v>
      </c>
      <c r="B3281" s="7" cm="1">
        <f t="array" aca="1" ref="B3281" ca="1">interpolexp(A3281,serie_du,Taxas_DI)</f>
        <v>0.12304001197993575</v>
      </c>
      <c r="C3281" s="37">
        <f t="shared" ca="1" si="154"/>
        <v>4.5283283530332357</v>
      </c>
      <c r="D3281" s="36">
        <f t="shared" ca="1" si="156"/>
        <v>0.12303996829478647</v>
      </c>
      <c r="E3281" s="32">
        <v>0.12012999396393553</v>
      </c>
      <c r="F3281" s="35">
        <f t="shared" ca="1" si="155"/>
        <v>2.9100180160002154E-3</v>
      </c>
    </row>
    <row r="3282" spans="1:6" x14ac:dyDescent="0.25">
      <c r="A3282" s="23">
        <v>3281</v>
      </c>
      <c r="B3282" s="7" cm="1">
        <f t="array" aca="1" ref="B3282" ca="1">interpolexp(A3282,serie_du,Taxas_DI)</f>
        <v>0.12304001196663528</v>
      </c>
      <c r="C3282" s="37">
        <f t="shared" ca="1" si="154"/>
        <v>4.5304140073865851</v>
      </c>
      <c r="D3282" s="36">
        <f t="shared" ca="1" si="156"/>
        <v>0.12303996834114961</v>
      </c>
      <c r="E3282" s="32">
        <v>0.12012999384991563</v>
      </c>
      <c r="F3282" s="35">
        <f t="shared" ca="1" si="155"/>
        <v>2.9100181167196482E-3</v>
      </c>
    </row>
    <row r="3283" spans="1:6" x14ac:dyDescent="0.25">
      <c r="A3283" s="23">
        <v>3282</v>
      </c>
      <c r="B3283" s="7" cm="1">
        <f t="array" aca="1" ref="B3283" ca="1">interpolexp(A3283,serie_du,Taxas_DI)</f>
        <v>0.1230400119533348</v>
      </c>
      <c r="C3283" s="37">
        <f t="shared" ca="1" si="154"/>
        <v>4.5325006223487518</v>
      </c>
      <c r="D3283" s="36">
        <f t="shared" ca="1" si="156"/>
        <v>0.1230399683143979</v>
      </c>
      <c r="E3283" s="32">
        <v>0.12012999373596234</v>
      </c>
      <c r="F3283" s="35">
        <f t="shared" ca="1" si="155"/>
        <v>2.9100182173724676E-3</v>
      </c>
    </row>
    <row r="3284" spans="1:6" x14ac:dyDescent="0.25">
      <c r="A3284" s="23">
        <v>3283</v>
      </c>
      <c r="B3284" s="7" cm="1">
        <f t="array" aca="1" ref="B3284" ca="1">interpolexp(A3284,serie_du,Taxas_DI)</f>
        <v>0.12304001194005654</v>
      </c>
      <c r="C3284" s="37">
        <f t="shared" ca="1" si="154"/>
        <v>4.5345881983633438</v>
      </c>
      <c r="D3284" s="36">
        <f t="shared" ca="1" si="156"/>
        <v>0.12303996836079989</v>
      </c>
      <c r="E3284" s="32">
        <v>0.12012999362207566</v>
      </c>
      <c r="F3284" s="35">
        <f t="shared" ca="1" si="155"/>
        <v>2.9100183179808781E-3</v>
      </c>
    </row>
    <row r="3285" spans="1:6" x14ac:dyDescent="0.25">
      <c r="A3285" s="23">
        <v>3284</v>
      </c>
      <c r="B3285" s="7" cm="1">
        <f t="array" aca="1" ref="B3285" ca="1">interpolexp(A3285,serie_du,Taxas_DI)</f>
        <v>0.12304001192677827</v>
      </c>
      <c r="C3285" s="37">
        <f t="shared" ca="1" si="154"/>
        <v>4.5366767358718318</v>
      </c>
      <c r="D3285" s="36">
        <f t="shared" ca="1" si="156"/>
        <v>0.12303996833417541</v>
      </c>
      <c r="E3285" s="32">
        <v>0.12012999350825559</v>
      </c>
      <c r="F3285" s="35">
        <f t="shared" ca="1" si="155"/>
        <v>2.9100184185226752E-3</v>
      </c>
    </row>
    <row r="3286" spans="1:6" x14ac:dyDescent="0.25">
      <c r="A3286" s="23">
        <v>3285</v>
      </c>
      <c r="B3286" s="7" cm="1">
        <f t="array" aca="1" ref="B3286" ca="1">interpolexp(A3286,serie_du,Taxas_DI)</f>
        <v>0.1230400119135</v>
      </c>
      <c r="C3286" s="37">
        <f t="shared" ca="1" si="154"/>
        <v>4.5387662353170617</v>
      </c>
      <c r="D3286" s="36">
        <f t="shared" ca="1" si="156"/>
        <v>0.12303996830769126</v>
      </c>
      <c r="E3286" s="32">
        <v>0.12012999339450214</v>
      </c>
      <c r="F3286" s="35">
        <f t="shared" ca="1" si="155"/>
        <v>2.9100185189978589E-3</v>
      </c>
    </row>
    <row r="3287" spans="1:6" x14ac:dyDescent="0.25">
      <c r="A3287" s="23">
        <v>3286</v>
      </c>
      <c r="B3287" s="7" cm="1">
        <f t="array" aca="1" ref="B3287" ca="1">interpolexp(A3287,serie_du,Taxas_DI)</f>
        <v>0.12304001190024394</v>
      </c>
      <c r="C3287" s="37">
        <f t="shared" ca="1" si="154"/>
        <v>4.5408566971432496</v>
      </c>
      <c r="D3287" s="36">
        <f t="shared" ca="1" si="156"/>
        <v>0.12303996835400821</v>
      </c>
      <c r="E3287" s="32">
        <v>0.12012999328081531</v>
      </c>
      <c r="F3287" s="35">
        <f t="shared" ca="1" si="155"/>
        <v>2.9100186194286337E-3</v>
      </c>
    </row>
    <row r="3288" spans="1:6" x14ac:dyDescent="0.25">
      <c r="A3288" s="23">
        <v>3287</v>
      </c>
      <c r="B3288" s="7" cm="1">
        <f t="array" aca="1" ref="B3288" ca="1">interpolexp(A3288,serie_du,Taxas_DI)</f>
        <v>0.12304001188698788</v>
      </c>
      <c r="C3288" s="37">
        <f t="shared" ca="1" si="154"/>
        <v>4.5429481217924828</v>
      </c>
      <c r="D3288" s="36">
        <f t="shared" ca="1" si="156"/>
        <v>0.12303996832771058</v>
      </c>
      <c r="E3288" s="32">
        <v>0.12012999316721729</v>
      </c>
      <c r="F3288" s="35">
        <f t="shared" ca="1" si="155"/>
        <v>2.9100187197705907E-3</v>
      </c>
    </row>
    <row r="3289" spans="1:6" x14ac:dyDescent="0.25">
      <c r="A3289" s="23">
        <v>3288</v>
      </c>
      <c r="B3289" s="7" cm="1">
        <f t="array" aca="1" ref="B3289" ca="1">interpolexp(A3289,serie_du,Taxas_DI)</f>
        <v>0.12304001187373181</v>
      </c>
      <c r="C3289" s="37">
        <f t="shared" ca="1" si="154"/>
        <v>4.5450405097082109</v>
      </c>
      <c r="D3289" s="36">
        <f t="shared" ca="1" si="156"/>
        <v>0.12303996830093133</v>
      </c>
      <c r="E3289" s="32">
        <v>0.12012999305368588</v>
      </c>
      <c r="F3289" s="35">
        <f t="shared" ca="1" si="155"/>
        <v>2.9100188200459343E-3</v>
      </c>
    </row>
    <row r="3290" spans="1:6" x14ac:dyDescent="0.25">
      <c r="A3290" s="23">
        <v>3289</v>
      </c>
      <c r="B3290" s="7" cm="1">
        <f t="array" aca="1" ref="B3290" ca="1">interpolexp(A3290,serie_du,Taxas_DI)</f>
        <v>0.12304001186049796</v>
      </c>
      <c r="C3290" s="37">
        <f t="shared" ca="1" si="154"/>
        <v>4.5471338613352721</v>
      </c>
      <c r="D3290" s="36">
        <f t="shared" ca="1" si="156"/>
        <v>0.12303996834755293</v>
      </c>
      <c r="E3290" s="32">
        <v>0.12012999294019888</v>
      </c>
      <c r="F3290" s="35">
        <f t="shared" ca="1" si="155"/>
        <v>2.9100189202990734E-3</v>
      </c>
    </row>
    <row r="3291" spans="1:6" x14ac:dyDescent="0.25">
      <c r="A3291" s="23">
        <v>3290</v>
      </c>
      <c r="B3291" s="7" cm="1">
        <f t="array" aca="1" ref="B3291" ca="1">interpolexp(A3291,serie_du,Taxas_DI)</f>
        <v>0.1230400118472641</v>
      </c>
      <c r="C3291" s="37">
        <f t="shared" ca="1" si="154"/>
        <v>4.5492281771163592</v>
      </c>
      <c r="D3291" s="36">
        <f t="shared" ca="1" si="156"/>
        <v>0.12303996832117781</v>
      </c>
      <c r="E3291" s="32">
        <v>0.1201299928268007</v>
      </c>
      <c r="F3291" s="35">
        <f t="shared" ca="1" si="155"/>
        <v>2.9100190204633947E-3</v>
      </c>
    </row>
    <row r="3292" spans="1:6" x14ac:dyDescent="0.25">
      <c r="A3292" s="23">
        <v>3291</v>
      </c>
      <c r="B3292" s="7" cm="1">
        <f t="array" aca="1" ref="B3292" ca="1">interpolexp(A3292,serie_du,Taxas_DI)</f>
        <v>0.12304001183403024</v>
      </c>
      <c r="C3292" s="37">
        <f t="shared" ca="1" si="154"/>
        <v>4.5513234574955392</v>
      </c>
      <c r="D3292" s="36">
        <f t="shared" ca="1" si="156"/>
        <v>0.12303996829459285</v>
      </c>
      <c r="E3292" s="32">
        <v>0.12012999271346914</v>
      </c>
      <c r="F3292" s="35">
        <f t="shared" ca="1" si="155"/>
        <v>2.9100191205611026E-3</v>
      </c>
    </row>
    <row r="3293" spans="1:6" x14ac:dyDescent="0.25">
      <c r="A3293" s="23">
        <v>3292</v>
      </c>
      <c r="B3293" s="7" cm="1">
        <f t="array" aca="1" ref="B3293" ca="1">interpolexp(A3293,serie_du,Taxas_DI)</f>
        <v>0.12304001182081858</v>
      </c>
      <c r="C3293" s="37">
        <f t="shared" ca="1" si="154"/>
        <v>4.553419702918263</v>
      </c>
      <c r="D3293" s="36">
        <f t="shared" ca="1" si="156"/>
        <v>0.12303996834127506</v>
      </c>
      <c r="E3293" s="32">
        <v>0.12012999260020418</v>
      </c>
      <c r="F3293" s="35">
        <f t="shared" ca="1" si="155"/>
        <v>2.9100192206144015E-3</v>
      </c>
    </row>
    <row r="3294" spans="1:6" x14ac:dyDescent="0.25">
      <c r="A3294" s="23">
        <v>3293</v>
      </c>
      <c r="B3294" s="7" cm="1">
        <f t="array" aca="1" ref="B3294" ca="1">interpolexp(A3294,serie_du,Taxas_DI)</f>
        <v>0.12304001180760693</v>
      </c>
      <c r="C3294" s="37">
        <f t="shared" ca="1" si="154"/>
        <v>4.5555169138278337</v>
      </c>
      <c r="D3294" s="36">
        <f t="shared" ca="1" si="156"/>
        <v>0.12303996831483732</v>
      </c>
      <c r="E3294" s="32">
        <v>0.12012999248700584</v>
      </c>
      <c r="F3294" s="35">
        <f t="shared" ca="1" si="155"/>
        <v>2.9100193206010871E-3</v>
      </c>
    </row>
    <row r="3295" spans="1:6" x14ac:dyDescent="0.25">
      <c r="A3295" s="23">
        <v>3294</v>
      </c>
      <c r="B3295" s="7" cm="1">
        <f t="array" aca="1" ref="B3295" ca="1">interpolexp(A3295,serie_du,Taxas_DI)</f>
        <v>0.12304001179441748</v>
      </c>
      <c r="C3295" s="37">
        <f t="shared" ca="1" si="154"/>
        <v>4.5576150906701134</v>
      </c>
      <c r="D3295" s="36">
        <f t="shared" ca="1" si="156"/>
        <v>0.12303996836155284</v>
      </c>
      <c r="E3295" s="32">
        <v>0.12012999237387412</v>
      </c>
      <c r="F3295" s="35">
        <f t="shared" ca="1" si="155"/>
        <v>2.9100194205433638E-3</v>
      </c>
    </row>
    <row r="3296" spans="1:6" x14ac:dyDescent="0.25">
      <c r="A3296" s="23">
        <v>3295</v>
      </c>
      <c r="B3296" s="7" cm="1">
        <f t="array" aca="1" ref="B3296" ca="1">interpolexp(A3296,serie_du,Taxas_DI)</f>
        <v>0.12304001178122803</v>
      </c>
      <c r="C3296" s="37">
        <f t="shared" ca="1" si="154"/>
        <v>4.5597142338888128</v>
      </c>
      <c r="D3296" s="36">
        <f t="shared" ca="1" si="156"/>
        <v>0.12303996833517816</v>
      </c>
      <c r="E3296" s="32">
        <v>0.12012999226083121</v>
      </c>
      <c r="F3296" s="35">
        <f t="shared" ca="1" si="155"/>
        <v>2.9100195203968227E-3</v>
      </c>
    </row>
    <row r="3297" spans="1:6" x14ac:dyDescent="0.25">
      <c r="A3297" s="23">
        <v>3296</v>
      </c>
      <c r="B3297" s="7" cm="1">
        <f t="array" aca="1" ref="B3297" ca="1">interpolexp(A3297,serie_du,Taxas_DI)</f>
        <v>0.12304001176803858</v>
      </c>
      <c r="C3297" s="37">
        <f t="shared" ca="1" si="154"/>
        <v>4.561814343929024</v>
      </c>
      <c r="D3297" s="36">
        <f t="shared" ca="1" si="156"/>
        <v>0.12303996830881858</v>
      </c>
      <c r="E3297" s="32">
        <v>0.12012999214783271</v>
      </c>
      <c r="F3297" s="35">
        <f t="shared" ca="1" si="155"/>
        <v>2.9100196202058726E-3</v>
      </c>
    </row>
    <row r="3298" spans="1:6" x14ac:dyDescent="0.25">
      <c r="A3298" s="23">
        <v>3297</v>
      </c>
      <c r="B3298" s="7" cm="1">
        <f t="array" aca="1" ref="B3298" ca="1">interpolexp(A3298,serie_du,Taxas_DI)</f>
        <v>0.12304001175487134</v>
      </c>
      <c r="C3298" s="37">
        <f t="shared" ca="1" si="154"/>
        <v>4.5639154212372253</v>
      </c>
      <c r="D3298" s="36">
        <f t="shared" ca="1" si="156"/>
        <v>0.12303996835557918</v>
      </c>
      <c r="E3298" s="32">
        <v>0.12012999203492303</v>
      </c>
      <c r="F3298" s="35">
        <f t="shared" ca="1" si="155"/>
        <v>2.9100197199483091E-3</v>
      </c>
    </row>
    <row r="3299" spans="1:6" x14ac:dyDescent="0.25">
      <c r="A3299" s="23">
        <v>3298</v>
      </c>
      <c r="B3299" s="7" cm="1">
        <f t="array" aca="1" ref="B3299" ca="1">interpolexp(A3299,serie_du,Taxas_DI)</f>
        <v>0.12304001174170409</v>
      </c>
      <c r="C3299" s="37">
        <f t="shared" ca="1" si="154"/>
        <v>4.5660174662577422</v>
      </c>
      <c r="D3299" s="36">
        <f t="shared" ca="1" si="156"/>
        <v>0.12303996832934549</v>
      </c>
      <c r="E3299" s="32">
        <v>0.12012999192205776</v>
      </c>
      <c r="F3299" s="35">
        <f t="shared" ca="1" si="155"/>
        <v>2.9100198196463367E-3</v>
      </c>
    </row>
    <row r="3300" spans="1:6" x14ac:dyDescent="0.25">
      <c r="A3300" s="23">
        <v>3299</v>
      </c>
      <c r="B3300" s="7" cm="1">
        <f t="array" aca="1" ref="B3300" ca="1">interpolexp(A3300,serie_du,Taxas_DI)</f>
        <v>0.12304001172853685</v>
      </c>
      <c r="C3300" s="37">
        <f t="shared" ca="1" si="154"/>
        <v>4.5681204794362804</v>
      </c>
      <c r="D3300" s="36">
        <f t="shared" ca="1" si="156"/>
        <v>0.12303996830296615</v>
      </c>
      <c r="E3300" s="32">
        <v>0.1201299918092813</v>
      </c>
      <c r="F3300" s="35">
        <f t="shared" ca="1" si="155"/>
        <v>2.9100199192555465E-3</v>
      </c>
    </row>
    <row r="3301" spans="1:6" x14ac:dyDescent="0.25">
      <c r="A3301" s="23">
        <v>3300</v>
      </c>
      <c r="B3301" s="7" cm="1">
        <f t="array" aca="1" ref="B3301" ca="1">interpolexp(A3301,serie_du,Taxas_DI)</f>
        <v>0.12304001171539181</v>
      </c>
      <c r="C3301" s="37">
        <f t="shared" ca="1" si="154"/>
        <v>4.5702244612199383</v>
      </c>
      <c r="D3301" s="36">
        <f t="shared" ca="1" si="156"/>
        <v>0.12303996834993058</v>
      </c>
      <c r="E3301" s="32">
        <v>0.12012999169657146</v>
      </c>
      <c r="F3301" s="35">
        <f t="shared" ca="1" si="155"/>
        <v>2.9100200188203473E-3</v>
      </c>
    </row>
    <row r="3302" spans="1:6" x14ac:dyDescent="0.25">
      <c r="A3302" s="23">
        <v>3301</v>
      </c>
      <c r="B3302" s="7" cm="1">
        <f t="array" aca="1" ref="B3302" ca="1">interpolexp(A3302,serie_du,Taxas_DI)</f>
        <v>0.12304001170224677</v>
      </c>
      <c r="C3302" s="37">
        <f t="shared" ca="1" si="154"/>
        <v>4.5723294120536524</v>
      </c>
      <c r="D3302" s="36">
        <f t="shared" ca="1" si="156"/>
        <v>0.1230399683236798</v>
      </c>
      <c r="E3302" s="32">
        <v>0.12012999158390603</v>
      </c>
      <c r="F3302" s="35">
        <f t="shared" ca="1" si="155"/>
        <v>2.9100201183407393E-3</v>
      </c>
    </row>
    <row r="3303" spans="1:6" x14ac:dyDescent="0.25">
      <c r="A3303" s="23">
        <v>3302</v>
      </c>
      <c r="B3303" s="7" cm="1">
        <f t="array" aca="1" ref="B3303" ca="1">interpolexp(A3303,serie_du,Taxas_DI)</f>
        <v>0.12304001168912393</v>
      </c>
      <c r="C3303" s="37">
        <f t="shared" ca="1" si="154"/>
        <v>4.5744353323849296</v>
      </c>
      <c r="D3303" s="36">
        <f t="shared" ca="1" si="156"/>
        <v>0.12303996837061271</v>
      </c>
      <c r="E3303" s="32">
        <v>0.12012999147132941</v>
      </c>
      <c r="F3303" s="35">
        <f t="shared" ca="1" si="155"/>
        <v>2.9100202177945178E-3</v>
      </c>
    </row>
    <row r="3304" spans="1:6" x14ac:dyDescent="0.25">
      <c r="A3304" s="23">
        <v>3303</v>
      </c>
      <c r="B3304" s="7" cm="1">
        <f t="array" aca="1" ref="B3304" ca="1">interpolexp(A3304,serie_du,Taxas_DI)</f>
        <v>0.12304001167597889</v>
      </c>
      <c r="C3304" s="37">
        <f t="shared" ca="1" si="154"/>
        <v>4.5765422226579329</v>
      </c>
      <c r="D3304" s="36">
        <f t="shared" ca="1" si="156"/>
        <v>0.12303996827103991</v>
      </c>
      <c r="E3304" s="32">
        <v>0.12012999135881941</v>
      </c>
      <c r="F3304" s="35">
        <f t="shared" ca="1" si="155"/>
        <v>2.9100203171594785E-3</v>
      </c>
    </row>
    <row r="3305" spans="1:6" x14ac:dyDescent="0.25">
      <c r="A3305" s="23">
        <v>3304</v>
      </c>
      <c r="B3305" s="7" cm="1">
        <f t="array" aca="1" ref="B3305" ca="1">interpolexp(A3305,serie_du,Taxas_DI)</f>
        <v>0.12304001166285605</v>
      </c>
      <c r="C3305" s="37">
        <f t="shared" ca="1" si="154"/>
        <v>4.5786500833217687</v>
      </c>
      <c r="D3305" s="36">
        <f t="shared" ca="1" si="156"/>
        <v>0.12303996831816355</v>
      </c>
      <c r="E3305" s="32">
        <v>0.12012999124637602</v>
      </c>
      <c r="F3305" s="35">
        <f t="shared" ca="1" si="155"/>
        <v>2.9100204164800303E-3</v>
      </c>
    </row>
    <row r="3306" spans="1:6" x14ac:dyDescent="0.25">
      <c r="A3306" s="23">
        <v>3305</v>
      </c>
      <c r="B3306" s="7" cm="1">
        <f t="array" aca="1" ref="B3306" ca="1">interpolexp(A3306,serie_du,Taxas_DI)</f>
        <v>0.12304001164975542</v>
      </c>
      <c r="C3306" s="37">
        <f t="shared" ca="1" si="154"/>
        <v>4.5807589148233792</v>
      </c>
      <c r="D3306" s="36">
        <f t="shared" ca="1" si="156"/>
        <v>0.12303996836525188</v>
      </c>
      <c r="E3306" s="32">
        <v>0.12012999113399925</v>
      </c>
      <c r="F3306" s="35">
        <f t="shared" ca="1" si="155"/>
        <v>2.9100205157561732E-3</v>
      </c>
    </row>
    <row r="3307" spans="1:6" x14ac:dyDescent="0.25">
      <c r="A3307" s="23">
        <v>3306</v>
      </c>
      <c r="B3307" s="7" cm="1">
        <f t="array" aca="1" ref="B3307" ca="1">interpolexp(A3307,serie_du,Taxas_DI)</f>
        <v>0.12304001163665479</v>
      </c>
      <c r="C3307" s="37">
        <f t="shared" ca="1" si="154"/>
        <v>4.5828687176087257</v>
      </c>
      <c r="D3307" s="36">
        <f t="shared" ca="1" si="156"/>
        <v>0.12303996833906772</v>
      </c>
      <c r="E3307" s="32">
        <v>0.12012999102171129</v>
      </c>
      <c r="F3307" s="35">
        <f t="shared" ca="1" si="155"/>
        <v>2.9100206149434982E-3</v>
      </c>
    </row>
    <row r="3308" spans="1:6" x14ac:dyDescent="0.25">
      <c r="A3308" s="23">
        <v>3307</v>
      </c>
      <c r="B3308" s="7" cm="1">
        <f t="array" aca="1" ref="B3308" ca="1">interpolexp(A3308,serie_du,Taxas_DI)</f>
        <v>0.12304001162355416</v>
      </c>
      <c r="C3308" s="37">
        <f t="shared" ca="1" si="154"/>
        <v>4.5849794921251608</v>
      </c>
      <c r="D3308" s="36">
        <f t="shared" ca="1" si="156"/>
        <v>0.12303996831283404</v>
      </c>
      <c r="E3308" s="32">
        <v>0.12012999090946774</v>
      </c>
      <c r="F3308" s="35">
        <f t="shared" ca="1" si="155"/>
        <v>2.9100207140864143E-3</v>
      </c>
    </row>
    <row r="3309" spans="1:6" x14ac:dyDescent="0.25">
      <c r="A3309" s="23">
        <v>3308</v>
      </c>
      <c r="B3309" s="7" cm="1">
        <f t="array" aca="1" ref="B3309" ca="1">interpolexp(A3309,serie_du,Taxas_DI)</f>
        <v>0.12304001161047573</v>
      </c>
      <c r="C3309" s="37">
        <f t="shared" ca="1" si="154"/>
        <v>4.5870912388214347</v>
      </c>
      <c r="D3309" s="36">
        <f t="shared" ca="1" si="156"/>
        <v>0.12303996836010866</v>
      </c>
      <c r="E3309" s="32">
        <v>0.12012999079729081</v>
      </c>
      <c r="F3309" s="35">
        <f t="shared" ca="1" si="155"/>
        <v>2.9100208131849215E-3</v>
      </c>
    </row>
    <row r="3310" spans="1:6" x14ac:dyDescent="0.25">
      <c r="A3310" s="23">
        <v>3309</v>
      </c>
      <c r="B3310" s="7" cm="1">
        <f t="array" aca="1" ref="B3310" ca="1">interpolexp(A3310,serie_du,Taxas_DI)</f>
        <v>0.1230400115973973</v>
      </c>
      <c r="C3310" s="37">
        <f t="shared" ca="1" si="154"/>
        <v>4.5892039581441235</v>
      </c>
      <c r="D3310" s="36">
        <f t="shared" ca="1" si="156"/>
        <v>0.12303996833398823</v>
      </c>
      <c r="E3310" s="32">
        <v>0.12012999068518049</v>
      </c>
      <c r="F3310" s="35">
        <f t="shared" ca="1" si="155"/>
        <v>2.9100209122168152E-3</v>
      </c>
    </row>
    <row r="3311" spans="1:6" x14ac:dyDescent="0.25">
      <c r="A3311" s="23">
        <v>3310</v>
      </c>
      <c r="B3311" s="7" cm="1">
        <f t="array" aca="1" ref="B3311" ca="1">interpolexp(A3311,serie_du,Taxas_DI)</f>
        <v>0.12304001158431888</v>
      </c>
      <c r="C3311" s="37">
        <f t="shared" ca="1" si="154"/>
        <v>4.5913176505411979</v>
      </c>
      <c r="D3311" s="36">
        <f t="shared" ca="1" si="156"/>
        <v>0.12303996830781672</v>
      </c>
      <c r="E3311" s="32">
        <v>0.12012999057315898</v>
      </c>
      <c r="F3311" s="35">
        <f t="shared" ca="1" si="155"/>
        <v>2.9100210111598912E-3</v>
      </c>
    </row>
    <row r="3312" spans="1:6" x14ac:dyDescent="0.25">
      <c r="A3312" s="23">
        <v>3311</v>
      </c>
      <c r="B3312" s="7" cm="1">
        <f t="array" aca="1" ref="B3312" ca="1">interpolexp(A3312,serie_du,Taxas_DI)</f>
        <v>0.12304001157126265</v>
      </c>
      <c r="C3312" s="37">
        <f t="shared" ca="1" si="154"/>
        <v>4.5934323164620299</v>
      </c>
      <c r="D3312" s="36">
        <f t="shared" ca="1" si="156"/>
        <v>0.12303996835520548</v>
      </c>
      <c r="E3312" s="32">
        <v>0.12012999046118189</v>
      </c>
      <c r="F3312" s="35">
        <f t="shared" ca="1" si="155"/>
        <v>2.9100211100807627E-3</v>
      </c>
    </row>
    <row r="3313" spans="1:6" x14ac:dyDescent="0.25">
      <c r="A3313" s="23">
        <v>3312</v>
      </c>
      <c r="B3313" s="7" cm="1">
        <f t="array" aca="1" ref="B3313" ca="1">interpolexp(A3313,serie_du,Taxas_DI)</f>
        <v>0.12304001155820643</v>
      </c>
      <c r="C3313" s="37">
        <f t="shared" ca="1" si="154"/>
        <v>4.5955479563538084</v>
      </c>
      <c r="D3313" s="36">
        <f t="shared" ca="1" si="156"/>
        <v>0.12303996832897091</v>
      </c>
      <c r="E3313" s="32">
        <v>0.12012999034929361</v>
      </c>
      <c r="F3313" s="35">
        <f t="shared" ca="1" si="155"/>
        <v>2.9100212089128163E-3</v>
      </c>
    </row>
    <row r="3314" spans="1:6" x14ac:dyDescent="0.25">
      <c r="A3314" s="23">
        <v>3313</v>
      </c>
      <c r="B3314" s="7" cm="1">
        <f t="array" aca="1" ref="B3314" ca="1">interpolexp(A3314,serie_du,Taxas_DI)</f>
        <v>0.12304001154515021</v>
      </c>
      <c r="C3314" s="37">
        <f t="shared" ca="1" si="154"/>
        <v>4.5976645706651293</v>
      </c>
      <c r="D3314" s="36">
        <f t="shared" ca="1" si="156"/>
        <v>0.12303996830302966</v>
      </c>
      <c r="E3314" s="32">
        <v>0.12012999023744975</v>
      </c>
      <c r="F3314" s="35">
        <f t="shared" ca="1" si="155"/>
        <v>2.9100213077004611E-3</v>
      </c>
    </row>
    <row r="3315" spans="1:6" x14ac:dyDescent="0.25">
      <c r="A3315" s="23">
        <v>3314</v>
      </c>
      <c r="B3315" s="7" cm="1">
        <f t="array" aca="1" ref="B3315" ca="1">interpolexp(A3315,serie_du,Taxas_DI)</f>
        <v>0.12304001153211619</v>
      </c>
      <c r="C3315" s="37">
        <f t="shared" ca="1" si="154"/>
        <v>4.599782159845982</v>
      </c>
      <c r="D3315" s="36">
        <f t="shared" ca="1" si="156"/>
        <v>0.12303996835043773</v>
      </c>
      <c r="E3315" s="32">
        <v>0.1201299901256947</v>
      </c>
      <c r="F3315" s="35">
        <f t="shared" ca="1" si="155"/>
        <v>2.9100214064214924E-3</v>
      </c>
    </row>
    <row r="3316" spans="1:6" x14ac:dyDescent="0.25">
      <c r="A3316" s="23">
        <v>3315</v>
      </c>
      <c r="B3316" s="7" cm="1">
        <f t="array" aca="1" ref="B3316" ca="1">interpolexp(A3316,serie_du,Taxas_DI)</f>
        <v>0.12304001151908217</v>
      </c>
      <c r="C3316" s="37">
        <f t="shared" ca="1" si="154"/>
        <v>4.6019007243441763</v>
      </c>
      <c r="D3316" s="36">
        <f t="shared" ca="1" si="156"/>
        <v>0.12303996832432262</v>
      </c>
      <c r="E3316" s="32">
        <v>0.12012999001398406</v>
      </c>
      <c r="F3316" s="35">
        <f t="shared" ca="1" si="155"/>
        <v>2.9100215050981149E-3</v>
      </c>
    </row>
    <row r="3317" spans="1:6" x14ac:dyDescent="0.25">
      <c r="A3317" s="23">
        <v>3316</v>
      </c>
      <c r="B3317" s="7" cm="1">
        <f t="array" aca="1" ref="B3317" ca="1">interpolexp(A3317,serie_du,Taxas_DI)</f>
        <v>0.12304001150604815</v>
      </c>
      <c r="C3317" s="37">
        <f t="shared" ca="1" si="154"/>
        <v>4.6040202646089243</v>
      </c>
      <c r="D3317" s="36">
        <f t="shared" ca="1" si="156"/>
        <v>0.12303996829829278</v>
      </c>
      <c r="E3317" s="32">
        <v>0.12012998990236223</v>
      </c>
      <c r="F3317" s="35">
        <f t="shared" ca="1" si="155"/>
        <v>2.9100216036859194E-3</v>
      </c>
    </row>
    <row r="3318" spans="1:6" x14ac:dyDescent="0.25">
      <c r="A3318" s="23">
        <v>3317</v>
      </c>
      <c r="B3318" s="7" cm="1">
        <f t="array" aca="1" ref="B3318" ca="1">interpolexp(A3318,serie_du,Taxas_DI)</f>
        <v>0.12304001149303634</v>
      </c>
      <c r="C3318" s="37">
        <f t="shared" ca="1" si="154"/>
        <v>4.6061407810908417</v>
      </c>
      <c r="D3318" s="36">
        <f t="shared" ca="1" si="156"/>
        <v>0.12303996834592157</v>
      </c>
      <c r="E3318" s="32">
        <v>0.12012998979080702</v>
      </c>
      <c r="F3318" s="35">
        <f t="shared" ca="1" si="155"/>
        <v>2.9100217022293151E-3</v>
      </c>
    </row>
    <row r="3319" spans="1:6" x14ac:dyDescent="0.25">
      <c r="A3319" s="23">
        <v>3318</v>
      </c>
      <c r="B3319" s="7" cm="1">
        <f t="array" aca="1" ref="B3319" ca="1">interpolexp(A3319,serie_du,Taxas_DI)</f>
        <v>0.12304001148002452</v>
      </c>
      <c r="C3319" s="37">
        <f t="shared" ca="1" si="154"/>
        <v>4.6082622742383537</v>
      </c>
      <c r="D3319" s="36">
        <f t="shared" ca="1" si="156"/>
        <v>0.12303996831972741</v>
      </c>
      <c r="E3319" s="32">
        <v>0.12012998967929622</v>
      </c>
      <c r="F3319" s="35">
        <f t="shared" ca="1" si="155"/>
        <v>2.9100218007283019E-3</v>
      </c>
    </row>
    <row r="3320" spans="1:6" x14ac:dyDescent="0.25">
      <c r="A3320" s="23">
        <v>3319</v>
      </c>
      <c r="B3320" s="7" cm="1">
        <f t="array" aca="1" ref="B3320" ca="1">interpolexp(A3320,serie_du,Taxas_DI)</f>
        <v>0.12304001146703492</v>
      </c>
      <c r="C3320" s="37">
        <f t="shared" ca="1" si="154"/>
        <v>4.6103847445024977</v>
      </c>
      <c r="D3320" s="36">
        <f t="shared" ca="1" si="156"/>
        <v>0.12303996836758002</v>
      </c>
      <c r="E3320" s="32">
        <v>0.12012998956787424</v>
      </c>
      <c r="F3320" s="35">
        <f t="shared" ca="1" si="155"/>
        <v>2.9100218991606752E-3</v>
      </c>
    </row>
    <row r="3321" spans="1:6" x14ac:dyDescent="0.25">
      <c r="A3321" s="23">
        <v>3320</v>
      </c>
      <c r="B3321" s="7" cm="1">
        <f t="array" aca="1" ref="B3321" ca="1">interpolexp(A3321,serie_du,Taxas_DI)</f>
        <v>0.1230400114540231</v>
      </c>
      <c r="C3321" s="37">
        <f t="shared" ca="1" si="154"/>
        <v>4.6125081923309068</v>
      </c>
      <c r="D3321" s="36">
        <f t="shared" ca="1" si="156"/>
        <v>0.12303996826777763</v>
      </c>
      <c r="E3321" s="32">
        <v>0.12012998945651887</v>
      </c>
      <c r="F3321" s="35">
        <f t="shared" ca="1" si="155"/>
        <v>2.9100219975042307E-3</v>
      </c>
    </row>
    <row r="3322" spans="1:6" x14ac:dyDescent="0.25">
      <c r="A3322" s="23">
        <v>3321</v>
      </c>
      <c r="B3322" s="7" cm="1">
        <f t="array" aca="1" ref="B3322" ca="1">interpolexp(A3322,serie_du,Taxas_DI)</f>
        <v>0.1230400114410557</v>
      </c>
      <c r="C3322" s="37">
        <f t="shared" ca="1" si="154"/>
        <v>4.6146326181774358</v>
      </c>
      <c r="D3322" s="36">
        <f t="shared" ca="1" si="156"/>
        <v>0.12303996838932618</v>
      </c>
      <c r="E3322" s="32">
        <v>0.12012998934520791</v>
      </c>
      <c r="F3322" s="35">
        <f t="shared" ca="1" si="155"/>
        <v>2.9100220958477863E-3</v>
      </c>
    </row>
    <row r="3323" spans="1:6" x14ac:dyDescent="0.25">
      <c r="A3323" s="23">
        <v>3322</v>
      </c>
      <c r="B3323" s="7" cm="1">
        <f t="array" aca="1" ref="B3323" ca="1">interpolexp(A3323,serie_du,Taxas_DI)</f>
        <v>0.12304001142806609</v>
      </c>
      <c r="C3323" s="37">
        <f t="shared" ca="1" si="154"/>
        <v>4.6167580224889297</v>
      </c>
      <c r="D3323" s="36">
        <f t="shared" ca="1" si="156"/>
        <v>0.12303996828949604</v>
      </c>
      <c r="E3323" s="32">
        <v>0.12012998923398577</v>
      </c>
      <c r="F3323" s="35">
        <f t="shared" ca="1" si="155"/>
        <v>2.9100221940803195E-3</v>
      </c>
    </row>
    <row r="3324" spans="1:6" x14ac:dyDescent="0.25">
      <c r="A3324" s="23">
        <v>3323</v>
      </c>
      <c r="B3324" s="7" cm="1">
        <f t="array" aca="1" ref="B3324" ca="1">interpolexp(A3324,serie_du,Taxas_DI)</f>
        <v>0.12304001141509868</v>
      </c>
      <c r="C3324" s="37">
        <f t="shared" ca="1" si="154"/>
        <v>4.6188844057184584</v>
      </c>
      <c r="D3324" s="36">
        <f t="shared" ca="1" si="156"/>
        <v>0.12303996833737663</v>
      </c>
      <c r="E3324" s="32">
        <v>0.12012998912283024</v>
      </c>
      <c r="F3324" s="35">
        <f t="shared" ca="1" si="155"/>
        <v>2.9100222922684438E-3</v>
      </c>
    </row>
    <row r="3325" spans="1:6" x14ac:dyDescent="0.25">
      <c r="A3325" s="23">
        <v>3324</v>
      </c>
      <c r="B3325" s="7" cm="1">
        <f t="array" aca="1" ref="B3325" ca="1">interpolexp(A3325,serie_du,Taxas_DI)</f>
        <v>0.12304001140213128</v>
      </c>
      <c r="C3325" s="37">
        <f t="shared" ca="1" si="154"/>
        <v>4.6210117683156859</v>
      </c>
      <c r="D3325" s="36">
        <f t="shared" ca="1" si="156"/>
        <v>0.12303996831145092</v>
      </c>
      <c r="E3325" s="32">
        <v>0.12012998901174132</v>
      </c>
      <c r="F3325" s="35">
        <f t="shared" ca="1" si="155"/>
        <v>2.9100223903899547E-3</v>
      </c>
    </row>
    <row r="3326" spans="1:6" x14ac:dyDescent="0.25">
      <c r="A3326" s="23">
        <v>3325</v>
      </c>
      <c r="B3326" s="7" cm="1">
        <f t="array" aca="1" ref="B3326" ca="1">interpolexp(A3326,serie_du,Taxas_DI)</f>
        <v>0.12304001138918608</v>
      </c>
      <c r="C3326" s="37">
        <f t="shared" ca="1" si="154"/>
        <v>4.623140110732896</v>
      </c>
      <c r="D3326" s="36">
        <f t="shared" ca="1" si="156"/>
        <v>0.12303996835935993</v>
      </c>
      <c r="E3326" s="32">
        <v>0.12012998890071902</v>
      </c>
      <c r="F3326" s="35">
        <f t="shared" ca="1" si="155"/>
        <v>2.9100224884670567E-3</v>
      </c>
    </row>
    <row r="3327" spans="1:6" x14ac:dyDescent="0.25">
      <c r="A3327" s="23">
        <v>3326</v>
      </c>
      <c r="B3327" s="7" cm="1">
        <f t="array" aca="1" ref="B3327" ca="1">interpolexp(A3327,serie_du,Taxas_DI)</f>
        <v>0.12304001135388098</v>
      </c>
      <c r="C3327" s="37">
        <f t="shared" ca="1" si="154"/>
        <v>4.6252694322047265</v>
      </c>
      <c r="D3327" s="36">
        <f t="shared" ca="1" si="156"/>
        <v>0.12303989396438331</v>
      </c>
      <c r="E3327" s="32">
        <v>0.12012998878974113</v>
      </c>
      <c r="F3327" s="35">
        <f t="shared" ca="1" si="155"/>
        <v>2.910022564139858E-3</v>
      </c>
    </row>
    <row r="3328" spans="1:6" x14ac:dyDescent="0.25">
      <c r="A3328" s="23">
        <v>3327</v>
      </c>
      <c r="B3328" s="7" cm="1">
        <f t="array" aca="1" ref="B3328" ca="1">interpolexp(A3328,serie_du,Taxas_DI)</f>
        <v>0.1230400113185981</v>
      </c>
      <c r="C3328" s="37">
        <f t="shared" ca="1" si="154"/>
        <v>4.6273997343974687</v>
      </c>
      <c r="D3328" s="36">
        <f t="shared" ca="1" si="156"/>
        <v>0.12303989396772619</v>
      </c>
      <c r="E3328" s="32">
        <v>0.12012998867885205</v>
      </c>
      <c r="F3328" s="35">
        <f t="shared" ca="1" si="155"/>
        <v>2.910022639746046E-3</v>
      </c>
    </row>
    <row r="3329" spans="1:6" x14ac:dyDescent="0.25">
      <c r="A3329" s="23">
        <v>3328</v>
      </c>
      <c r="B3329" s="7" cm="1">
        <f t="array" aca="1" ref="B3329" ca="1">interpolexp(A3329,serie_du,Taxas_DI)</f>
        <v>0.12304001128333741</v>
      </c>
      <c r="C3329" s="37">
        <f t="shared" ca="1" si="154"/>
        <v>4.6295310177628215</v>
      </c>
      <c r="D3329" s="36">
        <f t="shared" ca="1" si="156"/>
        <v>0.12303989397104242</v>
      </c>
      <c r="E3329" s="32">
        <v>0.12012998856802959</v>
      </c>
      <c r="F3329" s="35">
        <f t="shared" ca="1" si="155"/>
        <v>2.9100227153078251E-3</v>
      </c>
    </row>
    <row r="3330" spans="1:6" x14ac:dyDescent="0.25">
      <c r="A3330" s="23">
        <v>3329</v>
      </c>
      <c r="B3330" s="7" cm="1">
        <f t="array" aca="1" ref="B3330" ca="1">interpolexp(A3330,serie_du,Taxas_DI)</f>
        <v>0.12304001124809893</v>
      </c>
      <c r="C3330" s="37">
        <f t="shared" ref="C3330:C3393" ca="1" si="157">(1+B3330)^(A3330/252)</f>
        <v>4.6316632827526938</v>
      </c>
      <c r="D3330" s="36">
        <f t="shared" ca="1" si="156"/>
        <v>0.12303989397443016</v>
      </c>
      <c r="E3330" s="32">
        <v>0.12012998845727374</v>
      </c>
      <c r="F3330" s="35">
        <f t="shared" ref="F3330:F3393" ca="1" si="158">B3330-E3330</f>
        <v>2.9100227908251952E-3</v>
      </c>
    </row>
    <row r="3331" spans="1:6" x14ac:dyDescent="0.25">
      <c r="A3331" s="23">
        <v>3330</v>
      </c>
      <c r="B3331" s="7" cm="1">
        <f t="array" aca="1" ref="B3331" ca="1">interpolexp(A3331,serie_du,Taxas_DI)</f>
        <v>0.12304001121288266</v>
      </c>
      <c r="C3331" s="37">
        <f t="shared" ca="1" si="157"/>
        <v>4.6337965298192021</v>
      </c>
      <c r="D3331" s="36">
        <f t="shared" ca="1" si="156"/>
        <v>0.12303989397788051</v>
      </c>
      <c r="E3331" s="32">
        <v>0.1201299883465845</v>
      </c>
      <c r="F3331" s="35">
        <f t="shared" ca="1" si="158"/>
        <v>2.9100228662981564E-3</v>
      </c>
    </row>
    <row r="3332" spans="1:6" x14ac:dyDescent="0.25">
      <c r="A3332" s="23">
        <v>3331</v>
      </c>
      <c r="B3332" s="7" cm="1">
        <f t="array" aca="1" ref="B3332" ca="1">interpolexp(A3332,serie_du,Taxas_DI)</f>
        <v>0.12304001117768859</v>
      </c>
      <c r="C3332" s="37">
        <f t="shared" ca="1" si="157"/>
        <v>4.6359307594146726</v>
      </c>
      <c r="D3332" s="36">
        <f t="shared" ref="D3332:D3395" ca="1" si="159">((((1+B3332)^(A3332/252))/((1+B3331)^(A3331/252)))^(252/1))-1</f>
        <v>0.1230398939814914</v>
      </c>
      <c r="E3332" s="32">
        <v>0.12012998823593968</v>
      </c>
      <c r="F3332" s="35">
        <f t="shared" ca="1" si="158"/>
        <v>2.9100229417489132E-3</v>
      </c>
    </row>
    <row r="3333" spans="1:6" x14ac:dyDescent="0.25">
      <c r="A3333" s="23">
        <v>3332</v>
      </c>
      <c r="B3333" s="7" cm="1">
        <f t="array" aca="1" ref="B3333" ca="1">interpolexp(A3333,serie_du,Taxas_DI)</f>
        <v>0.12304001114251673</v>
      </c>
      <c r="C3333" s="37">
        <f t="shared" ca="1" si="157"/>
        <v>4.6380659719916366</v>
      </c>
      <c r="D3333" s="36">
        <f t="shared" ca="1" si="159"/>
        <v>0.1230398939850188</v>
      </c>
      <c r="E3333" s="32">
        <v>0.12012998812538367</v>
      </c>
      <c r="F3333" s="35">
        <f t="shared" ca="1" si="158"/>
        <v>2.9100230171330566E-3</v>
      </c>
    </row>
    <row r="3334" spans="1:6" x14ac:dyDescent="0.25">
      <c r="A3334" s="23">
        <v>3333</v>
      </c>
      <c r="B3334" s="7" cm="1">
        <f t="array" aca="1" ref="B3334" ca="1">interpolexp(A3334,serie_du,Taxas_DI)</f>
        <v>0.12304001110736706</v>
      </c>
      <c r="C3334" s="37">
        <f t="shared" ca="1" si="157"/>
        <v>4.6402021680028378</v>
      </c>
      <c r="D3334" s="36">
        <f t="shared" ca="1" si="159"/>
        <v>0.1230398939887225</v>
      </c>
      <c r="E3334" s="32">
        <v>0.12012998801489427</v>
      </c>
      <c r="F3334" s="35">
        <f t="shared" ca="1" si="158"/>
        <v>2.910023092472791E-3</v>
      </c>
    </row>
    <row r="3335" spans="1:6" x14ac:dyDescent="0.25">
      <c r="A3335" s="23">
        <v>3334</v>
      </c>
      <c r="B3335" s="7" cm="1">
        <f t="array" aca="1" ref="B3335" ca="1">interpolexp(A3335,serie_du,Taxas_DI)</f>
        <v>0.12304001107223961</v>
      </c>
      <c r="C3335" s="37">
        <f t="shared" ca="1" si="157"/>
        <v>4.6423393479012258</v>
      </c>
      <c r="D3335" s="36">
        <f t="shared" ca="1" si="159"/>
        <v>0.12303989399241444</v>
      </c>
      <c r="E3335" s="32">
        <v>0.12012998790447149</v>
      </c>
      <c r="F3335" s="35">
        <f t="shared" ca="1" si="158"/>
        <v>2.9100231677681165E-3</v>
      </c>
    </row>
    <row r="3336" spans="1:6" x14ac:dyDescent="0.25">
      <c r="A3336" s="23">
        <v>3335</v>
      </c>
      <c r="B3336" s="7" cm="1">
        <f t="array" aca="1" ref="B3336" ca="1">interpolexp(A3336,serie_du,Taxas_DI)</f>
        <v>0.12304001103713436</v>
      </c>
      <c r="C3336" s="37">
        <f t="shared" ca="1" si="157"/>
        <v>4.64447751213996</v>
      </c>
      <c r="D3336" s="36">
        <f t="shared" ca="1" si="159"/>
        <v>0.12303989399624382</v>
      </c>
      <c r="E3336" s="32">
        <v>0.12012998779411532</v>
      </c>
      <c r="F3336" s="35">
        <f t="shared" ca="1" si="158"/>
        <v>2.9100232430190331E-3</v>
      </c>
    </row>
    <row r="3337" spans="1:6" x14ac:dyDescent="0.25">
      <c r="A3337" s="23">
        <v>3336</v>
      </c>
      <c r="B3337" s="7" cm="1">
        <f t="array" aca="1" ref="B3337" ca="1">interpolexp(A3337,serie_du,Taxas_DI)</f>
        <v>0.1230400110020291</v>
      </c>
      <c r="C3337" s="37">
        <f t="shared" ca="1" si="157"/>
        <v>4.6466166611711905</v>
      </c>
      <c r="D3337" s="36">
        <f t="shared" ca="1" si="159"/>
        <v>0.12303989392596226</v>
      </c>
      <c r="E3337" s="32">
        <v>0.12012998768380356</v>
      </c>
      <c r="F3337" s="35">
        <f t="shared" ca="1" si="158"/>
        <v>2.9100233182255408E-3</v>
      </c>
    </row>
    <row r="3338" spans="1:6" x14ac:dyDescent="0.25">
      <c r="A3338" s="23">
        <v>3337</v>
      </c>
      <c r="B3338" s="7" cm="1">
        <f t="array" aca="1" ref="B3338" ca="1">interpolexp(A3338,serie_du,Taxas_DI)</f>
        <v>0.12304001096696826</v>
      </c>
      <c r="C3338" s="37">
        <f t="shared" ca="1" si="157"/>
        <v>4.6487567954509279</v>
      </c>
      <c r="D3338" s="36">
        <f t="shared" ca="1" si="159"/>
        <v>0.12303989400403648</v>
      </c>
      <c r="E3338" s="32">
        <v>0.12012998757358062</v>
      </c>
      <c r="F3338" s="35">
        <f t="shared" ca="1" si="158"/>
        <v>2.9100233933876396E-3</v>
      </c>
    </row>
    <row r="3339" spans="1:6" x14ac:dyDescent="0.25">
      <c r="A3339" s="23">
        <v>3338</v>
      </c>
      <c r="B3339" s="7" cm="1">
        <f t="array" aca="1" ref="B3339" ca="1">interpolexp(A3339,serie_du,Taxas_DI)</f>
        <v>0.12304001093190742</v>
      </c>
      <c r="C3339" s="37">
        <f t="shared" ca="1" si="157"/>
        <v>4.6508979154305221</v>
      </c>
      <c r="D3339" s="36">
        <f t="shared" ca="1" si="159"/>
        <v>0.12303989393388393</v>
      </c>
      <c r="E3339" s="32">
        <v>0.12012998746342429</v>
      </c>
      <c r="F3339" s="35">
        <f t="shared" ca="1" si="158"/>
        <v>2.910023468483125E-3</v>
      </c>
    </row>
    <row r="3340" spans="1:6" x14ac:dyDescent="0.25">
      <c r="A3340" s="23">
        <v>3339</v>
      </c>
      <c r="B3340" s="7" cm="1">
        <f t="array" aca="1" ref="B3340" ca="1">interpolexp(A3340,serie_du,Taxas_DI)</f>
        <v>0.12304001089689098</v>
      </c>
      <c r="C3340" s="37">
        <f t="shared" ca="1" si="157"/>
        <v>4.6530400215664036</v>
      </c>
      <c r="D3340" s="36">
        <f t="shared" ca="1" si="159"/>
        <v>0.12303989401206827</v>
      </c>
      <c r="E3340" s="32">
        <v>0.12012998735331237</v>
      </c>
      <c r="F3340" s="35">
        <f t="shared" ca="1" si="158"/>
        <v>2.9100235435786104E-3</v>
      </c>
    </row>
    <row r="3341" spans="1:6" x14ac:dyDescent="0.25">
      <c r="A3341" s="23">
        <v>3340</v>
      </c>
      <c r="B3341" s="7" cm="1">
        <f t="array" aca="1" ref="B3341" ca="1">interpolexp(A3341,serie_du,Taxas_DI)</f>
        <v>0.12304001086189675</v>
      </c>
      <c r="C3341" s="37">
        <f t="shared" ca="1" si="157"/>
        <v>4.6551831143115594</v>
      </c>
      <c r="D3341" s="36">
        <f t="shared" ca="1" si="159"/>
        <v>0.12303989401620385</v>
      </c>
      <c r="E3341" s="32">
        <v>0.12012998724328927</v>
      </c>
      <c r="F3341" s="35">
        <f t="shared" ca="1" si="158"/>
        <v>2.9100236186074824E-3</v>
      </c>
    </row>
    <row r="3342" spans="1:6" x14ac:dyDescent="0.25">
      <c r="A3342" s="23">
        <v>3341</v>
      </c>
      <c r="B3342" s="7" cm="1">
        <f t="array" aca="1" ref="B3342" ca="1">interpolexp(A3342,serie_du,Taxas_DI)</f>
        <v>0.12304001082690252</v>
      </c>
      <c r="C3342" s="37">
        <f t="shared" ca="1" si="157"/>
        <v>4.6573271941191789</v>
      </c>
      <c r="D3342" s="36">
        <f t="shared" ca="1" si="159"/>
        <v>0.1230398939461077</v>
      </c>
      <c r="E3342" s="32">
        <v>0.12012998737378489</v>
      </c>
      <c r="F3342" s="35">
        <f t="shared" ca="1" si="158"/>
        <v>2.9100234531176383E-3</v>
      </c>
    </row>
    <row r="3343" spans="1:6" x14ac:dyDescent="0.25">
      <c r="A3343" s="23">
        <v>3342</v>
      </c>
      <c r="B3343" s="7" cm="1">
        <f t="array" aca="1" ref="B3343" ca="1">interpolexp(A3343,serie_du,Taxas_DI)</f>
        <v>0.1230400107919305</v>
      </c>
      <c r="C3343" s="37">
        <f t="shared" ca="1" si="157"/>
        <v>4.6594722614451065</v>
      </c>
      <c r="D3343" s="36">
        <f t="shared" ca="1" si="159"/>
        <v>0.12303989395045778</v>
      </c>
      <c r="E3343" s="32">
        <v>0.12012998750419168</v>
      </c>
      <c r="F3343" s="35">
        <f t="shared" ca="1" si="158"/>
        <v>2.9100232877388166E-3</v>
      </c>
    </row>
    <row r="3344" spans="1:6" x14ac:dyDescent="0.25">
      <c r="A3344" s="23">
        <v>3343</v>
      </c>
      <c r="B3344" s="7" cm="1">
        <f t="array" aca="1" ref="B3344" ca="1">interpolexp(A3344,serie_du,Taxas_DI)</f>
        <v>0.12304001075700288</v>
      </c>
      <c r="C3344" s="37">
        <f t="shared" ca="1" si="157"/>
        <v>4.6616183167453933</v>
      </c>
      <c r="D3344" s="36">
        <f t="shared" ca="1" si="159"/>
        <v>0.12303989402889171</v>
      </c>
      <c r="E3344" s="32">
        <v>0.12012998763453187</v>
      </c>
      <c r="F3344" s="35">
        <f t="shared" ca="1" si="158"/>
        <v>2.9100231224710171E-3</v>
      </c>
    </row>
    <row r="3345" spans="1:6" x14ac:dyDescent="0.25">
      <c r="A3345" s="23">
        <v>3344</v>
      </c>
      <c r="B3345" s="7" cm="1">
        <f t="array" aca="1" ref="B3345" ca="1">interpolexp(A3345,serie_du,Taxas_DI)</f>
        <v>0.12304001072207527</v>
      </c>
      <c r="C3345" s="37">
        <f t="shared" ca="1" si="157"/>
        <v>4.6637653604726372</v>
      </c>
      <c r="D3345" s="36">
        <f t="shared" ca="1" si="159"/>
        <v>0.1230398939590549</v>
      </c>
      <c r="E3345" s="32">
        <v>0.12012998776478323</v>
      </c>
      <c r="F3345" s="35">
        <f t="shared" ca="1" si="158"/>
        <v>2.9100229572920355E-3</v>
      </c>
    </row>
    <row r="3346" spans="1:6" x14ac:dyDescent="0.25">
      <c r="A3346" s="23">
        <v>3345</v>
      </c>
      <c r="B3346" s="7" cm="1">
        <f t="array" aca="1" ref="B3346" ca="1">interpolexp(A3346,serie_du,Taxas_DI)</f>
        <v>0.12304001068716985</v>
      </c>
      <c r="C3346" s="37">
        <f t="shared" ca="1" si="157"/>
        <v>4.6659133930833097</v>
      </c>
      <c r="D3346" s="36">
        <f t="shared" ca="1" si="159"/>
        <v>0.12303989396344361</v>
      </c>
      <c r="E3346" s="32">
        <v>0.12012998789494578</v>
      </c>
      <c r="F3346" s="35">
        <f t="shared" ca="1" si="158"/>
        <v>2.9100227922240762E-3</v>
      </c>
    </row>
    <row r="3347" spans="1:6" x14ac:dyDescent="0.25">
      <c r="A3347" s="23">
        <v>3346</v>
      </c>
      <c r="B3347" s="7" cm="1">
        <f t="array" aca="1" ref="B3347" ca="1">interpolexp(A3347,serie_du,Taxas_DI)</f>
        <v>0.12304001065228665</v>
      </c>
      <c r="C3347" s="37">
        <f t="shared" ca="1" si="157"/>
        <v>4.6680624150328729</v>
      </c>
      <c r="D3347" s="36">
        <f t="shared" ca="1" si="159"/>
        <v>0.12303989396803705</v>
      </c>
      <c r="E3347" s="32">
        <v>0.12012998802506392</v>
      </c>
      <c r="F3347" s="35">
        <f t="shared" ca="1" si="158"/>
        <v>2.9100226272227303E-3</v>
      </c>
    </row>
    <row r="3348" spans="1:6" x14ac:dyDescent="0.25">
      <c r="A3348" s="23">
        <v>3347</v>
      </c>
      <c r="B3348" s="7" cm="1">
        <f t="array" aca="1" ref="B3348" ca="1">interpolexp(A3348,serie_du,Taxas_DI)</f>
        <v>0.12304001061742564</v>
      </c>
      <c r="C3348" s="37">
        <f t="shared" ca="1" si="157"/>
        <v>4.6702124267769936</v>
      </c>
      <c r="D3348" s="36">
        <f t="shared" ca="1" si="159"/>
        <v>0.12303989397242621</v>
      </c>
      <c r="E3348" s="32">
        <v>0.12012998815507103</v>
      </c>
      <c r="F3348" s="35">
        <f t="shared" ca="1" si="158"/>
        <v>2.9100224623546112E-3</v>
      </c>
    </row>
    <row r="3349" spans="1:6" x14ac:dyDescent="0.25">
      <c r="A3349" s="23">
        <v>3348</v>
      </c>
      <c r="B3349" s="7" cm="1">
        <f t="array" aca="1" ref="B3349" ca="1">interpolexp(A3349,serie_du,Taxas_DI)</f>
        <v>0.12304001058258685</v>
      </c>
      <c r="C3349" s="37">
        <f t="shared" ca="1" si="157"/>
        <v>4.672363428771555</v>
      </c>
      <c r="D3349" s="36">
        <f t="shared" ca="1" si="159"/>
        <v>0.12303989397719395</v>
      </c>
      <c r="E3349" s="32">
        <v>0.12012998828501154</v>
      </c>
      <c r="F3349" s="35">
        <f t="shared" ca="1" si="158"/>
        <v>2.9100222975753098E-3</v>
      </c>
    </row>
    <row r="3350" spans="1:6" x14ac:dyDescent="0.25">
      <c r="A3350" s="23">
        <v>3349</v>
      </c>
      <c r="B3350" s="7" cm="1">
        <f t="array" aca="1" ref="B3350" ca="1">interpolexp(A3350,serie_du,Taxas_DI)</f>
        <v>0.12304001054777025</v>
      </c>
      <c r="C3350" s="37">
        <f t="shared" ca="1" si="157"/>
        <v>4.674515421472643</v>
      </c>
      <c r="D3350" s="36">
        <f t="shared" ca="1" si="159"/>
        <v>0.12303989398174142</v>
      </c>
      <c r="E3350" s="32">
        <v>0.12012998841488542</v>
      </c>
      <c r="F3350" s="35">
        <f t="shared" ca="1" si="158"/>
        <v>2.9100221328848264E-3</v>
      </c>
    </row>
    <row r="3351" spans="1:6" x14ac:dyDescent="0.25">
      <c r="A3351" s="23">
        <v>3350</v>
      </c>
      <c r="B3351" s="7" cm="1">
        <f t="array" aca="1" ref="B3351" ca="1">interpolexp(A3351,serie_du,Taxas_DI)</f>
        <v>0.12304001051297586</v>
      </c>
      <c r="C3351" s="37">
        <f t="shared" ca="1" si="157"/>
        <v>4.6766684053365619</v>
      </c>
      <c r="D3351" s="36">
        <f t="shared" ca="1" si="159"/>
        <v>0.12303989398664839</v>
      </c>
      <c r="E3351" s="32">
        <v>0.1201299885446705</v>
      </c>
      <c r="F3351" s="35">
        <f t="shared" ca="1" si="158"/>
        <v>2.9100219683053652E-3</v>
      </c>
    </row>
    <row r="3352" spans="1:6" x14ac:dyDescent="0.25">
      <c r="A3352" s="23">
        <v>3351</v>
      </c>
      <c r="B3352" s="7" cm="1">
        <f t="array" aca="1" ref="B3352" ca="1">interpolexp(A3352,serie_du,Taxas_DI)</f>
        <v>0.12304001047820368</v>
      </c>
      <c r="C3352" s="37">
        <f t="shared" ca="1" si="157"/>
        <v>4.6788223808198186</v>
      </c>
      <c r="D3352" s="36">
        <f t="shared" ca="1" si="159"/>
        <v>0.12303989399141235</v>
      </c>
      <c r="E3352" s="32">
        <v>0.12012998867438895</v>
      </c>
      <c r="F3352" s="35">
        <f t="shared" ca="1" si="158"/>
        <v>2.9100218038147219E-3</v>
      </c>
    </row>
    <row r="3353" spans="1:6" x14ac:dyDescent="0.25">
      <c r="A3353" s="23">
        <v>3352</v>
      </c>
      <c r="B3353" s="7" cm="1">
        <f t="array" aca="1" ref="B3353" ca="1">interpolexp(A3353,serie_du,Taxas_DI)</f>
        <v>0.1230400104434537</v>
      </c>
      <c r="C3353" s="37">
        <f t="shared" ca="1" si="157"/>
        <v>4.6809773483791339</v>
      </c>
      <c r="D3353" s="36">
        <f t="shared" ca="1" si="159"/>
        <v>0.12303989399624382</v>
      </c>
      <c r="E3353" s="32">
        <v>0.12012998880401859</v>
      </c>
      <c r="F3353" s="35">
        <f t="shared" ca="1" si="158"/>
        <v>2.9100216394351008E-3</v>
      </c>
    </row>
    <row r="3354" spans="1:6" x14ac:dyDescent="0.25">
      <c r="A3354" s="23">
        <v>3353</v>
      </c>
      <c r="B3354" s="7" cm="1">
        <f t="array" aca="1" ref="B3354" ca="1">interpolexp(A3354,serie_du,Taxas_DI)</f>
        <v>0.12304001040870371</v>
      </c>
      <c r="C3354" s="37">
        <f t="shared" ca="1" si="157"/>
        <v>4.6831333084702065</v>
      </c>
      <c r="D3354" s="36">
        <f t="shared" ca="1" si="159"/>
        <v>0.1230398939267765</v>
      </c>
      <c r="E3354" s="32">
        <v>0.12012998893358162</v>
      </c>
      <c r="F3354" s="35">
        <f t="shared" ca="1" si="158"/>
        <v>2.9100214751220932E-3</v>
      </c>
    </row>
    <row r="3355" spans="1:6" x14ac:dyDescent="0.25">
      <c r="A3355" s="23">
        <v>3354</v>
      </c>
      <c r="B3355" s="7" cm="1">
        <f t="array" aca="1" ref="B3355" ca="1">interpolexp(A3355,serie_du,Taxas_DI)</f>
        <v>0.12304001037399814</v>
      </c>
      <c r="C3355" s="37">
        <f t="shared" ca="1" si="157"/>
        <v>4.6852902615526411</v>
      </c>
      <c r="D3355" s="36">
        <f t="shared" ca="1" si="159"/>
        <v>0.12303989400623605</v>
      </c>
      <c r="E3355" s="32">
        <v>0.12012998906305583</v>
      </c>
      <c r="F3355" s="35">
        <f t="shared" ca="1" si="158"/>
        <v>2.9100213109423123E-3</v>
      </c>
    </row>
    <row r="3356" spans="1:6" x14ac:dyDescent="0.25">
      <c r="A3356" s="23">
        <v>3355</v>
      </c>
      <c r="B3356" s="7" cm="1">
        <f t="array" aca="1" ref="B3356" ca="1">interpolexp(A3356,serie_du,Taxas_DI)</f>
        <v>0.12304001033929257</v>
      </c>
      <c r="C3356" s="37">
        <f t="shared" ca="1" si="157"/>
        <v>4.6874482080813227</v>
      </c>
      <c r="D3356" s="36">
        <f t="shared" ca="1" si="159"/>
        <v>0.12303989393676584</v>
      </c>
      <c r="E3356" s="32">
        <v>0.12012998919246343</v>
      </c>
      <c r="F3356" s="35">
        <f t="shared" ca="1" si="158"/>
        <v>2.9100211468291448E-3</v>
      </c>
    </row>
    <row r="3357" spans="1:6" x14ac:dyDescent="0.25">
      <c r="A3357" s="23">
        <v>3356</v>
      </c>
      <c r="B3357" s="7" cm="1">
        <f t="array" aca="1" ref="B3357" ca="1">interpolexp(A3357,serie_du,Taxas_DI)</f>
        <v>0.12304001030463141</v>
      </c>
      <c r="C3357" s="37">
        <f t="shared" ca="1" si="157"/>
        <v>4.6896071485162851</v>
      </c>
      <c r="D3357" s="36">
        <f t="shared" ca="1" si="159"/>
        <v>0.12303989401652116</v>
      </c>
      <c r="E3357" s="32">
        <v>0.1201299893217822</v>
      </c>
      <c r="F3357" s="35">
        <f t="shared" ca="1" si="158"/>
        <v>2.9100209828492041E-3</v>
      </c>
    </row>
    <row r="3358" spans="1:6" x14ac:dyDescent="0.25">
      <c r="A3358" s="23">
        <v>3357</v>
      </c>
      <c r="B3358" s="7" cm="1">
        <f t="array" aca="1" ref="B3358" ca="1">interpolexp(A3358,serie_du,Taxas_DI)</f>
        <v>0.12304001026997025</v>
      </c>
      <c r="C3358" s="37">
        <f t="shared" ca="1" si="157"/>
        <v>4.6917670833128264</v>
      </c>
      <c r="D3358" s="36">
        <f t="shared" ca="1" si="159"/>
        <v>0.12303989394705339</v>
      </c>
      <c r="E3358" s="32">
        <v>0.12012998945103437</v>
      </c>
      <c r="F3358" s="35">
        <f t="shared" ca="1" si="158"/>
        <v>2.9100208189358767E-3</v>
      </c>
    </row>
    <row r="3359" spans="1:6" x14ac:dyDescent="0.25">
      <c r="A3359" s="23">
        <v>3358</v>
      </c>
      <c r="B3359" s="7" cm="1">
        <f t="array" aca="1" ref="B3359" ca="1">interpolexp(A3359,serie_du,Taxas_DI)</f>
        <v>0.12304001023535349</v>
      </c>
      <c r="C3359" s="37">
        <f t="shared" ca="1" si="157"/>
        <v>4.6939280129314058</v>
      </c>
      <c r="D3359" s="36">
        <f t="shared" ca="1" si="159"/>
        <v>0.12303989402694482</v>
      </c>
      <c r="E3359" s="32">
        <v>0.12012998958019772</v>
      </c>
      <c r="F3359" s="35">
        <f t="shared" ca="1" si="158"/>
        <v>2.9100206551557761E-3</v>
      </c>
    </row>
    <row r="3360" spans="1:6" x14ac:dyDescent="0.25">
      <c r="A3360" s="23">
        <v>3359</v>
      </c>
      <c r="B3360" s="7" cm="1">
        <f t="array" aca="1" ref="B3360" ca="1">interpolexp(A3360,serie_du,Taxas_DI)</f>
        <v>0.12304001020073674</v>
      </c>
      <c r="C3360" s="37">
        <f t="shared" ca="1" si="157"/>
        <v>4.6960899378277423</v>
      </c>
      <c r="D3360" s="36">
        <f t="shared" ca="1" si="159"/>
        <v>0.12303989395766557</v>
      </c>
      <c r="E3360" s="32">
        <v>0.12012998970929445</v>
      </c>
      <c r="F3360" s="35">
        <f t="shared" ca="1" si="158"/>
        <v>2.9100204914422889E-3</v>
      </c>
    </row>
    <row r="3361" spans="1:6" x14ac:dyDescent="0.25">
      <c r="A3361" s="23">
        <v>3360</v>
      </c>
      <c r="B3361" s="7" cm="1">
        <f t="array" aca="1" ref="B3361" ca="1">interpolexp(A3361,serie_du,Taxas_DI)</f>
        <v>0.12304001016614219</v>
      </c>
      <c r="C3361" s="37">
        <f t="shared" ca="1" si="157"/>
        <v>4.6982528584614798</v>
      </c>
      <c r="D3361" s="36">
        <f t="shared" ca="1" si="159"/>
        <v>0.12303989396305837</v>
      </c>
      <c r="E3361" s="32">
        <v>0.12012998983832457</v>
      </c>
      <c r="F3361" s="35">
        <f t="shared" ca="1" si="158"/>
        <v>2.9100203278176195E-3</v>
      </c>
    </row>
    <row r="3362" spans="1:6" x14ac:dyDescent="0.25">
      <c r="A3362" s="23">
        <v>3361</v>
      </c>
      <c r="B3362" s="7" cm="1">
        <f t="array" aca="1" ref="B3362" ca="1">interpolexp(A3362,serie_du,Taxas_DI)</f>
        <v>0.12304001013156984</v>
      </c>
      <c r="C3362" s="37">
        <f t="shared" ca="1" si="157"/>
        <v>4.7004167752912336</v>
      </c>
      <c r="D3362" s="36">
        <f t="shared" ca="1" si="159"/>
        <v>0.1230398939684727</v>
      </c>
      <c r="E3362" s="32">
        <v>0.12012998996726587</v>
      </c>
      <c r="F3362" s="35">
        <f t="shared" ca="1" si="158"/>
        <v>2.9100201643039725E-3</v>
      </c>
    </row>
    <row r="3363" spans="1:6" x14ac:dyDescent="0.25">
      <c r="A3363" s="23">
        <v>3362</v>
      </c>
      <c r="B3363" s="7" cm="1">
        <f t="array" aca="1" ref="B3363" ca="1">interpolexp(A3363,serie_du,Taxas_DI)</f>
        <v>0.1230400100970197</v>
      </c>
      <c r="C3363" s="37">
        <f t="shared" ca="1" si="157"/>
        <v>4.702581688775834</v>
      </c>
      <c r="D3363" s="36">
        <f t="shared" ca="1" si="159"/>
        <v>0.1230398939740569</v>
      </c>
      <c r="E3363" s="32">
        <v>0.12012999009611836</v>
      </c>
      <c r="F3363" s="35">
        <f t="shared" ca="1" si="158"/>
        <v>2.9100200009013477E-3</v>
      </c>
    </row>
    <row r="3364" spans="1:6" x14ac:dyDescent="0.25">
      <c r="A3364" s="23">
        <v>3363</v>
      </c>
      <c r="B3364" s="7" cm="1">
        <f t="array" aca="1" ref="B3364" ca="1">interpolexp(A3364,serie_du,Taxas_DI)</f>
        <v>0.12304001006249177</v>
      </c>
      <c r="C3364" s="37">
        <f t="shared" ca="1" si="157"/>
        <v>4.7047475993743184</v>
      </c>
      <c r="D3364" s="36">
        <f t="shared" ca="1" si="159"/>
        <v>0.12303989397960469</v>
      </c>
      <c r="E3364" s="32">
        <v>0.12012999022490423</v>
      </c>
      <c r="F3364" s="35">
        <f t="shared" ca="1" si="158"/>
        <v>2.9100198375875408E-3</v>
      </c>
    </row>
    <row r="3365" spans="1:6" x14ac:dyDescent="0.25">
      <c r="A3365" s="23">
        <v>3364</v>
      </c>
      <c r="B3365" s="7" cm="1">
        <f t="array" aca="1" ref="B3365" ca="1">interpolexp(A3365,serie_du,Taxas_DI)</f>
        <v>0.12304001002798604</v>
      </c>
      <c r="C3365" s="37">
        <f t="shared" ca="1" si="157"/>
        <v>4.7069145075459371</v>
      </c>
      <c r="D3365" s="36">
        <f t="shared" ca="1" si="159"/>
        <v>0.1230398939851447</v>
      </c>
      <c r="E3365" s="32">
        <v>0.12012999035362348</v>
      </c>
      <c r="F3365" s="35">
        <f t="shared" ca="1" si="158"/>
        <v>2.9100196743625517E-3</v>
      </c>
    </row>
    <row r="3366" spans="1:6" x14ac:dyDescent="0.25">
      <c r="A3366" s="23">
        <v>3365</v>
      </c>
      <c r="B3366" s="7" cm="1">
        <f t="array" aca="1" ref="B3366" ca="1">interpolexp(A3366,serie_du,Taxas_DI)</f>
        <v>0.12304000999350251</v>
      </c>
      <c r="C3366" s="37">
        <f t="shared" ca="1" si="157"/>
        <v>4.7090824137501563</v>
      </c>
      <c r="D3366" s="36">
        <f t="shared" ca="1" si="159"/>
        <v>0.12303989399097648</v>
      </c>
      <c r="E3366" s="32">
        <v>0.12012999048225392</v>
      </c>
      <c r="F3366" s="35">
        <f t="shared" ca="1" si="158"/>
        <v>2.9100195112485849E-3</v>
      </c>
    </row>
    <row r="3367" spans="1:6" x14ac:dyDescent="0.25">
      <c r="A3367" s="23">
        <v>3366</v>
      </c>
      <c r="B3367" s="7" cm="1">
        <f t="array" aca="1" ref="B3367" ca="1">interpolexp(A3367,serie_du,Taxas_DI)</f>
        <v>0.12304000995901898</v>
      </c>
      <c r="C3367" s="37">
        <f t="shared" ca="1" si="157"/>
        <v>4.7112513184454041</v>
      </c>
      <c r="D3367" s="36">
        <f t="shared" ca="1" si="159"/>
        <v>0.12303989392201253</v>
      </c>
      <c r="E3367" s="32">
        <v>0.12012999061081775</v>
      </c>
      <c r="F3367" s="35">
        <f t="shared" ca="1" si="158"/>
        <v>2.9100193482012315E-3</v>
      </c>
    </row>
    <row r="3368" spans="1:6" x14ac:dyDescent="0.25">
      <c r="A3368" s="23">
        <v>3367</v>
      </c>
      <c r="B3368" s="7" cm="1">
        <f t="array" aca="1" ref="B3368" ca="1">interpolexp(A3368,serie_du,Taxas_DI)</f>
        <v>0.12304000992457986</v>
      </c>
      <c r="C3368" s="37">
        <f t="shared" ca="1" si="157"/>
        <v>4.713421222094051</v>
      </c>
      <c r="D3368" s="36">
        <f t="shared" ca="1" si="159"/>
        <v>0.12303989400246906</v>
      </c>
      <c r="E3368" s="32">
        <v>0.12012999073929276</v>
      </c>
      <c r="F3368" s="35">
        <f t="shared" ca="1" si="158"/>
        <v>2.9100191852871049E-3</v>
      </c>
    </row>
    <row r="3369" spans="1:6" x14ac:dyDescent="0.25">
      <c r="A3369" s="23">
        <v>3368</v>
      </c>
      <c r="B3369" s="7" cm="1">
        <f t="array" aca="1" ref="B3369" ca="1">interpolexp(A3369,serie_du,Taxas_DI)</f>
        <v>0.12304000989016295</v>
      </c>
      <c r="C3369" s="37">
        <f t="shared" ca="1" si="157"/>
        <v>4.7155921251549557</v>
      </c>
      <c r="D3369" s="36">
        <f t="shared" ca="1" si="159"/>
        <v>0.12303989400842674</v>
      </c>
      <c r="E3369" s="32">
        <v>0.12012999086770115</v>
      </c>
      <c r="F3369" s="35">
        <f t="shared" ca="1" si="158"/>
        <v>2.9100190224617961E-3</v>
      </c>
    </row>
    <row r="3370" spans="1:6" x14ac:dyDescent="0.25">
      <c r="A3370" s="23">
        <v>3369</v>
      </c>
      <c r="B3370" s="7" cm="1">
        <f t="array" aca="1" ref="B3370" ca="1">interpolexp(A3370,serie_du,Taxas_DI)</f>
        <v>0.12304000985574604</v>
      </c>
      <c r="C3370" s="37">
        <f t="shared" ca="1" si="157"/>
        <v>4.7177640280871778</v>
      </c>
      <c r="D3370" s="36">
        <f t="shared" ca="1" si="159"/>
        <v>0.12303989393958847</v>
      </c>
      <c r="E3370" s="32">
        <v>0.12012999099604293</v>
      </c>
      <c r="F3370" s="35">
        <f t="shared" ca="1" si="158"/>
        <v>2.9100188597031007E-3</v>
      </c>
    </row>
    <row r="3371" spans="1:6" x14ac:dyDescent="0.25">
      <c r="A3371" s="23">
        <v>3370</v>
      </c>
      <c r="B3371" s="7" cm="1">
        <f t="array" aca="1" ref="B3371" ca="1">interpolexp(A3371,serie_du,Taxas_DI)</f>
        <v>0.12304000982137353</v>
      </c>
      <c r="C3371" s="37">
        <f t="shared" ca="1" si="157"/>
        <v>4.7199369313537343</v>
      </c>
      <c r="D3371" s="36">
        <f t="shared" ca="1" si="159"/>
        <v>0.12303989402048621</v>
      </c>
      <c r="E3371" s="32">
        <v>0.1201299911242959</v>
      </c>
      <c r="F3371" s="35">
        <f t="shared" ca="1" si="158"/>
        <v>2.9100186970776321E-3</v>
      </c>
    </row>
    <row r="3372" spans="1:6" x14ac:dyDescent="0.25">
      <c r="A3372" s="23">
        <v>3371</v>
      </c>
      <c r="B3372" s="7" cm="1">
        <f t="array" aca="1" ref="B3372" ca="1">interpolexp(A3372,serie_du,Taxas_DI)</f>
        <v>0.12304000978700103</v>
      </c>
      <c r="C3372" s="37">
        <f t="shared" ca="1" si="157"/>
        <v>4.7221108354128614</v>
      </c>
      <c r="D3372" s="36">
        <f t="shared" ca="1" si="159"/>
        <v>0.12303989395165127</v>
      </c>
      <c r="E3372" s="32">
        <v>0.12012999125246004</v>
      </c>
      <c r="F3372" s="35">
        <f t="shared" ca="1" si="158"/>
        <v>2.9100185345409812E-3</v>
      </c>
    </row>
    <row r="3373" spans="1:6" x14ac:dyDescent="0.25">
      <c r="A3373" s="23">
        <v>3372</v>
      </c>
      <c r="B3373" s="7" cm="1">
        <f t="array" aca="1" ref="B3373" ca="1">interpolexp(A3373,serie_du,Taxas_DI)</f>
        <v>0.12304000975265073</v>
      </c>
      <c r="C3373" s="37">
        <f t="shared" ca="1" si="157"/>
        <v>4.7242857407267529</v>
      </c>
      <c r="D3373" s="36">
        <f t="shared" ca="1" si="159"/>
        <v>0.12303989395779125</v>
      </c>
      <c r="E3373" s="32">
        <v>0.12012999138055758</v>
      </c>
      <c r="F3373" s="35">
        <f t="shared" ca="1" si="158"/>
        <v>2.9100183720931483E-3</v>
      </c>
    </row>
    <row r="3374" spans="1:6" x14ac:dyDescent="0.25">
      <c r="A3374" s="23">
        <v>3373</v>
      </c>
      <c r="B3374" s="7" cm="1">
        <f t="array" aca="1" ref="B3374" ca="1">interpolexp(A3374,serie_du,Taxas_DI)</f>
        <v>0.12304000971832263</v>
      </c>
      <c r="C3374" s="37">
        <f t="shared" ca="1" si="157"/>
        <v>4.7264616477565671</v>
      </c>
      <c r="D3374" s="36">
        <f t="shared" ca="1" si="159"/>
        <v>0.12303989396394299</v>
      </c>
      <c r="E3374" s="32">
        <v>0.1201299915085885</v>
      </c>
      <c r="F3374" s="35">
        <f t="shared" ca="1" si="158"/>
        <v>2.9100182097341332E-3</v>
      </c>
    </row>
    <row r="3375" spans="1:6" x14ac:dyDescent="0.25">
      <c r="A3375" s="23">
        <v>3374</v>
      </c>
      <c r="B3375" s="7" cm="1">
        <f t="array" aca="1" ref="B3375" ca="1">interpolexp(A3375,serie_du,Taxas_DI)</f>
        <v>0.12304000968403894</v>
      </c>
      <c r="C3375" s="37">
        <f t="shared" ca="1" si="157"/>
        <v>4.7286385569649285</v>
      </c>
      <c r="D3375" s="36">
        <f t="shared" ca="1" si="159"/>
        <v>0.12303989404528148</v>
      </c>
      <c r="E3375" s="32">
        <v>0.1201299916365306</v>
      </c>
      <c r="F3375" s="35">
        <f t="shared" ca="1" si="158"/>
        <v>2.9100180475083448E-3</v>
      </c>
    </row>
    <row r="3376" spans="1:6" x14ac:dyDescent="0.25">
      <c r="A3376" s="23">
        <v>3375</v>
      </c>
      <c r="B3376" s="7" cm="1">
        <f t="array" aca="1" ref="B3376" ca="1">interpolexp(A3376,serie_du,Taxas_DI)</f>
        <v>0.12304000964973305</v>
      </c>
      <c r="C3376" s="37">
        <f t="shared" ca="1" si="157"/>
        <v>4.7308164688096594</v>
      </c>
      <c r="D3376" s="36">
        <f t="shared" ca="1" si="159"/>
        <v>0.1230398939015771</v>
      </c>
      <c r="E3376" s="32">
        <v>0.12012999176440609</v>
      </c>
      <c r="F3376" s="35">
        <f t="shared" ca="1" si="158"/>
        <v>2.9100178853269654E-3</v>
      </c>
    </row>
    <row r="3377" spans="1:6" x14ac:dyDescent="0.25">
      <c r="A3377" s="23">
        <v>3376</v>
      </c>
      <c r="B3377" s="7" cm="1">
        <f t="array" aca="1" ref="B3377" ca="1">interpolexp(A3377,serie_du,Taxas_DI)</f>
        <v>0.12304000961547157</v>
      </c>
      <c r="C3377" s="37">
        <f t="shared" ca="1" si="157"/>
        <v>4.7329953837563172</v>
      </c>
      <c r="D3377" s="36">
        <f t="shared" ca="1" si="159"/>
        <v>0.12303989398305504</v>
      </c>
      <c r="E3377" s="32">
        <v>0.12012999189221496</v>
      </c>
      <c r="F3377" s="35">
        <f t="shared" ca="1" si="158"/>
        <v>2.9100177232566082E-3</v>
      </c>
    </row>
    <row r="3378" spans="1:6" x14ac:dyDescent="0.25">
      <c r="A3378" s="23">
        <v>3377</v>
      </c>
      <c r="B3378" s="7" cm="1">
        <f t="array" aca="1" ref="B3378" ca="1">interpolexp(A3378,serie_du,Taxas_DI)</f>
        <v>0.12304000958123229</v>
      </c>
      <c r="C3378" s="37">
        <f t="shared" ca="1" si="157"/>
        <v>4.7351753022656542</v>
      </c>
      <c r="D3378" s="36">
        <f t="shared" ca="1" si="159"/>
        <v>0.12303989398947146</v>
      </c>
      <c r="E3378" s="32">
        <v>0.12012999201993502</v>
      </c>
      <c r="F3378" s="35">
        <f t="shared" ca="1" si="158"/>
        <v>2.9100175612972734E-3</v>
      </c>
    </row>
    <row r="3379" spans="1:6" x14ac:dyDescent="0.25">
      <c r="A3379" s="23">
        <v>3378</v>
      </c>
      <c r="B3379" s="7" cm="1">
        <f t="array" aca="1" ref="B3379" ca="1">interpolexp(A3379,serie_du,Taxas_DI)</f>
        <v>0.12304000954701522</v>
      </c>
      <c r="C3379" s="37">
        <f t="shared" ca="1" si="157"/>
        <v>4.7373562247998926</v>
      </c>
      <c r="D3379" s="36">
        <f t="shared" ca="1" si="159"/>
        <v>0.12303989399592852</v>
      </c>
      <c r="E3379" s="32">
        <v>0.12012999214758846</v>
      </c>
      <c r="F3379" s="35">
        <f t="shared" ca="1" si="158"/>
        <v>2.9100173994267564E-3</v>
      </c>
    </row>
    <row r="3380" spans="1:6" x14ac:dyDescent="0.25">
      <c r="A3380" s="23">
        <v>3379</v>
      </c>
      <c r="B3380" s="7" cm="1">
        <f t="array" aca="1" ref="B3380" ca="1">interpolexp(A3380,serie_du,Taxas_DI)</f>
        <v>0.12304000951282035</v>
      </c>
      <c r="C3380" s="37">
        <f t="shared" ca="1" si="157"/>
        <v>4.7395381518214661</v>
      </c>
      <c r="D3380" s="36">
        <f t="shared" ca="1" si="159"/>
        <v>0.12303989400253657</v>
      </c>
      <c r="E3380" s="32">
        <v>0.12012999227515309</v>
      </c>
      <c r="F3380" s="35">
        <f t="shared" ca="1" si="158"/>
        <v>2.9100172376672617E-3</v>
      </c>
    </row>
    <row r="3381" spans="1:6" x14ac:dyDescent="0.25">
      <c r="A3381" s="23">
        <v>3380</v>
      </c>
      <c r="B3381" s="7" cm="1">
        <f t="array" aca="1" ref="B3381" ca="1">interpolexp(A3381,serie_du,Taxas_DI)</f>
        <v>0.12304000947862548</v>
      </c>
      <c r="C3381" s="37">
        <f t="shared" ca="1" si="157"/>
        <v>4.7417210837917665</v>
      </c>
      <c r="D3381" s="36">
        <f t="shared" ca="1" si="159"/>
        <v>0.1230398939342594</v>
      </c>
      <c r="E3381" s="32">
        <v>0.1201299924026511</v>
      </c>
      <c r="F3381" s="35">
        <f t="shared" ca="1" si="158"/>
        <v>2.9100170759743804E-3</v>
      </c>
    </row>
    <row r="3382" spans="1:6" x14ac:dyDescent="0.25">
      <c r="A3382" s="23">
        <v>3381</v>
      </c>
      <c r="B3382" s="7" cm="1">
        <f t="array" aca="1" ref="B3382" ca="1">interpolexp(A3382,serie_du,Taxas_DI)</f>
        <v>0.12304000944447502</v>
      </c>
      <c r="C3382" s="37">
        <f t="shared" ca="1" si="157"/>
        <v>4.7439050211761646</v>
      </c>
      <c r="D3382" s="36">
        <f t="shared" ca="1" si="159"/>
        <v>0.12303989401589255</v>
      </c>
      <c r="E3382" s="32">
        <v>0.12012999253006029</v>
      </c>
      <c r="F3382" s="35">
        <f t="shared" ca="1" si="158"/>
        <v>2.9100169144147259E-3</v>
      </c>
    </row>
    <row r="3383" spans="1:6" x14ac:dyDescent="0.25">
      <c r="A3383" s="23">
        <v>3382</v>
      </c>
      <c r="B3383" s="7" cm="1">
        <f t="array" aca="1" ref="B3383" ca="1">interpolexp(A3383,serie_du,Taxas_DI)</f>
        <v>0.12304000941032456</v>
      </c>
      <c r="C3383" s="37">
        <f t="shared" ca="1" si="157"/>
        <v>4.746089964435221</v>
      </c>
      <c r="D3383" s="36">
        <f t="shared" ca="1" si="159"/>
        <v>0.12303989394768267</v>
      </c>
      <c r="E3383" s="32">
        <v>0.12012999265740287</v>
      </c>
      <c r="F3383" s="35">
        <f t="shared" ca="1" si="158"/>
        <v>2.9100167529216847E-3</v>
      </c>
    </row>
    <row r="3384" spans="1:6" x14ac:dyDescent="0.25">
      <c r="A3384" s="23">
        <v>3383</v>
      </c>
      <c r="B3384" s="7" cm="1">
        <f t="array" aca="1" ref="B3384" ca="1">interpolexp(A3384,serie_du,Taxas_DI)</f>
        <v>0.1230400093761963</v>
      </c>
      <c r="C3384" s="37">
        <f t="shared" ca="1" si="157"/>
        <v>4.748275914033476</v>
      </c>
      <c r="D3384" s="36">
        <f t="shared" ca="1" si="159"/>
        <v>0.12303989395434067</v>
      </c>
      <c r="E3384" s="32">
        <v>0.12012999278467884</v>
      </c>
      <c r="F3384" s="35">
        <f t="shared" ca="1" si="158"/>
        <v>2.9100165915174614E-3</v>
      </c>
    </row>
    <row r="3385" spans="1:6" x14ac:dyDescent="0.25">
      <c r="A3385" s="23">
        <v>3384</v>
      </c>
      <c r="B3385" s="7" cm="1">
        <f t="array" aca="1" ref="B3385" ca="1">interpolexp(A3385,serie_du,Taxas_DI)</f>
        <v>0.12304000934211246</v>
      </c>
      <c r="C3385" s="37">
        <f t="shared" ca="1" si="157"/>
        <v>4.7504628704356957</v>
      </c>
      <c r="D3385" s="36">
        <f t="shared" ca="1" si="159"/>
        <v>0.12303989403650029</v>
      </c>
      <c r="E3385" s="32">
        <v>0.12012999291186599</v>
      </c>
      <c r="F3385" s="35">
        <f t="shared" ca="1" si="158"/>
        <v>2.9100164302464648E-3</v>
      </c>
    </row>
    <row r="3386" spans="1:6" x14ac:dyDescent="0.25">
      <c r="A3386" s="23">
        <v>3385</v>
      </c>
      <c r="B3386" s="7" cm="1">
        <f t="array" aca="1" ref="B3386" ca="1">interpolexp(A3386,serie_du,Taxas_DI)</f>
        <v>0.12304000930802861</v>
      </c>
      <c r="C3386" s="37">
        <f t="shared" ca="1" si="157"/>
        <v>4.7526508341030684</v>
      </c>
      <c r="D3386" s="36">
        <f t="shared" ca="1" si="159"/>
        <v>0.12303989396828641</v>
      </c>
      <c r="E3386" s="32">
        <v>0.12012999303898653</v>
      </c>
      <c r="F3386" s="35">
        <f t="shared" ca="1" si="158"/>
        <v>2.9100162690420817E-3</v>
      </c>
    </row>
    <row r="3387" spans="1:6" x14ac:dyDescent="0.25">
      <c r="A3387" s="23">
        <v>3386</v>
      </c>
      <c r="B3387" s="7" cm="1">
        <f t="array" aca="1" ref="B3387" ca="1">interpolexp(A3387,serie_du,Taxas_DI)</f>
        <v>0.12304000927396697</v>
      </c>
      <c r="C3387" s="37">
        <f t="shared" ca="1" si="157"/>
        <v>4.754839805500783</v>
      </c>
      <c r="D3387" s="36">
        <f t="shared" ca="1" si="159"/>
        <v>0.12303989397537096</v>
      </c>
      <c r="E3387" s="32">
        <v>0.12012999316604045</v>
      </c>
      <c r="F3387" s="35">
        <f t="shared" ca="1" si="158"/>
        <v>2.9100161079265163E-3</v>
      </c>
    </row>
    <row r="3388" spans="1:6" x14ac:dyDescent="0.25">
      <c r="A3388" s="23">
        <v>3387</v>
      </c>
      <c r="B3388" s="7" cm="1">
        <f t="array" aca="1" ref="B3388" ca="1">interpolexp(A3388,serie_du,Taxas_DI)</f>
        <v>0.12304000923992753</v>
      </c>
      <c r="C3388" s="37">
        <f t="shared" ca="1" si="157"/>
        <v>4.7570297850929775</v>
      </c>
      <c r="D3388" s="36">
        <f t="shared" ca="1" si="159"/>
        <v>0.12303989398230208</v>
      </c>
      <c r="E3388" s="32">
        <v>0.12012999329300555</v>
      </c>
      <c r="F3388" s="35">
        <f t="shared" ca="1" si="158"/>
        <v>2.9100159469219733E-3</v>
      </c>
    </row>
    <row r="3389" spans="1:6" x14ac:dyDescent="0.25">
      <c r="A3389" s="23">
        <v>3388</v>
      </c>
      <c r="B3389" s="7" cm="1">
        <f t="array" aca="1" ref="B3389" ca="1">interpolexp(A3389,serie_du,Taxas_DI)</f>
        <v>0.12304000920591029</v>
      </c>
      <c r="C3389" s="37">
        <f t="shared" ca="1" si="157"/>
        <v>4.7592207733440102</v>
      </c>
      <c r="D3389" s="36">
        <f t="shared" ca="1" si="159"/>
        <v>0.12303989398959692</v>
      </c>
      <c r="E3389" s="32">
        <v>0.12012999341990405</v>
      </c>
      <c r="F3389" s="35">
        <f t="shared" ca="1" si="158"/>
        <v>2.9100157860062481E-3</v>
      </c>
    </row>
    <row r="3390" spans="1:6" x14ac:dyDescent="0.25">
      <c r="A3390" s="23">
        <v>3389</v>
      </c>
      <c r="B3390" s="7" cm="1">
        <f t="array" aca="1" ref="B3390" ca="1">interpolexp(A3390,serie_du,Taxas_DI)</f>
        <v>0.12304000917189306</v>
      </c>
      <c r="C3390" s="37">
        <f t="shared" ca="1" si="157"/>
        <v>4.7614127707171816</v>
      </c>
      <c r="D3390" s="36">
        <f t="shared" ca="1" si="159"/>
        <v>0.12303989392157133</v>
      </c>
      <c r="E3390" s="32">
        <v>0.12012999354671372</v>
      </c>
      <c r="F3390" s="35">
        <f t="shared" ca="1" si="158"/>
        <v>2.9100156251793408E-3</v>
      </c>
    </row>
    <row r="3391" spans="1:6" x14ac:dyDescent="0.25">
      <c r="A3391" s="23">
        <v>3390</v>
      </c>
      <c r="B3391" s="7" cm="1">
        <f t="array" aca="1" ref="B3391" ca="1">interpolexp(A3391,serie_du,Taxas_DI)</f>
        <v>0.12304000913792024</v>
      </c>
      <c r="C3391" s="37">
        <f t="shared" ca="1" si="157"/>
        <v>4.7636057776798051</v>
      </c>
      <c r="D3391" s="36">
        <f t="shared" ca="1" si="159"/>
        <v>0.12303989400403648</v>
      </c>
      <c r="E3391" s="32">
        <v>0.12012999367345678</v>
      </c>
      <c r="F3391" s="35">
        <f t="shared" ca="1" si="158"/>
        <v>2.9100154644634557E-3</v>
      </c>
    </row>
    <row r="3392" spans="1:6" x14ac:dyDescent="0.25">
      <c r="A3392" s="23">
        <v>3391</v>
      </c>
      <c r="B3392" s="7" cm="1">
        <f t="array" aca="1" ref="B3392" ca="1">interpolexp(A3392,serie_du,Taxas_DI)</f>
        <v>0.12304000910394741</v>
      </c>
      <c r="C3392" s="37">
        <f t="shared" ca="1" si="157"/>
        <v>4.7657997946943427</v>
      </c>
      <c r="D3392" s="36">
        <f t="shared" ca="1" si="159"/>
        <v>0.12303989393601267</v>
      </c>
      <c r="E3392" s="32">
        <v>0.12012999380013323</v>
      </c>
      <c r="F3392" s="35">
        <f t="shared" ca="1" si="158"/>
        <v>2.9100153038141841E-3</v>
      </c>
    </row>
    <row r="3393" spans="1:6" x14ac:dyDescent="0.25">
      <c r="A3393" s="23">
        <v>3392</v>
      </c>
      <c r="B3393" s="7" cm="1">
        <f t="array" aca="1" ref="B3393" ca="1">interpolexp(A3393,serie_du,Taxas_DI)</f>
        <v>0.123040009070019</v>
      </c>
      <c r="C3393" s="37">
        <f t="shared" ca="1" si="157"/>
        <v>4.7679948222285446</v>
      </c>
      <c r="D3393" s="36">
        <f t="shared" ca="1" si="159"/>
        <v>0.1230398940188604</v>
      </c>
      <c r="E3393" s="32">
        <v>0.12012999392672086</v>
      </c>
      <c r="F3393" s="35">
        <f t="shared" ca="1" si="158"/>
        <v>2.9100151432981392E-3</v>
      </c>
    </row>
    <row r="3394" spans="1:6" x14ac:dyDescent="0.25">
      <c r="A3394" s="23">
        <v>3393</v>
      </c>
      <c r="B3394" s="7" cm="1">
        <f t="array" aca="1" ref="B3394" ca="1">interpolexp(A3394,serie_du,Taxas_DI)</f>
        <v>0.12304000903609058</v>
      </c>
      <c r="C3394" s="37">
        <f t="shared" ref="C3394:C3457" ca="1" si="160">(1+B3394)^(A3394/252)</f>
        <v>4.7701908607452923</v>
      </c>
      <c r="D3394" s="36">
        <f t="shared" ca="1" si="159"/>
        <v>0.12303989395083437</v>
      </c>
      <c r="E3394" s="32">
        <v>0.12012999405324187</v>
      </c>
      <c r="F3394" s="35">
        <f t="shared" ref="F3394:F3457" ca="1" si="161">B3394-E3394</f>
        <v>2.9100149828487076E-3</v>
      </c>
    </row>
    <row r="3395" spans="1:6" x14ac:dyDescent="0.25">
      <c r="A3395" s="23">
        <v>3394</v>
      </c>
      <c r="B3395" s="7" cm="1">
        <f t="array" aca="1" ref="B3395" ca="1">interpolexp(A3395,serie_du,Taxas_DI)</f>
        <v>0.12304000900218437</v>
      </c>
      <c r="C3395" s="37">
        <f t="shared" ca="1" si="160"/>
        <v>4.7723879107114993</v>
      </c>
      <c r="D3395" s="36">
        <f t="shared" ca="1" si="159"/>
        <v>0.12303989395848025</v>
      </c>
      <c r="E3395" s="32">
        <v>0.12012999417969628</v>
      </c>
      <c r="F3395" s="35">
        <f t="shared" ca="1" si="161"/>
        <v>2.910014822488094E-3</v>
      </c>
    </row>
    <row r="3396" spans="1:6" x14ac:dyDescent="0.25">
      <c r="A3396" s="23">
        <v>3395</v>
      </c>
      <c r="B3396" s="7" cm="1">
        <f t="array" aca="1" ref="B3396" ca="1">interpolexp(A3396,serie_du,Taxas_DI)</f>
        <v>0.12304000896832257</v>
      </c>
      <c r="C3396" s="37">
        <f t="shared" ca="1" si="160"/>
        <v>4.7745859725942861</v>
      </c>
      <c r="D3396" s="36">
        <f t="shared" ref="D3396:D3459" ca="1" si="162">((((1+B3396)^(A3396/252))/((1+B3395)^(A3395/252)))^(252/1))-1</f>
        <v>0.1230398940413282</v>
      </c>
      <c r="E3396" s="32">
        <v>0.12012999430606186</v>
      </c>
      <c r="F3396" s="35">
        <f t="shared" ca="1" si="161"/>
        <v>2.910014662260707E-3</v>
      </c>
    </row>
    <row r="3397" spans="1:6" x14ac:dyDescent="0.25">
      <c r="A3397" s="23">
        <v>3396</v>
      </c>
      <c r="B3397" s="7" cm="1">
        <f t="array" aca="1" ref="B3397" ca="1">interpolexp(A3397,serie_du,Taxas_DI)</f>
        <v>0.12304000893446077</v>
      </c>
      <c r="C3397" s="37">
        <f t="shared" ca="1" si="160"/>
        <v>4.7767850468571806</v>
      </c>
      <c r="D3397" s="36">
        <f t="shared" ca="1" si="162"/>
        <v>0.1230398939736157</v>
      </c>
      <c r="E3397" s="32">
        <v>0.12012999443236083</v>
      </c>
      <c r="F3397" s="35">
        <f t="shared" ca="1" si="161"/>
        <v>2.9100145020999335E-3</v>
      </c>
    </row>
    <row r="3398" spans="1:6" x14ac:dyDescent="0.25">
      <c r="A3398" s="23">
        <v>3397</v>
      </c>
      <c r="B3398" s="7" cm="1">
        <f t="array" aca="1" ref="B3398" ca="1">interpolexp(A3398,serie_du,Taxas_DI)</f>
        <v>0.12304000890062117</v>
      </c>
      <c r="C3398" s="37">
        <f t="shared" ca="1" si="160"/>
        <v>4.7789851339677361</v>
      </c>
      <c r="D3398" s="36">
        <f t="shared" ca="1" si="162"/>
        <v>0.12303989398136572</v>
      </c>
      <c r="E3398" s="32">
        <v>0.12012999455857098</v>
      </c>
      <c r="F3398" s="35">
        <f t="shared" ca="1" si="161"/>
        <v>2.9100143420501823E-3</v>
      </c>
    </row>
    <row r="3399" spans="1:6" x14ac:dyDescent="0.25">
      <c r="A3399" s="23">
        <v>3398</v>
      </c>
      <c r="B3399" s="7" cm="1">
        <f t="array" aca="1" ref="B3399" ca="1">interpolexp(A3399,serie_du,Taxas_DI)</f>
        <v>0.12304000886678157</v>
      </c>
      <c r="C3399" s="37">
        <f t="shared" ca="1" si="160"/>
        <v>4.7811862343911766</v>
      </c>
      <c r="D3399" s="36">
        <f t="shared" ca="1" si="162"/>
        <v>0.12303989391371695</v>
      </c>
      <c r="E3399" s="32">
        <v>0.12012999468473673</v>
      </c>
      <c r="F3399" s="35">
        <f t="shared" ca="1" si="161"/>
        <v>2.91001418204484E-3</v>
      </c>
    </row>
    <row r="3400" spans="1:6" x14ac:dyDescent="0.25">
      <c r="A3400" s="23">
        <v>3399</v>
      </c>
      <c r="B3400" s="7" cm="1">
        <f t="array" aca="1" ref="B3400" ca="1">interpolexp(A3400,serie_du,Taxas_DI)</f>
        <v>0.12304000883298638</v>
      </c>
      <c r="C3400" s="37">
        <f t="shared" ca="1" si="160"/>
        <v>4.7833883485967608</v>
      </c>
      <c r="D3400" s="36">
        <f t="shared" ca="1" si="162"/>
        <v>0.12303989399692927</v>
      </c>
      <c r="E3400" s="32">
        <v>0.12012999481079145</v>
      </c>
      <c r="F3400" s="35">
        <f t="shared" ca="1" si="161"/>
        <v>2.9100140221949289E-3</v>
      </c>
    </row>
    <row r="3401" spans="1:6" x14ac:dyDescent="0.25">
      <c r="A3401" s="23">
        <v>3400</v>
      </c>
      <c r="B3401" s="7" cm="1">
        <f t="array" aca="1" ref="B3401" ca="1">interpolexp(A3401,serie_du,Taxas_DI)</f>
        <v>0.1230400087992134</v>
      </c>
      <c r="C3401" s="37">
        <f t="shared" ca="1" si="160"/>
        <v>4.7855914770501453</v>
      </c>
      <c r="D3401" s="36">
        <f t="shared" ca="1" si="162"/>
        <v>0.12303989400491466</v>
      </c>
      <c r="E3401" s="32">
        <v>0.12012999493680176</v>
      </c>
      <c r="F3401" s="35">
        <f t="shared" ca="1" si="161"/>
        <v>2.9100138624116312E-3</v>
      </c>
    </row>
    <row r="3402" spans="1:6" x14ac:dyDescent="0.25">
      <c r="A3402" s="23">
        <v>3401</v>
      </c>
      <c r="B3402" s="7" cm="1">
        <f t="array" aca="1" ref="B3402" ca="1">interpolexp(A3402,serie_du,Taxas_DI)</f>
        <v>0.12304000876544041</v>
      </c>
      <c r="C3402" s="37">
        <f t="shared" ca="1" si="160"/>
        <v>4.7877956202171914</v>
      </c>
      <c r="D3402" s="36">
        <f t="shared" ca="1" si="162"/>
        <v>0.12303989393726411</v>
      </c>
      <c r="E3402" s="32">
        <v>0.12012999506272326</v>
      </c>
      <c r="F3402" s="35">
        <f t="shared" ca="1" si="161"/>
        <v>2.9100137027171513E-3</v>
      </c>
    </row>
    <row r="3403" spans="1:6" x14ac:dyDescent="0.25">
      <c r="A3403" s="23">
        <v>3402</v>
      </c>
      <c r="B3403" s="7" cm="1">
        <f t="array" aca="1" ref="B3403" ca="1">interpolexp(A3403,serie_du,Taxas_DI)</f>
        <v>0.12304000873171184</v>
      </c>
      <c r="C3403" s="37">
        <f t="shared" ca="1" si="160"/>
        <v>4.7900007785678147</v>
      </c>
      <c r="D3403" s="36">
        <f t="shared" ca="1" si="162"/>
        <v>0.12303989402086368</v>
      </c>
      <c r="E3403" s="32">
        <v>0.12012999518857814</v>
      </c>
      <c r="F3403" s="35">
        <f t="shared" ca="1" si="161"/>
        <v>2.9100135431336938E-3</v>
      </c>
    </row>
    <row r="3404" spans="1:6" x14ac:dyDescent="0.25">
      <c r="A3404" s="23">
        <v>3403</v>
      </c>
      <c r="B3404" s="7" cm="1">
        <f t="array" aca="1" ref="B3404" ca="1">interpolexp(A3404,serie_du,Taxas_DI)</f>
        <v>0.12304000869798326</v>
      </c>
      <c r="C3404" s="37">
        <f t="shared" ca="1" si="160"/>
        <v>4.7922069525670308</v>
      </c>
      <c r="D3404" s="36">
        <f t="shared" ca="1" si="162"/>
        <v>0.12303989395340098</v>
      </c>
      <c r="E3404" s="32">
        <v>0.12012999531434421</v>
      </c>
      <c r="F3404" s="35">
        <f t="shared" ca="1" si="161"/>
        <v>2.910013383639054E-3</v>
      </c>
    </row>
    <row r="3405" spans="1:6" x14ac:dyDescent="0.25">
      <c r="A3405" s="23">
        <v>3404</v>
      </c>
      <c r="B3405" s="7" cm="1">
        <f t="array" aca="1" ref="B3405" ca="1">interpolexp(A3405,serie_du,Taxas_DI)</f>
        <v>0.12304000866427689</v>
      </c>
      <c r="C3405" s="37">
        <f t="shared" ca="1" si="160"/>
        <v>4.7944141426839035</v>
      </c>
      <c r="D3405" s="36">
        <f t="shared" ca="1" si="162"/>
        <v>0.12303989396143278</v>
      </c>
      <c r="E3405" s="32">
        <v>0.12012999544006586</v>
      </c>
      <c r="F3405" s="35">
        <f t="shared" ca="1" si="161"/>
        <v>2.9100132242110277E-3</v>
      </c>
    </row>
    <row r="3406" spans="1:6" x14ac:dyDescent="0.25">
      <c r="A3406" s="23">
        <v>3405</v>
      </c>
      <c r="B3406" s="7" cm="1">
        <f t="array" aca="1" ref="B3406" ca="1">interpolexp(A3406,serie_du,Taxas_DI)</f>
        <v>0.12304000863059272</v>
      </c>
      <c r="C3406" s="37">
        <f t="shared" ca="1" si="160"/>
        <v>4.7966223493864399</v>
      </c>
      <c r="D3406" s="36">
        <f t="shared" ca="1" si="162"/>
        <v>0.12303989396972814</v>
      </c>
      <c r="E3406" s="32">
        <v>0.1201299955656765</v>
      </c>
      <c r="F3406" s="35">
        <f t="shared" ca="1" si="161"/>
        <v>2.9100130649162281E-3</v>
      </c>
    </row>
    <row r="3407" spans="1:6" x14ac:dyDescent="0.25">
      <c r="A3407" s="23">
        <v>3406</v>
      </c>
      <c r="B3407" s="7" cm="1">
        <f t="array" aca="1" ref="B3407" ca="1">interpolexp(A3407,serie_du,Taxas_DI)</f>
        <v>0.12304000859693076</v>
      </c>
      <c r="C3407" s="37">
        <f t="shared" ca="1" si="160"/>
        <v>4.7988315731428557</v>
      </c>
      <c r="D3407" s="36">
        <f t="shared" ca="1" si="162"/>
        <v>0.12303989397788051</v>
      </c>
      <c r="E3407" s="32">
        <v>0.12012999569124272</v>
      </c>
      <c r="F3407" s="35">
        <f t="shared" ca="1" si="161"/>
        <v>2.9100129056880419E-3</v>
      </c>
    </row>
    <row r="3408" spans="1:6" x14ac:dyDescent="0.25">
      <c r="A3408" s="23">
        <v>3407</v>
      </c>
      <c r="B3408" s="7" cm="1">
        <f t="array" aca="1" ref="B3408" ca="1">interpolexp(A3408,serie_du,Taxas_DI)</f>
        <v>0.123040008563291</v>
      </c>
      <c r="C3408" s="37">
        <f t="shared" ca="1" si="160"/>
        <v>4.8010418144215903</v>
      </c>
      <c r="D3408" s="36">
        <f t="shared" ca="1" si="162"/>
        <v>0.12303989398639503</v>
      </c>
      <c r="E3408" s="32">
        <v>0.12012999581672013</v>
      </c>
      <c r="F3408" s="35">
        <f t="shared" ca="1" si="161"/>
        <v>2.9100127465708781E-3</v>
      </c>
    </row>
    <row r="3409" spans="1:6" x14ac:dyDescent="0.25">
      <c r="A3409" s="23">
        <v>3408</v>
      </c>
      <c r="B3409" s="7" cm="1">
        <f t="array" aca="1" ref="B3409" ca="1">interpolexp(A3409,serie_du,Taxas_DI)</f>
        <v>0.12304000852967345</v>
      </c>
      <c r="C3409" s="37">
        <f t="shared" ca="1" si="160"/>
        <v>4.8032530736912884</v>
      </c>
      <c r="D3409" s="36">
        <f t="shared" ca="1" si="162"/>
        <v>0.12303989399455073</v>
      </c>
      <c r="E3409" s="32">
        <v>0.12012999594213092</v>
      </c>
      <c r="F3409" s="35">
        <f t="shared" ca="1" si="161"/>
        <v>2.910012587542532E-3</v>
      </c>
    </row>
    <row r="3410" spans="1:6" x14ac:dyDescent="0.25">
      <c r="A3410" s="23">
        <v>3409</v>
      </c>
      <c r="B3410" s="7" cm="1">
        <f t="array" aca="1" ref="B3410" ca="1">interpolexp(A3410,serie_du,Taxas_DI)</f>
        <v>0.1230400084960781</v>
      </c>
      <c r="C3410" s="37">
        <f t="shared" ca="1" si="160"/>
        <v>4.8054653514208239</v>
      </c>
      <c r="D3410" s="36">
        <f t="shared" ca="1" si="162"/>
        <v>0.12303989400322157</v>
      </c>
      <c r="E3410" s="32">
        <v>0.1201299960674751</v>
      </c>
      <c r="F3410" s="35">
        <f t="shared" ca="1" si="161"/>
        <v>2.9100124286030038E-3</v>
      </c>
    </row>
    <row r="3411" spans="1:6" x14ac:dyDescent="0.25">
      <c r="A3411" s="23">
        <v>3410</v>
      </c>
      <c r="B3411" s="7" cm="1">
        <f t="array" aca="1" ref="B3411" ca="1">interpolexp(A3411,serie_du,Taxas_DI)</f>
        <v>0.12304000846248275</v>
      </c>
      <c r="C3411" s="37">
        <f t="shared" ca="1" si="160"/>
        <v>4.8076786480779861</v>
      </c>
      <c r="D3411" s="36">
        <f t="shared" ca="1" si="162"/>
        <v>0.12303989393588854</v>
      </c>
      <c r="E3411" s="32">
        <v>0.12012999619273046</v>
      </c>
      <c r="F3411" s="35">
        <f t="shared" ca="1" si="161"/>
        <v>2.9100122697522934E-3</v>
      </c>
    </row>
    <row r="3412" spans="1:6" x14ac:dyDescent="0.25">
      <c r="A3412" s="23">
        <v>3411</v>
      </c>
      <c r="B3412" s="7" cm="1">
        <f t="array" aca="1" ref="B3412" ca="1">interpolexp(A3412,serie_du,Taxas_DI)</f>
        <v>0.12304000842893181</v>
      </c>
      <c r="C3412" s="37">
        <f t="shared" ca="1" si="160"/>
        <v>4.8098929641346508</v>
      </c>
      <c r="D3412" s="36">
        <f t="shared" ca="1" si="162"/>
        <v>0.12303989402029814</v>
      </c>
      <c r="E3412" s="32">
        <v>0.12012999631791921</v>
      </c>
      <c r="F3412" s="35">
        <f t="shared" ca="1" si="161"/>
        <v>2.9100121110126054E-3</v>
      </c>
    </row>
    <row r="3413" spans="1:6" x14ac:dyDescent="0.25">
      <c r="A3413" s="23">
        <v>3412</v>
      </c>
      <c r="B3413" s="7" cm="1">
        <f t="array" aca="1" ref="B3413" ca="1">interpolexp(A3413,serie_du,Taxas_DI)</f>
        <v>0.12304000839538087</v>
      </c>
      <c r="C3413" s="37">
        <f t="shared" ca="1" si="160"/>
        <v>4.8121083000577549</v>
      </c>
      <c r="D3413" s="36">
        <f t="shared" ca="1" si="162"/>
        <v>0.12303989395308923</v>
      </c>
      <c r="E3413" s="32">
        <v>0.12012999644304134</v>
      </c>
      <c r="F3413" s="35">
        <f t="shared" ca="1" si="161"/>
        <v>2.9100119523395307E-3</v>
      </c>
    </row>
    <row r="3414" spans="1:6" x14ac:dyDescent="0.25">
      <c r="A3414" s="23">
        <v>3413</v>
      </c>
      <c r="B3414" s="7" cm="1">
        <f t="array" aca="1" ref="B3414" ca="1">interpolexp(A3414,serie_du,Taxas_DI)</f>
        <v>0.12304000836185214</v>
      </c>
      <c r="C3414" s="37">
        <f t="shared" ca="1" si="160"/>
        <v>4.8143246563183189</v>
      </c>
      <c r="D3414" s="36">
        <f t="shared" ca="1" si="162"/>
        <v>0.1230398939618067</v>
      </c>
      <c r="E3414" s="32">
        <v>0.12012999656807466</v>
      </c>
      <c r="F3414" s="35">
        <f t="shared" ca="1" si="161"/>
        <v>2.9100117937774783E-3</v>
      </c>
    </row>
    <row r="3415" spans="1:6" x14ac:dyDescent="0.25">
      <c r="A3415" s="23">
        <v>3414</v>
      </c>
      <c r="B3415" s="7" cm="1">
        <f t="array" aca="1" ref="B3415" ca="1">interpolexp(A3415,serie_du,Taxas_DI)</f>
        <v>0.12304000832834561</v>
      </c>
      <c r="C3415" s="37">
        <f t="shared" ca="1" si="160"/>
        <v>4.8165420333862876</v>
      </c>
      <c r="D3415" s="36">
        <f t="shared" ca="1" si="162"/>
        <v>0.12303989397053972</v>
      </c>
      <c r="E3415" s="32">
        <v>0.12012999669304136</v>
      </c>
      <c r="F3415" s="35">
        <f t="shared" ca="1" si="161"/>
        <v>2.9100116353042438E-3</v>
      </c>
    </row>
    <row r="3416" spans="1:6" x14ac:dyDescent="0.25">
      <c r="A3416" s="23">
        <v>3415</v>
      </c>
      <c r="B3416" s="7" cm="1">
        <f t="array" aca="1" ref="B3416" ca="1">interpolexp(A3416,serie_du,Taxas_DI)</f>
        <v>0.12304000829486128</v>
      </c>
      <c r="C3416" s="37">
        <f t="shared" ca="1" si="160"/>
        <v>4.8187604317318273</v>
      </c>
      <c r="D3416" s="36">
        <f t="shared" ca="1" si="162"/>
        <v>0.12303989397941706</v>
      </c>
      <c r="E3416" s="32">
        <v>0.12012999681794145</v>
      </c>
      <c r="F3416" s="35">
        <f t="shared" ca="1" si="161"/>
        <v>2.9100114769198271E-3</v>
      </c>
    </row>
    <row r="3417" spans="1:6" x14ac:dyDescent="0.25">
      <c r="A3417" s="23">
        <v>3416</v>
      </c>
      <c r="B3417" s="7" cm="1">
        <f t="array" aca="1" ref="B3417" ca="1">interpolexp(A3417,serie_du,Taxas_DI)</f>
        <v>0.12304000826139916</v>
      </c>
      <c r="C3417" s="37">
        <f t="shared" ca="1" si="160"/>
        <v>4.8209798518253146</v>
      </c>
      <c r="D3417" s="36">
        <f t="shared" ca="1" si="162"/>
        <v>0.12303989398821202</v>
      </c>
      <c r="E3417" s="32">
        <v>0.12012999694275273</v>
      </c>
      <c r="F3417" s="35">
        <f t="shared" ca="1" si="161"/>
        <v>2.9100113186464327E-3</v>
      </c>
    </row>
    <row r="3418" spans="1:6" x14ac:dyDescent="0.25">
      <c r="A3418" s="23">
        <v>3417</v>
      </c>
      <c r="B3418" s="7" cm="1">
        <f t="array" aca="1" ref="B3418" ca="1">interpolexp(A3418,serie_du,Taxas_DI)</f>
        <v>0.12304000822795924</v>
      </c>
      <c r="C3418" s="37">
        <f t="shared" ca="1" si="160"/>
        <v>4.8232002941373509</v>
      </c>
      <c r="D3418" s="36">
        <f t="shared" ca="1" si="162"/>
        <v>0.12303989399725435</v>
      </c>
      <c r="E3418" s="32">
        <v>0.12012999706749738</v>
      </c>
      <c r="F3418" s="35">
        <f t="shared" ca="1" si="161"/>
        <v>2.9100111604618562E-3</v>
      </c>
    </row>
    <row r="3419" spans="1:6" x14ac:dyDescent="0.25">
      <c r="A3419" s="23">
        <v>3418</v>
      </c>
      <c r="B3419" s="7" cm="1">
        <f t="array" aca="1" ref="B3419" ca="1">interpolexp(A3419,serie_du,Taxas_DI)</f>
        <v>0.12304000819451932</v>
      </c>
      <c r="C3419" s="37">
        <f t="shared" ca="1" si="160"/>
        <v>4.8254217591374537</v>
      </c>
      <c r="D3419" s="36">
        <f t="shared" ca="1" si="162"/>
        <v>0.12303989393035253</v>
      </c>
      <c r="E3419" s="32">
        <v>0.12012999719217543</v>
      </c>
      <c r="F3419" s="35">
        <f t="shared" ca="1" si="161"/>
        <v>2.910011002343893E-3</v>
      </c>
    </row>
    <row r="3420" spans="1:6" x14ac:dyDescent="0.25">
      <c r="A3420" s="23">
        <v>3419</v>
      </c>
      <c r="B3420" s="7" cm="1">
        <f t="array" aca="1" ref="B3420" ca="1">interpolexp(A3420,serie_du,Taxas_DI)</f>
        <v>0.12304000816112382</v>
      </c>
      <c r="C3420" s="37">
        <f t="shared" ca="1" si="160"/>
        <v>4.8276442472992391</v>
      </c>
      <c r="D3420" s="36">
        <f t="shared" ca="1" si="162"/>
        <v>0.12303989401520332</v>
      </c>
      <c r="E3420" s="32">
        <v>0.12012999731678686</v>
      </c>
      <c r="F3420" s="35">
        <f t="shared" ca="1" si="161"/>
        <v>2.9100108443369521E-3</v>
      </c>
    </row>
    <row r="3421" spans="1:6" x14ac:dyDescent="0.25">
      <c r="A3421" s="23">
        <v>3420</v>
      </c>
      <c r="B3421" s="7" cm="1">
        <f t="array" aca="1" ref="B3421" ca="1">interpolexp(A3421,serie_du,Taxas_DI)</f>
        <v>0.12304000812772831</v>
      </c>
      <c r="C3421" s="37">
        <f t="shared" ca="1" si="160"/>
        <v>4.8298677590913686</v>
      </c>
      <c r="D3421" s="36">
        <f t="shared" ca="1" si="162"/>
        <v>0.12303989394849757</v>
      </c>
      <c r="E3421" s="32">
        <v>0.12012999744130948</v>
      </c>
      <c r="F3421" s="35">
        <f t="shared" ca="1" si="161"/>
        <v>2.9100106864188291E-3</v>
      </c>
    </row>
    <row r="3422" spans="1:6" x14ac:dyDescent="0.25">
      <c r="A3422" s="23">
        <v>3421</v>
      </c>
      <c r="B3422" s="7" cm="1">
        <f t="array" aca="1" ref="B3422" ca="1">interpolexp(A3422,serie_du,Taxas_DI)</f>
        <v>0.123040008094355</v>
      </c>
      <c r="C3422" s="37">
        <f t="shared" ca="1" si="160"/>
        <v>4.832092294986599</v>
      </c>
      <c r="D3422" s="36">
        <f t="shared" ca="1" si="162"/>
        <v>0.12303989395766557</v>
      </c>
      <c r="E3422" s="32">
        <v>0.12012999756576548</v>
      </c>
      <c r="F3422" s="35">
        <f t="shared" ca="1" si="161"/>
        <v>2.9100105285895239E-3</v>
      </c>
    </row>
    <row r="3423" spans="1:6" x14ac:dyDescent="0.25">
      <c r="A3423" s="23">
        <v>3422</v>
      </c>
      <c r="B3423" s="7" cm="1">
        <f t="array" aca="1" ref="B3423" ca="1">interpolexp(A3423,serie_du,Taxas_DI)</f>
        <v>0.12304000806102611</v>
      </c>
      <c r="C3423" s="37">
        <f t="shared" ca="1" si="160"/>
        <v>4.8343178554579103</v>
      </c>
      <c r="D3423" s="36">
        <f t="shared" ca="1" si="162"/>
        <v>0.12303989404289539</v>
      </c>
      <c r="E3423" s="32">
        <v>0.12012999769015487</v>
      </c>
      <c r="F3423" s="35">
        <f t="shared" ca="1" si="161"/>
        <v>2.910010370871241E-3</v>
      </c>
    </row>
    <row r="3424" spans="1:6" x14ac:dyDescent="0.25">
      <c r="A3424" s="23">
        <v>3423</v>
      </c>
      <c r="B3424" s="7" cm="1">
        <f t="array" aca="1" ref="B3424" ca="1">interpolexp(A3424,serie_du,Taxas_DI)</f>
        <v>0.12304000802769721</v>
      </c>
      <c r="C3424" s="37">
        <f t="shared" ca="1" si="160"/>
        <v>4.836544440974607</v>
      </c>
      <c r="D3424" s="36">
        <f t="shared" ca="1" si="162"/>
        <v>0.12303989397625492</v>
      </c>
      <c r="E3424" s="32">
        <v>0.12012999781447764</v>
      </c>
      <c r="F3424" s="35">
        <f t="shared" ca="1" si="161"/>
        <v>2.9100102132195715E-3</v>
      </c>
    </row>
    <row r="3425" spans="1:6" x14ac:dyDescent="0.25">
      <c r="A3425" s="23">
        <v>3424</v>
      </c>
      <c r="B3425" s="7" cm="1">
        <f t="array" aca="1" ref="B3425" ca="1">interpolexp(A3425,serie_du,Taxas_DI)</f>
        <v>0.12304000799439052</v>
      </c>
      <c r="C3425" s="37">
        <f t="shared" ca="1" si="160"/>
        <v>4.8387720520101007</v>
      </c>
      <c r="D3425" s="36">
        <f t="shared" ca="1" si="162"/>
        <v>0.12303989398558457</v>
      </c>
      <c r="E3425" s="32">
        <v>0.1201299979387116</v>
      </c>
      <c r="F3425" s="35">
        <f t="shared" ca="1" si="161"/>
        <v>2.9100100556789243E-3</v>
      </c>
    </row>
    <row r="3426" spans="1:6" x14ac:dyDescent="0.25">
      <c r="A3426" s="23">
        <v>3425</v>
      </c>
      <c r="B3426" s="7" cm="1">
        <f t="array" aca="1" ref="B3426" ca="1">interpolexp(A3426,serie_du,Taxas_DI)</f>
        <v>0.12304000796108383</v>
      </c>
      <c r="C3426" s="37">
        <f t="shared" ca="1" si="160"/>
        <v>4.8410006890354271</v>
      </c>
      <c r="D3426" s="36">
        <f t="shared" ca="1" si="162"/>
        <v>0.123039893919062</v>
      </c>
      <c r="E3426" s="32">
        <v>0.12012999806287894</v>
      </c>
      <c r="F3426" s="35">
        <f t="shared" ca="1" si="161"/>
        <v>2.9100098982048905E-3</v>
      </c>
    </row>
    <row r="3427" spans="1:6" x14ac:dyDescent="0.25">
      <c r="A3427" s="23">
        <v>3426</v>
      </c>
      <c r="B3427" s="7" cm="1">
        <f t="array" aca="1" ref="B3427" ca="1">interpolexp(A3427,serie_du,Taxas_DI)</f>
        <v>0.12304000792782155</v>
      </c>
      <c r="C3427" s="37">
        <f t="shared" ca="1" si="160"/>
        <v>4.8432303525257359</v>
      </c>
      <c r="D3427" s="36">
        <f t="shared" ca="1" si="162"/>
        <v>0.12303989400447346</v>
      </c>
      <c r="E3427" s="32">
        <v>0.12012999818695747</v>
      </c>
      <c r="F3427" s="35">
        <f t="shared" ca="1" si="161"/>
        <v>2.9100097408640835E-3</v>
      </c>
    </row>
    <row r="3428" spans="1:6" x14ac:dyDescent="0.25">
      <c r="A3428" s="23">
        <v>3427</v>
      </c>
      <c r="B3428" s="7" cm="1">
        <f t="array" aca="1" ref="B3428" ca="1">interpolexp(A3428,serie_du,Taxas_DI)</f>
        <v>0.12304000789455927</v>
      </c>
      <c r="C3428" s="37">
        <f t="shared" ca="1" si="160"/>
        <v>4.845461042951194</v>
      </c>
      <c r="D3428" s="36">
        <f t="shared" ca="1" si="162"/>
        <v>0.12303989393796311</v>
      </c>
      <c r="E3428" s="32">
        <v>0.12012999831099158</v>
      </c>
      <c r="F3428" s="35">
        <f t="shared" ca="1" si="161"/>
        <v>2.9100095835676854E-3</v>
      </c>
    </row>
    <row r="3429" spans="1:6" x14ac:dyDescent="0.25">
      <c r="A3429" s="23">
        <v>3428</v>
      </c>
      <c r="B3429" s="7" cm="1">
        <f t="array" aca="1" ref="B3429" ca="1">interpolexp(A3429,serie_du,Taxas_DI)</f>
        <v>0.12304000786134139</v>
      </c>
      <c r="C3429" s="37">
        <f t="shared" ca="1" si="160"/>
        <v>4.8476927607873943</v>
      </c>
      <c r="D3429" s="36">
        <f t="shared" ca="1" si="162"/>
        <v>0.12303989402375226</v>
      </c>
      <c r="E3429" s="32">
        <v>0.12012999843493688</v>
      </c>
      <c r="F3429" s="35">
        <f t="shared" ca="1" si="161"/>
        <v>2.910009426404514E-3</v>
      </c>
    </row>
    <row r="3430" spans="1:6" x14ac:dyDescent="0.25">
      <c r="A3430" s="23">
        <v>3429</v>
      </c>
      <c r="B3430" s="7" cm="1">
        <f t="array" aca="1" ref="B3430" ca="1">interpolexp(A3430,serie_du,Taxas_DI)</f>
        <v>0.12304000782812352</v>
      </c>
      <c r="C3430" s="37">
        <f t="shared" ca="1" si="160"/>
        <v>4.849925506504932</v>
      </c>
      <c r="D3430" s="36">
        <f t="shared" ca="1" si="162"/>
        <v>0.12303989395723058</v>
      </c>
      <c r="E3430" s="32">
        <v>0.12012999855881556</v>
      </c>
      <c r="F3430" s="35">
        <f t="shared" ca="1" si="161"/>
        <v>2.910009269307956E-3</v>
      </c>
    </row>
    <row r="3431" spans="1:6" x14ac:dyDescent="0.25">
      <c r="A3431" s="23">
        <v>3430</v>
      </c>
      <c r="B3431" s="7" cm="1">
        <f t="array" aca="1" ref="B3431" ca="1">interpolexp(A3431,serie_du,Taxas_DI)</f>
        <v>0.12304000779492785</v>
      </c>
      <c r="C3431" s="37">
        <f t="shared" ca="1" si="160"/>
        <v>4.8521592805785332</v>
      </c>
      <c r="D3431" s="36">
        <f t="shared" ca="1" si="162"/>
        <v>0.12303989396690129</v>
      </c>
      <c r="E3431" s="32">
        <v>0.12012999868262764</v>
      </c>
      <c r="F3431" s="35">
        <f t="shared" ca="1" si="161"/>
        <v>2.9100091123002159E-3</v>
      </c>
    </row>
    <row r="3432" spans="1:6" x14ac:dyDescent="0.25">
      <c r="A3432" s="23">
        <v>3431</v>
      </c>
      <c r="B3432" s="7" cm="1">
        <f t="array" aca="1" ref="B3432" ca="1">interpolexp(A3432,serie_du,Taxas_DI)</f>
        <v>0.12304000776175439</v>
      </c>
      <c r="C3432" s="37">
        <f t="shared" ca="1" si="160"/>
        <v>4.854394083481842</v>
      </c>
      <c r="D3432" s="36">
        <f t="shared" ca="1" si="162"/>
        <v>0.1230398939768782</v>
      </c>
      <c r="E3432" s="32">
        <v>0.12012999880635089</v>
      </c>
      <c r="F3432" s="35">
        <f t="shared" ca="1" si="161"/>
        <v>2.910008955403498E-3</v>
      </c>
    </row>
    <row r="3433" spans="1:6" x14ac:dyDescent="0.25">
      <c r="A3433" s="23">
        <v>3432</v>
      </c>
      <c r="B3433" s="7" cm="1">
        <f t="array" aca="1" ref="B3433" ca="1">interpolexp(A3433,serie_du,Taxas_DI)</f>
        <v>0.12304000772860313</v>
      </c>
      <c r="C3433" s="37">
        <f t="shared" ca="1" si="160"/>
        <v>4.8566299156887105</v>
      </c>
      <c r="D3433" s="36">
        <f t="shared" ca="1" si="162"/>
        <v>0.12303989398652071</v>
      </c>
      <c r="E3433" s="32">
        <v>0.12012999893000753</v>
      </c>
      <c r="F3433" s="35">
        <f t="shared" ca="1" si="161"/>
        <v>2.910008798595598E-3</v>
      </c>
    </row>
    <row r="3434" spans="1:6" x14ac:dyDescent="0.25">
      <c r="A3434" s="23">
        <v>3433</v>
      </c>
      <c r="B3434" s="7" cm="1">
        <f t="array" aca="1" ref="B3434" ca="1">interpolexp(A3434,serie_du,Taxas_DI)</f>
        <v>0.12304000769547407</v>
      </c>
      <c r="C3434" s="37">
        <f t="shared" ca="1" si="160"/>
        <v>4.8588667776732217</v>
      </c>
      <c r="D3434" s="36">
        <f t="shared" ca="1" si="162"/>
        <v>0.12303989399661774</v>
      </c>
      <c r="E3434" s="32">
        <v>0.12012999905359756</v>
      </c>
      <c r="F3434" s="35">
        <f t="shared" ca="1" si="161"/>
        <v>2.9100086418765159E-3</v>
      </c>
    </row>
    <row r="3435" spans="1:6" x14ac:dyDescent="0.25">
      <c r="A3435" s="23">
        <v>3434</v>
      </c>
      <c r="B3435" s="7" cm="1">
        <f t="array" aca="1" ref="B3435" ca="1">interpolexp(A3435,serie_du,Taxas_DI)</f>
        <v>0.12304000766234502</v>
      </c>
      <c r="C3435" s="37">
        <f t="shared" ca="1" si="160"/>
        <v>4.8611046699083573</v>
      </c>
      <c r="D3435" s="36">
        <f t="shared" ca="1" si="162"/>
        <v>0.12303989393022663</v>
      </c>
      <c r="E3435" s="32">
        <v>0.12012999917712097</v>
      </c>
      <c r="F3435" s="35">
        <f t="shared" ca="1" si="161"/>
        <v>2.9100084852240471E-3</v>
      </c>
    </row>
    <row r="3436" spans="1:6" x14ac:dyDescent="0.25">
      <c r="A3436" s="23">
        <v>3435</v>
      </c>
      <c r="B3436" s="7" cm="1">
        <f t="array" aca="1" ref="B3436" ca="1">interpolexp(A3436,serie_du,Taxas_DI)</f>
        <v>0.12304000762926037</v>
      </c>
      <c r="C3436" s="37">
        <f t="shared" ca="1" si="160"/>
        <v>4.863343592871253</v>
      </c>
      <c r="D3436" s="36">
        <f t="shared" ca="1" si="162"/>
        <v>0.12303989401664506</v>
      </c>
      <c r="E3436" s="32">
        <v>0.12012999930055557</v>
      </c>
      <c r="F3436" s="35">
        <f t="shared" ca="1" si="161"/>
        <v>2.9100083287048051E-3</v>
      </c>
    </row>
    <row r="3437" spans="1:6" x14ac:dyDescent="0.25">
      <c r="A3437" s="23">
        <v>3436</v>
      </c>
      <c r="B3437" s="7" cm="1">
        <f t="array" aca="1" ref="B3437" ca="1">interpolexp(A3437,serie_du,Taxas_DI)</f>
        <v>0.12304000759617573</v>
      </c>
      <c r="C3437" s="37">
        <f t="shared" ca="1" si="160"/>
        <v>4.8655835470340172</v>
      </c>
      <c r="D3437" s="36">
        <f t="shared" ca="1" si="162"/>
        <v>0.12303989395038806</v>
      </c>
      <c r="E3437" s="32">
        <v>0.12012999942392355</v>
      </c>
      <c r="F3437" s="35">
        <f t="shared" ca="1" si="161"/>
        <v>2.9100081722521765E-3</v>
      </c>
    </row>
    <row r="3438" spans="1:6" x14ac:dyDescent="0.25">
      <c r="A3438" s="23">
        <v>3437</v>
      </c>
      <c r="B3438" s="7" cm="1">
        <f t="array" aca="1" ref="B3438" ca="1">interpolexp(A3438,serie_du,Taxas_DI)</f>
        <v>0.12304000756311329</v>
      </c>
      <c r="C3438" s="37">
        <f t="shared" ca="1" si="160"/>
        <v>4.8678245328729135</v>
      </c>
      <c r="D3438" s="36">
        <f t="shared" ca="1" si="162"/>
        <v>0.12303989396061854</v>
      </c>
      <c r="E3438" s="32">
        <v>0.12012999954722492</v>
      </c>
      <c r="F3438" s="35">
        <f t="shared" ca="1" si="161"/>
        <v>2.9100080158883657E-3</v>
      </c>
    </row>
    <row r="3439" spans="1:6" x14ac:dyDescent="0.25">
      <c r="A3439" s="23">
        <v>3438</v>
      </c>
      <c r="B3439" s="7" cm="1">
        <f t="array" aca="1" ref="B3439" ca="1">interpolexp(A3439,serie_du,Taxas_DI)</f>
        <v>0.12304000753009525</v>
      </c>
      <c r="C3439" s="37">
        <f t="shared" ca="1" si="160"/>
        <v>4.8700665508644221</v>
      </c>
      <c r="D3439" s="36">
        <f t="shared" ca="1" si="162"/>
        <v>0.12303989404706717</v>
      </c>
      <c r="E3439" s="32">
        <v>0.12012999967045968</v>
      </c>
      <c r="F3439" s="35">
        <f t="shared" ca="1" si="161"/>
        <v>2.9100078596355772E-3</v>
      </c>
    </row>
    <row r="3440" spans="1:6" x14ac:dyDescent="0.25">
      <c r="A3440" s="23">
        <v>3439</v>
      </c>
      <c r="B3440" s="7" cm="1">
        <f t="array" aca="1" ref="B3440" ca="1">interpolexp(A3440,serie_du,Taxas_DI)</f>
        <v>0.12304000749707722</v>
      </c>
      <c r="C3440" s="37">
        <f t="shared" ca="1" si="160"/>
        <v>4.8723096014813088</v>
      </c>
      <c r="D3440" s="36">
        <f t="shared" ca="1" si="162"/>
        <v>0.1230398939811761</v>
      </c>
      <c r="E3440" s="32">
        <v>0.12012999979362782</v>
      </c>
      <c r="F3440" s="35">
        <f t="shared" ca="1" si="161"/>
        <v>2.9100077034494021E-3</v>
      </c>
    </row>
    <row r="3441" spans="1:6" x14ac:dyDescent="0.25">
      <c r="A3441" s="23">
        <v>3440</v>
      </c>
      <c r="B3441" s="7" cm="1">
        <f t="array" aca="1" ref="B3441" ca="1">interpolexp(A3441,serie_du,Taxas_DI)</f>
        <v>0.12304000746405919</v>
      </c>
      <c r="C3441" s="37">
        <f t="shared" ca="1" si="160"/>
        <v>4.8745536851991744</v>
      </c>
      <c r="D3441" s="36">
        <f t="shared" ca="1" si="162"/>
        <v>0.12303989391503101</v>
      </c>
      <c r="E3441" s="32">
        <v>0.12012999991670714</v>
      </c>
      <c r="F3441" s="35">
        <f t="shared" ca="1" si="161"/>
        <v>2.9100075473520448E-3</v>
      </c>
    </row>
    <row r="3442" spans="1:6" x14ac:dyDescent="0.25">
      <c r="A3442" s="23">
        <v>3441</v>
      </c>
      <c r="B3442" s="7" cm="1">
        <f t="array" aca="1" ref="B3442" ca="1">interpolexp(A3442,serie_du,Taxas_DI)</f>
        <v>0.12304000743108556</v>
      </c>
      <c r="C3442" s="37">
        <f t="shared" ca="1" si="160"/>
        <v>4.876798802496479</v>
      </c>
      <c r="D3442" s="36">
        <f t="shared" ca="1" si="162"/>
        <v>0.12303989400184601</v>
      </c>
      <c r="E3442" s="32">
        <v>0.12013000003971985</v>
      </c>
      <c r="F3442" s="35">
        <f t="shared" ca="1" si="161"/>
        <v>2.9100073913657099E-3</v>
      </c>
    </row>
    <row r="3443" spans="1:6" x14ac:dyDescent="0.25">
      <c r="A3443" s="23">
        <v>3442</v>
      </c>
      <c r="B3443" s="7" cm="1">
        <f t="array" aca="1" ref="B3443" ca="1">interpolexp(A3443,serie_du,Taxas_DI)</f>
        <v>0.12304000739811194</v>
      </c>
      <c r="C3443" s="37">
        <f t="shared" ca="1" si="160"/>
        <v>4.8790449538466341</v>
      </c>
      <c r="D3443" s="36">
        <f t="shared" ca="1" si="162"/>
        <v>0.12303989393582682</v>
      </c>
      <c r="E3443" s="32">
        <v>0.12013000016266595</v>
      </c>
      <c r="F3443" s="35">
        <f t="shared" ca="1" si="161"/>
        <v>2.9100072354459883E-3</v>
      </c>
    </row>
    <row r="3444" spans="1:6" x14ac:dyDescent="0.25">
      <c r="A3444" s="23">
        <v>3443</v>
      </c>
      <c r="B3444" s="7" cm="1">
        <f t="array" aca="1" ref="B3444" ca="1">interpolexp(A3444,serie_du,Taxas_DI)</f>
        <v>0.12304000736518272</v>
      </c>
      <c r="C3444" s="37">
        <f t="shared" ca="1" si="160"/>
        <v>4.8812921397285418</v>
      </c>
      <c r="D3444" s="36">
        <f t="shared" ca="1" si="162"/>
        <v>0.12303989402293802</v>
      </c>
      <c r="E3444" s="32">
        <v>0.12013000028552323</v>
      </c>
      <c r="F3444" s="35">
        <f t="shared" ca="1" si="161"/>
        <v>2.9100070796594935E-3</v>
      </c>
    </row>
    <row r="3445" spans="1:6" x14ac:dyDescent="0.25">
      <c r="A3445" s="23">
        <v>3444</v>
      </c>
      <c r="B3445" s="7" cm="1">
        <f t="array" aca="1" ref="B3445" ca="1">interpolexp(A3445,serie_du,Taxas_DI)</f>
        <v>0.12304000733225351</v>
      </c>
      <c r="C3445" s="37">
        <f t="shared" ca="1" si="160"/>
        <v>4.8835403606160446</v>
      </c>
      <c r="D3445" s="36">
        <f t="shared" ca="1" si="162"/>
        <v>0.12303989395685133</v>
      </c>
      <c r="E3445" s="32">
        <v>0.1201300004083361</v>
      </c>
      <c r="F3445" s="35">
        <f t="shared" ca="1" si="161"/>
        <v>2.9100069239174076E-3</v>
      </c>
    </row>
    <row r="3446" spans="1:6" x14ac:dyDescent="0.25">
      <c r="A3446" s="23">
        <v>3445</v>
      </c>
      <c r="B3446" s="7" cm="1">
        <f t="array" aca="1" ref="B3446" ca="1">interpolexp(A3446,serie_du,Taxas_DI)</f>
        <v>0.1230400072993465</v>
      </c>
      <c r="C3446" s="37">
        <f t="shared" ca="1" si="160"/>
        <v>4.8857896169871697</v>
      </c>
      <c r="D3446" s="36">
        <f t="shared" ca="1" si="162"/>
        <v>0.12303989396766224</v>
      </c>
      <c r="E3446" s="32">
        <v>0.12013000053106015</v>
      </c>
      <c r="F3446" s="35">
        <f t="shared" ca="1" si="161"/>
        <v>2.910006768286344E-3</v>
      </c>
    </row>
    <row r="3447" spans="1:6" x14ac:dyDescent="0.25">
      <c r="A3447" s="23">
        <v>3446</v>
      </c>
      <c r="B3447" s="7" cm="1">
        <f t="array" aca="1" ref="B3447" ca="1">interpolexp(A3447,serie_du,Taxas_DI)</f>
        <v>0.12304000726646169</v>
      </c>
      <c r="C3447" s="37">
        <f t="shared" ca="1" si="160"/>
        <v>4.888039909318838</v>
      </c>
      <c r="D3447" s="36">
        <f t="shared" ca="1" si="162"/>
        <v>0.12303989397832193</v>
      </c>
      <c r="E3447" s="32">
        <v>0.12013000065371759</v>
      </c>
      <c r="F3447" s="35">
        <f t="shared" ca="1" si="161"/>
        <v>2.9100066127440982E-3</v>
      </c>
    </row>
    <row r="3448" spans="1:6" x14ac:dyDescent="0.25">
      <c r="A3448" s="23">
        <v>3447</v>
      </c>
      <c r="B3448" s="7" cm="1">
        <f t="array" aca="1" ref="B3448" ca="1">interpolexp(A3448,serie_du,Taxas_DI)</f>
        <v>0.12304000723359909</v>
      </c>
      <c r="C3448" s="37">
        <f t="shared" ca="1" si="160"/>
        <v>4.8902912380881931</v>
      </c>
      <c r="D3448" s="36">
        <f t="shared" ca="1" si="162"/>
        <v>0.1230398939890982</v>
      </c>
      <c r="E3448" s="32">
        <v>0.12013000077630842</v>
      </c>
      <c r="F3448" s="35">
        <f t="shared" ca="1" si="161"/>
        <v>2.9100064572906703E-3</v>
      </c>
    </row>
    <row r="3449" spans="1:6" x14ac:dyDescent="0.25">
      <c r="A3449" s="23">
        <v>3448</v>
      </c>
      <c r="B3449" s="7" cm="1">
        <f t="array" aca="1" ref="B3449" ca="1">interpolexp(A3449,serie_du,Taxas_DI)</f>
        <v>0.12304000720075869</v>
      </c>
      <c r="C3449" s="37">
        <f t="shared" ca="1" si="160"/>
        <v>4.8925436037725962</v>
      </c>
      <c r="D3449" s="36">
        <f t="shared" ca="1" si="162"/>
        <v>0.12303989399988202</v>
      </c>
      <c r="E3449" s="32">
        <v>0.12013000089883263</v>
      </c>
      <c r="F3449" s="35">
        <f t="shared" ca="1" si="161"/>
        <v>2.9100063019260602E-3</v>
      </c>
    </row>
    <row r="3450" spans="1:6" x14ac:dyDescent="0.25">
      <c r="A3450" s="23">
        <v>3449</v>
      </c>
      <c r="B3450" s="7" cm="1">
        <f t="array" aca="1" ref="B3450" ca="1">interpolexp(A3450,serie_du,Taxas_DI)</f>
        <v>0.1230400071679183</v>
      </c>
      <c r="C3450" s="37">
        <f t="shared" ca="1" si="160"/>
        <v>4.8947970068483082</v>
      </c>
      <c r="D3450" s="36">
        <f t="shared" ca="1" si="162"/>
        <v>0.12303989393432113</v>
      </c>
      <c r="E3450" s="32">
        <v>0.12013000102126803</v>
      </c>
      <c r="F3450" s="35">
        <f t="shared" ca="1" si="161"/>
        <v>2.910006146650268E-3</v>
      </c>
    </row>
    <row r="3451" spans="1:6" x14ac:dyDescent="0.25">
      <c r="A3451" s="23">
        <v>3450</v>
      </c>
      <c r="B3451" s="7" cm="1">
        <f t="array" aca="1" ref="B3451" ca="1">interpolexp(A3451,serie_du,Taxas_DI)</f>
        <v>0.12304000713512231</v>
      </c>
      <c r="C3451" s="37">
        <f t="shared" ca="1" si="160"/>
        <v>4.8970514477957767</v>
      </c>
      <c r="D3451" s="36">
        <f t="shared" ca="1" si="162"/>
        <v>0.12303989402173965</v>
      </c>
      <c r="E3451" s="32">
        <v>0.12013000114363681</v>
      </c>
      <c r="F3451" s="35">
        <f t="shared" ca="1" si="161"/>
        <v>2.9100059914854981E-3</v>
      </c>
    </row>
    <row r="3452" spans="1:6" x14ac:dyDescent="0.25">
      <c r="A3452" s="23">
        <v>3451</v>
      </c>
      <c r="B3452" s="7" cm="1">
        <f t="array" aca="1" ref="B3452" ca="1">interpolexp(A3452,serie_du,Taxas_DI)</f>
        <v>0.12304000710232632</v>
      </c>
      <c r="C3452" s="37">
        <f t="shared" ca="1" si="160"/>
        <v>4.8993069270903771</v>
      </c>
      <c r="D3452" s="36">
        <f t="shared" ca="1" si="162"/>
        <v>0.12303989395616544</v>
      </c>
      <c r="E3452" s="32">
        <v>0.12013000126593898</v>
      </c>
      <c r="F3452" s="35">
        <f t="shared" ca="1" si="161"/>
        <v>2.9100058363873416E-3</v>
      </c>
    </row>
    <row r="3453" spans="1:6" x14ac:dyDescent="0.25">
      <c r="A3453" s="23">
        <v>3452</v>
      </c>
      <c r="B3453" s="7" cm="1">
        <f t="array" aca="1" ref="B3453" ca="1">interpolexp(A3453,serie_du,Taxas_DI)</f>
        <v>0.12304000706955254</v>
      </c>
      <c r="C3453" s="37">
        <f t="shared" ca="1" si="160"/>
        <v>4.901563445211675</v>
      </c>
      <c r="D3453" s="36">
        <f t="shared" ca="1" si="162"/>
        <v>0.12303989396721482</v>
      </c>
      <c r="E3453" s="32">
        <v>0.12013000138817453</v>
      </c>
      <c r="F3453" s="35">
        <f t="shared" ca="1" si="161"/>
        <v>2.9100056813780029E-3</v>
      </c>
    </row>
    <row r="3454" spans="1:6" x14ac:dyDescent="0.25">
      <c r="A3454" s="23">
        <v>3453</v>
      </c>
      <c r="B3454" s="7" cm="1">
        <f t="array" aca="1" ref="B3454" ca="1">interpolexp(A3454,serie_du,Taxas_DI)</f>
        <v>0.12304000703680096</v>
      </c>
      <c r="C3454" s="37">
        <f t="shared" ca="1" si="160"/>
        <v>4.9038210026381348</v>
      </c>
      <c r="D3454" s="36">
        <f t="shared" ca="1" si="162"/>
        <v>0.12303989397838366</v>
      </c>
      <c r="E3454" s="32">
        <v>0.12013000151034348</v>
      </c>
      <c r="F3454" s="35">
        <f t="shared" ca="1" si="161"/>
        <v>2.910005526457482E-3</v>
      </c>
    </row>
    <row r="3455" spans="1:6" x14ac:dyDescent="0.25">
      <c r="A3455" s="23">
        <v>3454</v>
      </c>
      <c r="B3455" s="7" cm="1">
        <f t="array" aca="1" ref="B3455" ca="1">interpolexp(A3455,serie_du,Taxas_DI)</f>
        <v>0.12304000700407158</v>
      </c>
      <c r="C3455" s="37">
        <f t="shared" ca="1" si="160"/>
        <v>4.9060795998484394</v>
      </c>
      <c r="D3455" s="36">
        <f t="shared" ca="1" si="162"/>
        <v>0.12303989398959692</v>
      </c>
      <c r="E3455" s="32">
        <v>0.1201300016324236</v>
      </c>
      <c r="F3455" s="35">
        <f t="shared" ca="1" si="161"/>
        <v>2.9100053716479835E-3</v>
      </c>
    </row>
    <row r="3456" spans="1:6" x14ac:dyDescent="0.25">
      <c r="A3456" s="23">
        <v>3455</v>
      </c>
      <c r="B3456" s="7" cm="1">
        <f t="array" aca="1" ref="B3456" ca="1">interpolexp(A3456,serie_du,Taxas_DI)</f>
        <v>0.12304000697136441</v>
      </c>
      <c r="C3456" s="37">
        <f t="shared" ca="1" si="160"/>
        <v>4.9083392373214929</v>
      </c>
      <c r="D3456" s="36">
        <f t="shared" ca="1" si="162"/>
        <v>0.12303989400083615</v>
      </c>
      <c r="E3456" s="32">
        <v>0.12013000175443711</v>
      </c>
      <c r="F3456" s="35">
        <f t="shared" ca="1" si="161"/>
        <v>2.9100052169273027E-3</v>
      </c>
    </row>
    <row r="3457" spans="1:6" x14ac:dyDescent="0.25">
      <c r="A3457" s="23">
        <v>3456</v>
      </c>
      <c r="B3457" s="7" cm="1">
        <f t="array" aca="1" ref="B3457" ca="1">interpolexp(A3457,serie_du,Taxas_DI)</f>
        <v>0.12304000693865724</v>
      </c>
      <c r="C3457" s="37">
        <f t="shared" ca="1" si="160"/>
        <v>4.9105999155350881</v>
      </c>
      <c r="D3457" s="36">
        <f t="shared" ca="1" si="162"/>
        <v>0.12303989393538539</v>
      </c>
      <c r="E3457" s="32">
        <v>0.12013000187638401</v>
      </c>
      <c r="F3457" s="35">
        <f t="shared" ca="1" si="161"/>
        <v>2.9100050622732354E-3</v>
      </c>
    </row>
    <row r="3458" spans="1:6" x14ac:dyDescent="0.25">
      <c r="A3458" s="23">
        <v>3457</v>
      </c>
      <c r="B3458" s="7" cm="1">
        <f t="array" aca="1" ref="B3458" ca="1">interpolexp(A3458,serie_du,Taxas_DI)</f>
        <v>0.12304000690599448</v>
      </c>
      <c r="C3458" s="37">
        <f t="shared" ref="C3458:C3521" ca="1" si="163">(1+B3458)^(A3458/252)</f>
        <v>4.9128616349712306</v>
      </c>
      <c r="D3458" s="36">
        <f t="shared" ca="1" si="162"/>
        <v>0.12303989402337479</v>
      </c>
      <c r="E3458" s="32">
        <v>0.12013000199826429</v>
      </c>
      <c r="F3458" s="35">
        <f t="shared" ref="F3458:F3521" ca="1" si="164">B3458-E3458</f>
        <v>2.9100049077301904E-3</v>
      </c>
    </row>
    <row r="3459" spans="1:6" x14ac:dyDescent="0.25">
      <c r="A3459" s="23">
        <v>3458</v>
      </c>
      <c r="B3459" s="7" cm="1">
        <f t="array" aca="1" ref="B3459" ca="1">interpolexp(A3459,serie_du,Taxas_DI)</f>
        <v>0.12304000687333172</v>
      </c>
      <c r="C3459" s="37">
        <f t="shared" ca="1" si="163"/>
        <v>4.9151243961068269</v>
      </c>
      <c r="D3459" s="36">
        <f t="shared" ca="1" si="162"/>
        <v>0.12303989395823223</v>
      </c>
      <c r="E3459" s="32">
        <v>0.12013000212007796</v>
      </c>
      <c r="F3459" s="35">
        <f t="shared" ca="1" si="164"/>
        <v>2.9100047532537587E-3</v>
      </c>
    </row>
    <row r="3460" spans="1:6" x14ac:dyDescent="0.25">
      <c r="A3460" s="23">
        <v>3459</v>
      </c>
      <c r="B3460" s="7" cm="1">
        <f t="array" aca="1" ref="B3460" ca="1">interpolexp(A3460,serie_du,Taxas_DI)</f>
        <v>0.12304000684069116</v>
      </c>
      <c r="C3460" s="37">
        <f t="shared" ca="1" si="163"/>
        <v>4.9173881994229918</v>
      </c>
      <c r="D3460" s="36">
        <f t="shared" ref="D3460:D3523" ca="1" si="165">((((1+B3460)^(A3460/252))/((1+B3459)^(A3459/252)))^(252/1))-1</f>
        <v>0.12303989396966641</v>
      </c>
      <c r="E3460" s="32">
        <v>0.12013000224182502</v>
      </c>
      <c r="F3460" s="35">
        <f t="shared" ca="1" si="164"/>
        <v>2.9100045988661449E-3</v>
      </c>
    </row>
    <row r="3461" spans="1:6" x14ac:dyDescent="0.25">
      <c r="A3461" s="23">
        <v>3460</v>
      </c>
      <c r="B3461" s="7" cm="1">
        <f t="array" aca="1" ref="B3461" ca="1">interpolexp(A3461,serie_du,Taxas_DI)</f>
        <v>0.12304000680807281</v>
      </c>
      <c r="C3461" s="37">
        <f t="shared" ca="1" si="163"/>
        <v>4.919653045399734</v>
      </c>
      <c r="D3461" s="36">
        <f t="shared" ca="1" si="165"/>
        <v>0.12303989398123805</v>
      </c>
      <c r="E3461" s="32">
        <v>0.12013000236348326</v>
      </c>
      <c r="F3461" s="35">
        <f t="shared" ca="1" si="164"/>
        <v>2.9100044445895534E-3</v>
      </c>
    </row>
    <row r="3462" spans="1:6" x14ac:dyDescent="0.25">
      <c r="A3462" s="23">
        <v>3461</v>
      </c>
      <c r="B3462" s="7" cm="1">
        <f t="array" aca="1" ref="B3462" ca="1">interpolexp(A3462,serie_du,Taxas_DI)</f>
        <v>0.12304000677547666</v>
      </c>
      <c r="C3462" s="37">
        <f t="shared" ca="1" si="163"/>
        <v>4.9219189345172829</v>
      </c>
      <c r="D3462" s="36">
        <f t="shared" ca="1" si="165"/>
        <v>0.12303989399285165</v>
      </c>
      <c r="E3462" s="32">
        <v>0.12013000248507488</v>
      </c>
      <c r="F3462" s="35">
        <f t="shared" ca="1" si="164"/>
        <v>2.9100042904017798E-3</v>
      </c>
    </row>
    <row r="3463" spans="1:6" x14ac:dyDescent="0.25">
      <c r="A3463" s="23">
        <v>3462</v>
      </c>
      <c r="B3463" s="7" cm="1">
        <f t="array" aca="1" ref="B3463" ca="1">interpolexp(A3463,serie_du,Taxas_DI)</f>
        <v>0.12304000674288051</v>
      </c>
      <c r="C3463" s="37">
        <f t="shared" ca="1" si="163"/>
        <v>4.9241858672547503</v>
      </c>
      <c r="D3463" s="36">
        <f t="shared" ca="1" si="165"/>
        <v>0.12303989392759185</v>
      </c>
      <c r="E3463" s="32">
        <v>0.12013000260659989</v>
      </c>
      <c r="F3463" s="35">
        <f t="shared" ca="1" si="164"/>
        <v>2.9100041362806195E-3</v>
      </c>
    </row>
    <row r="3464" spans="1:6" x14ac:dyDescent="0.25">
      <c r="A3464" s="23">
        <v>3463</v>
      </c>
      <c r="B3464" s="7" cm="1">
        <f t="array" aca="1" ref="B3464" ca="1">interpolexp(A3464,serie_du,Taxas_DI)</f>
        <v>0.12304000671032878</v>
      </c>
      <c r="C3464" s="37">
        <f t="shared" ca="1" si="163"/>
        <v>4.9264538440954828</v>
      </c>
      <c r="D3464" s="36">
        <f t="shared" ca="1" si="165"/>
        <v>0.12303989401626736</v>
      </c>
      <c r="E3464" s="32">
        <v>0.12013000272805829</v>
      </c>
      <c r="F3464" s="35">
        <f t="shared" ca="1" si="164"/>
        <v>2.9100039822704815E-3</v>
      </c>
    </row>
    <row r="3465" spans="1:6" x14ac:dyDescent="0.25">
      <c r="A3465" s="23">
        <v>3464</v>
      </c>
      <c r="B3465" s="7" cm="1">
        <f t="array" aca="1" ref="B3465" ca="1">interpolexp(A3465,serie_du,Taxas_DI)</f>
        <v>0.12304000667777704</v>
      </c>
      <c r="C3465" s="37">
        <f t="shared" ca="1" si="163"/>
        <v>4.9287228655176945</v>
      </c>
      <c r="D3465" s="36">
        <f t="shared" ca="1" si="165"/>
        <v>0.12303989395102222</v>
      </c>
      <c r="E3465" s="32">
        <v>0.12013000284945008</v>
      </c>
      <c r="F3465" s="35">
        <f t="shared" ca="1" si="164"/>
        <v>2.9100038283269569E-3</v>
      </c>
    </row>
    <row r="3466" spans="1:6" x14ac:dyDescent="0.25">
      <c r="A3466" s="23">
        <v>3465</v>
      </c>
      <c r="B3466" s="7" cm="1">
        <f t="array" aca="1" ref="B3466" ca="1">interpolexp(A3466,serie_du,Taxas_DI)</f>
        <v>0.1230400066452475</v>
      </c>
      <c r="C3466" s="37">
        <f t="shared" ca="1" si="163"/>
        <v>4.9309929320038419</v>
      </c>
      <c r="D3466" s="36">
        <f t="shared" ca="1" si="165"/>
        <v>0.12303989396299619</v>
      </c>
      <c r="E3466" s="32">
        <v>0.12013000297075305</v>
      </c>
      <c r="F3466" s="35">
        <f t="shared" ca="1" si="164"/>
        <v>2.9100036744944546E-3</v>
      </c>
    </row>
    <row r="3467" spans="1:6" x14ac:dyDescent="0.25">
      <c r="A3467" s="23">
        <v>3466</v>
      </c>
      <c r="B3467" s="7" cm="1">
        <f t="array" aca="1" ref="B3467" ca="1">interpolexp(A3467,serie_du,Taxas_DI)</f>
        <v>0.12304000661274017</v>
      </c>
      <c r="C3467" s="37">
        <f t="shared" ca="1" si="163"/>
        <v>4.9332640440352566</v>
      </c>
      <c r="D3467" s="36">
        <f t="shared" ca="1" si="165"/>
        <v>0.12303989397480386</v>
      </c>
      <c r="E3467" s="32">
        <v>0.12013000309201161</v>
      </c>
      <c r="F3467" s="35">
        <f t="shared" ca="1" si="164"/>
        <v>2.9100035207285657E-3</v>
      </c>
    </row>
    <row r="3468" spans="1:6" x14ac:dyDescent="0.25">
      <c r="A3468" s="23">
        <v>3467</v>
      </c>
      <c r="B3468" s="7" cm="1">
        <f t="array" aca="1" ref="B3468" ca="1">interpolexp(A3468,serie_du,Taxas_DI)</f>
        <v>0.12304000658025505</v>
      </c>
      <c r="C3468" s="37">
        <f t="shared" ca="1" si="163"/>
        <v>4.9355362020934983</v>
      </c>
      <c r="D3468" s="36">
        <f t="shared" ca="1" si="165"/>
        <v>0.12303989398683624</v>
      </c>
      <c r="E3468" s="32">
        <v>0.12013000321318135</v>
      </c>
      <c r="F3468" s="35">
        <f t="shared" ca="1" si="164"/>
        <v>2.9100033670736991E-3</v>
      </c>
    </row>
    <row r="3469" spans="1:6" x14ac:dyDescent="0.25">
      <c r="A3469" s="23">
        <v>3468</v>
      </c>
      <c r="B3469" s="7" cm="1">
        <f t="array" aca="1" ref="B3469" ca="1">interpolexp(A3469,serie_du,Taxas_DI)</f>
        <v>0.12304000654779212</v>
      </c>
      <c r="C3469" s="37">
        <f t="shared" ca="1" si="163"/>
        <v>4.937809406660346</v>
      </c>
      <c r="D3469" s="36">
        <f t="shared" ca="1" si="165"/>
        <v>0.12303989399887971</v>
      </c>
      <c r="E3469" s="32">
        <v>0.12013000333428447</v>
      </c>
      <c r="F3469" s="35">
        <f t="shared" ca="1" si="164"/>
        <v>2.9100032135076503E-3</v>
      </c>
    </row>
    <row r="3470" spans="1:6" x14ac:dyDescent="0.25">
      <c r="A3470" s="23">
        <v>3469</v>
      </c>
      <c r="B3470" s="7" cm="1">
        <f t="array" aca="1" ref="B3470" ca="1">interpolexp(A3470,serie_du,Taxas_DI)</f>
        <v>0.1230400065153292</v>
      </c>
      <c r="C3470" s="37">
        <f t="shared" ca="1" si="163"/>
        <v>4.940083658216456</v>
      </c>
      <c r="D3470" s="36">
        <f t="shared" ca="1" si="165"/>
        <v>0.12303989393394588</v>
      </c>
      <c r="E3470" s="32">
        <v>0.12013000345532099</v>
      </c>
      <c r="F3470" s="35">
        <f t="shared" ca="1" si="164"/>
        <v>2.910003060008215E-3</v>
      </c>
    </row>
    <row r="3471" spans="1:6" x14ac:dyDescent="0.25">
      <c r="A3471" s="23">
        <v>3470</v>
      </c>
      <c r="B3471" s="7" cm="1">
        <f t="array" aca="1" ref="B3471" ca="1">interpolexp(A3471,serie_du,Taxas_DI)</f>
        <v>0.12304000648291069</v>
      </c>
      <c r="C3471" s="37">
        <f t="shared" ca="1" si="163"/>
        <v>4.942358957246741</v>
      </c>
      <c r="D3471" s="36">
        <f t="shared" ca="1" si="165"/>
        <v>0.12303989402312565</v>
      </c>
      <c r="E3471" s="32">
        <v>0.12013000357629089</v>
      </c>
      <c r="F3471" s="35">
        <f t="shared" ca="1" si="164"/>
        <v>2.9100029066198019E-3</v>
      </c>
    </row>
    <row r="3472" spans="1:6" x14ac:dyDescent="0.25">
      <c r="A3472" s="23">
        <v>3471</v>
      </c>
      <c r="B3472" s="7" cm="1">
        <f t="array" aca="1" ref="B3472" ca="1">interpolexp(A3472,serie_du,Taxas_DI)</f>
        <v>0.12304000645049218</v>
      </c>
      <c r="C3472" s="37">
        <f t="shared" ca="1" si="163"/>
        <v>4.944635304230955</v>
      </c>
      <c r="D3472" s="36">
        <f t="shared" ca="1" si="165"/>
        <v>0.12303989395823223</v>
      </c>
      <c r="E3472" s="32">
        <v>0.12013000369719418</v>
      </c>
      <c r="F3472" s="35">
        <f t="shared" ca="1" si="164"/>
        <v>2.9100027532980022E-3</v>
      </c>
    </row>
    <row r="3473" spans="1:6" x14ac:dyDescent="0.25">
      <c r="A3473" s="23">
        <v>3472</v>
      </c>
      <c r="B3473" s="7" cm="1">
        <f t="array" aca="1" ref="B3473" ca="1">interpolexp(A3473,serie_du,Taxas_DI)</f>
        <v>0.12304000641809587</v>
      </c>
      <c r="C3473" s="37">
        <f t="shared" ca="1" si="163"/>
        <v>4.9469126996531099</v>
      </c>
      <c r="D3473" s="36">
        <f t="shared" ca="1" si="165"/>
        <v>0.12303989397047754</v>
      </c>
      <c r="E3473" s="32">
        <v>0.12013000381800865</v>
      </c>
      <c r="F3473" s="35">
        <f t="shared" ca="1" si="164"/>
        <v>2.9100026000872248E-3</v>
      </c>
    </row>
    <row r="3474" spans="1:6" x14ac:dyDescent="0.25">
      <c r="A3474" s="23">
        <v>3473</v>
      </c>
      <c r="B3474" s="7" cm="1">
        <f t="array" aca="1" ref="B3474" ca="1">interpolexp(A3474,serie_du,Taxas_DI)</f>
        <v>0.12304000638572177</v>
      </c>
      <c r="C3474" s="37">
        <f t="shared" ca="1" si="163"/>
        <v>4.9491911439960958</v>
      </c>
      <c r="D3474" s="36">
        <f t="shared" ca="1" si="165"/>
        <v>0.12303989398280546</v>
      </c>
      <c r="E3474" s="32">
        <v>0.12013000393877871</v>
      </c>
      <c r="F3474" s="35">
        <f t="shared" ca="1" si="164"/>
        <v>2.9100024469430608E-3</v>
      </c>
    </row>
    <row r="3475" spans="1:6" x14ac:dyDescent="0.25">
      <c r="A3475" s="23">
        <v>3474</v>
      </c>
      <c r="B3475" s="7" cm="1">
        <f t="array" aca="1" ref="B3475" ca="1">interpolexp(A3475,serie_du,Taxas_DI)</f>
        <v>0.12304000635336987</v>
      </c>
      <c r="C3475" s="37">
        <f t="shared" ca="1" si="163"/>
        <v>4.9514706377430278</v>
      </c>
      <c r="D3475" s="36">
        <f t="shared" ca="1" si="165"/>
        <v>0.12303989399530368</v>
      </c>
      <c r="E3475" s="32">
        <v>0.12013000405945995</v>
      </c>
      <c r="F3475" s="35">
        <f t="shared" ca="1" si="164"/>
        <v>2.910002293909919E-3</v>
      </c>
    </row>
    <row r="3476" spans="1:6" x14ac:dyDescent="0.25">
      <c r="A3476" s="23">
        <v>3475</v>
      </c>
      <c r="B3476" s="7" cm="1">
        <f t="array" aca="1" ref="B3476" ca="1">interpolexp(A3476,serie_du,Taxas_DI)</f>
        <v>0.12304000632104017</v>
      </c>
      <c r="C3476" s="37">
        <f t="shared" ca="1" si="163"/>
        <v>4.9537511813772372</v>
      </c>
      <c r="D3476" s="36">
        <f t="shared" ca="1" si="165"/>
        <v>0.12303989400773596</v>
      </c>
      <c r="E3476" s="32">
        <v>0.12013000418007458</v>
      </c>
      <c r="F3476" s="35">
        <f t="shared" ca="1" si="164"/>
        <v>2.9100021409655952E-3</v>
      </c>
    </row>
    <row r="3477" spans="1:6" x14ac:dyDescent="0.25">
      <c r="A3477" s="23">
        <v>3476</v>
      </c>
      <c r="B3477" s="7" cm="1">
        <f t="array" aca="1" ref="B3477" ca="1">interpolexp(A3477,serie_du,Taxas_DI)</f>
        <v>0.12304000628871048</v>
      </c>
      <c r="C3477" s="37">
        <f t="shared" ca="1" si="163"/>
        <v>4.9560327753809306</v>
      </c>
      <c r="D3477" s="36">
        <f t="shared" ca="1" si="165"/>
        <v>0.12303989394303882</v>
      </c>
      <c r="E3477" s="32">
        <v>0.12013000430062259</v>
      </c>
      <c r="F3477" s="35">
        <f t="shared" ca="1" si="164"/>
        <v>2.9100019880878847E-3</v>
      </c>
    </row>
    <row r="3478" spans="1:6" x14ac:dyDescent="0.25">
      <c r="A3478" s="23">
        <v>3477</v>
      </c>
      <c r="B3478" s="7" cm="1">
        <f t="array" aca="1" ref="B3478" ca="1">interpolexp(A3478,serie_du,Taxas_DI)</f>
        <v>0.12304000625640299</v>
      </c>
      <c r="C3478" s="37">
        <f t="shared" ca="1" si="163"/>
        <v>4.9583154202392379</v>
      </c>
      <c r="D3478" s="36">
        <f t="shared" ca="1" si="165"/>
        <v>0.12303989395553727</v>
      </c>
      <c r="E3478" s="32">
        <v>0.120130004421104</v>
      </c>
      <c r="F3478" s="35">
        <f t="shared" ca="1" si="164"/>
        <v>2.910001835298992E-3</v>
      </c>
    </row>
    <row r="3479" spans="1:6" x14ac:dyDescent="0.25">
      <c r="A3479" s="23">
        <v>3478</v>
      </c>
      <c r="B3479" s="7" cm="1">
        <f t="array" aca="1" ref="B3479" ca="1">interpolexp(A3479,serie_du,Taxas_DI)</f>
        <v>0.1230400062241177</v>
      </c>
      <c r="C3479" s="37">
        <f t="shared" ca="1" si="163"/>
        <v>4.9605991164361631</v>
      </c>
      <c r="D3479" s="36">
        <f t="shared" ca="1" si="165"/>
        <v>0.1230398939682229</v>
      </c>
      <c r="E3479" s="32">
        <v>0.12013000454151879</v>
      </c>
      <c r="F3479" s="35">
        <f t="shared" ca="1" si="164"/>
        <v>2.9100016825989172E-3</v>
      </c>
    </row>
    <row r="3480" spans="1:6" x14ac:dyDescent="0.25">
      <c r="A3480" s="23">
        <v>3479</v>
      </c>
      <c r="B3480" s="7" cm="1">
        <f t="array" aca="1" ref="B3480" ca="1">interpolexp(A3480,serie_du,Taxas_DI)</f>
        <v>0.12304000619185462</v>
      </c>
      <c r="C3480" s="37">
        <f t="shared" ca="1" si="163"/>
        <v>4.9628838644559314</v>
      </c>
      <c r="D3480" s="36">
        <f t="shared" ca="1" si="165"/>
        <v>0.12303989398086235</v>
      </c>
      <c r="E3480" s="32">
        <v>0.12013000466186696</v>
      </c>
      <c r="F3480" s="35">
        <f t="shared" ca="1" si="164"/>
        <v>2.9100015299876603E-3</v>
      </c>
    </row>
    <row r="3481" spans="1:6" x14ac:dyDescent="0.25">
      <c r="A3481" s="23">
        <v>3480</v>
      </c>
      <c r="B3481" s="7" cm="1">
        <f t="array" aca="1" ref="B3481" ca="1">interpolexp(A3481,serie_du,Taxas_DI)</f>
        <v>0.12304000615961375</v>
      </c>
      <c r="C3481" s="37">
        <f t="shared" ca="1" si="163"/>
        <v>4.9651696647829908</v>
      </c>
      <c r="D3481" s="36">
        <f t="shared" ca="1" si="165"/>
        <v>0.12303989399355042</v>
      </c>
      <c r="E3481" s="32">
        <v>0.12013000478212632</v>
      </c>
      <c r="F3481" s="35">
        <f t="shared" ca="1" si="164"/>
        <v>2.9100013774874256E-3</v>
      </c>
    </row>
    <row r="3482" spans="1:6" x14ac:dyDescent="0.25">
      <c r="A3482" s="23">
        <v>3481</v>
      </c>
      <c r="B3482" s="7" cm="1">
        <f t="array" aca="1" ref="B3482" ca="1">interpolexp(A3482,serie_du,Taxas_DI)</f>
        <v>0.12304000612739507</v>
      </c>
      <c r="C3482" s="37">
        <f t="shared" ca="1" si="163"/>
        <v>4.9674565179020149</v>
      </c>
      <c r="D3482" s="36">
        <f t="shared" ca="1" si="165"/>
        <v>0.12303989400642212</v>
      </c>
      <c r="E3482" s="32">
        <v>0.12013000490234127</v>
      </c>
      <c r="F3482" s="35">
        <f t="shared" ca="1" si="164"/>
        <v>2.9100012250538043E-3</v>
      </c>
    </row>
    <row r="3483" spans="1:6" x14ac:dyDescent="0.25">
      <c r="A3483" s="23">
        <v>3482</v>
      </c>
      <c r="B3483" s="7" cm="1">
        <f t="array" aca="1" ref="B3483" ca="1">interpolexp(A3483,serie_du,Taxas_DI)</f>
        <v>0.1230400060951764</v>
      </c>
      <c r="C3483" s="37">
        <f t="shared" ca="1" si="163"/>
        <v>4.9697444242965414</v>
      </c>
      <c r="D3483" s="36">
        <f t="shared" ca="1" si="165"/>
        <v>0.12303989394203585</v>
      </c>
      <c r="E3483" s="32">
        <v>0.1201300050224674</v>
      </c>
      <c r="F3483" s="35">
        <f t="shared" ca="1" si="164"/>
        <v>2.9100010727090009E-3</v>
      </c>
    </row>
    <row r="3484" spans="1:6" x14ac:dyDescent="0.25">
      <c r="A3484" s="23">
        <v>3483</v>
      </c>
      <c r="B3484" s="7" cm="1">
        <f t="array" aca="1" ref="B3484" ca="1">interpolexp(A3484,serie_du,Taxas_DI)</f>
        <v>0.12304000606297993</v>
      </c>
      <c r="C3484" s="37">
        <f t="shared" ca="1" si="163"/>
        <v>4.9720333844530415</v>
      </c>
      <c r="D3484" s="36">
        <f t="shared" ca="1" si="165"/>
        <v>0.12303989395478809</v>
      </c>
      <c r="E3484" s="32">
        <v>0.12013000514252692</v>
      </c>
      <c r="F3484" s="35">
        <f t="shared" ca="1" si="164"/>
        <v>2.9100009204530153E-3</v>
      </c>
    </row>
    <row r="3485" spans="1:6" x14ac:dyDescent="0.25">
      <c r="A3485" s="23">
        <v>3484</v>
      </c>
      <c r="B3485" s="7" cm="1">
        <f t="array" aca="1" ref="B3485" ca="1">interpolexp(A3485,serie_du,Taxas_DI)</f>
        <v>0.12304000603082788</v>
      </c>
      <c r="C3485" s="37">
        <f t="shared" ca="1" si="163"/>
        <v>4.9743233988582229</v>
      </c>
      <c r="D3485" s="36">
        <f t="shared" ca="1" si="165"/>
        <v>0.12303989404528148</v>
      </c>
      <c r="E3485" s="32">
        <v>0.12013000526251982</v>
      </c>
      <c r="F3485" s="35">
        <f t="shared" ca="1" si="164"/>
        <v>2.910000768308052E-3</v>
      </c>
    </row>
    <row r="3486" spans="1:6" x14ac:dyDescent="0.25">
      <c r="A3486" s="23">
        <v>3485</v>
      </c>
      <c r="B3486" s="7" cm="1">
        <f t="array" aca="1" ref="B3486" ca="1">interpolexp(A3486,serie_du,Taxas_DI)</f>
        <v>0.12304000599865361</v>
      </c>
      <c r="C3486" s="37">
        <f t="shared" ca="1" si="163"/>
        <v>4.9766144679935653</v>
      </c>
      <c r="D3486" s="36">
        <f t="shared" ca="1" si="165"/>
        <v>0.12303989390345604</v>
      </c>
      <c r="E3486" s="32">
        <v>0.12013000538246832</v>
      </c>
      <c r="F3486" s="35">
        <f t="shared" ca="1" si="164"/>
        <v>2.9100006161852932E-3</v>
      </c>
    </row>
    <row r="3487" spans="1:6" x14ac:dyDescent="0.25">
      <c r="A3487" s="23">
        <v>3486</v>
      </c>
      <c r="B3487" s="7" cm="1">
        <f t="array" aca="1" ref="B3487" ca="1">interpolexp(A3487,serie_du,Taxas_DI)</f>
        <v>0.12304000596652376</v>
      </c>
      <c r="C3487" s="37">
        <f t="shared" ca="1" si="163"/>
        <v>4.9789065923489426</v>
      </c>
      <c r="D3487" s="36">
        <f t="shared" ca="1" si="165"/>
        <v>0.12303989399405224</v>
      </c>
      <c r="E3487" s="32">
        <v>0.120130005502328</v>
      </c>
      <c r="F3487" s="35">
        <f t="shared" ca="1" si="164"/>
        <v>2.9100004641957611E-3</v>
      </c>
    </row>
    <row r="3488" spans="1:6" x14ac:dyDescent="0.25">
      <c r="A3488" s="23">
        <v>3487</v>
      </c>
      <c r="B3488" s="7" cm="1">
        <f t="array" aca="1" ref="B3488" ca="1">interpolexp(A3488,serie_du,Taxas_DI)</f>
        <v>0.12304000593441611</v>
      </c>
      <c r="C3488" s="37">
        <f t="shared" ca="1" si="163"/>
        <v>4.9811997724090045</v>
      </c>
      <c r="D3488" s="36">
        <f t="shared" ca="1" si="165"/>
        <v>0.12303989400711313</v>
      </c>
      <c r="E3488" s="32">
        <v>0.12013000562209886</v>
      </c>
      <c r="F3488" s="35">
        <f t="shared" ca="1" si="164"/>
        <v>2.9100003123172513E-3</v>
      </c>
    </row>
    <row r="3489" spans="1:6" x14ac:dyDescent="0.25">
      <c r="A3489" s="23">
        <v>3488</v>
      </c>
      <c r="B3489" s="7" cm="1">
        <f t="array" aca="1" ref="B3489" ca="1">interpolexp(A3489,serie_du,Taxas_DI)</f>
        <v>0.12304000590230846</v>
      </c>
      <c r="C3489" s="37">
        <f t="shared" ca="1" si="163"/>
        <v>4.983494008658627</v>
      </c>
      <c r="D3489" s="36">
        <f t="shared" ca="1" si="165"/>
        <v>0.12303989394297665</v>
      </c>
      <c r="E3489" s="32">
        <v>0.12013000574182531</v>
      </c>
      <c r="F3489" s="35">
        <f t="shared" ca="1" si="164"/>
        <v>2.9100001604831505E-3</v>
      </c>
    </row>
    <row r="3490" spans="1:6" x14ac:dyDescent="0.25">
      <c r="A3490" s="23">
        <v>3489</v>
      </c>
      <c r="B3490" s="7" cm="1">
        <f t="array" aca="1" ref="B3490" ca="1">interpolexp(A3490,serie_du,Taxas_DI)</f>
        <v>0.12304000587024522</v>
      </c>
      <c r="C3490" s="37">
        <f t="shared" ca="1" si="163"/>
        <v>4.985789301586995</v>
      </c>
      <c r="D3490" s="36">
        <f t="shared" ca="1" si="165"/>
        <v>0.12303989403365967</v>
      </c>
      <c r="E3490" s="32">
        <v>0.12013000586148515</v>
      </c>
      <c r="F3490" s="35">
        <f t="shared" ca="1" si="164"/>
        <v>2.9100000087600719E-3</v>
      </c>
    </row>
    <row r="3491" spans="1:6" x14ac:dyDescent="0.25">
      <c r="A3491" s="23">
        <v>3490</v>
      </c>
      <c r="B3491" s="7" cm="1">
        <f t="array" aca="1" ref="B3491" ca="1">interpolexp(A3491,serie_du,Taxas_DI)</f>
        <v>0.12304000583818198</v>
      </c>
      <c r="C3491" s="37">
        <f t="shared" ca="1" si="163"/>
        <v>4.9880856516780643</v>
      </c>
      <c r="D3491" s="36">
        <f t="shared" ca="1" si="165"/>
        <v>0.12303989396947457</v>
      </c>
      <c r="E3491" s="32">
        <v>0.12013000598105616</v>
      </c>
      <c r="F3491" s="35">
        <f t="shared" ca="1" si="164"/>
        <v>2.9099998571258112E-3</v>
      </c>
    </row>
    <row r="3492" spans="1:6" x14ac:dyDescent="0.25">
      <c r="A3492" s="23">
        <v>3491</v>
      </c>
      <c r="B3492" s="7" cm="1">
        <f t="array" aca="1" ref="B3492" ca="1">interpolexp(A3492,serie_du,Taxas_DI)</f>
        <v>0.12304000580614094</v>
      </c>
      <c r="C3492" s="37">
        <f t="shared" ca="1" si="163"/>
        <v>4.9903830594201093</v>
      </c>
      <c r="D3492" s="36">
        <f t="shared" ca="1" si="165"/>
        <v>0.12303989398286741</v>
      </c>
      <c r="E3492" s="32">
        <v>0.12013000610058278</v>
      </c>
      <c r="F3492" s="35">
        <f t="shared" ca="1" si="164"/>
        <v>2.9099997055581639E-3</v>
      </c>
    </row>
    <row r="3493" spans="1:6" x14ac:dyDescent="0.25">
      <c r="A3493" s="23">
        <v>3492</v>
      </c>
      <c r="B3493" s="7" cm="1">
        <f t="array" aca="1" ref="B3493" ca="1">interpolexp(A3493,serie_du,Taxas_DI)</f>
        <v>0.1230400057740999</v>
      </c>
      <c r="C3493" s="37">
        <f t="shared" ca="1" si="163"/>
        <v>4.9926815252988979</v>
      </c>
      <c r="D3493" s="36">
        <f t="shared" ca="1" si="165"/>
        <v>0.12303989391899961</v>
      </c>
      <c r="E3493" s="32">
        <v>0.12013000622002057</v>
      </c>
      <c r="F3493" s="35">
        <f t="shared" ca="1" si="164"/>
        <v>2.9099995540793344E-3</v>
      </c>
    </row>
    <row r="3494" spans="1:6" x14ac:dyDescent="0.25">
      <c r="A3494" s="23">
        <v>3493</v>
      </c>
      <c r="B3494" s="7" cm="1">
        <f t="array" aca="1" ref="B3494" ca="1">interpolexp(A3494,serie_du,Taxas_DI)</f>
        <v>0.12304000574210328</v>
      </c>
      <c r="C3494" s="37">
        <f t="shared" ca="1" si="163"/>
        <v>4.9949810498045171</v>
      </c>
      <c r="D3494" s="36">
        <f t="shared" ca="1" si="165"/>
        <v>0.1230398940098647</v>
      </c>
      <c r="E3494" s="32">
        <v>0.12013000633941395</v>
      </c>
      <c r="F3494" s="35">
        <f t="shared" ca="1" si="164"/>
        <v>2.9099994026893228E-3</v>
      </c>
    </row>
    <row r="3495" spans="1:6" x14ac:dyDescent="0.25">
      <c r="A3495" s="23">
        <v>3494</v>
      </c>
      <c r="B3495" s="7" cm="1">
        <f t="array" aca="1" ref="B3495" ca="1">interpolexp(A3495,serie_du,Taxas_DI)</f>
        <v>0.12304000571010665</v>
      </c>
      <c r="C3495" s="37">
        <f t="shared" ca="1" si="163"/>
        <v>4.9972816334218146</v>
      </c>
      <c r="D3495" s="36">
        <f t="shared" ca="1" si="165"/>
        <v>0.12303989394585768</v>
      </c>
      <c r="E3495" s="32">
        <v>0.12013000645871852</v>
      </c>
      <c r="F3495" s="35">
        <f t="shared" ca="1" si="164"/>
        <v>2.909999251388129E-3</v>
      </c>
    </row>
    <row r="3496" spans="1:6" x14ac:dyDescent="0.25">
      <c r="A3496" s="23">
        <v>3495</v>
      </c>
      <c r="B3496" s="7" cm="1">
        <f t="array" aca="1" ref="B3496" ca="1">interpolexp(A3496,serie_du,Taxas_DI)</f>
        <v>0.12304000567815443</v>
      </c>
      <c r="C3496" s="37">
        <f t="shared" ca="1" si="163"/>
        <v>4.9995832766413359</v>
      </c>
      <c r="D3496" s="36">
        <f t="shared" ca="1" si="165"/>
        <v>0.12303989403706295</v>
      </c>
      <c r="E3496" s="32">
        <v>0.12013000657795647</v>
      </c>
      <c r="F3496" s="35">
        <f t="shared" ca="1" si="164"/>
        <v>2.9099991001979575E-3</v>
      </c>
    </row>
    <row r="3497" spans="1:6" x14ac:dyDescent="0.25">
      <c r="A3497" s="23">
        <v>3496</v>
      </c>
      <c r="B3497" s="7" cm="1">
        <f t="array" aca="1" ref="B3497" ca="1">interpolexp(A3497,serie_du,Taxas_DI)</f>
        <v>0.12304000564620221</v>
      </c>
      <c r="C3497" s="37">
        <f t="shared" ca="1" si="163"/>
        <v>5.0018859799483728</v>
      </c>
      <c r="D3497" s="36">
        <f t="shared" ca="1" si="165"/>
        <v>0.12303989397324022</v>
      </c>
      <c r="E3497" s="32">
        <v>0.12013000669712781</v>
      </c>
      <c r="F3497" s="35">
        <f t="shared" ca="1" si="164"/>
        <v>2.9099989490743994E-3</v>
      </c>
    </row>
    <row r="3498" spans="1:6" x14ac:dyDescent="0.25">
      <c r="A3498" s="23">
        <v>3497</v>
      </c>
      <c r="B3498" s="7" cm="1">
        <f t="array" aca="1" ref="B3498" ca="1">interpolexp(A3498,serie_du,Taxas_DI)</f>
        <v>0.12304000561424999</v>
      </c>
      <c r="C3498" s="37">
        <f t="shared" ca="1" si="163"/>
        <v>5.0041897438311764</v>
      </c>
      <c r="D3498" s="36">
        <f t="shared" ca="1" si="165"/>
        <v>0.12303989390923342</v>
      </c>
      <c r="E3498" s="32">
        <v>0.12013000681623254</v>
      </c>
      <c r="F3498" s="35">
        <f t="shared" ca="1" si="164"/>
        <v>2.9099987980174546E-3</v>
      </c>
    </row>
    <row r="3499" spans="1:6" x14ac:dyDescent="0.25">
      <c r="A3499" s="23">
        <v>3498</v>
      </c>
      <c r="B3499" s="7" cm="1">
        <f t="array" aca="1" ref="B3499" ca="1">interpolexp(A3499,serie_du,Taxas_DI)</f>
        <v>0.12304000558234218</v>
      </c>
      <c r="C3499" s="37">
        <f t="shared" ca="1" si="163"/>
        <v>5.0064945687809752</v>
      </c>
      <c r="D3499" s="36">
        <f t="shared" ca="1" si="165"/>
        <v>0.12303989400083615</v>
      </c>
      <c r="E3499" s="32">
        <v>0.12013000693527065</v>
      </c>
      <c r="F3499" s="35">
        <f t="shared" ca="1" si="164"/>
        <v>2.9099986470715322E-3</v>
      </c>
    </row>
    <row r="3500" spans="1:6" x14ac:dyDescent="0.25">
      <c r="A3500" s="23">
        <v>3499</v>
      </c>
      <c r="B3500" s="7" cm="1">
        <f t="array" aca="1" ref="B3500" ca="1">interpolexp(A3500,serie_du,Taxas_DI)</f>
        <v>0.12304000555045658</v>
      </c>
      <c r="C3500" s="37">
        <f t="shared" ca="1" si="163"/>
        <v>5.0088004552850993</v>
      </c>
      <c r="D3500" s="36">
        <f t="shared" ca="1" si="165"/>
        <v>0.12303989401457849</v>
      </c>
      <c r="E3500" s="32">
        <v>0.12013000705424215</v>
      </c>
      <c r="F3500" s="35">
        <f t="shared" ca="1" si="164"/>
        <v>2.9099984962144276E-3</v>
      </c>
    </row>
    <row r="3501" spans="1:6" x14ac:dyDescent="0.25">
      <c r="A3501" s="23">
        <v>3500</v>
      </c>
      <c r="B3501" s="7" cm="1">
        <f t="array" aca="1" ref="B3501" ca="1">interpolexp(A3501,serie_du,Taxas_DI)</f>
        <v>0.12304000551857097</v>
      </c>
      <c r="C3501" s="37">
        <f t="shared" ca="1" si="163"/>
        <v>5.0111074038311072</v>
      </c>
      <c r="D3501" s="36">
        <f t="shared" ca="1" si="165"/>
        <v>0.12303989395083437</v>
      </c>
      <c r="E3501" s="32">
        <v>0.12013000717314704</v>
      </c>
      <c r="F3501" s="35">
        <f t="shared" ca="1" si="164"/>
        <v>2.9099983454239364E-3</v>
      </c>
    </row>
    <row r="3502" spans="1:6" x14ac:dyDescent="0.25">
      <c r="A3502" s="23">
        <v>3501</v>
      </c>
      <c r="B3502" s="7" cm="1">
        <f t="array" aca="1" ref="B3502" ca="1">interpolexp(A3502,serie_du,Taxas_DI)</f>
        <v>0.12304000548670757</v>
      </c>
      <c r="C3502" s="37">
        <f t="shared" ca="1" si="163"/>
        <v>5.0134154149095274</v>
      </c>
      <c r="D3502" s="36">
        <f t="shared" ca="1" si="165"/>
        <v>0.12303989396475723</v>
      </c>
      <c r="E3502" s="32">
        <v>0.12013000729198531</v>
      </c>
      <c r="F3502" s="35">
        <f t="shared" ca="1" si="164"/>
        <v>2.9099981947222631E-3</v>
      </c>
    </row>
    <row r="3503" spans="1:6" x14ac:dyDescent="0.25">
      <c r="A3503" s="23">
        <v>3502</v>
      </c>
      <c r="B3503" s="7" cm="1">
        <f t="array" aca="1" ref="B3503" ca="1">interpolexp(A3503,serie_du,Taxas_DI)</f>
        <v>0.12304000545486637</v>
      </c>
      <c r="C3503" s="37">
        <f t="shared" ca="1" si="163"/>
        <v>5.0157244890097434</v>
      </c>
      <c r="D3503" s="36">
        <f t="shared" ca="1" si="165"/>
        <v>0.12303989397891413</v>
      </c>
      <c r="E3503" s="32">
        <v>0.12013000741073476</v>
      </c>
      <c r="F3503" s="35">
        <f t="shared" ca="1" si="164"/>
        <v>2.909998044131612E-3</v>
      </c>
    </row>
    <row r="3504" spans="1:6" x14ac:dyDescent="0.25">
      <c r="A3504" s="23">
        <v>3503</v>
      </c>
      <c r="B3504" s="7" cm="1">
        <f t="array" aca="1" ref="B3504" ca="1">interpolexp(A3504,serie_du,Taxas_DI)</f>
        <v>0.12304000542304738</v>
      </c>
      <c r="C3504" s="37">
        <f t="shared" ca="1" si="163"/>
        <v>5.0180346266213585</v>
      </c>
      <c r="D3504" s="36">
        <f t="shared" ca="1" si="165"/>
        <v>0.12303989399285165</v>
      </c>
      <c r="E3504" s="32">
        <v>0.12013000752943981</v>
      </c>
      <c r="F3504" s="35">
        <f t="shared" ca="1" si="164"/>
        <v>2.9099978936075743E-3</v>
      </c>
    </row>
    <row r="3505" spans="1:6" x14ac:dyDescent="0.25">
      <c r="A3505" s="23">
        <v>3504</v>
      </c>
      <c r="B3505" s="7" cm="1">
        <f t="array" aca="1" ref="B3505" ca="1">interpolexp(A3505,serie_du,Taxas_DI)</f>
        <v>0.1230400053912506</v>
      </c>
      <c r="C3505" s="37">
        <f t="shared" ca="1" si="163"/>
        <v>5.0203458282342091</v>
      </c>
      <c r="D3505" s="36">
        <f t="shared" ca="1" si="165"/>
        <v>0.12303989400711313</v>
      </c>
      <c r="E3505" s="32">
        <v>0.12013000764807824</v>
      </c>
      <c r="F3505" s="35">
        <f t="shared" ca="1" si="164"/>
        <v>2.9099977431723545E-3</v>
      </c>
    </row>
    <row r="3506" spans="1:6" x14ac:dyDescent="0.25">
      <c r="A3506" s="23">
        <v>3505</v>
      </c>
      <c r="B3506" s="7" cm="1">
        <f t="array" aca="1" ref="B3506" ca="1">interpolexp(A3506,serie_du,Taxas_DI)</f>
        <v>0.12304000535945381</v>
      </c>
      <c r="C3506" s="37">
        <f t="shared" ca="1" si="163"/>
        <v>5.0226580943369692</v>
      </c>
      <c r="D3506" s="36">
        <f t="shared" ca="1" si="165"/>
        <v>0.12303989394348003</v>
      </c>
      <c r="E3506" s="32">
        <v>0.12013000776662786</v>
      </c>
      <c r="F3506" s="35">
        <f t="shared" ca="1" si="164"/>
        <v>2.9099975928259525E-3</v>
      </c>
    </row>
    <row r="3507" spans="1:6" x14ac:dyDescent="0.25">
      <c r="A3507" s="23">
        <v>3506</v>
      </c>
      <c r="B3507" s="7" cm="1">
        <f t="array" aca="1" ref="B3507" ca="1">interpolexp(A3507,serie_du,Taxas_DI)</f>
        <v>0.12304000532767922</v>
      </c>
      <c r="C3507" s="37">
        <f t="shared" ca="1" si="163"/>
        <v>5.0249714254213043</v>
      </c>
      <c r="D3507" s="36">
        <f t="shared" ca="1" si="165"/>
        <v>0.12303989395779125</v>
      </c>
      <c r="E3507" s="32">
        <v>0.12013000788513306</v>
      </c>
      <c r="F3507" s="35">
        <f t="shared" ca="1" si="164"/>
        <v>2.9099974425461639E-3</v>
      </c>
    </row>
    <row r="3508" spans="1:6" x14ac:dyDescent="0.25">
      <c r="A3508" s="23">
        <v>3507</v>
      </c>
      <c r="B3508" s="7" cm="1">
        <f t="array" aca="1" ref="B3508" ca="1">interpolexp(A3508,serie_du,Taxas_DI)</f>
        <v>0.12304000529592685</v>
      </c>
      <c r="C3508" s="37">
        <f t="shared" ca="1" si="163"/>
        <v>5.0272858219777214</v>
      </c>
      <c r="D3508" s="36">
        <f t="shared" ca="1" si="165"/>
        <v>0.12303989397205273</v>
      </c>
      <c r="E3508" s="32">
        <v>0.12013000800354945</v>
      </c>
      <c r="F3508" s="35">
        <f t="shared" ca="1" si="164"/>
        <v>2.9099972923773976E-3</v>
      </c>
    </row>
    <row r="3509" spans="1:6" x14ac:dyDescent="0.25">
      <c r="A3509" s="23">
        <v>3508</v>
      </c>
      <c r="B3509" s="7" cm="1">
        <f t="array" aca="1" ref="B3509" ca="1">interpolexp(A3509,serie_du,Taxas_DI)</f>
        <v>0.12304000526419667</v>
      </c>
      <c r="C3509" s="37">
        <f t="shared" ca="1" si="163"/>
        <v>5.0296012844969589</v>
      </c>
      <c r="D3509" s="36">
        <f t="shared" ca="1" si="165"/>
        <v>0.12303989398652071</v>
      </c>
      <c r="E3509" s="32">
        <v>0.12013000812192143</v>
      </c>
      <c r="F3509" s="35">
        <f t="shared" ca="1" si="164"/>
        <v>2.9099971422752446E-3</v>
      </c>
    </row>
    <row r="3510" spans="1:6" x14ac:dyDescent="0.25">
      <c r="A3510" s="23">
        <v>3509</v>
      </c>
      <c r="B3510" s="7" cm="1">
        <f t="array" aca="1" ref="B3510" ca="1">interpolexp(A3510,serie_du,Taxas_DI)</f>
        <v>0.1230400052324887</v>
      </c>
      <c r="C3510" s="37">
        <f t="shared" ca="1" si="163"/>
        <v>5.0319178134699767</v>
      </c>
      <c r="D3510" s="36">
        <f t="shared" ca="1" si="165"/>
        <v>0.12303989400096205</v>
      </c>
      <c r="E3510" s="32">
        <v>0.12013000824020459</v>
      </c>
      <c r="F3510" s="35">
        <f t="shared" ca="1" si="164"/>
        <v>2.909996992284114E-3</v>
      </c>
    </row>
    <row r="3511" spans="1:6" x14ac:dyDescent="0.25">
      <c r="A3511" s="23">
        <v>3510</v>
      </c>
      <c r="B3511" s="7" cm="1">
        <f t="array" aca="1" ref="B3511" ca="1">interpolexp(A3511,serie_du,Taxas_DI)</f>
        <v>0.12304000520078073</v>
      </c>
      <c r="C3511" s="37">
        <f t="shared" ca="1" si="163"/>
        <v>5.0342354093865751</v>
      </c>
      <c r="D3511" s="36">
        <f t="shared" ca="1" si="165"/>
        <v>0.12303989393751436</v>
      </c>
      <c r="E3511" s="32">
        <v>0.12013000835842114</v>
      </c>
      <c r="F3511" s="35">
        <f t="shared" ca="1" si="164"/>
        <v>2.9099968423595968E-3</v>
      </c>
    </row>
    <row r="3512" spans="1:6" x14ac:dyDescent="0.25">
      <c r="A3512" s="23">
        <v>3511</v>
      </c>
      <c r="B3512" s="7" cm="1">
        <f t="array" aca="1" ref="B3512" ca="1">interpolexp(A3512,serie_du,Taxas_DI)</f>
        <v>0.12304000516911717</v>
      </c>
      <c r="C3512" s="37">
        <f t="shared" ca="1" si="163"/>
        <v>5.036554072740941</v>
      </c>
      <c r="D3512" s="36">
        <f t="shared" ca="1" si="165"/>
        <v>0.12303989403001814</v>
      </c>
      <c r="E3512" s="32">
        <v>0.12013000847659328</v>
      </c>
      <c r="F3512" s="35">
        <f t="shared" ca="1" si="164"/>
        <v>2.9099966925238974E-3</v>
      </c>
    </row>
    <row r="3513" spans="1:6" x14ac:dyDescent="0.25">
      <c r="A3513" s="23">
        <v>3512</v>
      </c>
      <c r="B3513" s="7" cm="1">
        <f t="array" aca="1" ref="B3513" ca="1">interpolexp(A3513,serie_du,Taxas_DI)</f>
        <v>0.12304000513745361</v>
      </c>
      <c r="C3513" s="37">
        <f t="shared" ca="1" si="163"/>
        <v>5.0388738040219421</v>
      </c>
      <c r="D3513" s="36">
        <f t="shared" ca="1" si="165"/>
        <v>0.12303989396677761</v>
      </c>
      <c r="E3513" s="32">
        <v>0.1201300085946766</v>
      </c>
      <c r="F3513" s="35">
        <f t="shared" ca="1" si="164"/>
        <v>2.9099965427770158E-3</v>
      </c>
    </row>
    <row r="3514" spans="1:6" x14ac:dyDescent="0.25">
      <c r="A3514" s="23">
        <v>3513</v>
      </c>
      <c r="B3514" s="7" cm="1">
        <f t="array" aca="1" ref="B3514" ca="1">interpolexp(A3514,serie_du,Taxas_DI)</f>
        <v>0.12304000510581226</v>
      </c>
      <c r="C3514" s="37">
        <f t="shared" ca="1" si="163"/>
        <v>5.0411946037228281</v>
      </c>
      <c r="D3514" s="36">
        <f t="shared" ca="1" si="165"/>
        <v>0.12303989398130355</v>
      </c>
      <c r="E3514" s="32">
        <v>0.1201300087126933</v>
      </c>
      <c r="F3514" s="35">
        <f t="shared" ca="1" si="164"/>
        <v>2.9099963931189521E-3</v>
      </c>
    </row>
    <row r="3515" spans="1:6" x14ac:dyDescent="0.25">
      <c r="A3515" s="23">
        <v>3514</v>
      </c>
      <c r="B3515" s="7" cm="1">
        <f t="array" aca="1" ref="B3515" ca="1">interpolexp(A3515,serie_du,Taxas_DI)</f>
        <v>0.1230400050741931</v>
      </c>
      <c r="C3515" s="37">
        <f t="shared" ca="1" si="163"/>
        <v>5.0435164723356953</v>
      </c>
      <c r="D3515" s="36">
        <f t="shared" ca="1" si="165"/>
        <v>0.12303989399611415</v>
      </c>
      <c r="E3515" s="32">
        <v>0.1201300088306656</v>
      </c>
      <c r="F3515" s="35">
        <f t="shared" ca="1" si="164"/>
        <v>2.9099962435275017E-3</v>
      </c>
    </row>
    <row r="3516" spans="1:6" x14ac:dyDescent="0.25">
      <c r="A3516" s="23">
        <v>3515</v>
      </c>
      <c r="B3516" s="7" cm="1">
        <f t="array" aca="1" ref="B3516" ca="1">interpolexp(A3516,serie_du,Taxas_DI)</f>
        <v>0.12304000504257395</v>
      </c>
      <c r="C3516" s="37">
        <f t="shared" ca="1" si="163"/>
        <v>5.0458394103514701</v>
      </c>
      <c r="D3516" s="36">
        <f t="shared" ca="1" si="165"/>
        <v>0.12303989393281256</v>
      </c>
      <c r="E3516" s="32">
        <v>0.12013000894854908</v>
      </c>
      <c r="F3516" s="35">
        <f t="shared" ca="1" si="164"/>
        <v>2.9099960940248693E-3</v>
      </c>
    </row>
    <row r="3517" spans="1:6" x14ac:dyDescent="0.25">
      <c r="A3517" s="23">
        <v>3516</v>
      </c>
      <c r="B3517" s="7" cm="1">
        <f t="array" aca="1" ref="B3517" ca="1">interpolexp(A3517,serie_du,Taxas_DI)</f>
        <v>0.123040005010977</v>
      </c>
      <c r="C3517" s="37">
        <f t="shared" ca="1" si="163"/>
        <v>5.0481634182640915</v>
      </c>
      <c r="D3517" s="36">
        <f t="shared" ca="1" si="165"/>
        <v>0.12303989394774439</v>
      </c>
      <c r="E3517" s="32">
        <v>0.12013000906636595</v>
      </c>
      <c r="F3517" s="35">
        <f t="shared" ca="1" si="164"/>
        <v>2.9099959446110546E-3</v>
      </c>
    </row>
    <row r="3518" spans="1:6" x14ac:dyDescent="0.25">
      <c r="A3518" s="23">
        <v>3517</v>
      </c>
      <c r="B3518" s="7" cm="1">
        <f t="array" aca="1" ref="B3518" ca="1">interpolexp(A3518,serie_du,Taxas_DI)</f>
        <v>0.12304000497942447</v>
      </c>
      <c r="C3518" s="37">
        <f t="shared" ca="1" si="163"/>
        <v>5.0504884965677226</v>
      </c>
      <c r="D3518" s="36">
        <f t="shared" ca="1" si="165"/>
        <v>0.1230398940406372</v>
      </c>
      <c r="E3518" s="32">
        <v>0.1201300091841162</v>
      </c>
      <c r="F3518" s="35">
        <f t="shared" ca="1" si="164"/>
        <v>2.9099957953082622E-3</v>
      </c>
    </row>
    <row r="3519" spans="1:6" x14ac:dyDescent="0.25">
      <c r="A3519" s="23">
        <v>3518</v>
      </c>
      <c r="B3519" s="7" cm="1">
        <f t="array" aca="1" ref="B3519" ca="1">interpolexp(A3519,serie_du,Taxas_DI)</f>
        <v>0.12304000494787193</v>
      </c>
      <c r="C3519" s="37">
        <f t="shared" ca="1" si="163"/>
        <v>5.0528146457525809</v>
      </c>
      <c r="D3519" s="36">
        <f t="shared" ca="1" si="165"/>
        <v>0.12303989397756965</v>
      </c>
      <c r="E3519" s="32">
        <v>0.12013000930179984</v>
      </c>
      <c r="F3519" s="35">
        <f t="shared" ca="1" si="164"/>
        <v>2.9099956460720833E-3</v>
      </c>
    </row>
    <row r="3520" spans="1:6" x14ac:dyDescent="0.25">
      <c r="A3520" s="23">
        <v>3519</v>
      </c>
      <c r="B3520" s="7" cm="1">
        <f t="array" aca="1" ref="B3520" ca="1">interpolexp(A3520,serie_du,Taxas_DI)</f>
        <v>0.12304000491631939</v>
      </c>
      <c r="C3520" s="37">
        <f t="shared" ca="1" si="163"/>
        <v>5.0551418663118888</v>
      </c>
      <c r="D3520" s="36">
        <f t="shared" ca="1" si="165"/>
        <v>0.12303989391446568</v>
      </c>
      <c r="E3520" s="32">
        <v>0.12013000941941687</v>
      </c>
      <c r="F3520" s="35">
        <f t="shared" ca="1" si="164"/>
        <v>2.9099954969025177E-3</v>
      </c>
    </row>
    <row r="3521" spans="1:6" x14ac:dyDescent="0.25">
      <c r="A3521" s="23">
        <v>3520</v>
      </c>
      <c r="B3521" s="7" cm="1">
        <f t="array" aca="1" ref="B3521" ca="1">interpolexp(A3521,serie_du,Taxas_DI)</f>
        <v>0.12304000488481126</v>
      </c>
      <c r="C3521" s="37">
        <f t="shared" ca="1" si="163"/>
        <v>5.0574701587418947</v>
      </c>
      <c r="D3521" s="36">
        <f t="shared" ca="1" si="165"/>
        <v>0.12303989400780413</v>
      </c>
      <c r="E3521" s="32">
        <v>0.12013000953698949</v>
      </c>
      <c r="F3521" s="35">
        <f t="shared" ca="1" si="164"/>
        <v>2.9099953478217699E-3</v>
      </c>
    </row>
    <row r="3522" spans="1:6" x14ac:dyDescent="0.25">
      <c r="A3522" s="23">
        <v>3521</v>
      </c>
      <c r="B3522" s="7" cm="1">
        <f t="array" aca="1" ref="B3522" ca="1">interpolexp(A3522,serie_du,Taxas_DI)</f>
        <v>0.12304000485330313</v>
      </c>
      <c r="C3522" s="37">
        <f t="shared" ref="C3522:C3585" ca="1" si="166">(1+B3522)^(A3522/252)</f>
        <v>5.0597995235334823</v>
      </c>
      <c r="D3522" s="36">
        <f t="shared" ca="1" si="165"/>
        <v>0.12303989394460624</v>
      </c>
      <c r="E3522" s="32">
        <v>0.12013000965447329</v>
      </c>
      <c r="F3522" s="35">
        <f t="shared" ref="F3522:F3585" ca="1" si="167">B3522-E3522</f>
        <v>2.90999519882984E-3</v>
      </c>
    </row>
    <row r="3523" spans="1:6" x14ac:dyDescent="0.25">
      <c r="A3523" s="23">
        <v>3522</v>
      </c>
      <c r="B3523" s="7" cm="1">
        <f t="array" aca="1" ref="B3523" ca="1">interpolexp(A3523,serie_du,Taxas_DI)</f>
        <v>0.12304000482183941</v>
      </c>
      <c r="C3523" s="37">
        <f t="shared" ca="1" si="166"/>
        <v>5.0621299611833601</v>
      </c>
      <c r="D3523" s="36">
        <f t="shared" ca="1" si="165"/>
        <v>0.12303989403806415</v>
      </c>
      <c r="E3523" s="32">
        <v>0.12013000977189048</v>
      </c>
      <c r="F3523" s="35">
        <f t="shared" ca="1" si="167"/>
        <v>2.9099950499489324E-3</v>
      </c>
    </row>
    <row r="3524" spans="1:6" x14ac:dyDescent="0.25">
      <c r="A3524" s="23">
        <v>3523</v>
      </c>
      <c r="B3524" s="7" cm="1">
        <f t="array" aca="1" ref="B3524" ca="1">interpolexp(A3524,serie_du,Taxas_DI)</f>
        <v>0.12304000479037569</v>
      </c>
      <c r="C3524" s="37">
        <f t="shared" ca="1" si="166"/>
        <v>5.0644614721828667</v>
      </c>
      <c r="D3524" s="36">
        <f t="shared" ref="D3524:D3587" ca="1" si="168">((((1+B3524)^(A3524/252))/((1+B3523)^(A3523/252)))^(252/1))-1</f>
        <v>0.12303989397512116</v>
      </c>
      <c r="E3524" s="32">
        <v>0.12013000988924105</v>
      </c>
      <c r="F3524" s="35">
        <f t="shared" ca="1" si="167"/>
        <v>2.9099949011346382E-3</v>
      </c>
    </row>
    <row r="3525" spans="1:6" x14ac:dyDescent="0.25">
      <c r="A3525" s="23">
        <v>3524</v>
      </c>
      <c r="B3525" s="7" cm="1">
        <f t="array" aca="1" ref="B3525" ca="1">interpolexp(A3525,serie_du,Taxas_DI)</f>
        <v>0.12304000475893417</v>
      </c>
      <c r="C3525" s="37">
        <f t="shared" ca="1" si="166"/>
        <v>5.0667940570277654</v>
      </c>
      <c r="D3525" s="36">
        <f t="shared" ca="1" si="168"/>
        <v>0.12303989399053594</v>
      </c>
      <c r="E3525" s="32">
        <v>0.12013001000652501</v>
      </c>
      <c r="F3525" s="35">
        <f t="shared" ca="1" si="167"/>
        <v>2.9099947524091618E-3</v>
      </c>
    </row>
    <row r="3526" spans="1:6" x14ac:dyDescent="0.25">
      <c r="A3526" s="23">
        <v>3525</v>
      </c>
      <c r="B3526" s="7" cm="1">
        <f t="array" aca="1" ref="B3526" ca="1">interpolexp(A3526,serie_du,Taxas_DI)</f>
        <v>0.12304000472749266</v>
      </c>
      <c r="C3526" s="37">
        <f t="shared" ca="1" si="166"/>
        <v>5.0691277162112449</v>
      </c>
      <c r="D3526" s="36">
        <f t="shared" ca="1" si="168"/>
        <v>0.12303989392759185</v>
      </c>
      <c r="E3526" s="32">
        <v>0.12013001012374236</v>
      </c>
      <c r="F3526" s="35">
        <f t="shared" ca="1" si="167"/>
        <v>2.9099946037502988E-3</v>
      </c>
    </row>
    <row r="3527" spans="1:6" x14ac:dyDescent="0.25">
      <c r="A3527" s="23">
        <v>3526</v>
      </c>
      <c r="B3527" s="7" cm="1">
        <f t="array" aca="1" ref="B3527" ca="1">interpolexp(A3527,serie_du,Taxas_DI)</f>
        <v>0.12304000469609555</v>
      </c>
      <c r="C3527" s="37">
        <f t="shared" ca="1" si="166"/>
        <v>5.0714624502309293</v>
      </c>
      <c r="D3527" s="36">
        <f t="shared" ca="1" si="168"/>
        <v>0.12303989402130133</v>
      </c>
      <c r="E3527" s="32">
        <v>0.1201300102409153</v>
      </c>
      <c r="F3527" s="35">
        <f t="shared" ca="1" si="167"/>
        <v>2.9099944551802537E-3</v>
      </c>
    </row>
    <row r="3528" spans="1:6" x14ac:dyDescent="0.25">
      <c r="A3528" s="23">
        <v>3527</v>
      </c>
      <c r="B3528" s="7" cm="1">
        <f t="array" aca="1" ref="B3528" ca="1">interpolexp(A3528,serie_du,Taxas_DI)</f>
        <v>0.12304000466469844</v>
      </c>
      <c r="C3528" s="37">
        <f t="shared" ca="1" si="166"/>
        <v>5.0737982595790605</v>
      </c>
      <c r="D3528" s="36">
        <f t="shared" ca="1" si="168"/>
        <v>0.12303989395848025</v>
      </c>
      <c r="E3528" s="32">
        <v>0.12013001035799942</v>
      </c>
      <c r="F3528" s="35">
        <f t="shared" ca="1" si="167"/>
        <v>2.9099943066990264E-3</v>
      </c>
    </row>
    <row r="3529" spans="1:6" x14ac:dyDescent="0.25">
      <c r="A3529" s="23">
        <v>3528</v>
      </c>
      <c r="B3529" s="7" cm="1">
        <f t="array" aca="1" ref="B3529" ca="1">interpolexp(A3529,serie_du,Taxas_DI)</f>
        <v>0.12304000463332354</v>
      </c>
      <c r="C3529" s="37">
        <f t="shared" ca="1" si="166"/>
        <v>5.0761351447523158</v>
      </c>
      <c r="D3529" s="36">
        <f t="shared" ca="1" si="168"/>
        <v>0.12303989397399362</v>
      </c>
      <c r="E3529" s="32">
        <v>0.12013001047501692</v>
      </c>
      <c r="F3529" s="35">
        <f t="shared" ca="1" si="167"/>
        <v>2.9099941583066169E-3</v>
      </c>
    </row>
    <row r="3530" spans="1:6" x14ac:dyDescent="0.25">
      <c r="A3530" s="23">
        <v>3529</v>
      </c>
      <c r="B3530" s="7" cm="1">
        <f t="array" aca="1" ref="B3530" ca="1">interpolexp(A3530,serie_du,Taxas_DI)</f>
        <v>0.12304000460197084</v>
      </c>
      <c r="C3530" s="37">
        <f t="shared" ca="1" si="166"/>
        <v>5.0784731062462045</v>
      </c>
      <c r="D3530" s="36">
        <f t="shared" ca="1" si="168"/>
        <v>0.12303989398984871</v>
      </c>
      <c r="E3530" s="32">
        <v>0.12013001059196782</v>
      </c>
      <c r="F3530" s="35">
        <f t="shared" ca="1" si="167"/>
        <v>2.9099940100030253E-3</v>
      </c>
    </row>
    <row r="3531" spans="1:6" x14ac:dyDescent="0.25">
      <c r="A3531" s="23">
        <v>3530</v>
      </c>
      <c r="B3531" s="7" cm="1">
        <f t="array" aca="1" ref="B3531" ca="1">interpolexp(A3531,serie_du,Taxas_DI)</f>
        <v>0.12304000457061814</v>
      </c>
      <c r="C3531" s="37">
        <f t="shared" ca="1" si="166"/>
        <v>5.0808121445550434</v>
      </c>
      <c r="D3531" s="36">
        <f t="shared" ca="1" si="168"/>
        <v>0.12303989392690196</v>
      </c>
      <c r="E3531" s="32">
        <v>0.1201300107088521</v>
      </c>
      <c r="F3531" s="35">
        <f t="shared" ca="1" si="167"/>
        <v>2.909993861766047E-3</v>
      </c>
    </row>
    <row r="3532" spans="1:6" x14ac:dyDescent="0.25">
      <c r="A3532" s="23">
        <v>3531</v>
      </c>
      <c r="B3532" s="7" cm="1">
        <f t="array" aca="1" ref="B3532" ca="1">interpolexp(A3532,serie_du,Taxas_DI)</f>
        <v>0.12304000453930986</v>
      </c>
      <c r="C3532" s="37">
        <f t="shared" ca="1" si="166"/>
        <v>5.0831522601776102</v>
      </c>
      <c r="D3532" s="36">
        <f t="shared" ca="1" si="168"/>
        <v>0.12303989402105109</v>
      </c>
      <c r="E3532" s="32">
        <v>0.12013001082566976</v>
      </c>
      <c r="F3532" s="35">
        <f t="shared" ca="1" si="167"/>
        <v>2.9099937136400911E-3</v>
      </c>
    </row>
    <row r="3533" spans="1:6" x14ac:dyDescent="0.25">
      <c r="A3533" s="23">
        <v>3532</v>
      </c>
      <c r="B3533" s="7" cm="1">
        <f t="array" aca="1" ref="B3533" ca="1">interpolexp(A3533,serie_du,Taxas_DI)</f>
        <v>0.12304000450800157</v>
      </c>
      <c r="C3533" s="37">
        <f t="shared" ca="1" si="166"/>
        <v>5.0854934536072793</v>
      </c>
      <c r="D3533" s="36">
        <f t="shared" ca="1" si="168"/>
        <v>0.1230398939584183</v>
      </c>
      <c r="E3533" s="32">
        <v>0.12013001094244302</v>
      </c>
      <c r="F3533" s="35">
        <f t="shared" ca="1" si="167"/>
        <v>2.909993565558544E-3</v>
      </c>
    </row>
    <row r="3534" spans="1:6" x14ac:dyDescent="0.25">
      <c r="A3534" s="23">
        <v>3533</v>
      </c>
      <c r="B3534" s="7" cm="1">
        <f t="array" aca="1" ref="B3534" ca="1">interpolexp(A3534,serie_du,Taxas_DI)</f>
        <v>0.12304000447671548</v>
      </c>
      <c r="C3534" s="37">
        <f t="shared" ca="1" si="166"/>
        <v>5.0878357253418738</v>
      </c>
      <c r="D3534" s="36">
        <f t="shared" ca="1" si="168"/>
        <v>0.1230398939742432</v>
      </c>
      <c r="E3534" s="32">
        <v>0.12013001105912746</v>
      </c>
      <c r="F3534" s="35">
        <f t="shared" ca="1" si="167"/>
        <v>2.9099934175880193E-3</v>
      </c>
    </row>
    <row r="3535" spans="1:6" x14ac:dyDescent="0.25">
      <c r="A3535" s="23">
        <v>3534</v>
      </c>
      <c r="B3535" s="7" cm="1">
        <f t="array" aca="1" ref="B3535" ca="1">interpolexp(A3535,serie_du,Taxas_DI)</f>
        <v>0.1230400044454516</v>
      </c>
      <c r="C3535" s="37">
        <f t="shared" ca="1" si="166"/>
        <v>5.0901790758780399</v>
      </c>
      <c r="D3535" s="36">
        <f t="shared" ca="1" si="168"/>
        <v>0.12303989399016224</v>
      </c>
      <c r="E3535" s="32">
        <v>0.12013001117574529</v>
      </c>
      <c r="F3535" s="35">
        <f t="shared" ca="1" si="167"/>
        <v>2.9099932697063124E-3</v>
      </c>
    </row>
    <row r="3536" spans="1:6" x14ac:dyDescent="0.25">
      <c r="A3536" s="23">
        <v>3535</v>
      </c>
      <c r="B3536" s="7" cm="1">
        <f t="array" aca="1" ref="B3536" ca="1">interpolexp(A3536,serie_du,Taxas_DI)</f>
        <v>0.12304000441420992</v>
      </c>
      <c r="C3536" s="37">
        <f t="shared" ca="1" si="166"/>
        <v>5.0925235057126557</v>
      </c>
      <c r="D3536" s="36">
        <f t="shared" ca="1" si="168"/>
        <v>0.12303989400623605</v>
      </c>
      <c r="E3536" s="32">
        <v>0.12013001129231871</v>
      </c>
      <c r="F3536" s="35">
        <f t="shared" ca="1" si="167"/>
        <v>2.9099931218912189E-3</v>
      </c>
    </row>
    <row r="3537" spans="1:6" x14ac:dyDescent="0.25">
      <c r="A3537" s="23">
        <v>3536</v>
      </c>
      <c r="B3537" s="7" cm="1">
        <f t="array" aca="1" ref="B3537" ca="1">interpolexp(A3537,serie_du,Taxas_DI)</f>
        <v>0.12304000438296825</v>
      </c>
      <c r="C3537" s="37">
        <f t="shared" ca="1" si="166"/>
        <v>5.0948690153414056</v>
      </c>
      <c r="D3537" s="36">
        <f t="shared" ca="1" si="168"/>
        <v>0.12303989394360393</v>
      </c>
      <c r="E3537" s="32">
        <v>0.12013001140880331</v>
      </c>
      <c r="F3537" s="35">
        <f t="shared" ca="1" si="167"/>
        <v>2.9099929741649433E-3</v>
      </c>
    </row>
    <row r="3538" spans="1:6" x14ac:dyDescent="0.25">
      <c r="A3538" s="23">
        <v>3537</v>
      </c>
      <c r="B3538" s="7" cm="1">
        <f t="array" aca="1" ref="B3538" ca="1">interpolexp(A3538,serie_du,Taxas_DI)</f>
        <v>0.12304000435174878</v>
      </c>
      <c r="C3538" s="37">
        <f t="shared" ca="1" si="166"/>
        <v>5.0972156052630391</v>
      </c>
      <c r="D3538" s="36">
        <f t="shared" ca="1" si="168"/>
        <v>0.12303989395973991</v>
      </c>
      <c r="E3538" s="32">
        <v>0.12013001152522129</v>
      </c>
      <c r="F3538" s="35">
        <f t="shared" ca="1" si="167"/>
        <v>2.9099928265274855E-3</v>
      </c>
    </row>
    <row r="3539" spans="1:6" x14ac:dyDescent="0.25">
      <c r="A3539" s="23">
        <v>3538</v>
      </c>
      <c r="B3539" s="7" cm="1">
        <f t="array" aca="1" ref="B3539" ca="1">interpolexp(A3539,serie_du,Taxas_DI)</f>
        <v>0.12304000432055151</v>
      </c>
      <c r="C3539" s="37">
        <f t="shared" ca="1" si="166"/>
        <v>5.0995632759751137</v>
      </c>
      <c r="D3539" s="36">
        <f t="shared" ca="1" si="168"/>
        <v>0.12303989397574489</v>
      </c>
      <c r="E3539" s="32">
        <v>0.12013001164159487</v>
      </c>
      <c r="F3539" s="35">
        <f t="shared" ca="1" si="167"/>
        <v>2.909992678956641E-3</v>
      </c>
    </row>
    <row r="3540" spans="1:6" x14ac:dyDescent="0.25">
      <c r="A3540" s="23">
        <v>3539</v>
      </c>
      <c r="B3540" s="7" cm="1">
        <f t="array" aca="1" ref="B3540" ca="1">interpolexp(A3540,serie_du,Taxas_DI)</f>
        <v>0.12304000428937645</v>
      </c>
      <c r="C3540" s="37">
        <f t="shared" ca="1" si="166"/>
        <v>5.1019120279754233</v>
      </c>
      <c r="D3540" s="36">
        <f t="shared" ca="1" si="168"/>
        <v>0.12303989399204163</v>
      </c>
      <c r="E3540" s="32">
        <v>0.12013001175787963</v>
      </c>
      <c r="F3540" s="35">
        <f t="shared" ca="1" si="167"/>
        <v>2.9099925314968189E-3</v>
      </c>
    </row>
    <row r="3541" spans="1:6" x14ac:dyDescent="0.25">
      <c r="A3541" s="23">
        <v>3540</v>
      </c>
      <c r="B3541" s="7" cm="1">
        <f t="array" aca="1" ref="B3541" ca="1">interpolexp(A3541,serie_du,Taxas_DI)</f>
        <v>0.12304000425822359</v>
      </c>
      <c r="C3541" s="37">
        <f t="shared" ca="1" si="166"/>
        <v>5.1042618617619864</v>
      </c>
      <c r="D3541" s="36">
        <f t="shared" ca="1" si="168"/>
        <v>0.12303989400823934</v>
      </c>
      <c r="E3541" s="32">
        <v>0.12013001187411998</v>
      </c>
      <c r="F3541" s="35">
        <f t="shared" ca="1" si="167"/>
        <v>2.9099923841036102E-3</v>
      </c>
    </row>
    <row r="3542" spans="1:6" x14ac:dyDescent="0.25">
      <c r="A3542" s="23">
        <v>3541</v>
      </c>
      <c r="B3542" s="7" cm="1">
        <f t="array" aca="1" ref="B3542" ca="1">interpolexp(A3542,serie_du,Taxas_DI)</f>
        <v>0.12304000422707073</v>
      </c>
      <c r="C3542" s="37">
        <f t="shared" ca="1" si="166"/>
        <v>5.1066127778316357</v>
      </c>
      <c r="D3542" s="36">
        <f t="shared" ca="1" si="168"/>
        <v>0.1230398939459818</v>
      </c>
      <c r="E3542" s="32">
        <v>0.12013001199027151</v>
      </c>
      <c r="F3542" s="35">
        <f t="shared" ca="1" si="167"/>
        <v>2.9099922367992193E-3</v>
      </c>
    </row>
    <row r="3543" spans="1:6" x14ac:dyDescent="0.25">
      <c r="A3543" s="23">
        <v>3542</v>
      </c>
      <c r="B3543" s="7" cm="1">
        <f t="array" aca="1" ref="B3543" ca="1">interpolexp(A3543,serie_du,Taxas_DI)</f>
        <v>0.12304000419594008</v>
      </c>
      <c r="C3543" s="37">
        <f t="shared" ca="1" si="166"/>
        <v>5.1089647766842639</v>
      </c>
      <c r="D3543" s="36">
        <f t="shared" ca="1" si="168"/>
        <v>0.12303989396224768</v>
      </c>
      <c r="E3543" s="32">
        <v>0.12013001210637864</v>
      </c>
      <c r="F3543" s="35">
        <f t="shared" ca="1" si="167"/>
        <v>2.9099920895614417E-3</v>
      </c>
    </row>
    <row r="3544" spans="1:6" x14ac:dyDescent="0.25">
      <c r="A3544" s="23">
        <v>3543</v>
      </c>
      <c r="B3544" s="7" cm="1">
        <f t="array" aca="1" ref="B3544" ca="1">interpolexp(A3544,serie_du,Taxas_DI)</f>
        <v>0.12304000416483163</v>
      </c>
      <c r="C3544" s="37">
        <f t="shared" ca="1" si="166"/>
        <v>5.1113178588185839</v>
      </c>
      <c r="D3544" s="36">
        <f t="shared" ca="1" si="168"/>
        <v>0.12303989397878956</v>
      </c>
      <c r="E3544" s="32">
        <v>0.12013001222239694</v>
      </c>
      <c r="F3544" s="35">
        <f t="shared" ca="1" si="167"/>
        <v>2.9099919424346865E-3</v>
      </c>
    </row>
    <row r="3545" spans="1:6" x14ac:dyDescent="0.25">
      <c r="A3545" s="23">
        <v>3544</v>
      </c>
      <c r="B3545" s="7" cm="1">
        <f t="array" aca="1" ref="B3545" ca="1">interpolexp(A3545,serie_du,Taxas_DI)</f>
        <v>0.12304000413374538</v>
      </c>
      <c r="C3545" s="37">
        <f t="shared" ca="1" si="166"/>
        <v>5.1136720247335283</v>
      </c>
      <c r="D3545" s="36">
        <f t="shared" ca="1" si="168"/>
        <v>0.12303989399511628</v>
      </c>
      <c r="E3545" s="32">
        <v>0.12013001233837084</v>
      </c>
      <c r="F3545" s="35">
        <f t="shared" ca="1" si="167"/>
        <v>2.9099917953745447E-3</v>
      </c>
    </row>
    <row r="3546" spans="1:6" x14ac:dyDescent="0.25">
      <c r="A3546" s="23">
        <v>3545</v>
      </c>
      <c r="B3546" s="7" cm="1">
        <f t="array" aca="1" ref="B3546" ca="1">interpolexp(A3546,serie_du,Taxas_DI)</f>
        <v>0.12304000410265914</v>
      </c>
      <c r="C3546" s="37">
        <f t="shared" ca="1" si="166"/>
        <v>5.1160272749268474</v>
      </c>
      <c r="D3546" s="36">
        <f t="shared" ca="1" si="168"/>
        <v>0.12303989393306169</v>
      </c>
      <c r="E3546" s="32">
        <v>0.12013001245427812</v>
      </c>
      <c r="F3546" s="35">
        <f t="shared" ca="1" si="167"/>
        <v>2.9099916483810162E-3</v>
      </c>
    </row>
    <row r="3547" spans="1:6" x14ac:dyDescent="0.25">
      <c r="A3547" s="23">
        <v>3546</v>
      </c>
      <c r="B3547" s="7" cm="1">
        <f t="array" aca="1" ref="B3547" ca="1">interpolexp(A3547,serie_du,Taxas_DI)</f>
        <v>0.1230400040716173</v>
      </c>
      <c r="C3547" s="37">
        <f t="shared" ca="1" si="166"/>
        <v>5.118383609900782</v>
      </c>
      <c r="D3547" s="36">
        <f t="shared" ca="1" si="168"/>
        <v>0.12303989402832838</v>
      </c>
      <c r="E3547" s="32">
        <v>0.12013001257011879</v>
      </c>
      <c r="F3547" s="35">
        <f t="shared" ca="1" si="167"/>
        <v>2.90999150149851E-3</v>
      </c>
    </row>
    <row r="3548" spans="1:6" x14ac:dyDescent="0.25">
      <c r="A3548" s="23">
        <v>3547</v>
      </c>
      <c r="B3548" s="7" cm="1">
        <f t="array" aca="1" ref="B3548" ca="1">interpolexp(A3548,serie_du,Taxas_DI)</f>
        <v>0.12304000404057547</v>
      </c>
      <c r="C3548" s="37">
        <f t="shared" ca="1" si="166"/>
        <v>5.1207410301521135</v>
      </c>
      <c r="D3548" s="36">
        <f t="shared" ca="1" si="168"/>
        <v>0.12303989396627424</v>
      </c>
      <c r="E3548" s="32">
        <v>0.12013001268587065</v>
      </c>
      <c r="F3548" s="35">
        <f t="shared" ca="1" si="167"/>
        <v>2.9099913547048217E-3</v>
      </c>
    </row>
    <row r="3549" spans="1:6" x14ac:dyDescent="0.25">
      <c r="A3549" s="23">
        <v>3548</v>
      </c>
      <c r="B3549" s="7" cm="1">
        <f t="array" aca="1" ref="B3549" ca="1">interpolexp(A3549,serie_du,Taxas_DI)</f>
        <v>0.12304000400955584</v>
      </c>
      <c r="C3549" s="37">
        <f t="shared" ca="1" si="166"/>
        <v>5.1230995361821208</v>
      </c>
      <c r="D3549" s="36">
        <f t="shared" ca="1" si="168"/>
        <v>0.12303989398286741</v>
      </c>
      <c r="E3549" s="32">
        <v>0.12013001280157809</v>
      </c>
      <c r="F3549" s="35">
        <f t="shared" ca="1" si="167"/>
        <v>2.9099912079777468E-3</v>
      </c>
    </row>
    <row r="3550" spans="1:6" x14ac:dyDescent="0.25">
      <c r="A3550" s="23">
        <v>3549</v>
      </c>
      <c r="B3550" s="7" cm="1">
        <f t="array" aca="1" ref="B3550" ca="1">interpolexp(A3550,serie_du,Taxas_DI)</f>
        <v>0.12304000397855841</v>
      </c>
      <c r="C3550" s="37">
        <f t="shared" ca="1" si="166"/>
        <v>5.1254591284908964</v>
      </c>
      <c r="D3550" s="36">
        <f t="shared" ca="1" si="168"/>
        <v>0.12303989399975634</v>
      </c>
      <c r="E3550" s="32">
        <v>0.12013001291721892</v>
      </c>
      <c r="F3550" s="35">
        <f t="shared" ca="1" si="167"/>
        <v>2.9099910613394897E-3</v>
      </c>
    </row>
    <row r="3551" spans="1:6" x14ac:dyDescent="0.25">
      <c r="A3551" s="23">
        <v>3550</v>
      </c>
      <c r="B3551" s="7" cm="1">
        <f t="array" aca="1" ref="B3551" ca="1">interpolexp(A3551,serie_du,Taxas_DI)</f>
        <v>0.12304000394756098</v>
      </c>
      <c r="C3551" s="37">
        <f t="shared" ca="1" si="166"/>
        <v>5.1278198075773274</v>
      </c>
      <c r="D3551" s="36">
        <f t="shared" ca="1" si="168"/>
        <v>0.12303989393763781</v>
      </c>
      <c r="E3551" s="32">
        <v>0.12013001303279314</v>
      </c>
      <c r="F3551" s="35">
        <f t="shared" ca="1" si="167"/>
        <v>2.909990914767846E-3</v>
      </c>
    </row>
    <row r="3552" spans="1:6" x14ac:dyDescent="0.25">
      <c r="A3552" s="23">
        <v>3551</v>
      </c>
      <c r="B3552" s="7" cm="1">
        <f t="array" aca="1" ref="B3552" ca="1">interpolexp(A3552,serie_du,Taxas_DI)</f>
        <v>0.12304000391658576</v>
      </c>
      <c r="C3552" s="37">
        <f t="shared" ca="1" si="166"/>
        <v>5.1301815739433918</v>
      </c>
      <c r="D3552" s="36">
        <f t="shared" ca="1" si="168"/>
        <v>0.12303989395459047</v>
      </c>
      <c r="E3552" s="32">
        <v>0.12013001314832294</v>
      </c>
      <c r="F3552" s="35">
        <f t="shared" ca="1" si="167"/>
        <v>2.9099907682628157E-3</v>
      </c>
    </row>
    <row r="3553" spans="1:6" x14ac:dyDescent="0.25">
      <c r="A3553" s="23">
        <v>3552</v>
      </c>
      <c r="B3553" s="7" cm="1">
        <f t="array" aca="1" ref="B3553" ca="1">interpolexp(A3553,serie_du,Taxas_DI)</f>
        <v>0.12304000388563274</v>
      </c>
      <c r="C3553" s="37">
        <f t="shared" ca="1" si="166"/>
        <v>5.132544428089866</v>
      </c>
      <c r="D3553" s="36">
        <f t="shared" ca="1" si="168"/>
        <v>0.12303989397141724</v>
      </c>
      <c r="E3553" s="32">
        <v>0.12013001326376394</v>
      </c>
      <c r="F3553" s="35">
        <f t="shared" ca="1" si="167"/>
        <v>2.9099906218688076E-3</v>
      </c>
    </row>
    <row r="3554" spans="1:6" x14ac:dyDescent="0.25">
      <c r="A3554" s="23">
        <v>3553</v>
      </c>
      <c r="B3554" s="7" cm="1">
        <f t="array" aca="1" ref="B3554" ca="1">interpolexp(A3554,serie_du,Taxas_DI)</f>
        <v>0.12304000385470193</v>
      </c>
      <c r="C3554" s="37">
        <f t="shared" ca="1" si="166"/>
        <v>5.1349083705177643</v>
      </c>
      <c r="D3554" s="36">
        <f t="shared" ca="1" si="168"/>
        <v>0.12303989398852355</v>
      </c>
      <c r="E3554" s="32">
        <v>0.12013001337913831</v>
      </c>
      <c r="F3554" s="35">
        <f t="shared" ca="1" si="167"/>
        <v>2.9099904755636175E-3</v>
      </c>
    </row>
    <row r="3555" spans="1:6" x14ac:dyDescent="0.25">
      <c r="A3555" s="23">
        <v>3554</v>
      </c>
      <c r="B3555" s="7" cm="1">
        <f t="array" aca="1" ref="B3555" ca="1">interpolexp(A3555,serie_du,Taxas_DI)</f>
        <v>0.12304000382379332</v>
      </c>
      <c r="C3555" s="37">
        <f t="shared" ca="1" si="166"/>
        <v>5.137273401728323</v>
      </c>
      <c r="D3555" s="36">
        <f t="shared" ca="1" si="168"/>
        <v>0.12303989400541426</v>
      </c>
      <c r="E3555" s="32">
        <v>0.12013001349444608</v>
      </c>
      <c r="F3555" s="35">
        <f t="shared" ca="1" si="167"/>
        <v>2.9099903293472451E-3</v>
      </c>
    </row>
    <row r="3556" spans="1:6" x14ac:dyDescent="0.25">
      <c r="A3556" s="23">
        <v>3555</v>
      </c>
      <c r="B3556" s="7" cm="1">
        <f t="array" aca="1" ref="B3556" ca="1">interpolexp(A3556,serie_du,Taxas_DI)</f>
        <v>0.12304000379288471</v>
      </c>
      <c r="C3556" s="37">
        <f t="shared" ca="1" si="166"/>
        <v>5.1396395222215867</v>
      </c>
      <c r="D3556" s="36">
        <f t="shared" ca="1" si="168"/>
        <v>0.12303989394379111</v>
      </c>
      <c r="E3556" s="32">
        <v>0.12013001360970943</v>
      </c>
      <c r="F3556" s="35">
        <f t="shared" ca="1" si="167"/>
        <v>2.9099901831752817E-3</v>
      </c>
    </row>
    <row r="3557" spans="1:6" x14ac:dyDescent="0.25">
      <c r="A3557" s="23">
        <v>3556</v>
      </c>
      <c r="B3557" s="7" cm="1">
        <f t="array" aca="1" ref="B3557" ca="1">interpolexp(A3557,serie_du,Taxas_DI)</f>
        <v>0.12304000376199831</v>
      </c>
      <c r="C3557" s="37">
        <f t="shared" ca="1" si="166"/>
        <v>5.1420067325006835</v>
      </c>
      <c r="D3557" s="36">
        <f t="shared" ca="1" si="168"/>
        <v>0.12303989396074178</v>
      </c>
      <c r="E3557" s="32">
        <v>0.12013001372488397</v>
      </c>
      <c r="F3557" s="35">
        <f t="shared" ca="1" si="167"/>
        <v>2.9099900371143406E-3</v>
      </c>
    </row>
    <row r="3558" spans="1:6" x14ac:dyDescent="0.25">
      <c r="A3558" s="23">
        <v>3557</v>
      </c>
      <c r="B3558" s="7" cm="1">
        <f t="array" aca="1" ref="B3558" ca="1">interpolexp(A3558,serie_du,Taxas_DI)</f>
        <v>0.12304000373115631</v>
      </c>
      <c r="C3558" s="37">
        <f t="shared" ca="1" si="166"/>
        <v>5.1443750330689886</v>
      </c>
      <c r="D3558" s="36">
        <f t="shared" ca="1" si="168"/>
        <v>0.12303989405712179</v>
      </c>
      <c r="E3558" s="32">
        <v>0.12013001384001409</v>
      </c>
      <c r="F3558" s="35">
        <f t="shared" ca="1" si="167"/>
        <v>2.9099898911422173E-3</v>
      </c>
    </row>
    <row r="3559" spans="1:6" x14ac:dyDescent="0.25">
      <c r="A3559" s="23">
        <v>3558</v>
      </c>
      <c r="B3559" s="7" cm="1">
        <f t="array" aca="1" ref="B3559" ca="1">interpolexp(A3559,serie_du,Taxas_DI)</f>
        <v>0.12304000370029211</v>
      </c>
      <c r="C3559" s="37">
        <f t="shared" ca="1" si="166"/>
        <v>5.1467444244243552</v>
      </c>
      <c r="D3559" s="36">
        <f t="shared" ca="1" si="168"/>
        <v>0.12303989391629711</v>
      </c>
      <c r="E3559" s="32">
        <v>0.1201300139550554</v>
      </c>
      <c r="F3559" s="35">
        <f t="shared" ca="1" si="167"/>
        <v>2.9099897452367074E-3</v>
      </c>
    </row>
    <row r="3560" spans="1:6" x14ac:dyDescent="0.25">
      <c r="A3560" s="23">
        <v>3559</v>
      </c>
      <c r="B3560" s="7" cm="1">
        <f t="array" aca="1" ref="B3560" ca="1">interpolexp(A3560,serie_du,Taxas_DI)</f>
        <v>0.12304000366947232</v>
      </c>
      <c r="C3560" s="37">
        <f t="shared" ca="1" si="166"/>
        <v>5.149114907073491</v>
      </c>
      <c r="D3560" s="36">
        <f t="shared" ca="1" si="168"/>
        <v>0.12303989401269244</v>
      </c>
      <c r="E3560" s="32">
        <v>0.1201300140700523</v>
      </c>
      <c r="F3560" s="35">
        <f t="shared" ca="1" si="167"/>
        <v>2.9099895994200153E-3</v>
      </c>
    </row>
    <row r="3561" spans="1:6" x14ac:dyDescent="0.25">
      <c r="A3561" s="23">
        <v>3560</v>
      </c>
      <c r="B3561" s="7" cm="1">
        <f t="array" aca="1" ref="B3561" ca="1">interpolexp(A3561,serie_du,Taxas_DI)</f>
        <v>0.12304000363865253</v>
      </c>
      <c r="C3561" s="37">
        <f t="shared" ca="1" si="166"/>
        <v>5.1514864815161454</v>
      </c>
      <c r="D3561" s="36">
        <f t="shared" ca="1" si="168"/>
        <v>0.12303989395096027</v>
      </c>
      <c r="E3561" s="32">
        <v>0.12013001418498259</v>
      </c>
      <c r="F3561" s="35">
        <f t="shared" ca="1" si="167"/>
        <v>2.9099894536699367E-3</v>
      </c>
    </row>
    <row r="3562" spans="1:6" x14ac:dyDescent="0.25">
      <c r="A3562" s="23">
        <v>3561</v>
      </c>
      <c r="B3562" s="7" cm="1">
        <f t="array" aca="1" ref="B3562" ca="1">interpolexp(A3562,serie_du,Taxas_DI)</f>
        <v>0.12304000360785494</v>
      </c>
      <c r="C3562" s="37">
        <f t="shared" ca="1" si="166"/>
        <v>5.1538591482566183</v>
      </c>
      <c r="D3562" s="36">
        <f t="shared" ca="1" si="168"/>
        <v>0.1230398939684727</v>
      </c>
      <c r="E3562" s="32">
        <v>0.12013001429984627</v>
      </c>
      <c r="F3562" s="35">
        <f t="shared" ca="1" si="167"/>
        <v>2.9099893080086758E-3</v>
      </c>
    </row>
    <row r="3563" spans="1:6" x14ac:dyDescent="0.25">
      <c r="A3563" s="23">
        <v>3562</v>
      </c>
      <c r="B3563" s="7" cm="1">
        <f t="array" aca="1" ref="B3563" ca="1">interpolexp(A3563,serie_du,Taxas_DI)</f>
        <v>0.12304000357707956</v>
      </c>
      <c r="C3563" s="37">
        <f t="shared" ca="1" si="166"/>
        <v>5.1562329077979978</v>
      </c>
      <c r="D3563" s="36">
        <f t="shared" ca="1" si="168"/>
        <v>0.12303989398595916</v>
      </c>
      <c r="E3563" s="32">
        <v>0.12013001441464333</v>
      </c>
      <c r="F3563" s="35">
        <f t="shared" ca="1" si="167"/>
        <v>2.9099891624362328E-3</v>
      </c>
    </row>
    <row r="3564" spans="1:6" x14ac:dyDescent="0.25">
      <c r="A3564" s="23">
        <v>3563</v>
      </c>
      <c r="B3564" s="7" cm="1">
        <f t="array" aca="1" ref="B3564" ca="1">interpolexp(A3564,serie_du,Taxas_DI)</f>
        <v>0.12304000354632638</v>
      </c>
      <c r="C3564" s="37">
        <f t="shared" ca="1" si="166"/>
        <v>5.1586077606436085</v>
      </c>
      <c r="D3564" s="36">
        <f t="shared" ca="1" si="168"/>
        <v>0.12303989400353355</v>
      </c>
      <c r="E3564" s="32">
        <v>0.12013001452937377</v>
      </c>
      <c r="F3564" s="35">
        <f t="shared" ca="1" si="167"/>
        <v>2.9099890169526077E-3</v>
      </c>
    </row>
    <row r="3565" spans="1:6" x14ac:dyDescent="0.25">
      <c r="A3565" s="23">
        <v>3564</v>
      </c>
      <c r="B3565" s="7" cm="1">
        <f t="array" aca="1" ref="B3565" ca="1">interpolexp(A3565,serie_du,Taxas_DI)</f>
        <v>0.1230400035155732</v>
      </c>
      <c r="C3565" s="37">
        <f t="shared" ca="1" si="166"/>
        <v>5.1609837072955616</v>
      </c>
      <c r="D3565" s="36">
        <f t="shared" ca="1" si="168"/>
        <v>0.12303989394203585</v>
      </c>
      <c r="E3565" s="32">
        <v>0.12013001464403761</v>
      </c>
      <c r="F3565" s="35">
        <f t="shared" ca="1" si="167"/>
        <v>2.9099888715355959E-3</v>
      </c>
    </row>
    <row r="3566" spans="1:6" x14ac:dyDescent="0.25">
      <c r="A3566" s="23">
        <v>3565</v>
      </c>
      <c r="B3566" s="7" cm="1">
        <f t="array" aca="1" ref="B3566" ca="1">interpolexp(A3566,serie_du,Taxas_DI)</f>
        <v>0.12304000348486444</v>
      </c>
      <c r="C3566" s="37">
        <f t="shared" ca="1" si="166"/>
        <v>5.1633607482605282</v>
      </c>
      <c r="D3566" s="36">
        <f t="shared" ca="1" si="168"/>
        <v>0.12303989403881643</v>
      </c>
      <c r="E3566" s="32">
        <v>0.12013001475865703</v>
      </c>
      <c r="F3566" s="35">
        <f t="shared" ca="1" si="167"/>
        <v>2.909988726207402E-3</v>
      </c>
    </row>
    <row r="3567" spans="1:6" x14ac:dyDescent="0.25">
      <c r="A3567" s="23">
        <v>3566</v>
      </c>
      <c r="B3567" s="7" cm="1">
        <f t="array" aca="1" ref="B3567" ca="1">interpolexp(A3567,serie_du,Taxas_DI)</f>
        <v>0.12304000345413346</v>
      </c>
      <c r="C3567" s="37">
        <f t="shared" ca="1" si="166"/>
        <v>5.165738884038193</v>
      </c>
      <c r="D3567" s="36">
        <f t="shared" ca="1" si="168"/>
        <v>0.1230398938981887</v>
      </c>
      <c r="E3567" s="32">
        <v>0.12013001487318764</v>
      </c>
      <c r="F3567" s="35">
        <f t="shared" ca="1" si="167"/>
        <v>2.9099885809458215E-3</v>
      </c>
    </row>
    <row r="3568" spans="1:6" x14ac:dyDescent="0.25">
      <c r="A3568" s="23">
        <v>3567</v>
      </c>
      <c r="B3568" s="7" cm="1">
        <f t="array" aca="1" ref="B3568" ca="1">interpolexp(A3568,serie_du,Taxas_DI)</f>
        <v>0.1230400034234469</v>
      </c>
      <c r="C3568" s="37">
        <f t="shared" ca="1" si="166"/>
        <v>5.1681181151371414</v>
      </c>
      <c r="D3568" s="36">
        <f t="shared" ca="1" si="168"/>
        <v>0.12303989399518001</v>
      </c>
      <c r="E3568" s="32">
        <v>0.12013001498767384</v>
      </c>
      <c r="F3568" s="35">
        <f t="shared" ca="1" si="167"/>
        <v>2.9099884357730588E-3</v>
      </c>
    </row>
    <row r="3569" spans="1:6" x14ac:dyDescent="0.25">
      <c r="A3569" s="23">
        <v>3568</v>
      </c>
      <c r="B3569" s="7" cm="1">
        <f t="array" aca="1" ref="B3569" ca="1">interpolexp(A3569,serie_du,Taxas_DI)</f>
        <v>0.12304000339278254</v>
      </c>
      <c r="C3569" s="37">
        <f t="shared" ca="1" si="166"/>
        <v>5.1704984420604108</v>
      </c>
      <c r="D3569" s="36">
        <f t="shared" ca="1" si="168"/>
        <v>0.1230398940130033</v>
      </c>
      <c r="E3569" s="32">
        <v>0.12013001510207122</v>
      </c>
      <c r="F3569" s="35">
        <f t="shared" ca="1" si="167"/>
        <v>2.9099882907113184E-3</v>
      </c>
    </row>
    <row r="3570" spans="1:6" x14ac:dyDescent="0.25">
      <c r="A3570" s="23">
        <v>3569</v>
      </c>
      <c r="B3570" s="7" cm="1">
        <f t="array" aca="1" ref="B3570" ca="1">interpolexp(A3570,serie_du,Taxas_DI)</f>
        <v>0.12304000336211818</v>
      </c>
      <c r="C3570" s="37">
        <f t="shared" ca="1" si="166"/>
        <v>5.1728798653112689</v>
      </c>
      <c r="D3570" s="36">
        <f t="shared" ca="1" si="168"/>
        <v>0.123039893951713</v>
      </c>
      <c r="E3570" s="32">
        <v>0.12013001521642419</v>
      </c>
      <c r="F3570" s="35">
        <f t="shared" ca="1" si="167"/>
        <v>2.9099881456939869E-3</v>
      </c>
    </row>
    <row r="3571" spans="1:6" x14ac:dyDescent="0.25">
      <c r="A3571" s="23">
        <v>3570</v>
      </c>
      <c r="B3571" s="7" cm="1">
        <f t="array" aca="1" ref="B3571" ca="1">interpolexp(A3571,serie_du,Taxas_DI)</f>
        <v>0.12304000333147602</v>
      </c>
      <c r="C3571" s="37">
        <f t="shared" ca="1" si="166"/>
        <v>5.1752623853961079</v>
      </c>
      <c r="D3571" s="36">
        <f t="shared" ca="1" si="168"/>
        <v>0.12303989396960047</v>
      </c>
      <c r="E3571" s="32">
        <v>0.12013001533071055</v>
      </c>
      <c r="F3571" s="35">
        <f t="shared" ca="1" si="167"/>
        <v>2.9099880007654733E-3</v>
      </c>
    </row>
    <row r="3572" spans="1:6" x14ac:dyDescent="0.25">
      <c r="A3572" s="23">
        <v>3571</v>
      </c>
      <c r="B3572" s="7" cm="1">
        <f t="array" aca="1" ref="B3572" ca="1">interpolexp(A3572,serie_du,Taxas_DI)</f>
        <v>0.12304000330085607</v>
      </c>
      <c r="C3572" s="37">
        <f t="shared" ca="1" si="166"/>
        <v>5.1776460028201114</v>
      </c>
      <c r="D3572" s="36">
        <f t="shared" ca="1" si="168"/>
        <v>0.12303989398771265</v>
      </c>
      <c r="E3572" s="32">
        <v>0.12013001544493029</v>
      </c>
      <c r="F3572" s="35">
        <f t="shared" ca="1" si="167"/>
        <v>2.9099878559257775E-3</v>
      </c>
    </row>
    <row r="3573" spans="1:6" x14ac:dyDescent="0.25">
      <c r="A3573" s="23">
        <v>3572</v>
      </c>
      <c r="B3573" s="7" cm="1">
        <f t="array" aca="1" ref="B3573" ca="1">interpolexp(A3573,serie_du,Taxas_DI)</f>
        <v>0.12304000327025832</v>
      </c>
      <c r="C3573" s="37">
        <f t="shared" ca="1" si="166"/>
        <v>5.1800307180886884</v>
      </c>
      <c r="D3573" s="36">
        <f t="shared" ca="1" si="168"/>
        <v>0.12303989400566229</v>
      </c>
      <c r="E3573" s="32">
        <v>0.12013001555908343</v>
      </c>
      <c r="F3573" s="35">
        <f t="shared" ca="1" si="167"/>
        <v>2.9099877111748995E-3</v>
      </c>
    </row>
    <row r="3574" spans="1:6" x14ac:dyDescent="0.25">
      <c r="A3574" s="23">
        <v>3573</v>
      </c>
      <c r="B3574" s="7" cm="1">
        <f t="array" aca="1" ref="B3574" ca="1">interpolexp(A3574,serie_du,Taxas_DI)</f>
        <v>0.12304000323966058</v>
      </c>
      <c r="C3574" s="37">
        <f t="shared" ca="1" si="166"/>
        <v>5.1824165317060356</v>
      </c>
      <c r="D3574" s="36">
        <f t="shared" ca="1" si="168"/>
        <v>0.12303989394454429</v>
      </c>
      <c r="E3574" s="32">
        <v>0.12013001567316994</v>
      </c>
      <c r="F3574" s="35">
        <f t="shared" ca="1" si="167"/>
        <v>2.9099875664906349E-3</v>
      </c>
    </row>
    <row r="3575" spans="1:6" x14ac:dyDescent="0.25">
      <c r="A3575" s="23">
        <v>3574</v>
      </c>
      <c r="B3575" s="7" cm="1">
        <f t="array" aca="1" ref="B3575" ca="1">interpolexp(A3575,serie_du,Taxas_DI)</f>
        <v>0.12304000320908504</v>
      </c>
      <c r="C3575" s="37">
        <f t="shared" ca="1" si="166"/>
        <v>5.1848034441794777</v>
      </c>
      <c r="D3575" s="36">
        <f t="shared" ca="1" si="168"/>
        <v>0.12303989396255877</v>
      </c>
      <c r="E3575" s="32">
        <v>0.12013001578721205</v>
      </c>
      <c r="F3575" s="35">
        <f t="shared" ca="1" si="167"/>
        <v>2.9099874218729838E-3</v>
      </c>
    </row>
    <row r="3576" spans="1:6" x14ac:dyDescent="0.25">
      <c r="A3576" s="23">
        <v>3575</v>
      </c>
      <c r="B3576" s="7" cm="1">
        <f t="array" aca="1" ref="B3576" ca="1">interpolexp(A3576,serie_du,Taxas_DI)</f>
        <v>0.1230400031785317</v>
      </c>
      <c r="C3576" s="37">
        <f t="shared" ca="1" si="166"/>
        <v>5.1871914560151318</v>
      </c>
      <c r="D3576" s="36">
        <f t="shared" ca="1" si="168"/>
        <v>0.12303989398098802</v>
      </c>
      <c r="E3576" s="32">
        <v>0.12013001590116534</v>
      </c>
      <c r="F3576" s="35">
        <f t="shared" ca="1" si="167"/>
        <v>2.9099872773663549E-3</v>
      </c>
    </row>
    <row r="3577" spans="1:6" x14ac:dyDescent="0.25">
      <c r="A3577" s="23">
        <v>3576</v>
      </c>
      <c r="B3577" s="7" cm="1">
        <f t="array" aca="1" ref="B3577" ca="1">interpolexp(A3577,serie_du,Taxas_DI)</f>
        <v>0.12304000314800079</v>
      </c>
      <c r="C3577" s="37">
        <f t="shared" ca="1" si="166"/>
        <v>5.1895805677193536</v>
      </c>
      <c r="D3577" s="36">
        <f t="shared" ca="1" si="168"/>
        <v>0.12303989400000592</v>
      </c>
      <c r="E3577" s="32">
        <v>0.12013001601507423</v>
      </c>
      <c r="F3577" s="35">
        <f t="shared" ca="1" si="167"/>
        <v>2.9099871329265614E-3</v>
      </c>
    </row>
    <row r="3578" spans="1:6" x14ac:dyDescent="0.25">
      <c r="A3578" s="23">
        <v>3577</v>
      </c>
      <c r="B3578" s="7" cm="1">
        <f t="array" aca="1" ref="B3578" ca="1">interpolexp(A3578,serie_du,Taxas_DI)</f>
        <v>0.12304000314800079</v>
      </c>
      <c r="C3578" s="37">
        <f t="shared" ca="1" si="166"/>
        <v>5.1919707818007774</v>
      </c>
      <c r="D3578" s="36">
        <f t="shared" ca="1" si="168"/>
        <v>0.12304000314803387</v>
      </c>
      <c r="E3578" s="32">
        <v>0.12013001612889429</v>
      </c>
      <c r="F3578" s="35">
        <f t="shared" ca="1" si="167"/>
        <v>2.9099870191064969E-3</v>
      </c>
    </row>
    <row r="3579" spans="1:6" x14ac:dyDescent="0.25">
      <c r="A3579" s="23">
        <v>3578</v>
      </c>
      <c r="B3579" s="7" cm="1">
        <f t="array" aca="1" ref="B3579" ca="1">interpolexp(A3579,serie_du,Taxas_DI)</f>
        <v>0.12304000314800079</v>
      </c>
      <c r="C3579" s="37">
        <f t="shared" ca="1" si="166"/>
        <v>5.1943620967656488</v>
      </c>
      <c r="D3579" s="36">
        <f t="shared" ca="1" si="168"/>
        <v>0.12304000314796815</v>
      </c>
      <c r="E3579" s="32">
        <v>0.12013001624266995</v>
      </c>
      <c r="F3579" s="35">
        <f t="shared" ca="1" si="167"/>
        <v>2.9099869053308414E-3</v>
      </c>
    </row>
    <row r="3580" spans="1:6" x14ac:dyDescent="0.25">
      <c r="A3580" s="23">
        <v>3579</v>
      </c>
      <c r="B3580" s="7" cm="1">
        <f t="array" aca="1" ref="B3580" ca="1">interpolexp(A3580,serie_du,Taxas_DI)</f>
        <v>0.12304000314800079</v>
      </c>
      <c r="C3580" s="37">
        <f t="shared" ca="1" si="166"/>
        <v>5.1967545131210153</v>
      </c>
      <c r="D3580" s="36">
        <f t="shared" ca="1" si="168"/>
        <v>0.12304000314803387</v>
      </c>
      <c r="E3580" s="32">
        <v>0.12013001635637899</v>
      </c>
      <c r="F3580" s="35">
        <f t="shared" ca="1" si="167"/>
        <v>2.9099867916217992E-3</v>
      </c>
    </row>
    <row r="3581" spans="1:6" x14ac:dyDescent="0.25">
      <c r="A3581" s="23">
        <v>3580</v>
      </c>
      <c r="B3581" s="7" cm="1">
        <f t="array" aca="1" ref="B3581" ca="1">interpolexp(A3581,serie_du,Taxas_DI)</f>
        <v>0.12304000314800079</v>
      </c>
      <c r="C3581" s="37">
        <f t="shared" ca="1" si="166"/>
        <v>5.1991480313741514</v>
      </c>
      <c r="D3581" s="36">
        <f t="shared" ca="1" si="168"/>
        <v>0.12304000314796815</v>
      </c>
      <c r="E3581" s="32">
        <v>0.12013001647002142</v>
      </c>
      <c r="F3581" s="35">
        <f t="shared" ca="1" si="167"/>
        <v>2.9099866779793704E-3</v>
      </c>
    </row>
    <row r="3582" spans="1:6" x14ac:dyDescent="0.25">
      <c r="A3582" s="23">
        <v>3581</v>
      </c>
      <c r="B3582" s="7" cm="1">
        <f t="array" aca="1" ref="B3582" ca="1">interpolexp(A3582,serie_du,Taxas_DI)</f>
        <v>0.12304000314800079</v>
      </c>
      <c r="C3582" s="37">
        <f t="shared" ca="1" si="166"/>
        <v>5.2015426520325727</v>
      </c>
      <c r="D3582" s="36">
        <f t="shared" ca="1" si="168"/>
        <v>0.12304000314809604</v>
      </c>
      <c r="E3582" s="32">
        <v>0.12013001658361944</v>
      </c>
      <c r="F3582" s="35">
        <f t="shared" ca="1" si="167"/>
        <v>2.9099865643813505E-3</v>
      </c>
    </row>
    <row r="3583" spans="1:6" x14ac:dyDescent="0.25">
      <c r="A3583" s="23">
        <v>3582</v>
      </c>
      <c r="B3583" s="7" cm="1">
        <f t="array" aca="1" ref="B3583" ca="1">interpolexp(A3583,serie_du,Taxas_DI)</f>
        <v>0.12304000314800079</v>
      </c>
      <c r="C3583" s="37">
        <f t="shared" ca="1" si="166"/>
        <v>5.2039383756040198</v>
      </c>
      <c r="D3583" s="36">
        <f t="shared" ca="1" si="168"/>
        <v>0.12304000314796815</v>
      </c>
      <c r="E3583" s="32">
        <v>0.12013001669712864</v>
      </c>
      <c r="F3583" s="35">
        <f t="shared" ca="1" si="167"/>
        <v>2.9099864508721485E-3</v>
      </c>
    </row>
    <row r="3584" spans="1:6" x14ac:dyDescent="0.25">
      <c r="A3584" s="23">
        <v>3583</v>
      </c>
      <c r="B3584" s="7" cm="1">
        <f t="array" aca="1" ref="B3584" ca="1">interpolexp(A3584,serie_du,Taxas_DI)</f>
        <v>0.12304000314800079</v>
      </c>
      <c r="C3584" s="37">
        <f t="shared" ca="1" si="166"/>
        <v>5.2063352025964749</v>
      </c>
      <c r="D3584" s="36">
        <f t="shared" ca="1" si="168"/>
        <v>0.12304000314803387</v>
      </c>
      <c r="E3584" s="32">
        <v>0.12013001681059343</v>
      </c>
      <c r="F3584" s="35">
        <f t="shared" ca="1" si="167"/>
        <v>2.9099863374073554E-3</v>
      </c>
    </row>
    <row r="3585" spans="1:6" x14ac:dyDescent="0.25">
      <c r="A3585" s="23">
        <v>3584</v>
      </c>
      <c r="B3585" s="7" cm="1">
        <f t="array" aca="1" ref="B3585" ca="1">interpolexp(A3585,serie_du,Taxas_DI)</f>
        <v>0.12304000314800079</v>
      </c>
      <c r="C3585" s="37">
        <f t="shared" ca="1" si="166"/>
        <v>5.208733133518149</v>
      </c>
      <c r="D3585" s="36">
        <f t="shared" ca="1" si="168"/>
        <v>0.12304000314796815</v>
      </c>
      <c r="E3585" s="32">
        <v>0.12013001692396941</v>
      </c>
      <c r="F3585" s="35">
        <f t="shared" ca="1" si="167"/>
        <v>2.9099862240313801E-3</v>
      </c>
    </row>
    <row r="3586" spans="1:6" x14ac:dyDescent="0.25">
      <c r="A3586" s="23">
        <v>3585</v>
      </c>
      <c r="B3586" s="7" cm="1">
        <f t="array" aca="1" ref="B3586" ca="1">interpolexp(A3586,serie_du,Taxas_DI)</f>
        <v>0.12304000314800079</v>
      </c>
      <c r="C3586" s="37">
        <f t="shared" ref="C3586:C3649" ca="1" si="169">(1+B3586)^(A3586/252)</f>
        <v>5.2111321688774908</v>
      </c>
      <c r="D3586" s="36">
        <f t="shared" ca="1" si="168"/>
        <v>0.12304000314803387</v>
      </c>
      <c r="E3586" s="32">
        <v>0.12013001703730097</v>
      </c>
      <c r="F3586" s="35">
        <f t="shared" ref="F3586:F3649" ca="1" si="170">B3586-E3586</f>
        <v>2.9099861106998137E-3</v>
      </c>
    </row>
    <row r="3587" spans="1:6" x14ac:dyDescent="0.25">
      <c r="A3587" s="23">
        <v>3586</v>
      </c>
      <c r="B3587" s="7" cm="1">
        <f t="array" aca="1" ref="B3587" ca="1">interpolexp(A3587,serie_du,Taxas_DI)</f>
        <v>0.12304000314800079</v>
      </c>
      <c r="C3587" s="37">
        <f t="shared" ca="1" si="169"/>
        <v>5.2135323091831802</v>
      </c>
      <c r="D3587" s="36">
        <f t="shared" ca="1" si="168"/>
        <v>0.12304000314796815</v>
      </c>
      <c r="E3587" s="32">
        <v>0.12013001715056593</v>
      </c>
      <c r="F3587" s="35">
        <f t="shared" ca="1" si="170"/>
        <v>2.9099859974348607E-3</v>
      </c>
    </row>
    <row r="3588" spans="1:6" x14ac:dyDescent="0.25">
      <c r="A3588" s="23">
        <v>3587</v>
      </c>
      <c r="B3588" s="7" cm="1">
        <f t="array" aca="1" ref="B3588" ca="1">interpolexp(A3588,serie_du,Taxas_DI)</f>
        <v>0.12304000314800079</v>
      </c>
      <c r="C3588" s="37">
        <f t="shared" ca="1" si="169"/>
        <v>5.2159335549441339</v>
      </c>
      <c r="D3588" s="36">
        <f t="shared" ref="D3588:D3651" ca="1" si="171">((((1+B3588)^(A3588/252))/((1+B3587)^(A3587/252)))^(252/1))-1</f>
        <v>0.12304000314803387</v>
      </c>
      <c r="E3588" s="32">
        <v>0.12013001726378647</v>
      </c>
      <c r="F3588" s="35">
        <f t="shared" ca="1" si="170"/>
        <v>2.9099858842143167E-3</v>
      </c>
    </row>
    <row r="3589" spans="1:6" x14ac:dyDescent="0.25">
      <c r="A3589" s="23">
        <v>3588</v>
      </c>
      <c r="B3589" s="7" cm="1">
        <f t="array" aca="1" ref="B3589" ca="1">interpolexp(A3589,serie_du,Taxas_DI)</f>
        <v>0.12304000314800079</v>
      </c>
      <c r="C3589" s="37">
        <f t="shared" ca="1" si="169"/>
        <v>5.2183359066695019</v>
      </c>
      <c r="D3589" s="36">
        <f t="shared" ca="1" si="171"/>
        <v>0.12304000314803387</v>
      </c>
      <c r="E3589" s="32">
        <v>0.1201300173769182</v>
      </c>
      <c r="F3589" s="35">
        <f t="shared" ca="1" si="170"/>
        <v>2.9099857710825905E-3</v>
      </c>
    </row>
    <row r="3590" spans="1:6" x14ac:dyDescent="0.25">
      <c r="A3590" s="23">
        <v>3589</v>
      </c>
      <c r="B3590" s="7" cm="1">
        <f t="array" aca="1" ref="B3590" ca="1">interpolexp(A3590,serie_du,Taxas_DI)</f>
        <v>0.12304000314800079</v>
      </c>
      <c r="C3590" s="37">
        <f t="shared" ca="1" si="169"/>
        <v>5.2207393648686695</v>
      </c>
      <c r="D3590" s="36">
        <f t="shared" ca="1" si="171"/>
        <v>0.12304000314809604</v>
      </c>
      <c r="E3590" s="32">
        <v>0.12013001749000551</v>
      </c>
      <c r="F3590" s="35">
        <f t="shared" ca="1" si="170"/>
        <v>2.9099856579952732E-3</v>
      </c>
    </row>
    <row r="3591" spans="1:6" x14ac:dyDescent="0.25">
      <c r="A3591" s="23">
        <v>3590</v>
      </c>
      <c r="B3591" s="7" cm="1">
        <f t="array" aca="1" ref="B3591" ca="1">interpolexp(A3591,serie_du,Taxas_DI)</f>
        <v>0.12304000314800079</v>
      </c>
      <c r="C3591" s="37">
        <f t="shared" ca="1" si="169"/>
        <v>5.2231439300512514</v>
      </c>
      <c r="D3591" s="36">
        <f t="shared" ca="1" si="171"/>
        <v>0.12304000314790442</v>
      </c>
      <c r="E3591" s="32">
        <v>0.12013001760300401</v>
      </c>
      <c r="F3591" s="35">
        <f t="shared" ca="1" si="170"/>
        <v>2.9099855449967738E-3</v>
      </c>
    </row>
    <row r="3592" spans="1:6" x14ac:dyDescent="0.25">
      <c r="A3592" s="23">
        <v>3591</v>
      </c>
      <c r="B3592" s="7" cm="1">
        <f t="array" aca="1" ref="B3592" ca="1">interpolexp(A3592,serie_du,Taxas_DI)</f>
        <v>0.12304000314800079</v>
      </c>
      <c r="C3592" s="37">
        <f t="shared" ca="1" si="169"/>
        <v>5.2255496027271073</v>
      </c>
      <c r="D3592" s="36">
        <f t="shared" ca="1" si="171"/>
        <v>0.12304000314809604</v>
      </c>
      <c r="E3592" s="32">
        <v>0.12013001771595611</v>
      </c>
      <c r="F3592" s="35">
        <f t="shared" ca="1" si="170"/>
        <v>2.9099854320446816E-3</v>
      </c>
    </row>
    <row r="3593" spans="1:6" x14ac:dyDescent="0.25">
      <c r="A3593" s="23">
        <v>3592</v>
      </c>
      <c r="B3593" s="7" cm="1">
        <f t="array" aca="1" ref="B3593" ca="1">interpolexp(A3593,serie_du,Taxas_DI)</f>
        <v>0.12304000314800079</v>
      </c>
      <c r="C3593" s="37">
        <f t="shared" ca="1" si="169"/>
        <v>5.2279563834063216</v>
      </c>
      <c r="D3593" s="36">
        <f t="shared" ca="1" si="171"/>
        <v>0.12304000314803387</v>
      </c>
      <c r="E3593" s="32">
        <v>0.12013001771595611</v>
      </c>
      <c r="F3593" s="35">
        <f t="shared" ca="1" si="170"/>
        <v>2.9099854320446816E-3</v>
      </c>
    </row>
    <row r="3594" spans="1:6" x14ac:dyDescent="0.25">
      <c r="A3594" s="23">
        <v>3593</v>
      </c>
      <c r="B3594" s="7" cm="1">
        <f t="array" aca="1" ref="B3594" ca="1">interpolexp(A3594,serie_du,Taxas_DI)</f>
        <v>0.12304000314800079</v>
      </c>
      <c r="C3594" s="37">
        <f t="shared" ca="1" si="169"/>
        <v>5.2303642725992194</v>
      </c>
      <c r="D3594" s="36">
        <f t="shared" ca="1" si="171"/>
        <v>0.12304000314803387</v>
      </c>
      <c r="E3594" s="32">
        <v>0.12013001771595611</v>
      </c>
      <c r="F3594" s="35">
        <f t="shared" ca="1" si="170"/>
        <v>2.9099854320446816E-3</v>
      </c>
    </row>
    <row r="3595" spans="1:6" x14ac:dyDescent="0.25">
      <c r="A3595" s="23">
        <v>3594</v>
      </c>
      <c r="B3595" s="7" cm="1">
        <f t="array" aca="1" ref="B3595" ca="1">interpolexp(A3595,serie_du,Taxas_DI)</f>
        <v>0.12304000314800079</v>
      </c>
      <c r="C3595" s="37">
        <f t="shared" ca="1" si="169"/>
        <v>5.2327732708163595</v>
      </c>
      <c r="D3595" s="36">
        <f t="shared" ca="1" si="171"/>
        <v>0.12304000314803387</v>
      </c>
      <c r="E3595" s="32">
        <v>0.12013001771595611</v>
      </c>
      <c r="F3595" s="35">
        <f t="shared" ca="1" si="170"/>
        <v>2.9099854320446816E-3</v>
      </c>
    </row>
    <row r="3596" spans="1:6" x14ac:dyDescent="0.25">
      <c r="A3596" s="23">
        <v>3595</v>
      </c>
      <c r="B3596" s="7" cm="1">
        <f t="array" aca="1" ref="B3596" ca="1">interpolexp(A3596,serie_du,Taxas_DI)</f>
        <v>0.12304000314800079</v>
      </c>
      <c r="C3596" s="37">
        <f t="shared" ca="1" si="169"/>
        <v>5.2351833785685349</v>
      </c>
      <c r="D3596" s="36">
        <f t="shared" ca="1" si="171"/>
        <v>0.12304000314803387</v>
      </c>
      <c r="E3596" s="32">
        <v>0.12013001771595611</v>
      </c>
      <c r="F3596" s="35">
        <f t="shared" ca="1" si="170"/>
        <v>2.9099854320446816E-3</v>
      </c>
    </row>
    <row r="3597" spans="1:6" x14ac:dyDescent="0.25">
      <c r="A3597" s="23">
        <v>3596</v>
      </c>
      <c r="B3597" s="7" cm="1">
        <f t="array" aca="1" ref="B3597" ca="1">interpolexp(A3597,serie_du,Taxas_DI)</f>
        <v>0.12304000314800079</v>
      </c>
      <c r="C3597" s="37">
        <f t="shared" ca="1" si="169"/>
        <v>5.237594596366776</v>
      </c>
      <c r="D3597" s="36">
        <f t="shared" ca="1" si="171"/>
        <v>0.12304000314803387</v>
      </c>
      <c r="E3597" s="32">
        <v>0.12013001771595611</v>
      </c>
      <c r="F3597" s="35">
        <f t="shared" ca="1" si="170"/>
        <v>2.9099854320446816E-3</v>
      </c>
    </row>
    <row r="3598" spans="1:6" x14ac:dyDescent="0.25">
      <c r="A3598" s="23">
        <v>3597</v>
      </c>
      <c r="B3598" s="7" cm="1">
        <f t="array" aca="1" ref="B3598" ca="1">interpolexp(A3598,serie_du,Taxas_DI)</f>
        <v>0.12304000314800079</v>
      </c>
      <c r="C3598" s="37">
        <f t="shared" ca="1" si="169"/>
        <v>5.2400069247223451</v>
      </c>
      <c r="D3598" s="36">
        <f t="shared" ca="1" si="171"/>
        <v>0.12304000314796815</v>
      </c>
      <c r="E3598" s="32">
        <v>0.12013001771595611</v>
      </c>
      <c r="F3598" s="35">
        <f t="shared" ca="1" si="170"/>
        <v>2.9099854320446816E-3</v>
      </c>
    </row>
    <row r="3599" spans="1:6" x14ac:dyDescent="0.25">
      <c r="A3599" s="23">
        <v>3598</v>
      </c>
      <c r="B3599" s="7" cm="1">
        <f t="array" aca="1" ref="B3599" ca="1">interpolexp(A3599,serie_du,Taxas_DI)</f>
        <v>0.12304000314800079</v>
      </c>
      <c r="C3599" s="37">
        <f t="shared" ca="1" si="169"/>
        <v>5.2424203641467448</v>
      </c>
      <c r="D3599" s="36">
        <f t="shared" ca="1" si="171"/>
        <v>0.12304000314809604</v>
      </c>
      <c r="E3599" s="32">
        <v>0.12013001771595611</v>
      </c>
      <c r="F3599" s="35">
        <f t="shared" ca="1" si="170"/>
        <v>2.9099854320446816E-3</v>
      </c>
    </row>
    <row r="3600" spans="1:6" x14ac:dyDescent="0.25">
      <c r="A3600" s="23">
        <v>3599</v>
      </c>
      <c r="B3600" s="7" cm="1">
        <f t="array" aca="1" ref="B3600" ca="1">interpolexp(A3600,serie_du,Taxas_DI)</f>
        <v>0.12304000314800079</v>
      </c>
      <c r="C3600" s="37">
        <f t="shared" ca="1" si="169"/>
        <v>5.2448349151517064</v>
      </c>
      <c r="D3600" s="36">
        <f t="shared" ca="1" si="171"/>
        <v>0.12304000314796815</v>
      </c>
      <c r="E3600" s="32">
        <v>0.12013001771595611</v>
      </c>
      <c r="F3600" s="35">
        <f t="shared" ca="1" si="170"/>
        <v>2.9099854320446816E-3</v>
      </c>
    </row>
    <row r="3601" spans="1:6" x14ac:dyDescent="0.25">
      <c r="A3601" s="23">
        <v>3600</v>
      </c>
      <c r="B3601" s="7" cm="1">
        <f t="array" aca="1" ref="B3601" ca="1">interpolexp(A3601,serie_du,Taxas_DI)</f>
        <v>0.12304000314800079</v>
      </c>
      <c r="C3601" s="37">
        <f t="shared" ca="1" si="169"/>
        <v>5.247250578249206</v>
      </c>
      <c r="D3601" s="36">
        <f t="shared" ca="1" si="171"/>
        <v>0.12304000314809604</v>
      </c>
      <c r="E3601" s="32">
        <v>0.12013001771595611</v>
      </c>
      <c r="F3601" s="35">
        <f t="shared" ca="1" si="170"/>
        <v>2.9099854320446816E-3</v>
      </c>
    </row>
    <row r="3602" spans="1:6" x14ac:dyDescent="0.25">
      <c r="A3602" s="23">
        <v>3601</v>
      </c>
      <c r="B3602" s="7" cm="1">
        <f t="array" aca="1" ref="B3602" ca="1">interpolexp(A3602,serie_du,Taxas_DI)</f>
        <v>0.12304000314800079</v>
      </c>
      <c r="C3602" s="37">
        <f t="shared" ca="1" si="169"/>
        <v>5.2496673539514465</v>
      </c>
      <c r="D3602" s="36">
        <f t="shared" ca="1" si="171"/>
        <v>0.12304000314796815</v>
      </c>
      <c r="E3602" s="32">
        <v>0.12013001771595611</v>
      </c>
      <c r="F3602" s="35">
        <f t="shared" ca="1" si="170"/>
        <v>2.9099854320446816E-3</v>
      </c>
    </row>
    <row r="3603" spans="1:6" x14ac:dyDescent="0.25">
      <c r="A3603" s="23">
        <v>3602</v>
      </c>
      <c r="B3603" s="7" cm="1">
        <f t="array" aca="1" ref="B3603" ca="1">interpolexp(A3603,serie_du,Taxas_DI)</f>
        <v>0.12304000314800079</v>
      </c>
      <c r="C3603" s="37">
        <f t="shared" ca="1" si="169"/>
        <v>5.2520852427708737</v>
      </c>
      <c r="D3603" s="36">
        <f t="shared" ca="1" si="171"/>
        <v>0.12304000314803387</v>
      </c>
      <c r="E3603" s="32">
        <v>0.12013001771595611</v>
      </c>
      <c r="F3603" s="35">
        <f t="shared" ca="1" si="170"/>
        <v>2.9099854320446816E-3</v>
      </c>
    </row>
    <row r="3604" spans="1:6" x14ac:dyDescent="0.25">
      <c r="A3604" s="23">
        <v>3603</v>
      </c>
      <c r="B3604" s="7" cm="1">
        <f t="array" aca="1" ref="B3604" ca="1">interpolexp(A3604,serie_du,Taxas_DI)</f>
        <v>0.12304000314800079</v>
      </c>
      <c r="C3604" s="37">
        <f t="shared" ca="1" si="169"/>
        <v>5.2545042452201649</v>
      </c>
      <c r="D3604" s="36">
        <f t="shared" ca="1" si="171"/>
        <v>0.12304000314803387</v>
      </c>
      <c r="E3604" s="32">
        <v>0.12013001771595611</v>
      </c>
      <c r="F3604" s="35">
        <f t="shared" ca="1" si="170"/>
        <v>2.9099854320446816E-3</v>
      </c>
    </row>
    <row r="3605" spans="1:6" x14ac:dyDescent="0.25">
      <c r="A3605" s="23">
        <v>3604</v>
      </c>
      <c r="B3605" s="7" cm="1">
        <f t="array" aca="1" ref="B3605" ca="1">interpolexp(A3605,serie_du,Taxas_DI)</f>
        <v>0.12304000314800079</v>
      </c>
      <c r="C3605" s="37">
        <f t="shared" ca="1" si="169"/>
        <v>5.256924361812235</v>
      </c>
      <c r="D3605" s="36">
        <f t="shared" ca="1" si="171"/>
        <v>0.12304000314803387</v>
      </c>
      <c r="E3605" s="32">
        <v>0.12013001771595611</v>
      </c>
      <c r="F3605" s="35">
        <f t="shared" ca="1" si="170"/>
        <v>2.9099854320446816E-3</v>
      </c>
    </row>
    <row r="3606" spans="1:6" x14ac:dyDescent="0.25">
      <c r="A3606" s="23">
        <v>3605</v>
      </c>
      <c r="B3606" s="7" cm="1">
        <f t="array" aca="1" ref="B3606" ca="1">interpolexp(A3606,serie_du,Taxas_DI)</f>
        <v>0.12304000314800079</v>
      </c>
      <c r="C3606" s="37">
        <f t="shared" ca="1" si="169"/>
        <v>5.2593455930602362</v>
      </c>
      <c r="D3606" s="36">
        <f t="shared" ca="1" si="171"/>
        <v>0.12304000314803387</v>
      </c>
      <c r="E3606" s="32">
        <v>0.12013001771595611</v>
      </c>
      <c r="F3606" s="35">
        <f t="shared" ca="1" si="170"/>
        <v>2.9099854320446816E-3</v>
      </c>
    </row>
    <row r="3607" spans="1:6" x14ac:dyDescent="0.25">
      <c r="A3607" s="23">
        <v>3606</v>
      </c>
      <c r="B3607" s="7" cm="1">
        <f t="array" aca="1" ref="B3607" ca="1">interpolexp(A3607,serie_du,Taxas_DI)</f>
        <v>0.12304000314800079</v>
      </c>
      <c r="C3607" s="37">
        <f t="shared" ca="1" si="169"/>
        <v>5.2617679394775552</v>
      </c>
      <c r="D3607" s="36">
        <f t="shared" ca="1" si="171"/>
        <v>0.12304000314803387</v>
      </c>
      <c r="E3607" s="32">
        <v>0.12013001771595611</v>
      </c>
      <c r="F3607" s="35">
        <f t="shared" ca="1" si="170"/>
        <v>2.9099854320446816E-3</v>
      </c>
    </row>
    <row r="3608" spans="1:6" x14ac:dyDescent="0.25">
      <c r="A3608" s="23">
        <v>3607</v>
      </c>
      <c r="B3608" s="7" cm="1">
        <f t="array" aca="1" ref="B3608" ca="1">interpolexp(A3608,serie_du,Taxas_DI)</f>
        <v>0.12304000314800079</v>
      </c>
      <c r="C3608" s="37">
        <f t="shared" ca="1" si="169"/>
        <v>5.2641914015778166</v>
      </c>
      <c r="D3608" s="36">
        <f t="shared" ca="1" si="171"/>
        <v>0.12304000314803387</v>
      </c>
      <c r="E3608" s="32">
        <v>0.12013001771595611</v>
      </c>
      <c r="F3608" s="35">
        <f t="shared" ca="1" si="170"/>
        <v>2.9099854320446816E-3</v>
      </c>
    </row>
    <row r="3609" spans="1:6" x14ac:dyDescent="0.25">
      <c r="A3609" s="23">
        <v>3608</v>
      </c>
      <c r="B3609" s="7" cm="1">
        <f t="array" aca="1" ref="B3609" ca="1">interpolexp(A3609,serie_du,Taxas_DI)</f>
        <v>0.12304000314800079</v>
      </c>
      <c r="C3609" s="37">
        <f t="shared" ca="1" si="169"/>
        <v>5.2666159798748806</v>
      </c>
      <c r="D3609" s="36">
        <f t="shared" ca="1" si="171"/>
        <v>0.12304000314803387</v>
      </c>
      <c r="E3609" s="32">
        <v>0.12013001771595611</v>
      </c>
      <c r="F3609" s="35">
        <f t="shared" ca="1" si="170"/>
        <v>2.9099854320446816E-3</v>
      </c>
    </row>
    <row r="3610" spans="1:6" x14ac:dyDescent="0.25">
      <c r="A3610" s="23">
        <v>3609</v>
      </c>
      <c r="B3610" s="7" cm="1">
        <f t="array" aca="1" ref="B3610" ca="1">interpolexp(A3610,serie_du,Taxas_DI)</f>
        <v>0.12304000314800079</v>
      </c>
      <c r="C3610" s="37">
        <f t="shared" ca="1" si="169"/>
        <v>5.2690416748828444</v>
      </c>
      <c r="D3610" s="36">
        <f t="shared" ca="1" si="171"/>
        <v>0.12304000314796815</v>
      </c>
      <c r="E3610" s="32">
        <v>0.12013001771595611</v>
      </c>
      <c r="F3610" s="35">
        <f t="shared" ca="1" si="170"/>
        <v>2.9099854320446816E-3</v>
      </c>
    </row>
    <row r="3611" spans="1:6" x14ac:dyDescent="0.25">
      <c r="A3611" s="23">
        <v>3610</v>
      </c>
      <c r="B3611" s="7" cm="1">
        <f t="array" aca="1" ref="B3611" ca="1">interpolexp(A3611,serie_du,Taxas_DI)</f>
        <v>0.12304000314800079</v>
      </c>
      <c r="C3611" s="37">
        <f t="shared" ca="1" si="169"/>
        <v>5.2714684871160449</v>
      </c>
      <c r="D3611" s="36">
        <f t="shared" ca="1" si="171"/>
        <v>0.12304000314809604</v>
      </c>
      <c r="E3611" s="32">
        <v>0.12013001771595611</v>
      </c>
      <c r="F3611" s="35">
        <f t="shared" ca="1" si="170"/>
        <v>2.9099854320446816E-3</v>
      </c>
    </row>
    <row r="3612" spans="1:6" x14ac:dyDescent="0.25">
      <c r="A3612" s="23">
        <v>3611</v>
      </c>
      <c r="B3612" s="7" cm="1">
        <f t="array" aca="1" ref="B3612" ca="1">interpolexp(A3612,serie_du,Taxas_DI)</f>
        <v>0.12304000314800079</v>
      </c>
      <c r="C3612" s="37">
        <f t="shared" ca="1" si="169"/>
        <v>5.2738964170890466</v>
      </c>
      <c r="D3612" s="36">
        <f t="shared" ca="1" si="171"/>
        <v>0.12304000314790442</v>
      </c>
      <c r="E3612" s="32">
        <v>0.12013001771595611</v>
      </c>
      <c r="F3612" s="35">
        <f t="shared" ca="1" si="170"/>
        <v>2.9099854320446816E-3</v>
      </c>
    </row>
    <row r="3613" spans="1:6" x14ac:dyDescent="0.25">
      <c r="A3613" s="23">
        <v>3612</v>
      </c>
      <c r="B3613" s="7" cm="1">
        <f t="array" aca="1" ref="B3613" ca="1">interpolexp(A3613,serie_du,Taxas_DI)</f>
        <v>0.12304000314800079</v>
      </c>
      <c r="C3613" s="37">
        <f t="shared" ca="1" si="169"/>
        <v>5.2763254653166651</v>
      </c>
      <c r="D3613" s="36">
        <f t="shared" ca="1" si="171"/>
        <v>0.12304000314809604</v>
      </c>
      <c r="E3613" s="32">
        <v>0.12013001771595611</v>
      </c>
      <c r="F3613" s="35">
        <f t="shared" ca="1" si="170"/>
        <v>2.9099854320446816E-3</v>
      </c>
    </row>
    <row r="3614" spans="1:6" x14ac:dyDescent="0.25">
      <c r="A3614" s="23">
        <v>3613</v>
      </c>
      <c r="B3614" s="7" cm="1">
        <f t="array" aca="1" ref="B3614" ca="1">interpolexp(A3614,serie_du,Taxas_DI)</f>
        <v>0.12304000314800079</v>
      </c>
      <c r="C3614" s="37">
        <f t="shared" ca="1" si="169"/>
        <v>5.2787556323139393</v>
      </c>
      <c r="D3614" s="36">
        <f t="shared" ca="1" si="171"/>
        <v>0.12304000314796815</v>
      </c>
      <c r="E3614" s="32">
        <v>0.12013001771595611</v>
      </c>
      <c r="F3614" s="35">
        <f t="shared" ca="1" si="170"/>
        <v>2.9099854320446816E-3</v>
      </c>
    </row>
    <row r="3615" spans="1:6" x14ac:dyDescent="0.25">
      <c r="A3615" s="23">
        <v>3614</v>
      </c>
      <c r="B3615" s="7" cm="1">
        <f t="array" aca="1" ref="B3615" ca="1">interpolexp(A3615,serie_du,Taxas_DI)</f>
        <v>0.12304000314800079</v>
      </c>
      <c r="C3615" s="37">
        <f t="shared" ca="1" si="169"/>
        <v>5.2811869185961555</v>
      </c>
      <c r="D3615" s="36">
        <f t="shared" ca="1" si="171"/>
        <v>0.12304000314803387</v>
      </c>
      <c r="E3615" s="32">
        <v>0.12013001771595611</v>
      </c>
      <c r="F3615" s="35">
        <f t="shared" ca="1" si="170"/>
        <v>2.9099854320446816E-3</v>
      </c>
    </row>
    <row r="3616" spans="1:6" x14ac:dyDescent="0.25">
      <c r="A3616" s="23">
        <v>3615</v>
      </c>
      <c r="B3616" s="7" cm="1">
        <f t="array" aca="1" ref="B3616" ca="1">interpolexp(A3616,serie_du,Taxas_DI)</f>
        <v>0.12304000314800079</v>
      </c>
      <c r="C3616" s="37">
        <f t="shared" ca="1" si="169"/>
        <v>5.2836193246788312</v>
      </c>
      <c r="D3616" s="36">
        <f t="shared" ca="1" si="171"/>
        <v>0.12304000314803387</v>
      </c>
      <c r="E3616" s="32">
        <v>0.12013001771595611</v>
      </c>
      <c r="F3616" s="35">
        <f t="shared" ca="1" si="170"/>
        <v>2.9099854320446816E-3</v>
      </c>
    </row>
    <row r="3617" spans="1:6" x14ac:dyDescent="0.25">
      <c r="A3617" s="23">
        <v>3616</v>
      </c>
      <c r="B3617" s="7" cm="1">
        <f t="array" aca="1" ref="B3617" ca="1">interpolexp(A3617,serie_du,Taxas_DI)</f>
        <v>0.12304000314800079</v>
      </c>
      <c r="C3617" s="37">
        <f t="shared" ca="1" si="169"/>
        <v>5.2860528510777245</v>
      </c>
      <c r="D3617" s="36">
        <f t="shared" ca="1" si="171"/>
        <v>0.12304000314803387</v>
      </c>
      <c r="E3617" s="32">
        <v>0.12013001771595611</v>
      </c>
      <c r="F3617" s="35">
        <f t="shared" ca="1" si="170"/>
        <v>2.9099854320446816E-3</v>
      </c>
    </row>
    <row r="3618" spans="1:6" x14ac:dyDescent="0.25">
      <c r="A3618" s="23">
        <v>3617</v>
      </c>
      <c r="B3618" s="7" cm="1">
        <f t="array" aca="1" ref="B3618" ca="1">interpolexp(A3618,serie_du,Taxas_DI)</f>
        <v>0.12304000314800079</v>
      </c>
      <c r="C3618" s="37">
        <f t="shared" ca="1" si="169"/>
        <v>5.2884874983088288</v>
      </c>
      <c r="D3618" s="36">
        <f t="shared" ca="1" si="171"/>
        <v>0.12304000314796815</v>
      </c>
      <c r="E3618" s="32">
        <v>0.12013001771595611</v>
      </c>
      <c r="F3618" s="35">
        <f t="shared" ca="1" si="170"/>
        <v>2.9099854320446816E-3</v>
      </c>
    </row>
    <row r="3619" spans="1:6" x14ac:dyDescent="0.25">
      <c r="A3619" s="23">
        <v>3618</v>
      </c>
      <c r="B3619" s="7" cm="1">
        <f t="array" aca="1" ref="B3619" ca="1">interpolexp(A3619,serie_du,Taxas_DI)</f>
        <v>0.12304000314800079</v>
      </c>
      <c r="C3619" s="37">
        <f t="shared" ca="1" si="169"/>
        <v>5.2909232668883783</v>
      </c>
      <c r="D3619" s="36">
        <f t="shared" ca="1" si="171"/>
        <v>0.12304000314803387</v>
      </c>
      <c r="E3619" s="32">
        <v>0.12013001771595611</v>
      </c>
      <c r="F3619" s="35">
        <f t="shared" ca="1" si="170"/>
        <v>2.9099854320446816E-3</v>
      </c>
    </row>
    <row r="3620" spans="1:6" x14ac:dyDescent="0.25">
      <c r="A3620" s="23">
        <v>3619</v>
      </c>
      <c r="B3620" s="7" cm="1">
        <f t="array" aca="1" ref="B3620" ca="1">interpolexp(A3620,serie_du,Taxas_DI)</f>
        <v>0.12304000314800079</v>
      </c>
      <c r="C3620" s="37">
        <f t="shared" ca="1" si="169"/>
        <v>5.2933601573328408</v>
      </c>
      <c r="D3620" s="36">
        <f t="shared" ca="1" si="171"/>
        <v>0.12304000314796815</v>
      </c>
      <c r="E3620" s="32">
        <v>0.12013001771595611</v>
      </c>
      <c r="F3620" s="35">
        <f t="shared" ca="1" si="170"/>
        <v>2.9099854320446816E-3</v>
      </c>
    </row>
    <row r="3621" spans="1:6" x14ac:dyDescent="0.25">
      <c r="A3621" s="23">
        <v>3620</v>
      </c>
      <c r="B3621" s="7" cm="1">
        <f t="array" aca="1" ref="B3621" ca="1">interpolexp(A3621,serie_du,Taxas_DI)</f>
        <v>0.12304000314800079</v>
      </c>
      <c r="C3621" s="37">
        <f t="shared" ca="1" si="169"/>
        <v>5.2957981701589265</v>
      </c>
      <c r="D3621" s="36">
        <f t="shared" ca="1" si="171"/>
        <v>0.12304000314803387</v>
      </c>
      <c r="E3621" s="32">
        <v>0.12013001771595611</v>
      </c>
      <c r="F3621" s="35">
        <f t="shared" ca="1" si="170"/>
        <v>2.9099854320446816E-3</v>
      </c>
    </row>
    <row r="3622" spans="1:6" x14ac:dyDescent="0.25">
      <c r="A3622" s="23">
        <v>3621</v>
      </c>
      <c r="B3622" s="7" cm="1">
        <f t="array" aca="1" ref="B3622" ca="1">interpolexp(A3622,serie_du,Taxas_DI)</f>
        <v>0.12304000314800079</v>
      </c>
      <c r="C3622" s="37">
        <f t="shared" ca="1" si="169"/>
        <v>5.2982373058835792</v>
      </c>
      <c r="D3622" s="36">
        <f t="shared" ca="1" si="171"/>
        <v>0.12304000314803387</v>
      </c>
      <c r="E3622" s="32">
        <v>0.12013001771595611</v>
      </c>
      <c r="F3622" s="35">
        <f t="shared" ca="1" si="170"/>
        <v>2.9099854320446816E-3</v>
      </c>
    </row>
    <row r="3623" spans="1:6" x14ac:dyDescent="0.25">
      <c r="A3623" s="23">
        <v>3622</v>
      </c>
      <c r="B3623" s="7" cm="1">
        <f t="array" aca="1" ref="B3623" ca="1">interpolexp(A3623,serie_du,Taxas_DI)</f>
        <v>0.12304000314800079</v>
      </c>
      <c r="C3623" s="37">
        <f t="shared" ca="1" si="169"/>
        <v>5.3006775650239852</v>
      </c>
      <c r="D3623" s="36">
        <f t="shared" ca="1" si="171"/>
        <v>0.12304000314809604</v>
      </c>
      <c r="E3623" s="32">
        <v>0.12013001771595611</v>
      </c>
      <c r="F3623" s="35">
        <f t="shared" ca="1" si="170"/>
        <v>2.9099854320446816E-3</v>
      </c>
    </row>
    <row r="3624" spans="1:6" x14ac:dyDescent="0.25">
      <c r="A3624" s="23">
        <v>3623</v>
      </c>
      <c r="B3624" s="7" cm="1">
        <f t="array" aca="1" ref="B3624" ca="1">interpolexp(A3624,serie_du,Taxas_DI)</f>
        <v>0.12304000314800079</v>
      </c>
      <c r="C3624" s="37">
        <f t="shared" ca="1" si="169"/>
        <v>5.3031189480975627</v>
      </c>
      <c r="D3624" s="36">
        <f t="shared" ca="1" si="171"/>
        <v>0.12304000314790442</v>
      </c>
      <c r="E3624" s="32">
        <v>0.12013001771595611</v>
      </c>
      <c r="F3624" s="35">
        <f t="shared" ca="1" si="170"/>
        <v>2.9099854320446816E-3</v>
      </c>
    </row>
    <row r="3625" spans="1:6" x14ac:dyDescent="0.25">
      <c r="A3625" s="23">
        <v>3624</v>
      </c>
      <c r="B3625" s="7" cm="1">
        <f t="array" aca="1" ref="B3625" ca="1">interpolexp(A3625,serie_du,Taxas_DI)</f>
        <v>0.12304000314800079</v>
      </c>
      <c r="C3625" s="37">
        <f t="shared" ca="1" si="169"/>
        <v>5.3055614556219775</v>
      </c>
      <c r="D3625" s="36">
        <f t="shared" ca="1" si="171"/>
        <v>0.12304000314809604</v>
      </c>
      <c r="E3625" s="32">
        <v>0.12013001771595611</v>
      </c>
      <c r="F3625" s="35">
        <f t="shared" ca="1" si="170"/>
        <v>2.9099854320446816E-3</v>
      </c>
    </row>
    <row r="3626" spans="1:6" x14ac:dyDescent="0.25">
      <c r="A3626" s="23">
        <v>3625</v>
      </c>
      <c r="B3626" s="7" cm="1">
        <f t="array" aca="1" ref="B3626" ca="1">interpolexp(A3626,serie_du,Taxas_DI)</f>
        <v>0.12304000314800079</v>
      </c>
      <c r="C3626" s="37">
        <f t="shared" ca="1" si="169"/>
        <v>5.3080050881151237</v>
      </c>
      <c r="D3626" s="36">
        <f t="shared" ca="1" si="171"/>
        <v>0.12304000314796815</v>
      </c>
      <c r="E3626" s="32">
        <v>0.12013001771595611</v>
      </c>
      <c r="F3626" s="35">
        <f t="shared" ca="1" si="170"/>
        <v>2.9099854320446816E-3</v>
      </c>
    </row>
    <row r="3627" spans="1:6" x14ac:dyDescent="0.25">
      <c r="A3627" s="23">
        <v>3626</v>
      </c>
      <c r="B3627" s="7" cm="1">
        <f t="array" aca="1" ref="B3627" ca="1">interpolexp(A3627,serie_du,Taxas_DI)</f>
        <v>0.12304000314800079</v>
      </c>
      <c r="C3627" s="37">
        <f t="shared" ca="1" si="169"/>
        <v>5.3104498460951426</v>
      </c>
      <c r="D3627" s="36">
        <f t="shared" ca="1" si="171"/>
        <v>0.12304000314803387</v>
      </c>
      <c r="E3627" s="32">
        <v>0.12013001771595611</v>
      </c>
      <c r="F3627" s="35">
        <f t="shared" ca="1" si="170"/>
        <v>2.9099854320446816E-3</v>
      </c>
    </row>
    <row r="3628" spans="1:6" x14ac:dyDescent="0.25">
      <c r="A3628" s="23">
        <v>3627</v>
      </c>
      <c r="B3628" s="7" cm="1">
        <f t="array" aca="1" ref="B3628" ca="1">interpolexp(A3628,serie_du,Taxas_DI)</f>
        <v>0.12304000314800079</v>
      </c>
      <c r="C3628" s="37">
        <f t="shared" ca="1" si="169"/>
        <v>5.3128957300804069</v>
      </c>
      <c r="D3628" s="36">
        <f t="shared" ca="1" si="171"/>
        <v>0.12304000314796815</v>
      </c>
      <c r="E3628" s="32">
        <v>0.12013001771595611</v>
      </c>
      <c r="F3628" s="35">
        <f t="shared" ca="1" si="170"/>
        <v>2.9099854320446816E-3</v>
      </c>
    </row>
    <row r="3629" spans="1:6" x14ac:dyDescent="0.25">
      <c r="A3629" s="23">
        <v>3628</v>
      </c>
      <c r="B3629" s="7" cm="1">
        <f t="array" aca="1" ref="B3629" ca="1">interpolexp(A3629,serie_du,Taxas_DI)</f>
        <v>0.12304000314800079</v>
      </c>
      <c r="C3629" s="37">
        <f t="shared" ca="1" si="169"/>
        <v>5.3153427405895348</v>
      </c>
      <c r="D3629" s="36">
        <f t="shared" ca="1" si="171"/>
        <v>0.12304000314803387</v>
      </c>
      <c r="E3629" s="32">
        <v>0.12013001771595611</v>
      </c>
      <c r="F3629" s="35">
        <f t="shared" ca="1" si="170"/>
        <v>2.9099854320446816E-3</v>
      </c>
    </row>
    <row r="3630" spans="1:6" x14ac:dyDescent="0.25">
      <c r="A3630" s="23">
        <v>3629</v>
      </c>
      <c r="B3630" s="7" cm="1">
        <f t="array" aca="1" ref="B3630" ca="1">interpolexp(A3630,serie_du,Taxas_DI)</f>
        <v>0.12304000314800079</v>
      </c>
      <c r="C3630" s="37">
        <f t="shared" ca="1" si="169"/>
        <v>5.3177908781413779</v>
      </c>
      <c r="D3630" s="36">
        <f t="shared" ca="1" si="171"/>
        <v>0.12304000314803387</v>
      </c>
      <c r="E3630" s="32">
        <v>0.12013001771595611</v>
      </c>
      <c r="F3630" s="35">
        <f t="shared" ca="1" si="170"/>
        <v>2.9099854320446816E-3</v>
      </c>
    </row>
    <row r="3631" spans="1:6" x14ac:dyDescent="0.25">
      <c r="A3631" s="23">
        <v>3630</v>
      </c>
      <c r="B3631" s="7" cm="1">
        <f t="array" aca="1" ref="B3631" ca="1">interpolexp(A3631,serie_du,Taxas_DI)</f>
        <v>0.12304000314800079</v>
      </c>
      <c r="C3631" s="37">
        <f t="shared" ca="1" si="169"/>
        <v>5.3202401432550293</v>
      </c>
      <c r="D3631" s="36">
        <f t="shared" ca="1" si="171"/>
        <v>0.12304000314803387</v>
      </c>
      <c r="E3631" s="32">
        <v>0.12013001771595611</v>
      </c>
      <c r="F3631" s="35">
        <f t="shared" ca="1" si="170"/>
        <v>2.9099854320446816E-3</v>
      </c>
    </row>
    <row r="3632" spans="1:6" x14ac:dyDescent="0.25">
      <c r="A3632" s="23">
        <v>3631</v>
      </c>
      <c r="B3632" s="7" cm="1">
        <f t="array" aca="1" ref="B3632" ca="1">interpolexp(A3632,serie_du,Taxas_DI)</f>
        <v>0.12304000314800079</v>
      </c>
      <c r="C3632" s="37">
        <f t="shared" ca="1" si="169"/>
        <v>5.3226905364498203</v>
      </c>
      <c r="D3632" s="36">
        <f t="shared" ca="1" si="171"/>
        <v>0.12304000314796815</v>
      </c>
      <c r="E3632" s="32">
        <v>0.12013001771595611</v>
      </c>
      <c r="F3632" s="35">
        <f t="shared" ca="1" si="170"/>
        <v>2.9099854320446816E-3</v>
      </c>
    </row>
    <row r="3633" spans="1:6" x14ac:dyDescent="0.25">
      <c r="A3633" s="23">
        <v>3632</v>
      </c>
      <c r="B3633" s="7" cm="1">
        <f t="array" aca="1" ref="B3633" ca="1">interpolexp(A3633,serie_du,Taxas_DI)</f>
        <v>0.12304000314800079</v>
      </c>
      <c r="C3633" s="37">
        <f t="shared" ca="1" si="169"/>
        <v>5.3251420582453228</v>
      </c>
      <c r="D3633" s="36">
        <f t="shared" ca="1" si="171"/>
        <v>0.12304000314803387</v>
      </c>
      <c r="E3633" s="32">
        <v>0.12013001771595611</v>
      </c>
      <c r="F3633" s="35">
        <f t="shared" ca="1" si="170"/>
        <v>2.9099854320446816E-3</v>
      </c>
    </row>
    <row r="3634" spans="1:6" x14ac:dyDescent="0.25">
      <c r="A3634" s="23">
        <v>3633</v>
      </c>
      <c r="B3634" s="7" cm="1">
        <f t="array" aca="1" ref="B3634" ca="1">interpolexp(A3634,serie_du,Taxas_DI)</f>
        <v>0.12304000314800079</v>
      </c>
      <c r="C3634" s="37">
        <f t="shared" ca="1" si="169"/>
        <v>5.3275947091613469</v>
      </c>
      <c r="D3634" s="36">
        <f t="shared" ca="1" si="171"/>
        <v>0.12304000314803387</v>
      </c>
      <c r="E3634" s="32">
        <v>0.12013001771595611</v>
      </c>
      <c r="F3634" s="35">
        <f t="shared" ca="1" si="170"/>
        <v>2.9099854320446816E-3</v>
      </c>
    </row>
    <row r="3635" spans="1:6" x14ac:dyDescent="0.25">
      <c r="A3635" s="23">
        <v>3634</v>
      </c>
      <c r="B3635" s="7" cm="1">
        <f t="array" aca="1" ref="B3635" ca="1">interpolexp(A3635,serie_du,Taxas_DI)</f>
        <v>0.12304000314800079</v>
      </c>
      <c r="C3635" s="37">
        <f t="shared" ca="1" si="169"/>
        <v>5.3300484897179423</v>
      </c>
      <c r="D3635" s="36">
        <f t="shared" ca="1" si="171"/>
        <v>0.12304000314803387</v>
      </c>
      <c r="E3635" s="32">
        <v>0.12013001771595611</v>
      </c>
      <c r="F3635" s="35">
        <f t="shared" ca="1" si="170"/>
        <v>2.9099854320446816E-3</v>
      </c>
    </row>
    <row r="3636" spans="1:6" x14ac:dyDescent="0.25">
      <c r="A3636" s="23">
        <v>3635</v>
      </c>
      <c r="B3636" s="7" cm="1">
        <f t="array" aca="1" ref="B3636" ca="1">interpolexp(A3636,serie_du,Taxas_DI)</f>
        <v>0.12304000314800079</v>
      </c>
      <c r="C3636" s="37">
        <f t="shared" ca="1" si="169"/>
        <v>5.3325034004353977</v>
      </c>
      <c r="D3636" s="36">
        <f t="shared" ca="1" si="171"/>
        <v>0.12304000314803387</v>
      </c>
      <c r="E3636" s="32">
        <v>0.12013001771595611</v>
      </c>
      <c r="F3636" s="35">
        <f t="shared" ca="1" si="170"/>
        <v>2.9099854320446816E-3</v>
      </c>
    </row>
    <row r="3637" spans="1:6" x14ac:dyDescent="0.25">
      <c r="A3637" s="23">
        <v>3636</v>
      </c>
      <c r="B3637" s="7" cm="1">
        <f t="array" aca="1" ref="B3637" ca="1">interpolexp(A3637,serie_du,Taxas_DI)</f>
        <v>0.12304000314800079</v>
      </c>
      <c r="C3637" s="37">
        <f t="shared" ca="1" si="169"/>
        <v>5.3349594418342434</v>
      </c>
      <c r="D3637" s="36">
        <f t="shared" ca="1" si="171"/>
        <v>0.12304000314809604</v>
      </c>
      <c r="E3637" s="32">
        <v>0.12013001771595611</v>
      </c>
      <c r="F3637" s="35">
        <f t="shared" ca="1" si="170"/>
        <v>2.9099854320446816E-3</v>
      </c>
    </row>
    <row r="3638" spans="1:6" x14ac:dyDescent="0.25">
      <c r="A3638" s="23">
        <v>3637</v>
      </c>
      <c r="B3638" s="7" cm="1">
        <f t="array" aca="1" ref="B3638" ca="1">interpolexp(A3638,serie_du,Taxas_DI)</f>
        <v>0.12304000314800079</v>
      </c>
      <c r="C3638" s="37">
        <f t="shared" ca="1" si="169"/>
        <v>5.3374166144352442</v>
      </c>
      <c r="D3638" s="36">
        <f t="shared" ca="1" si="171"/>
        <v>0.12304000314790442</v>
      </c>
      <c r="E3638" s="32">
        <v>0.12013001771595611</v>
      </c>
      <c r="F3638" s="35">
        <f t="shared" ca="1" si="170"/>
        <v>2.9099854320446816E-3</v>
      </c>
    </row>
    <row r="3639" spans="1:6" x14ac:dyDescent="0.25">
      <c r="A3639" s="23">
        <v>3638</v>
      </c>
      <c r="B3639" s="7" cm="1">
        <f t="array" aca="1" ref="B3639" ca="1">interpolexp(A3639,serie_du,Taxas_DI)</f>
        <v>0.12304000314800079</v>
      </c>
      <c r="C3639" s="37">
        <f t="shared" ca="1" si="169"/>
        <v>5.3398749187594134</v>
      </c>
      <c r="D3639" s="36">
        <f t="shared" ca="1" si="171"/>
        <v>0.12304000314803387</v>
      </c>
      <c r="E3639" s="32">
        <v>0.12013001771595611</v>
      </c>
      <c r="F3639" s="35">
        <f t="shared" ca="1" si="170"/>
        <v>2.9099854320446816E-3</v>
      </c>
    </row>
    <row r="3640" spans="1:6" x14ac:dyDescent="0.25">
      <c r="A3640" s="23">
        <v>3639</v>
      </c>
      <c r="B3640" s="7" cm="1">
        <f t="array" aca="1" ref="B3640" ca="1">interpolexp(A3640,serie_du,Taxas_DI)</f>
        <v>0.12304000314800079</v>
      </c>
      <c r="C3640" s="37">
        <f t="shared" ca="1" si="169"/>
        <v>5.3423343553279956</v>
      </c>
      <c r="D3640" s="36">
        <f t="shared" ca="1" si="171"/>
        <v>0.12304000314796815</v>
      </c>
      <c r="E3640" s="32">
        <v>0.12013001771595611</v>
      </c>
      <c r="F3640" s="35">
        <f t="shared" ca="1" si="170"/>
        <v>2.9099854320446816E-3</v>
      </c>
    </row>
    <row r="3641" spans="1:6" x14ac:dyDescent="0.25">
      <c r="A3641" s="23">
        <v>3640</v>
      </c>
      <c r="B3641" s="7" cm="1">
        <f t="array" aca="1" ref="B3641" ca="1">interpolexp(A3641,serie_du,Taxas_DI)</f>
        <v>0.12304000314800079</v>
      </c>
      <c r="C3641" s="37">
        <f t="shared" ca="1" si="169"/>
        <v>5.3447949246624828</v>
      </c>
      <c r="D3641" s="36">
        <f t="shared" ca="1" si="171"/>
        <v>0.12304000314809604</v>
      </c>
      <c r="E3641" s="32">
        <v>0.12013001771595611</v>
      </c>
      <c r="F3641" s="35">
        <f t="shared" ca="1" si="170"/>
        <v>2.9099854320446816E-3</v>
      </c>
    </row>
    <row r="3642" spans="1:6" x14ac:dyDescent="0.25">
      <c r="A3642" s="23">
        <v>3641</v>
      </c>
      <c r="B3642" s="7" cm="1">
        <f t="array" aca="1" ref="B3642" ca="1">interpolexp(A3642,serie_du,Taxas_DI)</f>
        <v>0.12304000314800079</v>
      </c>
      <c r="C3642" s="37">
        <f t="shared" ca="1" si="169"/>
        <v>5.3472566272846009</v>
      </c>
      <c r="D3642" s="36">
        <f t="shared" ca="1" si="171"/>
        <v>0.12304000314803387</v>
      </c>
      <c r="E3642" s="32">
        <v>0.12013001771595611</v>
      </c>
      <c r="F3642" s="35">
        <f t="shared" ca="1" si="170"/>
        <v>2.9099854320446816E-3</v>
      </c>
    </row>
    <row r="3643" spans="1:6" x14ac:dyDescent="0.25">
      <c r="A3643" s="23">
        <v>3642</v>
      </c>
      <c r="B3643" s="7" cm="1">
        <f t="array" aca="1" ref="B3643" ca="1">interpolexp(A3643,serie_du,Taxas_DI)</f>
        <v>0.12304000314800079</v>
      </c>
      <c r="C3643" s="37">
        <f t="shared" ca="1" si="169"/>
        <v>5.3497194637163199</v>
      </c>
      <c r="D3643" s="36">
        <f t="shared" ca="1" si="171"/>
        <v>0.12304000314803387</v>
      </c>
      <c r="E3643" s="32">
        <v>0.12013001771595611</v>
      </c>
      <c r="F3643" s="35">
        <f t="shared" ca="1" si="170"/>
        <v>2.9099854320446816E-3</v>
      </c>
    </row>
    <row r="3644" spans="1:6" x14ac:dyDescent="0.25">
      <c r="A3644" s="23">
        <v>3643</v>
      </c>
      <c r="B3644" s="7" cm="1">
        <f t="array" aca="1" ref="B3644" ca="1">interpolexp(A3644,serie_du,Taxas_DI)</f>
        <v>0.12304000314800079</v>
      </c>
      <c r="C3644" s="37">
        <f t="shared" ca="1" si="169"/>
        <v>5.3521834344798487</v>
      </c>
      <c r="D3644" s="36">
        <f t="shared" ca="1" si="171"/>
        <v>0.12304000314803387</v>
      </c>
      <c r="E3644" s="32">
        <v>0.12013001771595611</v>
      </c>
      <c r="F3644" s="35">
        <f t="shared" ca="1" si="170"/>
        <v>2.9099854320446816E-3</v>
      </c>
    </row>
    <row r="3645" spans="1:6" x14ac:dyDescent="0.25">
      <c r="A3645" s="23">
        <v>3644</v>
      </c>
      <c r="B3645" s="7" cm="1">
        <f t="array" aca="1" ref="B3645" ca="1">interpolexp(A3645,serie_du,Taxas_DI)</f>
        <v>0.12304000314800079</v>
      </c>
      <c r="C3645" s="37">
        <f t="shared" ca="1" si="169"/>
        <v>5.3546485400976378</v>
      </c>
      <c r="D3645" s="36">
        <f t="shared" ca="1" si="171"/>
        <v>0.12304000314803387</v>
      </c>
      <c r="E3645" s="32">
        <v>0.12013001771595611</v>
      </c>
      <c r="F3645" s="35">
        <f t="shared" ca="1" si="170"/>
        <v>2.9099854320446816E-3</v>
      </c>
    </row>
    <row r="3646" spans="1:6" x14ac:dyDescent="0.25">
      <c r="A3646" s="23">
        <v>3645</v>
      </c>
      <c r="B3646" s="7" cm="1">
        <f t="array" aca="1" ref="B3646" ca="1">interpolexp(A3646,serie_du,Taxas_DI)</f>
        <v>0.12304000314800079</v>
      </c>
      <c r="C3646" s="37">
        <f t="shared" ca="1" si="169"/>
        <v>5.3571147810923776</v>
      </c>
      <c r="D3646" s="36">
        <f t="shared" ca="1" si="171"/>
        <v>0.12304000314803387</v>
      </c>
      <c r="E3646" s="32">
        <v>0.12013001771595611</v>
      </c>
      <c r="F3646" s="35">
        <f t="shared" ca="1" si="170"/>
        <v>2.9099854320446816E-3</v>
      </c>
    </row>
    <row r="3647" spans="1:6" x14ac:dyDescent="0.25">
      <c r="A3647" s="23">
        <v>3646</v>
      </c>
      <c r="B3647" s="7" cm="1">
        <f t="array" aca="1" ref="B3647" ca="1">interpolexp(A3647,serie_du,Taxas_DI)</f>
        <v>0.12304000314800079</v>
      </c>
      <c r="C3647" s="37">
        <f t="shared" ca="1" si="169"/>
        <v>5.3595821579869991</v>
      </c>
      <c r="D3647" s="36">
        <f t="shared" ca="1" si="171"/>
        <v>0.12304000314803387</v>
      </c>
      <c r="E3647" s="32">
        <v>0.12013001771595611</v>
      </c>
      <c r="F3647" s="35">
        <f t="shared" ca="1" si="170"/>
        <v>2.9099854320446816E-3</v>
      </c>
    </row>
    <row r="3648" spans="1:6" x14ac:dyDescent="0.25">
      <c r="A3648" s="23">
        <v>3647</v>
      </c>
      <c r="B3648" s="7" cm="1">
        <f t="array" aca="1" ref="B3648" ca="1">interpolexp(A3648,serie_du,Taxas_DI)</f>
        <v>0.12304000314800079</v>
      </c>
      <c r="C3648" s="37">
        <f t="shared" ca="1" si="169"/>
        <v>5.3620506713046741</v>
      </c>
      <c r="D3648" s="36">
        <f t="shared" ca="1" si="171"/>
        <v>0.12304000314796815</v>
      </c>
      <c r="E3648" s="32">
        <v>0.12013001771595611</v>
      </c>
      <c r="F3648" s="35">
        <f t="shared" ca="1" si="170"/>
        <v>2.9099854320446816E-3</v>
      </c>
    </row>
    <row r="3649" spans="1:6" x14ac:dyDescent="0.25">
      <c r="A3649" s="23">
        <v>3648</v>
      </c>
      <c r="B3649" s="7" cm="1">
        <f t="array" aca="1" ref="B3649" ca="1">interpolexp(A3649,serie_du,Taxas_DI)</f>
        <v>0.12304000314800079</v>
      </c>
      <c r="C3649" s="37">
        <f t="shared" ca="1" si="169"/>
        <v>5.3645203215688184</v>
      </c>
      <c r="D3649" s="36">
        <f t="shared" ca="1" si="171"/>
        <v>0.12304000314809604</v>
      </c>
      <c r="E3649" s="32">
        <v>0.12013001771595611</v>
      </c>
      <c r="F3649" s="35">
        <f t="shared" ca="1" si="170"/>
        <v>2.9099854320446816E-3</v>
      </c>
    </row>
    <row r="3650" spans="1:6" x14ac:dyDescent="0.25">
      <c r="A3650" s="23">
        <v>3649</v>
      </c>
      <c r="B3650" s="7" cm="1">
        <f t="array" aca="1" ref="B3650" ca="1">interpolexp(A3650,serie_du,Taxas_DI)</f>
        <v>0.12304000314800079</v>
      </c>
      <c r="C3650" s="37">
        <f t="shared" ref="C3650" ca="1" si="172">(1+B3650)^(A3650/252)</f>
        <v>5.3669911093030809</v>
      </c>
      <c r="D3650" s="36">
        <f t="shared" ca="1" si="171"/>
        <v>0.12304000314796815</v>
      </c>
      <c r="E3650" s="32">
        <v>0.12013001771595611</v>
      </c>
      <c r="F3650" s="35">
        <f t="shared" ref="F3650" ca="1" si="173">B3650-E3650</f>
        <v>2.9099854320446816E-3</v>
      </c>
    </row>
    <row r="3651" spans="1:6" x14ac:dyDescent="0.25">
      <c r="A3651" s="23">
        <v>3650</v>
      </c>
      <c r="B3651" s="7" cm="1">
        <f t="array" aca="1" ref="B3651" ca="1">interpolexp(A3651,serie_du,Taxas_DI)</f>
        <v>0.12304000314800079</v>
      </c>
      <c r="C3651" s="37">
        <f ca="1">(1+B3651)^(A3651/252)</f>
        <v>5.3694630350313624</v>
      </c>
      <c r="D3651" s="36">
        <f t="shared" ca="1" si="171"/>
        <v>0.12304000314809604</v>
      </c>
      <c r="E3651" s="32">
        <v>0.12013001771595611</v>
      </c>
      <c r="F3651" s="35">
        <f ca="1">B3651-E3651</f>
        <v>2.9099854320446816E-3</v>
      </c>
    </row>
    <row r="3652" spans="1:6" x14ac:dyDescent="0.25">
      <c r="E3652" s="7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66CF4-BA0F-48EE-AC59-972612B1F4CA}">
  <sheetPr codeName="Sheet2">
    <tabColor theme="0" tint="-4.9989318521683403E-2"/>
  </sheetPr>
  <dimension ref="A2:I35"/>
  <sheetViews>
    <sheetView showGridLines="0" zoomScale="175" zoomScaleNormal="175" workbookViewId="0"/>
  </sheetViews>
  <sheetFormatPr defaultRowHeight="13.8" x14ac:dyDescent="0.3"/>
  <sheetData>
    <row r="2" spans="1:9" x14ac:dyDescent="0.3">
      <c r="B2" s="83" t="s">
        <v>168</v>
      </c>
    </row>
    <row r="3" spans="1:9" x14ac:dyDescent="0.3">
      <c r="B3" s="82" t="s">
        <v>167</v>
      </c>
    </row>
    <row r="4" spans="1:9" x14ac:dyDescent="0.3">
      <c r="B4" s="82" t="s">
        <v>166</v>
      </c>
    </row>
    <row r="6" spans="1:9" x14ac:dyDescent="0.3">
      <c r="D6" s="81" t="s">
        <v>165</v>
      </c>
    </row>
    <row r="7" spans="1:9" x14ac:dyDescent="0.3">
      <c r="I7" s="80" t="s">
        <v>164</v>
      </c>
    </row>
    <row r="8" spans="1:9" x14ac:dyDescent="0.3">
      <c r="A8" s="62">
        <v>11.5</v>
      </c>
      <c r="I8" s="80" t="s">
        <v>163</v>
      </c>
    </row>
    <row r="9" spans="1:9" x14ac:dyDescent="0.3">
      <c r="A9" s="11"/>
      <c r="I9" s="80" t="s">
        <v>162</v>
      </c>
    </row>
    <row r="10" spans="1:9" x14ac:dyDescent="0.3">
      <c r="A10" s="61">
        <v>10.65</v>
      </c>
      <c r="I10" s="80" t="s">
        <v>161</v>
      </c>
    </row>
    <row r="12" spans="1:9" x14ac:dyDescent="0.3">
      <c r="I12" s="77" t="s">
        <v>160</v>
      </c>
    </row>
    <row r="13" spans="1:9" x14ac:dyDescent="0.3">
      <c r="I13" s="77" t="s">
        <v>159</v>
      </c>
    </row>
    <row r="14" spans="1:9" x14ac:dyDescent="0.3">
      <c r="E14" s="79">
        <v>45689</v>
      </c>
      <c r="G14" s="78">
        <v>45839</v>
      </c>
      <c r="I14" s="77" t="s">
        <v>158</v>
      </c>
    </row>
    <row r="17" spans="1:5" ht="14.4" thickBot="1" x14ac:dyDescent="0.35"/>
    <row r="18" spans="1:5" ht="14.4" thickBot="1" x14ac:dyDescent="0.35">
      <c r="B18" s="76" t="s">
        <v>157</v>
      </c>
      <c r="C18" s="75" t="s">
        <v>153</v>
      </c>
      <c r="D18" s="75" t="s">
        <v>79</v>
      </c>
      <c r="E18" s="75" t="s">
        <v>156</v>
      </c>
    </row>
    <row r="19" spans="1:5" x14ac:dyDescent="0.3">
      <c r="B19" s="74">
        <v>45689</v>
      </c>
      <c r="C19" s="73">
        <v>11.5</v>
      </c>
      <c r="D19" s="72">
        <v>99</v>
      </c>
      <c r="E19" s="72">
        <f>(1+C19/100)^(D19/252)</f>
        <v>1.0436917951488811</v>
      </c>
    </row>
    <row r="20" spans="1:5" ht="14.4" thickBot="1" x14ac:dyDescent="0.35">
      <c r="B20" s="71">
        <v>45839</v>
      </c>
      <c r="C20" s="70">
        <v>10.65</v>
      </c>
      <c r="D20" s="69">
        <v>199</v>
      </c>
      <c r="E20" s="69">
        <f>(1+C20/100)^(D20/252)</f>
        <v>1.0831975463869876</v>
      </c>
    </row>
    <row r="21" spans="1:5" ht="14.4" thickBot="1" x14ac:dyDescent="0.35"/>
    <row r="22" spans="1:5" ht="14.4" thickBot="1" x14ac:dyDescent="0.35">
      <c r="B22" s="68" t="s">
        <v>155</v>
      </c>
      <c r="C22" s="67"/>
    </row>
    <row r="23" spans="1:5" x14ac:dyDescent="0.3">
      <c r="B23" s="66" t="s">
        <v>154</v>
      </c>
      <c r="C23" s="65">
        <f>NETWORKDAYS.INTL(B19,B20,1,Feriados)</f>
        <v>101</v>
      </c>
    </row>
    <row r="24" spans="1:5" ht="14.4" thickBot="1" x14ac:dyDescent="0.35">
      <c r="B24" s="64" t="s">
        <v>153</v>
      </c>
      <c r="C24" s="63">
        <f>(E20/E19)^(252/C23)-1</f>
        <v>9.7131330973122765E-2</v>
      </c>
    </row>
    <row r="28" spans="1:5" x14ac:dyDescent="0.3">
      <c r="A28" s="62">
        <v>11.5</v>
      </c>
    </row>
    <row r="29" spans="1:5" x14ac:dyDescent="0.3">
      <c r="A29" s="11"/>
    </row>
    <row r="30" spans="1:5" x14ac:dyDescent="0.3">
      <c r="A30" s="61">
        <v>10.65</v>
      </c>
    </row>
    <row r="35" spans="5:5" x14ac:dyDescent="0.3">
      <c r="E35" s="60" t="s">
        <v>152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F49EA-1330-47F8-ABEA-2A7B5ECD5803}">
  <sheetPr codeName="Sheet9">
    <tabColor theme="0" tint="-4.9989318521683403E-2"/>
  </sheetPr>
  <dimension ref="A1:X61"/>
  <sheetViews>
    <sheetView showGridLines="0" workbookViewId="0">
      <selection activeCell="K24" sqref="K24"/>
    </sheetView>
  </sheetViews>
  <sheetFormatPr defaultRowHeight="13.8" x14ac:dyDescent="0.3"/>
  <cols>
    <col min="4" max="4" width="9.44140625" bestFit="1" customWidth="1"/>
    <col min="20" max="20" width="9.77734375" customWidth="1"/>
  </cols>
  <sheetData>
    <row r="1" spans="1:24" ht="14.4" x14ac:dyDescent="0.35">
      <c r="W1" s="55"/>
      <c r="X1" s="55"/>
    </row>
    <row r="2" spans="1:24" ht="14.4" x14ac:dyDescent="0.35">
      <c r="A2" s="23"/>
      <c r="B2" s="49"/>
      <c r="C2" s="49"/>
      <c r="D2" s="34"/>
      <c r="E2" s="50"/>
      <c r="F2" s="22"/>
      <c r="H2" s="46"/>
      <c r="I2" s="47"/>
      <c r="K2" s="59" t="s">
        <v>131</v>
      </c>
      <c r="L2" s="53" t="s">
        <v>135</v>
      </c>
      <c r="M2" s="54"/>
      <c r="N2" s="54"/>
      <c r="O2" s="54"/>
      <c r="P2" s="54"/>
      <c r="Q2" s="54"/>
      <c r="R2" s="54"/>
      <c r="S2" s="54"/>
      <c r="T2" s="54"/>
      <c r="W2" s="55"/>
      <c r="X2" s="55"/>
    </row>
    <row r="3" spans="1:24" ht="14.4" x14ac:dyDescent="0.35">
      <c r="A3" s="23"/>
      <c r="B3" s="49"/>
      <c r="C3" s="49"/>
      <c r="D3" s="34"/>
      <c r="E3" s="50"/>
      <c r="F3" s="22"/>
      <c r="H3" s="46"/>
      <c r="I3" s="47"/>
      <c r="K3" s="59"/>
      <c r="L3" s="53" t="s">
        <v>136</v>
      </c>
      <c r="M3" s="54"/>
      <c r="N3" s="54"/>
      <c r="O3" s="54"/>
      <c r="P3" s="54"/>
      <c r="Q3" s="54"/>
      <c r="R3" s="54"/>
      <c r="S3" s="54"/>
      <c r="T3" s="54"/>
      <c r="W3" s="55"/>
      <c r="X3" s="55"/>
    </row>
    <row r="4" spans="1:24" ht="14.4" x14ac:dyDescent="0.35">
      <c r="A4" s="23"/>
      <c r="B4" s="49"/>
      <c r="C4" s="49"/>
      <c r="D4" s="34"/>
      <c r="E4" s="50"/>
      <c r="F4" s="22"/>
      <c r="H4" s="46"/>
      <c r="I4" s="47"/>
      <c r="J4" s="48"/>
      <c r="K4" s="51"/>
      <c r="L4" s="52"/>
      <c r="W4" s="55"/>
      <c r="X4" s="55"/>
    </row>
    <row r="5" spans="1:24" ht="14.4" x14ac:dyDescent="0.35">
      <c r="A5" s="23"/>
      <c r="B5" s="49"/>
      <c r="C5" s="49"/>
      <c r="D5" s="34"/>
      <c r="E5" s="50"/>
      <c r="F5" s="22"/>
      <c r="H5" s="46"/>
      <c r="I5" s="47"/>
      <c r="K5" s="59" t="s">
        <v>134</v>
      </c>
      <c r="L5" s="53" t="s">
        <v>137</v>
      </c>
      <c r="M5" s="54"/>
      <c r="N5" s="54"/>
      <c r="O5" s="54"/>
      <c r="P5" s="54"/>
      <c r="Q5" s="54"/>
      <c r="R5" s="54"/>
      <c r="S5" s="54"/>
      <c r="T5" s="54"/>
      <c r="V5" s="22" t="s">
        <v>143</v>
      </c>
      <c r="W5" s="55"/>
      <c r="X5" s="55"/>
    </row>
    <row r="6" spans="1:24" ht="14.4" x14ac:dyDescent="0.35">
      <c r="A6" s="23"/>
      <c r="B6" s="49"/>
      <c r="C6" s="49"/>
      <c r="D6" s="34"/>
      <c r="E6" s="50"/>
      <c r="F6" s="22"/>
      <c r="H6" s="46"/>
      <c r="I6" s="47"/>
      <c r="K6" s="59"/>
      <c r="L6" s="53" t="s">
        <v>138</v>
      </c>
      <c r="M6" s="54"/>
      <c r="N6" s="54"/>
      <c r="O6" s="54"/>
      <c r="P6" s="54"/>
      <c r="Q6" s="54"/>
      <c r="R6" s="54"/>
      <c r="S6" s="54"/>
      <c r="T6" s="54"/>
      <c r="V6" s="22" t="s">
        <v>144</v>
      </c>
      <c r="W6" s="55"/>
      <c r="X6" s="55"/>
    </row>
    <row r="7" spans="1:24" ht="14.4" x14ac:dyDescent="0.35">
      <c r="A7" s="23"/>
      <c r="B7" s="49"/>
      <c r="C7" s="49"/>
      <c r="D7" s="34"/>
      <c r="E7" s="50"/>
      <c r="F7" s="22"/>
      <c r="H7" s="46"/>
      <c r="I7" s="47"/>
      <c r="K7" s="51"/>
      <c r="L7" s="52"/>
      <c r="W7" s="55"/>
      <c r="X7" s="55"/>
    </row>
    <row r="8" spans="1:24" ht="14.4" x14ac:dyDescent="0.35">
      <c r="A8" s="23"/>
      <c r="B8" s="49"/>
      <c r="C8" s="49"/>
      <c r="D8" s="34"/>
      <c r="E8" s="50"/>
      <c r="F8" s="22"/>
      <c r="H8" s="46"/>
      <c r="I8" s="47"/>
      <c r="K8" s="59" t="s">
        <v>133</v>
      </c>
      <c r="L8" s="54" t="s">
        <v>141</v>
      </c>
      <c r="M8" s="54"/>
      <c r="N8" s="54"/>
      <c r="O8" s="54"/>
      <c r="P8" s="54"/>
      <c r="Q8" s="54"/>
      <c r="R8" s="54"/>
      <c r="S8" s="54"/>
      <c r="T8" s="54"/>
      <c r="W8" s="55"/>
      <c r="X8" s="55"/>
    </row>
    <row r="9" spans="1:24" ht="14.4" x14ac:dyDescent="0.35">
      <c r="A9" s="23"/>
      <c r="B9" s="49"/>
      <c r="C9" s="49"/>
      <c r="D9" s="34"/>
      <c r="E9" s="50"/>
      <c r="F9" s="22"/>
      <c r="H9" s="46"/>
      <c r="I9" s="47"/>
      <c r="K9" s="59"/>
      <c r="L9" s="53" t="s">
        <v>142</v>
      </c>
      <c r="M9" s="54"/>
      <c r="N9" s="54"/>
      <c r="O9" s="54"/>
      <c r="P9" s="54"/>
      <c r="Q9" s="54"/>
      <c r="R9" s="54"/>
      <c r="S9" s="54"/>
      <c r="T9" s="54"/>
      <c r="W9" s="55"/>
      <c r="X9" s="55"/>
    </row>
    <row r="10" spans="1:24" ht="14.4" x14ac:dyDescent="0.35">
      <c r="A10" s="23"/>
      <c r="B10" s="49"/>
      <c r="C10" s="49"/>
      <c r="D10" s="34"/>
      <c r="E10" s="50"/>
      <c r="F10" s="22"/>
      <c r="H10" s="46"/>
      <c r="I10" s="47"/>
      <c r="K10" s="51"/>
      <c r="L10" s="52"/>
      <c r="W10" s="55"/>
      <c r="X10" s="55"/>
    </row>
    <row r="11" spans="1:24" ht="14.4" x14ac:dyDescent="0.35">
      <c r="A11" s="23"/>
      <c r="B11" s="49"/>
      <c r="C11" s="49"/>
      <c r="D11" s="34"/>
      <c r="E11" s="50"/>
      <c r="F11" s="22"/>
      <c r="H11" s="46"/>
      <c r="I11" s="47"/>
      <c r="K11" s="59" t="s">
        <v>132</v>
      </c>
      <c r="L11" s="53" t="s">
        <v>139</v>
      </c>
      <c r="M11" s="54"/>
      <c r="N11" s="54"/>
      <c r="O11" s="54"/>
      <c r="P11" s="54"/>
      <c r="Q11" s="54"/>
      <c r="R11" s="54"/>
      <c r="S11" s="54"/>
      <c r="T11" s="54"/>
      <c r="W11" s="55"/>
      <c r="X11" s="55"/>
    </row>
    <row r="12" spans="1:24" ht="14.4" x14ac:dyDescent="0.35">
      <c r="A12" s="23"/>
      <c r="B12" s="49"/>
      <c r="C12" s="49"/>
      <c r="D12" s="34"/>
      <c r="E12" s="50"/>
      <c r="F12" s="22"/>
      <c r="H12" s="46"/>
      <c r="I12" s="47"/>
      <c r="K12" s="59"/>
      <c r="L12" s="53" t="s">
        <v>140</v>
      </c>
      <c r="M12" s="54"/>
      <c r="N12" s="54"/>
      <c r="O12" s="54"/>
      <c r="P12" s="54"/>
      <c r="Q12" s="54"/>
      <c r="R12" s="54"/>
      <c r="S12" s="54"/>
      <c r="T12" s="54"/>
      <c r="W12" s="55"/>
      <c r="X12" s="55"/>
    </row>
    <row r="13" spans="1:24" ht="14.4" x14ac:dyDescent="0.35">
      <c r="A13" s="23"/>
      <c r="B13" s="49"/>
      <c r="C13" s="49"/>
      <c r="D13" s="34"/>
      <c r="E13" s="50"/>
      <c r="F13" s="22"/>
      <c r="H13" s="46"/>
      <c r="I13" s="47"/>
      <c r="L13" s="46"/>
      <c r="W13" s="55"/>
      <c r="X13" s="55"/>
    </row>
    <row r="14" spans="1:24" ht="14.4" x14ac:dyDescent="0.35">
      <c r="A14" s="23"/>
      <c r="B14" s="49"/>
      <c r="C14" s="49"/>
      <c r="D14" s="34"/>
      <c r="E14" s="50"/>
      <c r="F14" s="22"/>
      <c r="H14" s="46"/>
      <c r="I14" s="47"/>
      <c r="K14" s="46"/>
      <c r="L14" s="46"/>
      <c r="W14" s="55"/>
      <c r="X14" s="55"/>
    </row>
    <row r="15" spans="1:24" ht="14.4" x14ac:dyDescent="0.35">
      <c r="A15" s="23"/>
      <c r="B15" s="49"/>
      <c r="C15" s="49"/>
      <c r="D15" s="34"/>
      <c r="E15" s="50"/>
      <c r="F15" s="22"/>
      <c r="H15" s="46"/>
      <c r="I15" s="47"/>
      <c r="K15" s="46"/>
      <c r="L15" s="46"/>
      <c r="W15" s="55"/>
      <c r="X15" s="55"/>
    </row>
    <row r="16" spans="1:24" ht="14.4" x14ac:dyDescent="0.35">
      <c r="A16" s="23"/>
      <c r="B16" s="49"/>
      <c r="C16" s="49"/>
      <c r="D16" s="34"/>
      <c r="E16" s="50"/>
      <c r="F16" s="22"/>
      <c r="H16" s="46"/>
      <c r="I16" s="47"/>
      <c r="K16" s="46"/>
      <c r="L16" s="46"/>
      <c r="W16" s="55"/>
      <c r="X16" s="55"/>
    </row>
    <row r="17" spans="1:24" ht="14.4" x14ac:dyDescent="0.35">
      <c r="A17" s="23"/>
      <c r="B17" s="49"/>
      <c r="C17" s="49"/>
      <c r="D17" s="34"/>
      <c r="E17" s="50"/>
      <c r="F17" s="22"/>
      <c r="H17" s="46"/>
      <c r="I17" s="47"/>
      <c r="K17" s="46"/>
      <c r="L17" s="46"/>
      <c r="W17" s="55"/>
      <c r="X17" s="55"/>
    </row>
    <row r="18" spans="1:24" ht="14.4" x14ac:dyDescent="0.35">
      <c r="A18" s="23"/>
      <c r="B18" s="49"/>
      <c r="C18" s="49"/>
      <c r="D18" s="34"/>
      <c r="E18" s="50"/>
      <c r="F18" s="22"/>
      <c r="H18" s="46"/>
      <c r="I18" s="47"/>
      <c r="K18" s="46"/>
      <c r="L18" s="46"/>
      <c r="W18" s="55"/>
      <c r="X18" s="55"/>
    </row>
    <row r="19" spans="1:24" ht="14.4" x14ac:dyDescent="0.35">
      <c r="A19" s="23"/>
      <c r="B19" s="49"/>
      <c r="C19" s="49"/>
      <c r="D19" s="34"/>
      <c r="E19" s="50"/>
      <c r="F19" s="22"/>
      <c r="H19" s="46"/>
      <c r="I19" s="47"/>
      <c r="K19" s="46"/>
      <c r="L19" s="46"/>
      <c r="W19" s="55"/>
      <c r="X19" s="55"/>
    </row>
    <row r="20" spans="1:24" ht="14.4" x14ac:dyDescent="0.35">
      <c r="A20" s="23"/>
      <c r="B20" s="49"/>
      <c r="C20" s="49"/>
      <c r="D20" s="34"/>
      <c r="E20" s="50"/>
      <c r="F20" s="22"/>
      <c r="H20" s="46"/>
      <c r="I20" s="47"/>
      <c r="K20" s="46"/>
      <c r="L20" s="46"/>
      <c r="W20" s="55"/>
      <c r="X20" s="55"/>
    </row>
    <row r="21" spans="1:24" ht="14.4" x14ac:dyDescent="0.35">
      <c r="A21" s="23"/>
      <c r="B21" s="49"/>
      <c r="C21" s="49"/>
      <c r="D21" s="34"/>
      <c r="E21" s="50"/>
      <c r="F21" s="22"/>
      <c r="H21" s="46"/>
      <c r="I21" s="47"/>
      <c r="K21" s="46"/>
      <c r="L21" s="46"/>
      <c r="W21" s="55"/>
      <c r="X21" s="55"/>
    </row>
    <row r="22" spans="1:24" ht="14.4" x14ac:dyDescent="0.35">
      <c r="A22" s="23"/>
      <c r="B22" s="49"/>
      <c r="C22" s="49"/>
      <c r="D22" s="34"/>
      <c r="E22" s="50"/>
      <c r="F22" s="22"/>
      <c r="H22" s="46"/>
      <c r="I22" s="47"/>
      <c r="K22" s="46"/>
      <c r="L22" s="46"/>
      <c r="W22" s="55"/>
      <c r="X22" s="55"/>
    </row>
    <row r="23" spans="1:24" ht="14.4" x14ac:dyDescent="0.35">
      <c r="A23" s="23"/>
      <c r="B23" s="49"/>
      <c r="C23" s="49"/>
      <c r="D23" s="34"/>
      <c r="E23" s="50"/>
      <c r="F23" s="22"/>
      <c r="H23" s="46"/>
      <c r="I23" s="47"/>
      <c r="K23" s="46"/>
      <c r="L23" s="46"/>
      <c r="W23" s="55"/>
      <c r="X23" s="55"/>
    </row>
    <row r="24" spans="1:24" ht="14.4" x14ac:dyDescent="0.35">
      <c r="A24" s="23"/>
      <c r="B24" s="49"/>
      <c r="C24" s="49"/>
      <c r="D24" s="34"/>
      <c r="E24" s="50"/>
      <c r="F24" s="22"/>
      <c r="H24" s="46"/>
      <c r="I24" s="47"/>
      <c r="K24" s="46"/>
      <c r="L24" s="46"/>
      <c r="W24" s="55"/>
      <c r="X24" s="55"/>
    </row>
    <row r="25" spans="1:24" ht="14.4" x14ac:dyDescent="0.35">
      <c r="A25" s="23"/>
      <c r="B25" s="49"/>
      <c r="C25" s="49"/>
      <c r="D25" s="34"/>
      <c r="E25" s="50"/>
      <c r="F25" s="22"/>
      <c r="H25" s="46"/>
      <c r="I25" s="47"/>
      <c r="K25" s="46"/>
      <c r="L25" s="46"/>
      <c r="W25" s="55"/>
      <c r="X25" s="55"/>
    </row>
    <row r="26" spans="1:24" ht="14.4" x14ac:dyDescent="0.35">
      <c r="A26" s="23"/>
      <c r="B26" s="49"/>
      <c r="C26" s="49"/>
      <c r="D26" s="34"/>
      <c r="E26" s="50"/>
      <c r="F26" s="22"/>
      <c r="H26" s="46"/>
      <c r="I26" s="47"/>
      <c r="K26" s="46"/>
      <c r="L26" s="46"/>
      <c r="W26" s="55"/>
      <c r="X26" s="55"/>
    </row>
    <row r="27" spans="1:24" ht="14.4" x14ac:dyDescent="0.35">
      <c r="A27" s="23"/>
      <c r="B27" s="49"/>
      <c r="C27" s="49"/>
      <c r="D27" s="34"/>
      <c r="E27" s="50"/>
      <c r="F27" s="22"/>
      <c r="H27" s="46"/>
      <c r="I27" s="47"/>
      <c r="K27" s="46"/>
      <c r="L27" s="46"/>
      <c r="W27" s="55"/>
      <c r="X27" s="55"/>
    </row>
    <row r="28" spans="1:24" ht="14.4" x14ac:dyDescent="0.35">
      <c r="A28" s="23"/>
      <c r="B28" s="49"/>
      <c r="C28" s="49"/>
      <c r="D28" s="34"/>
      <c r="E28" s="50"/>
      <c r="F28" s="22"/>
      <c r="H28" s="46"/>
      <c r="I28" s="47"/>
      <c r="K28" s="46"/>
      <c r="L28" s="46"/>
      <c r="W28" s="55"/>
      <c r="X28" s="55"/>
    </row>
    <row r="29" spans="1:24" ht="14.4" x14ac:dyDescent="0.35">
      <c r="A29" s="23"/>
      <c r="B29" s="49"/>
      <c r="C29" s="49"/>
      <c r="D29" s="34"/>
      <c r="E29" s="50"/>
      <c r="F29" s="22"/>
      <c r="H29" s="46"/>
      <c r="I29" s="47"/>
      <c r="K29" s="46"/>
      <c r="L29" s="46"/>
      <c r="W29" s="55"/>
      <c r="X29" s="55"/>
    </row>
    <row r="30" spans="1:24" ht="14.4" x14ac:dyDescent="0.35">
      <c r="A30" s="23"/>
      <c r="B30" s="49"/>
      <c r="C30" s="49"/>
      <c r="D30" s="34"/>
      <c r="E30" s="50"/>
      <c r="F30" s="22"/>
      <c r="H30" s="46"/>
      <c r="I30" s="47"/>
      <c r="K30" s="46"/>
      <c r="L30" s="46"/>
      <c r="W30" s="55"/>
      <c r="X30" s="55"/>
    </row>
    <row r="31" spans="1:24" ht="14.4" x14ac:dyDescent="0.35">
      <c r="A31" s="23"/>
      <c r="B31" s="49"/>
      <c r="C31" s="49"/>
      <c r="D31" s="34"/>
      <c r="E31" s="50"/>
      <c r="F31" s="22"/>
      <c r="H31" s="46"/>
      <c r="I31" s="47"/>
      <c r="K31" s="46"/>
      <c r="L31" s="46"/>
      <c r="W31" s="55"/>
      <c r="X31" s="55"/>
    </row>
    <row r="32" spans="1:24" ht="14.4" x14ac:dyDescent="0.35">
      <c r="A32" s="23"/>
      <c r="B32" s="49"/>
      <c r="C32" s="49"/>
      <c r="D32" s="34"/>
      <c r="E32" s="50"/>
      <c r="F32" s="22"/>
      <c r="H32" s="46"/>
      <c r="I32" s="47"/>
      <c r="K32" s="46"/>
      <c r="L32" s="46"/>
      <c r="W32" s="55"/>
      <c r="X32" s="55"/>
    </row>
    <row r="33" spans="1:24" ht="14.4" x14ac:dyDescent="0.35">
      <c r="A33" s="23"/>
      <c r="B33" s="49"/>
      <c r="C33" s="49"/>
      <c r="D33" s="34"/>
      <c r="E33" s="50"/>
      <c r="F33" s="22"/>
      <c r="H33" s="46"/>
      <c r="I33" s="47"/>
      <c r="K33" s="46"/>
      <c r="L33" s="46"/>
      <c r="W33" s="55"/>
      <c r="X33" s="55"/>
    </row>
    <row r="34" spans="1:24" ht="14.4" x14ac:dyDescent="0.35">
      <c r="A34" s="23"/>
      <c r="B34" s="49"/>
      <c r="C34" s="49"/>
      <c r="D34" s="34"/>
      <c r="E34" s="50"/>
      <c r="F34" s="22"/>
      <c r="H34" s="46"/>
      <c r="I34" s="47"/>
      <c r="K34" s="46"/>
      <c r="L34" s="46"/>
      <c r="W34" s="55"/>
      <c r="X34" s="55"/>
    </row>
    <row r="35" spans="1:24" ht="14.4" x14ac:dyDescent="0.35">
      <c r="A35" s="23"/>
      <c r="B35" s="49"/>
      <c r="C35" s="49"/>
      <c r="D35" s="34"/>
      <c r="E35" s="50"/>
      <c r="F35" s="22"/>
      <c r="H35" s="46"/>
      <c r="I35" s="47"/>
      <c r="K35" s="46"/>
      <c r="L35" s="46"/>
      <c r="W35" s="55"/>
      <c r="X35" s="55"/>
    </row>
    <row r="36" spans="1:24" ht="14.4" x14ac:dyDescent="0.35">
      <c r="A36" s="23"/>
      <c r="B36" s="49"/>
      <c r="C36" s="49"/>
      <c r="D36" s="34"/>
      <c r="E36" s="50"/>
      <c r="F36" s="22"/>
      <c r="H36" s="46"/>
      <c r="I36" s="47"/>
      <c r="K36" s="46"/>
      <c r="L36" s="46"/>
      <c r="W36" s="55"/>
      <c r="X36" s="55"/>
    </row>
    <row r="37" spans="1:24" ht="14.4" x14ac:dyDescent="0.35">
      <c r="A37" s="23"/>
      <c r="B37" s="49"/>
      <c r="C37" s="49"/>
      <c r="D37" s="34"/>
      <c r="E37" s="50"/>
      <c r="F37" s="22"/>
      <c r="H37" s="46"/>
      <c r="I37" s="47"/>
      <c r="K37" s="46"/>
      <c r="L37" s="46"/>
      <c r="W37" s="55"/>
      <c r="X37" s="55"/>
    </row>
    <row r="38" spans="1:24" ht="14.4" x14ac:dyDescent="0.35">
      <c r="A38" s="23"/>
      <c r="B38" s="49"/>
      <c r="C38" s="49"/>
      <c r="D38" s="34"/>
      <c r="E38" s="50"/>
      <c r="F38" s="22"/>
      <c r="H38" s="46"/>
      <c r="I38" s="47"/>
      <c r="K38" s="46"/>
      <c r="L38" s="46"/>
      <c r="W38" s="55"/>
      <c r="X38" s="55"/>
    </row>
    <row r="39" spans="1:24" ht="14.4" x14ac:dyDescent="0.35">
      <c r="A39" s="23"/>
      <c r="B39" s="49"/>
      <c r="C39" s="49"/>
      <c r="D39" s="34"/>
      <c r="E39" s="50"/>
      <c r="F39" s="22"/>
      <c r="H39" s="46"/>
      <c r="I39" s="47"/>
      <c r="K39" s="46"/>
      <c r="L39" s="46"/>
      <c r="W39" s="55"/>
      <c r="X39" s="55"/>
    </row>
    <row r="40" spans="1:24" ht="14.4" x14ac:dyDescent="0.35">
      <c r="A40" s="23"/>
      <c r="B40" s="49"/>
      <c r="C40" s="49"/>
      <c r="D40" s="34"/>
      <c r="E40" s="50"/>
      <c r="F40" s="22"/>
      <c r="H40" s="46"/>
      <c r="I40" s="47"/>
      <c r="K40" s="46"/>
      <c r="L40" s="46"/>
      <c r="W40" s="55"/>
      <c r="X40" s="55"/>
    </row>
    <row r="41" spans="1:24" ht="14.4" x14ac:dyDescent="0.35">
      <c r="A41" s="23"/>
      <c r="B41" s="49"/>
      <c r="C41" s="49"/>
      <c r="D41" s="34"/>
      <c r="E41" s="50"/>
      <c r="F41" s="22"/>
      <c r="H41" s="46"/>
      <c r="I41" s="47"/>
      <c r="K41" s="46"/>
      <c r="L41" s="46"/>
      <c r="W41" s="55"/>
      <c r="X41" s="55"/>
    </row>
    <row r="42" spans="1:24" ht="14.4" x14ac:dyDescent="0.35">
      <c r="A42" s="23"/>
      <c r="B42" s="49"/>
      <c r="C42" s="49"/>
      <c r="D42" s="34"/>
      <c r="E42" s="50"/>
      <c r="F42" s="22"/>
      <c r="H42" s="46"/>
      <c r="I42" s="47"/>
      <c r="K42" s="46"/>
      <c r="L42" s="46"/>
      <c r="W42" s="55"/>
      <c r="X42" s="55"/>
    </row>
    <row r="43" spans="1:24" x14ac:dyDescent="0.3">
      <c r="A43" s="23"/>
      <c r="B43" s="49"/>
      <c r="C43" s="49"/>
      <c r="D43" s="34"/>
      <c r="E43" s="50"/>
      <c r="F43" s="22"/>
      <c r="H43" s="46"/>
      <c r="I43" s="47"/>
      <c r="K43" s="46"/>
      <c r="L43" s="46"/>
    </row>
    <row r="44" spans="1:24" x14ac:dyDescent="0.3">
      <c r="A44" s="23"/>
      <c r="B44" s="49"/>
      <c r="C44" s="49"/>
      <c r="D44" s="34"/>
      <c r="E44" s="50"/>
      <c r="F44" s="22"/>
      <c r="H44" s="46"/>
      <c r="I44" s="47"/>
      <c r="K44" s="46"/>
      <c r="L44" s="46"/>
    </row>
    <row r="45" spans="1:24" x14ac:dyDescent="0.3">
      <c r="A45" s="23"/>
      <c r="B45" s="49"/>
      <c r="C45" s="49"/>
      <c r="D45" s="34"/>
      <c r="E45" s="50"/>
      <c r="F45" s="22"/>
      <c r="H45" s="46"/>
      <c r="I45" s="47"/>
      <c r="K45" s="46"/>
      <c r="L45" s="46"/>
    </row>
    <row r="46" spans="1:24" x14ac:dyDescent="0.3">
      <c r="A46" s="23"/>
      <c r="B46" s="49"/>
      <c r="C46" s="49"/>
      <c r="D46" s="34"/>
      <c r="E46" s="50"/>
      <c r="F46" s="22"/>
      <c r="H46" s="46"/>
      <c r="I46" s="47"/>
      <c r="K46" s="46"/>
      <c r="L46" s="46"/>
    </row>
    <row r="47" spans="1:24" x14ac:dyDescent="0.3">
      <c r="A47" s="23"/>
      <c r="B47" s="49"/>
      <c r="C47" s="49"/>
      <c r="D47" s="34"/>
      <c r="E47" s="50"/>
      <c r="F47" s="22"/>
      <c r="H47" s="46"/>
      <c r="I47" s="47"/>
      <c r="K47" s="46"/>
      <c r="L47" s="46"/>
    </row>
    <row r="48" spans="1:24" x14ac:dyDescent="0.3">
      <c r="A48" s="23"/>
      <c r="B48" s="49"/>
      <c r="C48" s="49"/>
      <c r="D48" s="34"/>
      <c r="E48" s="50"/>
      <c r="F48" s="22"/>
      <c r="H48" s="46"/>
      <c r="I48" s="47"/>
      <c r="K48" s="46"/>
      <c r="L48" s="46"/>
    </row>
    <row r="49" spans="1:12" x14ac:dyDescent="0.3">
      <c r="A49" s="23"/>
      <c r="B49" s="49"/>
      <c r="C49" s="49"/>
      <c r="D49" s="34"/>
      <c r="E49" s="50"/>
      <c r="F49" s="22"/>
      <c r="H49" s="46"/>
      <c r="I49" s="47"/>
      <c r="K49" s="46"/>
      <c r="L49" s="46"/>
    </row>
    <row r="50" spans="1:12" x14ac:dyDescent="0.3">
      <c r="A50" s="23"/>
      <c r="B50" s="49"/>
      <c r="C50" s="49"/>
      <c r="D50" s="34"/>
      <c r="E50" s="50"/>
      <c r="F50" s="22"/>
      <c r="H50" s="46"/>
      <c r="I50" s="47"/>
      <c r="K50" s="46"/>
      <c r="L50" s="46"/>
    </row>
    <row r="51" spans="1:12" x14ac:dyDescent="0.3">
      <c r="A51" s="23"/>
      <c r="B51" s="49"/>
      <c r="C51" s="49"/>
      <c r="D51" s="34"/>
      <c r="E51" s="50"/>
      <c r="F51" s="22"/>
      <c r="H51" s="46"/>
      <c r="I51" s="47"/>
      <c r="K51" s="46"/>
      <c r="L51" s="46"/>
    </row>
    <row r="52" spans="1:12" x14ac:dyDescent="0.3">
      <c r="A52" s="23"/>
      <c r="B52" s="49"/>
      <c r="C52" s="49"/>
      <c r="D52" s="34"/>
      <c r="E52" s="50"/>
      <c r="F52" s="22"/>
      <c r="H52" s="46"/>
      <c r="I52" s="47"/>
      <c r="K52" s="46"/>
      <c r="L52" s="46"/>
    </row>
    <row r="53" spans="1:12" x14ac:dyDescent="0.3">
      <c r="A53" s="23"/>
      <c r="B53" s="49"/>
      <c r="C53" s="49"/>
      <c r="D53" s="34"/>
      <c r="E53" s="50"/>
      <c r="F53" s="22"/>
      <c r="H53" s="46"/>
      <c r="I53" s="47"/>
      <c r="K53" s="46"/>
      <c r="L53" s="46"/>
    </row>
    <row r="54" spans="1:12" x14ac:dyDescent="0.3">
      <c r="A54" s="23"/>
      <c r="B54" s="49"/>
      <c r="C54" s="49"/>
      <c r="D54" s="34"/>
      <c r="E54" s="50"/>
      <c r="F54" s="22"/>
      <c r="H54" s="46"/>
      <c r="I54" s="47"/>
      <c r="K54" s="46"/>
      <c r="L54" s="46"/>
    </row>
    <row r="55" spans="1:12" x14ac:dyDescent="0.3">
      <c r="A55" s="23"/>
      <c r="B55" s="49"/>
      <c r="C55" s="49"/>
      <c r="D55" s="34"/>
      <c r="E55" s="50"/>
      <c r="F55" s="22"/>
      <c r="H55" s="46"/>
      <c r="I55" s="47"/>
      <c r="K55" s="46"/>
      <c r="L55" s="46"/>
    </row>
    <row r="56" spans="1:12" x14ac:dyDescent="0.3">
      <c r="A56" s="23"/>
      <c r="B56" s="49"/>
      <c r="C56" s="49"/>
      <c r="D56" s="34"/>
      <c r="E56" s="50"/>
      <c r="F56" s="22"/>
      <c r="H56" s="46"/>
      <c r="I56" s="47"/>
      <c r="K56" s="46"/>
      <c r="L56" s="46"/>
    </row>
    <row r="57" spans="1:12" x14ac:dyDescent="0.3">
      <c r="A57" s="23"/>
      <c r="B57" s="49"/>
      <c r="C57" s="49"/>
      <c r="D57" s="34"/>
      <c r="E57" s="50"/>
      <c r="F57" s="22"/>
      <c r="H57" s="46"/>
      <c r="I57" s="47"/>
      <c r="K57" s="46"/>
      <c r="L57" s="46"/>
    </row>
    <row r="58" spans="1:12" x14ac:dyDescent="0.3">
      <c r="A58" s="23"/>
      <c r="B58" s="49"/>
      <c r="C58" s="49"/>
      <c r="D58" s="34"/>
      <c r="E58" s="50"/>
      <c r="F58" s="22"/>
      <c r="H58" s="46"/>
      <c r="I58" s="47"/>
      <c r="K58" s="46"/>
      <c r="L58" s="46"/>
    </row>
    <row r="59" spans="1:12" x14ac:dyDescent="0.3">
      <c r="A59" s="23"/>
      <c r="B59" s="49"/>
      <c r="C59" s="49"/>
      <c r="D59" s="34"/>
      <c r="E59" s="50"/>
      <c r="F59" s="22"/>
      <c r="H59" s="46"/>
      <c r="I59" s="47"/>
      <c r="K59" s="46"/>
      <c r="L59" s="46"/>
    </row>
    <row r="60" spans="1:12" x14ac:dyDescent="0.3">
      <c r="A60" s="23"/>
      <c r="B60" s="49"/>
      <c r="C60" s="49"/>
      <c r="D60" s="34"/>
      <c r="E60" s="50"/>
      <c r="F60" s="22"/>
      <c r="H60" s="46"/>
      <c r="I60" s="47"/>
      <c r="K60" s="46"/>
      <c r="L60" s="46"/>
    </row>
    <row r="61" spans="1:12" x14ac:dyDescent="0.3">
      <c r="A61" s="23"/>
      <c r="B61" s="49"/>
      <c r="C61" s="49"/>
      <c r="D61" s="34"/>
      <c r="E61" s="50"/>
      <c r="F61" s="22"/>
      <c r="H61" s="46"/>
      <c r="I61" s="47"/>
      <c r="K61" s="46"/>
      <c r="L61" s="46"/>
    </row>
  </sheetData>
  <mergeCells count="4">
    <mergeCell ref="K2:K3"/>
    <mergeCell ref="K5:K6"/>
    <mergeCell ref="K8:K9"/>
    <mergeCell ref="K11:K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BA4B4-B7E6-4D27-9E7B-0A044461DF67}">
  <sheetPr codeName="Sheet10">
    <tabColor rgb="FFC00000"/>
  </sheetPr>
  <dimension ref="A1:H8"/>
  <sheetViews>
    <sheetView showGridLines="0" tabSelected="1" workbookViewId="0">
      <selection activeCell="A9" sqref="A9"/>
    </sheetView>
  </sheetViews>
  <sheetFormatPr defaultRowHeight="13.8" x14ac:dyDescent="0.3"/>
  <cols>
    <col min="8" max="8" width="9.88671875" customWidth="1"/>
  </cols>
  <sheetData>
    <row r="1" spans="1:8" x14ac:dyDescent="0.3">
      <c r="A1" s="57"/>
      <c r="B1" s="57" t="s">
        <v>145</v>
      </c>
      <c r="C1" s="57"/>
      <c r="D1" s="57"/>
      <c r="E1" s="57"/>
      <c r="F1" s="56"/>
      <c r="G1" s="56"/>
      <c r="H1" s="56"/>
    </row>
    <row r="2" spans="1:8" x14ac:dyDescent="0.3">
      <c r="A2" s="54" t="s">
        <v>148</v>
      </c>
      <c r="B2" s="54"/>
      <c r="C2" s="54"/>
      <c r="D2" s="54"/>
      <c r="E2" s="54"/>
      <c r="F2" s="54"/>
      <c r="G2" s="54"/>
      <c r="H2" s="54"/>
    </row>
    <row r="3" spans="1:8" x14ac:dyDescent="0.3">
      <c r="A3" s="54" t="s">
        <v>147</v>
      </c>
      <c r="B3" s="54"/>
      <c r="C3" s="54"/>
      <c r="D3" s="54"/>
      <c r="E3" s="54"/>
      <c r="F3" s="54"/>
      <c r="G3" s="54"/>
      <c r="H3" s="54"/>
    </row>
    <row r="4" spans="1:8" x14ac:dyDescent="0.3">
      <c r="A4" s="54" t="s">
        <v>149</v>
      </c>
      <c r="B4" s="54"/>
      <c r="C4" s="54"/>
      <c r="D4" s="54"/>
      <c r="E4" s="54"/>
      <c r="F4" s="54"/>
      <c r="G4" s="54"/>
      <c r="H4" s="54"/>
    </row>
    <row r="5" spans="1:8" x14ac:dyDescent="0.3">
      <c r="A5" s="54" t="s">
        <v>146</v>
      </c>
      <c r="B5" s="54"/>
      <c r="C5" s="54"/>
      <c r="D5" s="54"/>
      <c r="E5" s="54"/>
      <c r="F5" s="54"/>
      <c r="G5" s="54"/>
      <c r="H5" s="54"/>
    </row>
    <row r="6" spans="1:8" x14ac:dyDescent="0.3">
      <c r="A6" s="54"/>
      <c r="B6" s="54"/>
      <c r="C6" s="54"/>
      <c r="D6" s="54"/>
      <c r="E6" s="54"/>
      <c r="F6" s="54"/>
      <c r="G6" s="54"/>
      <c r="H6" s="54"/>
    </row>
    <row r="7" spans="1:8" x14ac:dyDescent="0.3">
      <c r="A7" s="54" t="s">
        <v>150</v>
      </c>
      <c r="B7" s="54"/>
      <c r="C7" s="54"/>
      <c r="D7" s="54"/>
      <c r="E7" s="54"/>
      <c r="F7" s="54"/>
      <c r="G7" s="54"/>
      <c r="H7" s="54"/>
    </row>
    <row r="8" spans="1:8" x14ac:dyDescent="0.3">
      <c r="A8" s="54" t="s">
        <v>169</v>
      </c>
      <c r="B8" s="54"/>
      <c r="C8" s="54"/>
      <c r="D8" s="54"/>
      <c r="E8" s="54"/>
      <c r="F8" s="54"/>
      <c r="G8" s="54"/>
      <c r="H8" s="5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77DD5-38A1-4C6E-AF63-11DA90151E70}">
  <sheetPr codeName="Sheet6">
    <tabColor theme="3" tint="0.89999084444715716"/>
  </sheetPr>
  <dimension ref="A1:N989"/>
  <sheetViews>
    <sheetView showGridLines="0" zoomScale="130" zoomScaleNormal="130" workbookViewId="0">
      <selection activeCell="I2" sqref="I2"/>
    </sheetView>
  </sheetViews>
  <sheetFormatPr defaultRowHeight="10.8" x14ac:dyDescent="0.25"/>
  <cols>
    <col min="1" max="1" width="10.109375" style="20" bestFit="1" customWidth="1"/>
    <col min="2" max="2" width="11.44140625" style="11" bestFit="1" customWidth="1"/>
    <col min="3" max="3" width="36.77734375" style="11" bestFit="1" customWidth="1"/>
    <col min="4" max="4" width="8.88671875" style="11"/>
    <col min="5" max="5" width="6.5546875" style="11" bestFit="1" customWidth="1"/>
    <col min="6" max="6" width="4.88671875" style="11" customWidth="1"/>
    <col min="7" max="8" width="8.88671875" style="11"/>
    <col min="9" max="11" width="10.6640625" style="19" customWidth="1"/>
    <col min="12" max="12" width="9.44140625" style="11" bestFit="1" customWidth="1"/>
    <col min="13" max="16384" width="8.88671875" style="11"/>
  </cols>
  <sheetData>
    <row r="1" spans="1:14" ht="21" thickBot="1" x14ac:dyDescent="0.3">
      <c r="A1" s="8" t="s">
        <v>7</v>
      </c>
      <c r="B1" s="9" t="s">
        <v>8</v>
      </c>
      <c r="C1" s="10" t="s">
        <v>9</v>
      </c>
      <c r="E1" s="10" t="s">
        <v>81</v>
      </c>
      <c r="F1" s="10" t="s">
        <v>82</v>
      </c>
      <c r="H1" s="10" t="str" cm="1">
        <f t="array" ref="H1:H40">_xlfn.UNIQUE(VCTODI1)</f>
        <v>VENCTO</v>
      </c>
      <c r="I1" s="10" t="s">
        <v>95</v>
      </c>
      <c r="J1" s="10" t="s">
        <v>79</v>
      </c>
      <c r="K1" s="10" t="s">
        <v>80</v>
      </c>
      <c r="L1" s="10" t="s">
        <v>2</v>
      </c>
      <c r="M1" s="10" t="s">
        <v>105</v>
      </c>
      <c r="N1" s="10" t="s">
        <v>3</v>
      </c>
    </row>
    <row r="2" spans="1:14" x14ac:dyDescent="0.25">
      <c r="A2" s="12">
        <v>45292</v>
      </c>
      <c r="B2" s="13" t="s">
        <v>10</v>
      </c>
      <c r="C2" s="13" t="s">
        <v>11</v>
      </c>
      <c r="E2" s="14" t="s">
        <v>83</v>
      </c>
      <c r="F2" s="14">
        <v>1</v>
      </c>
      <c r="H2" s="14" t="str">
        <v>V24</v>
      </c>
      <c r="I2" s="15">
        <f t="shared" ref="I2:I39" si="0">WORKDAY.INTL(DATE(20&amp;RIGHT(H2,2),(_xlfn.XLOOKUP(LEFT(H2,1),Depara_CodigoVCTO,Depara_Mesvcto,,0)),1)-1,1,1,Feriados)</f>
        <v>45566</v>
      </c>
      <c r="J2" s="16">
        <f ca="1">NETWORKDAYS.INTL(D0,I2,1,Feriados)</f>
        <v>7</v>
      </c>
      <c r="K2" s="16">
        <f t="shared" ref="K2:K39" ca="1" si="1">I2-D0</f>
        <v>9</v>
      </c>
      <c r="L2" s="17">
        <f t="shared" ref="L2:L39" ca="1" si="2">((100000/_xlfn.XLOOKUP($H2,VCTODI1,AJUSTEDI1,,0))^(252/J2))-1</f>
        <v>0.10653132910134944</v>
      </c>
      <c r="M2" s="17" cm="1">
        <f t="array" aca="1" ref="M2" ca="1">(((100000/_xlfn.XLOOKUP(H2,Vcto_DDI[VENCTO],Tbl_DDI[AJUSTE])-1)*360/K2))</f>
        <v>-0.6324747243264417</v>
      </c>
      <c r="N2" s="14"/>
    </row>
    <row r="3" spans="1:14" x14ac:dyDescent="0.25">
      <c r="A3" s="12">
        <v>45334</v>
      </c>
      <c r="B3" s="13" t="s">
        <v>10</v>
      </c>
      <c r="C3" s="13" t="s">
        <v>12</v>
      </c>
      <c r="E3" s="14" t="s">
        <v>84</v>
      </c>
      <c r="F3" s="14">
        <v>2</v>
      </c>
      <c r="H3" s="14" t="str">
        <v>X24</v>
      </c>
      <c r="I3" s="15">
        <f t="shared" si="0"/>
        <v>45597</v>
      </c>
      <c r="J3" s="16">
        <f t="shared" ref="J3:J39" ca="1" si="3">NETWORKDAYS.INTL(D0+1,I3,1,Feriados)</f>
        <v>30</v>
      </c>
      <c r="K3" s="16">
        <f t="shared" ca="1" si="1"/>
        <v>40</v>
      </c>
      <c r="L3" s="17">
        <f t="shared" ca="1" si="2"/>
        <v>0.10657000901947411</v>
      </c>
      <c r="M3" s="17" cm="1">
        <f t="array" aca="1" ref="M3" ca="1">(((100000/_xlfn.XLOOKUP(H3,Vcto_DDI[VENCTO],Tbl_DDI[AJUSTE])-1)*360/K3))</f>
        <v>-9.1276112335840875E-2</v>
      </c>
      <c r="N3" s="14"/>
    </row>
    <row r="4" spans="1:14" x14ac:dyDescent="0.25">
      <c r="A4" s="12">
        <v>45335</v>
      </c>
      <c r="B4" s="13" t="s">
        <v>13</v>
      </c>
      <c r="C4" s="13" t="s">
        <v>12</v>
      </c>
      <c r="E4" s="14" t="s">
        <v>85</v>
      </c>
      <c r="F4" s="14">
        <v>3</v>
      </c>
      <c r="H4" s="14" t="str">
        <v>Z24</v>
      </c>
      <c r="I4" s="15">
        <f t="shared" si="0"/>
        <v>45628</v>
      </c>
      <c r="J4" s="16">
        <f t="shared" ca="1" si="3"/>
        <v>49</v>
      </c>
      <c r="K4" s="16">
        <f t="shared" ca="1" si="1"/>
        <v>71</v>
      </c>
      <c r="L4" s="17">
        <f t="shared" ca="1" si="2"/>
        <v>0.10817998352862013</v>
      </c>
      <c r="M4" s="17" cm="1">
        <f t="array" aca="1" ref="M4" ca="1">(((100000/_xlfn.XLOOKUP(H4,Vcto_DDI[VENCTO],Tbl_DDI[AJUSTE])-1)*360/K4))</f>
        <v>-2.7750329415713551E-2</v>
      </c>
      <c r="N4" s="14"/>
    </row>
    <row r="5" spans="1:14" x14ac:dyDescent="0.25">
      <c r="A5" s="12">
        <v>45380</v>
      </c>
      <c r="B5" s="13" t="s">
        <v>14</v>
      </c>
      <c r="C5" s="13" t="s">
        <v>15</v>
      </c>
      <c r="E5" s="14" t="s">
        <v>86</v>
      </c>
      <c r="F5" s="14">
        <v>4</v>
      </c>
      <c r="H5" s="14" t="str">
        <v>F25</v>
      </c>
      <c r="I5" s="15">
        <f t="shared" si="0"/>
        <v>45659</v>
      </c>
      <c r="J5" s="16">
        <f t="shared" ca="1" si="3"/>
        <v>70</v>
      </c>
      <c r="K5" s="16">
        <f t="shared" ca="1" si="1"/>
        <v>102</v>
      </c>
      <c r="L5" s="17">
        <f t="shared" ca="1" si="2"/>
        <v>0.11028986296528553</v>
      </c>
      <c r="M5" s="17" cm="1">
        <f t="array" aca="1" ref="M5" ca="1">(((100000/_xlfn.XLOOKUP(H5,Vcto_DDI[VENCTO],Tbl_DDI[AJUSTE])-1)*360/K5))</f>
        <v>-6.2212561337204875E-4</v>
      </c>
      <c r="N5" s="14"/>
    </row>
    <row r="6" spans="1:14" x14ac:dyDescent="0.25">
      <c r="A6" s="12">
        <v>45403</v>
      </c>
      <c r="B6" s="13" t="s">
        <v>16</v>
      </c>
      <c r="C6" s="13" t="s">
        <v>17</v>
      </c>
      <c r="E6" s="14" t="s">
        <v>87</v>
      </c>
      <c r="F6" s="14">
        <v>5</v>
      </c>
      <c r="H6" s="14" t="str">
        <v>G25</v>
      </c>
      <c r="I6" s="15">
        <f t="shared" si="0"/>
        <v>45691</v>
      </c>
      <c r="J6" s="16">
        <f t="shared" ca="1" si="3"/>
        <v>92</v>
      </c>
      <c r="K6" s="16">
        <f t="shared" ca="1" si="1"/>
        <v>134</v>
      </c>
      <c r="L6" s="17">
        <f t="shared" ca="1" si="2"/>
        <v>0.11204002959959181</v>
      </c>
      <c r="M6" s="17" cm="1">
        <f t="array" aca="1" ref="M6" ca="1">(((100000/_xlfn.XLOOKUP(H6,Vcto_DDI[VENCTO],Tbl_DDI[AJUSTE])-1)*360/K6))</f>
        <v>1.315330811305508E-2</v>
      </c>
      <c r="N6" s="14"/>
    </row>
    <row r="7" spans="1:14" x14ac:dyDescent="0.25">
      <c r="A7" s="12">
        <v>45413</v>
      </c>
      <c r="B7" s="13" t="s">
        <v>18</v>
      </c>
      <c r="C7" s="13" t="s">
        <v>19</v>
      </c>
      <c r="E7" s="14" t="s">
        <v>88</v>
      </c>
      <c r="F7" s="14">
        <v>6</v>
      </c>
      <c r="H7" s="14" t="str">
        <v>H25</v>
      </c>
      <c r="I7" s="15">
        <f t="shared" si="0"/>
        <v>45721</v>
      </c>
      <c r="J7" s="16">
        <f t="shared" ca="1" si="3"/>
        <v>112</v>
      </c>
      <c r="K7" s="16">
        <f t="shared" ca="1" si="1"/>
        <v>164</v>
      </c>
      <c r="L7" s="17">
        <f t="shared" ca="1" si="2"/>
        <v>0.1139199108518949</v>
      </c>
      <c r="M7" s="17" cm="1">
        <f t="array" aca="1" ref="M7" ca="1">(((100000/_xlfn.XLOOKUP(H7,Vcto_DDI[VENCTO],Tbl_DDI[AJUSTE])-1)*360/K7))</f>
        <v>2.0355138860528581E-2</v>
      </c>
      <c r="N7" s="14"/>
    </row>
    <row r="8" spans="1:14" x14ac:dyDescent="0.25">
      <c r="A8" s="12">
        <v>45442</v>
      </c>
      <c r="B8" s="13" t="s">
        <v>20</v>
      </c>
      <c r="C8" s="13" t="s">
        <v>21</v>
      </c>
      <c r="E8" s="14" t="s">
        <v>89</v>
      </c>
      <c r="F8" s="14">
        <v>7</v>
      </c>
      <c r="H8" s="14" t="str">
        <v>J25</v>
      </c>
      <c r="I8" s="15">
        <f t="shared" si="0"/>
        <v>45748</v>
      </c>
      <c r="J8" s="16">
        <f t="shared" ca="1" si="3"/>
        <v>131</v>
      </c>
      <c r="K8" s="16">
        <f t="shared" ca="1" si="1"/>
        <v>191</v>
      </c>
      <c r="L8" s="17">
        <f t="shared" ca="1" si="2"/>
        <v>0.11518990315885191</v>
      </c>
      <c r="M8" s="17" cm="1">
        <f t="array" aca="1" ref="M8" ca="1">(((100000/_xlfn.XLOOKUP(H8,Vcto_DDI[VENCTO],Tbl_DDI[AJUSTE])-1)*360/K8))</f>
        <v>2.4685858827424103E-2</v>
      </c>
      <c r="N8" s="14"/>
    </row>
    <row r="9" spans="1:14" x14ac:dyDescent="0.25">
      <c r="A9" s="12">
        <v>45542</v>
      </c>
      <c r="B9" s="13" t="s">
        <v>22</v>
      </c>
      <c r="C9" s="13" t="s">
        <v>23</v>
      </c>
      <c r="E9" s="14" t="s">
        <v>90</v>
      </c>
      <c r="F9" s="14">
        <v>8</v>
      </c>
      <c r="H9" s="14" t="str">
        <v>K25</v>
      </c>
      <c r="I9" s="15">
        <f t="shared" si="0"/>
        <v>45779</v>
      </c>
      <c r="J9" s="16">
        <f t="shared" ca="1" si="3"/>
        <v>151</v>
      </c>
      <c r="K9" s="16">
        <f t="shared" ca="1" si="1"/>
        <v>222</v>
      </c>
      <c r="L9" s="17">
        <f t="shared" ca="1" si="2"/>
        <v>0.116509914307656</v>
      </c>
      <c r="M9" s="17" cm="1">
        <f t="array" aca="1" ref="M9" ca="1">(((100000/_xlfn.XLOOKUP(H9,Vcto_DDI[VENCTO],Tbl_DDI[AJUSTE])-1)*360/K9))</f>
        <v>2.8655914215537041E-2</v>
      </c>
      <c r="N9" s="14"/>
    </row>
    <row r="10" spans="1:14" x14ac:dyDescent="0.25">
      <c r="A10" s="12">
        <v>45577</v>
      </c>
      <c r="B10" s="13" t="s">
        <v>22</v>
      </c>
      <c r="C10" s="13" t="s">
        <v>24</v>
      </c>
      <c r="E10" s="14" t="s">
        <v>91</v>
      </c>
      <c r="F10" s="14">
        <v>9</v>
      </c>
      <c r="H10" s="14" t="str">
        <v>M25</v>
      </c>
      <c r="I10" s="15">
        <f t="shared" si="0"/>
        <v>45810</v>
      </c>
      <c r="J10" s="16">
        <f t="shared" ca="1" si="3"/>
        <v>172</v>
      </c>
      <c r="K10" s="16">
        <f t="shared" ca="1" si="1"/>
        <v>253</v>
      </c>
      <c r="L10" s="17">
        <f t="shared" ca="1" si="2"/>
        <v>0.1175499824944799</v>
      </c>
      <c r="M10" s="17" cm="1">
        <f t="array" aca="1" ref="M10" ca="1">(((100000/_xlfn.XLOOKUP(H10,Vcto_DDI[VENCTO],Tbl_DDI[AJUSTE])-1)*360/K10))</f>
        <v>3.0650379074626637E-2</v>
      </c>
      <c r="N10" s="14"/>
    </row>
    <row r="11" spans="1:14" x14ac:dyDescent="0.25">
      <c r="A11" s="12">
        <v>45598</v>
      </c>
      <c r="B11" s="13" t="s">
        <v>22</v>
      </c>
      <c r="C11" s="13" t="s">
        <v>25</v>
      </c>
      <c r="E11" s="14" t="s">
        <v>92</v>
      </c>
      <c r="F11" s="14">
        <v>10</v>
      </c>
      <c r="H11" s="14" t="str">
        <v>N25</v>
      </c>
      <c r="I11" s="15">
        <f t="shared" si="0"/>
        <v>45839</v>
      </c>
      <c r="J11" s="16">
        <f t="shared" ca="1" si="3"/>
        <v>192</v>
      </c>
      <c r="K11" s="16">
        <f t="shared" ca="1" si="1"/>
        <v>282</v>
      </c>
      <c r="L11" s="17">
        <f t="shared" ca="1" si="2"/>
        <v>0.11857004454669728</v>
      </c>
      <c r="M11" s="17" cm="1">
        <f t="array" aca="1" ref="M11" ca="1">(((100000/_xlfn.XLOOKUP(H11,Vcto_DDI[VENCTO],Tbl_DDI[AJUSTE])-1)*360/K11))</f>
        <v>3.2408188476721875E-2</v>
      </c>
      <c r="N11" s="14"/>
    </row>
    <row r="12" spans="1:14" x14ac:dyDescent="0.25">
      <c r="A12" s="12">
        <v>45611</v>
      </c>
      <c r="B12" s="13" t="s">
        <v>14</v>
      </c>
      <c r="C12" s="13" t="s">
        <v>26</v>
      </c>
      <c r="E12" s="14" t="s">
        <v>93</v>
      </c>
      <c r="F12" s="14">
        <v>11</v>
      </c>
      <c r="H12" s="14" t="str">
        <v>Q25</v>
      </c>
      <c r="I12" s="15">
        <f t="shared" si="0"/>
        <v>45870</v>
      </c>
      <c r="J12" s="16">
        <f t="shared" ca="1" si="3"/>
        <v>215</v>
      </c>
      <c r="K12" s="16">
        <f t="shared" ca="1" si="1"/>
        <v>313</v>
      </c>
      <c r="L12" s="17">
        <f t="shared" ca="1" si="2"/>
        <v>0.11943004622865261</v>
      </c>
      <c r="M12" s="17" cm="1">
        <f t="array" aca="1" ref="M12" ca="1">(((100000/_xlfn.XLOOKUP(H12,Vcto_DDI[VENCTO],Tbl_DDI[AJUSTE])-1)*360/K12))</f>
        <v>3.4096514065877742E-2</v>
      </c>
      <c r="N12" s="14"/>
    </row>
    <row r="13" spans="1:14" x14ac:dyDescent="0.25">
      <c r="A13" s="12">
        <v>45616</v>
      </c>
      <c r="B13" s="13" t="s">
        <v>18</v>
      </c>
      <c r="C13" s="13" t="s">
        <v>27</v>
      </c>
      <c r="E13" s="14" t="s">
        <v>94</v>
      </c>
      <c r="F13" s="14">
        <v>12</v>
      </c>
      <c r="H13" s="14" t="str">
        <v>U25</v>
      </c>
      <c r="I13" s="15">
        <f t="shared" si="0"/>
        <v>45901</v>
      </c>
      <c r="J13" s="16">
        <f t="shared" ca="1" si="3"/>
        <v>236</v>
      </c>
      <c r="K13" s="16">
        <f t="shared" ca="1" si="1"/>
        <v>344</v>
      </c>
      <c r="L13" s="17">
        <f t="shared" ca="1" si="2"/>
        <v>0.12002000221285547</v>
      </c>
      <c r="M13" s="17" cm="1">
        <f t="array" aca="1" ref="M13" ca="1">(((100000/_xlfn.XLOOKUP(H13,Vcto_DDI[VENCTO],Tbl_DDI[AJUSTE])-1)*360/K13))</f>
        <v>3.4630160746539684E-2</v>
      </c>
      <c r="N13" s="14"/>
    </row>
    <row r="14" spans="1:14" x14ac:dyDescent="0.25">
      <c r="A14" s="12">
        <v>45651</v>
      </c>
      <c r="B14" s="13" t="s">
        <v>18</v>
      </c>
      <c r="C14" s="13" t="s">
        <v>28</v>
      </c>
      <c r="H14" s="14" t="str">
        <v>V25</v>
      </c>
      <c r="I14" s="15">
        <f t="shared" si="0"/>
        <v>45931</v>
      </c>
      <c r="J14" s="16">
        <f t="shared" ca="1" si="3"/>
        <v>258</v>
      </c>
      <c r="K14" s="16">
        <f t="shared" ca="1" si="1"/>
        <v>374</v>
      </c>
      <c r="L14" s="17">
        <f t="shared" ca="1" si="2"/>
        <v>0.12065002288847415</v>
      </c>
      <c r="M14" s="17" cm="1">
        <f t="array" aca="1" ref="M14" ca="1">(((100000/_xlfn.XLOOKUP(H14,Vcto_DDI[VENCTO],Tbl_DDI[AJUSTE])-1)*360/K14))</f>
        <v>3.5880814144738142E-2</v>
      </c>
      <c r="N14" s="14"/>
    </row>
    <row r="15" spans="1:14" x14ac:dyDescent="0.25">
      <c r="A15" s="12">
        <v>45658</v>
      </c>
      <c r="B15" s="13" t="s">
        <v>18</v>
      </c>
      <c r="C15" s="13" t="s">
        <v>11</v>
      </c>
      <c r="H15" s="14" t="str">
        <v>F26</v>
      </c>
      <c r="I15" s="15">
        <f t="shared" si="0"/>
        <v>46024</v>
      </c>
      <c r="J15" s="16">
        <f t="shared" ca="1" si="3"/>
        <v>322</v>
      </c>
      <c r="K15" s="16">
        <f t="shared" ca="1" si="1"/>
        <v>467</v>
      </c>
      <c r="L15" s="17">
        <f t="shared" ca="1" si="2"/>
        <v>0.12184998645117262</v>
      </c>
      <c r="M15" s="17" cm="1">
        <f t="array" aca="1" ref="M15" ca="1">(((100000/_xlfn.XLOOKUP(H15,Vcto_DDI[VENCTO],Tbl_DDI[AJUSTE])-1)*360/K15))</f>
        <v>3.8002072981081415E-2</v>
      </c>
      <c r="N15" s="14"/>
    </row>
    <row r="16" spans="1:14" x14ac:dyDescent="0.25">
      <c r="A16" s="12">
        <v>45719</v>
      </c>
      <c r="B16" s="13" t="s">
        <v>10</v>
      </c>
      <c r="C16" s="13" t="s">
        <v>12</v>
      </c>
      <c r="H16" s="14" t="str">
        <v>J26</v>
      </c>
      <c r="I16" s="15">
        <f t="shared" si="0"/>
        <v>46113</v>
      </c>
      <c r="J16" s="16">
        <f t="shared" ca="1" si="3"/>
        <v>383</v>
      </c>
      <c r="K16" s="16">
        <f t="shared" ca="1" si="1"/>
        <v>556</v>
      </c>
      <c r="L16" s="17">
        <f t="shared" ca="1" si="2"/>
        <v>0.12259002497918492</v>
      </c>
      <c r="M16" s="17" cm="1">
        <f t="array" aca="1" ref="M16" ca="1">(((100000/_xlfn.XLOOKUP(H16,Vcto_DDI[VENCTO],Tbl_DDI[AJUSTE])-1)*360/K16))</f>
        <v>3.8849231085032229E-2</v>
      </c>
      <c r="N16" s="14"/>
    </row>
    <row r="17" spans="1:14" x14ac:dyDescent="0.25">
      <c r="A17" s="12">
        <v>45720</v>
      </c>
      <c r="B17" s="13" t="s">
        <v>13</v>
      </c>
      <c r="C17" s="13" t="s">
        <v>12</v>
      </c>
      <c r="H17" s="14" t="str">
        <v>N26</v>
      </c>
      <c r="I17" s="15">
        <f t="shared" si="0"/>
        <v>46204</v>
      </c>
      <c r="J17" s="16">
        <f t="shared" ca="1" si="3"/>
        <v>444</v>
      </c>
      <c r="K17" s="16">
        <f t="shared" ca="1" si="1"/>
        <v>647</v>
      </c>
      <c r="L17" s="17">
        <f t="shared" ca="1" si="2"/>
        <v>0.12282996731330909</v>
      </c>
      <c r="M17" s="17" cm="1">
        <f t="array" aca="1" ref="M17" ca="1">(((100000/_xlfn.XLOOKUP(H17,Vcto_DDI[VENCTO],Tbl_DDI[AJUSTE])-1)*360/K17))</f>
        <v>3.9822725155534235E-2</v>
      </c>
      <c r="N17" s="14"/>
    </row>
    <row r="18" spans="1:14" x14ac:dyDescent="0.25">
      <c r="A18" s="12">
        <v>45765</v>
      </c>
      <c r="B18" s="13" t="s">
        <v>14</v>
      </c>
      <c r="C18" s="13" t="s">
        <v>15</v>
      </c>
      <c r="H18" s="14" t="str">
        <v>V26</v>
      </c>
      <c r="I18" s="15">
        <f t="shared" si="0"/>
        <v>46296</v>
      </c>
      <c r="J18" s="16">
        <f t="shared" ca="1" si="3"/>
        <v>509</v>
      </c>
      <c r="K18" s="16">
        <f t="shared" ca="1" si="1"/>
        <v>739</v>
      </c>
      <c r="L18" s="17">
        <f t="shared" ca="1" si="2"/>
        <v>0.12279000682632635</v>
      </c>
      <c r="M18" s="17" cm="1">
        <f t="array" aca="1" ref="M18" ca="1">(((100000/_xlfn.XLOOKUP(H18,Vcto_DDI[VENCTO],Tbl_DDI[AJUSTE])-1)*360/K18))</f>
        <v>4.0419096129992886E-2</v>
      </c>
      <c r="N18" s="14"/>
    </row>
    <row r="19" spans="1:14" x14ac:dyDescent="0.25">
      <c r="A19" s="12">
        <v>45768</v>
      </c>
      <c r="B19" s="13" t="s">
        <v>10</v>
      </c>
      <c r="C19" s="13" t="s">
        <v>17</v>
      </c>
      <c r="H19" s="14" t="str">
        <v>F27</v>
      </c>
      <c r="I19" s="15">
        <f t="shared" si="0"/>
        <v>46391</v>
      </c>
      <c r="J19" s="16">
        <f t="shared" ca="1" si="3"/>
        <v>571</v>
      </c>
      <c r="K19" s="16">
        <f t="shared" ca="1" si="1"/>
        <v>834</v>
      </c>
      <c r="L19" s="17">
        <f t="shared" ca="1" si="2"/>
        <v>0.12248999141469308</v>
      </c>
      <c r="M19" s="17" cm="1">
        <f t="array" aca="1" ref="M19" ca="1">(((100000/_xlfn.XLOOKUP(H19,Vcto_DDI[VENCTO],Tbl_DDI[AJUSTE])-1)*360/K19))</f>
        <v>4.1078271297834805E-2</v>
      </c>
      <c r="N19" s="14"/>
    </row>
    <row r="20" spans="1:14" x14ac:dyDescent="0.25">
      <c r="A20" s="12">
        <v>45778</v>
      </c>
      <c r="B20" s="13" t="s">
        <v>20</v>
      </c>
      <c r="C20" s="13" t="s">
        <v>19</v>
      </c>
      <c r="H20" s="14" t="str">
        <v>J27</v>
      </c>
      <c r="I20" s="15">
        <f t="shared" si="0"/>
        <v>46478</v>
      </c>
      <c r="J20" s="16">
        <f t="shared" ca="1" si="3"/>
        <v>631</v>
      </c>
      <c r="K20" s="16">
        <f t="shared" ca="1" si="1"/>
        <v>921</v>
      </c>
      <c r="L20" s="17">
        <f t="shared" ca="1" si="2"/>
        <v>0.12258999414205229</v>
      </c>
      <c r="M20" s="17" cm="1">
        <f t="array" aca="1" ref="M20" ca="1">(((100000/_xlfn.XLOOKUP(H20,Vcto_DDI[VENCTO],Tbl_DDI[AJUSTE])-1)*360/K20))</f>
        <v>4.1279430031146792E-2</v>
      </c>
      <c r="N20" s="14"/>
    </row>
    <row r="21" spans="1:14" x14ac:dyDescent="0.25">
      <c r="A21" s="12">
        <v>45827</v>
      </c>
      <c r="B21" s="13" t="s">
        <v>20</v>
      </c>
      <c r="C21" s="13" t="s">
        <v>21</v>
      </c>
      <c r="H21" s="14" t="str">
        <v>N27</v>
      </c>
      <c r="I21" s="15">
        <f t="shared" si="0"/>
        <v>46569</v>
      </c>
      <c r="J21" s="16">
        <f t="shared" ca="1" si="3"/>
        <v>694</v>
      </c>
      <c r="K21" s="16">
        <f t="shared" ca="1" si="1"/>
        <v>1012</v>
      </c>
      <c r="L21" s="17">
        <f t="shared" ca="1" si="2"/>
        <v>0.1227499942015573</v>
      </c>
      <c r="M21" s="17" cm="1">
        <f t="array" aca="1" ref="M21" ca="1">(((100000/_xlfn.XLOOKUP(H21,Vcto_DDI[VENCTO],Tbl_DDI[AJUSTE])-1)*360/K21))</f>
        <v>4.1782420836886588E-2</v>
      </c>
      <c r="N21" s="14"/>
    </row>
    <row r="22" spans="1:14" x14ac:dyDescent="0.25">
      <c r="A22" s="12">
        <v>45907</v>
      </c>
      <c r="B22" s="13" t="s">
        <v>16</v>
      </c>
      <c r="C22" s="13" t="s">
        <v>23</v>
      </c>
      <c r="H22" s="14" t="str">
        <v>V27</v>
      </c>
      <c r="I22" s="15">
        <f t="shared" si="0"/>
        <v>46661</v>
      </c>
      <c r="J22" s="16">
        <f t="shared" ca="1" si="3"/>
        <v>759</v>
      </c>
      <c r="K22" s="16">
        <f t="shared" ca="1" si="1"/>
        <v>1104</v>
      </c>
      <c r="L22" s="17">
        <f t="shared" ca="1" si="2"/>
        <v>0.12294001802094146</v>
      </c>
      <c r="M22" s="17" cm="1">
        <f t="array" aca="1" ref="M22" ca="1">(((100000/_xlfn.XLOOKUP(H22,Vcto_DDI[VENCTO],Tbl_DDI[AJUSTE])-1)*360/K22))</f>
        <v>4.2286469691207015E-2</v>
      </c>
      <c r="N22" s="14"/>
    </row>
    <row r="23" spans="1:14" x14ac:dyDescent="0.25">
      <c r="A23" s="12">
        <v>45942</v>
      </c>
      <c r="B23" s="13" t="s">
        <v>16</v>
      </c>
      <c r="C23" s="13" t="s">
        <v>24</v>
      </c>
      <c r="H23" s="14" t="str">
        <v>F28</v>
      </c>
      <c r="I23" s="15">
        <f t="shared" si="0"/>
        <v>46755</v>
      </c>
      <c r="J23" s="16">
        <f t="shared" ca="1" si="3"/>
        <v>822</v>
      </c>
      <c r="K23" s="16">
        <f t="shared" ca="1" si="1"/>
        <v>1198</v>
      </c>
      <c r="L23" s="17">
        <f t="shared" ca="1" si="2"/>
        <v>0.12302000389123835</v>
      </c>
      <c r="M23" s="17" cm="1">
        <f t="array" aca="1" ref="M23" ca="1">(((100000/_xlfn.XLOOKUP(H23,Vcto_DDI[VENCTO],Tbl_DDI[AJUSTE])-1)*360/K23))</f>
        <v>4.2821377960455105E-2</v>
      </c>
      <c r="N23" s="14"/>
    </row>
    <row r="24" spans="1:14" x14ac:dyDescent="0.25">
      <c r="A24" s="12">
        <v>45963</v>
      </c>
      <c r="B24" s="13" t="s">
        <v>16</v>
      </c>
      <c r="C24" s="13" t="s">
        <v>25</v>
      </c>
      <c r="H24" s="14" t="str">
        <v>J28</v>
      </c>
      <c r="I24" s="15">
        <f t="shared" si="0"/>
        <v>46846</v>
      </c>
      <c r="J24" s="16">
        <f t="shared" ca="1" si="3"/>
        <v>885</v>
      </c>
      <c r="K24" s="16">
        <f t="shared" ca="1" si="1"/>
        <v>1289</v>
      </c>
      <c r="L24" s="17">
        <f t="shared" ca="1" si="2"/>
        <v>0.12324000713739292</v>
      </c>
      <c r="M24" s="17" cm="1">
        <f t="array" aca="1" ref="M24" ca="1">(((100000/_xlfn.XLOOKUP(H24,Vcto_DDI[VENCTO],Tbl_DDI[AJUSTE])-1)*360/K24))</f>
        <v>4.2986590937023159E-2</v>
      </c>
      <c r="N24" s="14"/>
    </row>
    <row r="25" spans="1:14" x14ac:dyDescent="0.25">
      <c r="A25" s="12">
        <v>45976</v>
      </c>
      <c r="B25" s="13" t="s">
        <v>22</v>
      </c>
      <c r="C25" s="13" t="s">
        <v>26</v>
      </c>
      <c r="H25" s="14" t="str">
        <v>N28</v>
      </c>
      <c r="I25" s="15">
        <f t="shared" si="0"/>
        <v>46937</v>
      </c>
      <c r="J25" s="16">
        <f t="shared" ca="1" si="3"/>
        <v>946</v>
      </c>
      <c r="K25" s="16">
        <f t="shared" ca="1" si="1"/>
        <v>1380</v>
      </c>
      <c r="L25" s="17">
        <f t="shared" ca="1" si="2"/>
        <v>0.12357998184921848</v>
      </c>
      <c r="M25" s="17" cm="1">
        <f t="array" aca="1" ref="M25" ca="1">(((100000/_xlfn.XLOOKUP(H25,Vcto_DDI[VENCTO],Tbl_DDI[AJUSTE])-1)*360/K25))</f>
        <v>4.3202533358444983E-2</v>
      </c>
      <c r="N25" s="14"/>
    </row>
    <row r="26" spans="1:14" x14ac:dyDescent="0.25">
      <c r="A26" s="12">
        <v>45981</v>
      </c>
      <c r="B26" s="13" t="s">
        <v>20</v>
      </c>
      <c r="C26" s="13" t="s">
        <v>27</v>
      </c>
      <c r="H26" s="14" t="str">
        <v>V28</v>
      </c>
      <c r="I26" s="15">
        <f t="shared" si="0"/>
        <v>47028</v>
      </c>
      <c r="J26" s="16">
        <f t="shared" ca="1" si="3"/>
        <v>1010</v>
      </c>
      <c r="K26" s="16">
        <f t="shared" ca="1" si="1"/>
        <v>1471</v>
      </c>
      <c r="L26" s="17">
        <f t="shared" ca="1" si="2"/>
        <v>0.12374998418095173</v>
      </c>
      <c r="M26" s="17" cm="1">
        <f t="array" aca="1" ref="M26" ca="1">(((100000/_xlfn.XLOOKUP(H26,Vcto_DDI[VENCTO],Tbl_DDI[AJUSTE])-1)*360/K26))</f>
        <v>4.3769423373583402E-2</v>
      </c>
      <c r="N26" s="14"/>
    </row>
    <row r="27" spans="1:14" x14ac:dyDescent="0.25">
      <c r="A27" s="12">
        <v>46016</v>
      </c>
      <c r="B27" s="13" t="s">
        <v>20</v>
      </c>
      <c r="C27" s="13" t="s">
        <v>28</v>
      </c>
      <c r="H27" s="14" t="str">
        <v>F29</v>
      </c>
      <c r="I27" s="15">
        <f t="shared" si="0"/>
        <v>47120</v>
      </c>
      <c r="J27" s="16">
        <f t="shared" ca="1" si="3"/>
        <v>1070</v>
      </c>
      <c r="K27" s="16">
        <f t="shared" ca="1" si="1"/>
        <v>1563</v>
      </c>
      <c r="L27" s="17">
        <f t="shared" ca="1" si="2"/>
        <v>0.12371997900480958</v>
      </c>
      <c r="M27" s="17" cm="1">
        <f t="array" aca="1" ref="M27" ca="1">(((100000/_xlfn.XLOOKUP(H27,Vcto_DDI[VENCTO],Tbl_DDI[AJUSTE])-1)*360/K27))</f>
        <v>4.4306608864828761E-2</v>
      </c>
      <c r="N27" s="14"/>
    </row>
    <row r="28" spans="1:14" x14ac:dyDescent="0.25">
      <c r="A28" s="12">
        <v>46023</v>
      </c>
      <c r="B28" s="13" t="s">
        <v>20</v>
      </c>
      <c r="C28" s="13" t="s">
        <v>11</v>
      </c>
      <c r="H28" s="14" t="str">
        <v>J29</v>
      </c>
      <c r="I28" s="15">
        <f t="shared" si="0"/>
        <v>47210</v>
      </c>
      <c r="J28" s="16">
        <f t="shared" ca="1" si="3"/>
        <v>1131</v>
      </c>
      <c r="K28" s="16">
        <f t="shared" ca="1" si="1"/>
        <v>1653</v>
      </c>
      <c r="L28" s="17">
        <f t="shared" ca="1" si="2"/>
        <v>0.12373000939886047</v>
      </c>
      <c r="M28" s="17" cm="1">
        <f t="array" aca="1" ref="M28" ca="1">(((100000/_xlfn.XLOOKUP(H28,Vcto_DDI[VENCTO],Tbl_DDI[AJUSTE])-1)*360/K28))</f>
        <v>4.4523811340824303E-2</v>
      </c>
      <c r="N28" s="14"/>
    </row>
    <row r="29" spans="1:14" x14ac:dyDescent="0.25">
      <c r="A29" s="12">
        <v>46069</v>
      </c>
      <c r="B29" s="13" t="s">
        <v>10</v>
      </c>
      <c r="C29" s="13" t="s">
        <v>12</v>
      </c>
      <c r="H29" s="14" t="str">
        <v>N29</v>
      </c>
      <c r="I29" s="15">
        <f t="shared" si="0"/>
        <v>47301</v>
      </c>
      <c r="J29" s="16">
        <f t="shared" ca="1" si="3"/>
        <v>1194</v>
      </c>
      <c r="K29" s="16">
        <f t="shared" ca="1" si="1"/>
        <v>1744</v>
      </c>
      <c r="L29" s="17">
        <f t="shared" ca="1" si="2"/>
        <v>0.12379998838739015</v>
      </c>
      <c r="M29" s="17" cm="1">
        <f t="array" aca="1" ref="M29" ca="1">(((100000/_xlfn.XLOOKUP(H29,Vcto_DDI[VENCTO],Tbl_DDI[AJUSTE])-1)*360/K29))</f>
        <v>4.5001550277724123E-2</v>
      </c>
      <c r="N29" s="14"/>
    </row>
    <row r="30" spans="1:14" x14ac:dyDescent="0.25">
      <c r="A30" s="12">
        <v>46070</v>
      </c>
      <c r="B30" s="13" t="s">
        <v>13</v>
      </c>
      <c r="C30" s="13" t="s">
        <v>12</v>
      </c>
      <c r="H30" s="14" t="str">
        <v>F30</v>
      </c>
      <c r="I30" s="15">
        <f t="shared" si="0"/>
        <v>47485</v>
      </c>
      <c r="J30" s="16">
        <f t="shared" ca="1" si="3"/>
        <v>1319</v>
      </c>
      <c r="K30" s="16">
        <f t="shared" ca="1" si="1"/>
        <v>1928</v>
      </c>
      <c r="L30" s="17">
        <f t="shared" ca="1" si="2"/>
        <v>0.12403999188577819</v>
      </c>
      <c r="M30" s="17" cm="1">
        <f t="array" aca="1" ref="M30" ca="1">(((100000/_xlfn.XLOOKUP(H30,Vcto_DDI[VENCTO],Tbl_DDI[AJUSTE])-1)*360/K30))</f>
        <v>4.6227905393992325E-2</v>
      </c>
      <c r="N30" s="14"/>
    </row>
    <row r="31" spans="1:14" x14ac:dyDescent="0.25">
      <c r="A31" s="12">
        <v>46115</v>
      </c>
      <c r="B31" s="13" t="s">
        <v>14</v>
      </c>
      <c r="C31" s="13" t="s">
        <v>15</v>
      </c>
      <c r="H31" s="14" t="str">
        <v>F31</v>
      </c>
      <c r="I31" s="15">
        <f t="shared" si="0"/>
        <v>47850</v>
      </c>
      <c r="J31" s="16">
        <f t="shared" ca="1" si="3"/>
        <v>1571</v>
      </c>
      <c r="K31" s="16">
        <f t="shared" ca="1" si="1"/>
        <v>2293</v>
      </c>
      <c r="L31" s="17">
        <f t="shared" ca="1" si="2"/>
        <v>0.12380998660820097</v>
      </c>
      <c r="M31" s="17" cm="1">
        <f t="array" aca="1" ref="M31" ca="1">(((100000/_xlfn.XLOOKUP(H31,Vcto_DDI[VENCTO],Tbl_DDI[AJUSTE])-1)*360/K31))</f>
        <v>4.8101917064411082E-2</v>
      </c>
      <c r="N31" s="14"/>
    </row>
    <row r="32" spans="1:14" x14ac:dyDescent="0.25">
      <c r="A32" s="12">
        <v>46133</v>
      </c>
      <c r="B32" s="13" t="s">
        <v>13</v>
      </c>
      <c r="C32" s="13" t="s">
        <v>17</v>
      </c>
      <c r="H32" s="14" t="str">
        <v>F32</v>
      </c>
      <c r="I32" s="15">
        <f t="shared" si="0"/>
        <v>48215</v>
      </c>
      <c r="J32" s="16">
        <f t="shared" ca="1" si="3"/>
        <v>1823</v>
      </c>
      <c r="K32" s="16">
        <f t="shared" ca="1" si="1"/>
        <v>2658</v>
      </c>
      <c r="L32" s="17">
        <f t="shared" ca="1" si="2"/>
        <v>0.12370999844941033</v>
      </c>
      <c r="M32" s="17" cm="1">
        <f t="array" aca="1" ref="M32" ca="1">(((100000/_xlfn.XLOOKUP(H32,Vcto_DDI[VENCTO],Tbl_DDI[AJUSTE])-1)*360/K32))</f>
        <v>4.9937554907321123E-2</v>
      </c>
      <c r="N32" s="14"/>
    </row>
    <row r="33" spans="1:14" x14ac:dyDescent="0.25">
      <c r="A33" s="12">
        <v>46143</v>
      </c>
      <c r="B33" s="13" t="s">
        <v>14</v>
      </c>
      <c r="C33" s="13" t="s">
        <v>19</v>
      </c>
      <c r="H33" s="14" t="str">
        <v>F33</v>
      </c>
      <c r="I33" s="15">
        <f t="shared" si="0"/>
        <v>48582</v>
      </c>
      <c r="J33" s="16">
        <f t="shared" ca="1" si="3"/>
        <v>2075</v>
      </c>
      <c r="K33" s="16">
        <f t="shared" ca="1" si="1"/>
        <v>3025</v>
      </c>
      <c r="L33" s="17">
        <f t="shared" ca="1" si="2"/>
        <v>0.12348000252880675</v>
      </c>
      <c r="M33" s="17" cm="1">
        <f t="array" aca="1" ref="M33" ca="1">(((100000/_xlfn.XLOOKUP(H33,Vcto_DDI[VENCTO],Tbl_DDI[AJUSTE])-1)*360/K33))</f>
        <v>5.189428600567457E-2</v>
      </c>
      <c r="N33" s="14"/>
    </row>
    <row r="34" spans="1:14" x14ac:dyDescent="0.25">
      <c r="A34" s="12">
        <v>46177</v>
      </c>
      <c r="B34" s="13" t="s">
        <v>20</v>
      </c>
      <c r="C34" s="13" t="s">
        <v>21</v>
      </c>
      <c r="H34" s="14" t="str">
        <v>F34</v>
      </c>
      <c r="I34" s="15">
        <f t="shared" si="0"/>
        <v>48946</v>
      </c>
      <c r="J34" s="16">
        <f t="shared" ca="1" si="3"/>
        <v>2326</v>
      </c>
      <c r="K34" s="16">
        <f t="shared" ca="1" si="1"/>
        <v>3389</v>
      </c>
      <c r="L34" s="17">
        <f t="shared" ca="1" si="2"/>
        <v>0.12319999470485343</v>
      </c>
      <c r="M34" s="17" cm="1">
        <f t="array" aca="1" ref="M34" ca="1">(((100000/_xlfn.XLOOKUP(H34,Vcto_DDI[VENCTO],Tbl_DDI[AJUSTE])-1)*360/K34))</f>
        <v>5.4171944042413468E-2</v>
      </c>
      <c r="N34" s="14"/>
    </row>
    <row r="35" spans="1:14" x14ac:dyDescent="0.25">
      <c r="A35" s="12">
        <v>46272</v>
      </c>
      <c r="B35" s="13" t="s">
        <v>10</v>
      </c>
      <c r="C35" s="13" t="s">
        <v>23</v>
      </c>
      <c r="H35" s="14" t="str">
        <v>F35</v>
      </c>
      <c r="I35" s="15">
        <f t="shared" si="0"/>
        <v>49311</v>
      </c>
      <c r="J35" s="16">
        <f t="shared" ca="1" si="3"/>
        <v>2574</v>
      </c>
      <c r="K35" s="16">
        <f t="shared" ca="1" si="1"/>
        <v>3754</v>
      </c>
      <c r="L35" s="17">
        <f t="shared" ca="1" si="2"/>
        <v>0.12323999523581564</v>
      </c>
      <c r="M35" s="17" cm="1">
        <f t="array" aca="1" ref="M35" ca="1">(((100000/_xlfn.XLOOKUP(H35,Vcto_DDI[VENCTO],Tbl_DDI[AJUSTE])-1)*360/K35))</f>
        <v>5.6410037250257519E-2</v>
      </c>
      <c r="N35" s="14"/>
    </row>
    <row r="36" spans="1:14" x14ac:dyDescent="0.25">
      <c r="A36" s="12">
        <v>46307</v>
      </c>
      <c r="B36" s="13" t="s">
        <v>10</v>
      </c>
      <c r="C36" s="13" t="s">
        <v>24</v>
      </c>
      <c r="H36" s="14" t="str">
        <v>F36</v>
      </c>
      <c r="I36" s="15">
        <f t="shared" si="0"/>
        <v>49676</v>
      </c>
      <c r="J36" s="16">
        <f t="shared" ca="1" si="3"/>
        <v>2823</v>
      </c>
      <c r="K36" s="16">
        <f t="shared" ca="1" si="1"/>
        <v>4119</v>
      </c>
      <c r="L36" s="17">
        <f t="shared" ca="1" si="2"/>
        <v>0.12303999409968891</v>
      </c>
      <c r="M36" s="17" cm="1">
        <f t="array" aca="1" ref="M36" ca="1">(((100000/_xlfn.XLOOKUP(H36,Vcto_DDI[VENCTO],Tbl_DDI[AJUSTE])-1)*360/K36))</f>
        <v>5.8518400143235311E-2</v>
      </c>
      <c r="N36" s="14"/>
    </row>
    <row r="37" spans="1:14" x14ac:dyDescent="0.25">
      <c r="A37" s="12">
        <v>46328</v>
      </c>
      <c r="B37" s="13" t="s">
        <v>10</v>
      </c>
      <c r="C37" s="13" t="s">
        <v>25</v>
      </c>
      <c r="H37" s="14" t="str">
        <v>F37</v>
      </c>
      <c r="I37" s="15">
        <f t="shared" si="0"/>
        <v>50042</v>
      </c>
      <c r="J37" s="16">
        <f t="shared" ca="1" si="3"/>
        <v>3076</v>
      </c>
      <c r="K37" s="16">
        <f t="shared" ca="1" si="1"/>
        <v>4485</v>
      </c>
      <c r="L37" s="17">
        <f t="shared" ca="1" si="2"/>
        <v>0.12304001487479632</v>
      </c>
      <c r="M37" s="17" cm="1">
        <f t="array" aca="1" ref="M37" ca="1">(((100000/_xlfn.XLOOKUP(H37,Vcto_DDI[VENCTO],Tbl_DDI[AJUSTE])-1)*360/K37))</f>
        <v>6.1007202977891625E-2</v>
      </c>
      <c r="N37" s="14"/>
    </row>
    <row r="38" spans="1:14" x14ac:dyDescent="0.25">
      <c r="A38" s="12">
        <v>46341</v>
      </c>
      <c r="B38" s="13" t="s">
        <v>16</v>
      </c>
      <c r="C38" s="13" t="s">
        <v>26</v>
      </c>
      <c r="H38" s="14" t="str">
        <v>F38</v>
      </c>
      <c r="I38" s="15">
        <f t="shared" si="0"/>
        <v>50409</v>
      </c>
      <c r="J38" s="16">
        <f t="shared" ca="1" si="3"/>
        <v>3325</v>
      </c>
      <c r="K38" s="16">
        <f t="shared" ca="1" si="1"/>
        <v>4852</v>
      </c>
      <c r="L38" s="17">
        <f t="shared" ca="1" si="2"/>
        <v>0.12304001138919629</v>
      </c>
      <c r="M38" s="17" cm="1">
        <f t="array" aca="1" ref="M38" ca="1">(((100000/_xlfn.XLOOKUP(H38,Vcto_DDI[VENCTO],Tbl_DDI[AJUSTE])-1)*360/K38))</f>
        <v>6.3566185928415508E-2</v>
      </c>
      <c r="N38" s="14"/>
    </row>
    <row r="39" spans="1:14" x14ac:dyDescent="0.25">
      <c r="A39" s="12">
        <v>46346</v>
      </c>
      <c r="B39" s="13" t="s">
        <v>14</v>
      </c>
      <c r="C39" s="13" t="s">
        <v>27</v>
      </c>
      <c r="H39" s="14" t="str">
        <v>F39</v>
      </c>
      <c r="I39" s="15">
        <f t="shared" si="0"/>
        <v>50773</v>
      </c>
      <c r="J39" s="16">
        <f t="shared" ca="1" si="3"/>
        <v>3576</v>
      </c>
      <c r="K39" s="16">
        <f t="shared" ca="1" si="1"/>
        <v>5216</v>
      </c>
      <c r="L39" s="17">
        <f t="shared" ca="1" si="2"/>
        <v>0.12304000314800079</v>
      </c>
      <c r="M39" s="17" cm="1">
        <f t="array" aca="1" ref="M39" ca="1">(((100000/_xlfn.XLOOKUP(H39,Vcto_DDI[VENCTO],Tbl_DDI[AJUSTE])-1)*360/K39))</f>
        <v>6.571519512930156E-2</v>
      </c>
      <c r="N39" s="14"/>
    </row>
    <row r="40" spans="1:14" x14ac:dyDescent="0.25">
      <c r="A40" s="12">
        <v>46381</v>
      </c>
      <c r="B40" s="13" t="s">
        <v>14</v>
      </c>
      <c r="C40" s="13" t="s">
        <v>28</v>
      </c>
      <c r="H40" s="14">
        <v>0</v>
      </c>
      <c r="I40" s="18"/>
      <c r="J40" s="18"/>
      <c r="K40" s="18"/>
      <c r="L40" s="18"/>
      <c r="M40" s="17"/>
      <c r="N40" s="14"/>
    </row>
    <row r="41" spans="1:14" x14ac:dyDescent="0.25">
      <c r="A41" s="12">
        <v>46388</v>
      </c>
      <c r="B41" s="13" t="s">
        <v>14</v>
      </c>
      <c r="C41" s="13" t="s">
        <v>11</v>
      </c>
    </row>
    <row r="42" spans="1:14" x14ac:dyDescent="0.25">
      <c r="A42" s="12">
        <v>46426</v>
      </c>
      <c r="B42" s="13" t="s">
        <v>10</v>
      </c>
      <c r="C42" s="13" t="s">
        <v>12</v>
      </c>
    </row>
    <row r="43" spans="1:14" x14ac:dyDescent="0.25">
      <c r="A43" s="12">
        <v>46427</v>
      </c>
      <c r="B43" s="13" t="s">
        <v>13</v>
      </c>
      <c r="C43" s="13" t="s">
        <v>12</v>
      </c>
    </row>
    <row r="44" spans="1:14" x14ac:dyDescent="0.25">
      <c r="A44" s="12">
        <v>46472</v>
      </c>
      <c r="B44" s="13" t="s">
        <v>14</v>
      </c>
      <c r="C44" s="13" t="s">
        <v>15</v>
      </c>
    </row>
    <row r="45" spans="1:14" x14ac:dyDescent="0.25">
      <c r="A45" s="12">
        <v>46498</v>
      </c>
      <c r="B45" s="13" t="s">
        <v>18</v>
      </c>
      <c r="C45" s="13" t="s">
        <v>17</v>
      </c>
    </row>
    <row r="46" spans="1:14" x14ac:dyDescent="0.25">
      <c r="A46" s="12">
        <v>46508</v>
      </c>
      <c r="B46" s="13" t="s">
        <v>22</v>
      </c>
      <c r="C46" s="13" t="s">
        <v>19</v>
      </c>
    </row>
    <row r="47" spans="1:14" x14ac:dyDescent="0.25">
      <c r="A47" s="12">
        <v>46534</v>
      </c>
      <c r="B47" s="13" t="s">
        <v>20</v>
      </c>
      <c r="C47" s="13" t="s">
        <v>21</v>
      </c>
    </row>
    <row r="48" spans="1:14" x14ac:dyDescent="0.25">
      <c r="A48" s="12">
        <v>46637</v>
      </c>
      <c r="B48" s="13" t="s">
        <v>13</v>
      </c>
      <c r="C48" s="13" t="s">
        <v>23</v>
      </c>
    </row>
    <row r="49" spans="1:3" x14ac:dyDescent="0.25">
      <c r="A49" s="12">
        <v>46672</v>
      </c>
      <c r="B49" s="13" t="s">
        <v>13</v>
      </c>
      <c r="C49" s="13" t="s">
        <v>24</v>
      </c>
    </row>
    <row r="50" spans="1:3" x14ac:dyDescent="0.25">
      <c r="A50" s="12">
        <v>46693</v>
      </c>
      <c r="B50" s="13" t="s">
        <v>13</v>
      </c>
      <c r="C50" s="13" t="s">
        <v>25</v>
      </c>
    </row>
    <row r="51" spans="1:3" x14ac:dyDescent="0.25">
      <c r="A51" s="12">
        <v>46706</v>
      </c>
      <c r="B51" s="13" t="s">
        <v>10</v>
      </c>
      <c r="C51" s="13" t="s">
        <v>26</v>
      </c>
    </row>
    <row r="52" spans="1:3" x14ac:dyDescent="0.25">
      <c r="A52" s="12">
        <v>46711</v>
      </c>
      <c r="B52" s="13" t="s">
        <v>22</v>
      </c>
      <c r="C52" s="13" t="s">
        <v>27</v>
      </c>
    </row>
    <row r="53" spans="1:3" x14ac:dyDescent="0.25">
      <c r="A53" s="12">
        <v>46746</v>
      </c>
      <c r="B53" s="13" t="s">
        <v>22</v>
      </c>
      <c r="C53" s="13" t="s">
        <v>28</v>
      </c>
    </row>
    <row r="54" spans="1:3" x14ac:dyDescent="0.25">
      <c r="A54" s="12">
        <v>46753</v>
      </c>
      <c r="B54" s="13" t="s">
        <v>22</v>
      </c>
      <c r="C54" s="13" t="s">
        <v>11</v>
      </c>
    </row>
    <row r="55" spans="1:3" x14ac:dyDescent="0.25">
      <c r="A55" s="12">
        <v>46811</v>
      </c>
      <c r="B55" s="13" t="s">
        <v>10</v>
      </c>
      <c r="C55" s="13" t="s">
        <v>12</v>
      </c>
    </row>
    <row r="56" spans="1:3" x14ac:dyDescent="0.25">
      <c r="A56" s="12">
        <v>46812</v>
      </c>
      <c r="B56" s="13" t="s">
        <v>13</v>
      </c>
      <c r="C56" s="13" t="s">
        <v>12</v>
      </c>
    </row>
    <row r="57" spans="1:3" x14ac:dyDescent="0.25">
      <c r="A57" s="12">
        <v>46857</v>
      </c>
      <c r="B57" s="13" t="s">
        <v>14</v>
      </c>
      <c r="C57" s="13" t="s">
        <v>15</v>
      </c>
    </row>
    <row r="58" spans="1:3" x14ac:dyDescent="0.25">
      <c r="A58" s="12">
        <v>46864</v>
      </c>
      <c r="B58" s="13" t="s">
        <v>14</v>
      </c>
      <c r="C58" s="13" t="s">
        <v>17</v>
      </c>
    </row>
    <row r="59" spans="1:3" x14ac:dyDescent="0.25">
      <c r="A59" s="12">
        <v>46874</v>
      </c>
      <c r="B59" s="13" t="s">
        <v>10</v>
      </c>
      <c r="C59" s="13" t="s">
        <v>19</v>
      </c>
    </row>
    <row r="60" spans="1:3" x14ac:dyDescent="0.25">
      <c r="A60" s="12">
        <v>46919</v>
      </c>
      <c r="B60" s="13" t="s">
        <v>20</v>
      </c>
      <c r="C60" s="13" t="s">
        <v>21</v>
      </c>
    </row>
    <row r="61" spans="1:3" x14ac:dyDescent="0.25">
      <c r="A61" s="12">
        <v>47003</v>
      </c>
      <c r="B61" s="13" t="s">
        <v>20</v>
      </c>
      <c r="C61" s="13" t="s">
        <v>23</v>
      </c>
    </row>
    <row r="62" spans="1:3" x14ac:dyDescent="0.25">
      <c r="A62" s="12">
        <v>47038</v>
      </c>
      <c r="B62" s="13" t="s">
        <v>20</v>
      </c>
      <c r="C62" s="13" t="s">
        <v>24</v>
      </c>
    </row>
    <row r="63" spans="1:3" x14ac:dyDescent="0.25">
      <c r="A63" s="12">
        <v>47059</v>
      </c>
      <c r="B63" s="13" t="s">
        <v>20</v>
      </c>
      <c r="C63" s="13" t="s">
        <v>25</v>
      </c>
    </row>
    <row r="64" spans="1:3" x14ac:dyDescent="0.25">
      <c r="A64" s="12">
        <v>47072</v>
      </c>
      <c r="B64" s="13" t="s">
        <v>18</v>
      </c>
      <c r="C64" s="13" t="s">
        <v>26</v>
      </c>
    </row>
    <row r="65" spans="1:3" x14ac:dyDescent="0.25">
      <c r="A65" s="12">
        <v>47077</v>
      </c>
      <c r="B65" s="13" t="s">
        <v>10</v>
      </c>
      <c r="C65" s="13" t="s">
        <v>27</v>
      </c>
    </row>
    <row r="66" spans="1:3" x14ac:dyDescent="0.25">
      <c r="A66" s="12">
        <v>47112</v>
      </c>
      <c r="B66" s="13" t="s">
        <v>10</v>
      </c>
      <c r="C66" s="13" t="s">
        <v>28</v>
      </c>
    </row>
    <row r="67" spans="1:3" x14ac:dyDescent="0.25">
      <c r="A67" s="12">
        <v>47119</v>
      </c>
      <c r="B67" s="13" t="s">
        <v>10</v>
      </c>
      <c r="C67" s="13" t="s">
        <v>11</v>
      </c>
    </row>
    <row r="68" spans="1:3" x14ac:dyDescent="0.25">
      <c r="A68" s="12">
        <v>47161</v>
      </c>
      <c r="B68" s="13" t="s">
        <v>10</v>
      </c>
      <c r="C68" s="13" t="s">
        <v>12</v>
      </c>
    </row>
    <row r="69" spans="1:3" x14ac:dyDescent="0.25">
      <c r="A69" s="12">
        <v>47162</v>
      </c>
      <c r="B69" s="13" t="s">
        <v>13</v>
      </c>
      <c r="C69" s="13" t="s">
        <v>12</v>
      </c>
    </row>
    <row r="70" spans="1:3" x14ac:dyDescent="0.25">
      <c r="A70" s="12">
        <v>47207</v>
      </c>
      <c r="B70" s="13" t="s">
        <v>14</v>
      </c>
      <c r="C70" s="13" t="s">
        <v>15</v>
      </c>
    </row>
    <row r="71" spans="1:3" x14ac:dyDescent="0.25">
      <c r="A71" s="12">
        <v>47229</v>
      </c>
      <c r="B71" s="13" t="s">
        <v>22</v>
      </c>
      <c r="C71" s="13" t="s">
        <v>17</v>
      </c>
    </row>
    <row r="72" spans="1:3" x14ac:dyDescent="0.25">
      <c r="A72" s="12">
        <v>47239</v>
      </c>
      <c r="B72" s="13" t="s">
        <v>13</v>
      </c>
      <c r="C72" s="13" t="s">
        <v>19</v>
      </c>
    </row>
    <row r="73" spans="1:3" x14ac:dyDescent="0.25">
      <c r="A73" s="12">
        <v>47269</v>
      </c>
      <c r="B73" s="13" t="s">
        <v>20</v>
      </c>
      <c r="C73" s="13" t="s">
        <v>21</v>
      </c>
    </row>
    <row r="74" spans="1:3" x14ac:dyDescent="0.25">
      <c r="A74" s="12">
        <v>47368</v>
      </c>
      <c r="B74" s="13" t="s">
        <v>14</v>
      </c>
      <c r="C74" s="13" t="s">
        <v>23</v>
      </c>
    </row>
    <row r="75" spans="1:3" x14ac:dyDescent="0.25">
      <c r="A75" s="12">
        <v>47403</v>
      </c>
      <c r="B75" s="13" t="s">
        <v>14</v>
      </c>
      <c r="C75" s="13" t="s">
        <v>24</v>
      </c>
    </row>
    <row r="76" spans="1:3" x14ac:dyDescent="0.25">
      <c r="A76" s="12">
        <v>47424</v>
      </c>
      <c r="B76" s="13" t="s">
        <v>14</v>
      </c>
      <c r="C76" s="13" t="s">
        <v>25</v>
      </c>
    </row>
    <row r="77" spans="1:3" x14ac:dyDescent="0.25">
      <c r="A77" s="12">
        <v>47437</v>
      </c>
      <c r="B77" s="13" t="s">
        <v>20</v>
      </c>
      <c r="C77" s="13" t="s">
        <v>26</v>
      </c>
    </row>
    <row r="78" spans="1:3" x14ac:dyDescent="0.25">
      <c r="A78" s="12">
        <v>47442</v>
      </c>
      <c r="B78" s="13" t="s">
        <v>13</v>
      </c>
      <c r="C78" s="13" t="s">
        <v>27</v>
      </c>
    </row>
    <row r="79" spans="1:3" x14ac:dyDescent="0.25">
      <c r="A79" s="12">
        <v>47477</v>
      </c>
      <c r="B79" s="13" t="s">
        <v>13</v>
      </c>
      <c r="C79" s="13" t="s">
        <v>28</v>
      </c>
    </row>
    <row r="80" spans="1:3" x14ac:dyDescent="0.25">
      <c r="A80" s="12">
        <v>47484</v>
      </c>
      <c r="B80" s="13" t="s">
        <v>13</v>
      </c>
      <c r="C80" s="13" t="s">
        <v>11</v>
      </c>
    </row>
    <row r="81" spans="1:3" x14ac:dyDescent="0.25">
      <c r="A81" s="12">
        <v>47546</v>
      </c>
      <c r="B81" s="13" t="s">
        <v>10</v>
      </c>
      <c r="C81" s="13" t="s">
        <v>12</v>
      </c>
    </row>
    <row r="82" spans="1:3" x14ac:dyDescent="0.25">
      <c r="A82" s="12">
        <v>47547</v>
      </c>
      <c r="B82" s="13" t="s">
        <v>13</v>
      </c>
      <c r="C82" s="13" t="s">
        <v>12</v>
      </c>
    </row>
    <row r="83" spans="1:3" x14ac:dyDescent="0.25">
      <c r="A83" s="12">
        <v>47592</v>
      </c>
      <c r="B83" s="13" t="s">
        <v>14</v>
      </c>
      <c r="C83" s="13" t="s">
        <v>15</v>
      </c>
    </row>
    <row r="84" spans="1:3" x14ac:dyDescent="0.25">
      <c r="A84" s="12">
        <v>47594</v>
      </c>
      <c r="B84" s="13" t="s">
        <v>16</v>
      </c>
      <c r="C84" s="13" t="s">
        <v>17</v>
      </c>
    </row>
    <row r="85" spans="1:3" x14ac:dyDescent="0.25">
      <c r="A85" s="12">
        <v>47604</v>
      </c>
      <c r="B85" s="13" t="s">
        <v>18</v>
      </c>
      <c r="C85" s="13" t="s">
        <v>19</v>
      </c>
    </row>
    <row r="86" spans="1:3" x14ac:dyDescent="0.25">
      <c r="A86" s="12">
        <v>47654</v>
      </c>
      <c r="B86" s="13" t="s">
        <v>20</v>
      </c>
      <c r="C86" s="13" t="s">
        <v>21</v>
      </c>
    </row>
    <row r="87" spans="1:3" x14ac:dyDescent="0.25">
      <c r="A87" s="12">
        <v>47733</v>
      </c>
      <c r="B87" s="13" t="s">
        <v>22</v>
      </c>
      <c r="C87" s="13" t="s">
        <v>23</v>
      </c>
    </row>
    <row r="88" spans="1:3" x14ac:dyDescent="0.25">
      <c r="A88" s="12">
        <v>47768</v>
      </c>
      <c r="B88" s="13" t="s">
        <v>22</v>
      </c>
      <c r="C88" s="13" t="s">
        <v>24</v>
      </c>
    </row>
    <row r="89" spans="1:3" x14ac:dyDescent="0.25">
      <c r="A89" s="12">
        <v>47789</v>
      </c>
      <c r="B89" s="13" t="s">
        <v>22</v>
      </c>
      <c r="C89" s="13" t="s">
        <v>25</v>
      </c>
    </row>
    <row r="90" spans="1:3" x14ac:dyDescent="0.25">
      <c r="A90" s="12">
        <v>47802</v>
      </c>
      <c r="B90" s="13" t="s">
        <v>14</v>
      </c>
      <c r="C90" s="13" t="s">
        <v>26</v>
      </c>
    </row>
    <row r="91" spans="1:3" x14ac:dyDescent="0.25">
      <c r="A91" s="12">
        <v>47807</v>
      </c>
      <c r="B91" s="13" t="s">
        <v>18</v>
      </c>
      <c r="C91" s="13" t="s">
        <v>27</v>
      </c>
    </row>
    <row r="92" spans="1:3" x14ac:dyDescent="0.25">
      <c r="A92" s="12">
        <v>47842</v>
      </c>
      <c r="B92" s="13" t="s">
        <v>18</v>
      </c>
      <c r="C92" s="13" t="s">
        <v>28</v>
      </c>
    </row>
    <row r="93" spans="1:3" x14ac:dyDescent="0.25">
      <c r="A93" s="12">
        <v>47849</v>
      </c>
      <c r="B93" s="13" t="s">
        <v>18</v>
      </c>
      <c r="C93" s="13" t="s">
        <v>11</v>
      </c>
    </row>
    <row r="94" spans="1:3" x14ac:dyDescent="0.25">
      <c r="A94" s="12">
        <v>47903</v>
      </c>
      <c r="B94" s="13" t="s">
        <v>10</v>
      </c>
      <c r="C94" s="13" t="s">
        <v>12</v>
      </c>
    </row>
    <row r="95" spans="1:3" x14ac:dyDescent="0.25">
      <c r="A95" s="12">
        <v>47904</v>
      </c>
      <c r="B95" s="13" t="s">
        <v>13</v>
      </c>
      <c r="C95" s="13" t="s">
        <v>12</v>
      </c>
    </row>
    <row r="96" spans="1:3" x14ac:dyDescent="0.25">
      <c r="A96" s="12">
        <v>47949</v>
      </c>
      <c r="B96" s="13" t="s">
        <v>14</v>
      </c>
      <c r="C96" s="13" t="s">
        <v>15</v>
      </c>
    </row>
    <row r="97" spans="1:3" x14ac:dyDescent="0.25">
      <c r="A97" s="12">
        <v>47959</v>
      </c>
      <c r="B97" s="13" t="s">
        <v>10</v>
      </c>
      <c r="C97" s="13" t="s">
        <v>17</v>
      </c>
    </row>
    <row r="98" spans="1:3" x14ac:dyDescent="0.25">
      <c r="A98" s="12">
        <v>47969</v>
      </c>
      <c r="B98" s="13" t="s">
        <v>20</v>
      </c>
      <c r="C98" s="13" t="s">
        <v>19</v>
      </c>
    </row>
    <row r="99" spans="1:3" x14ac:dyDescent="0.25">
      <c r="A99" s="12">
        <v>48011</v>
      </c>
      <c r="B99" s="13" t="s">
        <v>20</v>
      </c>
      <c r="C99" s="13" t="s">
        <v>21</v>
      </c>
    </row>
    <row r="100" spans="1:3" x14ac:dyDescent="0.25">
      <c r="A100" s="12">
        <v>48098</v>
      </c>
      <c r="B100" s="13" t="s">
        <v>16</v>
      </c>
      <c r="C100" s="13" t="s">
        <v>23</v>
      </c>
    </row>
    <row r="101" spans="1:3" x14ac:dyDescent="0.25">
      <c r="A101" s="12">
        <v>48133</v>
      </c>
      <c r="B101" s="13" t="s">
        <v>16</v>
      </c>
      <c r="C101" s="13" t="s">
        <v>24</v>
      </c>
    </row>
    <row r="102" spans="1:3" x14ac:dyDescent="0.25">
      <c r="A102" s="12">
        <v>48154</v>
      </c>
      <c r="B102" s="13" t="s">
        <v>16</v>
      </c>
      <c r="C102" s="13" t="s">
        <v>25</v>
      </c>
    </row>
    <row r="103" spans="1:3" x14ac:dyDescent="0.25">
      <c r="A103" s="12">
        <v>48167</v>
      </c>
      <c r="B103" s="13" t="s">
        <v>22</v>
      </c>
      <c r="C103" s="13" t="s">
        <v>26</v>
      </c>
    </row>
    <row r="104" spans="1:3" x14ac:dyDescent="0.25">
      <c r="A104" s="12">
        <v>48172</v>
      </c>
      <c r="B104" s="13" t="s">
        <v>20</v>
      </c>
      <c r="C104" s="13" t="s">
        <v>27</v>
      </c>
    </row>
    <row r="105" spans="1:3" x14ac:dyDescent="0.25">
      <c r="A105" s="12">
        <v>48207</v>
      </c>
      <c r="B105" s="13" t="s">
        <v>20</v>
      </c>
      <c r="C105" s="13" t="s">
        <v>28</v>
      </c>
    </row>
    <row r="106" spans="1:3" x14ac:dyDescent="0.25">
      <c r="A106" s="12">
        <v>48214</v>
      </c>
      <c r="B106" s="13" t="s">
        <v>20</v>
      </c>
      <c r="C106" s="13" t="s">
        <v>11</v>
      </c>
    </row>
    <row r="107" spans="1:3" x14ac:dyDescent="0.25">
      <c r="A107" s="12">
        <v>48253</v>
      </c>
      <c r="B107" s="13" t="s">
        <v>10</v>
      </c>
      <c r="C107" s="13" t="s">
        <v>12</v>
      </c>
    </row>
    <row r="108" spans="1:3" x14ac:dyDescent="0.25">
      <c r="A108" s="12">
        <v>48254</v>
      </c>
      <c r="B108" s="13" t="s">
        <v>13</v>
      </c>
      <c r="C108" s="13" t="s">
        <v>12</v>
      </c>
    </row>
    <row r="109" spans="1:3" x14ac:dyDescent="0.25">
      <c r="A109" s="12">
        <v>48299</v>
      </c>
      <c r="B109" s="13" t="s">
        <v>14</v>
      </c>
      <c r="C109" s="13" t="s">
        <v>15</v>
      </c>
    </row>
    <row r="110" spans="1:3" x14ac:dyDescent="0.25">
      <c r="A110" s="12">
        <v>48325</v>
      </c>
      <c r="B110" s="13" t="s">
        <v>18</v>
      </c>
      <c r="C110" s="13" t="s">
        <v>17</v>
      </c>
    </row>
    <row r="111" spans="1:3" x14ac:dyDescent="0.25">
      <c r="A111" s="12">
        <v>48335</v>
      </c>
      <c r="B111" s="13" t="s">
        <v>22</v>
      </c>
      <c r="C111" s="13" t="s">
        <v>19</v>
      </c>
    </row>
    <row r="112" spans="1:3" x14ac:dyDescent="0.25">
      <c r="A112" s="12">
        <v>48361</v>
      </c>
      <c r="B112" s="13" t="s">
        <v>20</v>
      </c>
      <c r="C112" s="13" t="s">
        <v>21</v>
      </c>
    </row>
    <row r="113" spans="1:3" x14ac:dyDescent="0.25">
      <c r="A113" s="12">
        <v>48464</v>
      </c>
      <c r="B113" s="13" t="s">
        <v>13</v>
      </c>
      <c r="C113" s="13" t="s">
        <v>23</v>
      </c>
    </row>
    <row r="114" spans="1:3" x14ac:dyDescent="0.25">
      <c r="A114" s="12">
        <v>48499</v>
      </c>
      <c r="B114" s="13" t="s">
        <v>13</v>
      </c>
      <c r="C114" s="13" t="s">
        <v>24</v>
      </c>
    </row>
    <row r="115" spans="1:3" x14ac:dyDescent="0.25">
      <c r="A115" s="12">
        <v>48520</v>
      </c>
      <c r="B115" s="13" t="s">
        <v>13</v>
      </c>
      <c r="C115" s="13" t="s">
        <v>25</v>
      </c>
    </row>
    <row r="116" spans="1:3" x14ac:dyDescent="0.25">
      <c r="A116" s="12">
        <v>48533</v>
      </c>
      <c r="B116" s="13" t="s">
        <v>10</v>
      </c>
      <c r="C116" s="13" t="s">
        <v>26</v>
      </c>
    </row>
    <row r="117" spans="1:3" x14ac:dyDescent="0.25">
      <c r="A117" s="12">
        <v>48538</v>
      </c>
      <c r="B117" s="13" t="s">
        <v>22</v>
      </c>
      <c r="C117" s="13" t="s">
        <v>27</v>
      </c>
    </row>
    <row r="118" spans="1:3" x14ac:dyDescent="0.25">
      <c r="A118" s="12">
        <v>48573</v>
      </c>
      <c r="B118" s="13" t="s">
        <v>22</v>
      </c>
      <c r="C118" s="13" t="s">
        <v>28</v>
      </c>
    </row>
    <row r="119" spans="1:3" x14ac:dyDescent="0.25">
      <c r="A119" s="12">
        <v>48580</v>
      </c>
      <c r="B119" s="13" t="s">
        <v>22</v>
      </c>
      <c r="C119" s="13" t="s">
        <v>11</v>
      </c>
    </row>
    <row r="120" spans="1:3" x14ac:dyDescent="0.25">
      <c r="A120" s="12">
        <v>48638</v>
      </c>
      <c r="B120" s="13" t="s">
        <v>10</v>
      </c>
      <c r="C120" s="13" t="s">
        <v>12</v>
      </c>
    </row>
    <row r="121" spans="1:3" x14ac:dyDescent="0.25">
      <c r="A121" s="12">
        <v>48639</v>
      </c>
      <c r="B121" s="13" t="s">
        <v>13</v>
      </c>
      <c r="C121" s="13" t="s">
        <v>12</v>
      </c>
    </row>
    <row r="122" spans="1:3" x14ac:dyDescent="0.25">
      <c r="A122" s="12">
        <v>48684</v>
      </c>
      <c r="B122" s="13" t="s">
        <v>14</v>
      </c>
      <c r="C122" s="13" t="s">
        <v>15</v>
      </c>
    </row>
    <row r="123" spans="1:3" x14ac:dyDescent="0.25">
      <c r="A123" s="12">
        <v>48690</v>
      </c>
      <c r="B123" s="13" t="s">
        <v>20</v>
      </c>
      <c r="C123" s="13" t="s">
        <v>17</v>
      </c>
    </row>
    <row r="124" spans="1:3" x14ac:dyDescent="0.25">
      <c r="A124" s="12">
        <v>48700</v>
      </c>
      <c r="B124" s="13" t="s">
        <v>16</v>
      </c>
      <c r="C124" s="13" t="s">
        <v>19</v>
      </c>
    </row>
    <row r="125" spans="1:3" x14ac:dyDescent="0.25">
      <c r="A125" s="12">
        <v>48746</v>
      </c>
      <c r="B125" s="13" t="s">
        <v>20</v>
      </c>
      <c r="C125" s="13" t="s">
        <v>21</v>
      </c>
    </row>
    <row r="126" spans="1:3" x14ac:dyDescent="0.25">
      <c r="A126" s="12">
        <v>48829</v>
      </c>
      <c r="B126" s="13" t="s">
        <v>18</v>
      </c>
      <c r="C126" s="13" t="s">
        <v>23</v>
      </c>
    </row>
    <row r="127" spans="1:3" x14ac:dyDescent="0.25">
      <c r="A127" s="12">
        <v>48864</v>
      </c>
      <c r="B127" s="13" t="s">
        <v>18</v>
      </c>
      <c r="C127" s="13" t="s">
        <v>24</v>
      </c>
    </row>
    <row r="128" spans="1:3" x14ac:dyDescent="0.25">
      <c r="A128" s="12">
        <v>48885</v>
      </c>
      <c r="B128" s="13" t="s">
        <v>18</v>
      </c>
      <c r="C128" s="13" t="s">
        <v>25</v>
      </c>
    </row>
    <row r="129" spans="1:3" x14ac:dyDescent="0.25">
      <c r="A129" s="12">
        <v>48898</v>
      </c>
      <c r="B129" s="13" t="s">
        <v>13</v>
      </c>
      <c r="C129" s="13" t="s">
        <v>26</v>
      </c>
    </row>
    <row r="130" spans="1:3" x14ac:dyDescent="0.25">
      <c r="A130" s="12">
        <v>48903</v>
      </c>
      <c r="B130" s="13" t="s">
        <v>16</v>
      </c>
      <c r="C130" s="13" t="s">
        <v>27</v>
      </c>
    </row>
    <row r="131" spans="1:3" x14ac:dyDescent="0.25">
      <c r="A131" s="12">
        <v>48938</v>
      </c>
      <c r="B131" s="13" t="s">
        <v>16</v>
      </c>
      <c r="C131" s="13" t="s">
        <v>28</v>
      </c>
    </row>
    <row r="132" spans="1:3" x14ac:dyDescent="0.25">
      <c r="A132" s="12">
        <v>48945</v>
      </c>
      <c r="B132" s="13" t="s">
        <v>16</v>
      </c>
      <c r="C132" s="13" t="s">
        <v>11</v>
      </c>
    </row>
    <row r="133" spans="1:3" x14ac:dyDescent="0.25">
      <c r="A133" s="12">
        <v>48995</v>
      </c>
      <c r="B133" s="13" t="s">
        <v>10</v>
      </c>
      <c r="C133" s="13" t="s">
        <v>12</v>
      </c>
    </row>
    <row r="134" spans="1:3" x14ac:dyDescent="0.25">
      <c r="A134" s="12">
        <v>48996</v>
      </c>
      <c r="B134" s="13" t="s">
        <v>13</v>
      </c>
      <c r="C134" s="13" t="s">
        <v>12</v>
      </c>
    </row>
    <row r="135" spans="1:3" x14ac:dyDescent="0.25">
      <c r="A135" s="12">
        <v>49041</v>
      </c>
      <c r="B135" s="13" t="s">
        <v>14</v>
      </c>
      <c r="C135" s="13" t="s">
        <v>15</v>
      </c>
    </row>
    <row r="136" spans="1:3" x14ac:dyDescent="0.25">
      <c r="A136" s="12">
        <v>49055</v>
      </c>
      <c r="B136" s="13" t="s">
        <v>14</v>
      </c>
      <c r="C136" s="13" t="s">
        <v>17</v>
      </c>
    </row>
    <row r="137" spans="1:3" x14ac:dyDescent="0.25">
      <c r="A137" s="12">
        <v>49065</v>
      </c>
      <c r="B137" s="13" t="s">
        <v>10</v>
      </c>
      <c r="C137" s="13" t="s">
        <v>19</v>
      </c>
    </row>
    <row r="138" spans="1:3" x14ac:dyDescent="0.25">
      <c r="A138" s="12">
        <v>49103</v>
      </c>
      <c r="B138" s="13" t="s">
        <v>20</v>
      </c>
      <c r="C138" s="13" t="s">
        <v>21</v>
      </c>
    </row>
    <row r="139" spans="1:3" x14ac:dyDescent="0.25">
      <c r="A139" s="12">
        <v>49194</v>
      </c>
      <c r="B139" s="13" t="s">
        <v>20</v>
      </c>
      <c r="C139" s="13" t="s">
        <v>23</v>
      </c>
    </row>
    <row r="140" spans="1:3" x14ac:dyDescent="0.25">
      <c r="A140" s="12">
        <v>49229</v>
      </c>
      <c r="B140" s="13" t="s">
        <v>20</v>
      </c>
      <c r="C140" s="13" t="s">
        <v>24</v>
      </c>
    </row>
    <row r="141" spans="1:3" x14ac:dyDescent="0.25">
      <c r="A141" s="12">
        <v>49250</v>
      </c>
      <c r="B141" s="13" t="s">
        <v>20</v>
      </c>
      <c r="C141" s="13" t="s">
        <v>25</v>
      </c>
    </row>
    <row r="142" spans="1:3" x14ac:dyDescent="0.25">
      <c r="A142" s="12">
        <v>49263</v>
      </c>
      <c r="B142" s="13" t="s">
        <v>18</v>
      </c>
      <c r="C142" s="13" t="s">
        <v>26</v>
      </c>
    </row>
    <row r="143" spans="1:3" x14ac:dyDescent="0.25">
      <c r="A143" s="12">
        <v>49268</v>
      </c>
      <c r="B143" s="13" t="s">
        <v>10</v>
      </c>
      <c r="C143" s="13" t="s">
        <v>27</v>
      </c>
    </row>
    <row r="144" spans="1:3" x14ac:dyDescent="0.25">
      <c r="A144" s="12">
        <v>49303</v>
      </c>
      <c r="B144" s="13" t="s">
        <v>10</v>
      </c>
      <c r="C144" s="13" t="s">
        <v>28</v>
      </c>
    </row>
    <row r="145" spans="1:3" x14ac:dyDescent="0.25">
      <c r="A145" s="12">
        <v>49310</v>
      </c>
      <c r="B145" s="13" t="s">
        <v>10</v>
      </c>
      <c r="C145" s="13" t="s">
        <v>11</v>
      </c>
    </row>
    <row r="146" spans="1:3" x14ac:dyDescent="0.25">
      <c r="A146" s="12">
        <v>49345</v>
      </c>
      <c r="B146" s="13" t="s">
        <v>10</v>
      </c>
      <c r="C146" s="13" t="s">
        <v>12</v>
      </c>
    </row>
    <row r="147" spans="1:3" x14ac:dyDescent="0.25">
      <c r="A147" s="12">
        <v>49346</v>
      </c>
      <c r="B147" s="13" t="s">
        <v>13</v>
      </c>
      <c r="C147" s="13" t="s">
        <v>12</v>
      </c>
    </row>
    <row r="148" spans="1:3" x14ac:dyDescent="0.25">
      <c r="A148" s="12">
        <v>49391</v>
      </c>
      <c r="B148" s="13" t="s">
        <v>14</v>
      </c>
      <c r="C148" s="13" t="s">
        <v>15</v>
      </c>
    </row>
    <row r="149" spans="1:3" x14ac:dyDescent="0.25">
      <c r="A149" s="12">
        <v>49420</v>
      </c>
      <c r="B149" s="13" t="s">
        <v>22</v>
      </c>
      <c r="C149" s="13" t="s">
        <v>17</v>
      </c>
    </row>
    <row r="150" spans="1:3" x14ac:dyDescent="0.25">
      <c r="A150" s="12">
        <v>49430</v>
      </c>
      <c r="B150" s="13" t="s">
        <v>13</v>
      </c>
      <c r="C150" s="13" t="s">
        <v>19</v>
      </c>
    </row>
    <row r="151" spans="1:3" x14ac:dyDescent="0.25">
      <c r="A151" s="12">
        <v>49453</v>
      </c>
      <c r="B151" s="13" t="s">
        <v>20</v>
      </c>
      <c r="C151" s="13" t="s">
        <v>21</v>
      </c>
    </row>
    <row r="152" spans="1:3" x14ac:dyDescent="0.25">
      <c r="A152" s="12">
        <v>49559</v>
      </c>
      <c r="B152" s="13" t="s">
        <v>14</v>
      </c>
      <c r="C152" s="13" t="s">
        <v>23</v>
      </c>
    </row>
    <row r="153" spans="1:3" x14ac:dyDescent="0.25">
      <c r="A153" s="12">
        <v>49594</v>
      </c>
      <c r="B153" s="13" t="s">
        <v>14</v>
      </c>
      <c r="C153" s="13" t="s">
        <v>24</v>
      </c>
    </row>
    <row r="154" spans="1:3" x14ac:dyDescent="0.25">
      <c r="A154" s="12">
        <v>49615</v>
      </c>
      <c r="B154" s="13" t="s">
        <v>14</v>
      </c>
      <c r="C154" s="13" t="s">
        <v>25</v>
      </c>
    </row>
    <row r="155" spans="1:3" x14ac:dyDescent="0.25">
      <c r="A155" s="12">
        <v>49628</v>
      </c>
      <c r="B155" s="13" t="s">
        <v>20</v>
      </c>
      <c r="C155" s="13" t="s">
        <v>26</v>
      </c>
    </row>
    <row r="156" spans="1:3" x14ac:dyDescent="0.25">
      <c r="A156" s="12">
        <v>49633</v>
      </c>
      <c r="B156" s="13" t="s">
        <v>13</v>
      </c>
      <c r="C156" s="13" t="s">
        <v>27</v>
      </c>
    </row>
    <row r="157" spans="1:3" x14ac:dyDescent="0.25">
      <c r="A157" s="12">
        <v>49668</v>
      </c>
      <c r="B157" s="13" t="s">
        <v>13</v>
      </c>
      <c r="C157" s="13" t="s">
        <v>28</v>
      </c>
    </row>
    <row r="158" spans="1:3" x14ac:dyDescent="0.25">
      <c r="A158" s="12">
        <v>49675</v>
      </c>
      <c r="B158" s="13" t="s">
        <v>13</v>
      </c>
      <c r="C158" s="13" t="s">
        <v>11</v>
      </c>
    </row>
    <row r="159" spans="1:3" x14ac:dyDescent="0.25">
      <c r="A159" s="12">
        <v>49730</v>
      </c>
      <c r="B159" s="13" t="s">
        <v>10</v>
      </c>
      <c r="C159" s="13" t="s">
        <v>12</v>
      </c>
    </row>
    <row r="160" spans="1:3" x14ac:dyDescent="0.25">
      <c r="A160" s="12">
        <v>49731</v>
      </c>
      <c r="B160" s="13" t="s">
        <v>13</v>
      </c>
      <c r="C160" s="13" t="s">
        <v>12</v>
      </c>
    </row>
    <row r="161" spans="1:3" x14ac:dyDescent="0.25">
      <c r="A161" s="12">
        <v>49776</v>
      </c>
      <c r="B161" s="13" t="s">
        <v>14</v>
      </c>
      <c r="C161" s="13" t="s">
        <v>15</v>
      </c>
    </row>
    <row r="162" spans="1:3" x14ac:dyDescent="0.25">
      <c r="A162" s="12">
        <v>49786</v>
      </c>
      <c r="B162" s="13" t="s">
        <v>10</v>
      </c>
      <c r="C162" s="13" t="s">
        <v>17</v>
      </c>
    </row>
    <row r="163" spans="1:3" x14ac:dyDescent="0.25">
      <c r="A163" s="12">
        <v>49796</v>
      </c>
      <c r="B163" s="13" t="s">
        <v>20</v>
      </c>
      <c r="C163" s="13" t="s">
        <v>19</v>
      </c>
    </row>
    <row r="164" spans="1:3" x14ac:dyDescent="0.25">
      <c r="A164" s="12">
        <v>49838</v>
      </c>
      <c r="B164" s="13" t="s">
        <v>20</v>
      </c>
      <c r="C164" s="13" t="s">
        <v>21</v>
      </c>
    </row>
    <row r="165" spans="1:3" x14ac:dyDescent="0.25">
      <c r="A165" s="12">
        <v>49925</v>
      </c>
      <c r="B165" s="13" t="s">
        <v>16</v>
      </c>
      <c r="C165" s="13" t="s">
        <v>23</v>
      </c>
    </row>
    <row r="166" spans="1:3" x14ac:dyDescent="0.25">
      <c r="A166" s="12">
        <v>49960</v>
      </c>
      <c r="B166" s="13" t="s">
        <v>16</v>
      </c>
      <c r="C166" s="13" t="s">
        <v>24</v>
      </c>
    </row>
    <row r="167" spans="1:3" x14ac:dyDescent="0.25">
      <c r="A167" s="12">
        <v>49981</v>
      </c>
      <c r="B167" s="13" t="s">
        <v>16</v>
      </c>
      <c r="C167" s="13" t="s">
        <v>25</v>
      </c>
    </row>
    <row r="168" spans="1:3" x14ac:dyDescent="0.25">
      <c r="A168" s="12">
        <v>49994</v>
      </c>
      <c r="B168" s="13" t="s">
        <v>22</v>
      </c>
      <c r="C168" s="13" t="s">
        <v>26</v>
      </c>
    </row>
    <row r="169" spans="1:3" x14ac:dyDescent="0.25">
      <c r="A169" s="12">
        <v>49999</v>
      </c>
      <c r="B169" s="13" t="s">
        <v>20</v>
      </c>
      <c r="C169" s="13" t="s">
        <v>27</v>
      </c>
    </row>
    <row r="170" spans="1:3" x14ac:dyDescent="0.25">
      <c r="A170" s="12">
        <v>50034</v>
      </c>
      <c r="B170" s="13" t="s">
        <v>20</v>
      </c>
      <c r="C170" s="13" t="s">
        <v>28</v>
      </c>
    </row>
    <row r="171" spans="1:3" x14ac:dyDescent="0.25">
      <c r="A171" s="12">
        <v>50041</v>
      </c>
      <c r="B171" s="13" t="s">
        <v>20</v>
      </c>
      <c r="C171" s="13" t="s">
        <v>11</v>
      </c>
    </row>
    <row r="172" spans="1:3" x14ac:dyDescent="0.25">
      <c r="A172" s="12">
        <v>50087</v>
      </c>
      <c r="B172" s="13" t="s">
        <v>10</v>
      </c>
      <c r="C172" s="13" t="s">
        <v>12</v>
      </c>
    </row>
    <row r="173" spans="1:3" x14ac:dyDescent="0.25">
      <c r="A173" s="12">
        <v>50088</v>
      </c>
      <c r="B173" s="13" t="s">
        <v>13</v>
      </c>
      <c r="C173" s="13" t="s">
        <v>12</v>
      </c>
    </row>
    <row r="174" spans="1:3" x14ac:dyDescent="0.25">
      <c r="A174" s="12">
        <v>50133</v>
      </c>
      <c r="B174" s="13" t="s">
        <v>14</v>
      </c>
      <c r="C174" s="13" t="s">
        <v>15</v>
      </c>
    </row>
    <row r="175" spans="1:3" x14ac:dyDescent="0.25">
      <c r="A175" s="12">
        <v>50151</v>
      </c>
      <c r="B175" s="13" t="s">
        <v>13</v>
      </c>
      <c r="C175" s="13" t="s">
        <v>17</v>
      </c>
    </row>
    <row r="176" spans="1:3" x14ac:dyDescent="0.25">
      <c r="A176" s="12">
        <v>50161</v>
      </c>
      <c r="B176" s="13" t="s">
        <v>14</v>
      </c>
      <c r="C176" s="13" t="s">
        <v>19</v>
      </c>
    </row>
    <row r="177" spans="1:3" x14ac:dyDescent="0.25">
      <c r="A177" s="12">
        <v>50195</v>
      </c>
      <c r="B177" s="13" t="s">
        <v>20</v>
      </c>
      <c r="C177" s="13" t="s">
        <v>21</v>
      </c>
    </row>
    <row r="178" spans="1:3" x14ac:dyDescent="0.25">
      <c r="A178" s="12">
        <v>50290</v>
      </c>
      <c r="B178" s="13" t="s">
        <v>10</v>
      </c>
      <c r="C178" s="13" t="s">
        <v>23</v>
      </c>
    </row>
    <row r="179" spans="1:3" x14ac:dyDescent="0.25">
      <c r="A179" s="12">
        <v>50325</v>
      </c>
      <c r="B179" s="13" t="s">
        <v>10</v>
      </c>
      <c r="C179" s="13" t="s">
        <v>24</v>
      </c>
    </row>
    <row r="180" spans="1:3" x14ac:dyDescent="0.25">
      <c r="A180" s="12">
        <v>50346</v>
      </c>
      <c r="B180" s="13" t="s">
        <v>10</v>
      </c>
      <c r="C180" s="13" t="s">
        <v>25</v>
      </c>
    </row>
    <row r="181" spans="1:3" x14ac:dyDescent="0.25">
      <c r="A181" s="12">
        <v>50359</v>
      </c>
      <c r="B181" s="13" t="s">
        <v>16</v>
      </c>
      <c r="C181" s="13" t="s">
        <v>26</v>
      </c>
    </row>
    <row r="182" spans="1:3" x14ac:dyDescent="0.25">
      <c r="A182" s="12">
        <v>50364</v>
      </c>
      <c r="B182" s="13" t="s">
        <v>14</v>
      </c>
      <c r="C182" s="13" t="s">
        <v>27</v>
      </c>
    </row>
    <row r="183" spans="1:3" x14ac:dyDescent="0.25">
      <c r="A183" s="12">
        <v>50399</v>
      </c>
      <c r="B183" s="13" t="s">
        <v>14</v>
      </c>
      <c r="C183" s="13" t="s">
        <v>28</v>
      </c>
    </row>
    <row r="184" spans="1:3" x14ac:dyDescent="0.25">
      <c r="A184" s="12">
        <v>50406</v>
      </c>
      <c r="B184" s="13" t="s">
        <v>14</v>
      </c>
      <c r="C184" s="13" t="s">
        <v>11</v>
      </c>
    </row>
    <row r="185" spans="1:3" x14ac:dyDescent="0.25">
      <c r="A185" s="12">
        <v>50472</v>
      </c>
      <c r="B185" s="13" t="s">
        <v>10</v>
      </c>
      <c r="C185" s="13" t="s">
        <v>12</v>
      </c>
    </row>
    <row r="186" spans="1:3" x14ac:dyDescent="0.25">
      <c r="A186" s="12">
        <v>50473</v>
      </c>
      <c r="B186" s="13" t="s">
        <v>13</v>
      </c>
      <c r="C186" s="13" t="s">
        <v>12</v>
      </c>
    </row>
    <row r="187" spans="1:3" x14ac:dyDescent="0.25">
      <c r="A187" s="12">
        <v>50516</v>
      </c>
      <c r="B187" s="13" t="s">
        <v>18</v>
      </c>
      <c r="C187" s="13" t="s">
        <v>17</v>
      </c>
    </row>
    <row r="188" spans="1:3" x14ac:dyDescent="0.25">
      <c r="A188" s="12">
        <v>50518</v>
      </c>
      <c r="B188" s="13" t="s">
        <v>14</v>
      </c>
      <c r="C188" s="13" t="s">
        <v>15</v>
      </c>
    </row>
    <row r="189" spans="1:3" x14ac:dyDescent="0.25">
      <c r="A189" s="12">
        <v>50526</v>
      </c>
      <c r="B189" s="13" t="s">
        <v>22</v>
      </c>
      <c r="C189" s="13" t="s">
        <v>19</v>
      </c>
    </row>
    <row r="190" spans="1:3" x14ac:dyDescent="0.25">
      <c r="A190" s="12">
        <v>50580</v>
      </c>
      <c r="B190" s="13" t="s">
        <v>20</v>
      </c>
      <c r="C190" s="13" t="s">
        <v>21</v>
      </c>
    </row>
    <row r="191" spans="1:3" x14ac:dyDescent="0.25">
      <c r="A191" s="12">
        <v>50655</v>
      </c>
      <c r="B191" s="13" t="s">
        <v>13</v>
      </c>
      <c r="C191" s="13" t="s">
        <v>23</v>
      </c>
    </row>
    <row r="192" spans="1:3" x14ac:dyDescent="0.25">
      <c r="A192" s="12">
        <v>50690</v>
      </c>
      <c r="B192" s="13" t="s">
        <v>13</v>
      </c>
      <c r="C192" s="13" t="s">
        <v>24</v>
      </c>
    </row>
    <row r="193" spans="1:3" x14ac:dyDescent="0.25">
      <c r="A193" s="12">
        <v>50711</v>
      </c>
      <c r="B193" s="13" t="s">
        <v>13</v>
      </c>
      <c r="C193" s="13" t="s">
        <v>25</v>
      </c>
    </row>
    <row r="194" spans="1:3" x14ac:dyDescent="0.25">
      <c r="A194" s="12">
        <v>50724</v>
      </c>
      <c r="B194" s="13" t="s">
        <v>10</v>
      </c>
      <c r="C194" s="13" t="s">
        <v>26</v>
      </c>
    </row>
    <row r="195" spans="1:3" x14ac:dyDescent="0.25">
      <c r="A195" s="12">
        <v>50729</v>
      </c>
      <c r="B195" s="13" t="s">
        <v>22</v>
      </c>
      <c r="C195" s="13" t="s">
        <v>27</v>
      </c>
    </row>
    <row r="196" spans="1:3" x14ac:dyDescent="0.25">
      <c r="A196" s="12">
        <v>50764</v>
      </c>
      <c r="B196" s="13" t="s">
        <v>22</v>
      </c>
      <c r="C196" s="13" t="s">
        <v>28</v>
      </c>
    </row>
    <row r="197" spans="1:3" x14ac:dyDescent="0.25">
      <c r="A197" s="12">
        <v>50771</v>
      </c>
      <c r="B197" s="13" t="s">
        <v>22</v>
      </c>
      <c r="C197" s="13" t="s">
        <v>11</v>
      </c>
    </row>
    <row r="198" spans="1:3" x14ac:dyDescent="0.25">
      <c r="A198" s="12">
        <v>50822</v>
      </c>
      <c r="B198" s="13" t="s">
        <v>10</v>
      </c>
      <c r="C198" s="13" t="s">
        <v>12</v>
      </c>
    </row>
    <row r="199" spans="1:3" x14ac:dyDescent="0.25">
      <c r="A199" s="12">
        <v>50823</v>
      </c>
      <c r="B199" s="13" t="s">
        <v>13</v>
      </c>
      <c r="C199" s="13" t="s">
        <v>12</v>
      </c>
    </row>
    <row r="200" spans="1:3" x14ac:dyDescent="0.25">
      <c r="A200" s="12">
        <v>50868</v>
      </c>
      <c r="B200" s="13" t="s">
        <v>14</v>
      </c>
      <c r="C200" s="13" t="s">
        <v>15</v>
      </c>
    </row>
    <row r="201" spans="1:3" x14ac:dyDescent="0.25">
      <c r="A201" s="12">
        <v>50881</v>
      </c>
      <c r="B201" s="13" t="s">
        <v>20</v>
      </c>
      <c r="C201" s="13" t="s">
        <v>17</v>
      </c>
    </row>
    <row r="202" spans="1:3" x14ac:dyDescent="0.25">
      <c r="A202" s="12">
        <v>50891</v>
      </c>
      <c r="B202" s="13" t="s">
        <v>16</v>
      </c>
      <c r="C202" s="13" t="s">
        <v>19</v>
      </c>
    </row>
    <row r="203" spans="1:3" x14ac:dyDescent="0.25">
      <c r="A203" s="12">
        <v>50930</v>
      </c>
      <c r="B203" s="13" t="s">
        <v>20</v>
      </c>
      <c r="C203" s="13" t="s">
        <v>21</v>
      </c>
    </row>
    <row r="204" spans="1:3" x14ac:dyDescent="0.25">
      <c r="A204" s="12">
        <v>51020</v>
      </c>
      <c r="B204" s="13" t="s">
        <v>18</v>
      </c>
      <c r="C204" s="13" t="s">
        <v>23</v>
      </c>
    </row>
    <row r="205" spans="1:3" x14ac:dyDescent="0.25">
      <c r="A205" s="12">
        <v>51055</v>
      </c>
      <c r="B205" s="13" t="s">
        <v>18</v>
      </c>
      <c r="C205" s="13" t="s">
        <v>24</v>
      </c>
    </row>
    <row r="206" spans="1:3" x14ac:dyDescent="0.25">
      <c r="A206" s="12">
        <v>51076</v>
      </c>
      <c r="B206" s="13" t="s">
        <v>18</v>
      </c>
      <c r="C206" s="13" t="s">
        <v>25</v>
      </c>
    </row>
    <row r="207" spans="1:3" x14ac:dyDescent="0.25">
      <c r="A207" s="12">
        <v>51089</v>
      </c>
      <c r="B207" s="13" t="s">
        <v>13</v>
      </c>
      <c r="C207" s="13" t="s">
        <v>26</v>
      </c>
    </row>
    <row r="208" spans="1:3" x14ac:dyDescent="0.25">
      <c r="A208" s="12">
        <v>51094</v>
      </c>
      <c r="B208" s="13" t="s">
        <v>16</v>
      </c>
      <c r="C208" s="13" t="s">
        <v>27</v>
      </c>
    </row>
    <row r="209" spans="1:3" x14ac:dyDescent="0.25">
      <c r="A209" s="12">
        <v>51129</v>
      </c>
      <c r="B209" s="13" t="s">
        <v>16</v>
      </c>
      <c r="C209" s="13" t="s">
        <v>28</v>
      </c>
    </row>
    <row r="210" spans="1:3" x14ac:dyDescent="0.25">
      <c r="A210" s="12">
        <v>51136</v>
      </c>
      <c r="B210" s="13" t="s">
        <v>16</v>
      </c>
      <c r="C210" s="13" t="s">
        <v>11</v>
      </c>
    </row>
    <row r="211" spans="1:3" x14ac:dyDescent="0.25">
      <c r="A211" s="12">
        <v>51179</v>
      </c>
      <c r="B211" s="13" t="s">
        <v>10</v>
      </c>
      <c r="C211" s="13" t="s">
        <v>12</v>
      </c>
    </row>
    <row r="212" spans="1:3" x14ac:dyDescent="0.25">
      <c r="A212" s="12">
        <v>51180</v>
      </c>
      <c r="B212" s="13" t="s">
        <v>13</v>
      </c>
      <c r="C212" s="13" t="s">
        <v>12</v>
      </c>
    </row>
    <row r="213" spans="1:3" x14ac:dyDescent="0.25">
      <c r="A213" s="12">
        <v>51225</v>
      </c>
      <c r="B213" s="13" t="s">
        <v>14</v>
      </c>
      <c r="C213" s="13" t="s">
        <v>15</v>
      </c>
    </row>
    <row r="214" spans="1:3" x14ac:dyDescent="0.25">
      <c r="A214" s="12">
        <v>51247</v>
      </c>
      <c r="B214" s="13" t="s">
        <v>22</v>
      </c>
      <c r="C214" s="13" t="s">
        <v>17</v>
      </c>
    </row>
    <row r="215" spans="1:3" x14ac:dyDescent="0.25">
      <c r="A215" s="12">
        <v>51257</v>
      </c>
      <c r="B215" s="13" t="s">
        <v>13</v>
      </c>
      <c r="C215" s="13" t="s">
        <v>19</v>
      </c>
    </row>
    <row r="216" spans="1:3" x14ac:dyDescent="0.25">
      <c r="A216" s="12">
        <v>51287</v>
      </c>
      <c r="B216" s="13" t="s">
        <v>20</v>
      </c>
      <c r="C216" s="13" t="s">
        <v>21</v>
      </c>
    </row>
    <row r="217" spans="1:3" x14ac:dyDescent="0.25">
      <c r="A217" s="12">
        <v>51386</v>
      </c>
      <c r="B217" s="13" t="s">
        <v>14</v>
      </c>
      <c r="C217" s="13" t="s">
        <v>23</v>
      </c>
    </row>
    <row r="218" spans="1:3" x14ac:dyDescent="0.25">
      <c r="A218" s="12">
        <v>51421</v>
      </c>
      <c r="B218" s="13" t="s">
        <v>14</v>
      </c>
      <c r="C218" s="13" t="s">
        <v>24</v>
      </c>
    </row>
    <row r="219" spans="1:3" x14ac:dyDescent="0.25">
      <c r="A219" s="12">
        <v>51442</v>
      </c>
      <c r="B219" s="13" t="s">
        <v>14</v>
      </c>
      <c r="C219" s="13" t="s">
        <v>25</v>
      </c>
    </row>
    <row r="220" spans="1:3" x14ac:dyDescent="0.25">
      <c r="A220" s="12">
        <v>51455</v>
      </c>
      <c r="B220" s="13" t="s">
        <v>20</v>
      </c>
      <c r="C220" s="13" t="s">
        <v>26</v>
      </c>
    </row>
    <row r="221" spans="1:3" x14ac:dyDescent="0.25">
      <c r="A221" s="12">
        <v>51460</v>
      </c>
      <c r="B221" s="13" t="s">
        <v>13</v>
      </c>
      <c r="C221" s="13" t="s">
        <v>27</v>
      </c>
    </row>
    <row r="222" spans="1:3" x14ac:dyDescent="0.25">
      <c r="A222" s="12">
        <v>51495</v>
      </c>
      <c r="B222" s="13" t="s">
        <v>13</v>
      </c>
      <c r="C222" s="13" t="s">
        <v>28</v>
      </c>
    </row>
    <row r="223" spans="1:3" x14ac:dyDescent="0.25">
      <c r="A223" s="12">
        <v>51502</v>
      </c>
      <c r="B223" s="13" t="s">
        <v>13</v>
      </c>
      <c r="C223" s="13" t="s">
        <v>11</v>
      </c>
    </row>
    <row r="224" spans="1:3" x14ac:dyDescent="0.25">
      <c r="A224" s="12">
        <v>51564</v>
      </c>
      <c r="B224" s="13" t="s">
        <v>10</v>
      </c>
      <c r="C224" s="13" t="s">
        <v>12</v>
      </c>
    </row>
    <row r="225" spans="1:3" x14ac:dyDescent="0.25">
      <c r="A225" s="12">
        <v>51565</v>
      </c>
      <c r="B225" s="13" t="s">
        <v>13</v>
      </c>
      <c r="C225" s="13" t="s">
        <v>12</v>
      </c>
    </row>
    <row r="226" spans="1:3" x14ac:dyDescent="0.25">
      <c r="A226" s="12">
        <v>51610</v>
      </c>
      <c r="B226" s="13" t="s">
        <v>14</v>
      </c>
      <c r="C226" s="13" t="s">
        <v>15</v>
      </c>
    </row>
    <row r="227" spans="1:3" x14ac:dyDescent="0.25">
      <c r="A227" s="12">
        <v>51612</v>
      </c>
      <c r="B227" s="13" t="s">
        <v>16</v>
      </c>
      <c r="C227" s="13" t="s">
        <v>17</v>
      </c>
    </row>
    <row r="228" spans="1:3" x14ac:dyDescent="0.25">
      <c r="A228" s="12">
        <v>51622</v>
      </c>
      <c r="B228" s="13" t="s">
        <v>18</v>
      </c>
      <c r="C228" s="13" t="s">
        <v>19</v>
      </c>
    </row>
    <row r="229" spans="1:3" x14ac:dyDescent="0.25">
      <c r="A229" s="12">
        <v>51672</v>
      </c>
      <c r="B229" s="13" t="s">
        <v>20</v>
      </c>
      <c r="C229" s="13" t="s">
        <v>21</v>
      </c>
    </row>
    <row r="230" spans="1:3" x14ac:dyDescent="0.25">
      <c r="A230" s="12">
        <v>51751</v>
      </c>
      <c r="B230" s="13" t="s">
        <v>22</v>
      </c>
      <c r="C230" s="13" t="s">
        <v>23</v>
      </c>
    </row>
    <row r="231" spans="1:3" x14ac:dyDescent="0.25">
      <c r="A231" s="12">
        <v>51786</v>
      </c>
      <c r="B231" s="13" t="s">
        <v>22</v>
      </c>
      <c r="C231" s="13" t="s">
        <v>24</v>
      </c>
    </row>
    <row r="232" spans="1:3" x14ac:dyDescent="0.25">
      <c r="A232" s="12">
        <v>51807</v>
      </c>
      <c r="B232" s="13" t="s">
        <v>22</v>
      </c>
      <c r="C232" s="13" t="s">
        <v>25</v>
      </c>
    </row>
    <row r="233" spans="1:3" x14ac:dyDescent="0.25">
      <c r="A233" s="12">
        <v>51820</v>
      </c>
      <c r="B233" s="13" t="s">
        <v>14</v>
      </c>
      <c r="C233" s="13" t="s">
        <v>26</v>
      </c>
    </row>
    <row r="234" spans="1:3" x14ac:dyDescent="0.25">
      <c r="A234" s="12">
        <v>51825</v>
      </c>
      <c r="B234" s="13" t="s">
        <v>18</v>
      </c>
      <c r="C234" s="13" t="s">
        <v>27</v>
      </c>
    </row>
    <row r="235" spans="1:3" x14ac:dyDescent="0.25">
      <c r="A235" s="12">
        <v>51860</v>
      </c>
      <c r="B235" s="13" t="s">
        <v>18</v>
      </c>
      <c r="C235" s="13" t="s">
        <v>28</v>
      </c>
    </row>
    <row r="236" spans="1:3" x14ac:dyDescent="0.25">
      <c r="A236" s="12">
        <v>51867</v>
      </c>
      <c r="B236" s="13" t="s">
        <v>18</v>
      </c>
      <c r="C236" s="13" t="s">
        <v>11</v>
      </c>
    </row>
    <row r="237" spans="1:3" x14ac:dyDescent="0.25">
      <c r="A237" s="12">
        <v>51914</v>
      </c>
      <c r="B237" s="13" t="s">
        <v>10</v>
      </c>
      <c r="C237" s="13" t="s">
        <v>12</v>
      </c>
    </row>
    <row r="238" spans="1:3" x14ac:dyDescent="0.25">
      <c r="A238" s="12">
        <v>51915</v>
      </c>
      <c r="B238" s="13" t="s">
        <v>13</v>
      </c>
      <c r="C238" s="13" t="s">
        <v>12</v>
      </c>
    </row>
    <row r="239" spans="1:3" x14ac:dyDescent="0.25">
      <c r="A239" s="12">
        <v>51960</v>
      </c>
      <c r="B239" s="13" t="s">
        <v>14</v>
      </c>
      <c r="C239" s="13" t="s">
        <v>15</v>
      </c>
    </row>
    <row r="240" spans="1:3" x14ac:dyDescent="0.25">
      <c r="A240" s="12">
        <v>51977</v>
      </c>
      <c r="B240" s="13" t="s">
        <v>10</v>
      </c>
      <c r="C240" s="13" t="s">
        <v>17</v>
      </c>
    </row>
    <row r="241" spans="1:3" x14ac:dyDescent="0.25">
      <c r="A241" s="12">
        <v>51987</v>
      </c>
      <c r="B241" s="13" t="s">
        <v>20</v>
      </c>
      <c r="C241" s="13" t="s">
        <v>19</v>
      </c>
    </row>
    <row r="242" spans="1:3" x14ac:dyDescent="0.25">
      <c r="A242" s="12">
        <v>52022</v>
      </c>
      <c r="B242" s="13" t="s">
        <v>20</v>
      </c>
      <c r="C242" s="13" t="s">
        <v>21</v>
      </c>
    </row>
    <row r="243" spans="1:3" x14ac:dyDescent="0.25">
      <c r="A243" s="12">
        <v>52116</v>
      </c>
      <c r="B243" s="13" t="s">
        <v>16</v>
      </c>
      <c r="C243" s="13" t="s">
        <v>23</v>
      </c>
    </row>
    <row r="244" spans="1:3" x14ac:dyDescent="0.25">
      <c r="A244" s="12">
        <v>52151</v>
      </c>
      <c r="B244" s="13" t="s">
        <v>16</v>
      </c>
      <c r="C244" s="13" t="s">
        <v>24</v>
      </c>
    </row>
    <row r="245" spans="1:3" x14ac:dyDescent="0.25">
      <c r="A245" s="12">
        <v>52172</v>
      </c>
      <c r="B245" s="13" t="s">
        <v>16</v>
      </c>
      <c r="C245" s="13" t="s">
        <v>25</v>
      </c>
    </row>
    <row r="246" spans="1:3" x14ac:dyDescent="0.25">
      <c r="A246" s="12">
        <v>52185</v>
      </c>
      <c r="B246" s="13" t="s">
        <v>22</v>
      </c>
      <c r="C246" s="13" t="s">
        <v>26</v>
      </c>
    </row>
    <row r="247" spans="1:3" x14ac:dyDescent="0.25">
      <c r="A247" s="12">
        <v>52190</v>
      </c>
      <c r="B247" s="13" t="s">
        <v>20</v>
      </c>
      <c r="C247" s="13" t="s">
        <v>27</v>
      </c>
    </row>
    <row r="248" spans="1:3" x14ac:dyDescent="0.25">
      <c r="A248" s="12">
        <v>52225</v>
      </c>
      <c r="B248" s="13" t="s">
        <v>20</v>
      </c>
      <c r="C248" s="13" t="s">
        <v>28</v>
      </c>
    </row>
    <row r="249" spans="1:3" x14ac:dyDescent="0.25">
      <c r="A249" s="12">
        <v>52232</v>
      </c>
      <c r="B249" s="13" t="s">
        <v>20</v>
      </c>
      <c r="C249" s="13" t="s">
        <v>11</v>
      </c>
    </row>
    <row r="250" spans="1:3" x14ac:dyDescent="0.25">
      <c r="A250" s="12">
        <v>52271</v>
      </c>
      <c r="B250" s="13" t="s">
        <v>10</v>
      </c>
      <c r="C250" s="13" t="s">
        <v>12</v>
      </c>
    </row>
    <row r="251" spans="1:3" x14ac:dyDescent="0.25">
      <c r="A251" s="12">
        <v>52272</v>
      </c>
      <c r="B251" s="13" t="s">
        <v>13</v>
      </c>
      <c r="C251" s="13" t="s">
        <v>12</v>
      </c>
    </row>
    <row r="252" spans="1:3" x14ac:dyDescent="0.25">
      <c r="A252" s="12">
        <v>52317</v>
      </c>
      <c r="B252" s="13" t="s">
        <v>14</v>
      </c>
      <c r="C252" s="13" t="s">
        <v>15</v>
      </c>
    </row>
    <row r="253" spans="1:3" x14ac:dyDescent="0.25">
      <c r="A253" s="12">
        <v>52342</v>
      </c>
      <c r="B253" s="13" t="s">
        <v>13</v>
      </c>
      <c r="C253" s="13" t="s">
        <v>17</v>
      </c>
    </row>
    <row r="254" spans="1:3" x14ac:dyDescent="0.25">
      <c r="A254" s="12">
        <v>52352</v>
      </c>
      <c r="B254" s="13" t="s">
        <v>14</v>
      </c>
      <c r="C254" s="13" t="s">
        <v>19</v>
      </c>
    </row>
    <row r="255" spans="1:3" x14ac:dyDescent="0.25">
      <c r="A255" s="12">
        <v>52379</v>
      </c>
      <c r="B255" s="13" t="s">
        <v>20</v>
      </c>
      <c r="C255" s="13" t="s">
        <v>21</v>
      </c>
    </row>
    <row r="256" spans="1:3" x14ac:dyDescent="0.25">
      <c r="A256" s="12">
        <v>52481</v>
      </c>
      <c r="B256" s="13" t="s">
        <v>10</v>
      </c>
      <c r="C256" s="13" t="s">
        <v>23</v>
      </c>
    </row>
    <row r="257" spans="1:3" x14ac:dyDescent="0.25">
      <c r="A257" s="12">
        <v>52516</v>
      </c>
      <c r="B257" s="13" t="s">
        <v>10</v>
      </c>
      <c r="C257" s="13" t="s">
        <v>24</v>
      </c>
    </row>
    <row r="258" spans="1:3" x14ac:dyDescent="0.25">
      <c r="A258" s="12">
        <v>52537</v>
      </c>
      <c r="B258" s="13" t="s">
        <v>10</v>
      </c>
      <c r="C258" s="13" t="s">
        <v>25</v>
      </c>
    </row>
    <row r="259" spans="1:3" x14ac:dyDescent="0.25">
      <c r="A259" s="12">
        <v>52550</v>
      </c>
      <c r="B259" s="13" t="s">
        <v>16</v>
      </c>
      <c r="C259" s="13" t="s">
        <v>26</v>
      </c>
    </row>
    <row r="260" spans="1:3" x14ac:dyDescent="0.25">
      <c r="A260" s="12">
        <v>52555</v>
      </c>
      <c r="B260" s="13" t="s">
        <v>14</v>
      </c>
      <c r="C260" s="13" t="s">
        <v>27</v>
      </c>
    </row>
    <row r="261" spans="1:3" x14ac:dyDescent="0.25">
      <c r="A261" s="12">
        <v>52590</v>
      </c>
      <c r="B261" s="13" t="s">
        <v>14</v>
      </c>
      <c r="C261" s="13" t="s">
        <v>28</v>
      </c>
    </row>
    <row r="262" spans="1:3" x14ac:dyDescent="0.25">
      <c r="A262" s="12">
        <v>52597</v>
      </c>
      <c r="B262" s="13" t="s">
        <v>14</v>
      </c>
      <c r="C262" s="13" t="s">
        <v>11</v>
      </c>
    </row>
    <row r="263" spans="1:3" x14ac:dyDescent="0.25">
      <c r="A263" s="12">
        <v>52656</v>
      </c>
      <c r="B263" s="13" t="s">
        <v>10</v>
      </c>
      <c r="C263" s="13" t="s">
        <v>12</v>
      </c>
    </row>
    <row r="264" spans="1:3" x14ac:dyDescent="0.25">
      <c r="A264" s="12">
        <v>52657</v>
      </c>
      <c r="B264" s="13" t="s">
        <v>13</v>
      </c>
      <c r="C264" s="13" t="s">
        <v>12</v>
      </c>
    </row>
    <row r="265" spans="1:3" x14ac:dyDescent="0.25">
      <c r="A265" s="12">
        <v>52702</v>
      </c>
      <c r="B265" s="13" t="s">
        <v>14</v>
      </c>
      <c r="C265" s="13" t="s">
        <v>15</v>
      </c>
    </row>
    <row r="266" spans="1:3" x14ac:dyDescent="0.25">
      <c r="A266" s="12">
        <v>52708</v>
      </c>
      <c r="B266" s="13" t="s">
        <v>20</v>
      </c>
      <c r="C266" s="13" t="s">
        <v>17</v>
      </c>
    </row>
    <row r="267" spans="1:3" x14ac:dyDescent="0.25">
      <c r="A267" s="12">
        <v>52718</v>
      </c>
      <c r="B267" s="13" t="s">
        <v>16</v>
      </c>
      <c r="C267" s="13" t="s">
        <v>19</v>
      </c>
    </row>
    <row r="268" spans="1:3" x14ac:dyDescent="0.25">
      <c r="A268" s="12">
        <v>52764</v>
      </c>
      <c r="B268" s="13" t="s">
        <v>20</v>
      </c>
      <c r="C268" s="13" t="s">
        <v>21</v>
      </c>
    </row>
    <row r="269" spans="1:3" x14ac:dyDescent="0.25">
      <c r="A269" s="12">
        <v>52847</v>
      </c>
      <c r="B269" s="13" t="s">
        <v>18</v>
      </c>
      <c r="C269" s="13" t="s">
        <v>23</v>
      </c>
    </row>
    <row r="270" spans="1:3" x14ac:dyDescent="0.25">
      <c r="A270" s="12">
        <v>52882</v>
      </c>
      <c r="B270" s="13" t="s">
        <v>18</v>
      </c>
      <c r="C270" s="13" t="s">
        <v>24</v>
      </c>
    </row>
    <row r="271" spans="1:3" x14ac:dyDescent="0.25">
      <c r="A271" s="12">
        <v>52903</v>
      </c>
      <c r="B271" s="13" t="s">
        <v>18</v>
      </c>
      <c r="C271" s="13" t="s">
        <v>25</v>
      </c>
    </row>
    <row r="272" spans="1:3" x14ac:dyDescent="0.25">
      <c r="A272" s="12">
        <v>52916</v>
      </c>
      <c r="B272" s="13" t="s">
        <v>13</v>
      </c>
      <c r="C272" s="13" t="s">
        <v>26</v>
      </c>
    </row>
    <row r="273" spans="1:3" x14ac:dyDescent="0.25">
      <c r="A273" s="12">
        <v>52921</v>
      </c>
      <c r="B273" s="13" t="s">
        <v>16</v>
      </c>
      <c r="C273" s="13" t="s">
        <v>27</v>
      </c>
    </row>
    <row r="274" spans="1:3" x14ac:dyDescent="0.25">
      <c r="A274" s="12">
        <v>52956</v>
      </c>
      <c r="B274" s="13" t="s">
        <v>16</v>
      </c>
      <c r="C274" s="13" t="s">
        <v>28</v>
      </c>
    </row>
    <row r="275" spans="1:3" x14ac:dyDescent="0.25">
      <c r="A275" s="12">
        <v>52963</v>
      </c>
      <c r="B275" s="13" t="s">
        <v>16</v>
      </c>
      <c r="C275" s="13" t="s">
        <v>11</v>
      </c>
    </row>
    <row r="276" spans="1:3" x14ac:dyDescent="0.25">
      <c r="A276" s="12">
        <v>53013</v>
      </c>
      <c r="B276" s="13" t="s">
        <v>10</v>
      </c>
      <c r="C276" s="13" t="s">
        <v>12</v>
      </c>
    </row>
    <row r="277" spans="1:3" x14ac:dyDescent="0.25">
      <c r="A277" s="12">
        <v>53014</v>
      </c>
      <c r="B277" s="13" t="s">
        <v>13</v>
      </c>
      <c r="C277" s="13" t="s">
        <v>12</v>
      </c>
    </row>
    <row r="278" spans="1:3" x14ac:dyDescent="0.25">
      <c r="A278" s="12">
        <v>53059</v>
      </c>
      <c r="B278" s="13" t="s">
        <v>14</v>
      </c>
      <c r="C278" s="13" t="s">
        <v>15</v>
      </c>
    </row>
    <row r="279" spans="1:3" x14ac:dyDescent="0.25">
      <c r="A279" s="12">
        <v>53073</v>
      </c>
      <c r="B279" s="13" t="s">
        <v>14</v>
      </c>
      <c r="C279" s="13" t="s">
        <v>17</v>
      </c>
    </row>
    <row r="280" spans="1:3" x14ac:dyDescent="0.25">
      <c r="A280" s="12">
        <v>53083</v>
      </c>
      <c r="B280" s="13" t="s">
        <v>10</v>
      </c>
      <c r="C280" s="13" t="s">
        <v>19</v>
      </c>
    </row>
    <row r="281" spans="1:3" x14ac:dyDescent="0.25">
      <c r="A281" s="12">
        <v>53121</v>
      </c>
      <c r="B281" s="13" t="s">
        <v>20</v>
      </c>
      <c r="C281" s="13" t="s">
        <v>21</v>
      </c>
    </row>
    <row r="282" spans="1:3" x14ac:dyDescent="0.25">
      <c r="A282" s="12">
        <v>53212</v>
      </c>
      <c r="B282" s="13" t="s">
        <v>20</v>
      </c>
      <c r="C282" s="13" t="s">
        <v>23</v>
      </c>
    </row>
    <row r="283" spans="1:3" x14ac:dyDescent="0.25">
      <c r="A283" s="12">
        <v>53247</v>
      </c>
      <c r="B283" s="13" t="s">
        <v>20</v>
      </c>
      <c r="C283" s="13" t="s">
        <v>24</v>
      </c>
    </row>
    <row r="284" spans="1:3" x14ac:dyDescent="0.25">
      <c r="A284" s="12">
        <v>53268</v>
      </c>
      <c r="B284" s="13" t="s">
        <v>20</v>
      </c>
      <c r="C284" s="13" t="s">
        <v>25</v>
      </c>
    </row>
    <row r="285" spans="1:3" x14ac:dyDescent="0.25">
      <c r="A285" s="12">
        <v>53281</v>
      </c>
      <c r="B285" s="13" t="s">
        <v>18</v>
      </c>
      <c r="C285" s="13" t="s">
        <v>26</v>
      </c>
    </row>
    <row r="286" spans="1:3" x14ac:dyDescent="0.25">
      <c r="A286" s="12">
        <v>53286</v>
      </c>
      <c r="B286" s="13" t="s">
        <v>10</v>
      </c>
      <c r="C286" s="13" t="s">
        <v>27</v>
      </c>
    </row>
    <row r="287" spans="1:3" x14ac:dyDescent="0.25">
      <c r="A287" s="12">
        <v>53321</v>
      </c>
      <c r="B287" s="13" t="s">
        <v>10</v>
      </c>
      <c r="C287" s="13" t="s">
        <v>28</v>
      </c>
    </row>
    <row r="288" spans="1:3" x14ac:dyDescent="0.25">
      <c r="A288" s="12">
        <v>53328</v>
      </c>
      <c r="B288" s="13" t="s">
        <v>10</v>
      </c>
      <c r="C288" s="13" t="s">
        <v>11</v>
      </c>
    </row>
    <row r="289" spans="1:3" x14ac:dyDescent="0.25">
      <c r="A289" s="12">
        <v>53363</v>
      </c>
      <c r="B289" s="13" t="s">
        <v>10</v>
      </c>
      <c r="C289" s="13" t="s">
        <v>12</v>
      </c>
    </row>
    <row r="290" spans="1:3" x14ac:dyDescent="0.25">
      <c r="A290" s="12">
        <v>53364</v>
      </c>
      <c r="B290" s="13" t="s">
        <v>13</v>
      </c>
      <c r="C290" s="13" t="s">
        <v>12</v>
      </c>
    </row>
    <row r="291" spans="1:3" x14ac:dyDescent="0.25">
      <c r="A291" s="12">
        <v>53409</v>
      </c>
      <c r="B291" s="13" t="s">
        <v>14</v>
      </c>
      <c r="C291" s="13" t="s">
        <v>15</v>
      </c>
    </row>
    <row r="292" spans="1:3" x14ac:dyDescent="0.25">
      <c r="A292" s="12">
        <v>53438</v>
      </c>
      <c r="B292" s="13" t="s">
        <v>22</v>
      </c>
      <c r="C292" s="13" t="s">
        <v>17</v>
      </c>
    </row>
    <row r="293" spans="1:3" x14ac:dyDescent="0.25">
      <c r="A293" s="12">
        <v>53448</v>
      </c>
      <c r="B293" s="13" t="s">
        <v>13</v>
      </c>
      <c r="C293" s="13" t="s">
        <v>19</v>
      </c>
    </row>
    <row r="294" spans="1:3" x14ac:dyDescent="0.25">
      <c r="A294" s="12">
        <v>53471</v>
      </c>
      <c r="B294" s="13" t="s">
        <v>20</v>
      </c>
      <c r="C294" s="13" t="s">
        <v>21</v>
      </c>
    </row>
    <row r="295" spans="1:3" x14ac:dyDescent="0.25">
      <c r="A295" s="12">
        <v>53577</v>
      </c>
      <c r="B295" s="13" t="s">
        <v>14</v>
      </c>
      <c r="C295" s="13" t="s">
        <v>23</v>
      </c>
    </row>
    <row r="296" spans="1:3" x14ac:dyDescent="0.25">
      <c r="A296" s="12">
        <v>53612</v>
      </c>
      <c r="B296" s="13" t="s">
        <v>14</v>
      </c>
      <c r="C296" s="13" t="s">
        <v>24</v>
      </c>
    </row>
    <row r="297" spans="1:3" x14ac:dyDescent="0.25">
      <c r="A297" s="12">
        <v>53633</v>
      </c>
      <c r="B297" s="13" t="s">
        <v>14</v>
      </c>
      <c r="C297" s="13" t="s">
        <v>25</v>
      </c>
    </row>
    <row r="298" spans="1:3" x14ac:dyDescent="0.25">
      <c r="A298" s="12">
        <v>53646</v>
      </c>
      <c r="B298" s="13" t="s">
        <v>20</v>
      </c>
      <c r="C298" s="13" t="s">
        <v>26</v>
      </c>
    </row>
    <row r="299" spans="1:3" x14ac:dyDescent="0.25">
      <c r="A299" s="12">
        <v>53651</v>
      </c>
      <c r="B299" s="13" t="s">
        <v>13</v>
      </c>
      <c r="C299" s="13" t="s">
        <v>27</v>
      </c>
    </row>
    <row r="300" spans="1:3" x14ac:dyDescent="0.25">
      <c r="A300" s="12">
        <v>53686</v>
      </c>
      <c r="B300" s="13" t="s">
        <v>13</v>
      </c>
      <c r="C300" s="13" t="s">
        <v>28</v>
      </c>
    </row>
    <row r="301" spans="1:3" x14ac:dyDescent="0.25">
      <c r="A301" s="12">
        <v>53693</v>
      </c>
      <c r="B301" s="13" t="s">
        <v>13</v>
      </c>
      <c r="C301" s="13" t="s">
        <v>11</v>
      </c>
    </row>
    <row r="302" spans="1:3" x14ac:dyDescent="0.25">
      <c r="A302" s="12">
        <v>53748</v>
      </c>
      <c r="B302" s="13" t="s">
        <v>10</v>
      </c>
      <c r="C302" s="13" t="s">
        <v>12</v>
      </c>
    </row>
    <row r="303" spans="1:3" x14ac:dyDescent="0.25">
      <c r="A303" s="12">
        <v>53749</v>
      </c>
      <c r="B303" s="13" t="s">
        <v>13</v>
      </c>
      <c r="C303" s="13" t="s">
        <v>12</v>
      </c>
    </row>
    <row r="304" spans="1:3" x14ac:dyDescent="0.25">
      <c r="A304" s="12">
        <v>53794</v>
      </c>
      <c r="B304" s="13" t="s">
        <v>14</v>
      </c>
      <c r="C304" s="13" t="s">
        <v>15</v>
      </c>
    </row>
    <row r="305" spans="1:3" x14ac:dyDescent="0.25">
      <c r="A305" s="12">
        <v>53803</v>
      </c>
      <c r="B305" s="13" t="s">
        <v>16</v>
      </c>
      <c r="C305" s="13" t="s">
        <v>17</v>
      </c>
    </row>
    <row r="306" spans="1:3" x14ac:dyDescent="0.25">
      <c r="A306" s="12">
        <v>53813</v>
      </c>
      <c r="B306" s="13" t="s">
        <v>18</v>
      </c>
      <c r="C306" s="13" t="s">
        <v>19</v>
      </c>
    </row>
    <row r="307" spans="1:3" x14ac:dyDescent="0.25">
      <c r="A307" s="12">
        <v>53856</v>
      </c>
      <c r="B307" s="13" t="s">
        <v>20</v>
      </c>
      <c r="C307" s="13" t="s">
        <v>21</v>
      </c>
    </row>
    <row r="308" spans="1:3" x14ac:dyDescent="0.25">
      <c r="A308" s="12">
        <v>53942</v>
      </c>
      <c r="B308" s="13" t="s">
        <v>22</v>
      </c>
      <c r="C308" s="13" t="s">
        <v>23</v>
      </c>
    </row>
    <row r="309" spans="1:3" x14ac:dyDescent="0.25">
      <c r="A309" s="12">
        <v>53977</v>
      </c>
      <c r="B309" s="13" t="s">
        <v>22</v>
      </c>
      <c r="C309" s="13" t="s">
        <v>24</v>
      </c>
    </row>
    <row r="310" spans="1:3" x14ac:dyDescent="0.25">
      <c r="A310" s="12">
        <v>53998</v>
      </c>
      <c r="B310" s="13" t="s">
        <v>22</v>
      </c>
      <c r="C310" s="13" t="s">
        <v>25</v>
      </c>
    </row>
    <row r="311" spans="1:3" x14ac:dyDescent="0.25">
      <c r="A311" s="12">
        <v>54011</v>
      </c>
      <c r="B311" s="13" t="s">
        <v>14</v>
      </c>
      <c r="C311" s="13" t="s">
        <v>26</v>
      </c>
    </row>
    <row r="312" spans="1:3" x14ac:dyDescent="0.25">
      <c r="A312" s="12">
        <v>54016</v>
      </c>
      <c r="B312" s="13" t="s">
        <v>18</v>
      </c>
      <c r="C312" s="13" t="s">
        <v>27</v>
      </c>
    </row>
    <row r="313" spans="1:3" x14ac:dyDescent="0.25">
      <c r="A313" s="12">
        <v>54051</v>
      </c>
      <c r="B313" s="13" t="s">
        <v>18</v>
      </c>
      <c r="C313" s="13" t="s">
        <v>28</v>
      </c>
    </row>
    <row r="314" spans="1:3" x14ac:dyDescent="0.25">
      <c r="A314" s="12">
        <v>54058</v>
      </c>
      <c r="B314" s="13" t="s">
        <v>18</v>
      </c>
      <c r="C314" s="13" t="s">
        <v>11</v>
      </c>
    </row>
    <row r="315" spans="1:3" x14ac:dyDescent="0.25">
      <c r="A315" s="12">
        <v>54105</v>
      </c>
      <c r="B315" s="13" t="s">
        <v>10</v>
      </c>
      <c r="C315" s="13" t="s">
        <v>12</v>
      </c>
    </row>
    <row r="316" spans="1:3" x14ac:dyDescent="0.25">
      <c r="A316" s="12">
        <v>54106</v>
      </c>
      <c r="B316" s="13" t="s">
        <v>13</v>
      </c>
      <c r="C316" s="13" t="s">
        <v>12</v>
      </c>
    </row>
    <row r="317" spans="1:3" x14ac:dyDescent="0.25">
      <c r="A317" s="12">
        <v>54151</v>
      </c>
      <c r="B317" s="13" t="s">
        <v>14</v>
      </c>
      <c r="C317" s="13" t="s">
        <v>15</v>
      </c>
    </row>
    <row r="318" spans="1:3" x14ac:dyDescent="0.25">
      <c r="A318" s="12">
        <v>54169</v>
      </c>
      <c r="B318" s="13" t="s">
        <v>13</v>
      </c>
      <c r="C318" s="13" t="s">
        <v>17</v>
      </c>
    </row>
    <row r="319" spans="1:3" x14ac:dyDescent="0.25">
      <c r="A319" s="12">
        <v>54179</v>
      </c>
      <c r="B319" s="13" t="s">
        <v>14</v>
      </c>
      <c r="C319" s="13" t="s">
        <v>19</v>
      </c>
    </row>
    <row r="320" spans="1:3" x14ac:dyDescent="0.25">
      <c r="A320" s="12">
        <v>54213</v>
      </c>
      <c r="B320" s="13" t="s">
        <v>20</v>
      </c>
      <c r="C320" s="13" t="s">
        <v>21</v>
      </c>
    </row>
    <row r="321" spans="1:3" x14ac:dyDescent="0.25">
      <c r="A321" s="12">
        <v>54308</v>
      </c>
      <c r="B321" s="13" t="s">
        <v>10</v>
      </c>
      <c r="C321" s="13" t="s">
        <v>23</v>
      </c>
    </row>
    <row r="322" spans="1:3" x14ac:dyDescent="0.25">
      <c r="A322" s="12">
        <v>54343</v>
      </c>
      <c r="B322" s="13" t="s">
        <v>10</v>
      </c>
      <c r="C322" s="13" t="s">
        <v>24</v>
      </c>
    </row>
    <row r="323" spans="1:3" x14ac:dyDescent="0.25">
      <c r="A323" s="12">
        <v>54364</v>
      </c>
      <c r="B323" s="13" t="s">
        <v>10</v>
      </c>
      <c r="C323" s="13" t="s">
        <v>25</v>
      </c>
    </row>
    <row r="324" spans="1:3" x14ac:dyDescent="0.25">
      <c r="A324" s="12">
        <v>54377</v>
      </c>
      <c r="B324" s="13" t="s">
        <v>16</v>
      </c>
      <c r="C324" s="13" t="s">
        <v>26</v>
      </c>
    </row>
    <row r="325" spans="1:3" x14ac:dyDescent="0.25">
      <c r="A325" s="12">
        <v>54382</v>
      </c>
      <c r="B325" s="13" t="s">
        <v>14</v>
      </c>
      <c r="C325" s="13" t="s">
        <v>27</v>
      </c>
    </row>
    <row r="326" spans="1:3" x14ac:dyDescent="0.25">
      <c r="A326" s="12">
        <v>54417</v>
      </c>
      <c r="B326" s="13" t="s">
        <v>14</v>
      </c>
      <c r="C326" s="13" t="s">
        <v>28</v>
      </c>
    </row>
    <row r="327" spans="1:3" x14ac:dyDescent="0.25">
      <c r="A327" s="12">
        <v>54424</v>
      </c>
      <c r="B327" s="13" t="s">
        <v>14</v>
      </c>
      <c r="C327" s="13" t="s">
        <v>11</v>
      </c>
    </row>
    <row r="328" spans="1:3" x14ac:dyDescent="0.25">
      <c r="A328" s="12">
        <v>54483</v>
      </c>
      <c r="B328" s="13" t="s">
        <v>10</v>
      </c>
      <c r="C328" s="13" t="s">
        <v>12</v>
      </c>
    </row>
    <row r="329" spans="1:3" x14ac:dyDescent="0.25">
      <c r="A329" s="12">
        <v>54484</v>
      </c>
      <c r="B329" s="13" t="s">
        <v>13</v>
      </c>
      <c r="C329" s="13" t="s">
        <v>12</v>
      </c>
    </row>
    <row r="330" spans="1:3" x14ac:dyDescent="0.25">
      <c r="A330" s="12">
        <v>54529</v>
      </c>
      <c r="B330" s="13" t="s">
        <v>14</v>
      </c>
      <c r="C330" s="13" t="s">
        <v>15</v>
      </c>
    </row>
    <row r="331" spans="1:3" x14ac:dyDescent="0.25">
      <c r="A331" s="12">
        <v>54534</v>
      </c>
      <c r="B331" s="13" t="s">
        <v>18</v>
      </c>
      <c r="C331" s="13" t="s">
        <v>17</v>
      </c>
    </row>
    <row r="332" spans="1:3" x14ac:dyDescent="0.25">
      <c r="A332" s="12">
        <v>54544</v>
      </c>
      <c r="B332" s="13" t="s">
        <v>22</v>
      </c>
      <c r="C332" s="13" t="s">
        <v>19</v>
      </c>
    </row>
    <row r="333" spans="1:3" x14ac:dyDescent="0.25">
      <c r="A333" s="12">
        <v>54591</v>
      </c>
      <c r="B333" s="13" t="s">
        <v>20</v>
      </c>
      <c r="C333" s="13" t="s">
        <v>21</v>
      </c>
    </row>
    <row r="334" spans="1:3" x14ac:dyDescent="0.25">
      <c r="A334" s="12">
        <v>54673</v>
      </c>
      <c r="B334" s="13" t="s">
        <v>13</v>
      </c>
      <c r="C334" s="13" t="s">
        <v>23</v>
      </c>
    </row>
    <row r="335" spans="1:3" x14ac:dyDescent="0.25">
      <c r="A335" s="12">
        <v>54708</v>
      </c>
      <c r="B335" s="13" t="s">
        <v>13</v>
      </c>
      <c r="C335" s="13" t="s">
        <v>24</v>
      </c>
    </row>
    <row r="336" spans="1:3" x14ac:dyDescent="0.25">
      <c r="A336" s="12">
        <v>54729</v>
      </c>
      <c r="B336" s="13" t="s">
        <v>13</v>
      </c>
      <c r="C336" s="13" t="s">
        <v>25</v>
      </c>
    </row>
    <row r="337" spans="1:3" x14ac:dyDescent="0.25">
      <c r="A337" s="12">
        <v>54742</v>
      </c>
      <c r="B337" s="13" t="s">
        <v>10</v>
      </c>
      <c r="C337" s="13" t="s">
        <v>26</v>
      </c>
    </row>
    <row r="338" spans="1:3" x14ac:dyDescent="0.25">
      <c r="A338" s="12">
        <v>54747</v>
      </c>
      <c r="B338" s="13" t="s">
        <v>22</v>
      </c>
      <c r="C338" s="13" t="s">
        <v>27</v>
      </c>
    </row>
    <row r="339" spans="1:3" x14ac:dyDescent="0.25">
      <c r="A339" s="12">
        <v>54782</v>
      </c>
      <c r="B339" s="13" t="s">
        <v>22</v>
      </c>
      <c r="C339" s="13" t="s">
        <v>28</v>
      </c>
    </row>
    <row r="340" spans="1:3" x14ac:dyDescent="0.25">
      <c r="A340" s="12">
        <v>54789</v>
      </c>
      <c r="B340" s="13" t="s">
        <v>22</v>
      </c>
      <c r="C340" s="13" t="s">
        <v>11</v>
      </c>
    </row>
    <row r="341" spans="1:3" x14ac:dyDescent="0.25">
      <c r="A341" s="12">
        <v>54840</v>
      </c>
      <c r="B341" s="13" t="s">
        <v>10</v>
      </c>
      <c r="C341" s="13" t="s">
        <v>12</v>
      </c>
    </row>
    <row r="342" spans="1:3" x14ac:dyDescent="0.25">
      <c r="A342" s="12">
        <v>54841</v>
      </c>
      <c r="B342" s="13" t="s">
        <v>13</v>
      </c>
      <c r="C342" s="13" t="s">
        <v>12</v>
      </c>
    </row>
    <row r="343" spans="1:3" x14ac:dyDescent="0.25">
      <c r="A343" s="12">
        <v>54886</v>
      </c>
      <c r="B343" s="13" t="s">
        <v>14</v>
      </c>
      <c r="C343" s="13" t="s">
        <v>15</v>
      </c>
    </row>
    <row r="344" spans="1:3" x14ac:dyDescent="0.25">
      <c r="A344" s="12">
        <v>54899</v>
      </c>
      <c r="B344" s="13" t="s">
        <v>20</v>
      </c>
      <c r="C344" s="13" t="s">
        <v>17</v>
      </c>
    </row>
    <row r="345" spans="1:3" x14ac:dyDescent="0.25">
      <c r="A345" s="12">
        <v>54909</v>
      </c>
      <c r="B345" s="13" t="s">
        <v>16</v>
      </c>
      <c r="C345" s="13" t="s">
        <v>19</v>
      </c>
    </row>
    <row r="346" spans="1:3" x14ac:dyDescent="0.25">
      <c r="A346" s="12">
        <v>54948</v>
      </c>
      <c r="B346" s="13" t="s">
        <v>20</v>
      </c>
      <c r="C346" s="13" t="s">
        <v>21</v>
      </c>
    </row>
    <row r="347" spans="1:3" x14ac:dyDescent="0.25">
      <c r="A347" s="12">
        <v>55038</v>
      </c>
      <c r="B347" s="13" t="s">
        <v>18</v>
      </c>
      <c r="C347" s="13" t="s">
        <v>23</v>
      </c>
    </row>
    <row r="348" spans="1:3" x14ac:dyDescent="0.25">
      <c r="A348" s="12">
        <v>55073</v>
      </c>
      <c r="B348" s="13" t="s">
        <v>18</v>
      </c>
      <c r="C348" s="13" t="s">
        <v>24</v>
      </c>
    </row>
    <row r="349" spans="1:3" x14ac:dyDescent="0.25">
      <c r="A349" s="12">
        <v>55094</v>
      </c>
      <c r="B349" s="13" t="s">
        <v>18</v>
      </c>
      <c r="C349" s="13" t="s">
        <v>25</v>
      </c>
    </row>
    <row r="350" spans="1:3" x14ac:dyDescent="0.25">
      <c r="A350" s="12">
        <v>55107</v>
      </c>
      <c r="B350" s="13" t="s">
        <v>13</v>
      </c>
      <c r="C350" s="13" t="s">
        <v>26</v>
      </c>
    </row>
    <row r="351" spans="1:3" x14ac:dyDescent="0.25">
      <c r="A351" s="12">
        <v>55112</v>
      </c>
      <c r="B351" s="13" t="s">
        <v>16</v>
      </c>
      <c r="C351" s="13" t="s">
        <v>27</v>
      </c>
    </row>
    <row r="352" spans="1:3" x14ac:dyDescent="0.25">
      <c r="A352" s="12">
        <v>55147</v>
      </c>
      <c r="B352" s="13" t="s">
        <v>16</v>
      </c>
      <c r="C352" s="13" t="s">
        <v>28</v>
      </c>
    </row>
    <row r="353" spans="1:3" x14ac:dyDescent="0.25">
      <c r="A353" s="12">
        <v>55154</v>
      </c>
      <c r="B353" s="13" t="s">
        <v>16</v>
      </c>
      <c r="C353" s="13" t="s">
        <v>11</v>
      </c>
    </row>
    <row r="354" spans="1:3" x14ac:dyDescent="0.25">
      <c r="A354" s="12">
        <v>55197</v>
      </c>
      <c r="B354" s="13" t="s">
        <v>10</v>
      </c>
      <c r="C354" s="13" t="s">
        <v>12</v>
      </c>
    </row>
    <row r="355" spans="1:3" x14ac:dyDescent="0.25">
      <c r="A355" s="12">
        <v>55198</v>
      </c>
      <c r="B355" s="13" t="s">
        <v>13</v>
      </c>
      <c r="C355" s="13" t="s">
        <v>12</v>
      </c>
    </row>
    <row r="356" spans="1:3" x14ac:dyDescent="0.25">
      <c r="A356" s="12">
        <v>55243</v>
      </c>
      <c r="B356" s="13" t="s">
        <v>14</v>
      </c>
      <c r="C356" s="13" t="s">
        <v>15</v>
      </c>
    </row>
    <row r="357" spans="1:3" x14ac:dyDescent="0.25">
      <c r="A357" s="12">
        <v>55264</v>
      </c>
      <c r="B357" s="13" t="s">
        <v>14</v>
      </c>
      <c r="C357" s="13" t="s">
        <v>17</v>
      </c>
    </row>
    <row r="358" spans="1:3" x14ac:dyDescent="0.25">
      <c r="A358" s="12">
        <v>55274</v>
      </c>
      <c r="B358" s="13" t="s">
        <v>10</v>
      </c>
      <c r="C358" s="13" t="s">
        <v>19</v>
      </c>
    </row>
    <row r="359" spans="1:3" x14ac:dyDescent="0.25">
      <c r="A359" s="12">
        <v>55305</v>
      </c>
      <c r="B359" s="13" t="s">
        <v>20</v>
      </c>
      <c r="C359" s="13" t="s">
        <v>21</v>
      </c>
    </row>
    <row r="360" spans="1:3" x14ac:dyDescent="0.25">
      <c r="A360" s="12">
        <v>55403</v>
      </c>
      <c r="B360" s="13" t="s">
        <v>20</v>
      </c>
      <c r="C360" s="13" t="s">
        <v>23</v>
      </c>
    </row>
    <row r="361" spans="1:3" x14ac:dyDescent="0.25">
      <c r="A361" s="12">
        <v>55438</v>
      </c>
      <c r="B361" s="13" t="s">
        <v>20</v>
      </c>
      <c r="C361" s="13" t="s">
        <v>24</v>
      </c>
    </row>
    <row r="362" spans="1:3" x14ac:dyDescent="0.25">
      <c r="A362" s="12">
        <v>55459</v>
      </c>
      <c r="B362" s="13" t="s">
        <v>20</v>
      </c>
      <c r="C362" s="13" t="s">
        <v>25</v>
      </c>
    </row>
    <row r="363" spans="1:3" x14ac:dyDescent="0.25">
      <c r="A363" s="12">
        <v>55472</v>
      </c>
      <c r="B363" s="13" t="s">
        <v>18</v>
      </c>
      <c r="C363" s="13" t="s">
        <v>26</v>
      </c>
    </row>
    <row r="364" spans="1:3" x14ac:dyDescent="0.25">
      <c r="A364" s="12">
        <v>55477</v>
      </c>
      <c r="B364" s="13" t="s">
        <v>10</v>
      </c>
      <c r="C364" s="13" t="s">
        <v>27</v>
      </c>
    </row>
    <row r="365" spans="1:3" x14ac:dyDescent="0.25">
      <c r="A365" s="12">
        <v>55512</v>
      </c>
      <c r="B365" s="13" t="s">
        <v>10</v>
      </c>
      <c r="C365" s="13" t="s">
        <v>28</v>
      </c>
    </row>
    <row r="366" spans="1:3" x14ac:dyDescent="0.25">
      <c r="A366" s="12">
        <v>55519</v>
      </c>
      <c r="B366" s="13" t="s">
        <v>10</v>
      </c>
      <c r="C366" s="13" t="s">
        <v>11</v>
      </c>
    </row>
    <row r="367" spans="1:3" x14ac:dyDescent="0.25">
      <c r="A367" s="12">
        <v>55582</v>
      </c>
      <c r="B367" s="13" t="s">
        <v>10</v>
      </c>
      <c r="C367" s="13" t="s">
        <v>12</v>
      </c>
    </row>
    <row r="368" spans="1:3" x14ac:dyDescent="0.25">
      <c r="A368" s="12">
        <v>55583</v>
      </c>
      <c r="B368" s="13" t="s">
        <v>13</v>
      </c>
      <c r="C368" s="13" t="s">
        <v>12</v>
      </c>
    </row>
    <row r="369" spans="1:3" x14ac:dyDescent="0.25">
      <c r="A369" s="12">
        <v>55628</v>
      </c>
      <c r="B369" s="13" t="s">
        <v>14</v>
      </c>
      <c r="C369" s="13" t="s">
        <v>15</v>
      </c>
    </row>
    <row r="370" spans="1:3" x14ac:dyDescent="0.25">
      <c r="A370" s="12">
        <v>55630</v>
      </c>
      <c r="B370" s="13" t="s">
        <v>16</v>
      </c>
      <c r="C370" s="13" t="s">
        <v>17</v>
      </c>
    </row>
    <row r="371" spans="1:3" x14ac:dyDescent="0.25">
      <c r="A371" s="12">
        <v>55640</v>
      </c>
      <c r="B371" s="13" t="s">
        <v>18</v>
      </c>
      <c r="C371" s="13" t="s">
        <v>19</v>
      </c>
    </row>
    <row r="372" spans="1:3" x14ac:dyDescent="0.25">
      <c r="A372" s="12">
        <v>55690</v>
      </c>
      <c r="B372" s="13" t="s">
        <v>20</v>
      </c>
      <c r="C372" s="13" t="s">
        <v>21</v>
      </c>
    </row>
    <row r="373" spans="1:3" x14ac:dyDescent="0.25">
      <c r="A373" s="12">
        <v>55769</v>
      </c>
      <c r="B373" s="13" t="s">
        <v>22</v>
      </c>
      <c r="C373" s="13" t="s">
        <v>23</v>
      </c>
    </row>
    <row r="374" spans="1:3" x14ac:dyDescent="0.25">
      <c r="A374" s="12">
        <v>55804</v>
      </c>
      <c r="B374" s="13" t="s">
        <v>22</v>
      </c>
      <c r="C374" s="13" t="s">
        <v>24</v>
      </c>
    </row>
    <row r="375" spans="1:3" x14ac:dyDescent="0.25">
      <c r="A375" s="12">
        <v>55825</v>
      </c>
      <c r="B375" s="13" t="s">
        <v>22</v>
      </c>
      <c r="C375" s="13" t="s">
        <v>25</v>
      </c>
    </row>
    <row r="376" spans="1:3" x14ac:dyDescent="0.25">
      <c r="A376" s="12">
        <v>55838</v>
      </c>
      <c r="B376" s="13" t="s">
        <v>14</v>
      </c>
      <c r="C376" s="13" t="s">
        <v>26</v>
      </c>
    </row>
    <row r="377" spans="1:3" x14ac:dyDescent="0.25">
      <c r="A377" s="12">
        <v>55843</v>
      </c>
      <c r="B377" s="13" t="s">
        <v>18</v>
      </c>
      <c r="C377" s="13" t="s">
        <v>27</v>
      </c>
    </row>
    <row r="378" spans="1:3" x14ac:dyDescent="0.25">
      <c r="A378" s="12">
        <v>55878</v>
      </c>
      <c r="B378" s="13" t="s">
        <v>18</v>
      </c>
      <c r="C378" s="13" t="s">
        <v>28</v>
      </c>
    </row>
    <row r="379" spans="1:3" x14ac:dyDescent="0.25">
      <c r="A379" s="12">
        <v>55885</v>
      </c>
      <c r="B379" s="13" t="s">
        <v>18</v>
      </c>
      <c r="C379" s="13" t="s">
        <v>11</v>
      </c>
    </row>
    <row r="380" spans="1:3" x14ac:dyDescent="0.25">
      <c r="A380" s="12">
        <v>55932</v>
      </c>
      <c r="B380" s="13" t="s">
        <v>10</v>
      </c>
      <c r="C380" s="13" t="s">
        <v>12</v>
      </c>
    </row>
    <row r="381" spans="1:3" x14ac:dyDescent="0.25">
      <c r="A381" s="12">
        <v>55933</v>
      </c>
      <c r="B381" s="13" t="s">
        <v>13</v>
      </c>
      <c r="C381" s="13" t="s">
        <v>12</v>
      </c>
    </row>
    <row r="382" spans="1:3" x14ac:dyDescent="0.25">
      <c r="A382" s="12">
        <v>55978</v>
      </c>
      <c r="B382" s="13" t="s">
        <v>14</v>
      </c>
      <c r="C382" s="13" t="s">
        <v>15</v>
      </c>
    </row>
    <row r="383" spans="1:3" x14ac:dyDescent="0.25">
      <c r="A383" s="12">
        <v>55995</v>
      </c>
      <c r="B383" s="13" t="s">
        <v>10</v>
      </c>
      <c r="C383" s="13" t="s">
        <v>17</v>
      </c>
    </row>
    <row r="384" spans="1:3" x14ac:dyDescent="0.25">
      <c r="A384" s="12">
        <v>56005</v>
      </c>
      <c r="B384" s="13" t="s">
        <v>20</v>
      </c>
      <c r="C384" s="13" t="s">
        <v>19</v>
      </c>
    </row>
    <row r="385" spans="1:3" x14ac:dyDescent="0.25">
      <c r="A385" s="12">
        <v>56040</v>
      </c>
      <c r="B385" s="13" t="s">
        <v>20</v>
      </c>
      <c r="C385" s="13" t="s">
        <v>21</v>
      </c>
    </row>
    <row r="386" spans="1:3" x14ac:dyDescent="0.25">
      <c r="A386" s="12">
        <v>56134</v>
      </c>
      <c r="B386" s="13" t="s">
        <v>16</v>
      </c>
      <c r="C386" s="13" t="s">
        <v>23</v>
      </c>
    </row>
    <row r="387" spans="1:3" x14ac:dyDescent="0.25">
      <c r="A387" s="12">
        <v>56169</v>
      </c>
      <c r="B387" s="13" t="s">
        <v>16</v>
      </c>
      <c r="C387" s="13" t="s">
        <v>24</v>
      </c>
    </row>
    <row r="388" spans="1:3" x14ac:dyDescent="0.25">
      <c r="A388" s="12">
        <v>56190</v>
      </c>
      <c r="B388" s="13" t="s">
        <v>16</v>
      </c>
      <c r="C388" s="13" t="s">
        <v>25</v>
      </c>
    </row>
    <row r="389" spans="1:3" x14ac:dyDescent="0.25">
      <c r="A389" s="12">
        <v>56203</v>
      </c>
      <c r="B389" s="13" t="s">
        <v>22</v>
      </c>
      <c r="C389" s="13" t="s">
        <v>26</v>
      </c>
    </row>
    <row r="390" spans="1:3" x14ac:dyDescent="0.25">
      <c r="A390" s="12">
        <v>56208</v>
      </c>
      <c r="B390" s="13" t="s">
        <v>20</v>
      </c>
      <c r="C390" s="13" t="s">
        <v>27</v>
      </c>
    </row>
    <row r="391" spans="1:3" x14ac:dyDescent="0.25">
      <c r="A391" s="12">
        <v>56243</v>
      </c>
      <c r="B391" s="13" t="s">
        <v>20</v>
      </c>
      <c r="C391" s="13" t="s">
        <v>28</v>
      </c>
    </row>
    <row r="392" spans="1:3" x14ac:dyDescent="0.25">
      <c r="A392" s="12">
        <v>56250</v>
      </c>
      <c r="B392" s="13" t="s">
        <v>20</v>
      </c>
      <c r="C392" s="13" t="s">
        <v>11</v>
      </c>
    </row>
    <row r="393" spans="1:3" x14ac:dyDescent="0.25">
      <c r="A393" s="12">
        <v>56289</v>
      </c>
      <c r="B393" s="13" t="s">
        <v>10</v>
      </c>
      <c r="C393" s="13" t="s">
        <v>12</v>
      </c>
    </row>
    <row r="394" spans="1:3" x14ac:dyDescent="0.25">
      <c r="A394" s="12">
        <v>56290</v>
      </c>
      <c r="B394" s="13" t="s">
        <v>13</v>
      </c>
      <c r="C394" s="13" t="s">
        <v>12</v>
      </c>
    </row>
    <row r="395" spans="1:3" x14ac:dyDescent="0.25">
      <c r="A395" s="12">
        <v>56335</v>
      </c>
      <c r="B395" s="13" t="s">
        <v>14</v>
      </c>
      <c r="C395" s="13" t="s">
        <v>15</v>
      </c>
    </row>
    <row r="396" spans="1:3" x14ac:dyDescent="0.25">
      <c r="A396" s="12">
        <v>56360</v>
      </c>
      <c r="B396" s="13" t="s">
        <v>13</v>
      </c>
      <c r="C396" s="13" t="s">
        <v>17</v>
      </c>
    </row>
    <row r="397" spans="1:3" x14ac:dyDescent="0.25">
      <c r="A397" s="12">
        <v>56370</v>
      </c>
      <c r="B397" s="13" t="s">
        <v>14</v>
      </c>
      <c r="C397" s="13" t="s">
        <v>19</v>
      </c>
    </row>
    <row r="398" spans="1:3" x14ac:dyDescent="0.25">
      <c r="A398" s="12">
        <v>56397</v>
      </c>
      <c r="B398" s="13" t="s">
        <v>20</v>
      </c>
      <c r="C398" s="13" t="s">
        <v>21</v>
      </c>
    </row>
    <row r="399" spans="1:3" x14ac:dyDescent="0.25">
      <c r="A399" s="12">
        <v>56499</v>
      </c>
      <c r="B399" s="13" t="s">
        <v>10</v>
      </c>
      <c r="C399" s="13" t="s">
        <v>23</v>
      </c>
    </row>
    <row r="400" spans="1:3" x14ac:dyDescent="0.25">
      <c r="A400" s="12">
        <v>56534</v>
      </c>
      <c r="B400" s="13" t="s">
        <v>10</v>
      </c>
      <c r="C400" s="13" t="s">
        <v>24</v>
      </c>
    </row>
    <row r="401" spans="1:3" x14ac:dyDescent="0.25">
      <c r="A401" s="12">
        <v>56555</v>
      </c>
      <c r="B401" s="13" t="s">
        <v>10</v>
      </c>
      <c r="C401" s="13" t="s">
        <v>25</v>
      </c>
    </row>
    <row r="402" spans="1:3" x14ac:dyDescent="0.25">
      <c r="A402" s="12">
        <v>56568</v>
      </c>
      <c r="B402" s="13" t="s">
        <v>16</v>
      </c>
      <c r="C402" s="13" t="s">
        <v>26</v>
      </c>
    </row>
    <row r="403" spans="1:3" x14ac:dyDescent="0.25">
      <c r="A403" s="12">
        <v>56573</v>
      </c>
      <c r="B403" s="13" t="s">
        <v>14</v>
      </c>
      <c r="C403" s="13" t="s">
        <v>27</v>
      </c>
    </row>
    <row r="404" spans="1:3" x14ac:dyDescent="0.25">
      <c r="A404" s="12">
        <v>56608</v>
      </c>
      <c r="B404" s="13" t="s">
        <v>14</v>
      </c>
      <c r="C404" s="13" t="s">
        <v>28</v>
      </c>
    </row>
    <row r="405" spans="1:3" x14ac:dyDescent="0.25">
      <c r="A405" s="12">
        <v>56615</v>
      </c>
      <c r="B405" s="13" t="s">
        <v>14</v>
      </c>
      <c r="C405" s="13" t="s">
        <v>11</v>
      </c>
    </row>
    <row r="406" spans="1:3" x14ac:dyDescent="0.25">
      <c r="A406" s="12">
        <v>56674</v>
      </c>
      <c r="B406" s="13" t="s">
        <v>10</v>
      </c>
      <c r="C406" s="13" t="s">
        <v>12</v>
      </c>
    </row>
    <row r="407" spans="1:3" x14ac:dyDescent="0.25">
      <c r="A407" s="12">
        <v>56675</v>
      </c>
      <c r="B407" s="13" t="s">
        <v>13</v>
      </c>
      <c r="C407" s="13" t="s">
        <v>12</v>
      </c>
    </row>
    <row r="408" spans="1:3" x14ac:dyDescent="0.25">
      <c r="A408" s="12">
        <v>56720</v>
      </c>
      <c r="B408" s="13" t="s">
        <v>14</v>
      </c>
      <c r="C408" s="13" t="s">
        <v>15</v>
      </c>
    </row>
    <row r="409" spans="1:3" x14ac:dyDescent="0.25">
      <c r="A409" s="12">
        <v>56725</v>
      </c>
      <c r="B409" s="13" t="s">
        <v>18</v>
      </c>
      <c r="C409" s="13" t="s">
        <v>17</v>
      </c>
    </row>
    <row r="410" spans="1:3" x14ac:dyDescent="0.25">
      <c r="A410" s="12">
        <v>56735</v>
      </c>
      <c r="B410" s="13" t="s">
        <v>22</v>
      </c>
      <c r="C410" s="13" t="s">
        <v>19</v>
      </c>
    </row>
    <row r="411" spans="1:3" x14ac:dyDescent="0.25">
      <c r="A411" s="12">
        <v>56782</v>
      </c>
      <c r="B411" s="13" t="s">
        <v>20</v>
      </c>
      <c r="C411" s="13" t="s">
        <v>21</v>
      </c>
    </row>
    <row r="412" spans="1:3" x14ac:dyDescent="0.25">
      <c r="A412" s="12">
        <v>56864</v>
      </c>
      <c r="B412" s="13" t="s">
        <v>13</v>
      </c>
      <c r="C412" s="13" t="s">
        <v>23</v>
      </c>
    </row>
    <row r="413" spans="1:3" x14ac:dyDescent="0.25">
      <c r="A413" s="12">
        <v>56899</v>
      </c>
      <c r="B413" s="13" t="s">
        <v>13</v>
      </c>
      <c r="C413" s="13" t="s">
        <v>24</v>
      </c>
    </row>
    <row r="414" spans="1:3" x14ac:dyDescent="0.25">
      <c r="A414" s="12">
        <v>56920</v>
      </c>
      <c r="B414" s="13" t="s">
        <v>13</v>
      </c>
      <c r="C414" s="13" t="s">
        <v>25</v>
      </c>
    </row>
    <row r="415" spans="1:3" x14ac:dyDescent="0.25">
      <c r="A415" s="12">
        <v>56933</v>
      </c>
      <c r="B415" s="13" t="s">
        <v>10</v>
      </c>
      <c r="C415" s="13" t="s">
        <v>26</v>
      </c>
    </row>
    <row r="416" spans="1:3" x14ac:dyDescent="0.25">
      <c r="A416" s="12">
        <v>56938</v>
      </c>
      <c r="B416" s="13" t="s">
        <v>22</v>
      </c>
      <c r="C416" s="13" t="s">
        <v>27</v>
      </c>
    </row>
    <row r="417" spans="1:3" x14ac:dyDescent="0.25">
      <c r="A417" s="12">
        <v>56973</v>
      </c>
      <c r="B417" s="13" t="s">
        <v>22</v>
      </c>
      <c r="C417" s="13" t="s">
        <v>28</v>
      </c>
    </row>
    <row r="418" spans="1:3" x14ac:dyDescent="0.25">
      <c r="A418" s="12">
        <v>56980</v>
      </c>
      <c r="B418" s="13" t="s">
        <v>22</v>
      </c>
      <c r="C418" s="13" t="s">
        <v>11</v>
      </c>
    </row>
    <row r="419" spans="1:3" x14ac:dyDescent="0.25">
      <c r="A419" s="12">
        <v>57024</v>
      </c>
      <c r="B419" s="13" t="s">
        <v>10</v>
      </c>
      <c r="C419" s="13" t="s">
        <v>12</v>
      </c>
    </row>
    <row r="420" spans="1:3" x14ac:dyDescent="0.25">
      <c r="A420" s="12">
        <v>57025</v>
      </c>
      <c r="B420" s="13" t="s">
        <v>13</v>
      </c>
      <c r="C420" s="13" t="s">
        <v>12</v>
      </c>
    </row>
    <row r="421" spans="1:3" x14ac:dyDescent="0.25">
      <c r="A421" s="12">
        <v>57070</v>
      </c>
      <c r="B421" s="13" t="s">
        <v>14</v>
      </c>
      <c r="C421" s="13" t="s">
        <v>15</v>
      </c>
    </row>
    <row r="422" spans="1:3" x14ac:dyDescent="0.25">
      <c r="A422" s="12">
        <v>57091</v>
      </c>
      <c r="B422" s="13" t="s">
        <v>14</v>
      </c>
      <c r="C422" s="13" t="s">
        <v>17</v>
      </c>
    </row>
    <row r="423" spans="1:3" x14ac:dyDescent="0.25">
      <c r="A423" s="12">
        <v>57101</v>
      </c>
      <c r="B423" s="13" t="s">
        <v>10</v>
      </c>
      <c r="C423" s="13" t="s">
        <v>19</v>
      </c>
    </row>
    <row r="424" spans="1:3" x14ac:dyDescent="0.25">
      <c r="A424" s="12">
        <v>57132</v>
      </c>
      <c r="B424" s="13" t="s">
        <v>20</v>
      </c>
      <c r="C424" s="13" t="s">
        <v>21</v>
      </c>
    </row>
    <row r="425" spans="1:3" x14ac:dyDescent="0.25">
      <c r="A425" s="12">
        <v>57230</v>
      </c>
      <c r="B425" s="13" t="s">
        <v>20</v>
      </c>
      <c r="C425" s="13" t="s">
        <v>23</v>
      </c>
    </row>
    <row r="426" spans="1:3" x14ac:dyDescent="0.25">
      <c r="A426" s="12">
        <v>57265</v>
      </c>
      <c r="B426" s="13" t="s">
        <v>20</v>
      </c>
      <c r="C426" s="13" t="s">
        <v>24</v>
      </c>
    </row>
    <row r="427" spans="1:3" x14ac:dyDescent="0.25">
      <c r="A427" s="12">
        <v>57286</v>
      </c>
      <c r="B427" s="13" t="s">
        <v>20</v>
      </c>
      <c r="C427" s="13" t="s">
        <v>25</v>
      </c>
    </row>
    <row r="428" spans="1:3" x14ac:dyDescent="0.25">
      <c r="A428" s="12">
        <v>57299</v>
      </c>
      <c r="B428" s="13" t="s">
        <v>18</v>
      </c>
      <c r="C428" s="13" t="s">
        <v>26</v>
      </c>
    </row>
    <row r="429" spans="1:3" x14ac:dyDescent="0.25">
      <c r="A429" s="12">
        <v>57304</v>
      </c>
      <c r="B429" s="13" t="s">
        <v>10</v>
      </c>
      <c r="C429" s="13" t="s">
        <v>27</v>
      </c>
    </row>
    <row r="430" spans="1:3" x14ac:dyDescent="0.25">
      <c r="A430" s="12">
        <v>57339</v>
      </c>
      <c r="B430" s="13" t="s">
        <v>10</v>
      </c>
      <c r="C430" s="13" t="s">
        <v>28</v>
      </c>
    </row>
    <row r="431" spans="1:3" x14ac:dyDescent="0.25">
      <c r="A431" s="12">
        <v>57346</v>
      </c>
      <c r="B431" s="13" t="s">
        <v>10</v>
      </c>
      <c r="C431" s="13" t="s">
        <v>11</v>
      </c>
    </row>
    <row r="432" spans="1:3" x14ac:dyDescent="0.25">
      <c r="A432" s="12">
        <v>57409</v>
      </c>
      <c r="B432" s="13" t="s">
        <v>10</v>
      </c>
      <c r="C432" s="13" t="s">
        <v>12</v>
      </c>
    </row>
    <row r="433" spans="1:3" x14ac:dyDescent="0.25">
      <c r="A433" s="12">
        <v>57410</v>
      </c>
      <c r="B433" s="13" t="s">
        <v>13</v>
      </c>
      <c r="C433" s="13" t="s">
        <v>12</v>
      </c>
    </row>
    <row r="434" spans="1:3" x14ac:dyDescent="0.25">
      <c r="A434" s="12">
        <v>57455</v>
      </c>
      <c r="B434" s="13" t="s">
        <v>14</v>
      </c>
      <c r="C434" s="13" t="s">
        <v>15</v>
      </c>
    </row>
    <row r="435" spans="1:3" x14ac:dyDescent="0.25">
      <c r="A435" s="12">
        <v>57456</v>
      </c>
      <c r="B435" s="13" t="s">
        <v>22</v>
      </c>
      <c r="C435" s="13" t="s">
        <v>17</v>
      </c>
    </row>
    <row r="436" spans="1:3" x14ac:dyDescent="0.25">
      <c r="A436" s="12">
        <v>57466</v>
      </c>
      <c r="B436" s="13" t="s">
        <v>13</v>
      </c>
      <c r="C436" s="13" t="s">
        <v>19</v>
      </c>
    </row>
    <row r="437" spans="1:3" x14ac:dyDescent="0.25">
      <c r="A437" s="12">
        <v>57517</v>
      </c>
      <c r="B437" s="13" t="s">
        <v>20</v>
      </c>
      <c r="C437" s="13" t="s">
        <v>21</v>
      </c>
    </row>
    <row r="438" spans="1:3" x14ac:dyDescent="0.25">
      <c r="A438" s="12">
        <v>57595</v>
      </c>
      <c r="B438" s="13" t="s">
        <v>14</v>
      </c>
      <c r="C438" s="13" t="s">
        <v>23</v>
      </c>
    </row>
    <row r="439" spans="1:3" x14ac:dyDescent="0.25">
      <c r="A439" s="12">
        <v>57630</v>
      </c>
      <c r="B439" s="13" t="s">
        <v>14</v>
      </c>
      <c r="C439" s="13" t="s">
        <v>24</v>
      </c>
    </row>
    <row r="440" spans="1:3" x14ac:dyDescent="0.25">
      <c r="A440" s="12">
        <v>57651</v>
      </c>
      <c r="B440" s="13" t="s">
        <v>14</v>
      </c>
      <c r="C440" s="13" t="s">
        <v>25</v>
      </c>
    </row>
    <row r="441" spans="1:3" x14ac:dyDescent="0.25">
      <c r="A441" s="12">
        <v>57664</v>
      </c>
      <c r="B441" s="13" t="s">
        <v>20</v>
      </c>
      <c r="C441" s="13" t="s">
        <v>26</v>
      </c>
    </row>
    <row r="442" spans="1:3" x14ac:dyDescent="0.25">
      <c r="A442" s="12">
        <v>57669</v>
      </c>
      <c r="B442" s="13" t="s">
        <v>13</v>
      </c>
      <c r="C442" s="13" t="s">
        <v>27</v>
      </c>
    </row>
    <row r="443" spans="1:3" x14ac:dyDescent="0.25">
      <c r="A443" s="12">
        <v>57704</v>
      </c>
      <c r="B443" s="13" t="s">
        <v>13</v>
      </c>
      <c r="C443" s="13" t="s">
        <v>28</v>
      </c>
    </row>
    <row r="444" spans="1:3" x14ac:dyDescent="0.25">
      <c r="A444" s="12">
        <v>57711</v>
      </c>
      <c r="B444" s="13" t="s">
        <v>13</v>
      </c>
      <c r="C444" s="13" t="s">
        <v>11</v>
      </c>
    </row>
    <row r="445" spans="1:3" x14ac:dyDescent="0.25">
      <c r="A445" s="12">
        <v>57766</v>
      </c>
      <c r="B445" s="13" t="s">
        <v>10</v>
      </c>
      <c r="C445" s="13" t="s">
        <v>12</v>
      </c>
    </row>
    <row r="446" spans="1:3" x14ac:dyDescent="0.25">
      <c r="A446" s="12">
        <v>57767</v>
      </c>
      <c r="B446" s="13" t="s">
        <v>13</v>
      </c>
      <c r="C446" s="13" t="s">
        <v>12</v>
      </c>
    </row>
    <row r="447" spans="1:3" x14ac:dyDescent="0.25">
      <c r="A447" s="12">
        <v>57812</v>
      </c>
      <c r="B447" s="13" t="s">
        <v>14</v>
      </c>
      <c r="C447" s="13" t="s">
        <v>15</v>
      </c>
    </row>
    <row r="448" spans="1:3" x14ac:dyDescent="0.25">
      <c r="A448" s="12">
        <v>57821</v>
      </c>
      <c r="B448" s="13" t="s">
        <v>16</v>
      </c>
      <c r="C448" s="13" t="s">
        <v>17</v>
      </c>
    </row>
    <row r="449" spans="1:3" x14ac:dyDescent="0.25">
      <c r="A449" s="12">
        <v>57831</v>
      </c>
      <c r="B449" s="13" t="s">
        <v>18</v>
      </c>
      <c r="C449" s="13" t="s">
        <v>19</v>
      </c>
    </row>
    <row r="450" spans="1:3" x14ac:dyDescent="0.25">
      <c r="A450" s="12">
        <v>57874</v>
      </c>
      <c r="B450" s="13" t="s">
        <v>20</v>
      </c>
      <c r="C450" s="13" t="s">
        <v>21</v>
      </c>
    </row>
    <row r="451" spans="1:3" x14ac:dyDescent="0.25">
      <c r="A451" s="12">
        <v>57960</v>
      </c>
      <c r="B451" s="13" t="s">
        <v>22</v>
      </c>
      <c r="C451" s="13" t="s">
        <v>23</v>
      </c>
    </row>
    <row r="452" spans="1:3" x14ac:dyDescent="0.25">
      <c r="A452" s="12">
        <v>57995</v>
      </c>
      <c r="B452" s="13" t="s">
        <v>22</v>
      </c>
      <c r="C452" s="13" t="s">
        <v>24</v>
      </c>
    </row>
    <row r="453" spans="1:3" x14ac:dyDescent="0.25">
      <c r="A453" s="12">
        <v>58016</v>
      </c>
      <c r="B453" s="13" t="s">
        <v>22</v>
      </c>
      <c r="C453" s="13" t="s">
        <v>25</v>
      </c>
    </row>
    <row r="454" spans="1:3" x14ac:dyDescent="0.25">
      <c r="A454" s="12">
        <v>58029</v>
      </c>
      <c r="B454" s="13" t="s">
        <v>14</v>
      </c>
      <c r="C454" s="13" t="s">
        <v>26</v>
      </c>
    </row>
    <row r="455" spans="1:3" x14ac:dyDescent="0.25">
      <c r="A455" s="12">
        <v>58034</v>
      </c>
      <c r="B455" s="13" t="s">
        <v>18</v>
      </c>
      <c r="C455" s="13" t="s">
        <v>27</v>
      </c>
    </row>
    <row r="456" spans="1:3" x14ac:dyDescent="0.25">
      <c r="A456" s="12">
        <v>58069</v>
      </c>
      <c r="B456" s="13" t="s">
        <v>18</v>
      </c>
      <c r="C456" s="13" t="s">
        <v>28</v>
      </c>
    </row>
    <row r="457" spans="1:3" x14ac:dyDescent="0.25">
      <c r="A457" s="12">
        <v>58076</v>
      </c>
      <c r="B457" s="13" t="s">
        <v>18</v>
      </c>
      <c r="C457" s="13" t="s">
        <v>11</v>
      </c>
    </row>
    <row r="458" spans="1:3" x14ac:dyDescent="0.25">
      <c r="A458" s="12">
        <v>58116</v>
      </c>
      <c r="B458" s="13" t="s">
        <v>10</v>
      </c>
      <c r="C458" s="13" t="s">
        <v>12</v>
      </c>
    </row>
    <row r="459" spans="1:3" x14ac:dyDescent="0.25">
      <c r="A459" s="12">
        <v>58117</v>
      </c>
      <c r="B459" s="13" t="s">
        <v>13</v>
      </c>
      <c r="C459" s="13" t="s">
        <v>12</v>
      </c>
    </row>
    <row r="460" spans="1:3" x14ac:dyDescent="0.25">
      <c r="A460" s="12">
        <v>58162</v>
      </c>
      <c r="B460" s="13" t="s">
        <v>14</v>
      </c>
      <c r="C460" s="13" t="s">
        <v>15</v>
      </c>
    </row>
    <row r="461" spans="1:3" x14ac:dyDescent="0.25">
      <c r="A461" s="12">
        <v>58186</v>
      </c>
      <c r="B461" s="13" t="s">
        <v>10</v>
      </c>
      <c r="C461" s="13" t="s">
        <v>17</v>
      </c>
    </row>
    <row r="462" spans="1:3" x14ac:dyDescent="0.25">
      <c r="A462" s="12">
        <v>58196</v>
      </c>
      <c r="B462" s="13" t="s">
        <v>20</v>
      </c>
      <c r="C462" s="13" t="s">
        <v>19</v>
      </c>
    </row>
    <row r="463" spans="1:3" x14ac:dyDescent="0.25">
      <c r="A463" s="12">
        <v>58224</v>
      </c>
      <c r="B463" s="13" t="s">
        <v>20</v>
      </c>
      <c r="C463" s="13" t="s">
        <v>21</v>
      </c>
    </row>
    <row r="464" spans="1:3" x14ac:dyDescent="0.25">
      <c r="A464" s="12">
        <v>58325</v>
      </c>
      <c r="B464" s="13" t="s">
        <v>16</v>
      </c>
      <c r="C464" s="13" t="s">
        <v>23</v>
      </c>
    </row>
    <row r="465" spans="1:3" x14ac:dyDescent="0.25">
      <c r="A465" s="12">
        <v>58360</v>
      </c>
      <c r="B465" s="13" t="s">
        <v>16</v>
      </c>
      <c r="C465" s="13" t="s">
        <v>24</v>
      </c>
    </row>
    <row r="466" spans="1:3" x14ac:dyDescent="0.25">
      <c r="A466" s="12">
        <v>58381</v>
      </c>
      <c r="B466" s="13" t="s">
        <v>16</v>
      </c>
      <c r="C466" s="13" t="s">
        <v>25</v>
      </c>
    </row>
    <row r="467" spans="1:3" x14ac:dyDescent="0.25">
      <c r="A467" s="12">
        <v>58394</v>
      </c>
      <c r="B467" s="13" t="s">
        <v>22</v>
      </c>
      <c r="C467" s="13" t="s">
        <v>26</v>
      </c>
    </row>
    <row r="468" spans="1:3" x14ac:dyDescent="0.25">
      <c r="A468" s="12">
        <v>58399</v>
      </c>
      <c r="B468" s="13" t="s">
        <v>20</v>
      </c>
      <c r="C468" s="13" t="s">
        <v>27</v>
      </c>
    </row>
    <row r="469" spans="1:3" x14ac:dyDescent="0.25">
      <c r="A469" s="12">
        <v>58434</v>
      </c>
      <c r="B469" s="13" t="s">
        <v>20</v>
      </c>
      <c r="C469" s="13" t="s">
        <v>28</v>
      </c>
    </row>
    <row r="470" spans="1:3" x14ac:dyDescent="0.25">
      <c r="A470" s="12">
        <v>58441</v>
      </c>
      <c r="B470" s="13" t="s">
        <v>20</v>
      </c>
      <c r="C470" s="13" t="s">
        <v>11</v>
      </c>
    </row>
    <row r="471" spans="1:3" x14ac:dyDescent="0.25">
      <c r="A471" s="12">
        <v>58501</v>
      </c>
      <c r="B471" s="13" t="s">
        <v>10</v>
      </c>
      <c r="C471" s="13" t="s">
        <v>12</v>
      </c>
    </row>
    <row r="472" spans="1:3" x14ac:dyDescent="0.25">
      <c r="A472" s="12">
        <v>58502</v>
      </c>
      <c r="B472" s="13" t="s">
        <v>13</v>
      </c>
      <c r="C472" s="13" t="s">
        <v>12</v>
      </c>
    </row>
    <row r="473" spans="1:3" x14ac:dyDescent="0.25">
      <c r="A473" s="12">
        <v>58547</v>
      </c>
      <c r="B473" s="13" t="s">
        <v>14</v>
      </c>
      <c r="C473" s="13" t="s">
        <v>15</v>
      </c>
    </row>
    <row r="474" spans="1:3" x14ac:dyDescent="0.25">
      <c r="A474" s="12">
        <v>58552</v>
      </c>
      <c r="B474" s="13" t="s">
        <v>18</v>
      </c>
      <c r="C474" s="13" t="s">
        <v>17</v>
      </c>
    </row>
    <row r="475" spans="1:3" x14ac:dyDescent="0.25">
      <c r="A475" s="12">
        <v>58562</v>
      </c>
      <c r="B475" s="13" t="s">
        <v>22</v>
      </c>
      <c r="C475" s="13" t="s">
        <v>19</v>
      </c>
    </row>
    <row r="476" spans="1:3" x14ac:dyDescent="0.25">
      <c r="A476" s="12">
        <v>58609</v>
      </c>
      <c r="B476" s="13" t="s">
        <v>20</v>
      </c>
      <c r="C476" s="13" t="s">
        <v>21</v>
      </c>
    </row>
    <row r="477" spans="1:3" x14ac:dyDescent="0.25">
      <c r="A477" s="12">
        <v>58691</v>
      </c>
      <c r="B477" s="13" t="s">
        <v>13</v>
      </c>
      <c r="C477" s="13" t="s">
        <v>23</v>
      </c>
    </row>
    <row r="478" spans="1:3" x14ac:dyDescent="0.25">
      <c r="A478" s="12">
        <v>58726</v>
      </c>
      <c r="B478" s="13" t="s">
        <v>13</v>
      </c>
      <c r="C478" s="13" t="s">
        <v>24</v>
      </c>
    </row>
    <row r="479" spans="1:3" x14ac:dyDescent="0.25">
      <c r="A479" s="12">
        <v>58747</v>
      </c>
      <c r="B479" s="13" t="s">
        <v>13</v>
      </c>
      <c r="C479" s="13" t="s">
        <v>25</v>
      </c>
    </row>
    <row r="480" spans="1:3" x14ac:dyDescent="0.25">
      <c r="A480" s="12">
        <v>58760</v>
      </c>
      <c r="B480" s="13" t="s">
        <v>10</v>
      </c>
      <c r="C480" s="13" t="s">
        <v>26</v>
      </c>
    </row>
    <row r="481" spans="1:3" x14ac:dyDescent="0.25">
      <c r="A481" s="12">
        <v>58765</v>
      </c>
      <c r="B481" s="13" t="s">
        <v>22</v>
      </c>
      <c r="C481" s="13" t="s">
        <v>27</v>
      </c>
    </row>
    <row r="482" spans="1:3" x14ac:dyDescent="0.25">
      <c r="A482" s="12">
        <v>58800</v>
      </c>
      <c r="B482" s="13" t="s">
        <v>22</v>
      </c>
      <c r="C482" s="13" t="s">
        <v>28</v>
      </c>
    </row>
    <row r="483" spans="1:3" x14ac:dyDescent="0.25">
      <c r="A483" s="12">
        <v>58807</v>
      </c>
      <c r="B483" s="13" t="s">
        <v>22</v>
      </c>
      <c r="C483" s="13" t="s">
        <v>11</v>
      </c>
    </row>
    <row r="484" spans="1:3" x14ac:dyDescent="0.25">
      <c r="A484" s="12">
        <v>58858</v>
      </c>
      <c r="B484" s="13" t="s">
        <v>10</v>
      </c>
      <c r="C484" s="13" t="s">
        <v>12</v>
      </c>
    </row>
    <row r="485" spans="1:3" x14ac:dyDescent="0.25">
      <c r="A485" s="12">
        <v>58859</v>
      </c>
      <c r="B485" s="13" t="s">
        <v>13</v>
      </c>
      <c r="C485" s="13" t="s">
        <v>12</v>
      </c>
    </row>
    <row r="486" spans="1:3" x14ac:dyDescent="0.25">
      <c r="A486" s="12">
        <v>58904</v>
      </c>
      <c r="B486" s="13" t="s">
        <v>14</v>
      </c>
      <c r="C486" s="13" t="s">
        <v>15</v>
      </c>
    </row>
    <row r="487" spans="1:3" x14ac:dyDescent="0.25">
      <c r="A487" s="12">
        <v>58917</v>
      </c>
      <c r="B487" s="13" t="s">
        <v>20</v>
      </c>
      <c r="C487" s="13" t="s">
        <v>17</v>
      </c>
    </row>
    <row r="488" spans="1:3" x14ac:dyDescent="0.25">
      <c r="A488" s="12">
        <v>58927</v>
      </c>
      <c r="B488" s="13" t="s">
        <v>16</v>
      </c>
      <c r="C488" s="13" t="s">
        <v>19</v>
      </c>
    </row>
    <row r="489" spans="1:3" x14ac:dyDescent="0.25">
      <c r="A489" s="12">
        <v>58966</v>
      </c>
      <c r="B489" s="13" t="s">
        <v>20</v>
      </c>
      <c r="C489" s="13" t="s">
        <v>21</v>
      </c>
    </row>
    <row r="490" spans="1:3" x14ac:dyDescent="0.25">
      <c r="A490" s="12">
        <v>59056</v>
      </c>
      <c r="B490" s="13" t="s">
        <v>18</v>
      </c>
      <c r="C490" s="13" t="s">
        <v>23</v>
      </c>
    </row>
    <row r="491" spans="1:3" x14ac:dyDescent="0.25">
      <c r="A491" s="12">
        <v>59091</v>
      </c>
      <c r="B491" s="13" t="s">
        <v>18</v>
      </c>
      <c r="C491" s="13" t="s">
        <v>24</v>
      </c>
    </row>
    <row r="492" spans="1:3" x14ac:dyDescent="0.25">
      <c r="A492" s="12">
        <v>59112</v>
      </c>
      <c r="B492" s="13" t="s">
        <v>18</v>
      </c>
      <c r="C492" s="13" t="s">
        <v>25</v>
      </c>
    </row>
    <row r="493" spans="1:3" x14ac:dyDescent="0.25">
      <c r="A493" s="12">
        <v>59125</v>
      </c>
      <c r="B493" s="13" t="s">
        <v>13</v>
      </c>
      <c r="C493" s="13" t="s">
        <v>26</v>
      </c>
    </row>
    <row r="494" spans="1:3" x14ac:dyDescent="0.25">
      <c r="A494" s="12">
        <v>59130</v>
      </c>
      <c r="B494" s="13" t="s">
        <v>16</v>
      </c>
      <c r="C494" s="13" t="s">
        <v>27</v>
      </c>
    </row>
    <row r="495" spans="1:3" x14ac:dyDescent="0.25">
      <c r="A495" s="12">
        <v>59165</v>
      </c>
      <c r="B495" s="13" t="s">
        <v>16</v>
      </c>
      <c r="C495" s="13" t="s">
        <v>28</v>
      </c>
    </row>
    <row r="496" spans="1:3" x14ac:dyDescent="0.25">
      <c r="A496" s="12">
        <v>59172</v>
      </c>
      <c r="B496" s="13" t="s">
        <v>16</v>
      </c>
      <c r="C496" s="13" t="s">
        <v>11</v>
      </c>
    </row>
    <row r="497" spans="1:3" x14ac:dyDescent="0.25">
      <c r="A497" s="12">
        <v>59208</v>
      </c>
      <c r="B497" s="13" t="s">
        <v>10</v>
      </c>
      <c r="C497" s="13" t="s">
        <v>12</v>
      </c>
    </row>
    <row r="498" spans="1:3" x14ac:dyDescent="0.25">
      <c r="A498" s="12">
        <v>59209</v>
      </c>
      <c r="B498" s="13" t="s">
        <v>13</v>
      </c>
      <c r="C498" s="13" t="s">
        <v>12</v>
      </c>
    </row>
    <row r="499" spans="1:3" x14ac:dyDescent="0.25">
      <c r="A499" s="12">
        <v>59254</v>
      </c>
      <c r="B499" s="13" t="s">
        <v>14</v>
      </c>
      <c r="C499" s="13" t="s">
        <v>15</v>
      </c>
    </row>
    <row r="500" spans="1:3" x14ac:dyDescent="0.25">
      <c r="A500" s="12">
        <v>59282</v>
      </c>
      <c r="B500" s="13" t="s">
        <v>14</v>
      </c>
      <c r="C500" s="13" t="s">
        <v>17</v>
      </c>
    </row>
    <row r="501" spans="1:3" x14ac:dyDescent="0.25">
      <c r="A501" s="12">
        <v>59292</v>
      </c>
      <c r="B501" s="13" t="s">
        <v>10</v>
      </c>
      <c r="C501" s="13" t="s">
        <v>19</v>
      </c>
    </row>
    <row r="502" spans="1:3" x14ac:dyDescent="0.25">
      <c r="A502" s="12">
        <v>59316</v>
      </c>
      <c r="B502" s="13" t="s">
        <v>20</v>
      </c>
      <c r="C502" s="13" t="s">
        <v>21</v>
      </c>
    </row>
    <row r="503" spans="1:3" x14ac:dyDescent="0.25">
      <c r="A503" s="12">
        <v>59421</v>
      </c>
      <c r="B503" s="13" t="s">
        <v>20</v>
      </c>
      <c r="C503" s="13" t="s">
        <v>23</v>
      </c>
    </row>
    <row r="504" spans="1:3" x14ac:dyDescent="0.25">
      <c r="A504" s="12">
        <v>59456</v>
      </c>
      <c r="B504" s="13" t="s">
        <v>20</v>
      </c>
      <c r="C504" s="13" t="s">
        <v>24</v>
      </c>
    </row>
    <row r="505" spans="1:3" x14ac:dyDescent="0.25">
      <c r="A505" s="12">
        <v>59477</v>
      </c>
      <c r="B505" s="13" t="s">
        <v>20</v>
      </c>
      <c r="C505" s="13" t="s">
        <v>25</v>
      </c>
    </row>
    <row r="506" spans="1:3" x14ac:dyDescent="0.25">
      <c r="A506" s="12">
        <v>59490</v>
      </c>
      <c r="B506" s="13" t="s">
        <v>18</v>
      </c>
      <c r="C506" s="13" t="s">
        <v>26</v>
      </c>
    </row>
    <row r="507" spans="1:3" x14ac:dyDescent="0.25">
      <c r="A507" s="12">
        <v>59495</v>
      </c>
      <c r="B507" s="13" t="s">
        <v>10</v>
      </c>
      <c r="C507" s="13" t="s">
        <v>27</v>
      </c>
    </row>
    <row r="508" spans="1:3" x14ac:dyDescent="0.25">
      <c r="A508" s="12">
        <v>59530</v>
      </c>
      <c r="B508" s="13" t="s">
        <v>10</v>
      </c>
      <c r="C508" s="13" t="s">
        <v>28</v>
      </c>
    </row>
    <row r="509" spans="1:3" x14ac:dyDescent="0.25">
      <c r="A509" s="12">
        <v>59537</v>
      </c>
      <c r="B509" s="13" t="s">
        <v>10</v>
      </c>
      <c r="C509" s="13" t="s">
        <v>11</v>
      </c>
    </row>
    <row r="510" spans="1:3" x14ac:dyDescent="0.25">
      <c r="A510" s="12">
        <v>59593</v>
      </c>
      <c r="B510" s="13" t="s">
        <v>10</v>
      </c>
      <c r="C510" s="13" t="s">
        <v>12</v>
      </c>
    </row>
    <row r="511" spans="1:3" x14ac:dyDescent="0.25">
      <c r="A511" s="12">
        <v>59594</v>
      </c>
      <c r="B511" s="13" t="s">
        <v>13</v>
      </c>
      <c r="C511" s="13" t="s">
        <v>12</v>
      </c>
    </row>
    <row r="512" spans="1:3" x14ac:dyDescent="0.25">
      <c r="A512" s="12">
        <v>59639</v>
      </c>
      <c r="B512" s="13" t="s">
        <v>14</v>
      </c>
      <c r="C512" s="13" t="s">
        <v>15</v>
      </c>
    </row>
    <row r="513" spans="1:3" x14ac:dyDescent="0.25">
      <c r="A513" s="12">
        <v>59647</v>
      </c>
      <c r="B513" s="13" t="s">
        <v>22</v>
      </c>
      <c r="C513" s="13" t="s">
        <v>17</v>
      </c>
    </row>
    <row r="514" spans="1:3" x14ac:dyDescent="0.25">
      <c r="A514" s="12">
        <v>59657</v>
      </c>
      <c r="B514" s="13" t="s">
        <v>13</v>
      </c>
      <c r="C514" s="13" t="s">
        <v>19</v>
      </c>
    </row>
    <row r="515" spans="1:3" x14ac:dyDescent="0.25">
      <c r="A515" s="12">
        <v>59701</v>
      </c>
      <c r="B515" s="13" t="s">
        <v>20</v>
      </c>
      <c r="C515" s="13" t="s">
        <v>21</v>
      </c>
    </row>
    <row r="516" spans="1:3" x14ac:dyDescent="0.25">
      <c r="A516" s="12">
        <v>59786</v>
      </c>
      <c r="B516" s="13" t="s">
        <v>14</v>
      </c>
      <c r="C516" s="13" t="s">
        <v>23</v>
      </c>
    </row>
    <row r="517" spans="1:3" x14ac:dyDescent="0.25">
      <c r="A517" s="12">
        <v>59821</v>
      </c>
      <c r="B517" s="13" t="s">
        <v>14</v>
      </c>
      <c r="C517" s="13" t="s">
        <v>24</v>
      </c>
    </row>
    <row r="518" spans="1:3" x14ac:dyDescent="0.25">
      <c r="A518" s="12">
        <v>59842</v>
      </c>
      <c r="B518" s="13" t="s">
        <v>14</v>
      </c>
      <c r="C518" s="13" t="s">
        <v>25</v>
      </c>
    </row>
    <row r="519" spans="1:3" x14ac:dyDescent="0.25">
      <c r="A519" s="12">
        <v>59855</v>
      </c>
      <c r="B519" s="13" t="s">
        <v>20</v>
      </c>
      <c r="C519" s="13" t="s">
        <v>26</v>
      </c>
    </row>
    <row r="520" spans="1:3" x14ac:dyDescent="0.25">
      <c r="A520" s="12">
        <v>59860</v>
      </c>
      <c r="B520" s="13" t="s">
        <v>13</v>
      </c>
      <c r="C520" s="13" t="s">
        <v>27</v>
      </c>
    </row>
    <row r="521" spans="1:3" x14ac:dyDescent="0.25">
      <c r="A521" s="12">
        <v>59895</v>
      </c>
      <c r="B521" s="13" t="s">
        <v>13</v>
      </c>
      <c r="C521" s="13" t="s">
        <v>28</v>
      </c>
    </row>
    <row r="522" spans="1:3" x14ac:dyDescent="0.25">
      <c r="A522" s="12">
        <v>59902</v>
      </c>
      <c r="B522" s="13" t="s">
        <v>13</v>
      </c>
      <c r="C522" s="13" t="s">
        <v>11</v>
      </c>
    </row>
    <row r="523" spans="1:3" x14ac:dyDescent="0.25">
      <c r="A523" s="12">
        <v>59950</v>
      </c>
      <c r="B523" s="13" t="s">
        <v>10</v>
      </c>
      <c r="C523" s="13" t="s">
        <v>12</v>
      </c>
    </row>
    <row r="524" spans="1:3" x14ac:dyDescent="0.25">
      <c r="A524" s="12">
        <v>59951</v>
      </c>
      <c r="B524" s="13" t="s">
        <v>13</v>
      </c>
      <c r="C524" s="13" t="s">
        <v>12</v>
      </c>
    </row>
    <row r="525" spans="1:3" x14ac:dyDescent="0.25">
      <c r="A525" s="12">
        <v>59996</v>
      </c>
      <c r="B525" s="13" t="s">
        <v>14</v>
      </c>
      <c r="C525" s="13" t="s">
        <v>15</v>
      </c>
    </row>
    <row r="526" spans="1:3" x14ac:dyDescent="0.25">
      <c r="A526" s="12">
        <v>60013</v>
      </c>
      <c r="B526" s="13" t="s">
        <v>10</v>
      </c>
      <c r="C526" s="13" t="s">
        <v>17</v>
      </c>
    </row>
    <row r="527" spans="1:3" x14ac:dyDescent="0.25">
      <c r="A527" s="12">
        <v>60023</v>
      </c>
      <c r="B527" s="13" t="s">
        <v>20</v>
      </c>
      <c r="C527" s="13" t="s">
        <v>19</v>
      </c>
    </row>
    <row r="528" spans="1:3" x14ac:dyDescent="0.25">
      <c r="A528" s="12">
        <v>60058</v>
      </c>
      <c r="B528" s="13" t="s">
        <v>20</v>
      </c>
      <c r="C528" s="13" t="s">
        <v>21</v>
      </c>
    </row>
    <row r="529" spans="1:3" x14ac:dyDescent="0.25">
      <c r="A529" s="12">
        <v>60152</v>
      </c>
      <c r="B529" s="13" t="s">
        <v>16</v>
      </c>
      <c r="C529" s="13" t="s">
        <v>23</v>
      </c>
    </row>
    <row r="530" spans="1:3" x14ac:dyDescent="0.25">
      <c r="A530" s="12">
        <v>60187</v>
      </c>
      <c r="B530" s="13" t="s">
        <v>16</v>
      </c>
      <c r="C530" s="13" t="s">
        <v>24</v>
      </c>
    </row>
    <row r="531" spans="1:3" x14ac:dyDescent="0.25">
      <c r="A531" s="12">
        <v>60208</v>
      </c>
      <c r="B531" s="13" t="s">
        <v>16</v>
      </c>
      <c r="C531" s="13" t="s">
        <v>25</v>
      </c>
    </row>
    <row r="532" spans="1:3" x14ac:dyDescent="0.25">
      <c r="A532" s="12">
        <v>60221</v>
      </c>
      <c r="B532" s="13" t="s">
        <v>22</v>
      </c>
      <c r="C532" s="13" t="s">
        <v>26</v>
      </c>
    </row>
    <row r="533" spans="1:3" x14ac:dyDescent="0.25">
      <c r="A533" s="12">
        <v>60226</v>
      </c>
      <c r="B533" s="13" t="s">
        <v>20</v>
      </c>
      <c r="C533" s="13" t="s">
        <v>27</v>
      </c>
    </row>
    <row r="534" spans="1:3" x14ac:dyDescent="0.25">
      <c r="A534" s="12">
        <v>60261</v>
      </c>
      <c r="B534" s="13" t="s">
        <v>20</v>
      </c>
      <c r="C534" s="13" t="s">
        <v>28</v>
      </c>
    </row>
    <row r="535" spans="1:3" x14ac:dyDescent="0.25">
      <c r="A535" s="12">
        <v>60268</v>
      </c>
      <c r="B535" s="13" t="s">
        <v>20</v>
      </c>
      <c r="C535" s="13" t="s">
        <v>11</v>
      </c>
    </row>
    <row r="536" spans="1:3" x14ac:dyDescent="0.25">
      <c r="A536" s="12">
        <v>60307</v>
      </c>
      <c r="B536" s="13" t="s">
        <v>10</v>
      </c>
      <c r="C536" s="13" t="s">
        <v>12</v>
      </c>
    </row>
    <row r="537" spans="1:3" x14ac:dyDescent="0.25">
      <c r="A537" s="12">
        <v>60308</v>
      </c>
      <c r="B537" s="13" t="s">
        <v>13</v>
      </c>
      <c r="C537" s="13" t="s">
        <v>12</v>
      </c>
    </row>
    <row r="538" spans="1:3" x14ac:dyDescent="0.25">
      <c r="A538" s="12">
        <v>60353</v>
      </c>
      <c r="B538" s="13" t="s">
        <v>14</v>
      </c>
      <c r="C538" s="13" t="s">
        <v>15</v>
      </c>
    </row>
    <row r="539" spans="1:3" x14ac:dyDescent="0.25">
      <c r="A539" s="12">
        <v>60378</v>
      </c>
      <c r="B539" s="13" t="s">
        <v>13</v>
      </c>
      <c r="C539" s="13" t="s">
        <v>17</v>
      </c>
    </row>
    <row r="540" spans="1:3" x14ac:dyDescent="0.25">
      <c r="A540" s="12">
        <v>60388</v>
      </c>
      <c r="B540" s="13" t="s">
        <v>14</v>
      </c>
      <c r="C540" s="13" t="s">
        <v>19</v>
      </c>
    </row>
    <row r="541" spans="1:3" x14ac:dyDescent="0.25">
      <c r="A541" s="12">
        <v>60415</v>
      </c>
      <c r="B541" s="13" t="s">
        <v>20</v>
      </c>
      <c r="C541" s="13" t="s">
        <v>21</v>
      </c>
    </row>
    <row r="542" spans="1:3" x14ac:dyDescent="0.25">
      <c r="A542" s="12">
        <v>60517</v>
      </c>
      <c r="B542" s="13" t="s">
        <v>10</v>
      </c>
      <c r="C542" s="13" t="s">
        <v>23</v>
      </c>
    </row>
    <row r="543" spans="1:3" x14ac:dyDescent="0.25">
      <c r="A543" s="12">
        <v>60552</v>
      </c>
      <c r="B543" s="13" t="s">
        <v>10</v>
      </c>
      <c r="C543" s="13" t="s">
        <v>24</v>
      </c>
    </row>
    <row r="544" spans="1:3" x14ac:dyDescent="0.25">
      <c r="A544" s="12">
        <v>60573</v>
      </c>
      <c r="B544" s="13" t="s">
        <v>10</v>
      </c>
      <c r="C544" s="13" t="s">
        <v>25</v>
      </c>
    </row>
    <row r="545" spans="1:3" x14ac:dyDescent="0.25">
      <c r="A545" s="12">
        <v>60586</v>
      </c>
      <c r="B545" s="13" t="s">
        <v>16</v>
      </c>
      <c r="C545" s="13" t="s">
        <v>26</v>
      </c>
    </row>
    <row r="546" spans="1:3" x14ac:dyDescent="0.25">
      <c r="A546" s="12">
        <v>60591</v>
      </c>
      <c r="B546" s="13" t="s">
        <v>14</v>
      </c>
      <c r="C546" s="13" t="s">
        <v>27</v>
      </c>
    </row>
    <row r="547" spans="1:3" x14ac:dyDescent="0.25">
      <c r="A547" s="12">
        <v>60626</v>
      </c>
      <c r="B547" s="13" t="s">
        <v>14</v>
      </c>
      <c r="C547" s="13" t="s">
        <v>28</v>
      </c>
    </row>
    <row r="548" spans="1:3" x14ac:dyDescent="0.25">
      <c r="A548" s="12">
        <v>60633</v>
      </c>
      <c r="B548" s="13" t="s">
        <v>14</v>
      </c>
      <c r="C548" s="13" t="s">
        <v>11</v>
      </c>
    </row>
    <row r="549" spans="1:3" x14ac:dyDescent="0.25">
      <c r="A549" s="12">
        <v>60685</v>
      </c>
      <c r="B549" s="13" t="s">
        <v>10</v>
      </c>
      <c r="C549" s="13" t="s">
        <v>12</v>
      </c>
    </row>
    <row r="550" spans="1:3" x14ac:dyDescent="0.25">
      <c r="A550" s="12">
        <v>60686</v>
      </c>
      <c r="B550" s="13" t="s">
        <v>13</v>
      </c>
      <c r="C550" s="13" t="s">
        <v>12</v>
      </c>
    </row>
    <row r="551" spans="1:3" x14ac:dyDescent="0.25">
      <c r="A551" s="12">
        <v>60731</v>
      </c>
      <c r="B551" s="13" t="s">
        <v>14</v>
      </c>
      <c r="C551" s="13" t="s">
        <v>15</v>
      </c>
    </row>
    <row r="552" spans="1:3" x14ac:dyDescent="0.25">
      <c r="A552" s="12">
        <v>60743</v>
      </c>
      <c r="B552" s="13" t="s">
        <v>18</v>
      </c>
      <c r="C552" s="13" t="s">
        <v>17</v>
      </c>
    </row>
    <row r="553" spans="1:3" x14ac:dyDescent="0.25">
      <c r="A553" s="12">
        <v>60753</v>
      </c>
      <c r="B553" s="13" t="s">
        <v>22</v>
      </c>
      <c r="C553" s="13" t="s">
        <v>19</v>
      </c>
    </row>
    <row r="554" spans="1:3" x14ac:dyDescent="0.25">
      <c r="A554" s="12">
        <v>60793</v>
      </c>
      <c r="B554" s="13" t="s">
        <v>20</v>
      </c>
      <c r="C554" s="13" t="s">
        <v>21</v>
      </c>
    </row>
    <row r="555" spans="1:3" x14ac:dyDescent="0.25">
      <c r="A555" s="12">
        <v>60882</v>
      </c>
      <c r="B555" s="13" t="s">
        <v>13</v>
      </c>
      <c r="C555" s="13" t="s">
        <v>23</v>
      </c>
    </row>
    <row r="556" spans="1:3" x14ac:dyDescent="0.25">
      <c r="A556" s="12">
        <v>60917</v>
      </c>
      <c r="B556" s="13" t="s">
        <v>13</v>
      </c>
      <c r="C556" s="13" t="s">
        <v>24</v>
      </c>
    </row>
    <row r="557" spans="1:3" x14ac:dyDescent="0.25">
      <c r="A557" s="12">
        <v>60938</v>
      </c>
      <c r="B557" s="13" t="s">
        <v>13</v>
      </c>
      <c r="C557" s="13" t="s">
        <v>25</v>
      </c>
    </row>
    <row r="558" spans="1:3" x14ac:dyDescent="0.25">
      <c r="A558" s="12">
        <v>60951</v>
      </c>
      <c r="B558" s="13" t="s">
        <v>10</v>
      </c>
      <c r="C558" s="13" t="s">
        <v>26</v>
      </c>
    </row>
    <row r="559" spans="1:3" x14ac:dyDescent="0.25">
      <c r="A559" s="12">
        <v>60956</v>
      </c>
      <c r="B559" s="13" t="s">
        <v>22</v>
      </c>
      <c r="C559" s="13" t="s">
        <v>27</v>
      </c>
    </row>
    <row r="560" spans="1:3" x14ac:dyDescent="0.25">
      <c r="A560" s="12">
        <v>60991</v>
      </c>
      <c r="B560" s="13" t="s">
        <v>22</v>
      </c>
      <c r="C560" s="13" t="s">
        <v>28</v>
      </c>
    </row>
    <row r="561" spans="1:3" x14ac:dyDescent="0.25">
      <c r="A561" s="12">
        <v>60998</v>
      </c>
      <c r="B561" s="13" t="s">
        <v>22</v>
      </c>
      <c r="C561" s="13" t="s">
        <v>11</v>
      </c>
    </row>
    <row r="562" spans="1:3" x14ac:dyDescent="0.25">
      <c r="A562" s="12">
        <v>61042</v>
      </c>
      <c r="B562" s="13" t="s">
        <v>10</v>
      </c>
      <c r="C562" s="13" t="s">
        <v>12</v>
      </c>
    </row>
    <row r="563" spans="1:3" x14ac:dyDescent="0.25">
      <c r="A563" s="12">
        <v>61043</v>
      </c>
      <c r="B563" s="13" t="s">
        <v>13</v>
      </c>
      <c r="C563" s="13" t="s">
        <v>12</v>
      </c>
    </row>
    <row r="564" spans="1:3" x14ac:dyDescent="0.25">
      <c r="A564" s="12">
        <v>61088</v>
      </c>
      <c r="B564" s="13" t="s">
        <v>14</v>
      </c>
      <c r="C564" s="13" t="s">
        <v>15</v>
      </c>
    </row>
    <row r="565" spans="1:3" x14ac:dyDescent="0.25">
      <c r="A565" s="12">
        <v>61108</v>
      </c>
      <c r="B565" s="13" t="s">
        <v>20</v>
      </c>
      <c r="C565" s="13" t="s">
        <v>17</v>
      </c>
    </row>
    <row r="566" spans="1:3" x14ac:dyDescent="0.25">
      <c r="A566" s="12">
        <v>61118</v>
      </c>
      <c r="B566" s="13" t="s">
        <v>16</v>
      </c>
      <c r="C566" s="13" t="s">
        <v>19</v>
      </c>
    </row>
    <row r="567" spans="1:3" x14ac:dyDescent="0.25">
      <c r="A567" s="12">
        <v>61150</v>
      </c>
      <c r="B567" s="13" t="s">
        <v>20</v>
      </c>
      <c r="C567" s="13" t="s">
        <v>21</v>
      </c>
    </row>
    <row r="568" spans="1:3" x14ac:dyDescent="0.25">
      <c r="A568" s="12">
        <v>61247</v>
      </c>
      <c r="B568" s="13" t="s">
        <v>18</v>
      </c>
      <c r="C568" s="13" t="s">
        <v>23</v>
      </c>
    </row>
    <row r="569" spans="1:3" x14ac:dyDescent="0.25">
      <c r="A569" s="12">
        <v>61282</v>
      </c>
      <c r="B569" s="13" t="s">
        <v>18</v>
      </c>
      <c r="C569" s="13" t="s">
        <v>24</v>
      </c>
    </row>
    <row r="570" spans="1:3" x14ac:dyDescent="0.25">
      <c r="A570" s="12">
        <v>61303</v>
      </c>
      <c r="B570" s="13" t="s">
        <v>18</v>
      </c>
      <c r="C570" s="13" t="s">
        <v>25</v>
      </c>
    </row>
    <row r="571" spans="1:3" x14ac:dyDescent="0.25">
      <c r="A571" s="12">
        <v>61316</v>
      </c>
      <c r="B571" s="13" t="s">
        <v>13</v>
      </c>
      <c r="C571" s="13" t="s">
        <v>26</v>
      </c>
    </row>
    <row r="572" spans="1:3" x14ac:dyDescent="0.25">
      <c r="A572" s="12">
        <v>61321</v>
      </c>
      <c r="B572" s="13" t="s">
        <v>16</v>
      </c>
      <c r="C572" s="13" t="s">
        <v>27</v>
      </c>
    </row>
    <row r="573" spans="1:3" x14ac:dyDescent="0.25">
      <c r="A573" s="12">
        <v>61356</v>
      </c>
      <c r="B573" s="13" t="s">
        <v>16</v>
      </c>
      <c r="C573" s="13" t="s">
        <v>28</v>
      </c>
    </row>
    <row r="574" spans="1:3" x14ac:dyDescent="0.25">
      <c r="A574" s="12">
        <v>61363</v>
      </c>
      <c r="B574" s="13" t="s">
        <v>16</v>
      </c>
      <c r="C574" s="13" t="s">
        <v>11</v>
      </c>
    </row>
    <row r="575" spans="1:3" x14ac:dyDescent="0.25">
      <c r="A575" s="12">
        <v>61427</v>
      </c>
      <c r="B575" s="13" t="s">
        <v>10</v>
      </c>
      <c r="C575" s="13" t="s">
        <v>12</v>
      </c>
    </row>
    <row r="576" spans="1:3" x14ac:dyDescent="0.25">
      <c r="A576" s="12">
        <v>61428</v>
      </c>
      <c r="B576" s="13" t="s">
        <v>13</v>
      </c>
      <c r="C576" s="13" t="s">
        <v>12</v>
      </c>
    </row>
    <row r="577" spans="1:3" x14ac:dyDescent="0.25">
      <c r="A577" s="12">
        <v>61473</v>
      </c>
      <c r="B577" s="13" t="s">
        <v>14</v>
      </c>
      <c r="C577" s="13" t="s">
        <v>15</v>
      </c>
    </row>
    <row r="578" spans="1:3" x14ac:dyDescent="0.25">
      <c r="A578" s="12">
        <v>61474</v>
      </c>
      <c r="B578" s="13" t="s">
        <v>22</v>
      </c>
      <c r="C578" s="13" t="s">
        <v>17</v>
      </c>
    </row>
    <row r="579" spans="1:3" x14ac:dyDescent="0.25">
      <c r="A579" s="12">
        <v>61484</v>
      </c>
      <c r="B579" s="13" t="s">
        <v>13</v>
      </c>
      <c r="C579" s="13" t="s">
        <v>19</v>
      </c>
    </row>
    <row r="580" spans="1:3" x14ac:dyDescent="0.25">
      <c r="A580" s="12">
        <v>61535</v>
      </c>
      <c r="B580" s="13" t="s">
        <v>20</v>
      </c>
      <c r="C580" s="13" t="s">
        <v>21</v>
      </c>
    </row>
    <row r="581" spans="1:3" x14ac:dyDescent="0.25">
      <c r="A581" s="12">
        <v>61613</v>
      </c>
      <c r="B581" s="13" t="s">
        <v>14</v>
      </c>
      <c r="C581" s="13" t="s">
        <v>23</v>
      </c>
    </row>
    <row r="582" spans="1:3" x14ac:dyDescent="0.25">
      <c r="A582" s="12">
        <v>61648</v>
      </c>
      <c r="B582" s="13" t="s">
        <v>14</v>
      </c>
      <c r="C582" s="13" t="s">
        <v>24</v>
      </c>
    </row>
    <row r="583" spans="1:3" x14ac:dyDescent="0.25">
      <c r="A583" s="12">
        <v>61669</v>
      </c>
      <c r="B583" s="13" t="s">
        <v>14</v>
      </c>
      <c r="C583" s="13" t="s">
        <v>25</v>
      </c>
    </row>
    <row r="584" spans="1:3" x14ac:dyDescent="0.25">
      <c r="A584" s="12">
        <v>61682</v>
      </c>
      <c r="B584" s="13" t="s">
        <v>20</v>
      </c>
      <c r="C584" s="13" t="s">
        <v>26</v>
      </c>
    </row>
    <row r="585" spans="1:3" x14ac:dyDescent="0.25">
      <c r="A585" s="12">
        <v>61687</v>
      </c>
      <c r="B585" s="13" t="s">
        <v>13</v>
      </c>
      <c r="C585" s="13" t="s">
        <v>27</v>
      </c>
    </row>
    <row r="586" spans="1:3" x14ac:dyDescent="0.25">
      <c r="A586" s="12">
        <v>61722</v>
      </c>
      <c r="B586" s="13" t="s">
        <v>13</v>
      </c>
      <c r="C586" s="13" t="s">
        <v>28</v>
      </c>
    </row>
    <row r="587" spans="1:3" x14ac:dyDescent="0.25">
      <c r="A587" s="12">
        <v>61729</v>
      </c>
      <c r="B587" s="13" t="s">
        <v>13</v>
      </c>
      <c r="C587" s="13" t="s">
        <v>11</v>
      </c>
    </row>
    <row r="588" spans="1:3" x14ac:dyDescent="0.25">
      <c r="A588" s="12">
        <v>61784</v>
      </c>
      <c r="B588" s="13" t="s">
        <v>10</v>
      </c>
      <c r="C588" s="13" t="s">
        <v>12</v>
      </c>
    </row>
    <row r="589" spans="1:3" x14ac:dyDescent="0.25">
      <c r="A589" s="12">
        <v>61785</v>
      </c>
      <c r="B589" s="13" t="s">
        <v>13</v>
      </c>
      <c r="C589" s="13" t="s">
        <v>12</v>
      </c>
    </row>
    <row r="590" spans="1:3" x14ac:dyDescent="0.25">
      <c r="A590" s="12">
        <v>61830</v>
      </c>
      <c r="B590" s="13" t="s">
        <v>14</v>
      </c>
      <c r="C590" s="13" t="s">
        <v>15</v>
      </c>
    </row>
    <row r="591" spans="1:3" x14ac:dyDescent="0.25">
      <c r="A591" s="12">
        <v>61839</v>
      </c>
      <c r="B591" s="13" t="s">
        <v>16</v>
      </c>
      <c r="C591" s="13" t="s">
        <v>17</v>
      </c>
    </row>
    <row r="592" spans="1:3" x14ac:dyDescent="0.25">
      <c r="A592" s="12">
        <v>61849</v>
      </c>
      <c r="B592" s="13" t="s">
        <v>18</v>
      </c>
      <c r="C592" s="13" t="s">
        <v>19</v>
      </c>
    </row>
    <row r="593" spans="1:3" x14ac:dyDescent="0.25">
      <c r="A593" s="12">
        <v>61892</v>
      </c>
      <c r="B593" s="13" t="s">
        <v>20</v>
      </c>
      <c r="C593" s="13" t="s">
        <v>21</v>
      </c>
    </row>
    <row r="594" spans="1:3" x14ac:dyDescent="0.25">
      <c r="A594" s="12">
        <v>61978</v>
      </c>
      <c r="B594" s="13" t="s">
        <v>22</v>
      </c>
      <c r="C594" s="13" t="s">
        <v>23</v>
      </c>
    </row>
    <row r="595" spans="1:3" x14ac:dyDescent="0.25">
      <c r="A595" s="12">
        <v>62013</v>
      </c>
      <c r="B595" s="13" t="s">
        <v>22</v>
      </c>
      <c r="C595" s="13" t="s">
        <v>24</v>
      </c>
    </row>
    <row r="596" spans="1:3" x14ac:dyDescent="0.25">
      <c r="A596" s="12">
        <v>62034</v>
      </c>
      <c r="B596" s="13" t="s">
        <v>22</v>
      </c>
      <c r="C596" s="13" t="s">
        <v>25</v>
      </c>
    </row>
    <row r="597" spans="1:3" x14ac:dyDescent="0.25">
      <c r="A597" s="12">
        <v>62047</v>
      </c>
      <c r="B597" s="13" t="s">
        <v>14</v>
      </c>
      <c r="C597" s="13" t="s">
        <v>26</v>
      </c>
    </row>
    <row r="598" spans="1:3" x14ac:dyDescent="0.25">
      <c r="A598" s="12">
        <v>62052</v>
      </c>
      <c r="B598" s="13" t="s">
        <v>18</v>
      </c>
      <c r="C598" s="13" t="s">
        <v>27</v>
      </c>
    </row>
    <row r="599" spans="1:3" x14ac:dyDescent="0.25">
      <c r="A599" s="12">
        <v>62087</v>
      </c>
      <c r="B599" s="13" t="s">
        <v>18</v>
      </c>
      <c r="C599" s="13" t="s">
        <v>28</v>
      </c>
    </row>
    <row r="600" spans="1:3" x14ac:dyDescent="0.25">
      <c r="A600" s="12">
        <v>62094</v>
      </c>
      <c r="B600" s="13" t="s">
        <v>18</v>
      </c>
      <c r="C600" s="13" t="s">
        <v>11</v>
      </c>
    </row>
    <row r="601" spans="1:3" x14ac:dyDescent="0.25">
      <c r="A601" s="12">
        <v>62134</v>
      </c>
      <c r="B601" s="13" t="s">
        <v>10</v>
      </c>
      <c r="C601" s="13" t="s">
        <v>12</v>
      </c>
    </row>
    <row r="602" spans="1:3" x14ac:dyDescent="0.25">
      <c r="A602" s="12">
        <v>62135</v>
      </c>
      <c r="B602" s="13" t="s">
        <v>13</v>
      </c>
      <c r="C602" s="13" t="s">
        <v>12</v>
      </c>
    </row>
    <row r="603" spans="1:3" x14ac:dyDescent="0.25">
      <c r="A603" s="12">
        <v>62180</v>
      </c>
      <c r="B603" s="13" t="s">
        <v>14</v>
      </c>
      <c r="C603" s="13" t="s">
        <v>15</v>
      </c>
    </row>
    <row r="604" spans="1:3" x14ac:dyDescent="0.25">
      <c r="A604" s="12">
        <v>62204</v>
      </c>
      <c r="B604" s="13" t="s">
        <v>10</v>
      </c>
      <c r="C604" s="13" t="s">
        <v>17</v>
      </c>
    </row>
    <row r="605" spans="1:3" x14ac:dyDescent="0.25">
      <c r="A605" s="12">
        <v>62214</v>
      </c>
      <c r="B605" s="13" t="s">
        <v>20</v>
      </c>
      <c r="C605" s="13" t="s">
        <v>19</v>
      </c>
    </row>
    <row r="606" spans="1:3" x14ac:dyDescent="0.25">
      <c r="A606" s="12">
        <v>62242</v>
      </c>
      <c r="B606" s="13" t="s">
        <v>20</v>
      </c>
      <c r="C606" s="13" t="s">
        <v>21</v>
      </c>
    </row>
    <row r="607" spans="1:3" x14ac:dyDescent="0.25">
      <c r="A607" s="12">
        <v>62343</v>
      </c>
      <c r="B607" s="13" t="s">
        <v>16</v>
      </c>
      <c r="C607" s="13" t="s">
        <v>23</v>
      </c>
    </row>
    <row r="608" spans="1:3" x14ac:dyDescent="0.25">
      <c r="A608" s="12">
        <v>62378</v>
      </c>
      <c r="B608" s="13" t="s">
        <v>16</v>
      </c>
      <c r="C608" s="13" t="s">
        <v>24</v>
      </c>
    </row>
    <row r="609" spans="1:3" x14ac:dyDescent="0.25">
      <c r="A609" s="12">
        <v>62399</v>
      </c>
      <c r="B609" s="13" t="s">
        <v>16</v>
      </c>
      <c r="C609" s="13" t="s">
        <v>25</v>
      </c>
    </row>
    <row r="610" spans="1:3" x14ac:dyDescent="0.25">
      <c r="A610" s="12">
        <v>62412</v>
      </c>
      <c r="B610" s="13" t="s">
        <v>22</v>
      </c>
      <c r="C610" s="13" t="s">
        <v>26</v>
      </c>
    </row>
    <row r="611" spans="1:3" x14ac:dyDescent="0.25">
      <c r="A611" s="12">
        <v>62417</v>
      </c>
      <c r="B611" s="13" t="s">
        <v>20</v>
      </c>
      <c r="C611" s="13" t="s">
        <v>27</v>
      </c>
    </row>
    <row r="612" spans="1:3" x14ac:dyDescent="0.25">
      <c r="A612" s="12">
        <v>62452</v>
      </c>
      <c r="B612" s="13" t="s">
        <v>20</v>
      </c>
      <c r="C612" s="13" t="s">
        <v>28</v>
      </c>
    </row>
    <row r="613" spans="1:3" x14ac:dyDescent="0.25">
      <c r="A613" s="12">
        <v>62459</v>
      </c>
      <c r="B613" s="13" t="s">
        <v>20</v>
      </c>
      <c r="C613" s="13" t="s">
        <v>11</v>
      </c>
    </row>
    <row r="614" spans="1:3" x14ac:dyDescent="0.25">
      <c r="A614" s="12">
        <v>62519</v>
      </c>
      <c r="B614" s="13" t="s">
        <v>10</v>
      </c>
      <c r="C614" s="13" t="s">
        <v>12</v>
      </c>
    </row>
    <row r="615" spans="1:3" x14ac:dyDescent="0.25">
      <c r="A615" s="12">
        <v>62520</v>
      </c>
      <c r="B615" s="13" t="s">
        <v>13</v>
      </c>
      <c r="C615" s="13" t="s">
        <v>12</v>
      </c>
    </row>
    <row r="616" spans="1:3" x14ac:dyDescent="0.25">
      <c r="A616" s="12">
        <v>62565</v>
      </c>
      <c r="B616" s="13" t="s">
        <v>14</v>
      </c>
      <c r="C616" s="13" t="s">
        <v>15</v>
      </c>
    </row>
    <row r="617" spans="1:3" x14ac:dyDescent="0.25">
      <c r="A617" s="12">
        <v>62569</v>
      </c>
      <c r="B617" s="13" t="s">
        <v>13</v>
      </c>
      <c r="C617" s="13" t="s">
        <v>17</v>
      </c>
    </row>
    <row r="618" spans="1:3" x14ac:dyDescent="0.25">
      <c r="A618" s="12">
        <v>62579</v>
      </c>
      <c r="B618" s="13" t="s">
        <v>14</v>
      </c>
      <c r="C618" s="13" t="s">
        <v>19</v>
      </c>
    </row>
    <row r="619" spans="1:3" x14ac:dyDescent="0.25">
      <c r="A619" s="12">
        <v>62627</v>
      </c>
      <c r="B619" s="13" t="s">
        <v>20</v>
      </c>
      <c r="C619" s="13" t="s">
        <v>21</v>
      </c>
    </row>
    <row r="620" spans="1:3" x14ac:dyDescent="0.25">
      <c r="A620" s="12">
        <v>62708</v>
      </c>
      <c r="B620" s="13" t="s">
        <v>10</v>
      </c>
      <c r="C620" s="13" t="s">
        <v>23</v>
      </c>
    </row>
    <row r="621" spans="1:3" x14ac:dyDescent="0.25">
      <c r="A621" s="12">
        <v>62743</v>
      </c>
      <c r="B621" s="13" t="s">
        <v>10</v>
      </c>
      <c r="C621" s="13" t="s">
        <v>24</v>
      </c>
    </row>
    <row r="622" spans="1:3" x14ac:dyDescent="0.25">
      <c r="A622" s="12">
        <v>62764</v>
      </c>
      <c r="B622" s="13" t="s">
        <v>10</v>
      </c>
      <c r="C622" s="13" t="s">
        <v>25</v>
      </c>
    </row>
    <row r="623" spans="1:3" x14ac:dyDescent="0.25">
      <c r="A623" s="12">
        <v>62777</v>
      </c>
      <c r="B623" s="13" t="s">
        <v>16</v>
      </c>
      <c r="C623" s="13" t="s">
        <v>26</v>
      </c>
    </row>
    <row r="624" spans="1:3" x14ac:dyDescent="0.25">
      <c r="A624" s="12">
        <v>62782</v>
      </c>
      <c r="B624" s="13" t="s">
        <v>14</v>
      </c>
      <c r="C624" s="13" t="s">
        <v>27</v>
      </c>
    </row>
    <row r="625" spans="1:3" x14ac:dyDescent="0.25">
      <c r="A625" s="12">
        <v>62817</v>
      </c>
      <c r="B625" s="13" t="s">
        <v>14</v>
      </c>
      <c r="C625" s="13" t="s">
        <v>28</v>
      </c>
    </row>
    <row r="626" spans="1:3" x14ac:dyDescent="0.25">
      <c r="A626" s="12">
        <v>62824</v>
      </c>
      <c r="B626" s="13" t="s">
        <v>14</v>
      </c>
      <c r="C626" s="13" t="s">
        <v>11</v>
      </c>
    </row>
    <row r="627" spans="1:3" x14ac:dyDescent="0.25">
      <c r="A627" s="12">
        <v>62876</v>
      </c>
      <c r="B627" s="13" t="s">
        <v>10</v>
      </c>
      <c r="C627" s="13" t="s">
        <v>12</v>
      </c>
    </row>
    <row r="628" spans="1:3" x14ac:dyDescent="0.25">
      <c r="A628" s="12">
        <v>62877</v>
      </c>
      <c r="B628" s="13" t="s">
        <v>13</v>
      </c>
      <c r="C628" s="13" t="s">
        <v>12</v>
      </c>
    </row>
    <row r="629" spans="1:3" x14ac:dyDescent="0.25">
      <c r="A629" s="12">
        <v>62922</v>
      </c>
      <c r="B629" s="13" t="s">
        <v>14</v>
      </c>
      <c r="C629" s="13" t="s">
        <v>15</v>
      </c>
    </row>
    <row r="630" spans="1:3" x14ac:dyDescent="0.25">
      <c r="A630" s="12">
        <v>62935</v>
      </c>
      <c r="B630" s="13" t="s">
        <v>20</v>
      </c>
      <c r="C630" s="13" t="s">
        <v>17</v>
      </c>
    </row>
    <row r="631" spans="1:3" x14ac:dyDescent="0.25">
      <c r="A631" s="12">
        <v>62945</v>
      </c>
      <c r="B631" s="13" t="s">
        <v>16</v>
      </c>
      <c r="C631" s="13" t="s">
        <v>19</v>
      </c>
    </row>
    <row r="632" spans="1:3" x14ac:dyDescent="0.25">
      <c r="A632" s="12">
        <v>62984</v>
      </c>
      <c r="B632" s="13" t="s">
        <v>20</v>
      </c>
      <c r="C632" s="13" t="s">
        <v>21</v>
      </c>
    </row>
    <row r="633" spans="1:3" x14ac:dyDescent="0.25">
      <c r="A633" s="12">
        <v>63074</v>
      </c>
      <c r="B633" s="13" t="s">
        <v>18</v>
      </c>
      <c r="C633" s="13" t="s">
        <v>23</v>
      </c>
    </row>
    <row r="634" spans="1:3" x14ac:dyDescent="0.25">
      <c r="A634" s="12">
        <v>63109</v>
      </c>
      <c r="B634" s="13" t="s">
        <v>18</v>
      </c>
      <c r="C634" s="13" t="s">
        <v>24</v>
      </c>
    </row>
    <row r="635" spans="1:3" x14ac:dyDescent="0.25">
      <c r="A635" s="12">
        <v>63130</v>
      </c>
      <c r="B635" s="13" t="s">
        <v>18</v>
      </c>
      <c r="C635" s="13" t="s">
        <v>25</v>
      </c>
    </row>
    <row r="636" spans="1:3" x14ac:dyDescent="0.25">
      <c r="A636" s="12">
        <v>63143</v>
      </c>
      <c r="B636" s="13" t="s">
        <v>13</v>
      </c>
      <c r="C636" s="13" t="s">
        <v>26</v>
      </c>
    </row>
    <row r="637" spans="1:3" x14ac:dyDescent="0.25">
      <c r="A637" s="12">
        <v>63148</v>
      </c>
      <c r="B637" s="13" t="s">
        <v>16</v>
      </c>
      <c r="C637" s="13" t="s">
        <v>27</v>
      </c>
    </row>
    <row r="638" spans="1:3" x14ac:dyDescent="0.25">
      <c r="A638" s="12">
        <v>63183</v>
      </c>
      <c r="B638" s="13" t="s">
        <v>16</v>
      </c>
      <c r="C638" s="13" t="s">
        <v>28</v>
      </c>
    </row>
    <row r="639" spans="1:3" x14ac:dyDescent="0.25">
      <c r="A639" s="12">
        <v>63190</v>
      </c>
      <c r="B639" s="13" t="s">
        <v>16</v>
      </c>
      <c r="C639" s="13" t="s">
        <v>11</v>
      </c>
    </row>
    <row r="640" spans="1:3" x14ac:dyDescent="0.25">
      <c r="A640" s="12">
        <v>63226</v>
      </c>
      <c r="B640" s="13" t="s">
        <v>10</v>
      </c>
      <c r="C640" s="13" t="s">
        <v>12</v>
      </c>
    </row>
    <row r="641" spans="1:3" x14ac:dyDescent="0.25">
      <c r="A641" s="12">
        <v>63227</v>
      </c>
      <c r="B641" s="13" t="s">
        <v>13</v>
      </c>
      <c r="C641" s="13" t="s">
        <v>12</v>
      </c>
    </row>
    <row r="642" spans="1:3" x14ac:dyDescent="0.25">
      <c r="A642" s="12">
        <v>63272</v>
      </c>
      <c r="B642" s="13" t="s">
        <v>14</v>
      </c>
      <c r="C642" s="13" t="s">
        <v>15</v>
      </c>
    </row>
    <row r="643" spans="1:3" x14ac:dyDescent="0.25">
      <c r="A643" s="12">
        <v>63300</v>
      </c>
      <c r="B643" s="13" t="s">
        <v>14</v>
      </c>
      <c r="C643" s="13" t="s">
        <v>17</v>
      </c>
    </row>
    <row r="644" spans="1:3" x14ac:dyDescent="0.25">
      <c r="A644" s="12">
        <v>63310</v>
      </c>
      <c r="B644" s="13" t="s">
        <v>10</v>
      </c>
      <c r="C644" s="13" t="s">
        <v>19</v>
      </c>
    </row>
    <row r="645" spans="1:3" x14ac:dyDescent="0.25">
      <c r="A645" s="12">
        <v>63334</v>
      </c>
      <c r="B645" s="13" t="s">
        <v>20</v>
      </c>
      <c r="C645" s="13" t="s">
        <v>21</v>
      </c>
    </row>
    <row r="646" spans="1:3" x14ac:dyDescent="0.25">
      <c r="A646" s="12">
        <v>63439</v>
      </c>
      <c r="B646" s="13" t="s">
        <v>20</v>
      </c>
      <c r="C646" s="13" t="s">
        <v>23</v>
      </c>
    </row>
    <row r="647" spans="1:3" x14ac:dyDescent="0.25">
      <c r="A647" s="12">
        <v>63474</v>
      </c>
      <c r="B647" s="13" t="s">
        <v>20</v>
      </c>
      <c r="C647" s="13" t="s">
        <v>24</v>
      </c>
    </row>
    <row r="648" spans="1:3" x14ac:dyDescent="0.25">
      <c r="A648" s="12">
        <v>63495</v>
      </c>
      <c r="B648" s="13" t="s">
        <v>20</v>
      </c>
      <c r="C648" s="13" t="s">
        <v>25</v>
      </c>
    </row>
    <row r="649" spans="1:3" x14ac:dyDescent="0.25">
      <c r="A649" s="12">
        <v>63508</v>
      </c>
      <c r="B649" s="13" t="s">
        <v>18</v>
      </c>
      <c r="C649" s="13" t="s">
        <v>26</v>
      </c>
    </row>
    <row r="650" spans="1:3" x14ac:dyDescent="0.25">
      <c r="A650" s="12">
        <v>63513</v>
      </c>
      <c r="B650" s="13" t="s">
        <v>10</v>
      </c>
      <c r="C650" s="13" t="s">
        <v>27</v>
      </c>
    </row>
    <row r="651" spans="1:3" x14ac:dyDescent="0.25">
      <c r="A651" s="12">
        <v>63548</v>
      </c>
      <c r="B651" s="13" t="s">
        <v>10</v>
      </c>
      <c r="C651" s="13" t="s">
        <v>28</v>
      </c>
    </row>
    <row r="652" spans="1:3" x14ac:dyDescent="0.25">
      <c r="A652" s="12">
        <v>63555</v>
      </c>
      <c r="B652" s="13" t="s">
        <v>10</v>
      </c>
      <c r="C652" s="13" t="s">
        <v>11</v>
      </c>
    </row>
    <row r="653" spans="1:3" x14ac:dyDescent="0.25">
      <c r="A653" s="12">
        <v>63611</v>
      </c>
      <c r="B653" s="13" t="s">
        <v>10</v>
      </c>
      <c r="C653" s="13" t="s">
        <v>12</v>
      </c>
    </row>
    <row r="654" spans="1:3" x14ac:dyDescent="0.25">
      <c r="A654" s="12">
        <v>63612</v>
      </c>
      <c r="B654" s="13" t="s">
        <v>13</v>
      </c>
      <c r="C654" s="13" t="s">
        <v>12</v>
      </c>
    </row>
    <row r="655" spans="1:3" x14ac:dyDescent="0.25">
      <c r="A655" s="12">
        <v>63657</v>
      </c>
      <c r="B655" s="13" t="s">
        <v>14</v>
      </c>
      <c r="C655" s="13" t="s">
        <v>15</v>
      </c>
    </row>
    <row r="656" spans="1:3" x14ac:dyDescent="0.25">
      <c r="A656" s="12">
        <v>63665</v>
      </c>
      <c r="B656" s="13" t="s">
        <v>22</v>
      </c>
      <c r="C656" s="13" t="s">
        <v>17</v>
      </c>
    </row>
    <row r="657" spans="1:3" x14ac:dyDescent="0.25">
      <c r="A657" s="12">
        <v>63675</v>
      </c>
      <c r="B657" s="13" t="s">
        <v>13</v>
      </c>
      <c r="C657" s="13" t="s">
        <v>19</v>
      </c>
    </row>
    <row r="658" spans="1:3" x14ac:dyDescent="0.25">
      <c r="A658" s="12">
        <v>63719</v>
      </c>
      <c r="B658" s="13" t="s">
        <v>20</v>
      </c>
      <c r="C658" s="13" t="s">
        <v>21</v>
      </c>
    </row>
    <row r="659" spans="1:3" x14ac:dyDescent="0.25">
      <c r="A659" s="12">
        <v>63804</v>
      </c>
      <c r="B659" s="13" t="s">
        <v>14</v>
      </c>
      <c r="C659" s="13" t="s">
        <v>23</v>
      </c>
    </row>
    <row r="660" spans="1:3" x14ac:dyDescent="0.25">
      <c r="A660" s="12">
        <v>63839</v>
      </c>
      <c r="B660" s="13" t="s">
        <v>14</v>
      </c>
      <c r="C660" s="13" t="s">
        <v>24</v>
      </c>
    </row>
    <row r="661" spans="1:3" x14ac:dyDescent="0.25">
      <c r="A661" s="12">
        <v>63860</v>
      </c>
      <c r="B661" s="13" t="s">
        <v>14</v>
      </c>
      <c r="C661" s="13" t="s">
        <v>25</v>
      </c>
    </row>
    <row r="662" spans="1:3" x14ac:dyDescent="0.25">
      <c r="A662" s="12">
        <v>63873</v>
      </c>
      <c r="B662" s="13" t="s">
        <v>20</v>
      </c>
      <c r="C662" s="13" t="s">
        <v>26</v>
      </c>
    </row>
    <row r="663" spans="1:3" x14ac:dyDescent="0.25">
      <c r="A663" s="12">
        <v>63878</v>
      </c>
      <c r="B663" s="13" t="s">
        <v>13</v>
      </c>
      <c r="C663" s="13" t="s">
        <v>27</v>
      </c>
    </row>
    <row r="664" spans="1:3" x14ac:dyDescent="0.25">
      <c r="A664" s="12">
        <v>63913</v>
      </c>
      <c r="B664" s="13" t="s">
        <v>13</v>
      </c>
      <c r="C664" s="13" t="s">
        <v>28</v>
      </c>
    </row>
    <row r="665" spans="1:3" x14ac:dyDescent="0.25">
      <c r="A665" s="12">
        <v>63920</v>
      </c>
      <c r="B665" s="13" t="s">
        <v>13</v>
      </c>
      <c r="C665" s="13" t="s">
        <v>11</v>
      </c>
    </row>
    <row r="666" spans="1:3" x14ac:dyDescent="0.25">
      <c r="A666" s="12">
        <v>63968</v>
      </c>
      <c r="B666" s="13" t="s">
        <v>10</v>
      </c>
      <c r="C666" s="13" t="s">
        <v>12</v>
      </c>
    </row>
    <row r="667" spans="1:3" x14ac:dyDescent="0.25">
      <c r="A667" s="12">
        <v>63969</v>
      </c>
      <c r="B667" s="13" t="s">
        <v>13</v>
      </c>
      <c r="C667" s="13" t="s">
        <v>12</v>
      </c>
    </row>
    <row r="668" spans="1:3" x14ac:dyDescent="0.25">
      <c r="A668" s="12">
        <v>64014</v>
      </c>
      <c r="B668" s="13" t="s">
        <v>14</v>
      </c>
      <c r="C668" s="13" t="s">
        <v>15</v>
      </c>
    </row>
    <row r="669" spans="1:3" x14ac:dyDescent="0.25">
      <c r="A669" s="12">
        <v>64030</v>
      </c>
      <c r="B669" s="13" t="s">
        <v>16</v>
      </c>
      <c r="C669" s="13" t="s">
        <v>17</v>
      </c>
    </row>
    <row r="670" spans="1:3" x14ac:dyDescent="0.25">
      <c r="A670" s="12">
        <v>64040</v>
      </c>
      <c r="B670" s="13" t="s">
        <v>18</v>
      </c>
      <c r="C670" s="13" t="s">
        <v>19</v>
      </c>
    </row>
    <row r="671" spans="1:3" x14ac:dyDescent="0.25">
      <c r="A671" s="12">
        <v>64076</v>
      </c>
      <c r="B671" s="13" t="s">
        <v>20</v>
      </c>
      <c r="C671" s="13" t="s">
        <v>21</v>
      </c>
    </row>
    <row r="672" spans="1:3" x14ac:dyDescent="0.25">
      <c r="A672" s="12">
        <v>64169</v>
      </c>
      <c r="B672" s="13" t="s">
        <v>22</v>
      </c>
      <c r="C672" s="13" t="s">
        <v>23</v>
      </c>
    </row>
    <row r="673" spans="1:3" x14ac:dyDescent="0.25">
      <c r="A673" s="12">
        <v>64204</v>
      </c>
      <c r="B673" s="13" t="s">
        <v>22</v>
      </c>
      <c r="C673" s="13" t="s">
        <v>24</v>
      </c>
    </row>
    <row r="674" spans="1:3" x14ac:dyDescent="0.25">
      <c r="A674" s="12">
        <v>64225</v>
      </c>
      <c r="B674" s="13" t="s">
        <v>22</v>
      </c>
      <c r="C674" s="13" t="s">
        <v>25</v>
      </c>
    </row>
    <row r="675" spans="1:3" x14ac:dyDescent="0.25">
      <c r="A675" s="12">
        <v>64238</v>
      </c>
      <c r="B675" s="13" t="s">
        <v>14</v>
      </c>
      <c r="C675" s="13" t="s">
        <v>26</v>
      </c>
    </row>
    <row r="676" spans="1:3" x14ac:dyDescent="0.25">
      <c r="A676" s="12">
        <v>64243</v>
      </c>
      <c r="B676" s="13" t="s">
        <v>18</v>
      </c>
      <c r="C676" s="13" t="s">
        <v>27</v>
      </c>
    </row>
    <row r="677" spans="1:3" x14ac:dyDescent="0.25">
      <c r="A677" s="12">
        <v>64278</v>
      </c>
      <c r="B677" s="13" t="s">
        <v>18</v>
      </c>
      <c r="C677" s="13" t="s">
        <v>28</v>
      </c>
    </row>
    <row r="678" spans="1:3" x14ac:dyDescent="0.25">
      <c r="A678" s="12">
        <v>64285</v>
      </c>
      <c r="B678" s="13" t="s">
        <v>18</v>
      </c>
      <c r="C678" s="13" t="s">
        <v>11</v>
      </c>
    </row>
    <row r="679" spans="1:3" x14ac:dyDescent="0.25">
      <c r="A679" s="12">
        <v>64346</v>
      </c>
      <c r="B679" s="13" t="s">
        <v>10</v>
      </c>
      <c r="C679" s="13" t="s">
        <v>12</v>
      </c>
    </row>
    <row r="680" spans="1:3" x14ac:dyDescent="0.25">
      <c r="A680" s="12">
        <v>64347</v>
      </c>
      <c r="B680" s="13" t="s">
        <v>13</v>
      </c>
      <c r="C680" s="13" t="s">
        <v>12</v>
      </c>
    </row>
    <row r="681" spans="1:3" x14ac:dyDescent="0.25">
      <c r="A681" s="12">
        <v>64392</v>
      </c>
      <c r="B681" s="13" t="s">
        <v>14</v>
      </c>
      <c r="C681" s="13" t="s">
        <v>15</v>
      </c>
    </row>
    <row r="682" spans="1:3" x14ac:dyDescent="0.25">
      <c r="A682" s="12">
        <v>64396</v>
      </c>
      <c r="B682" s="13" t="s">
        <v>13</v>
      </c>
      <c r="C682" s="13" t="s">
        <v>17</v>
      </c>
    </row>
    <row r="683" spans="1:3" x14ac:dyDescent="0.25">
      <c r="A683" s="12">
        <v>64406</v>
      </c>
      <c r="B683" s="13" t="s">
        <v>14</v>
      </c>
      <c r="C683" s="13" t="s">
        <v>19</v>
      </c>
    </row>
    <row r="684" spans="1:3" x14ac:dyDescent="0.25">
      <c r="A684" s="12">
        <v>64454</v>
      </c>
      <c r="B684" s="13" t="s">
        <v>20</v>
      </c>
      <c r="C684" s="13" t="s">
        <v>21</v>
      </c>
    </row>
    <row r="685" spans="1:3" x14ac:dyDescent="0.25">
      <c r="A685" s="12">
        <v>64535</v>
      </c>
      <c r="B685" s="13" t="s">
        <v>10</v>
      </c>
      <c r="C685" s="13" t="s">
        <v>23</v>
      </c>
    </row>
    <row r="686" spans="1:3" x14ac:dyDescent="0.25">
      <c r="A686" s="12">
        <v>64570</v>
      </c>
      <c r="B686" s="13" t="s">
        <v>10</v>
      </c>
      <c r="C686" s="13" t="s">
        <v>24</v>
      </c>
    </row>
    <row r="687" spans="1:3" x14ac:dyDescent="0.25">
      <c r="A687" s="12">
        <v>64591</v>
      </c>
      <c r="B687" s="13" t="s">
        <v>10</v>
      </c>
      <c r="C687" s="13" t="s">
        <v>25</v>
      </c>
    </row>
    <row r="688" spans="1:3" x14ac:dyDescent="0.25">
      <c r="A688" s="12">
        <v>64604</v>
      </c>
      <c r="B688" s="13" t="s">
        <v>16</v>
      </c>
      <c r="C688" s="13" t="s">
        <v>26</v>
      </c>
    </row>
    <row r="689" spans="1:3" x14ac:dyDescent="0.25">
      <c r="A689" s="12">
        <v>64609</v>
      </c>
      <c r="B689" s="13" t="s">
        <v>14</v>
      </c>
      <c r="C689" s="13" t="s">
        <v>27</v>
      </c>
    </row>
    <row r="690" spans="1:3" x14ac:dyDescent="0.25">
      <c r="A690" s="12">
        <v>64644</v>
      </c>
      <c r="B690" s="13" t="s">
        <v>14</v>
      </c>
      <c r="C690" s="13" t="s">
        <v>28</v>
      </c>
    </row>
    <row r="691" spans="1:3" x14ac:dyDescent="0.25">
      <c r="A691" s="12">
        <v>64651</v>
      </c>
      <c r="B691" s="13" t="s">
        <v>14</v>
      </c>
      <c r="C691" s="13" t="s">
        <v>11</v>
      </c>
    </row>
    <row r="692" spans="1:3" x14ac:dyDescent="0.25">
      <c r="A692" s="12">
        <v>64703</v>
      </c>
      <c r="B692" s="13" t="s">
        <v>10</v>
      </c>
      <c r="C692" s="13" t="s">
        <v>12</v>
      </c>
    </row>
    <row r="693" spans="1:3" x14ac:dyDescent="0.25">
      <c r="A693" s="12">
        <v>64704</v>
      </c>
      <c r="B693" s="13" t="s">
        <v>13</v>
      </c>
      <c r="C693" s="13" t="s">
        <v>12</v>
      </c>
    </row>
    <row r="694" spans="1:3" x14ac:dyDescent="0.25">
      <c r="A694" s="12">
        <v>64749</v>
      </c>
      <c r="B694" s="13" t="s">
        <v>14</v>
      </c>
      <c r="C694" s="13" t="s">
        <v>15</v>
      </c>
    </row>
    <row r="695" spans="1:3" x14ac:dyDescent="0.25">
      <c r="A695" s="12">
        <v>64761</v>
      </c>
      <c r="B695" s="13" t="s">
        <v>18</v>
      </c>
      <c r="C695" s="13" t="s">
        <v>17</v>
      </c>
    </row>
    <row r="696" spans="1:3" x14ac:dyDescent="0.25">
      <c r="A696" s="12">
        <v>64771</v>
      </c>
      <c r="B696" s="13" t="s">
        <v>22</v>
      </c>
      <c r="C696" s="13" t="s">
        <v>19</v>
      </c>
    </row>
    <row r="697" spans="1:3" x14ac:dyDescent="0.25">
      <c r="A697" s="12">
        <v>64811</v>
      </c>
      <c r="B697" s="13" t="s">
        <v>20</v>
      </c>
      <c r="C697" s="13" t="s">
        <v>21</v>
      </c>
    </row>
    <row r="698" spans="1:3" x14ac:dyDescent="0.25">
      <c r="A698" s="12">
        <v>64900</v>
      </c>
      <c r="B698" s="13" t="s">
        <v>13</v>
      </c>
      <c r="C698" s="13" t="s">
        <v>23</v>
      </c>
    </row>
    <row r="699" spans="1:3" x14ac:dyDescent="0.25">
      <c r="A699" s="12">
        <v>64935</v>
      </c>
      <c r="B699" s="13" t="s">
        <v>13</v>
      </c>
      <c r="C699" s="13" t="s">
        <v>24</v>
      </c>
    </row>
    <row r="700" spans="1:3" x14ac:dyDescent="0.25">
      <c r="A700" s="12">
        <v>64956</v>
      </c>
      <c r="B700" s="13" t="s">
        <v>13</v>
      </c>
      <c r="C700" s="13" t="s">
        <v>25</v>
      </c>
    </row>
    <row r="701" spans="1:3" x14ac:dyDescent="0.25">
      <c r="A701" s="12">
        <v>64969</v>
      </c>
      <c r="B701" s="13" t="s">
        <v>10</v>
      </c>
      <c r="C701" s="13" t="s">
        <v>26</v>
      </c>
    </row>
    <row r="702" spans="1:3" x14ac:dyDescent="0.25">
      <c r="A702" s="12">
        <v>64974</v>
      </c>
      <c r="B702" s="13" t="s">
        <v>22</v>
      </c>
      <c r="C702" s="13" t="s">
        <v>27</v>
      </c>
    </row>
    <row r="703" spans="1:3" x14ac:dyDescent="0.25">
      <c r="A703" s="12">
        <v>65009</v>
      </c>
      <c r="B703" s="13" t="s">
        <v>22</v>
      </c>
      <c r="C703" s="13" t="s">
        <v>28</v>
      </c>
    </row>
    <row r="704" spans="1:3" x14ac:dyDescent="0.25">
      <c r="A704" s="12">
        <v>65016</v>
      </c>
      <c r="B704" s="13" t="s">
        <v>22</v>
      </c>
      <c r="C704" s="13" t="s">
        <v>11</v>
      </c>
    </row>
    <row r="705" spans="1:3" x14ac:dyDescent="0.25">
      <c r="A705" s="12">
        <v>65060</v>
      </c>
      <c r="B705" s="13" t="s">
        <v>10</v>
      </c>
      <c r="C705" s="13" t="s">
        <v>12</v>
      </c>
    </row>
    <row r="706" spans="1:3" x14ac:dyDescent="0.25">
      <c r="A706" s="12">
        <v>65061</v>
      </c>
      <c r="B706" s="13" t="s">
        <v>13</v>
      </c>
      <c r="C706" s="13" t="s">
        <v>12</v>
      </c>
    </row>
    <row r="707" spans="1:3" x14ac:dyDescent="0.25">
      <c r="A707" s="12">
        <v>65106</v>
      </c>
      <c r="B707" s="13" t="s">
        <v>14</v>
      </c>
      <c r="C707" s="13" t="s">
        <v>15</v>
      </c>
    </row>
    <row r="708" spans="1:3" x14ac:dyDescent="0.25">
      <c r="A708" s="12">
        <v>65126</v>
      </c>
      <c r="B708" s="13" t="s">
        <v>20</v>
      </c>
      <c r="C708" s="13" t="s">
        <v>17</v>
      </c>
    </row>
    <row r="709" spans="1:3" x14ac:dyDescent="0.25">
      <c r="A709" s="12">
        <v>65136</v>
      </c>
      <c r="B709" s="13" t="s">
        <v>16</v>
      </c>
      <c r="C709" s="13" t="s">
        <v>19</v>
      </c>
    </row>
    <row r="710" spans="1:3" x14ac:dyDescent="0.25">
      <c r="A710" s="12">
        <v>65168</v>
      </c>
      <c r="B710" s="13" t="s">
        <v>20</v>
      </c>
      <c r="C710" s="13" t="s">
        <v>21</v>
      </c>
    </row>
    <row r="711" spans="1:3" x14ac:dyDescent="0.25">
      <c r="A711" s="12">
        <v>65265</v>
      </c>
      <c r="B711" s="13" t="s">
        <v>18</v>
      </c>
      <c r="C711" s="13" t="s">
        <v>23</v>
      </c>
    </row>
    <row r="712" spans="1:3" x14ac:dyDescent="0.25">
      <c r="A712" s="12">
        <v>65300</v>
      </c>
      <c r="B712" s="13" t="s">
        <v>18</v>
      </c>
      <c r="C712" s="13" t="s">
        <v>24</v>
      </c>
    </row>
    <row r="713" spans="1:3" x14ac:dyDescent="0.25">
      <c r="A713" s="12">
        <v>65321</v>
      </c>
      <c r="B713" s="13" t="s">
        <v>18</v>
      </c>
      <c r="C713" s="13" t="s">
        <v>25</v>
      </c>
    </row>
    <row r="714" spans="1:3" x14ac:dyDescent="0.25">
      <c r="A714" s="12">
        <v>65334</v>
      </c>
      <c r="B714" s="13" t="s">
        <v>13</v>
      </c>
      <c r="C714" s="13" t="s">
        <v>26</v>
      </c>
    </row>
    <row r="715" spans="1:3" x14ac:dyDescent="0.25">
      <c r="A715" s="12">
        <v>65339</v>
      </c>
      <c r="B715" s="13" t="s">
        <v>16</v>
      </c>
      <c r="C715" s="13" t="s">
        <v>27</v>
      </c>
    </row>
    <row r="716" spans="1:3" x14ac:dyDescent="0.25">
      <c r="A716" s="12">
        <v>65374</v>
      </c>
      <c r="B716" s="13" t="s">
        <v>16</v>
      </c>
      <c r="C716" s="13" t="s">
        <v>28</v>
      </c>
    </row>
    <row r="717" spans="1:3" x14ac:dyDescent="0.25">
      <c r="A717" s="12">
        <v>65381</v>
      </c>
      <c r="B717" s="13" t="s">
        <v>16</v>
      </c>
      <c r="C717" s="13" t="s">
        <v>11</v>
      </c>
    </row>
    <row r="718" spans="1:3" x14ac:dyDescent="0.25">
      <c r="A718" s="12">
        <v>65445</v>
      </c>
      <c r="B718" s="13" t="s">
        <v>10</v>
      </c>
      <c r="C718" s="13" t="s">
        <v>12</v>
      </c>
    </row>
    <row r="719" spans="1:3" x14ac:dyDescent="0.25">
      <c r="A719" s="12">
        <v>65446</v>
      </c>
      <c r="B719" s="13" t="s">
        <v>13</v>
      </c>
      <c r="C719" s="13" t="s">
        <v>12</v>
      </c>
    </row>
    <row r="720" spans="1:3" x14ac:dyDescent="0.25">
      <c r="A720" s="12">
        <v>65491</v>
      </c>
      <c r="B720" s="13" t="s">
        <v>14</v>
      </c>
      <c r="C720" s="13" t="s">
        <v>15</v>
      </c>
    </row>
    <row r="721" spans="1:3" x14ac:dyDescent="0.25">
      <c r="A721" s="12">
        <v>65491</v>
      </c>
      <c r="B721" s="13" t="s">
        <v>14</v>
      </c>
      <c r="C721" s="13" t="s">
        <v>17</v>
      </c>
    </row>
    <row r="722" spans="1:3" x14ac:dyDescent="0.25">
      <c r="A722" s="12">
        <v>65501</v>
      </c>
      <c r="B722" s="13" t="s">
        <v>10</v>
      </c>
      <c r="C722" s="13" t="s">
        <v>19</v>
      </c>
    </row>
    <row r="723" spans="1:3" x14ac:dyDescent="0.25">
      <c r="A723" s="12">
        <v>65553</v>
      </c>
      <c r="B723" s="13" t="s">
        <v>20</v>
      </c>
      <c r="C723" s="13" t="s">
        <v>21</v>
      </c>
    </row>
    <row r="724" spans="1:3" x14ac:dyDescent="0.25">
      <c r="A724" s="12">
        <v>65630</v>
      </c>
      <c r="B724" s="13" t="s">
        <v>20</v>
      </c>
      <c r="C724" s="13" t="s">
        <v>23</v>
      </c>
    </row>
    <row r="725" spans="1:3" x14ac:dyDescent="0.25">
      <c r="A725" s="12">
        <v>65665</v>
      </c>
      <c r="B725" s="13" t="s">
        <v>20</v>
      </c>
      <c r="C725" s="13" t="s">
        <v>24</v>
      </c>
    </row>
    <row r="726" spans="1:3" x14ac:dyDescent="0.25">
      <c r="A726" s="12">
        <v>65686</v>
      </c>
      <c r="B726" s="13" t="s">
        <v>20</v>
      </c>
      <c r="C726" s="13" t="s">
        <v>25</v>
      </c>
    </row>
    <row r="727" spans="1:3" x14ac:dyDescent="0.25">
      <c r="A727" s="12">
        <v>65699</v>
      </c>
      <c r="B727" s="13" t="s">
        <v>18</v>
      </c>
      <c r="C727" s="13" t="s">
        <v>26</v>
      </c>
    </row>
    <row r="728" spans="1:3" x14ac:dyDescent="0.25">
      <c r="A728" s="12">
        <v>65704</v>
      </c>
      <c r="B728" s="13" t="s">
        <v>10</v>
      </c>
      <c r="C728" s="13" t="s">
        <v>27</v>
      </c>
    </row>
    <row r="729" spans="1:3" x14ac:dyDescent="0.25">
      <c r="A729" s="12">
        <v>65739</v>
      </c>
      <c r="B729" s="13" t="s">
        <v>10</v>
      </c>
      <c r="C729" s="13" t="s">
        <v>28</v>
      </c>
    </row>
    <row r="730" spans="1:3" x14ac:dyDescent="0.25">
      <c r="A730" s="12">
        <v>65746</v>
      </c>
      <c r="B730" s="13" t="s">
        <v>10</v>
      </c>
      <c r="C730" s="13" t="s">
        <v>11</v>
      </c>
    </row>
    <row r="731" spans="1:3" x14ac:dyDescent="0.25">
      <c r="A731" s="12">
        <v>65795</v>
      </c>
      <c r="B731" s="13" t="s">
        <v>10</v>
      </c>
      <c r="C731" s="13" t="s">
        <v>12</v>
      </c>
    </row>
    <row r="732" spans="1:3" x14ac:dyDescent="0.25">
      <c r="A732" s="12">
        <v>65796</v>
      </c>
      <c r="B732" s="13" t="s">
        <v>13</v>
      </c>
      <c r="C732" s="13" t="s">
        <v>12</v>
      </c>
    </row>
    <row r="733" spans="1:3" x14ac:dyDescent="0.25">
      <c r="A733" s="12">
        <v>65841</v>
      </c>
      <c r="B733" s="13" t="s">
        <v>14</v>
      </c>
      <c r="C733" s="13" t="s">
        <v>15</v>
      </c>
    </row>
    <row r="734" spans="1:3" x14ac:dyDescent="0.25">
      <c r="A734" s="12">
        <v>65857</v>
      </c>
      <c r="B734" s="13" t="s">
        <v>16</v>
      </c>
      <c r="C734" s="13" t="s">
        <v>17</v>
      </c>
    </row>
    <row r="735" spans="1:3" x14ac:dyDescent="0.25">
      <c r="A735" s="12">
        <v>65867</v>
      </c>
      <c r="B735" s="13" t="s">
        <v>18</v>
      </c>
      <c r="C735" s="13" t="s">
        <v>19</v>
      </c>
    </row>
    <row r="736" spans="1:3" x14ac:dyDescent="0.25">
      <c r="A736" s="12">
        <v>65903</v>
      </c>
      <c r="B736" s="13" t="s">
        <v>20</v>
      </c>
      <c r="C736" s="13" t="s">
        <v>21</v>
      </c>
    </row>
    <row r="737" spans="1:3" x14ac:dyDescent="0.25">
      <c r="A737" s="12">
        <v>65996</v>
      </c>
      <c r="B737" s="13" t="s">
        <v>22</v>
      </c>
      <c r="C737" s="13" t="s">
        <v>23</v>
      </c>
    </row>
    <row r="738" spans="1:3" x14ac:dyDescent="0.25">
      <c r="A738" s="12">
        <v>66031</v>
      </c>
      <c r="B738" s="13" t="s">
        <v>22</v>
      </c>
      <c r="C738" s="13" t="s">
        <v>24</v>
      </c>
    </row>
    <row r="739" spans="1:3" x14ac:dyDescent="0.25">
      <c r="A739" s="12">
        <v>66052</v>
      </c>
      <c r="B739" s="13" t="s">
        <v>22</v>
      </c>
      <c r="C739" s="13" t="s">
        <v>25</v>
      </c>
    </row>
    <row r="740" spans="1:3" x14ac:dyDescent="0.25">
      <c r="A740" s="12">
        <v>66065</v>
      </c>
      <c r="B740" s="13" t="s">
        <v>14</v>
      </c>
      <c r="C740" s="13" t="s">
        <v>26</v>
      </c>
    </row>
    <row r="741" spans="1:3" x14ac:dyDescent="0.25">
      <c r="A741" s="12">
        <v>66070</v>
      </c>
      <c r="B741" s="13" t="s">
        <v>18</v>
      </c>
      <c r="C741" s="13" t="s">
        <v>27</v>
      </c>
    </row>
    <row r="742" spans="1:3" x14ac:dyDescent="0.25">
      <c r="A742" s="12">
        <v>66105</v>
      </c>
      <c r="B742" s="13" t="s">
        <v>18</v>
      </c>
      <c r="C742" s="13" t="s">
        <v>28</v>
      </c>
    </row>
    <row r="743" spans="1:3" x14ac:dyDescent="0.25">
      <c r="A743" s="12">
        <v>66112</v>
      </c>
      <c r="B743" s="13" t="s">
        <v>18</v>
      </c>
      <c r="C743" s="13" t="s">
        <v>11</v>
      </c>
    </row>
    <row r="744" spans="1:3" x14ac:dyDescent="0.25">
      <c r="A744" s="12">
        <v>66152</v>
      </c>
      <c r="B744" s="13" t="s">
        <v>10</v>
      </c>
      <c r="C744" s="13" t="s">
        <v>12</v>
      </c>
    </row>
    <row r="745" spans="1:3" x14ac:dyDescent="0.25">
      <c r="A745" s="12">
        <v>66153</v>
      </c>
      <c r="B745" s="13" t="s">
        <v>13</v>
      </c>
      <c r="C745" s="13" t="s">
        <v>12</v>
      </c>
    </row>
    <row r="746" spans="1:3" x14ac:dyDescent="0.25">
      <c r="A746" s="12">
        <v>66198</v>
      </c>
      <c r="B746" s="13" t="s">
        <v>14</v>
      </c>
      <c r="C746" s="13" t="s">
        <v>15</v>
      </c>
    </row>
    <row r="747" spans="1:3" x14ac:dyDescent="0.25">
      <c r="A747" s="12">
        <v>66222</v>
      </c>
      <c r="B747" s="13" t="s">
        <v>10</v>
      </c>
      <c r="C747" s="13" t="s">
        <v>17</v>
      </c>
    </row>
    <row r="748" spans="1:3" x14ac:dyDescent="0.25">
      <c r="A748" s="12">
        <v>66232</v>
      </c>
      <c r="B748" s="13" t="s">
        <v>20</v>
      </c>
      <c r="C748" s="13" t="s">
        <v>19</v>
      </c>
    </row>
    <row r="749" spans="1:3" x14ac:dyDescent="0.25">
      <c r="A749" s="12">
        <v>66260</v>
      </c>
      <c r="B749" s="13" t="s">
        <v>20</v>
      </c>
      <c r="C749" s="13" t="s">
        <v>21</v>
      </c>
    </row>
    <row r="750" spans="1:3" x14ac:dyDescent="0.25">
      <c r="A750" s="12">
        <v>66361</v>
      </c>
      <c r="B750" s="13" t="s">
        <v>16</v>
      </c>
      <c r="C750" s="13" t="s">
        <v>23</v>
      </c>
    </row>
    <row r="751" spans="1:3" x14ac:dyDescent="0.25">
      <c r="A751" s="12">
        <v>66396</v>
      </c>
      <c r="B751" s="13" t="s">
        <v>16</v>
      </c>
      <c r="C751" s="13" t="s">
        <v>24</v>
      </c>
    </row>
    <row r="752" spans="1:3" x14ac:dyDescent="0.25">
      <c r="A752" s="12">
        <v>66417</v>
      </c>
      <c r="B752" s="13" t="s">
        <v>16</v>
      </c>
      <c r="C752" s="13" t="s">
        <v>25</v>
      </c>
    </row>
    <row r="753" spans="1:3" x14ac:dyDescent="0.25">
      <c r="A753" s="12">
        <v>66430</v>
      </c>
      <c r="B753" s="13" t="s">
        <v>22</v>
      </c>
      <c r="C753" s="13" t="s">
        <v>26</v>
      </c>
    </row>
    <row r="754" spans="1:3" x14ac:dyDescent="0.25">
      <c r="A754" s="12">
        <v>66435</v>
      </c>
      <c r="B754" s="13" t="s">
        <v>20</v>
      </c>
      <c r="C754" s="13" t="s">
        <v>27</v>
      </c>
    </row>
    <row r="755" spans="1:3" x14ac:dyDescent="0.25">
      <c r="A755" s="12">
        <v>66470</v>
      </c>
      <c r="B755" s="13" t="s">
        <v>20</v>
      </c>
      <c r="C755" s="13" t="s">
        <v>28</v>
      </c>
    </row>
    <row r="756" spans="1:3" x14ac:dyDescent="0.25">
      <c r="A756" s="12">
        <v>66477</v>
      </c>
      <c r="B756" s="13" t="s">
        <v>20</v>
      </c>
      <c r="C756" s="13" t="s">
        <v>11</v>
      </c>
    </row>
    <row r="757" spans="1:3" x14ac:dyDescent="0.25">
      <c r="A757" s="12">
        <v>66537</v>
      </c>
      <c r="B757" s="13" t="s">
        <v>10</v>
      </c>
      <c r="C757" s="13" t="s">
        <v>12</v>
      </c>
    </row>
    <row r="758" spans="1:3" x14ac:dyDescent="0.25">
      <c r="A758" s="12">
        <v>66538</v>
      </c>
      <c r="B758" s="13" t="s">
        <v>13</v>
      </c>
      <c r="C758" s="13" t="s">
        <v>12</v>
      </c>
    </row>
    <row r="759" spans="1:3" x14ac:dyDescent="0.25">
      <c r="A759" s="12">
        <v>66583</v>
      </c>
      <c r="B759" s="13" t="s">
        <v>14</v>
      </c>
      <c r="C759" s="13" t="s">
        <v>15</v>
      </c>
    </row>
    <row r="760" spans="1:3" x14ac:dyDescent="0.25">
      <c r="A760" s="12">
        <v>66587</v>
      </c>
      <c r="B760" s="13" t="s">
        <v>13</v>
      </c>
      <c r="C760" s="13" t="s">
        <v>17</v>
      </c>
    </row>
    <row r="761" spans="1:3" x14ac:dyDescent="0.25">
      <c r="A761" s="12">
        <v>66597</v>
      </c>
      <c r="B761" s="13" t="s">
        <v>14</v>
      </c>
      <c r="C761" s="13" t="s">
        <v>19</v>
      </c>
    </row>
    <row r="762" spans="1:3" x14ac:dyDescent="0.25">
      <c r="A762" s="12">
        <v>66645</v>
      </c>
      <c r="B762" s="13" t="s">
        <v>20</v>
      </c>
      <c r="C762" s="13" t="s">
        <v>21</v>
      </c>
    </row>
    <row r="763" spans="1:3" x14ac:dyDescent="0.25">
      <c r="A763" s="12">
        <v>66726</v>
      </c>
      <c r="B763" s="13" t="s">
        <v>10</v>
      </c>
      <c r="C763" s="13" t="s">
        <v>23</v>
      </c>
    </row>
    <row r="764" spans="1:3" x14ac:dyDescent="0.25">
      <c r="A764" s="12">
        <v>66761</v>
      </c>
      <c r="B764" s="13" t="s">
        <v>10</v>
      </c>
      <c r="C764" s="13" t="s">
        <v>24</v>
      </c>
    </row>
    <row r="765" spans="1:3" x14ac:dyDescent="0.25">
      <c r="A765" s="12">
        <v>66782</v>
      </c>
      <c r="B765" s="13" t="s">
        <v>10</v>
      </c>
      <c r="C765" s="13" t="s">
        <v>25</v>
      </c>
    </row>
    <row r="766" spans="1:3" x14ac:dyDescent="0.25">
      <c r="A766" s="12">
        <v>66795</v>
      </c>
      <c r="B766" s="13" t="s">
        <v>16</v>
      </c>
      <c r="C766" s="13" t="s">
        <v>26</v>
      </c>
    </row>
    <row r="767" spans="1:3" x14ac:dyDescent="0.25">
      <c r="A767" s="12">
        <v>66800</v>
      </c>
      <c r="B767" s="13" t="s">
        <v>14</v>
      </c>
      <c r="C767" s="13" t="s">
        <v>27</v>
      </c>
    </row>
    <row r="768" spans="1:3" x14ac:dyDescent="0.25">
      <c r="A768" s="12">
        <v>66835</v>
      </c>
      <c r="B768" s="13" t="s">
        <v>14</v>
      </c>
      <c r="C768" s="13" t="s">
        <v>28</v>
      </c>
    </row>
    <row r="769" spans="1:3" x14ac:dyDescent="0.25">
      <c r="A769" s="12">
        <v>66842</v>
      </c>
      <c r="B769" s="13" t="s">
        <v>14</v>
      </c>
      <c r="C769" s="13" t="s">
        <v>11</v>
      </c>
    </row>
    <row r="770" spans="1:3" x14ac:dyDescent="0.25">
      <c r="A770" s="12">
        <v>66887</v>
      </c>
      <c r="B770" s="13" t="s">
        <v>10</v>
      </c>
      <c r="C770" s="13" t="s">
        <v>12</v>
      </c>
    </row>
    <row r="771" spans="1:3" x14ac:dyDescent="0.25">
      <c r="A771" s="12">
        <v>66888</v>
      </c>
      <c r="B771" s="13" t="s">
        <v>13</v>
      </c>
      <c r="C771" s="13" t="s">
        <v>12</v>
      </c>
    </row>
    <row r="772" spans="1:3" x14ac:dyDescent="0.25">
      <c r="A772" s="12">
        <v>66933</v>
      </c>
      <c r="B772" s="13" t="s">
        <v>14</v>
      </c>
      <c r="C772" s="13" t="s">
        <v>15</v>
      </c>
    </row>
    <row r="773" spans="1:3" x14ac:dyDescent="0.25">
      <c r="A773" s="12">
        <v>66952</v>
      </c>
      <c r="B773" s="13" t="s">
        <v>18</v>
      </c>
      <c r="C773" s="13" t="s">
        <v>17</v>
      </c>
    </row>
    <row r="774" spans="1:3" x14ac:dyDescent="0.25">
      <c r="A774" s="12">
        <v>66962</v>
      </c>
      <c r="B774" s="13" t="s">
        <v>22</v>
      </c>
      <c r="C774" s="13" t="s">
        <v>19</v>
      </c>
    </row>
    <row r="775" spans="1:3" x14ac:dyDescent="0.25">
      <c r="A775" s="12">
        <v>66995</v>
      </c>
      <c r="B775" s="13" t="s">
        <v>20</v>
      </c>
      <c r="C775" s="13" t="s">
        <v>21</v>
      </c>
    </row>
    <row r="776" spans="1:3" x14ac:dyDescent="0.25">
      <c r="A776" s="12">
        <v>67091</v>
      </c>
      <c r="B776" s="13" t="s">
        <v>13</v>
      </c>
      <c r="C776" s="13" t="s">
        <v>23</v>
      </c>
    </row>
    <row r="777" spans="1:3" x14ac:dyDescent="0.25">
      <c r="A777" s="12">
        <v>67126</v>
      </c>
      <c r="B777" s="13" t="s">
        <v>13</v>
      </c>
      <c r="C777" s="13" t="s">
        <v>24</v>
      </c>
    </row>
    <row r="778" spans="1:3" x14ac:dyDescent="0.25">
      <c r="A778" s="12">
        <v>67147</v>
      </c>
      <c r="B778" s="13" t="s">
        <v>13</v>
      </c>
      <c r="C778" s="13" t="s">
        <v>25</v>
      </c>
    </row>
    <row r="779" spans="1:3" x14ac:dyDescent="0.25">
      <c r="A779" s="12">
        <v>67160</v>
      </c>
      <c r="B779" s="13" t="s">
        <v>10</v>
      </c>
      <c r="C779" s="13" t="s">
        <v>26</v>
      </c>
    </row>
    <row r="780" spans="1:3" x14ac:dyDescent="0.25">
      <c r="A780" s="12">
        <v>67165</v>
      </c>
      <c r="B780" s="13" t="s">
        <v>22</v>
      </c>
      <c r="C780" s="13" t="s">
        <v>27</v>
      </c>
    </row>
    <row r="781" spans="1:3" x14ac:dyDescent="0.25">
      <c r="A781" s="12">
        <v>67200</v>
      </c>
      <c r="B781" s="13" t="s">
        <v>22</v>
      </c>
      <c r="C781" s="13" t="s">
        <v>28</v>
      </c>
    </row>
    <row r="782" spans="1:3" x14ac:dyDescent="0.25">
      <c r="A782" s="12">
        <v>67207</v>
      </c>
      <c r="B782" s="13" t="s">
        <v>22</v>
      </c>
      <c r="C782" s="13" t="s">
        <v>11</v>
      </c>
    </row>
    <row r="783" spans="1:3" x14ac:dyDescent="0.25">
      <c r="A783" s="12">
        <v>67244</v>
      </c>
      <c r="B783" s="13" t="s">
        <v>10</v>
      </c>
      <c r="C783" s="13" t="s">
        <v>12</v>
      </c>
    </row>
    <row r="784" spans="1:3" x14ac:dyDescent="0.25">
      <c r="A784" s="12">
        <v>67245</v>
      </c>
      <c r="B784" s="13" t="s">
        <v>13</v>
      </c>
      <c r="C784" s="13" t="s">
        <v>12</v>
      </c>
    </row>
    <row r="785" spans="1:3" x14ac:dyDescent="0.25">
      <c r="A785" s="12">
        <v>67290</v>
      </c>
      <c r="B785" s="13" t="s">
        <v>14</v>
      </c>
      <c r="C785" s="13" t="s">
        <v>15</v>
      </c>
    </row>
    <row r="786" spans="1:3" x14ac:dyDescent="0.25">
      <c r="A786" s="12">
        <v>67318</v>
      </c>
      <c r="B786" s="13" t="s">
        <v>14</v>
      </c>
      <c r="C786" s="13" t="s">
        <v>17</v>
      </c>
    </row>
    <row r="787" spans="1:3" x14ac:dyDescent="0.25">
      <c r="A787" s="12">
        <v>67328</v>
      </c>
      <c r="B787" s="13" t="s">
        <v>10</v>
      </c>
      <c r="C787" s="13" t="s">
        <v>19</v>
      </c>
    </row>
    <row r="788" spans="1:3" x14ac:dyDescent="0.25">
      <c r="A788" s="12">
        <v>67352</v>
      </c>
      <c r="B788" s="13" t="s">
        <v>20</v>
      </c>
      <c r="C788" s="13" t="s">
        <v>21</v>
      </c>
    </row>
    <row r="789" spans="1:3" x14ac:dyDescent="0.25">
      <c r="A789" s="12">
        <v>67457</v>
      </c>
      <c r="B789" s="13" t="s">
        <v>20</v>
      </c>
      <c r="C789" s="13" t="s">
        <v>23</v>
      </c>
    </row>
    <row r="790" spans="1:3" x14ac:dyDescent="0.25">
      <c r="A790" s="12">
        <v>67492</v>
      </c>
      <c r="B790" s="13" t="s">
        <v>20</v>
      </c>
      <c r="C790" s="13" t="s">
        <v>24</v>
      </c>
    </row>
    <row r="791" spans="1:3" x14ac:dyDescent="0.25">
      <c r="A791" s="12">
        <v>67513</v>
      </c>
      <c r="B791" s="13" t="s">
        <v>20</v>
      </c>
      <c r="C791" s="13" t="s">
        <v>25</v>
      </c>
    </row>
    <row r="792" spans="1:3" x14ac:dyDescent="0.25">
      <c r="A792" s="12">
        <v>67526</v>
      </c>
      <c r="B792" s="13" t="s">
        <v>18</v>
      </c>
      <c r="C792" s="13" t="s">
        <v>26</v>
      </c>
    </row>
    <row r="793" spans="1:3" x14ac:dyDescent="0.25">
      <c r="A793" s="12">
        <v>67531</v>
      </c>
      <c r="B793" s="13" t="s">
        <v>10</v>
      </c>
      <c r="C793" s="13" t="s">
        <v>27</v>
      </c>
    </row>
    <row r="794" spans="1:3" x14ac:dyDescent="0.25">
      <c r="A794" s="12">
        <v>67566</v>
      </c>
      <c r="B794" s="13" t="s">
        <v>10</v>
      </c>
      <c r="C794" s="13" t="s">
        <v>28</v>
      </c>
    </row>
    <row r="795" spans="1:3" x14ac:dyDescent="0.25">
      <c r="A795" s="12">
        <v>67573</v>
      </c>
      <c r="B795" s="13" t="s">
        <v>10</v>
      </c>
      <c r="C795" s="13" t="s">
        <v>11</v>
      </c>
    </row>
    <row r="796" spans="1:3" x14ac:dyDescent="0.25">
      <c r="A796" s="12">
        <v>67629</v>
      </c>
      <c r="B796" s="13" t="s">
        <v>10</v>
      </c>
      <c r="C796" s="13" t="s">
        <v>12</v>
      </c>
    </row>
    <row r="797" spans="1:3" x14ac:dyDescent="0.25">
      <c r="A797" s="12">
        <v>67630</v>
      </c>
      <c r="B797" s="13" t="s">
        <v>13</v>
      </c>
      <c r="C797" s="13" t="s">
        <v>12</v>
      </c>
    </row>
    <row r="798" spans="1:3" x14ac:dyDescent="0.25">
      <c r="A798" s="12">
        <v>67675</v>
      </c>
      <c r="B798" s="13" t="s">
        <v>14</v>
      </c>
      <c r="C798" s="13" t="s">
        <v>15</v>
      </c>
    </row>
    <row r="799" spans="1:3" x14ac:dyDescent="0.25">
      <c r="A799" s="12">
        <v>67683</v>
      </c>
      <c r="B799" s="13" t="s">
        <v>22</v>
      </c>
      <c r="C799" s="13" t="s">
        <v>17</v>
      </c>
    </row>
    <row r="800" spans="1:3" x14ac:dyDescent="0.25">
      <c r="A800" s="12">
        <v>67693</v>
      </c>
      <c r="B800" s="13" t="s">
        <v>13</v>
      </c>
      <c r="C800" s="13" t="s">
        <v>19</v>
      </c>
    </row>
    <row r="801" spans="1:3" x14ac:dyDescent="0.25">
      <c r="A801" s="12">
        <v>67737</v>
      </c>
      <c r="B801" s="13" t="s">
        <v>20</v>
      </c>
      <c r="C801" s="13" t="s">
        <v>21</v>
      </c>
    </row>
    <row r="802" spans="1:3" x14ac:dyDescent="0.25">
      <c r="A802" s="12">
        <v>67822</v>
      </c>
      <c r="B802" s="13" t="s">
        <v>14</v>
      </c>
      <c r="C802" s="13" t="s">
        <v>23</v>
      </c>
    </row>
    <row r="803" spans="1:3" x14ac:dyDescent="0.25">
      <c r="A803" s="12">
        <v>67857</v>
      </c>
      <c r="B803" s="13" t="s">
        <v>14</v>
      </c>
      <c r="C803" s="13" t="s">
        <v>24</v>
      </c>
    </row>
    <row r="804" spans="1:3" x14ac:dyDescent="0.25">
      <c r="A804" s="12">
        <v>67878</v>
      </c>
      <c r="B804" s="13" t="s">
        <v>14</v>
      </c>
      <c r="C804" s="13" t="s">
        <v>25</v>
      </c>
    </row>
    <row r="805" spans="1:3" x14ac:dyDescent="0.25">
      <c r="A805" s="12">
        <v>67891</v>
      </c>
      <c r="B805" s="13" t="s">
        <v>20</v>
      </c>
      <c r="C805" s="13" t="s">
        <v>26</v>
      </c>
    </row>
    <row r="806" spans="1:3" x14ac:dyDescent="0.25">
      <c r="A806" s="12">
        <v>67896</v>
      </c>
      <c r="B806" s="13" t="s">
        <v>13</v>
      </c>
      <c r="C806" s="13" t="s">
        <v>27</v>
      </c>
    </row>
    <row r="807" spans="1:3" x14ac:dyDescent="0.25">
      <c r="A807" s="12">
        <v>67931</v>
      </c>
      <c r="B807" s="13" t="s">
        <v>13</v>
      </c>
      <c r="C807" s="13" t="s">
        <v>28</v>
      </c>
    </row>
    <row r="808" spans="1:3" x14ac:dyDescent="0.25">
      <c r="A808" s="12">
        <v>67938</v>
      </c>
      <c r="B808" s="13" t="s">
        <v>13</v>
      </c>
      <c r="C808" s="13" t="s">
        <v>11</v>
      </c>
    </row>
    <row r="809" spans="1:3" x14ac:dyDescent="0.25">
      <c r="A809" s="12">
        <v>67979</v>
      </c>
      <c r="B809" s="13" t="s">
        <v>10</v>
      </c>
      <c r="C809" s="13" t="s">
        <v>12</v>
      </c>
    </row>
    <row r="810" spans="1:3" x14ac:dyDescent="0.25">
      <c r="A810" s="12">
        <v>67980</v>
      </c>
      <c r="B810" s="13" t="s">
        <v>13</v>
      </c>
      <c r="C810" s="13" t="s">
        <v>12</v>
      </c>
    </row>
    <row r="811" spans="1:3" x14ac:dyDescent="0.25">
      <c r="A811" s="12">
        <v>68025</v>
      </c>
      <c r="B811" s="13" t="s">
        <v>14</v>
      </c>
      <c r="C811" s="13" t="s">
        <v>15</v>
      </c>
    </row>
    <row r="812" spans="1:3" x14ac:dyDescent="0.25">
      <c r="A812" s="12">
        <v>68048</v>
      </c>
      <c r="B812" s="13" t="s">
        <v>16</v>
      </c>
      <c r="C812" s="13" t="s">
        <v>17</v>
      </c>
    </row>
    <row r="813" spans="1:3" x14ac:dyDescent="0.25">
      <c r="A813" s="12">
        <v>68058</v>
      </c>
      <c r="B813" s="13" t="s">
        <v>18</v>
      </c>
      <c r="C813" s="13" t="s">
        <v>19</v>
      </c>
    </row>
    <row r="814" spans="1:3" x14ac:dyDescent="0.25">
      <c r="A814" s="12">
        <v>68087</v>
      </c>
      <c r="B814" s="13" t="s">
        <v>20</v>
      </c>
      <c r="C814" s="13" t="s">
        <v>21</v>
      </c>
    </row>
    <row r="815" spans="1:3" x14ac:dyDescent="0.25">
      <c r="A815" s="12">
        <v>68187</v>
      </c>
      <c r="B815" s="13" t="s">
        <v>22</v>
      </c>
      <c r="C815" s="13" t="s">
        <v>23</v>
      </c>
    </row>
    <row r="816" spans="1:3" x14ac:dyDescent="0.25">
      <c r="A816" s="12">
        <v>68222</v>
      </c>
      <c r="B816" s="13" t="s">
        <v>22</v>
      </c>
      <c r="C816" s="13" t="s">
        <v>24</v>
      </c>
    </row>
    <row r="817" spans="1:3" x14ac:dyDescent="0.25">
      <c r="A817" s="12">
        <v>68243</v>
      </c>
      <c r="B817" s="13" t="s">
        <v>22</v>
      </c>
      <c r="C817" s="13" t="s">
        <v>25</v>
      </c>
    </row>
    <row r="818" spans="1:3" x14ac:dyDescent="0.25">
      <c r="A818" s="12">
        <v>68256</v>
      </c>
      <c r="B818" s="13" t="s">
        <v>14</v>
      </c>
      <c r="C818" s="13" t="s">
        <v>26</v>
      </c>
    </row>
    <row r="819" spans="1:3" x14ac:dyDescent="0.25">
      <c r="A819" s="12">
        <v>68261</v>
      </c>
      <c r="B819" s="13" t="s">
        <v>18</v>
      </c>
      <c r="C819" s="13" t="s">
        <v>27</v>
      </c>
    </row>
    <row r="820" spans="1:3" x14ac:dyDescent="0.25">
      <c r="A820" s="12">
        <v>68296</v>
      </c>
      <c r="B820" s="13" t="s">
        <v>18</v>
      </c>
      <c r="C820" s="13" t="s">
        <v>28</v>
      </c>
    </row>
    <row r="821" spans="1:3" x14ac:dyDescent="0.25">
      <c r="A821" s="12">
        <v>68303</v>
      </c>
      <c r="B821" s="13" t="s">
        <v>18</v>
      </c>
      <c r="C821" s="13" t="s">
        <v>11</v>
      </c>
    </row>
    <row r="822" spans="1:3" x14ac:dyDescent="0.25">
      <c r="A822" s="12">
        <v>68364</v>
      </c>
      <c r="B822" s="13" t="s">
        <v>10</v>
      </c>
      <c r="C822" s="13" t="s">
        <v>12</v>
      </c>
    </row>
    <row r="823" spans="1:3" x14ac:dyDescent="0.25">
      <c r="A823" s="12">
        <v>68365</v>
      </c>
      <c r="B823" s="13" t="s">
        <v>13</v>
      </c>
      <c r="C823" s="13" t="s">
        <v>12</v>
      </c>
    </row>
    <row r="824" spans="1:3" x14ac:dyDescent="0.25">
      <c r="A824" s="12">
        <v>68410</v>
      </c>
      <c r="B824" s="13" t="s">
        <v>14</v>
      </c>
      <c r="C824" s="13" t="s">
        <v>15</v>
      </c>
    </row>
    <row r="825" spans="1:3" x14ac:dyDescent="0.25">
      <c r="A825" s="12">
        <v>68413</v>
      </c>
      <c r="B825" s="13" t="s">
        <v>10</v>
      </c>
      <c r="C825" s="13" t="s">
        <v>17</v>
      </c>
    </row>
    <row r="826" spans="1:3" x14ac:dyDescent="0.25">
      <c r="A826" s="12">
        <v>68423</v>
      </c>
      <c r="B826" s="13" t="s">
        <v>20</v>
      </c>
      <c r="C826" s="13" t="s">
        <v>19</v>
      </c>
    </row>
    <row r="827" spans="1:3" x14ac:dyDescent="0.25">
      <c r="A827" s="12">
        <v>68472</v>
      </c>
      <c r="B827" s="13" t="s">
        <v>20</v>
      </c>
      <c r="C827" s="13" t="s">
        <v>21</v>
      </c>
    </row>
    <row r="828" spans="1:3" x14ac:dyDescent="0.25">
      <c r="A828" s="12">
        <v>68552</v>
      </c>
      <c r="B828" s="13" t="s">
        <v>16</v>
      </c>
      <c r="C828" s="13" t="s">
        <v>23</v>
      </c>
    </row>
    <row r="829" spans="1:3" x14ac:dyDescent="0.25">
      <c r="A829" s="12">
        <v>68587</v>
      </c>
      <c r="B829" s="13" t="s">
        <v>16</v>
      </c>
      <c r="C829" s="13" t="s">
        <v>24</v>
      </c>
    </row>
    <row r="830" spans="1:3" x14ac:dyDescent="0.25">
      <c r="A830" s="12">
        <v>68608</v>
      </c>
      <c r="B830" s="13" t="s">
        <v>16</v>
      </c>
      <c r="C830" s="13" t="s">
        <v>25</v>
      </c>
    </row>
    <row r="831" spans="1:3" x14ac:dyDescent="0.25">
      <c r="A831" s="12">
        <v>68621</v>
      </c>
      <c r="B831" s="13" t="s">
        <v>22</v>
      </c>
      <c r="C831" s="13" t="s">
        <v>26</v>
      </c>
    </row>
    <row r="832" spans="1:3" x14ac:dyDescent="0.25">
      <c r="A832" s="12">
        <v>68626</v>
      </c>
      <c r="B832" s="13" t="s">
        <v>20</v>
      </c>
      <c r="C832" s="13" t="s">
        <v>27</v>
      </c>
    </row>
    <row r="833" spans="1:3" x14ac:dyDescent="0.25">
      <c r="A833" s="12">
        <v>68661</v>
      </c>
      <c r="B833" s="13" t="s">
        <v>20</v>
      </c>
      <c r="C833" s="13" t="s">
        <v>28</v>
      </c>
    </row>
    <row r="834" spans="1:3" x14ac:dyDescent="0.25">
      <c r="A834" s="12">
        <v>68668</v>
      </c>
      <c r="B834" s="13" t="s">
        <v>20</v>
      </c>
      <c r="C834" s="13" t="s">
        <v>11</v>
      </c>
    </row>
    <row r="835" spans="1:3" x14ac:dyDescent="0.25">
      <c r="A835" s="12">
        <v>68721</v>
      </c>
      <c r="B835" s="13" t="s">
        <v>10</v>
      </c>
      <c r="C835" s="13" t="s">
        <v>12</v>
      </c>
    </row>
    <row r="836" spans="1:3" x14ac:dyDescent="0.25">
      <c r="A836" s="12">
        <v>68722</v>
      </c>
      <c r="B836" s="13" t="s">
        <v>13</v>
      </c>
      <c r="C836" s="13" t="s">
        <v>12</v>
      </c>
    </row>
    <row r="837" spans="1:3" x14ac:dyDescent="0.25">
      <c r="A837" s="12">
        <v>68767</v>
      </c>
      <c r="B837" s="13" t="s">
        <v>14</v>
      </c>
      <c r="C837" s="13" t="s">
        <v>15</v>
      </c>
    </row>
    <row r="838" spans="1:3" x14ac:dyDescent="0.25">
      <c r="A838" s="12">
        <v>68779</v>
      </c>
      <c r="B838" s="13" t="s">
        <v>18</v>
      </c>
      <c r="C838" s="13" t="s">
        <v>17</v>
      </c>
    </row>
    <row r="839" spans="1:3" x14ac:dyDescent="0.25">
      <c r="A839" s="12">
        <v>68789</v>
      </c>
      <c r="B839" s="13" t="s">
        <v>22</v>
      </c>
      <c r="C839" s="13" t="s">
        <v>19</v>
      </c>
    </row>
    <row r="840" spans="1:3" x14ac:dyDescent="0.25">
      <c r="A840" s="12">
        <v>68829</v>
      </c>
      <c r="B840" s="13" t="s">
        <v>20</v>
      </c>
      <c r="C840" s="13" t="s">
        <v>21</v>
      </c>
    </row>
    <row r="841" spans="1:3" x14ac:dyDescent="0.25">
      <c r="A841" s="12">
        <v>68918</v>
      </c>
      <c r="B841" s="13" t="s">
        <v>13</v>
      </c>
      <c r="C841" s="13" t="s">
        <v>23</v>
      </c>
    </row>
    <row r="842" spans="1:3" x14ac:dyDescent="0.25">
      <c r="A842" s="12">
        <v>68953</v>
      </c>
      <c r="B842" s="13" t="s">
        <v>13</v>
      </c>
      <c r="C842" s="13" t="s">
        <v>24</v>
      </c>
    </row>
    <row r="843" spans="1:3" x14ac:dyDescent="0.25">
      <c r="A843" s="12">
        <v>68974</v>
      </c>
      <c r="B843" s="13" t="s">
        <v>13</v>
      </c>
      <c r="C843" s="13" t="s">
        <v>25</v>
      </c>
    </row>
    <row r="844" spans="1:3" x14ac:dyDescent="0.25">
      <c r="A844" s="12">
        <v>68987</v>
      </c>
      <c r="B844" s="13" t="s">
        <v>10</v>
      </c>
      <c r="C844" s="13" t="s">
        <v>26</v>
      </c>
    </row>
    <row r="845" spans="1:3" x14ac:dyDescent="0.25">
      <c r="A845" s="12">
        <v>68992</v>
      </c>
      <c r="B845" s="13" t="s">
        <v>22</v>
      </c>
      <c r="C845" s="13" t="s">
        <v>27</v>
      </c>
    </row>
    <row r="846" spans="1:3" x14ac:dyDescent="0.25">
      <c r="A846" s="12">
        <v>69027</v>
      </c>
      <c r="B846" s="13" t="s">
        <v>22</v>
      </c>
      <c r="C846" s="13" t="s">
        <v>28</v>
      </c>
    </row>
    <row r="847" spans="1:3" x14ac:dyDescent="0.25">
      <c r="A847" s="12">
        <v>69034</v>
      </c>
      <c r="B847" s="13" t="s">
        <v>22</v>
      </c>
      <c r="C847" s="13" t="s">
        <v>11</v>
      </c>
    </row>
    <row r="848" spans="1:3" x14ac:dyDescent="0.25">
      <c r="A848" s="12">
        <v>69078</v>
      </c>
      <c r="B848" s="13" t="s">
        <v>10</v>
      </c>
      <c r="C848" s="13" t="s">
        <v>12</v>
      </c>
    </row>
    <row r="849" spans="1:3" x14ac:dyDescent="0.25">
      <c r="A849" s="12">
        <v>69079</v>
      </c>
      <c r="B849" s="13" t="s">
        <v>13</v>
      </c>
      <c r="C849" s="13" t="s">
        <v>12</v>
      </c>
    </row>
    <row r="850" spans="1:3" x14ac:dyDescent="0.25">
      <c r="A850" s="12">
        <v>69124</v>
      </c>
      <c r="B850" s="13" t="s">
        <v>14</v>
      </c>
      <c r="C850" s="13" t="s">
        <v>15</v>
      </c>
    </row>
    <row r="851" spans="1:3" x14ac:dyDescent="0.25">
      <c r="A851" s="12">
        <v>69144</v>
      </c>
      <c r="B851" s="13" t="s">
        <v>20</v>
      </c>
      <c r="C851" s="13" t="s">
        <v>17</v>
      </c>
    </row>
    <row r="852" spans="1:3" x14ac:dyDescent="0.25">
      <c r="A852" s="12">
        <v>69154</v>
      </c>
      <c r="B852" s="13" t="s">
        <v>16</v>
      </c>
      <c r="C852" s="13" t="s">
        <v>19</v>
      </c>
    </row>
    <row r="853" spans="1:3" x14ac:dyDescent="0.25">
      <c r="A853" s="12">
        <v>69186</v>
      </c>
      <c r="B853" s="13" t="s">
        <v>20</v>
      </c>
      <c r="C853" s="13" t="s">
        <v>21</v>
      </c>
    </row>
    <row r="854" spans="1:3" x14ac:dyDescent="0.25">
      <c r="A854" s="12">
        <v>69283</v>
      </c>
      <c r="B854" s="13" t="s">
        <v>18</v>
      </c>
      <c r="C854" s="13" t="s">
        <v>23</v>
      </c>
    </row>
    <row r="855" spans="1:3" x14ac:dyDescent="0.25">
      <c r="A855" s="12">
        <v>69318</v>
      </c>
      <c r="B855" s="13" t="s">
        <v>18</v>
      </c>
      <c r="C855" s="13" t="s">
        <v>24</v>
      </c>
    </row>
    <row r="856" spans="1:3" x14ac:dyDescent="0.25">
      <c r="A856" s="12">
        <v>69339</v>
      </c>
      <c r="B856" s="13" t="s">
        <v>18</v>
      </c>
      <c r="C856" s="13" t="s">
        <v>25</v>
      </c>
    </row>
    <row r="857" spans="1:3" x14ac:dyDescent="0.25">
      <c r="A857" s="12">
        <v>69352</v>
      </c>
      <c r="B857" s="13" t="s">
        <v>13</v>
      </c>
      <c r="C857" s="13" t="s">
        <v>26</v>
      </c>
    </row>
    <row r="858" spans="1:3" x14ac:dyDescent="0.25">
      <c r="A858" s="12">
        <v>69357</v>
      </c>
      <c r="B858" s="13" t="s">
        <v>16</v>
      </c>
      <c r="C858" s="13" t="s">
        <v>27</v>
      </c>
    </row>
    <row r="859" spans="1:3" x14ac:dyDescent="0.25">
      <c r="A859" s="12">
        <v>69392</v>
      </c>
      <c r="B859" s="13" t="s">
        <v>16</v>
      </c>
      <c r="C859" s="13" t="s">
        <v>28</v>
      </c>
    </row>
    <row r="860" spans="1:3" x14ac:dyDescent="0.25">
      <c r="A860" s="12">
        <v>69399</v>
      </c>
      <c r="B860" s="13" t="s">
        <v>16</v>
      </c>
      <c r="C860" s="13" t="s">
        <v>11</v>
      </c>
    </row>
    <row r="861" spans="1:3" x14ac:dyDescent="0.25">
      <c r="A861" s="12">
        <v>69456</v>
      </c>
      <c r="B861" s="13" t="s">
        <v>10</v>
      </c>
      <c r="C861" s="13" t="s">
        <v>12</v>
      </c>
    </row>
    <row r="862" spans="1:3" x14ac:dyDescent="0.25">
      <c r="A862" s="12">
        <v>69457</v>
      </c>
      <c r="B862" s="13" t="s">
        <v>13</v>
      </c>
      <c r="C862" s="13" t="s">
        <v>12</v>
      </c>
    </row>
    <row r="863" spans="1:3" x14ac:dyDescent="0.25">
      <c r="A863" s="12">
        <v>69502</v>
      </c>
      <c r="B863" s="13" t="s">
        <v>14</v>
      </c>
      <c r="C863" s="13" t="s">
        <v>15</v>
      </c>
    </row>
    <row r="864" spans="1:3" x14ac:dyDescent="0.25">
      <c r="A864" s="12">
        <v>69509</v>
      </c>
      <c r="B864" s="13" t="s">
        <v>14</v>
      </c>
      <c r="C864" s="13" t="s">
        <v>17</v>
      </c>
    </row>
    <row r="865" spans="1:3" x14ac:dyDescent="0.25">
      <c r="A865" s="12">
        <v>69519</v>
      </c>
      <c r="B865" s="13" t="s">
        <v>10</v>
      </c>
      <c r="C865" s="13" t="s">
        <v>19</v>
      </c>
    </row>
    <row r="866" spans="1:3" x14ac:dyDescent="0.25">
      <c r="A866" s="12">
        <v>69564</v>
      </c>
      <c r="B866" s="13" t="s">
        <v>20</v>
      </c>
      <c r="C866" s="13" t="s">
        <v>21</v>
      </c>
    </row>
    <row r="867" spans="1:3" x14ac:dyDescent="0.25">
      <c r="A867" s="12">
        <v>69648</v>
      </c>
      <c r="B867" s="13" t="s">
        <v>20</v>
      </c>
      <c r="C867" s="13" t="s">
        <v>23</v>
      </c>
    </row>
    <row r="868" spans="1:3" x14ac:dyDescent="0.25">
      <c r="A868" s="12">
        <v>69683</v>
      </c>
      <c r="B868" s="13" t="s">
        <v>20</v>
      </c>
      <c r="C868" s="13" t="s">
        <v>24</v>
      </c>
    </row>
    <row r="869" spans="1:3" x14ac:dyDescent="0.25">
      <c r="A869" s="12">
        <v>69704</v>
      </c>
      <c r="B869" s="13" t="s">
        <v>20</v>
      </c>
      <c r="C869" s="13" t="s">
        <v>25</v>
      </c>
    </row>
    <row r="870" spans="1:3" x14ac:dyDescent="0.25">
      <c r="A870" s="12">
        <v>69717</v>
      </c>
      <c r="B870" s="13" t="s">
        <v>18</v>
      </c>
      <c r="C870" s="13" t="s">
        <v>26</v>
      </c>
    </row>
    <row r="871" spans="1:3" x14ac:dyDescent="0.25">
      <c r="A871" s="12">
        <v>69722</v>
      </c>
      <c r="B871" s="13" t="s">
        <v>10</v>
      </c>
      <c r="C871" s="13" t="s">
        <v>27</v>
      </c>
    </row>
    <row r="872" spans="1:3" x14ac:dyDescent="0.25">
      <c r="A872" s="12">
        <v>69757</v>
      </c>
      <c r="B872" s="13" t="s">
        <v>10</v>
      </c>
      <c r="C872" s="13" t="s">
        <v>28</v>
      </c>
    </row>
    <row r="873" spans="1:3" x14ac:dyDescent="0.25">
      <c r="A873" s="12">
        <v>69764</v>
      </c>
      <c r="B873" s="13" t="s">
        <v>10</v>
      </c>
      <c r="C873" s="13" t="s">
        <v>11</v>
      </c>
    </row>
    <row r="874" spans="1:3" x14ac:dyDescent="0.25">
      <c r="A874" s="12">
        <v>69813</v>
      </c>
      <c r="B874" s="13" t="s">
        <v>10</v>
      </c>
      <c r="C874" s="13" t="s">
        <v>12</v>
      </c>
    </row>
    <row r="875" spans="1:3" x14ac:dyDescent="0.25">
      <c r="A875" s="12">
        <v>69814</v>
      </c>
      <c r="B875" s="13" t="s">
        <v>13</v>
      </c>
      <c r="C875" s="13" t="s">
        <v>12</v>
      </c>
    </row>
    <row r="876" spans="1:3" x14ac:dyDescent="0.25">
      <c r="A876" s="12">
        <v>69859</v>
      </c>
      <c r="B876" s="13" t="s">
        <v>14</v>
      </c>
      <c r="C876" s="13" t="s">
        <v>15</v>
      </c>
    </row>
    <row r="877" spans="1:3" x14ac:dyDescent="0.25">
      <c r="A877" s="12">
        <v>69874</v>
      </c>
      <c r="B877" s="13" t="s">
        <v>22</v>
      </c>
      <c r="C877" s="13" t="s">
        <v>17</v>
      </c>
    </row>
    <row r="878" spans="1:3" x14ac:dyDescent="0.25">
      <c r="A878" s="12">
        <v>69884</v>
      </c>
      <c r="B878" s="13" t="s">
        <v>13</v>
      </c>
      <c r="C878" s="13" t="s">
        <v>19</v>
      </c>
    </row>
    <row r="879" spans="1:3" x14ac:dyDescent="0.25">
      <c r="A879" s="12">
        <v>69921</v>
      </c>
      <c r="B879" s="13" t="s">
        <v>20</v>
      </c>
      <c r="C879" s="13" t="s">
        <v>21</v>
      </c>
    </row>
    <row r="880" spans="1:3" x14ac:dyDescent="0.25">
      <c r="A880" s="12">
        <v>70013</v>
      </c>
      <c r="B880" s="13" t="s">
        <v>14</v>
      </c>
      <c r="C880" s="13" t="s">
        <v>23</v>
      </c>
    </row>
    <row r="881" spans="1:3" x14ac:dyDescent="0.25">
      <c r="A881" s="12">
        <v>70048</v>
      </c>
      <c r="B881" s="13" t="s">
        <v>14</v>
      </c>
      <c r="C881" s="13" t="s">
        <v>24</v>
      </c>
    </row>
    <row r="882" spans="1:3" x14ac:dyDescent="0.25">
      <c r="A882" s="12">
        <v>70069</v>
      </c>
      <c r="B882" s="13" t="s">
        <v>14</v>
      </c>
      <c r="C882" s="13" t="s">
        <v>25</v>
      </c>
    </row>
    <row r="883" spans="1:3" x14ac:dyDescent="0.25">
      <c r="A883" s="12">
        <v>70082</v>
      </c>
      <c r="B883" s="13" t="s">
        <v>20</v>
      </c>
      <c r="C883" s="13" t="s">
        <v>26</v>
      </c>
    </row>
    <row r="884" spans="1:3" x14ac:dyDescent="0.25">
      <c r="A884" s="12">
        <v>70087</v>
      </c>
      <c r="B884" s="13" t="s">
        <v>13</v>
      </c>
      <c r="C884" s="13" t="s">
        <v>27</v>
      </c>
    </row>
    <row r="885" spans="1:3" x14ac:dyDescent="0.25">
      <c r="A885" s="12">
        <v>70122</v>
      </c>
      <c r="B885" s="13" t="s">
        <v>13</v>
      </c>
      <c r="C885" s="13" t="s">
        <v>28</v>
      </c>
    </row>
    <row r="886" spans="1:3" x14ac:dyDescent="0.25">
      <c r="A886" s="12">
        <v>70129</v>
      </c>
      <c r="B886" s="13" t="s">
        <v>13</v>
      </c>
      <c r="C886" s="13" t="s">
        <v>11</v>
      </c>
    </row>
    <row r="887" spans="1:3" x14ac:dyDescent="0.25">
      <c r="A887" s="12">
        <v>70170</v>
      </c>
      <c r="B887" s="13" t="s">
        <v>10</v>
      </c>
      <c r="C887" s="13" t="s">
        <v>12</v>
      </c>
    </row>
    <row r="888" spans="1:3" x14ac:dyDescent="0.25">
      <c r="A888" s="12">
        <v>70171</v>
      </c>
      <c r="B888" s="13" t="s">
        <v>13</v>
      </c>
      <c r="C888" s="13" t="s">
        <v>12</v>
      </c>
    </row>
    <row r="889" spans="1:3" x14ac:dyDescent="0.25">
      <c r="A889" s="12">
        <v>70216</v>
      </c>
      <c r="B889" s="13" t="s">
        <v>14</v>
      </c>
      <c r="C889" s="13" t="s">
        <v>15</v>
      </c>
    </row>
    <row r="890" spans="1:3" x14ac:dyDescent="0.25">
      <c r="A890" s="12">
        <v>70240</v>
      </c>
      <c r="B890" s="13" t="s">
        <v>10</v>
      </c>
      <c r="C890" s="13" t="s">
        <v>17</v>
      </c>
    </row>
    <row r="891" spans="1:3" x14ac:dyDescent="0.25">
      <c r="A891" s="12">
        <v>70250</v>
      </c>
      <c r="B891" s="13" t="s">
        <v>20</v>
      </c>
      <c r="C891" s="13" t="s">
        <v>19</v>
      </c>
    </row>
    <row r="892" spans="1:3" x14ac:dyDescent="0.25">
      <c r="A892" s="12">
        <v>70278</v>
      </c>
      <c r="B892" s="13" t="s">
        <v>20</v>
      </c>
      <c r="C892" s="13" t="s">
        <v>21</v>
      </c>
    </row>
    <row r="893" spans="1:3" x14ac:dyDescent="0.25">
      <c r="A893" s="12">
        <v>70379</v>
      </c>
      <c r="B893" s="13" t="s">
        <v>16</v>
      </c>
      <c r="C893" s="13" t="s">
        <v>23</v>
      </c>
    </row>
    <row r="894" spans="1:3" x14ac:dyDescent="0.25">
      <c r="A894" s="12">
        <v>70414</v>
      </c>
      <c r="B894" s="13" t="s">
        <v>16</v>
      </c>
      <c r="C894" s="13" t="s">
        <v>24</v>
      </c>
    </row>
    <row r="895" spans="1:3" x14ac:dyDescent="0.25">
      <c r="A895" s="12">
        <v>70435</v>
      </c>
      <c r="B895" s="13" t="s">
        <v>16</v>
      </c>
      <c r="C895" s="13" t="s">
        <v>25</v>
      </c>
    </row>
    <row r="896" spans="1:3" x14ac:dyDescent="0.25">
      <c r="A896" s="12">
        <v>70448</v>
      </c>
      <c r="B896" s="13" t="s">
        <v>22</v>
      </c>
      <c r="C896" s="13" t="s">
        <v>26</v>
      </c>
    </row>
    <row r="897" spans="1:3" x14ac:dyDescent="0.25">
      <c r="A897" s="12">
        <v>70453</v>
      </c>
      <c r="B897" s="13" t="s">
        <v>20</v>
      </c>
      <c r="C897" s="13" t="s">
        <v>27</v>
      </c>
    </row>
    <row r="898" spans="1:3" x14ac:dyDescent="0.25">
      <c r="A898" s="12">
        <v>70488</v>
      </c>
      <c r="B898" s="13" t="s">
        <v>20</v>
      </c>
      <c r="C898" s="13" t="s">
        <v>28</v>
      </c>
    </row>
    <row r="899" spans="1:3" x14ac:dyDescent="0.25">
      <c r="A899" s="12">
        <v>70495</v>
      </c>
      <c r="B899" s="13" t="s">
        <v>20</v>
      </c>
      <c r="C899" s="13" t="s">
        <v>11</v>
      </c>
    </row>
    <row r="900" spans="1:3" x14ac:dyDescent="0.25">
      <c r="A900" s="12">
        <v>70548</v>
      </c>
      <c r="B900" s="13" t="s">
        <v>10</v>
      </c>
      <c r="C900" s="13" t="s">
        <v>12</v>
      </c>
    </row>
    <row r="901" spans="1:3" x14ac:dyDescent="0.25">
      <c r="A901" s="12">
        <v>70549</v>
      </c>
      <c r="B901" s="13" t="s">
        <v>13</v>
      </c>
      <c r="C901" s="13" t="s">
        <v>12</v>
      </c>
    </row>
    <row r="902" spans="1:3" x14ac:dyDescent="0.25">
      <c r="A902" s="12">
        <v>70594</v>
      </c>
      <c r="B902" s="13" t="s">
        <v>14</v>
      </c>
      <c r="C902" s="13" t="s">
        <v>15</v>
      </c>
    </row>
    <row r="903" spans="1:3" x14ac:dyDescent="0.25">
      <c r="A903" s="12">
        <v>70605</v>
      </c>
      <c r="B903" s="13" t="s">
        <v>13</v>
      </c>
      <c r="C903" s="13" t="s">
        <v>17</v>
      </c>
    </row>
    <row r="904" spans="1:3" x14ac:dyDescent="0.25">
      <c r="A904" s="12">
        <v>70615</v>
      </c>
      <c r="B904" s="13" t="s">
        <v>14</v>
      </c>
      <c r="C904" s="13" t="s">
        <v>19</v>
      </c>
    </row>
    <row r="905" spans="1:3" x14ac:dyDescent="0.25">
      <c r="A905" s="12">
        <v>70656</v>
      </c>
      <c r="B905" s="13" t="s">
        <v>20</v>
      </c>
      <c r="C905" s="13" t="s">
        <v>21</v>
      </c>
    </row>
    <row r="906" spans="1:3" x14ac:dyDescent="0.25">
      <c r="A906" s="12">
        <v>70744</v>
      </c>
      <c r="B906" s="13" t="s">
        <v>10</v>
      </c>
      <c r="C906" s="13" t="s">
        <v>23</v>
      </c>
    </row>
    <row r="907" spans="1:3" x14ac:dyDescent="0.25">
      <c r="A907" s="12">
        <v>70779</v>
      </c>
      <c r="B907" s="13" t="s">
        <v>10</v>
      </c>
      <c r="C907" s="13" t="s">
        <v>24</v>
      </c>
    </row>
    <row r="908" spans="1:3" x14ac:dyDescent="0.25">
      <c r="A908" s="12">
        <v>70800</v>
      </c>
      <c r="B908" s="13" t="s">
        <v>10</v>
      </c>
      <c r="C908" s="13" t="s">
        <v>25</v>
      </c>
    </row>
    <row r="909" spans="1:3" x14ac:dyDescent="0.25">
      <c r="A909" s="12">
        <v>70813</v>
      </c>
      <c r="B909" s="13" t="s">
        <v>16</v>
      </c>
      <c r="C909" s="13" t="s">
        <v>26</v>
      </c>
    </row>
    <row r="910" spans="1:3" x14ac:dyDescent="0.25">
      <c r="A910" s="12">
        <v>70818</v>
      </c>
      <c r="B910" s="13" t="s">
        <v>14</v>
      </c>
      <c r="C910" s="13" t="s">
        <v>27</v>
      </c>
    </row>
    <row r="911" spans="1:3" x14ac:dyDescent="0.25">
      <c r="A911" s="12">
        <v>70853</v>
      </c>
      <c r="B911" s="13" t="s">
        <v>14</v>
      </c>
      <c r="C911" s="13" t="s">
        <v>28</v>
      </c>
    </row>
    <row r="912" spans="1:3" x14ac:dyDescent="0.25">
      <c r="A912" s="12">
        <v>70860</v>
      </c>
      <c r="B912" s="13" t="s">
        <v>14</v>
      </c>
      <c r="C912" s="13" t="s">
        <v>11</v>
      </c>
    </row>
    <row r="913" spans="1:3" x14ac:dyDescent="0.25">
      <c r="A913" s="12">
        <v>70905</v>
      </c>
      <c r="B913" s="13" t="s">
        <v>10</v>
      </c>
      <c r="C913" s="13" t="s">
        <v>12</v>
      </c>
    </row>
    <row r="914" spans="1:3" x14ac:dyDescent="0.25">
      <c r="A914" s="12">
        <v>70906</v>
      </c>
      <c r="B914" s="13" t="s">
        <v>13</v>
      </c>
      <c r="C914" s="13" t="s">
        <v>12</v>
      </c>
    </row>
    <row r="915" spans="1:3" x14ac:dyDescent="0.25">
      <c r="A915" s="12">
        <v>70951</v>
      </c>
      <c r="B915" s="13" t="s">
        <v>14</v>
      </c>
      <c r="C915" s="13" t="s">
        <v>15</v>
      </c>
    </row>
    <row r="916" spans="1:3" x14ac:dyDescent="0.25">
      <c r="A916" s="12">
        <v>70970</v>
      </c>
      <c r="B916" s="13" t="s">
        <v>18</v>
      </c>
      <c r="C916" s="13" t="s">
        <v>17</v>
      </c>
    </row>
    <row r="917" spans="1:3" x14ac:dyDescent="0.25">
      <c r="A917" s="12">
        <v>70980</v>
      </c>
      <c r="B917" s="13" t="s">
        <v>22</v>
      </c>
      <c r="C917" s="13" t="s">
        <v>19</v>
      </c>
    </row>
    <row r="918" spans="1:3" x14ac:dyDescent="0.25">
      <c r="A918" s="12">
        <v>71013</v>
      </c>
      <c r="B918" s="13" t="s">
        <v>20</v>
      </c>
      <c r="C918" s="13" t="s">
        <v>21</v>
      </c>
    </row>
    <row r="919" spans="1:3" x14ac:dyDescent="0.25">
      <c r="A919" s="12">
        <v>71109</v>
      </c>
      <c r="B919" s="13" t="s">
        <v>13</v>
      </c>
      <c r="C919" s="13" t="s">
        <v>23</v>
      </c>
    </row>
    <row r="920" spans="1:3" x14ac:dyDescent="0.25">
      <c r="A920" s="12">
        <v>71144</v>
      </c>
      <c r="B920" s="13" t="s">
        <v>13</v>
      </c>
      <c r="C920" s="13" t="s">
        <v>24</v>
      </c>
    </row>
    <row r="921" spans="1:3" x14ac:dyDescent="0.25">
      <c r="A921" s="12">
        <v>71165</v>
      </c>
      <c r="B921" s="13" t="s">
        <v>13</v>
      </c>
      <c r="C921" s="13" t="s">
        <v>25</v>
      </c>
    </row>
    <row r="922" spans="1:3" x14ac:dyDescent="0.25">
      <c r="A922" s="12">
        <v>71178</v>
      </c>
      <c r="B922" s="13" t="s">
        <v>10</v>
      </c>
      <c r="C922" s="13" t="s">
        <v>26</v>
      </c>
    </row>
    <row r="923" spans="1:3" x14ac:dyDescent="0.25">
      <c r="A923" s="12">
        <v>71183</v>
      </c>
      <c r="B923" s="13" t="s">
        <v>22</v>
      </c>
      <c r="C923" s="13" t="s">
        <v>27</v>
      </c>
    </row>
    <row r="924" spans="1:3" x14ac:dyDescent="0.25">
      <c r="A924" s="12">
        <v>71218</v>
      </c>
      <c r="B924" s="13" t="s">
        <v>22</v>
      </c>
      <c r="C924" s="13" t="s">
        <v>28</v>
      </c>
    </row>
    <row r="925" spans="1:3" x14ac:dyDescent="0.25">
      <c r="A925" s="12">
        <v>71225</v>
      </c>
      <c r="B925" s="13" t="s">
        <v>22</v>
      </c>
      <c r="C925" s="13" t="s">
        <v>11</v>
      </c>
    </row>
    <row r="926" spans="1:3" x14ac:dyDescent="0.25">
      <c r="A926" s="12">
        <v>71290</v>
      </c>
      <c r="B926" s="13" t="s">
        <v>10</v>
      </c>
      <c r="C926" s="13" t="s">
        <v>12</v>
      </c>
    </row>
    <row r="927" spans="1:3" x14ac:dyDescent="0.25">
      <c r="A927" s="12">
        <v>71291</v>
      </c>
      <c r="B927" s="13" t="s">
        <v>13</v>
      </c>
      <c r="C927" s="13" t="s">
        <v>12</v>
      </c>
    </row>
    <row r="928" spans="1:3" x14ac:dyDescent="0.25">
      <c r="A928" s="12">
        <v>71335</v>
      </c>
      <c r="B928" s="13" t="s">
        <v>20</v>
      </c>
      <c r="C928" s="13" t="s">
        <v>17</v>
      </c>
    </row>
    <row r="929" spans="1:3" x14ac:dyDescent="0.25">
      <c r="A929" s="12">
        <v>71336</v>
      </c>
      <c r="B929" s="13" t="s">
        <v>14</v>
      </c>
      <c r="C929" s="13" t="s">
        <v>15</v>
      </c>
    </row>
    <row r="930" spans="1:3" x14ac:dyDescent="0.25">
      <c r="A930" s="12">
        <v>71345</v>
      </c>
      <c r="B930" s="13" t="s">
        <v>16</v>
      </c>
      <c r="C930" s="13" t="s">
        <v>19</v>
      </c>
    </row>
    <row r="931" spans="1:3" x14ac:dyDescent="0.25">
      <c r="A931" s="12">
        <v>71398</v>
      </c>
      <c r="B931" s="13" t="s">
        <v>20</v>
      </c>
      <c r="C931" s="13" t="s">
        <v>21</v>
      </c>
    </row>
    <row r="932" spans="1:3" x14ac:dyDescent="0.25">
      <c r="A932" s="12">
        <v>71474</v>
      </c>
      <c r="B932" s="13" t="s">
        <v>18</v>
      </c>
      <c r="C932" s="13" t="s">
        <v>23</v>
      </c>
    </row>
    <row r="933" spans="1:3" x14ac:dyDescent="0.25">
      <c r="A933" s="12">
        <v>71509</v>
      </c>
      <c r="B933" s="13" t="s">
        <v>18</v>
      </c>
      <c r="C933" s="13" t="s">
        <v>24</v>
      </c>
    </row>
    <row r="934" spans="1:3" x14ac:dyDescent="0.25">
      <c r="A934" s="12">
        <v>71530</v>
      </c>
      <c r="B934" s="13" t="s">
        <v>18</v>
      </c>
      <c r="C934" s="13" t="s">
        <v>25</v>
      </c>
    </row>
    <row r="935" spans="1:3" x14ac:dyDescent="0.25">
      <c r="A935" s="12">
        <v>71543</v>
      </c>
      <c r="B935" s="13" t="s">
        <v>13</v>
      </c>
      <c r="C935" s="13" t="s">
        <v>26</v>
      </c>
    </row>
    <row r="936" spans="1:3" x14ac:dyDescent="0.25">
      <c r="A936" s="12">
        <v>71548</v>
      </c>
      <c r="B936" s="13" t="s">
        <v>16</v>
      </c>
      <c r="C936" s="13" t="s">
        <v>27</v>
      </c>
    </row>
    <row r="937" spans="1:3" x14ac:dyDescent="0.25">
      <c r="A937" s="12">
        <v>71583</v>
      </c>
      <c r="B937" s="13" t="s">
        <v>16</v>
      </c>
      <c r="C937" s="13" t="s">
        <v>28</v>
      </c>
    </row>
    <row r="938" spans="1:3" x14ac:dyDescent="0.25">
      <c r="A938" s="12">
        <v>71590</v>
      </c>
      <c r="B938" s="13" t="s">
        <v>16</v>
      </c>
      <c r="C938" s="13" t="s">
        <v>11</v>
      </c>
    </row>
    <row r="939" spans="1:3" x14ac:dyDescent="0.25">
      <c r="A939" s="12">
        <v>71647</v>
      </c>
      <c r="B939" s="13" t="s">
        <v>10</v>
      </c>
      <c r="C939" s="13" t="s">
        <v>12</v>
      </c>
    </row>
    <row r="940" spans="1:3" x14ac:dyDescent="0.25">
      <c r="A940" s="12">
        <v>71648</v>
      </c>
      <c r="B940" s="13" t="s">
        <v>13</v>
      </c>
      <c r="C940" s="13" t="s">
        <v>12</v>
      </c>
    </row>
    <row r="941" spans="1:3" x14ac:dyDescent="0.25">
      <c r="A941" s="12">
        <v>71693</v>
      </c>
      <c r="B941" s="13" t="s">
        <v>14</v>
      </c>
      <c r="C941" s="13" t="s">
        <v>15</v>
      </c>
    </row>
    <row r="942" spans="1:3" x14ac:dyDescent="0.25">
      <c r="A942" s="12">
        <v>71701</v>
      </c>
      <c r="B942" s="13" t="s">
        <v>22</v>
      </c>
      <c r="C942" s="13" t="s">
        <v>17</v>
      </c>
    </row>
    <row r="943" spans="1:3" x14ac:dyDescent="0.25">
      <c r="A943" s="12">
        <v>71711</v>
      </c>
      <c r="B943" s="13" t="s">
        <v>13</v>
      </c>
      <c r="C943" s="13" t="s">
        <v>19</v>
      </c>
    </row>
    <row r="944" spans="1:3" x14ac:dyDescent="0.25">
      <c r="A944" s="12">
        <v>71755</v>
      </c>
      <c r="B944" s="13" t="s">
        <v>20</v>
      </c>
      <c r="C944" s="13" t="s">
        <v>21</v>
      </c>
    </row>
    <row r="945" spans="1:3" x14ac:dyDescent="0.25">
      <c r="A945" s="12">
        <v>71840</v>
      </c>
      <c r="B945" s="13" t="s">
        <v>14</v>
      </c>
      <c r="C945" s="13" t="s">
        <v>23</v>
      </c>
    </row>
    <row r="946" spans="1:3" x14ac:dyDescent="0.25">
      <c r="A946" s="12">
        <v>71875</v>
      </c>
      <c r="B946" s="13" t="s">
        <v>14</v>
      </c>
      <c r="C946" s="13" t="s">
        <v>24</v>
      </c>
    </row>
    <row r="947" spans="1:3" x14ac:dyDescent="0.25">
      <c r="A947" s="12">
        <v>71896</v>
      </c>
      <c r="B947" s="13" t="s">
        <v>14</v>
      </c>
      <c r="C947" s="13" t="s">
        <v>25</v>
      </c>
    </row>
    <row r="948" spans="1:3" x14ac:dyDescent="0.25">
      <c r="A948" s="12">
        <v>71909</v>
      </c>
      <c r="B948" s="13" t="s">
        <v>20</v>
      </c>
      <c r="C948" s="13" t="s">
        <v>26</v>
      </c>
    </row>
    <row r="949" spans="1:3" x14ac:dyDescent="0.25">
      <c r="A949" s="12">
        <v>71914</v>
      </c>
      <c r="B949" s="13" t="s">
        <v>13</v>
      </c>
      <c r="C949" s="13" t="s">
        <v>27</v>
      </c>
    </row>
    <row r="950" spans="1:3" x14ac:dyDescent="0.25">
      <c r="A950" s="12">
        <v>71949</v>
      </c>
      <c r="B950" s="13" t="s">
        <v>13</v>
      </c>
      <c r="C950" s="13" t="s">
        <v>28</v>
      </c>
    </row>
    <row r="951" spans="1:3" x14ac:dyDescent="0.25">
      <c r="A951" s="12">
        <v>71956</v>
      </c>
      <c r="B951" s="13" t="s">
        <v>13</v>
      </c>
      <c r="C951" s="13" t="s">
        <v>11</v>
      </c>
    </row>
    <row r="952" spans="1:3" x14ac:dyDescent="0.25">
      <c r="A952" s="12">
        <v>71997</v>
      </c>
      <c r="B952" s="13" t="s">
        <v>10</v>
      </c>
      <c r="C952" s="13" t="s">
        <v>12</v>
      </c>
    </row>
    <row r="953" spans="1:3" x14ac:dyDescent="0.25">
      <c r="A953" s="12">
        <v>71998</v>
      </c>
      <c r="B953" s="13" t="s">
        <v>13</v>
      </c>
      <c r="C953" s="13" t="s">
        <v>12</v>
      </c>
    </row>
    <row r="954" spans="1:3" x14ac:dyDescent="0.25">
      <c r="A954" s="12">
        <v>72043</v>
      </c>
      <c r="B954" s="13" t="s">
        <v>14</v>
      </c>
      <c r="C954" s="13" t="s">
        <v>15</v>
      </c>
    </row>
    <row r="955" spans="1:3" x14ac:dyDescent="0.25">
      <c r="A955" s="12">
        <v>72066</v>
      </c>
      <c r="B955" s="13" t="s">
        <v>16</v>
      </c>
      <c r="C955" s="13" t="s">
        <v>17</v>
      </c>
    </row>
    <row r="956" spans="1:3" x14ac:dyDescent="0.25">
      <c r="A956" s="12">
        <v>72076</v>
      </c>
      <c r="B956" s="13" t="s">
        <v>18</v>
      </c>
      <c r="C956" s="13" t="s">
        <v>19</v>
      </c>
    </row>
    <row r="957" spans="1:3" x14ac:dyDescent="0.25">
      <c r="A957" s="12">
        <v>72105</v>
      </c>
      <c r="B957" s="13" t="s">
        <v>20</v>
      </c>
      <c r="C957" s="13" t="s">
        <v>21</v>
      </c>
    </row>
    <row r="958" spans="1:3" x14ac:dyDescent="0.25">
      <c r="A958" s="12">
        <v>72205</v>
      </c>
      <c r="B958" s="13" t="s">
        <v>22</v>
      </c>
      <c r="C958" s="13" t="s">
        <v>23</v>
      </c>
    </row>
    <row r="959" spans="1:3" x14ac:dyDescent="0.25">
      <c r="A959" s="12">
        <v>72240</v>
      </c>
      <c r="B959" s="13" t="s">
        <v>22</v>
      </c>
      <c r="C959" s="13" t="s">
        <v>24</v>
      </c>
    </row>
    <row r="960" spans="1:3" x14ac:dyDescent="0.25">
      <c r="A960" s="12">
        <v>72261</v>
      </c>
      <c r="B960" s="13" t="s">
        <v>22</v>
      </c>
      <c r="C960" s="13" t="s">
        <v>25</v>
      </c>
    </row>
    <row r="961" spans="1:3" x14ac:dyDescent="0.25">
      <c r="A961" s="12">
        <v>72274</v>
      </c>
      <c r="B961" s="13" t="s">
        <v>14</v>
      </c>
      <c r="C961" s="13" t="s">
        <v>26</v>
      </c>
    </row>
    <row r="962" spans="1:3" x14ac:dyDescent="0.25">
      <c r="A962" s="12">
        <v>72279</v>
      </c>
      <c r="B962" s="13" t="s">
        <v>18</v>
      </c>
      <c r="C962" s="13" t="s">
        <v>27</v>
      </c>
    </row>
    <row r="963" spans="1:3" x14ac:dyDescent="0.25">
      <c r="A963" s="12">
        <v>72314</v>
      </c>
      <c r="B963" s="13" t="s">
        <v>18</v>
      </c>
      <c r="C963" s="13" t="s">
        <v>28</v>
      </c>
    </row>
    <row r="964" spans="1:3" x14ac:dyDescent="0.25">
      <c r="A964" s="12">
        <v>72321</v>
      </c>
      <c r="B964" s="13" t="s">
        <v>18</v>
      </c>
      <c r="C964" s="13" t="s">
        <v>11</v>
      </c>
    </row>
    <row r="965" spans="1:3" x14ac:dyDescent="0.25">
      <c r="A965" s="12">
        <v>72382</v>
      </c>
      <c r="B965" s="13" t="s">
        <v>10</v>
      </c>
      <c r="C965" s="13" t="s">
        <v>12</v>
      </c>
    </row>
    <row r="966" spans="1:3" x14ac:dyDescent="0.25">
      <c r="A966" s="12">
        <v>72383</v>
      </c>
      <c r="B966" s="13" t="s">
        <v>13</v>
      </c>
      <c r="C966" s="13" t="s">
        <v>12</v>
      </c>
    </row>
    <row r="967" spans="1:3" x14ac:dyDescent="0.25">
      <c r="A967" s="12">
        <v>72428</v>
      </c>
      <c r="B967" s="13" t="s">
        <v>14</v>
      </c>
      <c r="C967" s="13" t="s">
        <v>15</v>
      </c>
    </row>
    <row r="968" spans="1:3" x14ac:dyDescent="0.25">
      <c r="A968" s="12">
        <v>72431</v>
      </c>
      <c r="B968" s="13" t="s">
        <v>10</v>
      </c>
      <c r="C968" s="13" t="s">
        <v>17</v>
      </c>
    </row>
    <row r="969" spans="1:3" x14ac:dyDescent="0.25">
      <c r="A969" s="12">
        <v>72441</v>
      </c>
      <c r="B969" s="13" t="s">
        <v>20</v>
      </c>
      <c r="C969" s="13" t="s">
        <v>19</v>
      </c>
    </row>
    <row r="970" spans="1:3" x14ac:dyDescent="0.25">
      <c r="A970" s="12">
        <v>72490</v>
      </c>
      <c r="B970" s="13" t="s">
        <v>20</v>
      </c>
      <c r="C970" s="13" t="s">
        <v>21</v>
      </c>
    </row>
    <row r="971" spans="1:3" x14ac:dyDescent="0.25">
      <c r="A971" s="12">
        <v>72570</v>
      </c>
      <c r="B971" s="13" t="s">
        <v>16</v>
      </c>
      <c r="C971" s="13" t="s">
        <v>23</v>
      </c>
    </row>
    <row r="972" spans="1:3" x14ac:dyDescent="0.25">
      <c r="A972" s="12">
        <v>72605</v>
      </c>
      <c r="B972" s="13" t="s">
        <v>16</v>
      </c>
      <c r="C972" s="13" t="s">
        <v>24</v>
      </c>
    </row>
    <row r="973" spans="1:3" x14ac:dyDescent="0.25">
      <c r="A973" s="12">
        <v>72626</v>
      </c>
      <c r="B973" s="13" t="s">
        <v>16</v>
      </c>
      <c r="C973" s="13" t="s">
        <v>25</v>
      </c>
    </row>
    <row r="974" spans="1:3" x14ac:dyDescent="0.25">
      <c r="A974" s="12">
        <v>72639</v>
      </c>
      <c r="B974" s="13" t="s">
        <v>22</v>
      </c>
      <c r="C974" s="13" t="s">
        <v>26</v>
      </c>
    </row>
    <row r="975" spans="1:3" x14ac:dyDescent="0.25">
      <c r="A975" s="12">
        <v>72644</v>
      </c>
      <c r="B975" s="13" t="s">
        <v>20</v>
      </c>
      <c r="C975" s="13" t="s">
        <v>27</v>
      </c>
    </row>
    <row r="976" spans="1:3" x14ac:dyDescent="0.25">
      <c r="A976" s="12">
        <v>72679</v>
      </c>
      <c r="B976" s="13" t="s">
        <v>20</v>
      </c>
      <c r="C976" s="13" t="s">
        <v>28</v>
      </c>
    </row>
    <row r="977" spans="1:3" x14ac:dyDescent="0.25">
      <c r="A977" s="12">
        <v>72686</v>
      </c>
      <c r="B977" s="13" t="s">
        <v>20</v>
      </c>
      <c r="C977" s="13" t="s">
        <v>29</v>
      </c>
    </row>
    <row r="978" spans="1:3" x14ac:dyDescent="0.25">
      <c r="A978" s="12">
        <v>72739</v>
      </c>
      <c r="B978" s="13" t="s">
        <v>10</v>
      </c>
      <c r="C978" s="13" t="s">
        <v>12</v>
      </c>
    </row>
    <row r="979" spans="1:3" x14ac:dyDescent="0.25">
      <c r="A979" s="12">
        <v>72740</v>
      </c>
      <c r="B979" s="13" t="s">
        <v>13</v>
      </c>
      <c r="C979" s="13" t="s">
        <v>12</v>
      </c>
    </row>
    <row r="980" spans="1:3" x14ac:dyDescent="0.25">
      <c r="A980" s="12">
        <v>72785</v>
      </c>
      <c r="B980" s="13" t="s">
        <v>14</v>
      </c>
      <c r="C980" s="13" t="s">
        <v>15</v>
      </c>
    </row>
    <row r="981" spans="1:3" x14ac:dyDescent="0.25">
      <c r="A981" s="12">
        <v>72796</v>
      </c>
      <c r="B981" s="13" t="s">
        <v>13</v>
      </c>
      <c r="C981" s="13" t="s">
        <v>17</v>
      </c>
    </row>
    <row r="982" spans="1:3" x14ac:dyDescent="0.25">
      <c r="A982" s="12">
        <v>72806</v>
      </c>
      <c r="B982" s="13" t="s">
        <v>14</v>
      </c>
      <c r="C982" s="13" t="s">
        <v>19</v>
      </c>
    </row>
    <row r="983" spans="1:3" x14ac:dyDescent="0.25">
      <c r="A983" s="12">
        <v>72847</v>
      </c>
      <c r="B983" s="13" t="s">
        <v>20</v>
      </c>
      <c r="C983" s="13" t="s">
        <v>21</v>
      </c>
    </row>
    <row r="984" spans="1:3" x14ac:dyDescent="0.25">
      <c r="A984" s="12">
        <v>72935</v>
      </c>
      <c r="B984" s="13" t="s">
        <v>10</v>
      </c>
      <c r="C984" s="13" t="s">
        <v>23</v>
      </c>
    </row>
    <row r="985" spans="1:3" x14ac:dyDescent="0.25">
      <c r="A985" s="12">
        <v>72970</v>
      </c>
      <c r="B985" s="13" t="s">
        <v>10</v>
      </c>
      <c r="C985" s="13" t="s">
        <v>24</v>
      </c>
    </row>
    <row r="986" spans="1:3" x14ac:dyDescent="0.25">
      <c r="A986" s="12">
        <v>72991</v>
      </c>
      <c r="B986" s="13" t="s">
        <v>10</v>
      </c>
      <c r="C986" s="13" t="s">
        <v>25</v>
      </c>
    </row>
    <row r="987" spans="1:3" x14ac:dyDescent="0.25">
      <c r="A987" s="12">
        <v>73004</v>
      </c>
      <c r="B987" s="13" t="s">
        <v>16</v>
      </c>
      <c r="C987" s="13" t="s">
        <v>26</v>
      </c>
    </row>
    <row r="988" spans="1:3" x14ac:dyDescent="0.25">
      <c r="A988" s="12">
        <v>73009</v>
      </c>
      <c r="B988" s="13" t="s">
        <v>14</v>
      </c>
      <c r="C988" s="13" t="s">
        <v>27</v>
      </c>
    </row>
    <row r="989" spans="1:3" x14ac:dyDescent="0.25">
      <c r="A989" s="12">
        <v>73044</v>
      </c>
      <c r="B989" s="13" t="s">
        <v>14</v>
      </c>
      <c r="C989" s="13" t="s">
        <v>28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4A9821-3114-4C94-AEC5-63B60B41D8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18</vt:i4>
      </vt:variant>
    </vt:vector>
  </HeadingPairs>
  <TitlesOfParts>
    <vt:vector size="28" baseType="lpstr">
      <vt:lpstr>Main</vt:lpstr>
      <vt:lpstr>DI1 FUT</vt:lpstr>
      <vt:lpstr>DDI Fut</vt:lpstr>
      <vt:lpstr>DOL FUT</vt:lpstr>
      <vt:lpstr>PTAX</vt:lpstr>
      <vt:lpstr>Interpolações</vt:lpstr>
      <vt:lpstr>FRA's</vt:lpstr>
      <vt:lpstr>Tipos de curva</vt:lpstr>
      <vt:lpstr>Exercicio</vt:lpstr>
      <vt:lpstr>Aux</vt:lpstr>
      <vt:lpstr>AJUSTEDDI</vt:lpstr>
      <vt:lpstr>AJUSTEDI1</vt:lpstr>
      <vt:lpstr>AJUSTEDOL</vt:lpstr>
      <vt:lpstr>Contrato_ref</vt:lpstr>
      <vt:lpstr>D_1</vt:lpstr>
      <vt:lpstr>D0</vt:lpstr>
      <vt:lpstr>Depara_CodigoVCTO</vt:lpstr>
      <vt:lpstr>Depara_datavcto</vt:lpstr>
      <vt:lpstr>Depara_Mesvcto</vt:lpstr>
      <vt:lpstr>Depara_vcto</vt:lpstr>
      <vt:lpstr>Feriados</vt:lpstr>
      <vt:lpstr>serie_dc</vt:lpstr>
      <vt:lpstr>serie_du</vt:lpstr>
      <vt:lpstr>Taxas_DDI</vt:lpstr>
      <vt:lpstr>Taxas_DI</vt:lpstr>
      <vt:lpstr>VCTODDI</vt:lpstr>
      <vt:lpstr>VCTODI1</vt:lpstr>
      <vt:lpstr>VCTODOL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Fernanda Diniz Marinho</dc:creator>
  <cp:lastModifiedBy>Fernanda Diniz Marinho</cp:lastModifiedBy>
  <dcterms:created xsi:type="dcterms:W3CDTF">2024-08-31T14:39:20Z</dcterms:created>
  <dcterms:modified xsi:type="dcterms:W3CDTF">2024-09-23T00:52:01Z</dcterms:modified>
</cp:coreProperties>
</file>