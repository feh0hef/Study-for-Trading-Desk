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ehhe\OneDrive\Área de Trabalho\study\Planilhas\Rhinos\"/>
    </mc:Choice>
  </mc:AlternateContent>
  <xr:revisionPtr revIDLastSave="0" documentId="13_ncr:1_{5936F8DD-C631-4FD3-BB9E-ABCE869FBAAE}" xr6:coauthVersionLast="47" xr6:coauthVersionMax="47" xr10:uidLastSave="{00000000-0000-0000-0000-000000000000}"/>
  <bookViews>
    <workbookView xWindow="-108" yWindow="-108" windowWidth="23256" windowHeight="12456" xr2:uid="{E110191E-D81A-4E83-9394-A441CC63B6BB}"/>
  </bookViews>
  <sheets>
    <sheet name="Main" sheetId="1" r:id="rId1"/>
    <sheet name="DI1 FUT" sheetId="4" r:id="rId2"/>
    <sheet name="CCS" sheetId="5" r:id="rId3"/>
    <sheet name="DOL FUT" sheetId="3" r:id="rId4"/>
    <sheet name="Aux" sheetId="2" r:id="rId5"/>
    <sheet name="Interpolações" sheetId="8" r:id="rId6"/>
    <sheet name="PTAX-SPOT" sheetId="7" r:id="rId7"/>
    <sheet name="Tipos de curva" sheetId="9" r:id="rId8"/>
  </sheets>
  <functionGroups builtInGroupCount="19"/>
  <definedNames>
    <definedName name="_xlnm._FilterDatabase" localSheetId="7" hidden="1">'Tipos de curva'!$L$1:$L$61</definedName>
    <definedName name="_xleta.LEN" hidden="1" xlm="1">#NAME?</definedName>
    <definedName name="AJUSTEDDI">CCS!$I:$I</definedName>
    <definedName name="AJUSTEDI1">'DI1 FUT'!$I:$I</definedName>
    <definedName name="AJUSTEDOL">'DOL FUT'!$G:$G</definedName>
    <definedName name="Contrato_ref">Main!$B$7</definedName>
    <definedName name="D_1">Main!$B$3</definedName>
    <definedName name="D0">Main!$B$2</definedName>
    <definedName name="Depara_CodigoVCTO">Aux!$E$1:$E$13</definedName>
    <definedName name="Depara_datavcto">Aux!$I:$I</definedName>
    <definedName name="Depara_Mesvcto">Aux!$F$1:$F$13</definedName>
    <definedName name="Depara_vcto">Aux!$H$2:$H$39</definedName>
    <definedName name="ExternalData_1" localSheetId="2" hidden="1">CCS!$A$1:$A$39</definedName>
    <definedName name="ExternalData_1" localSheetId="1" hidden="1">'DI1 FUT'!$A$1:$A$39</definedName>
    <definedName name="ExternalData_1" localSheetId="6" hidden="1">'PTAX-SPOT'!$A$1:$D$58</definedName>
    <definedName name="ExternalData_2" localSheetId="2" hidden="1">CCS!$B$1:$L$39</definedName>
    <definedName name="ExternalData_2" localSheetId="1" hidden="1">'DI1 FUT'!$B$1:$L$39</definedName>
    <definedName name="Feriados">Aux!$A$2:$A$989</definedName>
    <definedName name="serie_dc">Aux!$K$2:$K$39</definedName>
    <definedName name="serie_du">Aux!$J$2:$J$39</definedName>
    <definedName name="SPOT">'PTAX-SPOT'!$J$1</definedName>
    <definedName name="Table_7" localSheetId="3" hidden="1">'DOL FUT'!$A$1:$A$26</definedName>
    <definedName name="Table_8" localSheetId="3" hidden="1">'DOL FUT'!$B$1:$J$26</definedName>
    <definedName name="Taxas_DDI">Aux!$M$2:$M$39</definedName>
    <definedName name="Taxas_DI">Aux!$L$2:$L$39</definedName>
    <definedName name="VCTODDI">CCS!$A:$A</definedName>
    <definedName name="VCTODI1">'DI1 FUT'!$A:$A</definedName>
    <definedName name="VCTODOL">'DOL FUT'!$A:$A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 8-22284ec2-d459-499f-9f75-a5ef52ff8550" name="Table 8" connection="Query - Table 8"/>
          <x15:modelTable id="Table 7-4e679d27-693d-429d-bc3b-c6bf20e877b1" name="Table 7" connection="Query - Table 7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7" l="1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H1" i="2" l="1" a="1"/>
  <c r="B2" i="1"/>
  <c r="R38" i="2" l="1" a="1"/>
  <c r="R38" i="2" s="1"/>
  <c r="R26" i="2" a="1"/>
  <c r="R26" i="2" s="1"/>
  <c r="R14" i="2" a="1"/>
  <c r="R14" i="2" s="1"/>
  <c r="R2" i="2" a="1"/>
  <c r="R2" i="2" s="1"/>
  <c r="Q28" i="2"/>
  <c r="Q16" i="2"/>
  <c r="Q4" i="2"/>
  <c r="R37" i="2" a="1"/>
  <c r="R37" i="2" s="1"/>
  <c r="R25" i="2" a="1"/>
  <c r="R25" i="2" s="1"/>
  <c r="R13" i="2" a="1"/>
  <c r="R13" i="2" s="1"/>
  <c r="R39" i="2" a="1"/>
  <c r="R39" i="2" s="1"/>
  <c r="Q27" i="2"/>
  <c r="Q15" i="2"/>
  <c r="Q3" i="2"/>
  <c r="R6" i="2" a="1"/>
  <c r="R6" i="2" s="1"/>
  <c r="R16" i="2" a="1"/>
  <c r="R16" i="2" s="1"/>
  <c r="R36" i="2" a="1"/>
  <c r="R36" i="2" s="1"/>
  <c r="R24" i="2" a="1"/>
  <c r="R24" i="2" s="1"/>
  <c r="R12" i="2" a="1"/>
  <c r="R12" i="2" s="1"/>
  <c r="Q38" i="2"/>
  <c r="Q26" i="2"/>
  <c r="Q14" i="2"/>
  <c r="Q2" i="2"/>
  <c r="R7" i="2" a="1"/>
  <c r="R7" i="2" s="1"/>
  <c r="R17" i="2" a="1"/>
  <c r="R17" i="2" s="1"/>
  <c r="R3" i="2" a="1"/>
  <c r="R3" i="2" s="1"/>
  <c r="R35" i="2" a="1"/>
  <c r="R35" i="2" s="1"/>
  <c r="R23" i="2" a="1"/>
  <c r="R23" i="2" s="1"/>
  <c r="R11" i="2" a="1"/>
  <c r="R11" i="2" s="1"/>
  <c r="Q37" i="2"/>
  <c r="Q25" i="2"/>
  <c r="Q13" i="2"/>
  <c r="Q39" i="2"/>
  <c r="R30" i="2" a="1"/>
  <c r="R30" i="2" s="1"/>
  <c r="Q19" i="2"/>
  <c r="R27" i="2" a="1"/>
  <c r="R27" i="2" s="1"/>
  <c r="Q17" i="2"/>
  <c r="R34" i="2" a="1"/>
  <c r="R34" i="2" s="1"/>
  <c r="R22" i="2" a="1"/>
  <c r="R22" i="2" s="1"/>
  <c r="R10" i="2" a="1"/>
  <c r="R10" i="2" s="1"/>
  <c r="Q36" i="2"/>
  <c r="Q24" i="2"/>
  <c r="Q12" i="2"/>
  <c r="R20" i="2" a="1"/>
  <c r="R20" i="2" s="1"/>
  <c r="R19" i="2" a="1"/>
  <c r="R19" i="2" s="1"/>
  <c r="Q21" i="2"/>
  <c r="Q9" i="2"/>
  <c r="R18" i="2" a="1"/>
  <c r="R18" i="2" s="1"/>
  <c r="Q32" i="2"/>
  <c r="Q8" i="2"/>
  <c r="R5" i="2" a="1"/>
  <c r="R5" i="2" s="1"/>
  <c r="R4" i="2" a="1"/>
  <c r="R4" i="2" s="1"/>
  <c r="R33" i="2" a="1"/>
  <c r="R33" i="2" s="1"/>
  <c r="R21" i="2" a="1"/>
  <c r="R21" i="2" s="1"/>
  <c r="R9" i="2" a="1"/>
  <c r="R9" i="2" s="1"/>
  <c r="Q35" i="2"/>
  <c r="Q23" i="2"/>
  <c r="Q11" i="2"/>
  <c r="R32" i="2" a="1"/>
  <c r="R32" i="2" s="1"/>
  <c r="R8" i="2" a="1"/>
  <c r="R8" i="2" s="1"/>
  <c r="Q34" i="2"/>
  <c r="Q22" i="2"/>
  <c r="Q10" i="2"/>
  <c r="Q33" i="2"/>
  <c r="Q20" i="2"/>
  <c r="Q31" i="2"/>
  <c r="Q7" i="2"/>
  <c r="Q18" i="2"/>
  <c r="Q30" i="2"/>
  <c r="R15" i="2" a="1"/>
  <c r="R15" i="2" s="1"/>
  <c r="Q29" i="2"/>
  <c r="Q5" i="2"/>
  <c r="R31" i="2" a="1"/>
  <c r="R31" i="2" s="1"/>
  <c r="R28" i="2" a="1"/>
  <c r="R28" i="2" s="1"/>
  <c r="Q6" i="2"/>
  <c r="R29" i="2" a="1"/>
  <c r="R29" i="2" s="1"/>
  <c r="H1" i="2"/>
  <c r="I3" i="2"/>
  <c r="I15" i="2"/>
  <c r="I27" i="2"/>
  <c r="I39" i="2"/>
  <c r="I4" i="2"/>
  <c r="J4" i="2" s="1"/>
  <c r="I16" i="2"/>
  <c r="J16" i="2" s="1"/>
  <c r="I28" i="2"/>
  <c r="I5" i="2"/>
  <c r="J5" i="2" s="1"/>
  <c r="I17" i="2"/>
  <c r="I29" i="2"/>
  <c r="J29" i="2" s="1"/>
  <c r="I6" i="2"/>
  <c r="J6" i="2" s="1"/>
  <c r="I18" i="2"/>
  <c r="J18" i="2" s="1"/>
  <c r="I30" i="2"/>
  <c r="J30" i="2" s="1"/>
  <c r="I7" i="2"/>
  <c r="J7" i="2" s="1"/>
  <c r="I19" i="2"/>
  <c r="J19" i="2" s="1"/>
  <c r="I31" i="2"/>
  <c r="J31" i="2" s="1"/>
  <c r="I8" i="2"/>
  <c r="J8" i="2" s="1"/>
  <c r="I20" i="2"/>
  <c r="J20" i="2" s="1"/>
  <c r="I32" i="2"/>
  <c r="J32" i="2" s="1"/>
  <c r="I9" i="2"/>
  <c r="I21" i="2"/>
  <c r="I33" i="2"/>
  <c r="I10" i="2"/>
  <c r="J10" i="2" s="1"/>
  <c r="I22" i="2"/>
  <c r="J22" i="2" s="1"/>
  <c r="I34" i="2"/>
  <c r="J34" i="2" s="1"/>
  <c r="I11" i="2"/>
  <c r="I23" i="2"/>
  <c r="J23" i="2" s="1"/>
  <c r="I35" i="2"/>
  <c r="I13" i="2"/>
  <c r="J13" i="2" s="1"/>
  <c r="I25" i="2"/>
  <c r="J25" i="2" s="1"/>
  <c r="I37" i="2"/>
  <c r="I12" i="2"/>
  <c r="J12" i="2" s="1"/>
  <c r="I24" i="2"/>
  <c r="J24" i="2" s="1"/>
  <c r="I36" i="2"/>
  <c r="I2" i="2"/>
  <c r="J2" i="2" s="1"/>
  <c r="I14" i="2"/>
  <c r="J14" i="2" s="1"/>
  <c r="I26" i="2"/>
  <c r="J26" i="2" s="1"/>
  <c r="I38" i="2"/>
  <c r="J38" i="2" s="1"/>
  <c r="B3" i="1"/>
  <c r="B4" i="1" s="1"/>
  <c r="S30" i="2" l="1"/>
  <c r="N30" i="2" s="1"/>
  <c r="S18" i="2"/>
  <c r="N18" i="2" s="1"/>
  <c r="S6" i="2"/>
  <c r="N6" i="2" s="1"/>
  <c r="S29" i="2"/>
  <c r="N29" i="2" s="1"/>
  <c r="S17" i="2"/>
  <c r="N17" i="2" s="1"/>
  <c r="S5" i="2"/>
  <c r="N5" i="2" s="1"/>
  <c r="S2" i="2"/>
  <c r="N2" i="2" s="1"/>
  <c r="S28" i="2"/>
  <c r="N28" i="2" s="1"/>
  <c r="S16" i="2"/>
  <c r="N16" i="2" s="1"/>
  <c r="S4" i="2"/>
  <c r="N4" i="2" s="1"/>
  <c r="S39" i="2"/>
  <c r="N39" i="2" s="1"/>
  <c r="S27" i="2"/>
  <c r="N27" i="2" s="1"/>
  <c r="S15" i="2"/>
  <c r="N15" i="2" s="1"/>
  <c r="S3" i="2"/>
  <c r="N3" i="2" s="1"/>
  <c r="B11" i="1" s="1"/>
  <c r="S38" i="2"/>
  <c r="N38" i="2" s="1"/>
  <c r="S26" i="2"/>
  <c r="N26" i="2" s="1"/>
  <c r="S14" i="2"/>
  <c r="N14" i="2" s="1"/>
  <c r="S37" i="2"/>
  <c r="N37" i="2" s="1"/>
  <c r="S25" i="2"/>
  <c r="N25" i="2" s="1"/>
  <c r="S13" i="2"/>
  <c r="N13" i="2" s="1"/>
  <c r="S36" i="2"/>
  <c r="N36" i="2" s="1"/>
  <c r="S24" i="2"/>
  <c r="N24" i="2" s="1"/>
  <c r="S12" i="2"/>
  <c r="N12" i="2" s="1"/>
  <c r="S35" i="2"/>
  <c r="N35" i="2" s="1"/>
  <c r="S23" i="2"/>
  <c r="N23" i="2" s="1"/>
  <c r="S11" i="2"/>
  <c r="N11" i="2" s="1"/>
  <c r="S34" i="2"/>
  <c r="N34" i="2" s="1"/>
  <c r="S22" i="2"/>
  <c r="N22" i="2" s="1"/>
  <c r="S10" i="2"/>
  <c r="N10" i="2" s="1"/>
  <c r="S33" i="2"/>
  <c r="N33" i="2" s="1"/>
  <c r="S21" i="2"/>
  <c r="N21" i="2" s="1"/>
  <c r="S9" i="2"/>
  <c r="N9" i="2" s="1"/>
  <c r="S32" i="2"/>
  <c r="N32" i="2" s="1"/>
  <c r="S20" i="2"/>
  <c r="N20" i="2" s="1"/>
  <c r="S8" i="2"/>
  <c r="N8" i="2" s="1"/>
  <c r="S31" i="2"/>
  <c r="N31" i="2" s="1"/>
  <c r="S19" i="2"/>
  <c r="N19" i="2" s="1"/>
  <c r="S7" i="2"/>
  <c r="N7" i="2" s="1"/>
  <c r="K38" i="2"/>
  <c r="K26" i="2"/>
  <c r="K14" i="2"/>
  <c r="K24" i="2"/>
  <c r="K23" i="2"/>
  <c r="K11" i="2"/>
  <c r="K21" i="2"/>
  <c r="K32" i="2"/>
  <c r="K8" i="2"/>
  <c r="K19" i="2"/>
  <c r="K18" i="2"/>
  <c r="K29" i="2"/>
  <c r="K5" i="2"/>
  <c r="K16" i="2"/>
  <c r="K27" i="2"/>
  <c r="K15" i="2"/>
  <c r="K37" i="2"/>
  <c r="K25" i="2"/>
  <c r="K13" i="2"/>
  <c r="K36" i="2"/>
  <c r="K12" i="2"/>
  <c r="K35" i="2"/>
  <c r="K34" i="2"/>
  <c r="K22" i="2"/>
  <c r="K10" i="2"/>
  <c r="K33" i="2"/>
  <c r="K9" i="2"/>
  <c r="K20" i="2"/>
  <c r="K31" i="2"/>
  <c r="K7" i="2"/>
  <c r="K30" i="2"/>
  <c r="K6" i="2"/>
  <c r="K17" i="2"/>
  <c r="K28" i="2"/>
  <c r="K4" i="2"/>
  <c r="K39" i="2"/>
  <c r="K3" i="2"/>
  <c r="K2" i="2"/>
  <c r="J17" i="2"/>
  <c r="L17" i="2" s="1"/>
  <c r="J33" i="2"/>
  <c r="L33" i="2" s="1"/>
  <c r="J36" i="2"/>
  <c r="L36" i="2" s="1"/>
  <c r="J21" i="2"/>
  <c r="L21" i="2" s="1"/>
  <c r="J39" i="2"/>
  <c r="L39" i="2" s="1"/>
  <c r="J15" i="2"/>
  <c r="L15" i="2" s="1"/>
  <c r="J9" i="2"/>
  <c r="L9" i="2" s="1"/>
  <c r="J35" i="2"/>
  <c r="L35" i="2" s="1"/>
  <c r="J27" i="2"/>
  <c r="L27" i="2" s="1"/>
  <c r="J11" i="2"/>
  <c r="L11" i="2" s="1"/>
  <c r="J28" i="2"/>
  <c r="L28" i="2" s="1"/>
  <c r="L12" i="2"/>
  <c r="J37" i="2"/>
  <c r="L37" i="2" s="1"/>
  <c r="J3" i="2"/>
  <c r="L3" i="2" s="1"/>
  <c r="L25" i="2"/>
  <c r="L2" i="2"/>
  <c r="L26" i="2"/>
  <c r="L6" i="2"/>
  <c r="L8" i="2"/>
  <c r="L20" i="2"/>
  <c r="L7" i="2"/>
  <c r="L14" i="2"/>
  <c r="L10" i="2"/>
  <c r="L24" i="2"/>
  <c r="L32" i="2"/>
  <c r="L38" i="2"/>
  <c r="L18" i="2"/>
  <c r="L5" i="2"/>
  <c r="L13" i="2"/>
  <c r="L4" i="2"/>
  <c r="L16" i="2"/>
  <c r="L29" i="2"/>
  <c r="L31" i="2"/>
  <c r="L23" i="2"/>
  <c r="L19" i="2"/>
  <c r="L34" i="2"/>
  <c r="L30" i="2"/>
  <c r="L22" i="2"/>
  <c r="O2" i="2" l="1"/>
  <c r="M13" i="2" a="1"/>
  <c r="M13" i="2" s="1"/>
  <c r="O13" i="2"/>
  <c r="M7" i="2" a="1"/>
  <c r="M7" i="2" s="1"/>
  <c r="O7" i="2"/>
  <c r="M39" i="2" a="1"/>
  <c r="M39" i="2" s="1"/>
  <c r="O39" i="2"/>
  <c r="M22" i="2" a="1"/>
  <c r="M22" i="2" s="1"/>
  <c r="O22" i="2"/>
  <c r="M29" i="2" a="1"/>
  <c r="M29" i="2" s="1"/>
  <c r="O29" i="2"/>
  <c r="M4" i="2" a="1"/>
  <c r="M4" i="2" s="1"/>
  <c r="O4" i="2"/>
  <c r="M34" i="2" a="1"/>
  <c r="M34" i="2" s="1"/>
  <c r="O34" i="2"/>
  <c r="M18" i="2" a="1"/>
  <c r="M18" i="2" s="1"/>
  <c r="O18" i="2"/>
  <c r="M28" i="2" a="1"/>
  <c r="M28" i="2" s="1"/>
  <c r="O28" i="2"/>
  <c r="M35" i="2" a="1"/>
  <c r="M35" i="2" s="1"/>
  <c r="O35" i="2"/>
  <c r="M19" i="2" a="1"/>
  <c r="M19" i="2" s="1"/>
  <c r="O19" i="2"/>
  <c r="M6" i="2" a="1"/>
  <c r="M6" i="2" s="1"/>
  <c r="O6" i="2"/>
  <c r="M32" i="2" a="1"/>
  <c r="M32" i="2" s="1"/>
  <c r="O32" i="2"/>
  <c r="M30" i="2" a="1"/>
  <c r="M30" i="2" s="1"/>
  <c r="O30" i="2"/>
  <c r="M21" i="2" a="1"/>
  <c r="M21" i="2" s="1"/>
  <c r="O21" i="2"/>
  <c r="M11" i="2" a="1"/>
  <c r="M11" i="2" s="1"/>
  <c r="O11" i="2"/>
  <c r="M31" i="2" a="1"/>
  <c r="M31" i="2" s="1"/>
  <c r="O31" i="2"/>
  <c r="M37" i="2" a="1"/>
  <c r="M37" i="2" s="1"/>
  <c r="O37" i="2"/>
  <c r="M23" i="2" a="1"/>
  <c r="M23" i="2" s="1"/>
  <c r="O23" i="2"/>
  <c r="M25" i="2" a="1"/>
  <c r="M25" i="2" s="1"/>
  <c r="O25" i="2"/>
  <c r="M20" i="2" a="1"/>
  <c r="M20" i="2" s="1"/>
  <c r="O20" i="2"/>
  <c r="M15" i="2" a="1"/>
  <c r="M15" i="2" s="1"/>
  <c r="O15" i="2"/>
  <c r="M24" i="2" a="1"/>
  <c r="M24" i="2" s="1"/>
  <c r="O24" i="2"/>
  <c r="M17" i="2" a="1"/>
  <c r="M17" i="2" s="1"/>
  <c r="O17" i="2"/>
  <c r="M12" i="2" a="1"/>
  <c r="M12" i="2" s="1"/>
  <c r="O12" i="2"/>
  <c r="M8" i="2" a="1"/>
  <c r="M8" i="2" s="1"/>
  <c r="O8" i="2"/>
  <c r="M36" i="2" a="1"/>
  <c r="M36" i="2" s="1"/>
  <c r="O36" i="2"/>
  <c r="M9" i="2" a="1"/>
  <c r="M9" i="2" s="1"/>
  <c r="O9" i="2"/>
  <c r="M27" i="2" a="1"/>
  <c r="M27" i="2" s="1"/>
  <c r="O27" i="2"/>
  <c r="M14" i="2" a="1"/>
  <c r="M14" i="2" s="1"/>
  <c r="O14" i="2"/>
  <c r="M33" i="2" a="1"/>
  <c r="M33" i="2" s="1"/>
  <c r="O33" i="2"/>
  <c r="M16" i="2" a="1"/>
  <c r="M16" i="2" s="1"/>
  <c r="O16" i="2"/>
  <c r="M26" i="2" a="1"/>
  <c r="M26" i="2" s="1"/>
  <c r="O26" i="2"/>
  <c r="M3" i="2" a="1"/>
  <c r="M3" i="2" s="1"/>
  <c r="B9" i="1" s="1"/>
  <c r="O3" i="2"/>
  <c r="B10" i="1" s="1"/>
  <c r="M10" i="2" a="1"/>
  <c r="M10" i="2" s="1"/>
  <c r="O10" i="2"/>
  <c r="M5" i="2" a="1"/>
  <c r="M5" i="2" s="1"/>
  <c r="O5" i="2"/>
  <c r="M38" i="2" a="1"/>
  <c r="M38" i="2" s="1"/>
  <c r="O38" i="2"/>
  <c r="M2" i="2" a="1"/>
  <c r="M2" i="2" s="1"/>
  <c r="B8" i="1"/>
  <c r="B3551" i="8" a="1"/>
  <c r="B286" i="8" a="1"/>
  <c r="B551" i="8" a="1"/>
  <c r="B2563" i="8" a="1"/>
  <c r="B2477" i="8" a="1"/>
  <c r="B2102" i="8" a="1"/>
  <c r="B657" i="8" a="1"/>
  <c r="B2554" i="8" a="1"/>
  <c r="B734" i="8" a="1"/>
  <c r="B185" i="8" a="1"/>
  <c r="B3535" i="8" a="1"/>
  <c r="B2796" i="8" a="1"/>
  <c r="B1606" i="8" a="1"/>
  <c r="B1690" i="8" a="1"/>
  <c r="B819" i="8" a="1"/>
  <c r="B3318" i="8" a="1"/>
  <c r="B2801" i="8" a="1"/>
  <c r="B1581" i="8" a="1"/>
  <c r="B3123" i="8" a="1"/>
  <c r="B2384" i="8" a="1"/>
  <c r="B1746" i="8" a="1"/>
  <c r="B3384" i="8" a="1"/>
  <c r="B3285" i="8" a="1"/>
  <c r="B1037" i="8" a="1"/>
  <c r="B2967" i="8" a="1"/>
  <c r="B2923" i="8" a="1"/>
  <c r="B3256" i="8" a="1"/>
  <c r="B3035" i="8" a="1"/>
  <c r="B47" i="8" a="1"/>
  <c r="B2730" i="8" a="1"/>
  <c r="B2983" i="8" a="1"/>
  <c r="B799" i="8" a="1"/>
  <c r="B2445" i="8" a="1"/>
  <c r="B3002" i="8" a="1"/>
  <c r="B132" i="8" a="1"/>
  <c r="B986" i="8" a="1"/>
  <c r="B519" i="8" a="1"/>
  <c r="B1176" i="8" a="1"/>
  <c r="B85" i="8" a="1"/>
  <c r="B6" i="8" a="1"/>
  <c r="B55" i="8" a="1"/>
  <c r="B1587" i="8" a="1"/>
  <c r="B2363" i="8" a="1"/>
  <c r="B3562" i="8" a="1"/>
  <c r="B3198" i="8" a="1"/>
  <c r="B2058" i="8" a="1"/>
  <c r="B1159" i="8" a="1"/>
  <c r="B2536" i="8" a="1"/>
  <c r="B1626" i="8" a="1"/>
  <c r="B3442" i="8" a="1"/>
  <c r="B680" i="8" a="1"/>
  <c r="B1546" i="8" a="1"/>
  <c r="B3475" i="8" a="1"/>
  <c r="B153" i="8" a="1"/>
  <c r="B2791" i="8" a="1"/>
  <c r="B3435" i="8" a="1"/>
  <c r="B2077" i="8" a="1"/>
  <c r="B1459" i="8" a="1"/>
  <c r="B346" i="8" a="1"/>
  <c r="B2501" i="8" a="1"/>
  <c r="B2888" i="8" a="1"/>
  <c r="B1962" i="8" a="1"/>
  <c r="B386" i="8" a="1"/>
  <c r="B466" i="8" a="1"/>
  <c r="B364" i="8" a="1"/>
  <c r="B3143" i="8" a="1"/>
  <c r="B1238" i="8" a="1"/>
  <c r="B2734" i="8" a="1"/>
  <c r="B1765" i="8" a="1"/>
  <c r="B2232" i="8" a="1"/>
  <c r="B1523" i="8" a="1"/>
  <c r="B304" i="8" a="1"/>
  <c r="B3008" i="8" a="1"/>
  <c r="B3524" i="8" a="1"/>
  <c r="B3336" i="8" a="1"/>
  <c r="B2498" i="8" a="1"/>
  <c r="B1069" i="8" a="1"/>
  <c r="B2568" i="8" a="1"/>
  <c r="B1589" i="8" a="1"/>
  <c r="B2171" i="8" a="1"/>
  <c r="B109" i="8" a="1"/>
  <c r="B955" i="8" a="1"/>
  <c r="B2019" i="8" a="1"/>
  <c r="B759" i="8" a="1"/>
  <c r="B433" i="8" a="1"/>
  <c r="B1382" i="8" a="1"/>
  <c r="B2163" i="8" a="1"/>
  <c r="B3528" i="8" a="1"/>
  <c r="B1717" i="8" a="1"/>
  <c r="B2524" i="8" a="1"/>
  <c r="B2879" i="8" a="1"/>
  <c r="B3651" i="8" a="1"/>
  <c r="B561" i="8" a="1"/>
  <c r="B965" i="8" a="1"/>
  <c r="B3045" i="8" a="1"/>
  <c r="B1413" i="8" a="1"/>
  <c r="B2957" i="8" a="1"/>
  <c r="B3220" i="8" a="1"/>
  <c r="B1358" i="8" a="1"/>
  <c r="B2076" i="8" a="1"/>
  <c r="B3612" i="8" a="1"/>
  <c r="B1479" i="8" a="1"/>
  <c r="B512" i="8" a="1"/>
  <c r="B3622" i="8" a="1"/>
  <c r="B3635" i="8" a="1"/>
  <c r="B2410" i="8" a="1"/>
  <c r="B913" i="8" a="1"/>
  <c r="B2260" i="8" a="1"/>
  <c r="B1387" i="8" a="1"/>
  <c r="B201" i="8" a="1"/>
  <c r="B3413" i="8" a="1"/>
  <c r="B2747" i="8" a="1"/>
  <c r="B1142" i="8" a="1"/>
  <c r="B1921" i="8" a="1"/>
  <c r="B805" i="8" a="1"/>
  <c r="B315" i="8" a="1"/>
  <c r="B3027" i="8" a="1"/>
  <c r="B3319" i="8" a="1"/>
  <c r="B166" i="8" a="1"/>
  <c r="B2120" i="8" a="1"/>
  <c r="B2172" i="8" a="1"/>
  <c r="B1018" i="8" a="1"/>
  <c r="B1724" i="8" a="1"/>
  <c r="B2391" i="8" a="1"/>
  <c r="B1269" i="8" a="1"/>
  <c r="B1709" i="8" a="1"/>
  <c r="B2296" i="8" a="1"/>
  <c r="B373" i="8" a="1"/>
  <c r="B2097" i="8" a="1"/>
  <c r="B2710" i="8" a="1"/>
  <c r="B2118" i="8" a="1"/>
  <c r="B841" i="8" a="1"/>
  <c r="B3232" i="8" a="1"/>
  <c r="B2649" i="8" a="1"/>
  <c r="B2807" i="8" a="1"/>
  <c r="B3023" i="8" a="1"/>
  <c r="B565" i="8" a="1"/>
  <c r="B2551" i="8" a="1"/>
  <c r="B3610" i="8" a="1"/>
  <c r="B2787" i="8" a="1"/>
  <c r="B1880" i="8" a="1"/>
  <c r="B2757" i="8" a="1"/>
  <c r="B2873" i="8" a="1"/>
  <c r="B320" i="8" a="1"/>
  <c r="B458" i="8" a="1"/>
  <c r="B2922" i="8" a="1"/>
  <c r="B2055" i="8" a="1"/>
  <c r="B3448" i="8" a="1"/>
  <c r="B1226" i="8" a="1"/>
  <c r="B3393" i="8" a="1"/>
  <c r="B1501" i="8" a="1"/>
  <c r="B527" i="8" a="1"/>
  <c r="B2462" i="8" a="1"/>
  <c r="B2276" i="8" a="1"/>
  <c r="B384" i="8" a="1"/>
  <c r="B1893" i="8" a="1"/>
  <c r="B504" i="8" a="1"/>
  <c r="B3348" i="8" a="1"/>
  <c r="B2651" i="8" a="1"/>
  <c r="B115" i="8" a="1"/>
  <c r="B3351" i="8" a="1"/>
  <c r="B2846" i="8" a="1"/>
  <c r="B1517" i="8" a="1"/>
  <c r="B2183" i="8" a="1"/>
  <c r="B1723" i="8" a="1"/>
  <c r="B2425" i="8" a="1"/>
  <c r="B1708" i="8" a="1"/>
  <c r="B2947" i="8" a="1"/>
  <c r="B1622" i="8" a="1"/>
  <c r="B3639" i="8" a="1"/>
  <c r="B1388" i="8" a="1"/>
  <c r="B344" i="8" a="1"/>
  <c r="B37" i="8" a="1"/>
  <c r="B2912" i="8" a="1"/>
  <c r="B925" i="8" a="1"/>
  <c r="B1836" i="8" a="1"/>
  <c r="B1476" i="8" a="1"/>
  <c r="B890" i="8" a="1"/>
  <c r="B64" i="8" a="1"/>
  <c r="B1461" i="8" a="1"/>
  <c r="B2038" i="8" a="1"/>
  <c r="B1406" i="8" a="1"/>
  <c r="B26" i="8" a="1"/>
  <c r="B3127" i="8" a="1"/>
  <c r="B807" i="8" a="1"/>
  <c r="B2463" i="8" a="1"/>
  <c r="B729" i="8" a="1"/>
  <c r="B3624" i="8" a="1"/>
  <c r="B1900" i="8" a="1"/>
  <c r="B2336" i="8" a="1"/>
  <c r="B2704" i="8" a="1"/>
  <c r="B1432" i="8" a="1"/>
  <c r="B3136" i="8" a="1"/>
  <c r="B1710" i="8" a="1"/>
  <c r="B2915" i="8" a="1"/>
  <c r="B2726" i="8" a="1"/>
  <c r="B940" i="8" a="1"/>
  <c r="B570" i="8" a="1"/>
  <c r="B1324" i="8" a="1"/>
  <c r="B2288" i="8" a="1"/>
  <c r="B2083" i="8" a="1"/>
  <c r="B3366" i="8" a="1"/>
  <c r="B1129" i="8" a="1"/>
  <c r="B516" i="8" a="1"/>
  <c r="B1671" i="8" a="1"/>
  <c r="B1412" i="8" a="1"/>
  <c r="B2450" i="8" a="1"/>
  <c r="B1840" i="8" a="1"/>
  <c r="B2311" i="8" a="1"/>
  <c r="B2398" i="8" a="1"/>
  <c r="B2187" i="8" a="1"/>
  <c r="B1218" i="8" a="1"/>
  <c r="B210" i="8" a="1"/>
  <c r="B1160" i="8" a="1"/>
  <c r="B427" i="8" a="1"/>
  <c r="B2245" i="8" a="1"/>
  <c r="B264" i="8" a="1"/>
  <c r="B2913" i="8" a="1"/>
  <c r="B2185" i="8" a="1"/>
  <c r="B203" i="8" a="1"/>
  <c r="B2394" i="8" a="1"/>
  <c r="B798" i="8" a="1"/>
  <c r="B2446" i="8" a="1"/>
  <c r="B3110" i="8" a="1"/>
  <c r="B1051" i="8" a="1"/>
  <c r="B3276" i="8" a="1"/>
  <c r="B1481" i="8" a="1"/>
  <c r="B1727" i="8" a="1"/>
  <c r="B926" i="8" a="1"/>
  <c r="B1418" i="8" a="1"/>
  <c r="B369" i="8" a="1"/>
  <c r="B1465" i="8" a="1"/>
  <c r="B1170" i="8" a="1"/>
  <c r="B1638" i="8" a="1"/>
  <c r="B374" i="8" a="1"/>
  <c r="B2379" i="8" a="1"/>
  <c r="B2712" i="8" a="1"/>
  <c r="B1404" i="8" a="1"/>
  <c r="B2574" i="8" a="1"/>
  <c r="B2361" i="8" a="1"/>
  <c r="B3394" i="8" a="1"/>
  <c r="B2619" i="8" a="1"/>
  <c r="B1204" i="8" a="1"/>
  <c r="B176" i="8" a="1"/>
  <c r="B1311" i="8" a="1"/>
  <c r="B1042" i="8" a="1"/>
  <c r="B3152" i="8" a="1"/>
  <c r="B2369" i="8" a="1"/>
  <c r="B907" i="8" a="1"/>
  <c r="B1451" i="8" a="1"/>
  <c r="B2043" i="8" a="1"/>
  <c r="B170" i="8" a="1"/>
  <c r="B3199" i="8" a="1"/>
  <c r="B1141" i="8" a="1"/>
  <c r="B1319" i="8" a="1"/>
  <c r="B3145" i="8" a="1"/>
  <c r="B3567" i="8" a="1"/>
  <c r="B2093" i="8" a="1"/>
  <c r="B2341" i="8" a="1"/>
  <c r="B1778" i="8" a="1"/>
  <c r="B539" i="8" a="1"/>
  <c r="B598" i="8" a="1"/>
  <c r="B1579" i="8" a="1"/>
  <c r="B1610" i="8" a="1"/>
  <c r="B2611" i="8" a="1"/>
  <c r="B2656" i="8" a="1"/>
  <c r="B2640" i="8" a="1"/>
  <c r="B3252" i="8" a="1"/>
  <c r="B1664" i="8" a="1"/>
  <c r="B556" i="8" a="1"/>
  <c r="B334" i="8" a="1"/>
  <c r="B3589" i="8" a="1"/>
  <c r="B3305" i="8" a="1"/>
  <c r="B3494" i="8" a="1"/>
  <c r="B3387" i="8" a="1"/>
  <c r="B744" i="8" a="1"/>
  <c r="B881" i="8" a="1"/>
  <c r="B3479" i="8" a="1"/>
  <c r="B1763" i="8" a="1"/>
  <c r="B3036" i="8" a="1"/>
  <c r="B3534" i="8" a="1"/>
  <c r="B143" i="8" a="1"/>
  <c r="B2699" i="8" a="1"/>
  <c r="B927" i="8" a="1"/>
  <c r="B2797" i="8" a="1"/>
  <c r="B2221" i="8" a="1"/>
  <c r="B1494" i="8" a="1"/>
  <c r="B1552" i="8" a="1"/>
  <c r="B3330" i="8" a="1"/>
  <c r="B518" i="8" a="1"/>
  <c r="B2393" i="8" a="1"/>
  <c r="B3323" i="8" a="1"/>
  <c r="B3432" i="8" a="1"/>
  <c r="B2096" i="8" a="1"/>
  <c r="B3460" i="8" a="1"/>
  <c r="B2620" i="8" a="1"/>
  <c r="B1943" i="8" a="1"/>
  <c r="B704" i="8" a="1"/>
  <c r="B1522" i="8" a="1"/>
  <c r="B244" i="8" a="1"/>
  <c r="B1395" i="8" a="1"/>
  <c r="B131" i="8" a="1"/>
  <c r="B1244" i="8" a="1"/>
  <c r="B3278" i="8" a="1"/>
  <c r="B3047" i="8" a="1"/>
  <c r="B1224" i="8" a="1"/>
  <c r="B631" i="8" a="1"/>
  <c r="B2509" i="8" a="1"/>
  <c r="B3415" i="8" a="1"/>
  <c r="B2011" i="8" a="1"/>
  <c r="B2263" i="8" a="1"/>
  <c r="B3533" i="8" a="1"/>
  <c r="B1965" i="8" a="1"/>
  <c r="B1331" i="8" a="1"/>
  <c r="B863" i="8" a="1"/>
  <c r="B3606" i="8" a="1"/>
  <c r="B3032" i="8" a="1"/>
  <c r="B2113" i="8" a="1"/>
  <c r="B142" i="8" a="1"/>
  <c r="B2346" i="8" a="1"/>
  <c r="B898" i="8" a="1"/>
  <c r="B22" i="8" a="1"/>
  <c r="B1920" i="8" a="1"/>
  <c r="B3205" i="8" a="1"/>
  <c r="B1627" i="8" a="1"/>
  <c r="B1085" i="8" a="1"/>
  <c r="B943" i="8" a="1"/>
  <c r="B931" i="8" a="1"/>
  <c r="B105" i="8" a="1"/>
  <c r="B333" i="8" a="1"/>
  <c r="B1384" i="8" a="1"/>
  <c r="B2732" i="8" a="1"/>
  <c r="B2653" i="8" a="1"/>
  <c r="B204" i="8" a="1"/>
  <c r="B1416" i="8" a="1"/>
  <c r="B2297" i="8" a="1"/>
  <c r="B2794" i="8" a="1"/>
  <c r="B3499" i="8" a="1"/>
  <c r="B3445" i="8" a="1"/>
  <c r="B419" i="8" a="1"/>
  <c r="B321" i="8" a="1"/>
  <c r="B2143" i="8" a="1"/>
  <c r="B205" i="8" a="1"/>
  <c r="B1550" i="8" a="1"/>
  <c r="B889" i="8" a="1"/>
  <c r="B1106" i="8" a="1"/>
  <c r="B417" i="8" a="1"/>
  <c r="B2284" i="8" a="1"/>
  <c r="B3155" i="8" a="1"/>
  <c r="B3333" i="8" a="1"/>
  <c r="B644" i="8" a="1"/>
  <c r="B1984" i="8" a="1"/>
  <c r="B2476" i="8" a="1"/>
  <c r="B1191" i="8" a="1"/>
  <c r="B1923" i="8" a="1"/>
  <c r="B906" i="8" a="1"/>
  <c r="B1647" i="8" a="1"/>
  <c r="B1914" i="8" a="1"/>
  <c r="B1370" i="8" a="1"/>
  <c r="B1010" i="8" a="1"/>
  <c r="B728" i="8" a="1"/>
  <c r="B1506" i="8" a="1"/>
  <c r="B2136" i="8" a="1"/>
  <c r="B1969" i="8" a="1"/>
  <c r="B3617" i="8" a="1"/>
  <c r="B1439" i="8" a="1"/>
  <c r="B1795" i="8" a="1"/>
  <c r="B2827" i="8" a="1"/>
  <c r="B989" i="8" a="1"/>
  <c r="B19" i="8" a="1"/>
  <c r="B2798" i="8" a="1"/>
  <c r="B679" i="8" a="1"/>
  <c r="B134" i="8" a="1"/>
  <c r="B1148" i="8" a="1"/>
  <c r="B3419" i="8" a="1"/>
  <c r="B1333" i="8" a="1"/>
  <c r="B3473" i="8" a="1"/>
  <c r="B531" i="8" a="1"/>
  <c r="B3603" i="8" a="1"/>
  <c r="B2992" i="8" a="1"/>
  <c r="B2116" i="8" a="1"/>
  <c r="B1071" i="8" a="1"/>
  <c r="B1774" i="8" a="1"/>
  <c r="B139" i="8" a="1"/>
  <c r="B2184" i="8" a="1"/>
  <c r="B48" i="8" a="1"/>
  <c r="B703" i="8" a="1"/>
  <c r="B3119" i="8" a="1"/>
  <c r="B2844" i="8" a="1"/>
  <c r="B893" i="8" a="1"/>
  <c r="B2015" i="8" a="1"/>
  <c r="B810" i="8" a="1"/>
  <c r="B1490" i="8" a="1"/>
  <c r="B2995" i="8" a="1"/>
  <c r="B1566" i="8" a="1"/>
  <c r="B3043" i="8" a="1"/>
  <c r="B2858" i="8" a="1"/>
  <c r="B1156" i="8" a="1"/>
  <c r="B50" i="8" a="1"/>
  <c r="B2108" i="8" a="1"/>
  <c r="B2372" i="8" a="1"/>
  <c r="B2519" i="8" a="1"/>
  <c r="B3486" i="8" a="1"/>
  <c r="B2491" i="8" a="1"/>
  <c r="B1454" i="8" a="1"/>
  <c r="B341" i="8" a="1"/>
  <c r="B297" i="8" a="1"/>
  <c r="B193" i="8" a="1"/>
  <c r="B2822" i="8" a="1"/>
  <c r="B1714" i="8" a="1"/>
  <c r="B3326" i="8" a="1"/>
  <c r="B1399" i="8" a="1"/>
  <c r="B1225" i="8" a="1"/>
  <c r="B3241" i="8" a="1"/>
  <c r="B1872" i="8" a="1"/>
  <c r="B116" i="8" a="1"/>
  <c r="B508" i="8" a="1"/>
  <c r="B2871" i="8" a="1"/>
  <c r="B2522" i="8" a="1"/>
  <c r="B1277" i="8" a="1"/>
  <c r="B882" i="8" a="1"/>
  <c r="B834" i="8" a="1"/>
  <c r="B3226" i="8" a="1"/>
  <c r="B1939" i="8" a="1"/>
  <c r="B1109" i="8" a="1"/>
  <c r="B324" i="8" a="1"/>
  <c r="B3560" i="8" a="1"/>
  <c r="B2088" i="8" a="1"/>
  <c r="B2050" i="8" a="1"/>
  <c r="B3416" i="8" a="1"/>
  <c r="B2226" i="8" a="1"/>
  <c r="B2213" i="8" a="1"/>
  <c r="B1855" i="8" a="1"/>
  <c r="B2091" i="8" a="1"/>
  <c r="B1908" i="8" a="1"/>
  <c r="B2896" i="8" a="1"/>
  <c r="B1468" i="8" a="1"/>
  <c r="B1150" i="8" a="1"/>
  <c r="B968" i="8" a="1"/>
  <c r="B2852" i="8" a="1"/>
  <c r="B3111" i="8" a="1"/>
  <c r="B1649" i="8" a="1"/>
  <c r="B3636" i="8" a="1"/>
  <c r="B664" i="8" a="1"/>
  <c r="B2128" i="8" a="1"/>
  <c r="B808" i="8" a="1"/>
  <c r="B117" i="8" a="1"/>
  <c r="B1093" i="8" a="1"/>
  <c r="B3375" i="8" a="1"/>
  <c r="B3423" i="8" a="1"/>
  <c r="B167" i="8" a="1"/>
  <c r="B1132" i="8" a="1"/>
  <c r="B3634" i="8" a="1"/>
  <c r="B1512" i="8" a="1"/>
  <c r="B1860" i="8" a="1"/>
  <c r="B1583" i="8" a="1"/>
  <c r="B1254" i="8" a="1"/>
  <c r="B453" i="8" a="1"/>
  <c r="B1547" i="8" a="1"/>
  <c r="B2357" i="8" a="1"/>
  <c r="B1862" i="8" a="1"/>
  <c r="B3263" i="8" a="1"/>
  <c r="B678" i="8" a="1"/>
  <c r="B3543" i="8" a="1"/>
  <c r="B786" i="8" a="1"/>
  <c r="B1014" i="8" a="1"/>
  <c r="B52" i="8" a="1"/>
  <c r="B2332" i="8" a="1"/>
  <c r="B217" i="8" a="1"/>
  <c r="B3016" i="8" a="1"/>
  <c r="B192" i="8" a="1"/>
  <c r="B2317" i="8" a="1"/>
  <c r="B1927" i="8" a="1"/>
  <c r="B1817" i="8" a="1"/>
  <c r="B2365" i="8" a="1"/>
  <c r="B2550" i="8" a="1"/>
  <c r="B361" i="8" a="1"/>
  <c r="B1208" i="8" a="1"/>
  <c r="B387" i="8" a="1"/>
  <c r="B1306" i="8" a="1"/>
  <c r="B2220" i="8" a="1"/>
  <c r="B2722" i="8" a="1"/>
  <c r="B3154" i="8" a="1"/>
  <c r="B25" i="8" a="1"/>
  <c r="B1304" i="8" a="1"/>
  <c r="B174" i="8" a="1"/>
  <c r="B1721" i="8" a="1"/>
  <c r="B3334" i="8" a="1"/>
  <c r="B2375" i="8" a="1"/>
  <c r="B2419" i="8" a="1"/>
  <c r="B190" i="8" a="1"/>
  <c r="B357" i="8" a="1"/>
  <c r="B2906" i="8" a="1"/>
  <c r="B73" i="8" a="1"/>
  <c r="B9" i="8" a="1"/>
  <c r="B642" i="8" a="1"/>
  <c r="B1421" i="8" a="1"/>
  <c r="B1328" i="8" a="1"/>
  <c r="B2924" i="8" a="1"/>
  <c r="B2257" i="8" a="1"/>
  <c r="B1044" i="8" a="1"/>
  <c r="B2627" i="8" a="1"/>
  <c r="B1631" i="8" a="1"/>
  <c r="B1578" i="8" a="1"/>
  <c r="B2694" i="8" a="1"/>
  <c r="B2950" i="8" a="1"/>
  <c r="B439" i="8" a="1"/>
  <c r="B2931" i="8" a="1"/>
  <c r="B102" i="8" a="1"/>
  <c r="B558" i="8" a="1"/>
  <c r="B3234" i="8" a="1"/>
  <c r="B2496" i="8" a="1"/>
  <c r="B2668" i="8" a="1"/>
  <c r="B2174" i="8" a="1"/>
  <c r="B1540" i="8" a="1"/>
  <c r="B3306" i="8" a="1"/>
  <c r="B197" i="8" a="1"/>
  <c r="B2731" i="8" a="1"/>
  <c r="B712" i="8" a="1"/>
  <c r="B2203" i="8" a="1"/>
  <c r="B181" i="8" a="1"/>
  <c r="B54" i="8" a="1"/>
  <c r="B3453" i="8" a="1"/>
  <c r="B2785" i="8" a="1"/>
  <c r="B1298" i="8" a="1"/>
  <c r="B2473" i="8" a="1"/>
  <c r="B2380" i="8" a="1"/>
  <c r="B1375" i="8" a="1"/>
  <c r="B1048" i="8" a="1"/>
  <c r="B1104" i="8" a="1"/>
  <c r="B1954" i="8" a="1"/>
  <c r="B1789" i="8" a="1"/>
  <c r="B2492" i="8" a="1"/>
  <c r="B2070" i="8" a="1"/>
  <c r="B2531" i="8" a="1"/>
  <c r="B3548" i="8" a="1"/>
  <c r="B1601" i="8" a="1"/>
  <c r="B303" i="8" a="1"/>
  <c r="B3191" i="8" a="1"/>
  <c r="B3482" i="8" a="1"/>
  <c r="B2590" i="8" a="1"/>
  <c r="B1884" i="8" a="1"/>
  <c r="B2716" i="8" a="1"/>
  <c r="B3483" i="8" a="1"/>
  <c r="B2044" i="8" a="1"/>
  <c r="B760" i="8" a="1"/>
  <c r="B108" i="8" a="1"/>
  <c r="B2499" i="8" a="1"/>
  <c r="B536" i="8" a="1"/>
  <c r="B266" i="8" a="1"/>
  <c r="B485" i="8" a="1"/>
  <c r="B1090" i="8" a="1"/>
  <c r="B2667" i="8" a="1"/>
  <c r="B555" i="8" a="1"/>
  <c r="B2188" i="8" a="1"/>
  <c r="B1154" i="8" a="1"/>
  <c r="B3431" i="8" a="1"/>
  <c r="B220" i="8" a="1"/>
  <c r="B2918" i="8" a="1"/>
  <c r="B905" i="8" a="1"/>
  <c r="B2708" i="8" a="1"/>
  <c r="B1963" i="8" a="1"/>
  <c r="B3400" i="8" a="1"/>
  <c r="B326" i="8" a="1"/>
  <c r="B2897" i="8" a="1"/>
  <c r="B2236" i="8" a="1"/>
  <c r="B401" i="8" a="1"/>
  <c r="B953" i="8" a="1"/>
  <c r="B1486" i="8" a="1"/>
  <c r="B1372" i="8" a="1"/>
  <c r="B1137" i="8" a="1"/>
  <c r="B448" i="8" a="1"/>
  <c r="B1168" i="8" a="1"/>
  <c r="B620" i="8" a="1"/>
  <c r="B2040" i="8" a="1"/>
  <c r="B495" i="8" a="1"/>
  <c r="B873" i="8" a="1"/>
  <c r="B1895" i="8" a="1"/>
  <c r="B2028" i="8" a="1"/>
  <c r="B2702" i="8" a="1"/>
  <c r="B1879" i="8" a="1"/>
  <c r="B2253" i="8" a="1"/>
  <c r="B3195" i="8" a="1"/>
  <c r="B409" i="8" a="1"/>
  <c r="B651" i="8" a="1"/>
  <c r="B928" i="8" a="1"/>
  <c r="B1904" i="8" a="1"/>
  <c r="B1590" i="8" a="1"/>
  <c r="B365" i="8" a="1"/>
  <c r="B406" i="8" a="1"/>
  <c r="B1731" i="8" a="1"/>
  <c r="B3313" i="8" a="1"/>
  <c r="B872" i="8" a="1"/>
  <c r="B3251" i="8" a="1"/>
  <c r="B954" i="8" a="1"/>
  <c r="B776" i="8" a="1"/>
  <c r="B975" i="8" a="1"/>
  <c r="B1702" i="8" a="1"/>
  <c r="B1697" i="8" a="1"/>
  <c r="B856" i="8" a="1"/>
  <c r="B1648" i="8" a="1"/>
  <c r="B1651" i="8" a="1"/>
  <c r="B582" i="8" a="1"/>
  <c r="B1074" i="8" a="1"/>
  <c r="B1415" i="8" a="1"/>
  <c r="B2092" i="8" a="1"/>
  <c r="B971" i="8" a="1"/>
  <c r="B282" i="8" a="1"/>
  <c r="B195" i="8" a="1"/>
  <c r="B2488" i="8" a="1"/>
  <c r="B378" i="8" a="1"/>
  <c r="B2179" i="8" a="1"/>
  <c r="B2648" i="8" a="1"/>
  <c r="B1685" i="8" a="1"/>
  <c r="B1184" i="8" a="1"/>
  <c r="B2782" i="8" a="1"/>
  <c r="B3466" i="8" a="1"/>
  <c r="B74" i="8" a="1"/>
  <c r="B1533" i="8" a="1"/>
  <c r="B2119" i="8" a="1"/>
  <c r="B3597" i="8" a="1"/>
  <c r="B1435" i="8" a="1"/>
  <c r="B2424" i="8" a="1"/>
  <c r="B2329" i="8" a="1"/>
  <c r="B1267" i="8" a="1"/>
  <c r="B510" i="8" a="1"/>
  <c r="B389" i="8" a="1"/>
  <c r="B3633" i="8" a="1"/>
  <c r="B3484" i="8" a="1"/>
  <c r="B1248" i="8" a="1"/>
  <c r="B2031" i="8" a="1"/>
  <c r="B793" i="8" a="1"/>
  <c r="B425" i="8" a="1"/>
  <c r="B1701" i="8" a="1"/>
  <c r="B1338" i="8" a="1"/>
  <c r="B1400" i="8" a="1"/>
  <c r="B1025" i="8" a="1"/>
  <c r="B683" i="8" a="1"/>
  <c r="B3586" i="8" a="1"/>
  <c r="B257" i="8" a="1"/>
  <c r="B1495" i="8" a="1"/>
  <c r="B1674" i="8" a="1"/>
  <c r="B3041" i="8" a="1"/>
  <c r="B385" i="8" a="1"/>
  <c r="B3536" i="8" a="1"/>
  <c r="B2060" i="8" a="1"/>
  <c r="B522" i="8" a="1"/>
  <c r="B1186" i="8" a="1"/>
  <c r="B924" i="8" a="1"/>
  <c r="B1024" i="8" a="1"/>
  <c r="B3564" i="8" a="1"/>
  <c r="B3465" i="8" a="1"/>
  <c r="B3054" i="8" a="1"/>
  <c r="B3574" i="8" a="1"/>
  <c r="B2693" i="8" a="1"/>
  <c r="B3545" i="8" a="1"/>
  <c r="B2175" i="8" a="1"/>
  <c r="B194" i="8" a="1"/>
  <c r="B3307" i="8" a="1"/>
  <c r="B2586" i="8" a="1"/>
  <c r="B3540" i="8" a="1"/>
  <c r="B2993" i="8" a="1"/>
  <c r="B792" i="8" a="1"/>
  <c r="B484" i="8" a="1"/>
  <c r="B2494" i="8" a="1"/>
  <c r="B1936" i="8" a="1"/>
  <c r="B1737" i="8" a="1"/>
  <c r="B3438" i="8" a="1"/>
  <c r="B1553" i="8" a="1"/>
  <c r="B240" i="8" a="1"/>
  <c r="B1519" i="8" a="1"/>
  <c r="B503" i="8" a="1"/>
  <c r="B935" i="8" a="1"/>
  <c r="B752" i="8" a="1"/>
  <c r="B2086" i="8" a="1"/>
  <c r="B639" i="8" a="1"/>
  <c r="B474" i="8" a="1"/>
  <c r="B1770" i="8" a="1"/>
  <c r="B2200" i="8" a="1"/>
  <c r="B1202" i="8" a="1"/>
  <c r="B1125" i="8" a="1"/>
  <c r="B2466" i="8" a="1"/>
  <c r="B3331" i="8" a="1"/>
  <c r="B822" i="8" a="1"/>
  <c r="B1838" i="8" a="1"/>
  <c r="B2149" i="8" a="1"/>
  <c r="B1612" i="8" a="1"/>
  <c r="B947" i="8" a="1"/>
  <c r="B1083" i="8" a="1"/>
  <c r="B2754" i="8" a="1"/>
  <c r="B1672" i="8" a="1"/>
  <c r="B1095" i="8" a="1"/>
  <c r="B2368" i="8" a="1"/>
  <c r="B995" i="8" a="1"/>
  <c r="B200" i="8" a="1"/>
  <c r="B2065" i="8" a="1"/>
  <c r="B1734" i="8" a="1"/>
  <c r="B2805" i="8" a="1"/>
  <c r="B2569" i="8" a="1"/>
  <c r="B2769" i="8" a="1"/>
  <c r="B41" i="8" a="1"/>
  <c r="B2848" i="8" a="1"/>
  <c r="B948" i="8" a="1"/>
  <c r="B36" i="8" a="1"/>
  <c r="B2715" i="8" a="1"/>
  <c r="B1850" i="8" a="1"/>
  <c r="B2659" i="8" a="1"/>
  <c r="B225" i="8" a="1"/>
  <c r="B3134" i="8" a="1"/>
  <c r="B2420" i="8" a="1"/>
  <c r="B737" i="8" a="1"/>
  <c r="B3079" i="8" a="1"/>
  <c r="B16" i="8" a="1"/>
  <c r="B3464" i="8" a="1"/>
  <c r="B1628" i="8" a="1"/>
  <c r="B1057" i="8" a="1"/>
  <c r="B1515" i="8" a="1"/>
  <c r="B1034" i="8" a="1"/>
  <c r="B91" i="8" a="1"/>
  <c r="B1751" i="8" a="1"/>
  <c r="B1613" i="8" a="1"/>
  <c r="B1749" i="8" a="1"/>
  <c r="B1777" i="8" a="1"/>
  <c r="B1633" i="8" a="1"/>
  <c r="B2987" i="8" a="1"/>
  <c r="B1420" i="8" a="1"/>
  <c r="B1094" i="8" a="1"/>
  <c r="B152" i="8" a="1"/>
  <c r="B3609" i="8" a="1"/>
  <c r="B3561" i="8" a="1"/>
  <c r="B94" i="8" a="1"/>
  <c r="B245" i="8" a="1"/>
  <c r="B3063" i="8" a="1"/>
  <c r="B769" i="8" a="1"/>
  <c r="B1877" i="8" a="1"/>
  <c r="B3309" i="8" a="1"/>
  <c r="B2255" i="8" a="1"/>
  <c r="B490" i="8" a="1"/>
  <c r="B2540" i="8" a="1"/>
  <c r="B3290" i="8" a="1"/>
  <c r="B3558" i="8" a="1"/>
  <c r="B2411" i="8" a="1"/>
  <c r="B1823" i="8" a="1"/>
  <c r="B1064" i="8" a="1"/>
  <c r="B2338" i="8" a="1"/>
  <c r="B1265" i="8" a="1"/>
  <c r="B72" i="8" a="1"/>
  <c r="B2686" i="8" a="1"/>
  <c r="B1887" i="8" a="1"/>
  <c r="B3115" i="8" a="1"/>
  <c r="B2252" i="8" a="1"/>
  <c r="B2229" i="8" a="1"/>
  <c r="B1983" i="8" a="1"/>
  <c r="B32" i="8" a="1"/>
  <c r="B2135" i="8" a="1"/>
  <c r="B1813" i="8" a="1"/>
  <c r="B3478" i="8" a="1"/>
  <c r="B3623" i="8" a="1"/>
  <c r="B3325" i="8" a="1"/>
  <c r="B1886" i="8" a="1"/>
  <c r="B1463" i="8" a="1"/>
  <c r="B3056" i="8" a="1"/>
  <c r="B1929" i="8" a="1"/>
  <c r="B814" i="8" a="1"/>
  <c r="B961" i="8" a="1"/>
  <c r="B2697" i="8" a="1"/>
  <c r="B345" i="8" a="1"/>
  <c r="B3335" i="8" a="1"/>
  <c r="B783" i="8" a="1"/>
  <c r="B738" i="8" a="1"/>
  <c r="B3229" i="8" a="1"/>
  <c r="B2861" i="8" a="1"/>
  <c r="B1726" i="8" a="1"/>
  <c r="B2937" i="8" a="1"/>
  <c r="B3153" i="8" a="1"/>
  <c r="B1011" i="8" a="1"/>
  <c r="B3223" i="8" a="1"/>
  <c r="B3025" i="8" a="1"/>
  <c r="B1733" i="8" a="1"/>
  <c r="B732" i="8" a="1"/>
  <c r="B2696" i="8" a="1"/>
  <c r="B1187" i="8" a="1"/>
  <c r="B177" i="8" a="1"/>
  <c r="B1682" i="8" a="1"/>
  <c r="B2471" i="8" a="1"/>
  <c r="B2839" i="8" a="1"/>
  <c r="B281" i="8" a="1"/>
  <c r="B2558" i="8" a="1"/>
  <c r="B1555" i="8" a="1"/>
  <c r="B1491" i="8" a="1"/>
  <c r="B1153" i="8" a="1"/>
  <c r="B3099" i="8" a="1"/>
  <c r="B1711" i="8" a="1"/>
  <c r="B1251" i="8" a="1"/>
  <c r="B2600" i="8" a="1"/>
  <c r="B1700" i="8" a="1"/>
  <c r="B2826" i="8" a="1"/>
  <c r="B2210" i="8" a="1"/>
  <c r="B3133" i="8" a="1"/>
  <c r="B2567" i="8" a="1"/>
  <c r="B1772" i="8" a="1"/>
  <c r="B1738" i="8" a="1"/>
  <c r="B97" i="8" a="1"/>
  <c r="B2781" i="8" a="1"/>
  <c r="B2525" i="8" a="1"/>
  <c r="B2594" i="8" a="1"/>
  <c r="B733" i="8" a="1"/>
  <c r="B2660" i="8" a="1"/>
  <c r="B432" i="8" a="1"/>
  <c r="B1604" i="8" a="1"/>
  <c r="B2307" i="8" a="1"/>
  <c r="B42" i="8" a="1"/>
  <c r="B3346" i="8" a="1"/>
  <c r="B2635" i="8" a="1"/>
  <c r="B1744" i="8" a="1"/>
  <c r="B611" i="8" a="1"/>
  <c r="B2650" i="8" a="1"/>
  <c r="B3411" i="8" a="1"/>
  <c r="B2721" i="8" a="1"/>
  <c r="B3539" i="8" a="1"/>
  <c r="B2838" i="8" a="1"/>
  <c r="B870" i="8" a="1"/>
  <c r="B966" i="8" a="1"/>
  <c r="B3430" i="8" a="1"/>
  <c r="B1642" i="8" a="1"/>
  <c r="B3051" i="8" a="1"/>
  <c r="B1598" i="8" a="1"/>
  <c r="B540" i="8" a="1"/>
  <c r="B2234" i="8" a="1"/>
  <c r="B1079" i="8" a="1"/>
  <c r="B31" i="8" a="1"/>
  <c r="B511" i="8" a="1"/>
  <c r="B2829" i="8" a="1"/>
  <c r="B1792" i="8" a="1"/>
  <c r="B1263" i="8" a="1"/>
  <c r="B24" i="8" a="1"/>
  <c r="B1179" i="8" a="1"/>
  <c r="B1424" i="8" a="1"/>
  <c r="B1320" i="8" a="1"/>
  <c r="B3201" i="8" a="1"/>
  <c r="B1489" i="8" a="1"/>
  <c r="B2867" i="8" a="1"/>
  <c r="B724" i="8" a="1"/>
  <c r="B3592" i="8" a="1"/>
  <c r="B29" i="8" a="1"/>
  <c r="B1107" i="8" a="1"/>
  <c r="B3288" i="8" a="1"/>
  <c r="B2530" i="8" a="1"/>
  <c r="B2812" i="8" a="1"/>
  <c r="B666" i="8" a="1"/>
  <c r="B1662" i="8" a="1"/>
  <c r="B861" i="8" a="1"/>
  <c r="B1247" i="8" a="1"/>
  <c r="B2985" i="8" a="1"/>
  <c r="B2051" i="8" a="1"/>
  <c r="B515" i="8" a="1"/>
  <c r="B1273" i="8" a="1"/>
  <c r="B3510" i="8" a="1"/>
  <c r="B2484" i="8" a="1"/>
  <c r="B3230" i="8" a="1"/>
  <c r="B305" i="8" a="1"/>
  <c r="B1033" i="8" a="1"/>
  <c r="B605" i="8" a="1"/>
  <c r="B3078" i="8" a="1"/>
  <c r="B2467" i="8" a="1"/>
  <c r="B307" i="8" a="1"/>
  <c r="B2870" i="8" a="1"/>
  <c r="B3225" i="8" a="1"/>
  <c r="B58" i="8" a="1"/>
  <c r="B1222" i="8" a="1"/>
  <c r="B1450" i="8" a="1"/>
  <c r="B2433" i="8" a="1"/>
  <c r="B3227" i="8" a="1"/>
  <c r="B3109" i="8" a="1"/>
  <c r="B3389" i="8" a="1"/>
  <c r="B1852" i="8" a="1"/>
  <c r="B2934" i="8" a="1"/>
  <c r="B2618" i="8" a="1"/>
  <c r="B3216" i="8" a="1"/>
  <c r="B686" i="8" a="1"/>
  <c r="B3247" i="8" a="1"/>
  <c r="B2215" i="8" a="1"/>
  <c r="B2661" i="8" a="1"/>
  <c r="B951" i="8" a="1"/>
  <c r="B3026" i="8" a="1"/>
  <c r="B1595" i="8" a="1"/>
  <c r="B691" i="8" a="1"/>
  <c r="B1029" i="8" a="1"/>
  <c r="B563" i="8" a="1"/>
  <c r="B672" i="8" a="1"/>
  <c r="B1008" i="8" a="1"/>
  <c r="B3322" i="8" a="1"/>
  <c r="B2250" i="8" a="1"/>
  <c r="B2101" i="8" a="1"/>
  <c r="B442" i="8" a="1"/>
  <c r="B2767" i="8" a="1"/>
  <c r="B3206" i="8" a="1"/>
  <c r="B3117" i="8" a="1"/>
  <c r="B2386" i="8" a="1"/>
  <c r="B619" i="8" a="1"/>
  <c r="B271" i="8" a="1"/>
  <c r="B904" i="8" a="1"/>
  <c r="B215" i="8" a="1"/>
  <c r="B3292" i="8" a="1"/>
  <c r="B2739" i="8" a="1"/>
  <c r="B3057" i="8" a="1"/>
  <c r="B2085" i="8" a="1"/>
  <c r="B2919" i="8" a="1"/>
  <c r="B2456" i="8" a="1"/>
  <c r="B2901" i="8" a="1"/>
  <c r="B1183" i="8" a="1"/>
  <c r="B3577" i="8" a="1"/>
  <c r="B1427" i="8" a="1"/>
  <c r="B2680" i="8" a="1"/>
  <c r="B238" i="8" a="1"/>
  <c r="B2166" i="8" a="1"/>
  <c r="B1373" i="8" a="1"/>
  <c r="B2803" i="8" a="1"/>
  <c r="B1588" i="8" a="1"/>
  <c r="B1616" i="8" a="1"/>
  <c r="B43" i="8" a="1"/>
  <c r="B3258" i="8" a="1"/>
  <c r="B1080" i="8" a="1"/>
  <c r="B1309" i="8" a="1"/>
  <c r="B2020" i="8" a="1"/>
  <c r="B1205" i="8" a="1"/>
  <c r="B2233" i="8" a="1"/>
  <c r="B2506" i="8" a="1"/>
  <c r="B39" i="8" a="1"/>
  <c r="B2251" i="8" a="1"/>
  <c r="B548" i="8" a="1"/>
  <c r="B3114" i="8" a="1"/>
  <c r="B517" i="8" a="1"/>
  <c r="B1761" i="8" a="1"/>
  <c r="B1728" i="8" a="1"/>
  <c r="B2935" i="8" a="1"/>
  <c r="B1456" i="8" a="1"/>
  <c r="B2502" i="8" a="1"/>
  <c r="B1775" i="8" a="1"/>
  <c r="B499" i="8" a="1"/>
  <c r="B2299" i="8" a="1"/>
  <c r="B1023" i="8" a="1"/>
  <c r="B162" i="8" a="1"/>
  <c r="B535" i="8" a="1"/>
  <c r="B3523" i="8" a="1"/>
  <c r="B1570" i="8" a="1"/>
  <c r="B2196" i="8" a="1"/>
  <c r="B1716" i="8" a="1"/>
  <c r="B1514" i="8" a="1"/>
  <c r="B1381" i="8" a="1"/>
  <c r="B358" i="8" a="1"/>
  <c r="B2126" i="8" a="1"/>
  <c r="B2903" i="8" a="1"/>
  <c r="B2176" i="8" a="1"/>
  <c r="B2325" i="8" a="1"/>
  <c r="B3443" i="8" a="1"/>
  <c r="B229" i="8" a="1"/>
  <c r="B1288" i="8" a="1"/>
  <c r="B3103" i="8" a="1"/>
  <c r="B2883" i="8" a="1"/>
  <c r="B886" i="8" a="1"/>
  <c r="B496" i="8" a="1"/>
  <c r="B1713" i="8" a="1"/>
  <c r="B3361" i="8" a="1"/>
  <c r="B1131" i="8" a="1"/>
  <c r="B1207" i="8" a="1"/>
  <c r="B2095" i="8" a="1"/>
  <c r="B1194" i="8" a="1"/>
  <c r="B1235" i="8" a="1"/>
  <c r="B1600" i="8" a="1"/>
  <c r="B2416" i="8" a="1"/>
  <c r="B2002" i="8" a="1"/>
  <c r="B3509" i="8" a="1"/>
  <c r="B2508" i="8" a="1"/>
  <c r="B572" i="8" a="1"/>
  <c r="B2079" i="8" a="1"/>
  <c r="B956" i="8" a="1"/>
  <c r="B2643" i="8" a="1"/>
  <c r="B862" i="8" a="1"/>
  <c r="B853" i="8" a="1"/>
  <c r="B3607" i="8" a="1"/>
  <c r="B3594" i="8" a="1"/>
  <c r="B2377" i="8" a="1"/>
  <c r="B743" i="8" a="1"/>
  <c r="B2345" i="8" a="1"/>
  <c r="B3142" i="8" a="1"/>
  <c r="B236" i="8" a="1"/>
  <c r="B1440" i="8" a="1"/>
  <c r="B2655" i="8" a="1"/>
  <c r="B1469" i="8" a="1"/>
  <c r="B3193" i="8" a="1"/>
  <c r="B445" i="8" a="1"/>
  <c r="B2074" i="8" a="1"/>
  <c r="B875" i="8" a="1"/>
  <c r="B939" i="8" a="1"/>
  <c r="B2282" i="8" a="1"/>
  <c r="B1210" i="8" a="1"/>
  <c r="B1189" i="8" a="1"/>
  <c r="B2353" i="8" a="1"/>
  <c r="B273" i="8" a="1"/>
  <c r="B1043" i="8" a="1"/>
  <c r="B3168" i="8" a="1"/>
  <c r="B648" i="8" a="1"/>
  <c r="B580" i="8" a="1"/>
  <c r="B2451" i="8" a="1"/>
  <c r="B1972" i="8" a="1"/>
  <c r="B3159" i="8" a="1"/>
  <c r="B67" i="8" a="1"/>
  <c r="B151" i="8" a="1"/>
  <c r="B424" i="8" a="1"/>
  <c r="B1891" i="8" a="1"/>
  <c r="B2869" i="8" a="1"/>
  <c r="B2770" i="8" a="1"/>
  <c r="B15" i="8" a="1"/>
  <c r="B742" i="8" a="1"/>
  <c r="B3280" i="8" a="1"/>
  <c r="B1905" i="8" a="1"/>
  <c r="B1782" i="8" a="1"/>
  <c r="B2383" i="8" a="1"/>
  <c r="B476" i="8" a="1"/>
  <c r="B1015" i="8" a="1"/>
  <c r="B3556" i="8" a="1"/>
  <c r="B196" i="8" a="1"/>
  <c r="B1100" i="8" a="1"/>
  <c r="B608" i="8" a="1"/>
  <c r="B1847" i="8" a="1"/>
  <c r="B3270" i="8" a="1"/>
  <c r="B1644" i="8" a="1"/>
  <c r="B1151" i="8" a="1"/>
  <c r="B2840" i="8" a="1"/>
  <c r="B2412" i="8" a="1"/>
  <c r="B426" i="8" a="1"/>
  <c r="B945" i="8" a="1"/>
  <c r="B1019" i="8" a="1"/>
  <c r="B127" i="8" a="1"/>
  <c r="B2431" i="8" a="1"/>
  <c r="B3178" i="8" a="1"/>
  <c r="B136" i="8" a="1"/>
  <c r="B3219" i="8" a="1"/>
  <c r="B2482" i="8" a="1"/>
  <c r="B1414" i="8" a="1"/>
  <c r="B1865" i="8" a="1"/>
  <c r="B2516" i="8" a="1"/>
  <c r="B978" i="8" a="1"/>
  <c r="B3436" i="8" a="1"/>
  <c r="B1593" i="8" a="1"/>
  <c r="B2067" i="8" a="1"/>
  <c r="B1808" i="8" a="1"/>
  <c r="B163" i="8" a="1"/>
  <c r="B909" i="8" a="1"/>
  <c r="B637" i="8" a="1"/>
  <c r="B219" i="8" a="1"/>
  <c r="B2642" i="8" a="1"/>
  <c r="B363" i="8" a="1"/>
  <c r="B514" i="8" a="1"/>
  <c r="B3031" i="8" a="1"/>
  <c r="B747" i="8" a="1"/>
  <c r="B2953" i="8" a="1"/>
  <c r="B3508" i="8" a="1"/>
  <c r="B1562" i="8" a="1"/>
  <c r="B2035" i="8" a="1"/>
  <c r="B1534" i="8" a="1"/>
  <c r="B3042" i="8" a="1"/>
  <c r="B2538" i="8" a="1"/>
  <c r="B1875" i="8" a="1"/>
  <c r="B2610" i="8" a="1"/>
  <c r="B1693" i="8" a="1"/>
  <c r="B569" i="8" a="1"/>
  <c r="B1630" i="8" a="1"/>
  <c r="B475" i="8" a="1"/>
  <c r="B1805" i="8" a="1"/>
  <c r="B934" i="8" a="1"/>
  <c r="B2452" i="8" a="1"/>
  <c r="B1335" i="8" a="1"/>
  <c r="B1719" i="8" a="1"/>
  <c r="B1303" i="8" a="1"/>
  <c r="B2285" i="8" a="1"/>
  <c r="B2373" i="8" a="1"/>
  <c r="B878" i="8" a="1"/>
  <c r="B1913" i="8" a="1"/>
  <c r="B3631" i="8" a="1"/>
  <c r="B2042" i="8" a="1"/>
  <c r="B543" i="8" a="1"/>
  <c r="B2286" i="8" a="1"/>
  <c r="B3093" i="8" a="1"/>
  <c r="B844" i="8" a="1"/>
  <c r="B2943" i="8" a="1"/>
  <c r="B59" i="8" a="1"/>
  <c r="B2106" i="8" a="1"/>
  <c r="B2576" i="8" a="1"/>
  <c r="B2630" i="8" a="1"/>
  <c r="B1390" i="8" a="1"/>
  <c r="B3174" i="8" a="1"/>
  <c r="B469" i="8" a="1"/>
  <c r="B2295" i="8" a="1"/>
  <c r="B2306" i="8" a="1"/>
  <c r="B1180" i="8" a="1"/>
  <c r="B371" i="8" a="1"/>
  <c r="B2237" i="8" a="1"/>
  <c r="B2191" i="8" a="1"/>
  <c r="B501" i="8" a="1"/>
  <c r="B1302" i="8" a="1"/>
  <c r="B2687" i="8" a="1"/>
  <c r="B2562" i="8" a="1"/>
  <c r="B2652" i="8" a="1"/>
  <c r="B2900" i="8" a="1"/>
  <c r="B3165" i="8" a="1"/>
  <c r="B1704" i="8" a="1"/>
  <c r="B614" i="8" a="1"/>
  <c r="B1806" i="8" a="1"/>
  <c r="B2854" i="8" a="1"/>
  <c r="B489" i="8" a="1"/>
  <c r="B241" i="8" a="1"/>
  <c r="B1128" i="8" a="1"/>
  <c r="B3281" i="8" a="1"/>
  <c r="B2936" i="8" a="1"/>
  <c r="B559" i="8" a="1"/>
  <c r="B2575" i="8" a="1"/>
  <c r="B3302" i="8" a="1"/>
  <c r="B471" i="8" a="1"/>
  <c r="B3450" i="8" a="1"/>
  <c r="B2190" i="8" a="1"/>
  <c r="B1425" i="8" a="1"/>
  <c r="B3601" i="8" a="1"/>
  <c r="B3298" i="8" a="1"/>
  <c r="B2066" i="8" a="1"/>
  <c r="B2453" i="8" a="1"/>
  <c r="B3608" i="8" a="1"/>
  <c r="B293" i="8" a="1"/>
  <c r="B1147" i="8" a="1"/>
  <c r="B660" i="8" a="1"/>
  <c r="B710" i="8" a="1"/>
  <c r="B2634" i="8" a="1"/>
  <c r="B3398" i="8" a="1"/>
  <c r="B1281" i="8" a="1"/>
  <c r="B2990" i="8" a="1"/>
  <c r="B405" i="8" a="1"/>
  <c r="B757" i="8" a="1"/>
  <c r="B69" i="8" a="1"/>
  <c r="B2564" i="8" a="1"/>
  <c r="B2309" i="8" a="1"/>
  <c r="B1411" i="8" a="1"/>
  <c r="B1975" i="8" a="1"/>
  <c r="B1681" i="8" a="1"/>
  <c r="B1822" i="8" a="1"/>
  <c r="B1735" i="8" a="1"/>
  <c r="B2223" i="8" a="1"/>
  <c r="B2487" i="8" a="1"/>
  <c r="B2958" i="8" a="1"/>
  <c r="B887" i="8" a="1"/>
  <c r="B3414" i="8" a="1"/>
  <c r="B1446" i="8" a="1"/>
  <c r="B1821" i="8" a="1"/>
  <c r="B731" i="8" a="1"/>
  <c r="B2521" i="8" a="1"/>
  <c r="B1967" i="8" a="1"/>
  <c r="B2414" i="8" a="1"/>
  <c r="B1868" i="8" a="1"/>
  <c r="B1783" i="8" a="1"/>
  <c r="B1252" i="8" a="1"/>
  <c r="B714" i="8" a="1"/>
  <c r="B2189" i="8" a="1"/>
  <c r="B588" i="8" a="1"/>
  <c r="B337" i="8" a="1"/>
  <c r="B212" i="8" a="1"/>
  <c r="B1276" i="8" a="1"/>
  <c r="B2998" i="8" a="1"/>
  <c r="B902" i="8" a="1"/>
  <c r="B1498" i="8" a="1"/>
  <c r="B2034" i="8" a="1"/>
  <c r="B2436" i="8" a="1"/>
  <c r="B3505" i="8" a="1"/>
  <c r="B1098" i="8" a="1"/>
  <c r="B377" i="8" a="1"/>
  <c r="B2762" i="8" a="1"/>
  <c r="B1715" i="8" a="1"/>
  <c r="B2334" i="8" a="1"/>
  <c r="B2628" i="8" a="1"/>
  <c r="B615" i="8" a="1"/>
  <c r="B3010" i="8" a="1"/>
  <c r="B96" i="8" a="1"/>
  <c r="B12" i="8" a="1"/>
  <c r="B482" i="8" a="1"/>
  <c r="B2475" i="8" a="1"/>
  <c r="B1192" i="8" a="1"/>
  <c r="B3563" i="8" a="1"/>
  <c r="B1848" i="8" a="1"/>
  <c r="B497" i="8" a="1"/>
  <c r="B629" i="8" a="1"/>
  <c r="B1287" i="8" a="1"/>
  <c r="B1773" i="8" a="1"/>
  <c r="B1196" i="8" a="1"/>
  <c r="B3458" i="8" a="1"/>
  <c r="B2765" i="8" a="1"/>
  <c r="B494" i="8" a="1"/>
  <c r="B2833" i="8" a="1"/>
  <c r="B2720" i="8" a="1"/>
  <c r="B2459" i="8" a="1"/>
  <c r="B2999" i="8" a="1"/>
  <c r="B2064" i="8" a="1"/>
  <c r="B3625" i="8" a="1"/>
  <c r="B2152" i="8" a="1"/>
  <c r="B1231" i="8" a="1"/>
  <c r="B322" i="8" a="1"/>
  <c r="B1193" i="8" a="1"/>
  <c r="B1206" i="8" a="1"/>
  <c r="B2359" i="8" a="1"/>
  <c r="B566" i="8" a="1"/>
  <c r="B3060" i="8" a="1"/>
  <c r="B794" i="8" a="1"/>
  <c r="B160" i="8" a="1"/>
  <c r="B1417" i="8" a="1"/>
  <c r="B3493" i="8" a="1"/>
  <c r="B2173" i="8" a="1"/>
  <c r="B2382" i="8" a="1"/>
  <c r="B1810" i="8" a="1"/>
  <c r="B2256" i="8" a="1"/>
  <c r="B3077" i="8" a="1"/>
  <c r="B2337" i="8" a="1"/>
  <c r="B172" i="8" a="1"/>
  <c r="B3062" i="8" a="1"/>
  <c r="B8" i="8" a="1"/>
  <c r="B2481" i="8" a="1"/>
  <c r="B2581" i="8" a="1"/>
  <c r="B1643" i="8" a="1"/>
  <c r="B239" i="8" a="1"/>
  <c r="B248" i="8" a="1"/>
  <c r="B1329" i="8" a="1"/>
  <c r="B2763" i="8" a="1"/>
  <c r="B2727" i="8" a="1"/>
  <c r="B2964" i="8" a="1"/>
  <c r="B1816" i="8" a="1"/>
  <c r="B2868" i="8" a="1"/>
  <c r="B2681" i="8" a="1"/>
  <c r="B3492" i="8" a="1"/>
  <c r="B670" i="8" a="1"/>
  <c r="B763" i="8" a="1"/>
  <c r="B526" i="8" a="1"/>
  <c r="B507" i="8" a="1"/>
  <c r="B3075" i="8" a="1"/>
  <c r="B2062" i="8" a="1"/>
  <c r="B932" i="8" a="1"/>
  <c r="B3519" i="8" a="1"/>
  <c r="B530" i="8" a="1"/>
  <c r="B933" i="8" a="1"/>
  <c r="B2778" i="8" a="1"/>
  <c r="B700" i="8" a="1"/>
  <c r="B2597" i="8" a="1"/>
  <c r="B2786" i="8" a="1"/>
  <c r="B1262" i="8" a="1"/>
  <c r="B2322" i="8" a="1"/>
  <c r="B3244" i="8" a="1"/>
  <c r="B640" i="8" a="1"/>
  <c r="B843" i="8" a="1"/>
  <c r="B1725" i="8" a="1"/>
  <c r="B2766" i="8" a="1"/>
  <c r="B1005" i="8" a="1"/>
  <c r="B2025" i="8" a="1"/>
  <c r="B3157" i="8" a="1"/>
  <c r="B2292" i="8" a="1"/>
  <c r="B331" i="8" a="1"/>
  <c r="B3542" i="8" a="1"/>
  <c r="B335" i="8" a="1"/>
  <c r="B230" i="8" a="1"/>
  <c r="B2977" i="8" a="1"/>
  <c r="B2774" i="8" a="1"/>
  <c r="B180" i="8" a="1"/>
  <c r="B317" i="8" a="1"/>
  <c r="B1332" i="8" a="1"/>
  <c r="B756" i="8" a="1"/>
  <c r="B997" i="8" a="1"/>
  <c r="B562" i="8" a="1"/>
  <c r="B1947" i="8" a="1"/>
  <c r="B3490" i="8" a="1"/>
  <c r="B667" i="8" a="1"/>
  <c r="B3570" i="8" a="1"/>
  <c r="B107" i="8" a="1"/>
  <c r="B2926" i="8" a="1"/>
  <c r="B987" i="8" a="1"/>
  <c r="B2180" i="8" a="1"/>
  <c r="B2478" i="8" a="1"/>
  <c r="B1174" i="8" a="1"/>
  <c r="B392" i="8" a="1"/>
  <c r="B2671" i="8" a="1"/>
  <c r="B2013" i="8" a="1"/>
  <c r="B2505" i="8" a="1"/>
  <c r="B290" i="8" a="1"/>
  <c r="B2418" i="8" a="1"/>
  <c r="B3447" i="8" a="1"/>
  <c r="B2584" i="8" a="1"/>
  <c r="B2281" i="8" a="1"/>
  <c r="B762" i="8" a="1"/>
  <c r="B1115" i="8" a="1"/>
  <c r="B2604" i="8" a="1"/>
  <c r="B2624" i="8" a="1"/>
  <c r="B720" i="8" a="1"/>
  <c r="B1433" i="8" a="1"/>
  <c r="B1092" i="8" a="1"/>
  <c r="B541" i="8" a="1"/>
  <c r="B2400" i="8" a="1"/>
  <c r="B2082" i="8" a="1"/>
  <c r="B2133" i="8" a="1"/>
  <c r="B2534" i="8" a="1"/>
  <c r="B2806" i="8" a="1"/>
  <c r="B2636" i="8" a="1"/>
  <c r="B235" i="8" a="1"/>
  <c r="B1089" i="8" a="1"/>
  <c r="B3614" i="8" a="1"/>
  <c r="B1070" i="8" a="1"/>
  <c r="B2994" i="8" a="1"/>
  <c r="B2460" i="8" a="1"/>
  <c r="B3642" i="8" a="1"/>
  <c r="B2971" i="8" a="1"/>
  <c r="B2670" i="8" a="1"/>
  <c r="B2444" i="8" a="1"/>
  <c r="B3131" i="8" a="1"/>
  <c r="B1484" i="8" a="1"/>
  <c r="B2344" i="8" a="1"/>
  <c r="B2821" i="8" a="1"/>
  <c r="B1458" i="8" a="1"/>
  <c r="B2008" i="8" a="1"/>
  <c r="B2979" i="8" a="1"/>
  <c r="B2374" i="8" a="1"/>
  <c r="B2920" i="8" a="1"/>
  <c r="B3310" i="8" a="1"/>
  <c r="B3600" i="8" a="1"/>
  <c r="B478" i="8" a="1"/>
  <c r="B2855" i="8" a="1"/>
  <c r="B1986" i="8" a="1"/>
  <c r="B2266" i="8" a="1"/>
  <c r="B2909" i="8" a="1"/>
  <c r="B1350" i="8" a="1"/>
  <c r="B2663" i="8" a="1"/>
  <c r="B2339" i="8" a="1"/>
  <c r="B768" i="8" a="1"/>
  <c r="B3547" i="8" a="1"/>
  <c r="B1475" i="8" a="1"/>
  <c r="B3040" i="8" a="1"/>
  <c r="B2503" i="8" a="1"/>
  <c r="B3197" i="8" a="1"/>
  <c r="B2718" i="8" a="1"/>
  <c r="B2751" i="8" a="1"/>
  <c r="B2004" i="8" a="1"/>
  <c r="B2956" i="8" a="1"/>
  <c r="B3141" i="8" a="1"/>
  <c r="B3591" i="8" a="1"/>
  <c r="B311" i="8" a="1"/>
  <c r="B3024" i="8" a="1"/>
  <c r="B3097" i="8" a="1"/>
  <c r="B3300" i="8" a="1"/>
  <c r="B801" i="8" a="1"/>
  <c r="B3086" i="8" a="1"/>
  <c r="B1666" i="8" a="1"/>
  <c r="B876" i="8" a="1"/>
  <c r="B812" i="8" a="1"/>
  <c r="B544" i="8" a="1"/>
  <c r="B2303" i="8" a="1"/>
  <c r="B3371" i="8" a="1"/>
  <c r="B1185" i="8" a="1"/>
  <c r="B1956" i="8" a="1"/>
  <c r="B2125" i="8" a="1"/>
  <c r="B1026" i="8" a="1"/>
  <c r="B3471" i="8" a="1"/>
  <c r="B2371" i="8" a="1"/>
  <c r="B3029" i="8" a="1"/>
  <c r="B1896" i="8" a="1"/>
  <c r="B1755" i="8" a="1"/>
  <c r="B826" i="8" a="1"/>
  <c r="B621" i="8" a="1"/>
  <c r="B1997" i="8" a="1"/>
  <c r="B840" i="8" a="1"/>
  <c r="B183" i="8" a="1"/>
  <c r="B2389" i="8" a="1"/>
  <c r="B3259" i="8" a="1"/>
  <c r="B767" i="8" a="1"/>
  <c r="B2877" i="8" a="1"/>
  <c r="B3410" i="8" a="1"/>
  <c r="B479" i="8" a="1"/>
  <c r="B3650" i="8" a="1"/>
  <c r="B1110" i="8" a="1"/>
  <c r="B2552" i="8" a="1"/>
  <c r="B1462" i="8" a="1"/>
  <c r="B2279" i="8" a="1"/>
  <c r="B3304" i="8" a="1"/>
  <c r="B2154" i="8" a="1"/>
  <c r="B3550" i="8" a="1"/>
  <c r="B2230" i="8" a="1"/>
  <c r="B255" i="8" a="1"/>
  <c r="B509" i="8" a="1"/>
  <c r="B2623" i="8" a="1"/>
  <c r="B1683" i="8" a="1"/>
  <c r="B1105" i="8" a="1"/>
  <c r="B2856" i="8" a="1"/>
  <c r="B2144" i="8" a="1"/>
  <c r="B1637" i="8" a="1"/>
  <c r="B2155" i="8" a="1"/>
  <c r="B1542" i="8" a="1"/>
  <c r="B2719" i="8" a="1"/>
  <c r="B2737" i="8" a="1"/>
  <c r="B1127" i="8" a="1"/>
  <c r="B1261" i="8" a="1"/>
  <c r="B3341" i="8" a="1"/>
  <c r="B1220" i="8" a="1"/>
  <c r="B1409" i="8" a="1"/>
  <c r="B2875" i="8" a="1"/>
  <c r="B655" i="8" a="1"/>
  <c r="B1135" i="8" a="1"/>
  <c r="B2647" i="8" a="1"/>
  <c r="B2625" i="8" a="1"/>
  <c r="B521" i="8" a="1"/>
  <c r="B173" i="8" a="1"/>
  <c r="B3382" i="8" a="1"/>
  <c r="B3014" i="8" a="1"/>
  <c r="B3512" i="8" a="1"/>
  <c r="B2773" i="8" a="1"/>
  <c r="B1564" i="8" a="1"/>
  <c r="B695" i="8" a="1"/>
  <c r="B3163" i="8" a="1"/>
  <c r="B3255" i="8" a="1"/>
  <c r="B2302" i="8" a="1"/>
  <c r="B283" i="8" a="1"/>
  <c r="B3240" i="8" a="1"/>
  <c r="B1219" i="8" a="1"/>
  <c r="B1139" i="8" a="1"/>
  <c r="B330" i="8" a="1"/>
  <c r="B2583" i="8" a="1"/>
  <c r="B959" i="8" a="1"/>
  <c r="B3497" i="8" a="1"/>
  <c r="B3283" i="8" a="1"/>
  <c r="B1970" i="8" a="1"/>
  <c r="B3470" i="8" a="1"/>
  <c r="B3467" i="8" a="1"/>
  <c r="B895" i="8" a="1"/>
  <c r="B2535" i="8" a="1"/>
  <c r="B1055" i="8" a="1"/>
  <c r="B2585" i="8" a="1"/>
  <c r="B2748" i="8" a="1"/>
  <c r="B1645" i="8" a="1"/>
  <c r="B2403" i="8" a="1"/>
  <c r="B1172" i="8" a="1"/>
  <c r="B2273" i="8" a="1"/>
  <c r="B1991" i="8" a="1"/>
  <c r="B917" i="8" a="1"/>
  <c r="B2616" i="8" a="1"/>
  <c r="B165" i="8" a="1"/>
  <c r="B1243" i="8" a="1"/>
  <c r="B2914" i="8" a="1"/>
  <c r="B1841" i="8" a="1"/>
  <c r="B1609" i="8" a="1"/>
  <c r="B3369" i="8" a="1"/>
  <c r="B2238" i="8" a="1"/>
  <c r="B2396" i="8" a="1"/>
  <c r="B3073" i="8" a="1"/>
  <c r="B936" i="8" a="1"/>
  <c r="B1114" i="8" a="1"/>
  <c r="B958" i="8" a="1"/>
  <c r="B1892" i="8" a="1"/>
  <c r="B952" i="8" a="1"/>
  <c r="B412" i="8" a="1"/>
  <c r="B593" i="8" a="1"/>
  <c r="B254" i="8" a="1"/>
  <c r="B1839" i="8" a="1"/>
  <c r="B2511" i="8" a="1"/>
  <c r="B944" i="8" a="1"/>
  <c r="B3403" i="8" a="1"/>
  <c r="B2811" i="8" a="1"/>
  <c r="B1337" i="8" a="1"/>
  <c r="B625" i="8" a="1"/>
  <c r="B846" i="8" a="1"/>
  <c r="B594" i="8" a="1"/>
  <c r="B328" i="8" a="1"/>
  <c r="B1169" i="8" a="1"/>
  <c r="B2358" i="8" a="1"/>
  <c r="B2479" i="8" a="1"/>
  <c r="B1215" i="8" a="1"/>
  <c r="B3459" i="8" a="1"/>
  <c r="B2617" i="8" a="1"/>
  <c r="B549" i="8" a="1"/>
  <c r="B3218" i="8" a="1"/>
  <c r="B1688" i="8" a="1"/>
  <c r="B1199" i="8" a="1"/>
  <c r="B1133" i="8" a="1"/>
  <c r="B918" i="8" a="1"/>
  <c r="B2239" i="8" a="1"/>
  <c r="B874" i="8" a="1"/>
  <c r="B647" i="8" a="1"/>
  <c r="B571" i="8" a="1"/>
  <c r="B2577" i="8" a="1"/>
  <c r="B892" i="8" a="1"/>
  <c r="B3185" i="8" a="1"/>
  <c r="B2756" i="8" a="1"/>
  <c r="B1278" i="8" a="1"/>
  <c r="B3246" i="8" a="1"/>
  <c r="B402" i="8" a="1"/>
  <c r="B2615" i="8" a="1"/>
  <c r="B1367" i="8" a="1"/>
  <c r="B3243" i="8" a="1"/>
  <c r="B919" i="8" a="1"/>
  <c r="B188" i="8" a="1"/>
  <c r="B1270" i="8" a="1"/>
  <c r="B456" i="8" a="1"/>
  <c r="B3167" i="8" a="1"/>
  <c r="B2316" i="8" a="1"/>
  <c r="B110" i="8" a="1"/>
  <c r="B3137" i="8" a="1"/>
  <c r="B2272" i="8" a="1"/>
  <c r="B3342" i="8" a="1"/>
  <c r="B1981" i="8" a="1"/>
  <c r="B1374" i="8" a="1"/>
  <c r="B359" i="8" a="1"/>
  <c r="B837" i="8" a="1"/>
  <c r="B2112" i="8" a="1"/>
  <c r="B1698" i="8" a="1"/>
  <c r="B1673" i="8" a="1"/>
  <c r="B2622" i="8" a="1"/>
  <c r="B1431" i="8" a="1"/>
  <c r="B1062" i="8" a="1"/>
  <c r="B942" i="8" a="1"/>
  <c r="B355" i="8" a="1"/>
  <c r="B3250" i="8" a="1"/>
  <c r="B314" i="8" a="1"/>
  <c r="B141" i="8" a="1"/>
  <c r="B2664" i="8" a="1"/>
  <c r="B1917" i="8" a="1"/>
  <c r="B2261" i="8" a="1"/>
  <c r="B1068" i="8" a="1"/>
  <c r="B1326" i="8" a="1"/>
  <c r="B1563" i="8" a="1"/>
  <c r="B2330" i="8" a="1"/>
  <c r="B3320" i="8" a="1"/>
  <c r="B3140" i="8" a="1"/>
  <c r="B617" i="8" a="1"/>
  <c r="B985" i="8" a="1"/>
  <c r="B2349" i="8" a="1"/>
  <c r="B1536" i="8" a="1"/>
  <c r="B3385" i="8" a="1"/>
  <c r="B1241" i="8" a="1"/>
  <c r="B106" i="8" a="1"/>
  <c r="B3158" i="8" a="1"/>
  <c r="B573" i="8" a="1"/>
  <c r="B33" i="8" a="1"/>
  <c r="B730" i="8" a="1"/>
  <c r="B62" i="8" a="1"/>
  <c r="B56" i="8" a="1"/>
  <c r="B1126" i="8" a="1"/>
  <c r="B1013" i="8" a="1"/>
  <c r="B2631" i="8" a="1"/>
  <c r="B1405" i="8" a="1"/>
  <c r="B1460" i="8" a="1"/>
  <c r="B2240" i="8" a="1"/>
  <c r="B2899" i="8" a="1"/>
  <c r="B797" i="8" a="1"/>
  <c r="B830" i="8" a="1"/>
  <c r="B1483" i="8" a="1"/>
  <c r="B1689" i="8" a="1"/>
  <c r="B1558" i="8" a="1"/>
  <c r="B2637" i="8" a="1"/>
  <c r="B1120" i="8" a="1"/>
  <c r="B3179" i="8" a="1"/>
  <c r="B1684" i="8" a="1"/>
  <c r="B1472" i="8" a="1"/>
  <c r="B1952" i="8" a="1"/>
  <c r="B2122" i="8" a="1"/>
  <c r="B376" i="8" a="1"/>
  <c r="B2018" i="8" a="1"/>
  <c r="B2315" i="8" a="1"/>
  <c r="B2056" i="8" a="1"/>
  <c r="B2609" i="8" a="1"/>
  <c r="B2728" i="8" a="1"/>
  <c r="B833" i="8" a="1"/>
  <c r="B1665" i="8" a="1"/>
  <c r="B2819" i="8" a="1"/>
  <c r="B347" i="8" a="1"/>
  <c r="B3527" i="8" a="1"/>
  <c r="B1101" i="8" a="1"/>
  <c r="B2700" i="8" a="1"/>
  <c r="B3433" i="8" a="1"/>
  <c r="B1835" i="8" a="1"/>
  <c r="B1786" i="8" a="1"/>
  <c r="B3000" i="8" a="1"/>
  <c r="B2966" i="8" a="1"/>
  <c r="B3003" i="8" a="1"/>
  <c r="B3049" i="8" a="1"/>
  <c r="B2326" i="8" a="1"/>
  <c r="B2010" i="8" a="1"/>
  <c r="B2512" i="8" a="1"/>
  <c r="B775" i="8" a="1"/>
  <c r="B1364" i="8" a="1"/>
  <c r="B706" i="8" a="1"/>
  <c r="B1531" i="8" a="1"/>
  <c r="B3520" i="8" a="1"/>
  <c r="B2665" i="8" a="1"/>
  <c r="B1403" i="8" a="1"/>
  <c r="B390" i="8" a="1"/>
  <c r="B1190" i="8" a="1"/>
  <c r="B2713" i="8" a="1"/>
  <c r="B3571" i="8" a="1"/>
  <c r="B2928" i="8" a="1"/>
  <c r="B673" i="8" a="1"/>
  <c r="B2759" i="8" a="1"/>
  <c r="B1112" i="8" a="1"/>
  <c r="B2495" i="8" a="1"/>
  <c r="B584" i="8" a="1"/>
  <c r="B1507" i="8" a="1"/>
  <c r="B2305" i="8" a="1"/>
  <c r="B3641" i="8" a="1"/>
  <c r="B2129" i="8" a="1"/>
  <c r="B528" i="8" a="1"/>
  <c r="B2691" i="8" a="1"/>
  <c r="B1752" i="8" a="1"/>
  <c r="B3249" i="8" a="1"/>
  <c r="B1692" i="8" a="1"/>
  <c r="B1992" i="8" a="1"/>
  <c r="B2645" i="8" a="1"/>
  <c r="B1455" i="8" a="1"/>
  <c r="B1275" i="8" a="1"/>
  <c r="B2356" i="8" a="1"/>
  <c r="B622" i="8" a="1"/>
  <c r="B809" i="8" a="1"/>
  <c r="B908" i="8" a="1"/>
  <c r="B261" i="8" a="1"/>
  <c r="B1787" i="8" a="1"/>
  <c r="B1496" i="8" a="1"/>
  <c r="B1393" i="8" a="1"/>
  <c r="B1158" i="8" a="1"/>
  <c r="B1520" i="8" a="1"/>
  <c r="B754" i="8" a="1"/>
  <c r="B3364" i="8" a="1"/>
  <c r="B1679" i="8" a="1"/>
  <c r="B1568" i="8" a="1"/>
  <c r="B2022" i="8" a="1"/>
  <c r="B751" i="8" a="1"/>
  <c r="B663" i="8" a="1"/>
  <c r="B2117" i="8" a="1"/>
  <c r="B3569" i="8" a="1"/>
  <c r="B208" i="8" a="1"/>
  <c r="B2904" i="8" a="1"/>
  <c r="B692" i="8" a="1"/>
  <c r="B169" i="8" a="1"/>
  <c r="B2916" i="8" a="1"/>
  <c r="B1829" i="8" a="1"/>
  <c r="B2388" i="8" a="1"/>
  <c r="B2738" i="8" a="1"/>
  <c r="B2606" i="8" a="1"/>
  <c r="B674" i="8" a="1"/>
  <c r="B218" i="8" a="1"/>
  <c r="B1832" i="8" a="1"/>
  <c r="B3605" i="8" a="1"/>
  <c r="B587" i="8" a="1"/>
  <c r="B3261" i="8" a="1"/>
  <c r="B2853" i="8" a="1"/>
  <c r="B1656" i="8" a="1"/>
  <c r="B1445" i="8" a="1"/>
  <c r="B1918" i="8" a="1"/>
  <c r="B2037" i="8" a="1"/>
  <c r="B705" i="8" a="1"/>
  <c r="B3120" i="8" a="1"/>
  <c r="B1086" i="8" a="1"/>
  <c r="B1548" i="8" a="1"/>
  <c r="B2910" i="8" a="1"/>
  <c r="B3208" i="8" a="1"/>
  <c r="B1652" i="8" a="1"/>
  <c r="B366" i="8" a="1"/>
  <c r="B156" i="8" a="1"/>
  <c r="B3552" i="8" a="1"/>
  <c r="B2675" i="8" a="1"/>
  <c r="B367" i="8" a="1"/>
  <c r="B1257" i="8" a="1"/>
  <c r="B1978" i="8" a="1"/>
  <c r="B46" i="8" a="1"/>
  <c r="B946" i="8" a="1"/>
  <c r="B251" i="8" a="1"/>
  <c r="B2421" i="8" a="1"/>
  <c r="B202" i="8" a="1"/>
  <c r="B381" i="8" a="1"/>
  <c r="B216" i="8" a="1"/>
  <c r="B1007" i="8" a="1"/>
  <c r="B1740" i="8" a="1"/>
  <c r="B3146" i="8" a="1"/>
  <c r="B1899" i="8" a="1"/>
  <c r="B252" i="8" a="1"/>
  <c r="B1794" i="8" a="1"/>
  <c r="B1940" i="8" a="1"/>
  <c r="B65" i="8" a="1"/>
  <c r="B2049" i="8" a="1"/>
  <c r="B3061" i="8" a="1"/>
  <c r="B2139" i="8" a="1"/>
  <c r="B1195" i="8" a="1"/>
  <c r="B2940" i="8" a="1"/>
  <c r="B2039" i="8" a="1"/>
  <c r="B3222" i="8" a="1"/>
  <c r="B3391" i="8" a="1"/>
  <c r="B739" i="8" a="1"/>
  <c r="B848" i="8" a="1"/>
  <c r="B1898" i="8" a="1"/>
  <c r="B1134" i="8" a="1"/>
  <c r="B3555" i="8" a="1"/>
  <c r="B3392" i="8" a="1"/>
  <c r="B606" i="8" a="1"/>
  <c r="B1111" i="8" a="1"/>
  <c r="B1769" i="8" a="1"/>
  <c r="B312" i="8" a="1"/>
  <c r="B3640" i="8" a="1"/>
  <c r="B3329" i="8" a="1"/>
  <c r="B2941" i="8" a="1"/>
  <c r="B2572" i="8" a="1"/>
  <c r="B3291" i="8" a="1"/>
  <c r="B3444" i="8" a="1"/>
  <c r="B3381" i="8" a="1"/>
  <c r="B2449" i="8" a="1"/>
  <c r="B3238" i="8" a="1"/>
  <c r="B2666" i="8" a="1"/>
  <c r="B4" i="8" a="1"/>
  <c r="B525" i="8" a="1"/>
  <c r="B1140" i="8" a="1"/>
  <c r="B1705" i="8" a="1"/>
  <c r="B3420" i="8" a="1"/>
  <c r="B1678" i="8" a="1"/>
  <c r="B2169" i="8" a="1"/>
  <c r="B1436" i="8" a="1"/>
  <c r="B3441" i="8" a="1"/>
  <c r="B2470" i="8" a="1"/>
  <c r="B576" i="8" a="1"/>
  <c r="B2929" i="8" a="1"/>
  <c r="B2772" i="8" a="1"/>
  <c r="B2542" i="8" a="1"/>
  <c r="B3595" i="8" a="1"/>
  <c r="B3068" i="8" a="1"/>
  <c r="B1937" i="8" a="1"/>
  <c r="B2809" i="8" a="1"/>
  <c r="B129" i="8" a="1"/>
  <c r="B2533" i="8" a="1"/>
  <c r="B1066" i="8" a="1"/>
  <c r="B1237" i="8" a="1"/>
  <c r="B3355" i="8" a="1"/>
  <c r="B3207" i="8" a="1"/>
  <c r="B294" i="8" a="1"/>
  <c r="B276" i="8" a="1"/>
  <c r="B567" i="8" a="1"/>
  <c r="B575" i="8" a="1"/>
  <c r="B3221" i="8" a="1"/>
  <c r="B1122" i="8" a="1"/>
  <c r="B2976" i="8" a="1"/>
  <c r="B1958" i="8" a="1"/>
  <c r="B1480" i="8" a="1"/>
  <c r="B1658" i="8" a="1"/>
  <c r="B2892" i="8" a="1"/>
  <c r="B3468" i="8" a="1"/>
  <c r="B3135" i="8" a="1"/>
  <c r="B66" i="8" a="1"/>
  <c r="B552" i="8" a="1"/>
  <c r="B1369" i="8" a="1"/>
  <c r="B3188" i="8" a="1"/>
  <c r="B3124" i="8" a="1"/>
  <c r="B3575" i="8" a="1"/>
  <c r="B2103" i="8" a="1"/>
  <c r="B2780" i="8" a="1"/>
  <c r="B3402" i="8" a="1"/>
  <c r="B2228" i="8" a="1"/>
  <c r="B393" i="8" a="1"/>
  <c r="B3083" i="8" a="1"/>
  <c r="B1815" i="8" a="1"/>
  <c r="B3181" i="8" a="1"/>
  <c r="B410" i="8" a="1"/>
  <c r="B3096" i="8" a="1"/>
  <c r="B877" i="8" a="1"/>
  <c r="B2150" i="8" a="1"/>
  <c r="B1760" i="8" a="1"/>
  <c r="B612" i="8" a="1"/>
  <c r="B2692" i="8" a="1"/>
  <c r="B1255" i="8" a="1"/>
  <c r="B437" i="8" a="1"/>
  <c r="B1866" i="8" a="1"/>
  <c r="B2674" i="8" a="1"/>
  <c r="B1843" i="8" a="1"/>
  <c r="B2328" i="8" a="1"/>
  <c r="B1988" i="8" a="1"/>
  <c r="B1945" i="8" a="1"/>
  <c r="B916" i="8" a="1"/>
  <c r="B3461" i="8" a="1"/>
  <c r="B3557" i="8" a="1"/>
  <c r="B2795" i="8" a="1"/>
  <c r="B135" i="8" a="1"/>
  <c r="B1597" i="8" a="1"/>
  <c r="B2698" i="8" a="1"/>
  <c r="B976" i="8" a="1"/>
  <c r="B3017" i="8" a="1"/>
  <c r="B2469" i="8" a="1"/>
  <c r="B2159" i="8" a="1"/>
  <c r="B825" i="8" a="1"/>
  <c r="B1500" i="8" a="1"/>
  <c r="B2032" i="8" a="1"/>
  <c r="B2115" i="8" a="1"/>
  <c r="B2366" i="8" a="1"/>
  <c r="B1516" i="8" a="1"/>
  <c r="B1732" i="8" a="1"/>
  <c r="B2952" i="8" a="1"/>
  <c r="B2204" i="8" a="1"/>
  <c r="B221" i="8" a="1"/>
  <c r="B211" i="8" a="1"/>
  <c r="B1259" i="8" a="1"/>
  <c r="B3405" i="8" a="1"/>
  <c r="B538" i="8" a="1"/>
  <c r="B1200" i="8" a="1"/>
  <c r="B748" i="8" a="1"/>
  <c r="B243" i="8" a="1"/>
  <c r="B2996" i="8" a="1"/>
  <c r="B595" i="8" a="1"/>
  <c r="B1045" i="8" a="1"/>
  <c r="B3217" i="8" a="1"/>
  <c r="B3620" i="8" a="1"/>
  <c r="B1968" i="8" a="1"/>
  <c r="B2560" i="8" a="1"/>
  <c r="B2946" i="8" a="1"/>
  <c r="B1916" i="8" a="1"/>
  <c r="B2206" i="8" a="1"/>
  <c r="B1801" i="8" a="1"/>
  <c r="B2041" i="8" a="1"/>
  <c r="B1216" i="8" a="1"/>
  <c r="B2370" i="8" a="1"/>
  <c r="B1784" i="8" a="1"/>
  <c r="B2709" i="8" a="1"/>
  <c r="B500" i="8" a="1"/>
  <c r="B2545" i="8" a="1"/>
  <c r="B718" i="8" a="1"/>
  <c r="B903" i="8" a="1"/>
  <c r="B2265" i="8" a="1"/>
  <c r="B2248" i="8" a="1"/>
  <c r="B811" i="8" a="1"/>
  <c r="B279" i="8" a="1"/>
  <c r="B2461" i="8" a="1"/>
  <c r="B2788" i="8" a="1"/>
  <c r="B659" i="8" a="1"/>
  <c r="B2401" i="8" a="1"/>
  <c r="B1876" i="8" a="1"/>
  <c r="B95" i="8" a="1"/>
  <c r="B3598" i="8" a="1"/>
  <c r="B3401" i="8" a="1"/>
  <c r="B3269" i="8" a="1"/>
  <c r="B2824" i="8" a="1"/>
  <c r="B2140" i="8" a="1"/>
  <c r="B1266" i="8" a="1"/>
  <c r="B1793" i="8" a="1"/>
  <c r="B1410" i="8" a="1"/>
  <c r="B2938" i="8" a="1"/>
  <c r="B816" i="8" a="1"/>
  <c r="B3645" i="8" a="1"/>
  <c r="B2714" i="8" a="1"/>
  <c r="B627" i="8" a="1"/>
  <c r="B2688" i="8" a="1"/>
  <c r="B1912" i="8" a="1"/>
  <c r="B1845" i="8" a="1"/>
  <c r="B3262" i="8" a="1"/>
  <c r="B3053" i="8" a="1"/>
  <c r="B1167" i="8" a="1"/>
  <c r="B2951" i="8" a="1"/>
  <c r="B2121" i="8" a="1"/>
  <c r="B804" i="8" a="1"/>
  <c r="B2021" i="8" a="1"/>
  <c r="B1049" i="8" a="1"/>
  <c r="B1221" i="8" a="1"/>
  <c r="B3301" i="8" a="1"/>
  <c r="B2800" i="8" a="1"/>
  <c r="B2857" i="8" a="1"/>
  <c r="B2895" i="8" a="1"/>
  <c r="B2427" i="8" a="1"/>
  <c r="B3236" i="8" a="1"/>
  <c r="B2760" i="8" a="1"/>
  <c r="B996" i="8" a="1"/>
  <c r="B1444" i="8" a="1"/>
  <c r="B3058" i="8" a="1"/>
  <c r="B2669" i="8" a="1"/>
  <c r="B3472" i="8" a="1"/>
  <c r="B607" i="8" a="1"/>
  <c r="B3046" i="8" a="1"/>
  <c r="B3427" i="8" a="1"/>
  <c r="B1871" i="8" a="1"/>
  <c r="B1377" i="8" a="1"/>
  <c r="B520" i="8" a="1"/>
  <c r="B2735" i="8" a="1"/>
  <c r="B2078" i="8" a="1"/>
  <c r="B2784" i="8" a="1"/>
  <c r="B3315" i="8" a="1"/>
  <c r="B242" i="8" a="1"/>
  <c r="B3203" i="8" a="1"/>
  <c r="B3344" i="8" a="1"/>
  <c r="B1493" i="8" a="1"/>
  <c r="B2012" i="8" a="1"/>
  <c r="B1365" i="8" a="1"/>
  <c r="B1863" i="8" a="1"/>
  <c r="B1830" i="8" a="1"/>
  <c r="B2254" i="8" a="1"/>
  <c r="B896" i="8" a="1"/>
  <c r="B1864" i="8" a="1"/>
  <c r="B10" i="8" a="1"/>
  <c r="B1743" i="8" a="1"/>
  <c r="B2587" i="8" a="1"/>
  <c r="B3648" i="8" a="1"/>
  <c r="B3239" i="8" a="1"/>
  <c r="B3059" i="8" a="1"/>
  <c r="B1982" i="8" a="1"/>
  <c r="B3359" i="8" a="1"/>
  <c r="B2921" i="8" a="1"/>
  <c r="B650" i="8" a="1"/>
  <c r="B2271" i="8" a="1"/>
  <c r="B449" i="8" a="1"/>
  <c r="B2005" i="8" a="1"/>
  <c r="B698" i="8" a="1"/>
  <c r="B726" i="8" a="1"/>
  <c r="B1686" i="8" a="1"/>
  <c r="B1513" i="8" a="1"/>
  <c r="B3328" i="8" a="1"/>
  <c r="B771" i="8" a="1"/>
  <c r="B1471" i="8" a="1"/>
  <c r="B2134" i="8" a="1"/>
  <c r="B138" i="8" a="1"/>
  <c r="B1695" i="8" a="1"/>
  <c r="B1607" i="8" a="1"/>
  <c r="B3081" i="8" a="1"/>
  <c r="B2970" i="8" a="1"/>
  <c r="B1449" i="8" a="1"/>
  <c r="B1325" i="8" a="1"/>
  <c r="B1113" i="8" a="1"/>
  <c r="B2614" i="8" a="1"/>
  <c r="B770" i="8" a="1"/>
  <c r="B161" i="8" a="1"/>
  <c r="B3166" i="8" a="1"/>
  <c r="B7" i="8" a="1"/>
  <c r="B2930" i="8" a="1"/>
  <c r="B2207" i="8" a="1"/>
  <c r="B262" i="8" a="1"/>
  <c r="B1256" i="8" a="1"/>
  <c r="B3224" i="8" a="1"/>
  <c r="B1296" i="8" a="1"/>
  <c r="B411" i="8" a="1"/>
  <c r="B871" i="8" a="1"/>
  <c r="B90" i="8" a="1"/>
  <c r="B523" i="8" a="1"/>
  <c r="B3176" i="8" a="1"/>
  <c r="B2354" i="8" a="1"/>
  <c r="B991" i="8" a="1"/>
  <c r="B237" i="8" a="1"/>
  <c r="B1834" i="8" a="1"/>
  <c r="B2428" i="8" a="1"/>
  <c r="B2939" i="8" a="1"/>
  <c r="B1556" i="8" a="1"/>
  <c r="B3496" i="8" a="1"/>
  <c r="B1380" i="8" a="1"/>
  <c r="B2968" i="8" a="1"/>
  <c r="B2243" i="8" a="1"/>
  <c r="B1258" i="8" a="1"/>
  <c r="B609" i="8" a="1"/>
  <c r="B3507" i="8" a="1"/>
  <c r="B416" i="8" a="1"/>
  <c r="B2246" i="8" a="1"/>
  <c r="B977" i="8" a="1"/>
  <c r="B1804" i="8" a="1"/>
  <c r="B658" i="8" a="1"/>
  <c r="B654" i="8" a="1"/>
  <c r="B455" i="8" a="1"/>
  <c r="B77" i="8" a="1"/>
  <c r="B2157" i="8" a="1"/>
  <c r="B1212" i="8" a="1"/>
  <c r="B1047" i="8" a="1"/>
  <c r="B800" i="8" a="1"/>
  <c r="B1351" i="8" a="1"/>
  <c r="B3100" i="8" a="1"/>
  <c r="B1163" i="8" a="1"/>
  <c r="B1305" i="8" a="1"/>
  <c r="B662" i="8" a="1"/>
  <c r="B3112" i="8" a="1"/>
  <c r="B1739" i="8" a="1"/>
  <c r="B2832" i="8" a="1"/>
  <c r="B2340" i="8" a="1"/>
  <c r="B1922" i="8" a="1"/>
  <c r="B1230" i="8" a="1"/>
  <c r="B885" i="8" a="1"/>
  <c r="B1549" i="8" a="1"/>
  <c r="B2138" i="8" a="1"/>
  <c r="B2749" i="8" a="1"/>
  <c r="B3034" i="8" a="1"/>
  <c r="B2440" i="8" a="1"/>
  <c r="B1503" i="8" a="1"/>
  <c r="B1065" i="8" a="1"/>
  <c r="B1995" i="8" a="1"/>
  <c r="B1030" i="8" a="1"/>
  <c r="B1919" i="8" a="1"/>
  <c r="B1002" i="8" a="1"/>
  <c r="B457" i="8" a="1"/>
  <c r="B310" i="8" a="1"/>
  <c r="B1299" i="8" a="1"/>
  <c r="B1177" i="8" a="1"/>
  <c r="B2927" i="8" a="1"/>
  <c r="B1283" i="8" a="1"/>
  <c r="B1209" i="8" a="1"/>
  <c r="B2267" i="8" a="1"/>
  <c r="B465" i="8" a="1"/>
  <c r="B82" i="8" a="1"/>
  <c r="B974" i="8" a="1"/>
  <c r="B766" i="8" a="1"/>
  <c r="B462" i="8" a="1"/>
  <c r="B1660" i="8" a="1"/>
  <c r="B75" i="8" a="1"/>
  <c r="B1881" i="8" a="1"/>
  <c r="B1289" i="8" a="1"/>
  <c r="B434" i="8" a="1"/>
  <c r="B3" i="8" a="1"/>
  <c r="B3525" i="8" a="1"/>
  <c r="B301" i="8" a="1"/>
  <c r="B1951" i="8" a="1"/>
  <c r="B1996" i="8" a="1"/>
  <c r="B2378" i="8" a="1"/>
  <c r="B249" i="8" a="1"/>
  <c r="B119" i="8" a="1"/>
  <c r="B3628" i="8" a="1"/>
  <c r="B2343" i="8" a="1"/>
  <c r="B1368" i="8" a="1"/>
  <c r="B533" i="8" a="1"/>
  <c r="B1757" i="8" a="1"/>
  <c r="B1619" i="8" a="1"/>
  <c r="B602" i="8" a="1"/>
  <c r="B2249" i="8" a="1"/>
  <c r="B3440" i="8" a="1"/>
  <c r="B148" i="8" a="1"/>
  <c r="B2194" i="8" a="1"/>
  <c r="B2321" i="8" a="1"/>
  <c r="B972" i="8" a="1"/>
  <c r="B1447" i="8" a="1"/>
  <c r="B3546" i="8" a="1"/>
  <c r="B725" i="8" a="1"/>
  <c r="B292" i="8" a="1"/>
  <c r="B1903" i="8" a="1"/>
  <c r="B750" i="8" a="1"/>
  <c r="B2673" i="8" a="1"/>
  <c r="B941" i="8" a="1"/>
  <c r="B2591" i="8" a="1"/>
  <c r="B3376" i="8" a="1"/>
  <c r="B1378" i="8" a="1"/>
  <c r="B1121" i="8" a="1"/>
  <c r="B3516" i="8" a="1"/>
  <c r="B2742" i="8" a="1"/>
  <c r="B3580" i="8" a="1"/>
  <c r="B1188" i="8" a="1"/>
  <c r="B394" i="8" a="1"/>
  <c r="B3418" i="8" a="1"/>
  <c r="B53" i="8" a="1"/>
  <c r="B3148" i="8" a="1"/>
  <c r="B2776" i="8" a="1"/>
  <c r="B318" i="8" a="1"/>
  <c r="B1441" i="8" a="1"/>
  <c r="B472" i="8" a="1"/>
  <c r="B3532" i="8" a="1"/>
  <c r="B2986" i="8" a="1"/>
  <c r="B1797" i="8" a="1"/>
  <c r="B3593" i="8" a="1"/>
  <c r="B1407" i="8" a="1"/>
  <c r="B1874" i="8" a="1"/>
  <c r="B2973" i="8" a="1"/>
  <c r="B1762" i="8" a="1"/>
  <c r="B2099" i="8" a="1"/>
  <c r="B1890" i="8" a="1"/>
  <c r="B599" i="8" a="1"/>
  <c r="B1146" i="8" a="1"/>
  <c r="B395" i="8" a="1"/>
  <c r="B130" i="8" a="1"/>
  <c r="B396" i="8" a="1"/>
  <c r="B2132" i="8" a="1"/>
  <c r="B557" i="8" a="1"/>
  <c r="B3489" i="8" a="1"/>
  <c r="B2874" i="8" a="1"/>
  <c r="B2024" i="8" a="1"/>
  <c r="B2571" i="8" a="1"/>
  <c r="B3286" i="8" a="1"/>
  <c r="B191" i="8" a="1"/>
  <c r="B2107" i="8" a="1"/>
  <c r="B1236" i="8" a="1"/>
  <c r="B2548" i="8" a="1"/>
  <c r="B1426" i="8" a="1"/>
  <c r="B3530" i="8" a="1"/>
  <c r="B687" i="8" a="1"/>
  <c r="B182" i="8" a="1"/>
  <c r="B3476" i="8" a="1"/>
  <c r="B2301" i="8" a="1"/>
  <c r="B827" i="8" a="1"/>
  <c r="B3311" i="8" a="1"/>
  <c r="B3649" i="8" a="1"/>
  <c r="B613" i="8" a="1"/>
  <c r="B98" i="8" a="1"/>
  <c r="B2771" i="8" a="1"/>
  <c r="B2275" i="8" a="1"/>
  <c r="B60" i="8" a="1"/>
  <c r="B3013" i="8" a="1"/>
  <c r="B900" i="8" a="1"/>
  <c r="B3495" i="8" a="1"/>
  <c r="B1313" i="8" a="1"/>
  <c r="B643" i="8" a="1"/>
  <c r="B1790" i="8" a="1"/>
  <c r="B506" i="8" a="1"/>
  <c r="B265" i="8" a="1"/>
  <c r="B2517" i="8" a="1"/>
  <c r="B802" i="8" a="1"/>
  <c r="B1909" i="8" a="1"/>
  <c r="B2500" i="8" a="1"/>
  <c r="B2553" i="8" a="1"/>
  <c r="B1082" i="8" a="1"/>
  <c r="B656" i="8" a="1"/>
  <c r="B3169" i="8" a="1"/>
  <c r="B18" i="8" a="1"/>
  <c r="B468" i="8" a="1"/>
  <c r="B2485" i="8" a="1"/>
  <c r="B1315" i="8" a="1"/>
  <c r="B789" i="8" a="1"/>
  <c r="B3187" i="8" a="1"/>
  <c r="B2087" i="8" a="1"/>
  <c r="B274" i="8" a="1"/>
  <c r="B2145" i="8" a="1"/>
  <c r="B3338" i="8" a="1"/>
  <c r="B2331" i="8" a="1"/>
  <c r="B960" i="8" a="1"/>
  <c r="B829" i="8" a="1"/>
  <c r="B2841" i="8" a="1"/>
  <c r="B1361" i="8" a="1"/>
  <c r="B3582" i="8" a="1"/>
  <c r="B1020" i="8" a="1"/>
  <c r="B1582" i="8" a="1"/>
  <c r="B2711" i="8" a="1"/>
  <c r="B168" i="8" a="1"/>
  <c r="B1856" i="8" a="1"/>
  <c r="B2962" i="8" a="1"/>
  <c r="B380" i="8" a="1"/>
  <c r="B2880" i="8" a="1"/>
  <c r="B2289" i="8" a="1"/>
  <c r="B2201" i="8" a="1"/>
  <c r="B1572" i="8" a="1"/>
  <c r="B1383" i="8" a="1"/>
  <c r="B1058" i="8" a="1"/>
  <c r="B3048" i="8" a="1"/>
  <c r="B157" i="8" a="1"/>
  <c r="B3327" i="8" a="1"/>
  <c r="B1580" i="8" a="1"/>
  <c r="B3071" i="8" a="1"/>
  <c r="B492" i="8" a="1"/>
  <c r="B3377" i="8" a="1"/>
  <c r="B3254" i="8" a="1"/>
  <c r="B3113" i="8" a="1"/>
  <c r="B1108" i="8" a="1"/>
  <c r="B859" i="8" a="1"/>
  <c r="B2167" i="8" a="1"/>
  <c r="B2866" i="8" a="1"/>
  <c r="B1017" i="8" a="1"/>
  <c r="B3095" i="8" a="1"/>
  <c r="B30" i="8" a="1"/>
  <c r="B3395" i="8" a="1"/>
  <c r="B370" i="8" a="1"/>
  <c r="B1559" i="8" a="1"/>
  <c r="B1492" i="8" a="1"/>
  <c r="B233" i="8" a="1"/>
  <c r="B1467" i="8" a="1"/>
  <c r="B1452" i="8" a="1"/>
  <c r="B1345" i="8" a="1"/>
  <c r="B23" i="8" a="1"/>
  <c r="B2360" i="8" a="1"/>
  <c r="B842" i="8" a="1"/>
  <c r="B137" i="8" a="1"/>
  <c r="B2046" i="8" a="1"/>
  <c r="B3360" i="8" a="1"/>
  <c r="B1035" i="8" a="1"/>
  <c r="B1953" i="8" a="1"/>
  <c r="B2988" i="8" a="1"/>
  <c r="B3151" i="8" a="1"/>
  <c r="B3102" i="8" a="1"/>
  <c r="B3506" i="8" a="1"/>
  <c r="B1722" i="8" a="1"/>
  <c r="B1091" i="8" a="1"/>
  <c r="B415" i="8" a="1"/>
  <c r="B329" i="8" a="1"/>
  <c r="B2153" i="8" a="1"/>
  <c r="B603" i="8" a="1"/>
  <c r="B3616" i="8" a="1"/>
  <c r="B3630" i="8" a="1"/>
  <c r="B3373" i="8" a="1"/>
  <c r="B150" i="8" a="1"/>
  <c r="B2949" i="8" a="1"/>
  <c r="B2758" i="8" a="1"/>
  <c r="B779" i="8" a="1"/>
  <c r="B2676" i="8" a="1"/>
  <c r="B3212" i="8" a="1"/>
  <c r="B2566" i="8" a="1"/>
  <c r="B2110" i="8" a="1"/>
  <c r="B1429" i="8" a="1"/>
  <c r="B101" i="8" a="1"/>
  <c r="B630" i="8" a="1"/>
  <c r="B3627" i="8" a="1"/>
  <c r="B3204" i="8" a="1"/>
  <c r="B828" i="8" a="1"/>
  <c r="B1668" i="8" a="1"/>
  <c r="B3581" i="8" a="1"/>
  <c r="B3267" i="8" a="1"/>
  <c r="B3390" i="8" a="1"/>
  <c r="B403" i="8" a="1"/>
  <c r="B2417" i="8" a="1"/>
  <c r="B581" i="8" a="1"/>
  <c r="B3282" i="8" a="1"/>
  <c r="B1342" i="8" a="1"/>
  <c r="B2036" i="8" a="1"/>
  <c r="B1077" i="8" a="1"/>
  <c r="B3038" i="8" a="1"/>
  <c r="B3349" i="8" a="1"/>
  <c r="B1756" i="8" a="1"/>
  <c r="B880" i="8" a="1"/>
  <c r="B1680" i="8" a="1"/>
  <c r="B3350" i="8" a="1"/>
  <c r="B671" i="8" a="1"/>
  <c r="B1301" i="8" a="1"/>
  <c r="B2843" i="8" a="1"/>
  <c r="B1518" i="8" a="1"/>
  <c r="B186" i="8" a="1"/>
  <c r="B440" i="8" a="1"/>
  <c r="B1528" i="8" a="1"/>
  <c r="B2974" i="8" a="1"/>
  <c r="B87" i="8" a="1"/>
  <c r="B2814" i="8" a="1"/>
  <c r="B1509" i="8" a="1"/>
  <c r="B1955" i="8" a="1"/>
  <c r="B164" i="8" a="1"/>
  <c r="B3474" i="8" a="1"/>
  <c r="B716" i="8" a="1"/>
  <c r="B206" i="8" a="1"/>
  <c r="B1999" i="8" a="1"/>
  <c r="B3274" i="8" a="1"/>
  <c r="B2430" i="8" a="1"/>
  <c r="B38" i="8" a="1"/>
  <c r="B2225" i="8" a="1"/>
  <c r="B852" i="8" a="1"/>
  <c r="B1389" i="8" a="1"/>
  <c r="B1272" i="8" a="1"/>
  <c r="B813" i="8" a="1"/>
  <c r="B677" i="8" a="1"/>
  <c r="B765" i="8" a="1"/>
  <c r="B633" i="8" a="1"/>
  <c r="B351" i="8" a="1"/>
  <c r="B3462" i="8" a="1"/>
  <c r="B1297" i="8" a="1"/>
  <c r="B1012" i="8" a="1"/>
  <c r="B3044" i="8" a="1"/>
  <c r="B3316" i="8" a="1"/>
  <c r="B2406" i="8" a="1"/>
  <c r="B735" i="8" a="1"/>
  <c r="B897" i="8" a="1"/>
  <c r="B1470" i="8" a="1"/>
  <c r="B2053" i="8" a="1"/>
  <c r="B3150" i="8" a="1"/>
  <c r="B1527" i="8" a="1"/>
  <c r="B1768" i="8" a="1"/>
  <c r="B3189" i="8" a="1"/>
  <c r="B2123" i="8" a="1"/>
  <c r="B1780" i="8" a="1"/>
  <c r="B832" i="8" a="1"/>
  <c r="B1271" i="8" a="1"/>
  <c r="B1941" i="8" a="1"/>
  <c r="B1197" i="8" a="1"/>
  <c r="B1691" i="8" a="1"/>
  <c r="B713" i="8" a="1"/>
  <c r="B450" i="8" a="1"/>
  <c r="B1544" i="8" a="1"/>
  <c r="B88" i="8" a="1"/>
  <c r="B2278" i="8" a="1"/>
  <c r="B2472" i="8" a="1"/>
  <c r="B773" i="8" a="1"/>
  <c r="B3065" i="8" a="1"/>
  <c r="B3643" i="8" a="1"/>
  <c r="B1894" i="8" a="1"/>
  <c r="B632" i="8" a="1"/>
  <c r="B3565" i="8" a="1"/>
  <c r="B668" i="8" a="1"/>
  <c r="B758" i="8" a="1"/>
  <c r="B1798" i="8" a="1"/>
  <c r="B990" i="8" a="1"/>
  <c r="B1521" i="8" a="1"/>
  <c r="B1667" i="8" a="1"/>
  <c r="B1165" i="8" a="1"/>
  <c r="B3299" i="8" a="1"/>
  <c r="B2227" i="8" a="1"/>
  <c r="B2641" i="8" a="1"/>
  <c r="B3192" i="8" a="1"/>
  <c r="B2945" i="8" a="1"/>
  <c r="B2644" i="8" a="1"/>
  <c r="B2592" i="8" a="1"/>
  <c r="B2168" i="8" a="1"/>
  <c r="B2755" i="8" a="1"/>
  <c r="B3343" i="8" a="1"/>
  <c r="B1422" i="8" a="1"/>
  <c r="B2981" i="8" a="1"/>
  <c r="B1009" i="8" a="1"/>
  <c r="B1853" i="8" a="1"/>
  <c r="B1031" i="8" a="1"/>
  <c r="B1182" i="8" a="1"/>
  <c r="B3297" i="8" a="1"/>
  <c r="B634" i="8" a="1"/>
  <c r="B849" i="8" a="1"/>
  <c r="B3588" i="8" a="1"/>
  <c r="B1316" i="8" a="1"/>
  <c r="B2608" i="8" a="1"/>
  <c r="B2182" i="8" a="1"/>
  <c r="B780" i="8" a="1"/>
  <c r="B57" i="8" a="1"/>
  <c r="B1535" i="8" a="1"/>
  <c r="B319" i="8" a="1"/>
  <c r="B3529" i="8" a="1"/>
  <c r="B3340" i="8" a="1"/>
  <c r="B2596" i="8" a="1"/>
  <c r="B2689" i="8" a="1"/>
  <c r="B2362" i="8" a="1"/>
  <c r="B2293" i="8" a="1"/>
  <c r="B1323" i="8" a="1"/>
  <c r="B653" i="8" a="1"/>
  <c r="B1608" i="8" a="1"/>
  <c r="B2146" i="8" a="1"/>
  <c r="B2441" i="8" a="1"/>
  <c r="B554" i="8" a="1"/>
  <c r="B2783" i="8" a="1"/>
  <c r="B3572" i="8" a="1"/>
  <c r="B652" i="8" a="1"/>
  <c r="B2539" i="8" a="1"/>
  <c r="B707" i="8" a="1"/>
  <c r="B2850" i="8" a="1"/>
  <c r="B741" i="8" a="1"/>
  <c r="B2105" i="8" a="1"/>
  <c r="B2147" i="8" a="1"/>
  <c r="B865" i="8" a="1"/>
  <c r="B1284" i="8" a="1"/>
  <c r="B1314" i="8" a="1"/>
  <c r="B2426" i="8" a="1"/>
  <c r="B2695" i="8" a="1"/>
  <c r="B3070" i="8" a="1"/>
  <c r="B911" i="8" a="1"/>
  <c r="B3383" i="8" a="1"/>
  <c r="B1362" i="8" a="1"/>
  <c r="B2859" i="8" a="1"/>
  <c r="B309" i="8" a="1"/>
  <c r="B1250" i="8" a="1"/>
  <c r="B2071" i="8" a="1"/>
  <c r="B591" i="8" a="1"/>
  <c r="B144" i="8" a="1"/>
  <c r="B772" i="8" a="1"/>
  <c r="B140" i="8" a="1"/>
  <c r="B1902" i="8" a="1"/>
  <c r="B1060" i="8" a="1"/>
  <c r="B120" i="8" a="1"/>
  <c r="B1067" i="8" a="1"/>
  <c r="B3626" i="8" a="1"/>
  <c r="B3434" i="8" a="1"/>
  <c r="B470" i="8" a="1"/>
  <c r="B34" i="8" a="1"/>
  <c r="B175" i="8" a="1"/>
  <c r="B2528" i="8" a="1"/>
  <c r="B1971" i="8" a="1"/>
  <c r="B2205" i="8" a="1"/>
  <c r="B1239" i="8" a="1"/>
  <c r="B2876" i="8" a="1"/>
  <c r="B3502" i="8" a="1"/>
  <c r="B3621" i="8" a="1"/>
  <c r="B914" i="8" a="1"/>
  <c r="B2422" i="8" a="1"/>
  <c r="B1310" i="8" a="1"/>
  <c r="B912" i="8" a="1"/>
  <c r="B1703" i="8" a="1"/>
  <c r="B2030" i="8" a="1"/>
  <c r="B1707" i="8" a="1"/>
  <c r="B3184" i="8" a="1"/>
  <c r="B3214" i="8" a="1"/>
  <c r="B2177" i="8" a="1"/>
  <c r="B11" i="8" a="1"/>
  <c r="B2052" i="8" a="1"/>
  <c r="B1620" i="8" a="1"/>
  <c r="B1621" i="8" a="1"/>
  <c r="B1654" i="8" a="1"/>
  <c r="B922" i="8" a="1"/>
  <c r="B547" i="8" a="1"/>
  <c r="B2197" i="8" a="1"/>
  <c r="B459" i="8" a="1"/>
  <c r="B3116" i="8" a="1"/>
  <c r="B2682" i="8" a="1"/>
  <c r="B3126" i="8" a="1"/>
  <c r="B2165" i="8" a="1"/>
  <c r="B1173" i="8" a="1"/>
  <c r="B422" i="8" a="1"/>
  <c r="B1964" i="8" a="1"/>
  <c r="B1233" i="8" a="1"/>
  <c r="B1502" i="8" a="1"/>
  <c r="B253" i="8" a="1"/>
  <c r="B920" i="8" a="1"/>
  <c r="B2304" i="8" a="1"/>
  <c r="B589" i="8" a="1"/>
  <c r="B398" i="8" a="1"/>
  <c r="B884" i="8" a="1"/>
  <c r="B839" i="8" a="1"/>
  <c r="B275" i="8" a="1"/>
  <c r="B3266" i="8" a="1"/>
  <c r="B421" i="8" a="1"/>
  <c r="B1750" i="8" a="1"/>
  <c r="B1003" i="8" a="1"/>
  <c r="B3303" i="8" a="1"/>
  <c r="B2911" i="8" a="1"/>
  <c r="B1499" i="8" a="1"/>
  <c r="B3417" i="8" a="1"/>
  <c r="B1807" i="8" a="1"/>
  <c r="B586" i="8" a="1"/>
  <c r="B2514" i="8" a="1"/>
  <c r="B3090" i="8" a="1"/>
  <c r="B2497" i="8" a="1"/>
  <c r="B1811" i="8" a="1"/>
  <c r="B3237" i="8" a="1"/>
  <c r="B2045" i="8" a="1"/>
  <c r="B1072" i="8" a="1"/>
  <c r="B278" i="8" a="1"/>
  <c r="B929" i="8" a="1"/>
  <c r="B746" i="8" a="1"/>
  <c r="B2942" i="8" a="1"/>
  <c r="B3064" i="8" a="1"/>
  <c r="B2294" i="8" a="1"/>
  <c r="B1646" i="8" a="1"/>
  <c r="B2559" i="8" a="1"/>
  <c r="B2790" i="8" a="1"/>
  <c r="B2486" i="8" a="1"/>
  <c r="B3602" i="8" a="1"/>
  <c r="B1788" i="8" a="1"/>
  <c r="B2381" i="8" a="1"/>
  <c r="B3397" i="8" a="1"/>
  <c r="B3480" i="8" a="1"/>
  <c r="B2972" i="8" a="1"/>
  <c r="B3632" i="8" a="1"/>
  <c r="B3033" i="8" a="1"/>
  <c r="B1814" i="8" a="1"/>
  <c r="B2435" i="8" a="1"/>
  <c r="B616" i="8" a="1"/>
  <c r="B1833" i="8" a="1"/>
  <c r="B2376" i="8" a="1"/>
  <c r="B1851" i="8" a="1"/>
  <c r="B781" i="8" a="1"/>
  <c r="B1771" i="8" a="1"/>
  <c r="B3513" i="8" a="1"/>
  <c r="B2490" i="8" a="1"/>
  <c r="B3451" i="8" a="1"/>
  <c r="B2262" i="8" a="1"/>
  <c r="B2831" i="8" a="1"/>
  <c r="B1949" i="8" a="1"/>
  <c r="B1663" i="8" a="1"/>
  <c r="B2520" i="8" a="1"/>
  <c r="B1482" i="8" a="1"/>
  <c r="B1234" i="8" a="1"/>
  <c r="B3018" i="8" a="1"/>
  <c r="B618" i="8" a="1"/>
  <c r="B2327" i="8" a="1"/>
  <c r="B3388" i="8" a="1"/>
  <c r="B3104" i="8" a="1"/>
  <c r="B178" i="8" a="1"/>
  <c r="B626" i="8" a="1"/>
  <c r="B3573" i="8" a="1"/>
  <c r="B2211" i="8" a="1"/>
  <c r="B2960" i="8" a="1"/>
  <c r="B209" i="8" a="1"/>
  <c r="B1541" i="8" a="1"/>
  <c r="B1998" i="8" a="1"/>
  <c r="B2439" i="8" a="1"/>
  <c r="B1511" i="8" a="1"/>
  <c r="B2202" i="8" a="1"/>
  <c r="B2434" i="8" a="1"/>
  <c r="B3590" i="8" a="1"/>
  <c r="B2607" i="8" a="1"/>
  <c r="B2313" i="8" a="1"/>
  <c r="B1907" i="8" a="1"/>
  <c r="B1152" i="8" a="1"/>
  <c r="B796" i="8" a="1"/>
  <c r="B2779" i="8" a="1"/>
  <c r="B3183" i="8" a="1"/>
  <c r="B2518" i="8" a="1"/>
  <c r="B1869" i="8" a="1"/>
  <c r="B1551" i="8" a="1"/>
  <c r="B2969" i="8" a="1"/>
  <c r="B646" i="8" a="1"/>
  <c r="B676" i="8" a="1"/>
  <c r="B3228" i="8" a="1"/>
  <c r="B382" i="8" a="1"/>
  <c r="B397" i="8" a="1"/>
  <c r="B1164" i="8" a="1"/>
  <c r="B2156" i="8" a="1"/>
  <c r="B2750" i="8" a="1"/>
  <c r="B753" i="8" a="1"/>
  <c r="B1897" i="8" a="1"/>
  <c r="B3354" i="8" a="1"/>
  <c r="B2408" i="8" a="1"/>
  <c r="B1889" i="8" a="1"/>
  <c r="B2678" i="8" a="1"/>
  <c r="B2080" i="8" a="1"/>
  <c r="B1694" i="8" a="1"/>
  <c r="B1443" i="8" a="1"/>
  <c r="B289" i="8" a="1"/>
  <c r="B665" i="8" a="1"/>
  <c r="B3374" i="8" a="1"/>
  <c r="B1096" i="8" a="1"/>
  <c r="B2836" i="8" a="1"/>
  <c r="B3522" i="8" a="1"/>
  <c r="B2458" i="8" a="1"/>
  <c r="B302" i="8" a="1"/>
  <c r="B342" i="8" a="1"/>
  <c r="B3268" i="8" a="1"/>
  <c r="B1274" i="8" a="1"/>
  <c r="B2605" i="8" a="1"/>
  <c r="B817" i="8" a="1"/>
  <c r="B2438" i="8" a="1"/>
  <c r="B661" i="8" a="1"/>
  <c r="B112" i="8" a="1"/>
  <c r="B3455" i="8" a="1"/>
  <c r="B701" i="8" a="1"/>
  <c r="B227" i="8" a="1"/>
  <c r="B2355" i="8" a="1"/>
  <c r="B2598" i="8" a="1"/>
  <c r="B1379" i="8" a="1"/>
  <c r="B1818" i="8" a="1"/>
  <c r="B2723" i="8" a="1"/>
  <c r="B2532" i="8" a="1"/>
  <c r="B1675" i="8" a="1"/>
  <c r="B3324" i="8" a="1"/>
  <c r="B2887" i="8" a="1"/>
  <c r="B1149" i="8" a="1"/>
  <c r="B3517" i="8" a="1"/>
  <c r="B3449" i="8" a="1"/>
  <c r="B1466" i="8" a="1"/>
  <c r="B1039" i="8" a="1"/>
  <c r="B938" i="8" a="1"/>
  <c r="B3213" i="8" a="1"/>
  <c r="B1577" i="8" a="1"/>
  <c r="B1054" i="8" a="1"/>
  <c r="B1510" i="8" a="1"/>
  <c r="B1061" i="8" a="1"/>
  <c r="B1052" i="8" a="1"/>
  <c r="B2259" i="8" a="1"/>
  <c r="B3030" i="8" a="1"/>
  <c r="B2003" i="8" a="1"/>
  <c r="B3488" i="8" a="1"/>
  <c r="B1022" i="8" a="1"/>
  <c r="B1827" i="8" a="1"/>
  <c r="B854" i="8" a="1"/>
  <c r="B1928" i="8" a="1"/>
  <c r="B3629" i="8" a="1"/>
  <c r="B2845" i="8" a="1"/>
  <c r="B1906" i="8" a="1"/>
  <c r="B988" i="8" a="1"/>
  <c r="B2164" i="8" a="1"/>
  <c r="B3147" i="8" a="1"/>
  <c r="B1343" i="8" a="1"/>
  <c r="B1729" i="8" a="1"/>
  <c r="B146" i="8" a="1"/>
  <c r="B429" i="8" a="1"/>
  <c r="B2216" i="8" a="1"/>
  <c r="B1741" i="8" a="1"/>
  <c r="B1308" i="8" a="1"/>
  <c r="B3521" i="8" a="1"/>
  <c r="B28" i="8" a="1"/>
  <c r="B2593" i="8" a="1"/>
  <c r="B2048" i="8" a="1"/>
  <c r="B27" i="8" a="1"/>
  <c r="B1282" i="8" a="1"/>
  <c r="B967" i="8" a="1"/>
  <c r="B2908" i="8" a="1"/>
  <c r="B1336" i="8" a="1"/>
  <c r="B850" i="8" a="1"/>
  <c r="B2556" i="8" a="1"/>
  <c r="B1038" i="8" a="1"/>
  <c r="B247" i="8" a="1"/>
  <c r="B2300" i="8" a="1"/>
  <c r="B2959" i="8" a="1"/>
  <c r="B2193" i="8" a="1"/>
  <c r="B694" i="8" a="1"/>
  <c r="B1386" i="8" a="1"/>
  <c r="B81" i="8" a="1"/>
  <c r="B2061" i="8" a="1"/>
  <c r="B1437" i="8" a="1"/>
  <c r="B1391" i="8" a="1"/>
  <c r="B3498" i="8" a="1"/>
  <c r="B214" i="8" a="1"/>
  <c r="B2455" i="8" a="1"/>
  <c r="B3105" i="8" a="1"/>
  <c r="B1575" i="8" a="1"/>
  <c r="B70" i="8" a="1"/>
  <c r="B3277" i="8" a="1"/>
  <c r="B1567" i="8" a="1"/>
  <c r="B2029" i="8" a="1"/>
  <c r="B258" i="8" a="1"/>
  <c r="B63" i="8" a="1"/>
  <c r="B858" i="8" a="1"/>
  <c r="B1392" i="8" a="1"/>
  <c r="B545" i="8" a="1"/>
  <c r="B1809" i="8" a="1"/>
  <c r="B983" i="8" a="1"/>
  <c r="B1857" i="8" a="1"/>
  <c r="B2886" i="8" a="1"/>
  <c r="B1286" i="8" a="1"/>
  <c r="B3271" i="8" a="1"/>
  <c r="B749" i="8" a="1"/>
  <c r="B2158" i="8" a="1"/>
  <c r="B2633" i="8" a="1"/>
  <c r="B1000" i="8" a="1"/>
  <c r="B1560" i="8" a="1"/>
  <c r="B3245" i="8" a="1"/>
  <c r="B1081" i="8" a="1"/>
  <c r="B3020" i="8" a="1"/>
  <c r="B1211" i="8" a="1"/>
  <c r="B537" i="8" a="1"/>
  <c r="B2007" i="8" a="1"/>
  <c r="B2124" i="8" a="1"/>
  <c r="B1442" i="8" a="1"/>
  <c r="B1861" i="8" a="1"/>
  <c r="B3231" i="8" a="1"/>
  <c r="B1611" i="8" a="1"/>
  <c r="B13" i="8" a="1"/>
  <c r="B1828" i="8" a="1"/>
  <c r="B3272" i="8" a="1"/>
  <c r="B14" i="8" a="1"/>
  <c r="B2075" i="8" a="1"/>
  <c r="B435" i="8" a="1"/>
  <c r="B2415" i="8" a="1"/>
  <c r="B147" i="8" a="1"/>
  <c r="B1073" i="8" a="1"/>
  <c r="B1497" i="8" a="1"/>
  <c r="B2907" i="8" a="1"/>
  <c r="B2677" i="8" a="1"/>
  <c r="B232" i="8" a="1"/>
  <c r="B930" i="8" a="1"/>
  <c r="B3260" i="8" a="1"/>
  <c r="B3296" i="8" a="1"/>
  <c r="B103" i="8" a="1"/>
  <c r="B1279" i="8" a="1"/>
  <c r="B3501" i="8" a="1"/>
  <c r="B362" i="8" a="1"/>
  <c r="B2310" i="8" a="1"/>
  <c r="B308" i="8" a="1"/>
  <c r="B272" i="8" a="1"/>
  <c r="B1307" i="8" a="1"/>
  <c r="B306" i="8" a="1"/>
  <c r="B3357" i="8" a="1"/>
  <c r="B2395" i="8" a="1"/>
  <c r="B795" i="8" a="1"/>
  <c r="B2588" i="8" a="1"/>
  <c r="B2319" i="8" a="1"/>
  <c r="B1603" i="8" a="1"/>
  <c r="B1573" i="8" a="1"/>
  <c r="B3372" i="8" a="1"/>
  <c r="B3518" i="8" a="1"/>
  <c r="B1831" i="8" a="1"/>
  <c r="B428" i="8" a="1"/>
  <c r="B2073" i="8" a="1"/>
  <c r="B488" i="8" a="1"/>
  <c r="B1143" i="8" a="1"/>
  <c r="B1585" i="8" a="1"/>
  <c r="B2646" i="8" a="1"/>
  <c r="B104" i="8" a="1"/>
  <c r="B782" i="8" a="1"/>
  <c r="B145" i="8" a="1"/>
  <c r="B3164" i="8" a="1"/>
  <c r="B2724" i="8" a="1"/>
  <c r="B1925" i="8" a="1"/>
  <c r="B3170" i="8" a="1"/>
  <c r="B2736" i="8" a="1"/>
  <c r="B1926" i="8" a="1"/>
  <c r="B2570" i="8" a="1"/>
  <c r="B2864" i="8" a="1"/>
  <c r="B1676" i="8" a="1"/>
  <c r="B1571" i="8" a="1"/>
  <c r="B681" i="8" a="1"/>
  <c r="B2510" i="8" a="1"/>
  <c r="B149" i="8" a="1"/>
  <c r="B2991" i="8" a="1"/>
  <c r="B1661" i="8" a="1"/>
  <c r="B3379" i="8" a="1"/>
  <c r="B883" i="8" a="1"/>
  <c r="B2815" i="8" a="1"/>
  <c r="B857" i="8" a="1"/>
  <c r="B441" i="8" a="1"/>
  <c r="B259" i="8" a="1"/>
  <c r="B1924" i="8" a="1"/>
  <c r="B3293" i="8" a="1"/>
  <c r="B3202" i="8" a="1"/>
  <c r="B921" i="8" a="1"/>
  <c r="B1614" i="8" a="1"/>
  <c r="B1538" i="8" a="1"/>
  <c r="B3422" i="8" a="1"/>
  <c r="B2793" i="8" a="1"/>
  <c r="B3149" i="8" a="1"/>
  <c r="B1352" i="8" a="1"/>
  <c r="B736" i="8" a="1"/>
  <c r="B993" i="8" a="1"/>
  <c r="B3356" i="8" a="1"/>
  <c r="B1119" i="8" a="1"/>
  <c r="B2515" i="8" a="1"/>
  <c r="B2218" i="8" a="1"/>
  <c r="B2098" i="8" a="1"/>
  <c r="B391" i="8" a="1"/>
  <c r="B1990" i="8" a="1"/>
  <c r="B999" i="8" a="1"/>
  <c r="B2905" i="8" a="1"/>
  <c r="B207" i="8" a="1"/>
  <c r="B638" i="8" a="1"/>
  <c r="B1117" i="8" a="1"/>
  <c r="B2241" i="8" a="1"/>
  <c r="B3425" i="8" a="1"/>
  <c r="B1363" i="8" a="1"/>
  <c r="B1434" i="8" a="1"/>
  <c r="B1634" i="8" a="1"/>
  <c r="B755" i="8" a="1"/>
  <c r="B1355" i="8" a="1"/>
  <c r="B727" i="8" a="1"/>
  <c r="B1973" i="8" a="1"/>
  <c r="B486" i="8" a="1"/>
  <c r="B3080" i="8" a="1"/>
  <c r="B3082" i="8" a="1"/>
  <c r="B2701" i="8" a="1"/>
  <c r="B2323" i="8" a="1"/>
  <c r="B498" i="8" a="1"/>
  <c r="B2000" i="8" a="1"/>
  <c r="B806" i="8" a="1"/>
  <c r="B224" i="8" a="1"/>
  <c r="B3138" i="8" a="1"/>
  <c r="B2626" i="8" a="1"/>
  <c r="B295" i="8" a="1"/>
  <c r="B717" i="8" a="1"/>
  <c r="B3559" i="8" a="1"/>
  <c r="B1357" i="8" a="1"/>
  <c r="B3370" i="8" a="1"/>
  <c r="B601" i="8" a="1"/>
  <c r="B40" i="8" a="1"/>
  <c r="B2397" i="8" a="1"/>
  <c r="B2932" i="8" a="1"/>
  <c r="B223" i="8" a="1"/>
  <c r="B49" i="8" a="1"/>
  <c r="B1242" i="8" a="1"/>
  <c r="B431" i="8" a="1"/>
  <c r="B1854" i="8" a="1"/>
  <c r="B2621" i="8" a="1"/>
  <c r="B3647" i="8" a="1"/>
  <c r="B2017" i="8" a="1"/>
  <c r="B957" i="8" a="1"/>
  <c r="B2872" i="8" a="1"/>
  <c r="B910" i="8" a="1"/>
  <c r="B1758" i="8" a="1"/>
  <c r="B356" i="8" a="1"/>
  <c r="B2898" i="8" a="1"/>
  <c r="B824" i="8" a="1"/>
  <c r="B118" i="8" a="1"/>
  <c r="B3279" i="8" a="1"/>
  <c r="B2851" i="8" a="1"/>
  <c r="B2181" i="8" a="1"/>
  <c r="B2264" i="8" a="1"/>
  <c r="B452" i="8" a="1"/>
  <c r="B1312" i="8" a="1"/>
  <c r="B1028" i="8" a="1"/>
  <c r="B764" i="8" a="1"/>
  <c r="B1227" i="8" a="1"/>
  <c r="B2151" i="8" a="1"/>
  <c r="B709" i="8" a="1"/>
  <c r="B404" i="8" a="1"/>
  <c r="B1781" i="8" a="1"/>
  <c r="B2565" i="8" a="1"/>
  <c r="B189" i="8" a="1"/>
  <c r="B2802" i="8" a="1"/>
  <c r="B1360" i="8" a="1"/>
  <c r="B2314" i="8" a="1"/>
  <c r="B1473" i="8" a="1"/>
  <c r="B2231" i="8" a="1"/>
  <c r="B992" i="8" a="1"/>
  <c r="B2468" i="8" a="1"/>
  <c r="B1291" i="8" a="1"/>
  <c r="B2817" i="8" a="1"/>
  <c r="B2291" i="8" a="1"/>
  <c r="B2544" i="8" a="1"/>
  <c r="B1474" i="8" a="1"/>
  <c r="B3611" i="8" a="1"/>
  <c r="B1657" i="8" a="1"/>
  <c r="B3171" i="8" a="1"/>
  <c r="B2290" i="8" a="1"/>
  <c r="B340" i="8" a="1"/>
  <c r="B1584" i="8" a="1"/>
  <c r="B184" i="8" a="1"/>
  <c r="B964" i="8" a="1"/>
  <c r="B2684" i="8" a="1"/>
  <c r="B2026" i="8" a="1"/>
  <c r="B1985" i="8" a="1"/>
  <c r="B1803" i="8" a="1"/>
  <c r="B784" i="8" a="1"/>
  <c r="B3399" i="8" a="1"/>
  <c r="B1785" i="8" a="1"/>
  <c r="B1004" i="8" a="1"/>
  <c r="B2632" i="8" a="1"/>
  <c r="B1293" i="8" a="1"/>
  <c r="B3019" i="8" a="1"/>
  <c r="B3637" i="8" a="1"/>
  <c r="B3553" i="8" a="1"/>
  <c r="B1873" i="8" a="1"/>
  <c r="B3424" i="8" a="1"/>
  <c r="B2865" i="8" a="1"/>
  <c r="B3210" i="8" a="1"/>
  <c r="B1776" i="8" a="1"/>
  <c r="B3211" i="8" a="1"/>
  <c r="B3052" i="8" a="1"/>
  <c r="B2917" i="8" a="1"/>
  <c r="B645" i="8" a="1"/>
  <c r="B3253" i="8" a="1"/>
  <c r="B287" i="8" a="1"/>
  <c r="B2178" i="8" a="1"/>
  <c r="B1339" i="8" a="1"/>
  <c r="B1543" i="8" a="1"/>
  <c r="B1537" i="8" a="1"/>
  <c r="B894" i="8" a="1"/>
  <c r="B467" i="8" a="1"/>
  <c r="B1477" i="8" a="1"/>
  <c r="B774" i="8" a="1"/>
  <c r="B2602" i="8" a="1"/>
  <c r="B2835" i="8" a="1"/>
  <c r="B628" i="8" a="1"/>
  <c r="B3128" i="8" a="1"/>
  <c r="B3408" i="8" a="1"/>
  <c r="B268" i="8" a="1"/>
  <c r="B269" i="8" a="1"/>
  <c r="B285" i="8" a="1"/>
  <c r="B2555" i="8" a="1"/>
  <c r="B3412" i="8" a="1"/>
  <c r="B2104" i="8" a="1"/>
  <c r="B2423" i="8" a="1"/>
  <c r="B260" i="8" a="1"/>
  <c r="B1327" i="8" a="1"/>
  <c r="B2933" i="8" a="1"/>
  <c r="B553" i="8" a="1"/>
  <c r="B923" i="8" a="1"/>
  <c r="B111" i="8" a="1"/>
  <c r="B2162" i="8" a="1"/>
  <c r="B1401" i="8" a="1"/>
  <c r="B438" i="8" a="1"/>
  <c r="B855" i="8" a="1"/>
  <c r="B1346" i="8" a="1"/>
  <c r="B901" i="8" a="1"/>
  <c r="B3353" i="8" a="1"/>
  <c r="B454" i="8" a="1"/>
  <c r="B1240" i="8" a="1"/>
  <c r="B1529" i="8" a="1"/>
  <c r="B1745" i="8" a="1"/>
  <c r="B3074" i="8" a="1"/>
  <c r="B2672" i="8" a="1"/>
  <c r="B970" i="8" a="1"/>
  <c r="B3613" i="8" a="1"/>
  <c r="B2114" i="8" a="1"/>
  <c r="B1826" i="8" a="1"/>
  <c r="B3091" i="8" a="1"/>
  <c r="B327" i="8" a="1"/>
  <c r="B2847" i="8" a="1"/>
  <c r="B1629" i="8" a="1"/>
  <c r="B114" i="8" a="1"/>
  <c r="B78" i="8" a="1"/>
  <c r="B1145" i="8" a="1"/>
  <c r="B635" i="8" a="1"/>
  <c r="B1059" i="8" a="1"/>
  <c r="B80" i="8" a="1"/>
  <c r="B590" i="8" a="1"/>
  <c r="B3429" i="8" a="1"/>
  <c r="B708" i="8" a="1"/>
  <c r="B3121" i="8" a="1"/>
  <c r="B1394" i="8" a="1"/>
  <c r="B3463" i="8" a="1"/>
  <c r="B777" i="8" a="1"/>
  <c r="B2963" i="8" a="1"/>
  <c r="B3001" i="8" a="1"/>
  <c r="B2537" i="8" a="1"/>
  <c r="B2629" i="8" a="1"/>
  <c r="B1576" i="8" a="1"/>
  <c r="B1859" i="8" a="1"/>
  <c r="B1989" i="8" a="1"/>
  <c r="B436" i="8" a="1"/>
  <c r="B1742" i="8" a="1"/>
  <c r="B2387" i="8" a="1"/>
  <c r="B578" i="8" a="1"/>
  <c r="B2753" i="8" a="1"/>
  <c r="B1464" i="8" a="1"/>
  <c r="B2526" i="8" a="1"/>
  <c r="B1747" i="8" a="1"/>
  <c r="B719" i="8" a="1"/>
  <c r="B2828" i="8" a="1"/>
  <c r="B2242" i="8" a="1"/>
  <c r="B2109" i="8" a="1"/>
  <c r="B1232" i="8" a="1"/>
  <c r="B3200" i="8" a="1"/>
  <c r="B596" i="8" a="1"/>
  <c r="B675" i="8" a="1"/>
  <c r="B267" i="8" a="1"/>
  <c r="B3576" i="8" a="1"/>
  <c r="B1396" i="8" a="1"/>
  <c r="B2504" i="8" a="1"/>
  <c r="B3162" i="8" a="1"/>
  <c r="B3107" i="8" a="1"/>
  <c r="B1504" i="8" a="1"/>
  <c r="B2016" i="8" a="1"/>
  <c r="B222" i="8" a="1"/>
  <c r="B3566" i="8" a="1"/>
  <c r="B1398" i="8" a="1"/>
  <c r="B1290" i="8" a="1"/>
  <c r="B1124" i="8" a="1"/>
  <c r="B1246" i="8" a="1"/>
  <c r="B2683" i="8" a="1"/>
  <c r="B1078" i="8" a="1"/>
  <c r="B682" i="8" a="1"/>
  <c r="B480" i="8" a="1"/>
  <c r="B1754" i="8" a="1"/>
  <c r="B3006" i="8" a="1"/>
  <c r="B835" i="8" a="1"/>
  <c r="B2894" i="8" a="1"/>
  <c r="B3568" i="8" a="1"/>
  <c r="B86" i="8" a="1"/>
  <c r="B2789" i="8" a="1"/>
  <c r="B2725" i="8" a="1"/>
  <c r="B2860" i="8" a="1"/>
  <c r="B336" i="8" a="1"/>
  <c r="B847" i="8" a="1"/>
  <c r="B1294" i="8" a="1"/>
  <c r="B1539" i="8" a="1"/>
  <c r="B1016" i="8" a="1"/>
  <c r="B407" i="8" a="1"/>
  <c r="B3180" i="8" a="1"/>
  <c r="B969" i="8" a="1"/>
  <c r="B2195" i="8" a="1"/>
  <c r="B1213" i="8" a="1"/>
  <c r="B3456" i="8" a="1"/>
  <c r="B1040" i="8" a="1"/>
  <c r="B1162" i="8" a="1"/>
  <c r="B1935" i="8" a="1"/>
  <c r="B1322" i="8" a="1"/>
  <c r="B2579" i="8" a="1"/>
  <c r="B1557" i="8" a="1"/>
  <c r="B1532" i="8" a="1"/>
  <c r="B3028" i="8" a="1"/>
  <c r="B1171" i="8" a="1"/>
  <c r="B1285" i="8" a="1"/>
  <c r="B2335" i="8" a="1"/>
  <c r="B1371" i="8" a="1"/>
  <c r="B3604" i="8" a="1"/>
  <c r="B1217" i="8" a="1"/>
  <c r="B1653" i="8" a="1"/>
  <c r="B1993" i="8" a="1"/>
  <c r="B2884" i="8" a="1"/>
  <c r="B3457" i="8" a="1"/>
  <c r="B2657" i="8" a="1"/>
  <c r="B1027" i="8" a="1"/>
  <c r="B715" i="8" a="1"/>
  <c r="B1123" i="8" a="1"/>
  <c r="B1249" i="8" a="1"/>
  <c r="B585" i="8" a="1"/>
  <c r="B1858" i="8" a="1"/>
  <c r="B2199" i="8" a="1"/>
  <c r="B418" i="8" a="1"/>
  <c r="B179" i="8" a="1"/>
  <c r="B3544" i="8" a="1"/>
  <c r="B296" i="8" a="1"/>
  <c r="B2023" i="8" a="1"/>
  <c r="B3067" i="8" a="1"/>
  <c r="B3055" i="8" a="1"/>
  <c r="B1659" i="8" a="1"/>
  <c r="B1430" i="8" a="1"/>
  <c r="B879" i="8" a="1"/>
  <c r="B2312" i="8" a="1"/>
  <c r="B623" i="8" a="1"/>
  <c r="B1946" i="8" a="1"/>
  <c r="B2549" i="8" a="1"/>
  <c r="B2890" i="8" a="1"/>
  <c r="B3129" i="8" a="1"/>
  <c r="B5" i="8" a="1"/>
  <c r="B2889" i="8" a="1"/>
  <c r="B3638" i="8" a="1"/>
  <c r="B2141" i="8" a="1"/>
  <c r="B3619" i="8" a="1"/>
  <c r="B2224" i="8" a="1"/>
  <c r="B546" i="8" a="1"/>
  <c r="B542" i="8" a="1"/>
  <c r="B2161" i="8" a="1"/>
  <c r="B3106" i="8" a="1"/>
  <c r="B915" i="8" a="1"/>
  <c r="B1063" i="8" a="1"/>
  <c r="B1625" i="8" a="1"/>
  <c r="B1569" i="8" a="1"/>
  <c r="B1136" i="8" a="1"/>
  <c r="B1596" i="8" a="1"/>
  <c r="B250" i="8" a="1"/>
  <c r="B949" i="8" a="1"/>
  <c r="B2744" i="8" a="1"/>
  <c r="B1669" i="8" a="1"/>
  <c r="B2392" i="8" a="1"/>
  <c r="B171" i="8" a="1"/>
  <c r="B1056" i="8" a="1"/>
  <c r="B2808" i="8" a="1"/>
  <c r="B3317" i="8" a="1"/>
  <c r="B1791" i="8" a="1"/>
  <c r="B3196" i="8" a="1"/>
  <c r="B3101" i="8" a="1"/>
  <c r="B3233" i="8" a="1"/>
  <c r="B2094" i="8" a="1"/>
  <c r="B3294" i="8" a="1"/>
  <c r="B3069" i="8" a="1"/>
  <c r="B1796" i="8" a="1"/>
  <c r="B1138" i="8" a="1"/>
  <c r="B263" i="8" a="1"/>
  <c r="B1911" i="8" a="1"/>
  <c r="B3265" i="8" a="1"/>
  <c r="B899" i="8" a="1"/>
  <c r="B1987" i="8" a="1"/>
  <c r="B1295" i="8" a="1"/>
  <c r="B1385" i="8" a="1"/>
  <c r="B2364" i="8" a="1"/>
  <c r="B3257" i="8" a="1"/>
  <c r="B3088" i="8" a="1"/>
  <c r="B1966" i="8" a="1"/>
  <c r="B1846" i="8" a="1"/>
  <c r="B1292" i="8" a="1"/>
  <c r="B3337" i="8" a="1"/>
  <c r="B491" i="8" a="1"/>
  <c r="B2442" i="8" a="1"/>
  <c r="B2454" i="8" a="1"/>
  <c r="B2474" i="8" a="1"/>
  <c r="B2081" i="8" a="1"/>
  <c r="B699" i="8" a="1"/>
  <c r="B610" i="8" a="1"/>
  <c r="B818" i="8" a="1"/>
  <c r="B3531" i="8" a="1"/>
  <c r="B3579" i="8" a="1"/>
  <c r="B2595" i="8" a="1"/>
  <c r="B3541" i="8" a="1"/>
  <c r="B2925" i="8" a="1"/>
  <c r="B3615" i="8" a="1"/>
  <c r="B3094" i="8" a="1"/>
  <c r="B2170" i="8" a="1"/>
  <c r="B2849" i="8" a="1"/>
  <c r="B1076" i="8" a="1"/>
  <c r="B2705" i="8" a="1"/>
  <c r="B3583" i="8" a="1"/>
  <c r="B2707" i="8" a="1"/>
  <c r="B2072" i="8" a="1"/>
  <c r="B693" i="8" a="1"/>
  <c r="B2247" i="8" a="1"/>
  <c r="B592" i="8" a="1"/>
  <c r="B2385" i="8" a="1"/>
  <c r="B597" i="8" a="1"/>
  <c r="B79" i="8" a="1"/>
  <c r="B125" i="8" a="1"/>
  <c r="B121" i="8" a="1"/>
  <c r="B3087" i="8" a="1"/>
  <c r="B641" i="8" a="1"/>
  <c r="B2706" i="8" a="1"/>
  <c r="B3321" i="8" a="1"/>
  <c r="B199" i="8" a="1"/>
  <c r="B325" i="8" a="1"/>
  <c r="B372" i="8" a="1"/>
  <c r="B352" i="8" a="1"/>
  <c r="B3118" i="8" a="1"/>
  <c r="B2090" i="8" a="1"/>
  <c r="B2654" i="8" a="1"/>
  <c r="B3584" i="8" a="1"/>
  <c r="B2685" i="8" a="1"/>
  <c r="B92" i="8" a="1"/>
  <c r="B2882" i="8" a="1"/>
  <c r="B868" i="8" a="1"/>
  <c r="B1264" i="8" a="1"/>
  <c r="B3284" i="8" a="1"/>
  <c r="B2130" i="8" a="1"/>
  <c r="B2274" i="8" a="1"/>
  <c r="B2033" i="8" a="1"/>
  <c r="B1824" i="8" a="1"/>
  <c r="B1253" i="8" a="1"/>
  <c r="B788" i="8" a="1"/>
  <c r="B3273" i="8" a="1"/>
  <c r="B1820" i="8" a="1"/>
  <c r="B1448" i="8" a="1"/>
  <c r="B483" i="8" a="1"/>
  <c r="B2480" i="8" a="1"/>
  <c r="B2" i="8" a="1"/>
  <c r="B1878" i="8" a="1"/>
  <c r="B3386" i="8" a="1"/>
  <c r="B3004" i="8" a="1"/>
  <c r="B2318" i="8" a="1"/>
  <c r="B3365" i="8" a="1"/>
  <c r="B1825" i="8" a="1"/>
  <c r="B3599" i="8" a="1"/>
  <c r="B2862" i="8" a="1"/>
  <c r="B2009" i="8" a="1"/>
  <c r="B1353" i="8" a="1"/>
  <c r="B1155" i="8" a="1"/>
  <c r="B3362" i="8" a="1"/>
  <c r="B2367" i="8" a="1"/>
  <c r="B821" i="8" a="1"/>
  <c r="B1181" i="8" a="1"/>
  <c r="B1485" i="8" a="1"/>
  <c r="B2885" i="8" a="1"/>
  <c r="B124" i="8" a="1"/>
  <c r="B2837" i="8" a="1"/>
  <c r="B420" i="8" a="1"/>
  <c r="B2589" i="8" a="1"/>
  <c r="B2703" i="8" a="1"/>
  <c r="B3182" i="8" a="1"/>
  <c r="B1623" i="8" a="1"/>
  <c r="B791" i="8" a="1"/>
  <c r="B1687" i="8" a="1"/>
  <c r="B1103" i="8" a="1"/>
  <c r="B1525" i="8" a="1"/>
  <c r="B2813" i="8" a="1"/>
  <c r="B1766" i="8" a="1"/>
  <c r="B1423" i="8" a="1"/>
  <c r="B2390" i="8" a="1"/>
  <c r="B550" i="8" a="1"/>
  <c r="B379" i="8" a="1"/>
  <c r="B155" i="8" a="1"/>
  <c r="B84" i="8" a="1"/>
  <c r="B288" i="8" a="1"/>
  <c r="B1084" i="8" a="1"/>
  <c r="B1720" i="8" a="1"/>
  <c r="B3139" i="8" a="1"/>
  <c r="B2878" i="8" a="1"/>
  <c r="B2842" i="8" a="1"/>
  <c r="B1116" i="8" a="1"/>
  <c r="B2768" i="8" a="1"/>
  <c r="B2489" i="8" a="1"/>
  <c r="B1348" i="8" a="1"/>
  <c r="B2980" i="8" a="1"/>
  <c r="B1366" i="8" a="1"/>
  <c r="B2127" i="8" a="1"/>
  <c r="B2513" i="8" a="1"/>
  <c r="B577" i="8" a="1"/>
  <c r="B256" i="8" a="1"/>
  <c r="B685" i="8" a="1"/>
  <c r="B3190" i="8" a="1"/>
  <c r="B323" i="8" a="1"/>
  <c r="B1802" i="8" a="1"/>
  <c r="B2222" i="8" a="1"/>
  <c r="B1203" i="8" a="1"/>
  <c r="B1428" i="8" a="1"/>
  <c r="B3503" i="8" a="1"/>
  <c r="B2270" i="8" a="1"/>
  <c r="B689" i="8" a="1"/>
  <c r="B3161" i="8" a="1"/>
  <c r="B3084" i="8" a="1"/>
  <c r="B231" i="8" a="1"/>
  <c r="B2084" i="8" a="1"/>
  <c r="B1980" i="8" a="1"/>
  <c r="B1102" i="8" a="1"/>
  <c r="B1933" i="8" a="1"/>
  <c r="B1175" i="8" a="1"/>
  <c r="B1229" i="8" a="1"/>
  <c r="B291" i="8" a="1"/>
  <c r="B984" i="8" a="1"/>
  <c r="B2717" i="8" a="1"/>
  <c r="B1706" i="8" a="1"/>
  <c r="B1408" i="8" a="1"/>
  <c r="B1718" i="8" a="1"/>
  <c r="B375" i="8" a="1"/>
  <c r="B423" i="8" a="1"/>
  <c r="B3367" i="8" a="1"/>
  <c r="B477" i="8" a="1"/>
  <c r="B1944" i="8" a="1"/>
  <c r="B1178" i="8" a="1"/>
  <c r="B1505" i="8" a="1"/>
  <c r="B937" i="8" a="1"/>
  <c r="B2612" i="8" a="1"/>
  <c r="B3312" i="8" a="1"/>
  <c r="B2948" i="8" a="1"/>
  <c r="B2834" i="8" a="1"/>
  <c r="B61" i="8" a="1"/>
  <c r="B2741" i="8" a="1"/>
  <c r="B228" i="8" a="1"/>
  <c r="B690" i="8" a="1"/>
  <c r="B1670" i="8" a="1"/>
  <c r="B1453" i="8" a="1"/>
  <c r="B2820" i="8" a="1"/>
  <c r="B2131" i="8" a="1"/>
  <c r="B1006" i="8" a="1"/>
  <c r="B2208" i="8" a="1"/>
  <c r="B3005" i="8" a="1"/>
  <c r="B3646" i="8" a="1"/>
  <c r="B1223" i="8" a="1"/>
  <c r="B354" i="8" a="1"/>
  <c r="B745" i="8" a="1"/>
  <c r="B3295" i="8" a="1"/>
  <c r="B2658" i="8" a="1"/>
  <c r="B1318" i="8" a="1"/>
  <c r="B3098" i="8" a="1"/>
  <c r="B3511" i="8" a="1"/>
  <c r="B3089" i="8" a="1"/>
  <c r="B446" i="8" a="1"/>
  <c r="B159" i="8" a="1"/>
  <c r="B1438" i="8" a="1"/>
  <c r="B1561" i="8" a="1"/>
  <c r="B44" i="8" a="1"/>
  <c r="B579" i="8" a="1"/>
  <c r="B3515" i="8" a="1"/>
  <c r="B3022" i="8" a="1"/>
  <c r="B493" i="8" a="1"/>
  <c r="B740" i="8" a="1"/>
  <c r="B2059" i="8" a="1"/>
  <c r="B2955" i="8" a="1"/>
  <c r="B2638" i="8" a="1"/>
  <c r="B1280" i="8" a="1"/>
  <c r="B2198" i="8" a="1"/>
  <c r="B1885" i="8" a="1"/>
  <c r="B2891" i="8" a="1"/>
  <c r="B2320" i="8" a="1"/>
  <c r="B3172" i="8" a="1"/>
  <c r="B3186" i="8" a="1"/>
  <c r="B158" i="8" a="1"/>
  <c r="B790" i="8" a="1"/>
  <c r="B604" i="8" a="1"/>
  <c r="B1932" i="8" a="1"/>
  <c r="B1144" i="8" a="1"/>
  <c r="B1317" i="8" a="1"/>
  <c r="B3554" i="8" a="1"/>
  <c r="B3491" i="8" a="1"/>
  <c r="B2287" i="8" a="1"/>
  <c r="B1636" i="8" a="1"/>
  <c r="B133" i="8" a="1"/>
  <c r="B1957" i="8" a="1"/>
  <c r="B3378" i="8" a="1"/>
  <c r="B1508" i="8" a="1"/>
  <c r="B702" i="8" a="1"/>
  <c r="B2014" i="8" a="1"/>
  <c r="B505" i="8" a="1"/>
  <c r="B3549" i="8" a="1"/>
  <c r="B388" i="8" a="1"/>
  <c r="B350" i="8" a="1"/>
  <c r="B1842" i="8" a="1"/>
  <c r="B1883" i="8" a="1"/>
  <c r="B2733" i="8" a="1"/>
  <c r="B1526" i="8" a="1"/>
  <c r="B3021" i="8" a="1"/>
  <c r="B3585" i="8" a="1"/>
  <c r="B1376" i="8" a="1"/>
  <c r="B2978" i="8" a="1"/>
  <c r="B2160" i="8" a="1"/>
  <c r="B1844" i="8" a="1"/>
  <c r="B529" i="8" a="1"/>
  <c r="B2068" i="8" a="1"/>
  <c r="B154" i="8" a="1"/>
  <c r="B3130" i="8" a="1"/>
  <c r="B246" i="8" a="1"/>
  <c r="B1053" i="8" a="1"/>
  <c r="B3345" i="8" a="1"/>
  <c r="B2523" i="8" a="1"/>
  <c r="B1594" i="8" a="1"/>
  <c r="B2069" i="8" a="1"/>
  <c r="B1359" i="8" a="1"/>
  <c r="B2413" i="8" a="1"/>
  <c r="B1960" i="8" a="1"/>
  <c r="B1354" i="8" a="1"/>
  <c r="B3242" i="8" a="1"/>
  <c r="B1075" i="8" a="1"/>
  <c r="B3421" i="8" a="1"/>
  <c r="B3308" i="8" a="1"/>
  <c r="B866" i="8" a="1"/>
  <c r="B2192" i="8" a="1"/>
  <c r="B3066" i="8" a="1"/>
  <c r="B1931" i="8" a="1"/>
  <c r="B3358" i="8" a="1"/>
  <c r="B2613" i="8" a="1"/>
  <c r="B981" i="8" a="1"/>
  <c r="B123" i="8" a="1"/>
  <c r="B2217" i="8" a="1"/>
  <c r="B3275" i="8" a="1"/>
  <c r="B2269" i="8" a="1"/>
  <c r="B2546" i="8" a="1"/>
  <c r="B851" i="8" a="1"/>
  <c r="B360" i="8" a="1"/>
  <c r="B2352" i="8" a="1"/>
  <c r="B414" i="8" a="1"/>
  <c r="B2764" i="8" a="1"/>
  <c r="B3396" i="8" a="1"/>
  <c r="B524" i="8" a="1"/>
  <c r="B3173" i="8" a="1"/>
  <c r="B2493" i="8" a="1"/>
  <c r="B820" i="8" a="1"/>
  <c r="B1730" i="8" a="1"/>
  <c r="B891" i="8" a="1"/>
  <c r="B1799" i="8" a="1"/>
  <c r="B2639" i="8" a="1"/>
  <c r="B1036" i="8" a="1"/>
  <c r="B1402" i="8" a="1"/>
  <c r="B2214" i="8" a="1"/>
  <c r="B368" i="8" a="1"/>
  <c r="B1530" i="8" a="1"/>
  <c r="B1214" i="8" a="1"/>
  <c r="B3007" i="8" a="1"/>
  <c r="B280" i="8" a="1"/>
  <c r="B532" i="8" a="1"/>
  <c r="B2437" i="8" a="1"/>
  <c r="B845" i="8" a="1"/>
  <c r="B2752" i="8" a="1"/>
  <c r="B980" i="8" a="1"/>
  <c r="B3177" i="8" a="1"/>
  <c r="B68" i="8" a="1"/>
  <c r="B3125" i="8" a="1"/>
  <c r="B99" i="8" a="1"/>
  <c r="B2350" i="8" a="1"/>
  <c r="B2997" i="8" a="1"/>
  <c r="B723" i="8" a="1"/>
  <c r="B2409" i="8" a="1"/>
  <c r="B2582" i="8" a="1"/>
  <c r="B2001" i="8" a="1"/>
  <c r="B1397" i="8" a="1"/>
  <c r="B1419" i="8" a="1"/>
  <c r="B560" i="8" a="1"/>
  <c r="B534" i="8" a="1"/>
  <c r="B1639" i="8" a="1"/>
  <c r="B2679" i="8" a="1"/>
  <c r="B3347" i="8" a="1"/>
  <c r="B3108" i="8" a="1"/>
  <c r="B2902" i="8" a="1"/>
  <c r="B1615" i="8" a="1"/>
  <c r="B2235" i="8" a="1"/>
  <c r="B1198" i="8" a="1"/>
  <c r="B838" i="8" a="1"/>
  <c r="B2823" i="8" a="1"/>
  <c r="B3380" i="8" a="1"/>
  <c r="B3289" i="8" a="1"/>
  <c r="B1574" i="8" a="1"/>
  <c r="B2457" i="8" a="1"/>
  <c r="B1948" i="8" a="1"/>
  <c r="B2148" i="8" a="1"/>
  <c r="B1487" i="8" a="1"/>
  <c r="B1938" i="8" a="1"/>
  <c r="B998" i="8" a="1"/>
  <c r="B1099" i="8" a="1"/>
  <c r="B867" i="8" a="1"/>
  <c r="B349" i="8" a="1"/>
  <c r="B3132" i="8" a="1"/>
  <c r="B2429" i="8" a="1"/>
  <c r="B2402" i="8" a="1"/>
  <c r="B1524" i="8" a="1"/>
  <c r="B1950" i="8" a="1"/>
  <c r="B3332" i="8" a="1"/>
  <c r="B1677" i="8" a="1"/>
  <c r="B1001" i="8" a="1"/>
  <c r="B721" i="8" a="1"/>
  <c r="B1268" i="8" a="1"/>
  <c r="B3452" i="8" a="1"/>
  <c r="B950" i="8" a="1"/>
  <c r="B574" i="8" a="1"/>
  <c r="B3037" i="8" a="1"/>
  <c r="B2746" i="8" a="1"/>
  <c r="B3156" i="8" a="1"/>
  <c r="B226" i="8" a="1"/>
  <c r="B2944" i="8" a="1"/>
  <c r="B888" i="8" a="1"/>
  <c r="B2573" i="8" a="1"/>
  <c r="B316" i="8" a="1"/>
  <c r="B3011" i="8" a="1"/>
  <c r="B2324" i="8" a="1"/>
  <c r="B3406" i="8" a="1"/>
  <c r="B3487" i="8" a="1"/>
  <c r="B1545" i="8" a="1"/>
  <c r="B353" i="8" a="1"/>
  <c r="B464" i="8" a="1"/>
  <c r="B3072" i="8" a="1"/>
  <c r="B3248" i="8" a="1"/>
  <c r="B348" i="8" a="1"/>
  <c r="B1488" i="8" a="1"/>
  <c r="B3352" i="8" a="1"/>
  <c r="B2212" i="8" a="1"/>
  <c r="B122" i="8" a="1"/>
  <c r="B1977" i="8" a="1"/>
  <c r="B451" i="8" a="1"/>
  <c r="B3469" i="8" a="1"/>
  <c r="B408" i="8" a="1"/>
  <c r="B2006" i="8" a="1"/>
  <c r="B3092" i="8" a="1"/>
  <c r="B869" i="8" a="1"/>
  <c r="B836" i="8" a="1"/>
  <c r="B413" i="8" a="1"/>
  <c r="B1837" i="8" a="1"/>
  <c r="B3144" i="8" a="1"/>
  <c r="B2804" i="8" a="1"/>
  <c r="B2405" i="8" a="1"/>
  <c r="B399" i="8" a="1"/>
  <c r="B3446" i="8" a="1"/>
  <c r="B339" i="8" a="1"/>
  <c r="B803" i="8" a="1"/>
  <c r="B1157" i="8" a="1"/>
  <c r="B2351" i="8" a="1"/>
  <c r="B126" i="8" a="1"/>
  <c r="B2404" i="8" a="1"/>
  <c r="B2447" i="8" a="1"/>
  <c r="B831" i="8" a="1"/>
  <c r="B3618" i="8" a="1"/>
  <c r="B3500" i="8" a="1"/>
  <c r="B89" i="8" a="1"/>
  <c r="B2268" i="8" a="1"/>
  <c r="B338" i="8" a="1"/>
  <c r="B400" i="8" a="1"/>
  <c r="B2347" i="8" a="1"/>
  <c r="B1300" i="8" a="1"/>
  <c r="B2775" i="8" a="1"/>
  <c r="B2448" i="8" a="1"/>
  <c r="B35" i="8" a="1"/>
  <c r="B2557" i="8" a="1"/>
  <c r="B1888" i="8" a="1"/>
  <c r="B2777" i="8" a="1"/>
  <c r="B343" i="8" a="1"/>
  <c r="B1340" i="8" a="1"/>
  <c r="B649" i="8" a="1"/>
  <c r="B2954" i="8" a="1"/>
  <c r="B513" i="8" a="1"/>
  <c r="B1800" i="8" a="1"/>
  <c r="B2063" i="8" a="1"/>
  <c r="B3160" i="8" a="1"/>
  <c r="B2027" i="8" a="1"/>
  <c r="B3209" i="8" a="1"/>
  <c r="B1736" i="8" a="1"/>
  <c r="B2111" i="8" a="1"/>
  <c r="B3012" i="8" a="1"/>
  <c r="B93" i="8" a="1"/>
  <c r="B2283" i="8" a="1"/>
  <c r="B1041" i="8" a="1"/>
  <c r="B982" i="8" a="1"/>
  <c r="B696" i="8" a="1"/>
  <c r="B21" i="8" a="1"/>
  <c r="B298" i="8" a="1"/>
  <c r="B2599" i="8" a="1"/>
  <c r="B2830" i="8" a="1"/>
  <c r="B1650" i="8" a="1"/>
  <c r="B444" i="8" a="1"/>
  <c r="B2465" i="8" a="1"/>
  <c r="B564" i="8" a="1"/>
  <c r="B669" i="8" a="1"/>
  <c r="B1457" i="8" a="1"/>
  <c r="B2348" i="8" a="1"/>
  <c r="B3050" i="8" a="1"/>
  <c r="B722" i="8" a="1"/>
  <c r="B2690" i="8" a="1"/>
  <c r="B383" i="8" a="1"/>
  <c r="B313" i="8" a="1"/>
  <c r="B2662" i="8" a="1"/>
  <c r="B2792" i="8" a="1"/>
  <c r="B1819" i="8" a="1"/>
  <c r="B1260" i="8" a="1"/>
  <c r="B2280" i="8" a="1"/>
  <c r="B1605" i="8" a="1"/>
  <c r="B1624" i="8" a="1"/>
  <c r="B785" i="8" a="1"/>
  <c r="B71" i="8" a="1"/>
  <c r="B600" i="8" a="1"/>
  <c r="B2258" i="8" a="1"/>
  <c r="B2333" i="8" a="1"/>
  <c r="B1870" i="8" a="1"/>
  <c r="B3194" i="8" a="1"/>
  <c r="B1974" i="8" a="1"/>
  <c r="B332" i="8" a="1"/>
  <c r="B1779" i="8" a="1"/>
  <c r="B1641" i="8" a="1"/>
  <c r="B2547" i="8" a="1"/>
  <c r="B688" i="8" a="1"/>
  <c r="B463" i="8" a="1"/>
  <c r="B430" i="8" a="1"/>
  <c r="B624" i="8" a="1"/>
  <c r="B2100" i="8" a="1"/>
  <c r="B1245" i="8" a="1"/>
  <c r="B2399" i="8" a="1"/>
  <c r="B1347" i="8" a="1"/>
  <c r="B3538" i="8" a="1"/>
  <c r="B3122" i="8" a="1"/>
  <c r="B1961" i="8" a="1"/>
  <c r="B2863" i="8" a="1"/>
  <c r="B1330" i="8" a="1"/>
  <c r="B2342" i="8" a="1"/>
  <c r="B1618" i="8" a="1"/>
  <c r="B284" i="8" a="1"/>
  <c r="B1959" i="8" a="1"/>
  <c r="B234" i="8" a="1"/>
  <c r="B461" i="8" a="1"/>
  <c r="B3485" i="8" a="1"/>
  <c r="B3085" i="8" a="1"/>
  <c r="B2464" i="8" a="1"/>
  <c r="B994" i="8" a="1"/>
  <c r="B20" i="8" a="1"/>
  <c r="B2961" i="8" a="1"/>
  <c r="B1764" i="8" a="1"/>
  <c r="B787" i="8" a="1"/>
  <c r="B1599" i="8" a="1"/>
  <c r="B3437" i="8" a="1"/>
  <c r="B3504" i="8" a="1"/>
  <c r="B2432" i="8" a="1"/>
  <c r="B128" i="8" a="1"/>
  <c r="B1586" i="8" a="1"/>
  <c r="B3368" i="8" a="1"/>
  <c r="B3015" i="8" a="1"/>
  <c r="B2745" i="8" a="1"/>
  <c r="B864" i="8" a="1"/>
  <c r="B481" i="8" a="1"/>
  <c r="B2561" i="8" a="1"/>
  <c r="B299" i="8" a="1"/>
  <c r="B2209" i="8" a="1"/>
  <c r="B3644" i="8" a="1"/>
  <c r="B1201" i="8" a="1"/>
  <c r="B2443" i="8" a="1"/>
  <c r="B1934" i="8" a="1"/>
  <c r="B823" i="8" a="1"/>
  <c r="B300" i="8" a="1"/>
  <c r="B2743" i="8" a="1"/>
  <c r="B1021" i="8" a="1"/>
  <c r="B447" i="8" a="1"/>
  <c r="B1753" i="8" a="1"/>
  <c r="B2601" i="8" a="1"/>
  <c r="B1942" i="8" a="1"/>
  <c r="B2057" i="8" a="1"/>
  <c r="B1655" i="8" a="1"/>
  <c r="B2984" i="8" a="1"/>
  <c r="B2580" i="8" a="1"/>
  <c r="B2975" i="8" a="1"/>
  <c r="B3339" i="8" a="1"/>
  <c r="B1979" i="8" a="1"/>
  <c r="B277" i="8" a="1"/>
  <c r="B1602" i="8" a="1"/>
  <c r="B3264" i="8" a="1"/>
  <c r="B213" i="8" a="1"/>
  <c r="B3428" i="8" a="1"/>
  <c r="B636" i="8" a="1"/>
  <c r="B1591" i="8" a="1"/>
  <c r="B2277" i="8" a="1"/>
  <c r="B1046" i="8" a="1"/>
  <c r="B2142" i="8" a="1"/>
  <c r="B1087" i="8" a="1"/>
  <c r="B3537" i="8" a="1"/>
  <c r="B1712" i="8" a="1"/>
  <c r="B1812" i="8" a="1"/>
  <c r="B2825" i="8" a="1"/>
  <c r="B2603" i="8" a="1"/>
  <c r="B76" i="8" a="1"/>
  <c r="B1118" i="8" a="1"/>
  <c r="B3526" i="8" a="1"/>
  <c r="B1341" i="8" a="1"/>
  <c r="B3454" i="8" a="1"/>
  <c r="B1910" i="8" a="1"/>
  <c r="B3175" i="8" a="1"/>
  <c r="B3076" i="8" a="1"/>
  <c r="B2729" i="8" a="1"/>
  <c r="B1759" i="8" a="1"/>
  <c r="B443" i="8" a="1"/>
  <c r="B3578" i="8" a="1"/>
  <c r="B2893" i="8" a="1"/>
  <c r="B2244" i="8" a="1"/>
  <c r="B2298" i="8" a="1"/>
  <c r="B1640" i="8" a="1"/>
  <c r="B2047" i="8" a="1"/>
  <c r="B3407" i="8" a="1"/>
  <c r="B2527" i="8" a="1"/>
  <c r="B684" i="8" a="1"/>
  <c r="B1915" i="8" a="1"/>
  <c r="B1882" i="8" a="1"/>
  <c r="B1699" i="8" a="1"/>
  <c r="B2543" i="8" a="1"/>
  <c r="B1554" i="8" a="1"/>
  <c r="B583" i="8" a="1"/>
  <c r="B2529" i="8" a="1"/>
  <c r="B2881" i="8" a="1"/>
  <c r="B2407" i="8" a="1"/>
  <c r="B697" i="8" a="1"/>
  <c r="B1032" i="8" a="1"/>
  <c r="B568" i="8" a="1"/>
  <c r="B963" i="8" a="1"/>
  <c r="B778" i="8" a="1"/>
  <c r="B860" i="8" a="1"/>
  <c r="B1130" i="8" a="1"/>
  <c r="B3587" i="8" a="1"/>
  <c r="B2989" i="8" a="1"/>
  <c r="B1994" i="8" a="1"/>
  <c r="B3439" i="8" a="1"/>
  <c r="B1349" i="8" a="1"/>
  <c r="B45" i="8" a="1"/>
  <c r="B3409" i="8" a="1"/>
  <c r="B460" i="8" a="1"/>
  <c r="B1635" i="8" a="1"/>
  <c r="B962" i="8" a="1"/>
  <c r="B3009" i="8" a="1"/>
  <c r="B100" i="8" a="1"/>
  <c r="B1976" i="8" a="1"/>
  <c r="B2818" i="8" a="1"/>
  <c r="B3363" i="8" a="1"/>
  <c r="B973" i="8" a="1"/>
  <c r="B2578" i="8" a="1"/>
  <c r="B3404" i="8" a="1"/>
  <c r="B3287" i="8" a="1"/>
  <c r="B1097" i="8" a="1"/>
  <c r="B1592" i="8" a="1"/>
  <c r="B1478" i="8" a="1"/>
  <c r="B761" i="8" a="1"/>
  <c r="B3514" i="8" a="1"/>
  <c r="B3039" i="8" a="1"/>
  <c r="B3314" i="8" a="1"/>
  <c r="B1356" i="8" a="1"/>
  <c r="B2982" i="8" a="1"/>
  <c r="B2483" i="8" a="1"/>
  <c r="B1867" i="8" a="1"/>
  <c r="B83" i="8" a="1"/>
  <c r="B2761" i="8" a="1"/>
  <c r="B1617" i="8" a="1"/>
  <c r="B1849" i="8" a="1"/>
  <c r="B2507" i="8" a="1"/>
  <c r="B1166" i="8" a="1"/>
  <c r="B1228" i="8" a="1"/>
  <c r="B3235" i="8" a="1"/>
  <c r="B1748" i="8" a="1"/>
  <c r="B711" i="8" a="1"/>
  <c r="B2816" i="8" a="1"/>
  <c r="B2308" i="8" a="1"/>
  <c r="B1565" i="8" a="1"/>
  <c r="B1767" i="8" a="1"/>
  <c r="B1088" i="8" a="1"/>
  <c r="B270" i="8" a="1"/>
  <c r="B3215" i="8" a="1"/>
  <c r="B1344" i="8" a="1"/>
  <c r="B2089" i="8" a="1"/>
  <c r="B51" i="8" a="1"/>
  <c r="B502" i="8" a="1"/>
  <c r="B473" i="8" a="1"/>
  <c r="B487" i="8" a="1"/>
  <c r="B187" i="8" a="1"/>
  <c r="B2186" i="8" a="1"/>
  <c r="B1696" i="8" a="1"/>
  <c r="B1334" i="8" a="1"/>
  <c r="B2965" i="8" a="1"/>
  <c r="B815" i="8" a="1"/>
  <c r="B2810" i="8" a="1"/>
  <c r="B3426" i="8" a="1"/>
  <c r="B2799" i="8" a="1"/>
  <c r="B3481" i="8" a="1"/>
  <c r="B1161" i="8" a="1"/>
  <c r="B3477" i="8" a="1"/>
  <c r="B1632" i="8" a="1"/>
  <c r="B2219" i="8" a="1"/>
  <c r="B1321" i="8" a="1"/>
  <c r="B2137" i="8" a="1"/>
  <c r="B113" i="8" a="1"/>
  <c r="B2740" i="8" a="1"/>
  <c r="B3596" i="8" a="1"/>
  <c r="B2054" i="8" a="1"/>
  <c r="B198" i="8" a="1"/>
  <c r="B1901" i="8" a="1"/>
  <c r="B2541" i="8" a="1"/>
  <c r="B17" i="8" a="1"/>
  <c r="B1930" i="8" a="1"/>
  <c r="B1050" i="8" a="1"/>
  <c r="B979" i="8" a="1"/>
  <c r="B979" i="8" l="1"/>
  <c r="B1050" i="8"/>
  <c r="E1050" i="8" s="1"/>
  <c r="B1930" i="8"/>
  <c r="E1930" i="8" s="1"/>
  <c r="B17" i="8"/>
  <c r="B2541" i="8"/>
  <c r="B1901" i="8"/>
  <c r="B198" i="8"/>
  <c r="B2054" i="8"/>
  <c r="E2054" i="8" s="1"/>
  <c r="B3596" i="8"/>
  <c r="B2740" i="8"/>
  <c r="E2740" i="8" s="1"/>
  <c r="B113" i="8"/>
  <c r="B2137" i="8"/>
  <c r="B1321" i="8"/>
  <c r="B2219" i="8"/>
  <c r="B1632" i="8"/>
  <c r="E1632" i="8" s="1"/>
  <c r="B3477" i="8"/>
  <c r="B1161" i="8"/>
  <c r="B3481" i="8"/>
  <c r="B2799" i="8"/>
  <c r="B3426" i="8"/>
  <c r="E3426" i="8" s="1"/>
  <c r="B2810" i="8"/>
  <c r="B815" i="8"/>
  <c r="B2965" i="8"/>
  <c r="B1334" i="8"/>
  <c r="B1696" i="8"/>
  <c r="B2186" i="8"/>
  <c r="B187" i="8"/>
  <c r="B487" i="8"/>
  <c r="E487" i="8" s="1"/>
  <c r="B473" i="8"/>
  <c r="B502" i="8"/>
  <c r="B51" i="8"/>
  <c r="B2089" i="8"/>
  <c r="E2089" i="8" s="1"/>
  <c r="B1344" i="8"/>
  <c r="B3215" i="8"/>
  <c r="B270" i="8"/>
  <c r="B1088" i="8"/>
  <c r="B1767" i="8"/>
  <c r="B1565" i="8"/>
  <c r="B2308" i="8"/>
  <c r="B2816" i="8"/>
  <c r="E2816" i="8" s="1"/>
  <c r="B711" i="8"/>
  <c r="E711" i="8" s="1"/>
  <c r="B1748" i="8"/>
  <c r="E1748" i="8" s="1"/>
  <c r="B3235" i="8"/>
  <c r="E3235" i="8" s="1"/>
  <c r="B1228" i="8"/>
  <c r="E1228" i="8" s="1"/>
  <c r="B1166" i="8"/>
  <c r="B2507" i="8"/>
  <c r="B1849" i="8"/>
  <c r="B1617" i="8"/>
  <c r="B2761" i="8"/>
  <c r="B83" i="8"/>
  <c r="B1867" i="8"/>
  <c r="E1867" i="8" s="1"/>
  <c r="B2483" i="8"/>
  <c r="E2483" i="8" s="1"/>
  <c r="B2982" i="8"/>
  <c r="E2982" i="8" s="1"/>
  <c r="B1356" i="8"/>
  <c r="B3314" i="8"/>
  <c r="E3314" i="8" s="1"/>
  <c r="B3039" i="8"/>
  <c r="B3514" i="8"/>
  <c r="B761" i="8"/>
  <c r="B1478" i="8"/>
  <c r="B1592" i="8"/>
  <c r="B1097" i="8"/>
  <c r="B3287" i="8"/>
  <c r="E3287" i="8" s="1"/>
  <c r="B3404" i="8"/>
  <c r="B2578" i="8"/>
  <c r="B973" i="8"/>
  <c r="B3363" i="8"/>
  <c r="E3363" i="8" s="1"/>
  <c r="B2818" i="8"/>
  <c r="B1976" i="8"/>
  <c r="B100" i="8"/>
  <c r="B3009" i="8"/>
  <c r="B962" i="8"/>
  <c r="B1635" i="8"/>
  <c r="B460" i="8"/>
  <c r="B3409" i="8"/>
  <c r="B45" i="8"/>
  <c r="B1349" i="8"/>
  <c r="E1349" i="8" s="1"/>
  <c r="B3439" i="8"/>
  <c r="B1994" i="8"/>
  <c r="B2989" i="8"/>
  <c r="B3587" i="8"/>
  <c r="B1130" i="8"/>
  <c r="B860" i="8"/>
  <c r="B778" i="8"/>
  <c r="E778" i="8" s="1"/>
  <c r="B963" i="8"/>
  <c r="B568" i="8"/>
  <c r="B1032" i="8"/>
  <c r="E1032" i="8" s="1"/>
  <c r="B697" i="8"/>
  <c r="E697" i="8" s="1"/>
  <c r="B2407" i="8"/>
  <c r="B2881" i="8"/>
  <c r="B2529" i="8"/>
  <c r="B583" i="8"/>
  <c r="B1554" i="8"/>
  <c r="B2543" i="8"/>
  <c r="B1699" i="8"/>
  <c r="E1699" i="8" s="1"/>
  <c r="B1882" i="8"/>
  <c r="B1915" i="8"/>
  <c r="B684" i="8"/>
  <c r="B2527" i="8"/>
  <c r="B3407" i="8"/>
  <c r="E3407" i="8" s="1"/>
  <c r="B2047" i="8"/>
  <c r="E2047" i="8" s="1"/>
  <c r="B1640" i="8"/>
  <c r="B2298" i="8"/>
  <c r="E2298" i="8" s="1"/>
  <c r="B2244" i="8"/>
  <c r="B2893" i="8"/>
  <c r="E2893" i="8" s="1"/>
  <c r="B3578" i="8"/>
  <c r="B443" i="8"/>
  <c r="B1759" i="8"/>
  <c r="B2729" i="8"/>
  <c r="B3076" i="8"/>
  <c r="B3175" i="8"/>
  <c r="E3175" i="8" s="1"/>
  <c r="B1910" i="8"/>
  <c r="E1910" i="8" s="1"/>
  <c r="B3454" i="8"/>
  <c r="B1341" i="8"/>
  <c r="B3526" i="8"/>
  <c r="B1118" i="8"/>
  <c r="B76" i="8"/>
  <c r="B2603" i="8"/>
  <c r="B2825" i="8"/>
  <c r="B1812" i="8"/>
  <c r="B1712" i="8"/>
  <c r="B3537" i="8"/>
  <c r="B1087" i="8"/>
  <c r="B2142" i="8"/>
  <c r="E2142" i="8" s="1"/>
  <c r="B1046" i="8"/>
  <c r="E1046" i="8" s="1"/>
  <c r="B2277" i="8"/>
  <c r="E2277" i="8" s="1"/>
  <c r="B1591" i="8"/>
  <c r="E1591" i="8" s="1"/>
  <c r="B636" i="8"/>
  <c r="B3428" i="8"/>
  <c r="E3428" i="8" s="1"/>
  <c r="B213" i="8"/>
  <c r="B3264" i="8"/>
  <c r="B1602" i="8"/>
  <c r="B277" i="8"/>
  <c r="B1979" i="8"/>
  <c r="B3339" i="8"/>
  <c r="E3339" i="8" s="1"/>
  <c r="B2975" i="8"/>
  <c r="E2975" i="8" s="1"/>
  <c r="B2580" i="8"/>
  <c r="E2580" i="8" s="1"/>
  <c r="B2984" i="8"/>
  <c r="B1655" i="8"/>
  <c r="B2057" i="8"/>
  <c r="E2057" i="8" s="1"/>
  <c r="B1942" i="8"/>
  <c r="B2601" i="8"/>
  <c r="B1753" i="8"/>
  <c r="B447" i="8"/>
  <c r="B1021" i="8"/>
  <c r="B2743" i="8"/>
  <c r="B300" i="8"/>
  <c r="E300" i="8" s="1"/>
  <c r="B823" i="8"/>
  <c r="E823" i="8" s="1"/>
  <c r="B1934" i="8"/>
  <c r="E1934" i="8" s="1"/>
  <c r="B2443" i="8"/>
  <c r="B1201" i="8"/>
  <c r="B3644" i="8"/>
  <c r="B2209" i="8"/>
  <c r="B299" i="8"/>
  <c r="B2561" i="8"/>
  <c r="B481" i="8"/>
  <c r="B864" i="8"/>
  <c r="B2745" i="8"/>
  <c r="B3015" i="8"/>
  <c r="E3015" i="8" s="1"/>
  <c r="B3368" i="8"/>
  <c r="B1586" i="8"/>
  <c r="B128" i="8"/>
  <c r="B2432" i="8"/>
  <c r="E2432" i="8" s="1"/>
  <c r="B3504" i="8"/>
  <c r="B3437" i="8"/>
  <c r="B1599" i="8"/>
  <c r="B787" i="8"/>
  <c r="B1764" i="8"/>
  <c r="B2961" i="8"/>
  <c r="B20" i="8"/>
  <c r="B994" i="8"/>
  <c r="E994" i="8" s="1"/>
  <c r="B2464" i="8"/>
  <c r="B3085" i="8"/>
  <c r="B3485" i="8"/>
  <c r="B461" i="8"/>
  <c r="B234" i="8"/>
  <c r="E234" i="8" s="1"/>
  <c r="B1959" i="8"/>
  <c r="B284" i="8"/>
  <c r="B1618" i="8"/>
  <c r="B2342" i="8"/>
  <c r="B1330" i="8"/>
  <c r="B2863" i="8"/>
  <c r="B1961" i="8"/>
  <c r="E1961" i="8" s="1"/>
  <c r="B3122" i="8"/>
  <c r="E3122" i="8" s="1"/>
  <c r="B3538" i="8"/>
  <c r="B1347" i="8"/>
  <c r="B2399" i="8"/>
  <c r="E2399" i="8" s="1"/>
  <c r="B1245" i="8"/>
  <c r="E1245" i="8" s="1"/>
  <c r="B2100" i="8"/>
  <c r="B624" i="8"/>
  <c r="B430" i="8"/>
  <c r="E430" i="8" s="1"/>
  <c r="B463" i="8"/>
  <c r="B688" i="8"/>
  <c r="B2547" i="8"/>
  <c r="B1641" i="8"/>
  <c r="E1641" i="8" s="1"/>
  <c r="B1779" i="8"/>
  <c r="B332" i="8"/>
  <c r="E332" i="8" s="1"/>
  <c r="B1974" i="8"/>
  <c r="E1974" i="8" s="1"/>
  <c r="B3194" i="8"/>
  <c r="B1870" i="8"/>
  <c r="E1870" i="8" s="1"/>
  <c r="B2333" i="8"/>
  <c r="E2333" i="8" s="1"/>
  <c r="B2258" i="8"/>
  <c r="B600" i="8"/>
  <c r="B71" i="8"/>
  <c r="B785" i="8"/>
  <c r="B1624" i="8"/>
  <c r="B1605" i="8"/>
  <c r="E1605" i="8" s="1"/>
  <c r="B2280" i="8"/>
  <c r="E2280" i="8" s="1"/>
  <c r="B1260" i="8"/>
  <c r="B1819" i="8"/>
  <c r="B2792" i="8"/>
  <c r="B2662" i="8"/>
  <c r="B313" i="8"/>
  <c r="B383" i="8"/>
  <c r="B2690" i="8"/>
  <c r="B722" i="8"/>
  <c r="B3050" i="8"/>
  <c r="B2348" i="8"/>
  <c r="B1457" i="8"/>
  <c r="B669" i="8"/>
  <c r="E669" i="8" s="1"/>
  <c r="B564" i="8"/>
  <c r="E564" i="8" s="1"/>
  <c r="B2465" i="8"/>
  <c r="B444" i="8"/>
  <c r="B1650" i="8"/>
  <c r="B2830" i="8"/>
  <c r="E2830" i="8" s="1"/>
  <c r="B2599" i="8"/>
  <c r="B298" i="8"/>
  <c r="B21" i="8"/>
  <c r="B696" i="8"/>
  <c r="B982" i="8"/>
  <c r="B1041" i="8"/>
  <c r="B2283" i="8"/>
  <c r="B93" i="8"/>
  <c r="E93" i="8" s="1"/>
  <c r="B3012" i="8"/>
  <c r="B2111" i="8"/>
  <c r="B1736" i="8"/>
  <c r="E1736" i="8" s="1"/>
  <c r="B3209" i="8"/>
  <c r="E3209" i="8" s="1"/>
  <c r="B2027" i="8"/>
  <c r="B3160" i="8"/>
  <c r="B2063" i="8"/>
  <c r="B1800" i="8"/>
  <c r="B513" i="8"/>
  <c r="B2954" i="8"/>
  <c r="E2954" i="8" s="1"/>
  <c r="B649" i="8"/>
  <c r="B1340" i="8"/>
  <c r="E1340" i="8" s="1"/>
  <c r="B343" i="8"/>
  <c r="E343" i="8" s="1"/>
  <c r="B2777" i="8"/>
  <c r="B1888" i="8"/>
  <c r="E1888" i="8" s="1"/>
  <c r="B2557" i="8"/>
  <c r="B35" i="8"/>
  <c r="B2448" i="8"/>
  <c r="B2775" i="8"/>
  <c r="E2775" i="8" s="1"/>
  <c r="B1300" i="8"/>
  <c r="B2347" i="8"/>
  <c r="B400" i="8"/>
  <c r="E400" i="8" s="1"/>
  <c r="B338" i="8"/>
  <c r="B2268" i="8"/>
  <c r="E2268" i="8" s="1"/>
  <c r="B89" i="8"/>
  <c r="E89" i="8" s="1"/>
  <c r="B3500" i="8"/>
  <c r="B3618" i="8"/>
  <c r="B831" i="8"/>
  <c r="B2447" i="8"/>
  <c r="B2404" i="8"/>
  <c r="B126" i="8"/>
  <c r="B2351" i="8"/>
  <c r="B1157" i="8"/>
  <c r="B803" i="8"/>
  <c r="B339" i="8"/>
  <c r="B3446" i="8"/>
  <c r="E3446" i="8" s="1"/>
  <c r="B399" i="8"/>
  <c r="B2405" i="8"/>
  <c r="B2804" i="8"/>
  <c r="E2804" i="8" s="1"/>
  <c r="B3144" i="8"/>
  <c r="B1837" i="8"/>
  <c r="B413" i="8"/>
  <c r="B836" i="8"/>
  <c r="B869" i="8"/>
  <c r="B3092" i="8"/>
  <c r="B2006" i="8"/>
  <c r="B408" i="8"/>
  <c r="B3469" i="8"/>
  <c r="B451" i="8"/>
  <c r="B1977" i="8"/>
  <c r="B122" i="8"/>
  <c r="B2212" i="8"/>
  <c r="B3352" i="8"/>
  <c r="B1488" i="8"/>
  <c r="B348" i="8"/>
  <c r="B3248" i="8"/>
  <c r="B3072" i="8"/>
  <c r="B464" i="8"/>
  <c r="E464" i="8" s="1"/>
  <c r="B353" i="8"/>
  <c r="E353" i="8" s="1"/>
  <c r="B1545" i="8"/>
  <c r="B3487" i="8"/>
  <c r="B3406" i="8"/>
  <c r="B2324" i="8"/>
  <c r="B3011" i="8"/>
  <c r="B316" i="8"/>
  <c r="B2573" i="8"/>
  <c r="B888" i="8"/>
  <c r="B2944" i="8"/>
  <c r="B226" i="8"/>
  <c r="B3156" i="8"/>
  <c r="E3156" i="8" s="1"/>
  <c r="B2746" i="8"/>
  <c r="B3037" i="8"/>
  <c r="B574" i="8"/>
  <c r="B950" i="8"/>
  <c r="B3452" i="8"/>
  <c r="B1268" i="8"/>
  <c r="B721" i="8"/>
  <c r="B1001" i="8"/>
  <c r="B1677" i="8"/>
  <c r="B3332" i="8"/>
  <c r="B1950" i="8"/>
  <c r="B1524" i="8"/>
  <c r="E1524" i="8" s="1"/>
  <c r="B2402" i="8"/>
  <c r="E2402" i="8" s="1"/>
  <c r="B2429" i="8"/>
  <c r="B3132" i="8"/>
  <c r="B349" i="8"/>
  <c r="B867" i="8"/>
  <c r="B1099" i="8"/>
  <c r="B998" i="8"/>
  <c r="B1938" i="8"/>
  <c r="B1487" i="8"/>
  <c r="B2148" i="8"/>
  <c r="B1948" i="8"/>
  <c r="B2457" i="8"/>
  <c r="B1574" i="8"/>
  <c r="E1574" i="8" s="1"/>
  <c r="B3289" i="8"/>
  <c r="E3289" i="8" s="1"/>
  <c r="B3380" i="8"/>
  <c r="B2823" i="8"/>
  <c r="B838" i="8"/>
  <c r="B1198" i="8"/>
  <c r="B2235" i="8"/>
  <c r="B1615" i="8"/>
  <c r="B2902" i="8"/>
  <c r="B3108" i="8"/>
  <c r="B3347" i="8"/>
  <c r="B2679" i="8"/>
  <c r="B1639" i="8"/>
  <c r="E1639" i="8" s="1"/>
  <c r="B534" i="8"/>
  <c r="B560" i="8"/>
  <c r="B1419" i="8"/>
  <c r="B1397" i="8"/>
  <c r="B2001" i="8"/>
  <c r="B2582" i="8"/>
  <c r="B2409" i="8"/>
  <c r="B723" i="8"/>
  <c r="B2997" i="8"/>
  <c r="B2350" i="8"/>
  <c r="B99" i="8"/>
  <c r="E99" i="8" s="1"/>
  <c r="B3125" i="8"/>
  <c r="B68" i="8"/>
  <c r="E68" i="8" s="1"/>
  <c r="B3177" i="8"/>
  <c r="E3177" i="8" s="1"/>
  <c r="B980" i="8"/>
  <c r="B2752" i="8"/>
  <c r="B845" i="8"/>
  <c r="E845" i="8" s="1"/>
  <c r="B2437" i="8"/>
  <c r="B532" i="8"/>
  <c r="B280" i="8"/>
  <c r="B3007" i="8"/>
  <c r="B1214" i="8"/>
  <c r="B1530" i="8"/>
  <c r="E1530" i="8" s="1"/>
  <c r="B368" i="8"/>
  <c r="E368" i="8" s="1"/>
  <c r="B2214" i="8"/>
  <c r="E2214" i="8" s="1"/>
  <c r="B1402" i="8"/>
  <c r="B1036" i="8"/>
  <c r="B2639" i="8"/>
  <c r="E2639" i="8" s="1"/>
  <c r="B1799" i="8"/>
  <c r="B891" i="8"/>
  <c r="B1730" i="8"/>
  <c r="B820" i="8"/>
  <c r="B2493" i="8"/>
  <c r="B3173" i="8"/>
  <c r="B524" i="8"/>
  <c r="E524" i="8" s="1"/>
  <c r="B3396" i="8"/>
  <c r="B2764" i="8"/>
  <c r="E2764" i="8" s="1"/>
  <c r="B414" i="8"/>
  <c r="E414" i="8" s="1"/>
  <c r="B2352" i="8"/>
  <c r="B360" i="8"/>
  <c r="B851" i="8"/>
  <c r="B2546" i="8"/>
  <c r="B2269" i="8"/>
  <c r="B3275" i="8"/>
  <c r="B2217" i="8"/>
  <c r="B123" i="8"/>
  <c r="B981" i="8"/>
  <c r="B2613" i="8"/>
  <c r="B3358" i="8"/>
  <c r="B1931" i="8"/>
  <c r="B3066" i="8"/>
  <c r="B2192" i="8"/>
  <c r="E2192" i="8" s="1"/>
  <c r="B866" i="8"/>
  <c r="B3308" i="8"/>
  <c r="B3421" i="8"/>
  <c r="B1075" i="8"/>
  <c r="B3242" i="8"/>
  <c r="B1354" i="8"/>
  <c r="B1960" i="8"/>
  <c r="B2413" i="8"/>
  <c r="E2413" i="8" s="1"/>
  <c r="B1359" i="8"/>
  <c r="B2069" i="8"/>
  <c r="B1594" i="8"/>
  <c r="B2523" i="8"/>
  <c r="B3345" i="8"/>
  <c r="B1053" i="8"/>
  <c r="B246" i="8"/>
  <c r="B3130" i="8"/>
  <c r="B154" i="8"/>
  <c r="B2068" i="8"/>
  <c r="B529" i="8"/>
  <c r="E529" i="8" s="1"/>
  <c r="B1844" i="8"/>
  <c r="E1844" i="8" s="1"/>
  <c r="B2160" i="8"/>
  <c r="E2160" i="8" s="1"/>
  <c r="B2978" i="8"/>
  <c r="B1376" i="8"/>
  <c r="E1376" i="8" s="1"/>
  <c r="B3585" i="8"/>
  <c r="B3021" i="8"/>
  <c r="E3021" i="8" s="1"/>
  <c r="B1526" i="8"/>
  <c r="B2733" i="8"/>
  <c r="E2733" i="8" s="1"/>
  <c r="B1883" i="8"/>
  <c r="B1842" i="8"/>
  <c r="B350" i="8"/>
  <c r="B388" i="8"/>
  <c r="B3549" i="8"/>
  <c r="B505" i="8"/>
  <c r="B2014" i="8"/>
  <c r="B702" i="8"/>
  <c r="B1508" i="8"/>
  <c r="B3378" i="8"/>
  <c r="E3378" i="8" s="1"/>
  <c r="B1957" i="8"/>
  <c r="B133" i="8"/>
  <c r="B1636" i="8"/>
  <c r="B2287" i="8"/>
  <c r="B3491" i="8"/>
  <c r="B3554" i="8"/>
  <c r="E3554" i="8" s="1"/>
  <c r="B1317" i="8"/>
  <c r="E1317" i="8" s="1"/>
  <c r="B1144" i="8"/>
  <c r="E1144" i="8" s="1"/>
  <c r="B1932" i="8"/>
  <c r="C1932" i="8" s="1"/>
  <c r="B604" i="8"/>
  <c r="B790" i="8"/>
  <c r="B158" i="8"/>
  <c r="B3186" i="8"/>
  <c r="B3172" i="8"/>
  <c r="B2320" i="8"/>
  <c r="B2891" i="8"/>
  <c r="B1885" i="8"/>
  <c r="B2198" i="8"/>
  <c r="E2198" i="8" s="1"/>
  <c r="B1280" i="8"/>
  <c r="E1280" i="8" s="1"/>
  <c r="B2638" i="8"/>
  <c r="B2955" i="8"/>
  <c r="B2059" i="8"/>
  <c r="B740" i="8"/>
  <c r="E740" i="8" s="1"/>
  <c r="B493" i="8"/>
  <c r="E493" i="8" s="1"/>
  <c r="B3022" i="8"/>
  <c r="B3515" i="8"/>
  <c r="B579" i="8"/>
  <c r="B44" i="8"/>
  <c r="B1561" i="8"/>
  <c r="B1438" i="8"/>
  <c r="E1438" i="8" s="1"/>
  <c r="B159" i="8"/>
  <c r="B446" i="8"/>
  <c r="E446" i="8" s="1"/>
  <c r="B3089" i="8"/>
  <c r="B3511" i="8"/>
  <c r="B3098" i="8"/>
  <c r="B1318" i="8"/>
  <c r="B2658" i="8"/>
  <c r="B3295" i="8"/>
  <c r="B745" i="8"/>
  <c r="B354" i="8"/>
  <c r="B1223" i="8"/>
  <c r="B3646" i="8"/>
  <c r="E3646" i="8" s="1"/>
  <c r="B3005" i="8"/>
  <c r="B2208" i="8"/>
  <c r="E2208" i="8" s="1"/>
  <c r="B1006" i="8"/>
  <c r="B2131" i="8"/>
  <c r="E2131" i="8" s="1"/>
  <c r="B2820" i="8"/>
  <c r="E2820" i="8" s="1"/>
  <c r="B1453" i="8"/>
  <c r="B1670" i="8"/>
  <c r="B690" i="8"/>
  <c r="B228" i="8"/>
  <c r="B2741" i="8"/>
  <c r="B61" i="8"/>
  <c r="B2834" i="8"/>
  <c r="B2948" i="8"/>
  <c r="B3312" i="8"/>
  <c r="B2612" i="8"/>
  <c r="B937" i="8"/>
  <c r="B1505" i="8"/>
  <c r="B1178" i="8"/>
  <c r="B1944" i="8"/>
  <c r="B477" i="8"/>
  <c r="B3367" i="8"/>
  <c r="B423" i="8"/>
  <c r="B375" i="8"/>
  <c r="B1718" i="8"/>
  <c r="E1718" i="8" s="1"/>
  <c r="B1408" i="8"/>
  <c r="B1706" i="8"/>
  <c r="E1706" i="8" s="1"/>
  <c r="B2717" i="8"/>
  <c r="E2717" i="8" s="1"/>
  <c r="B984" i="8"/>
  <c r="B291" i="8"/>
  <c r="B1229" i="8"/>
  <c r="E1229" i="8" s="1"/>
  <c r="B1175" i="8"/>
  <c r="B1933" i="8"/>
  <c r="E1933" i="8" s="1"/>
  <c r="B1102" i="8"/>
  <c r="B1980" i="8"/>
  <c r="B2084" i="8"/>
  <c r="B231" i="8"/>
  <c r="E231" i="8" s="1"/>
  <c r="B3084" i="8"/>
  <c r="B3161" i="8"/>
  <c r="E3161" i="8" s="1"/>
  <c r="B689" i="8"/>
  <c r="E689" i="8" s="1"/>
  <c r="B2270" i="8"/>
  <c r="B3503" i="8"/>
  <c r="B1428" i="8"/>
  <c r="B1203" i="8"/>
  <c r="B2222" i="8"/>
  <c r="E2222" i="8" s="1"/>
  <c r="B1802" i="8"/>
  <c r="E1802" i="8" s="1"/>
  <c r="B323" i="8"/>
  <c r="B3190" i="8"/>
  <c r="B685" i="8"/>
  <c r="E685" i="8" s="1"/>
  <c r="B256" i="8"/>
  <c r="B577" i="8"/>
  <c r="B2513" i="8"/>
  <c r="B2127" i="8"/>
  <c r="B1366" i="8"/>
  <c r="B2980" i="8"/>
  <c r="E2980" i="8" s="1"/>
  <c r="B1348" i="8"/>
  <c r="B2489" i="8"/>
  <c r="B2768" i="8"/>
  <c r="B1116" i="8"/>
  <c r="B2842" i="8"/>
  <c r="B2878" i="8"/>
  <c r="E2878" i="8" s="1"/>
  <c r="B3139" i="8"/>
  <c r="B1720" i="8"/>
  <c r="E1720" i="8" s="1"/>
  <c r="B1084" i="8"/>
  <c r="B288" i="8"/>
  <c r="B84" i="8"/>
  <c r="E84" i="8" s="1"/>
  <c r="B155" i="8"/>
  <c r="B379" i="8"/>
  <c r="B550" i="8"/>
  <c r="B2390" i="8"/>
  <c r="B1423" i="8"/>
  <c r="B1766" i="8"/>
  <c r="B2813" i="8"/>
  <c r="B1525" i="8"/>
  <c r="E1525" i="8" s="1"/>
  <c r="B1103" i="8"/>
  <c r="B1687" i="8"/>
  <c r="B791" i="8"/>
  <c r="B1623" i="8"/>
  <c r="B3182" i="8"/>
  <c r="B2703" i="8"/>
  <c r="B2589" i="8"/>
  <c r="E2589" i="8" s="1"/>
  <c r="B420" i="8"/>
  <c r="B2837" i="8"/>
  <c r="B124" i="8"/>
  <c r="B2885" i="8"/>
  <c r="B1485" i="8"/>
  <c r="B1181" i="8"/>
  <c r="E1181" i="8" s="1"/>
  <c r="B821" i="8"/>
  <c r="E821" i="8" s="1"/>
  <c r="B2367" i="8"/>
  <c r="B3362" i="8"/>
  <c r="B1155" i="8"/>
  <c r="B1353" i="8"/>
  <c r="B2009" i="8"/>
  <c r="B2862" i="8"/>
  <c r="E2862" i="8" s="1"/>
  <c r="B3599" i="8"/>
  <c r="B1825" i="8"/>
  <c r="B3365" i="8"/>
  <c r="E3365" i="8" s="1"/>
  <c r="B2318" i="8"/>
  <c r="B3004" i="8"/>
  <c r="B3386" i="8"/>
  <c r="B1878" i="8"/>
  <c r="B2" i="8"/>
  <c r="B2480" i="8"/>
  <c r="B483" i="8"/>
  <c r="B1448" i="8"/>
  <c r="B1820" i="8"/>
  <c r="B3273" i="8"/>
  <c r="B788" i="8"/>
  <c r="B1253" i="8"/>
  <c r="B1824" i="8"/>
  <c r="E1824" i="8" s="1"/>
  <c r="B2033" i="8"/>
  <c r="E2033" i="8" s="1"/>
  <c r="B2274" i="8"/>
  <c r="B2130" i="8"/>
  <c r="B3284" i="8"/>
  <c r="E3284" i="8" s="1"/>
  <c r="B1264" i="8"/>
  <c r="E1264" i="8" s="1"/>
  <c r="B868" i="8"/>
  <c r="B2882" i="8"/>
  <c r="B92" i="8"/>
  <c r="B2685" i="8"/>
  <c r="B3584" i="8"/>
  <c r="B2654" i="8"/>
  <c r="B2090" i="8"/>
  <c r="E2090" i="8" s="1"/>
  <c r="B3118" i="8"/>
  <c r="B352" i="8"/>
  <c r="B372" i="8"/>
  <c r="B325" i="8"/>
  <c r="B199" i="8"/>
  <c r="E199" i="8" s="1"/>
  <c r="B3321" i="8"/>
  <c r="B2706" i="8"/>
  <c r="B641" i="8"/>
  <c r="B3087" i="8"/>
  <c r="B121" i="8"/>
  <c r="B125" i="8"/>
  <c r="E125" i="8" s="1"/>
  <c r="B79" i="8"/>
  <c r="E79" i="8" s="1"/>
  <c r="B597" i="8"/>
  <c r="B2385" i="8"/>
  <c r="B592" i="8"/>
  <c r="B2247" i="8"/>
  <c r="B693" i="8"/>
  <c r="B2072" i="8"/>
  <c r="B2707" i="8"/>
  <c r="B3583" i="8"/>
  <c r="B2705" i="8"/>
  <c r="B1076" i="8"/>
  <c r="B2849" i="8"/>
  <c r="E2849" i="8" s="1"/>
  <c r="B2170" i="8"/>
  <c r="B3094" i="8"/>
  <c r="E3094" i="8" s="1"/>
  <c r="B3615" i="8"/>
  <c r="B2925" i="8"/>
  <c r="B3541" i="8"/>
  <c r="B2595" i="8"/>
  <c r="B3579" i="8"/>
  <c r="B3531" i="8"/>
  <c r="B818" i="8"/>
  <c r="B610" i="8"/>
  <c r="B699" i="8"/>
  <c r="B2081" i="8"/>
  <c r="E2081" i="8" s="1"/>
  <c r="B2474" i="8"/>
  <c r="B2454" i="8"/>
  <c r="E2454" i="8" s="1"/>
  <c r="B2442" i="8"/>
  <c r="B491" i="8"/>
  <c r="B3337" i="8"/>
  <c r="B1292" i="8"/>
  <c r="B1846" i="8"/>
  <c r="B1966" i="8"/>
  <c r="B3088" i="8"/>
  <c r="B3257" i="8"/>
  <c r="B2364" i="8"/>
  <c r="B1385" i="8"/>
  <c r="B1295" i="8"/>
  <c r="E1295" i="8" s="1"/>
  <c r="B1987" i="8"/>
  <c r="E1987" i="8" s="1"/>
  <c r="B899" i="8"/>
  <c r="E899" i="8" s="1"/>
  <c r="B3265" i="8"/>
  <c r="B1911" i="8"/>
  <c r="B263" i="8"/>
  <c r="B1138" i="8"/>
  <c r="B1796" i="8"/>
  <c r="E1796" i="8" s="1"/>
  <c r="B3069" i="8"/>
  <c r="B3294" i="8"/>
  <c r="B2094" i="8"/>
  <c r="B3233" i="8"/>
  <c r="E3233" i="8" s="1"/>
  <c r="B3101" i="8"/>
  <c r="B3196" i="8"/>
  <c r="E3196" i="8" s="1"/>
  <c r="B1791" i="8"/>
  <c r="E1791" i="8" s="1"/>
  <c r="B3317" i="8"/>
  <c r="B2808" i="8"/>
  <c r="B1056" i="8"/>
  <c r="B171" i="8"/>
  <c r="B2392" i="8"/>
  <c r="B1669" i="8"/>
  <c r="B2744" i="8"/>
  <c r="B949" i="8"/>
  <c r="B250" i="8"/>
  <c r="E250" i="8" s="1"/>
  <c r="B1596" i="8"/>
  <c r="B1136" i="8"/>
  <c r="B1569" i="8"/>
  <c r="E1569" i="8" s="1"/>
  <c r="B1625" i="8"/>
  <c r="B1063" i="8"/>
  <c r="E1063" i="8" s="1"/>
  <c r="B915" i="8"/>
  <c r="B3106" i="8"/>
  <c r="B2161" i="8"/>
  <c r="B542" i="8"/>
  <c r="B546" i="8"/>
  <c r="B2224" i="8"/>
  <c r="B3619" i="8"/>
  <c r="B2141" i="8"/>
  <c r="B3638" i="8"/>
  <c r="B2889" i="8"/>
  <c r="B5" i="8"/>
  <c r="E5" i="8" s="1"/>
  <c r="B3129" i="8"/>
  <c r="E3129" i="8" s="1"/>
  <c r="B2890" i="8"/>
  <c r="E2890" i="8" s="1"/>
  <c r="B2549" i="8"/>
  <c r="B1946" i="8"/>
  <c r="B623" i="8"/>
  <c r="B2312" i="8"/>
  <c r="B879" i="8"/>
  <c r="B1430" i="8"/>
  <c r="B1659" i="8"/>
  <c r="B3055" i="8"/>
  <c r="B3067" i="8"/>
  <c r="B2023" i="8"/>
  <c r="B296" i="8"/>
  <c r="B3544" i="8"/>
  <c r="B179" i="8"/>
  <c r="B418" i="8"/>
  <c r="B2199" i="8"/>
  <c r="B1858" i="8"/>
  <c r="B585" i="8"/>
  <c r="B1249" i="8"/>
  <c r="E1249" i="8" s="1"/>
  <c r="B1123" i="8"/>
  <c r="B715" i="8"/>
  <c r="E715" i="8" s="1"/>
  <c r="B1027" i="8"/>
  <c r="B2657" i="8"/>
  <c r="B3457" i="8"/>
  <c r="B2884" i="8"/>
  <c r="B1993" i="8"/>
  <c r="B1653" i="8"/>
  <c r="E1653" i="8" s="1"/>
  <c r="B1217" i="8"/>
  <c r="B3604" i="8"/>
  <c r="B1371" i="8"/>
  <c r="B2335" i="8"/>
  <c r="B1285" i="8"/>
  <c r="E1285" i="8" s="1"/>
  <c r="B1171" i="8"/>
  <c r="B3028" i="8"/>
  <c r="B1532" i="8"/>
  <c r="B1557" i="8"/>
  <c r="B2579" i="8"/>
  <c r="B1322" i="8"/>
  <c r="B1935" i="8"/>
  <c r="B1162" i="8"/>
  <c r="B1040" i="8"/>
  <c r="B3456" i="8"/>
  <c r="B1213" i="8"/>
  <c r="B2195" i="8"/>
  <c r="B969" i="8"/>
  <c r="E969" i="8" s="1"/>
  <c r="B3180" i="8"/>
  <c r="B407" i="8"/>
  <c r="B1016" i="8"/>
  <c r="E1016" i="8" s="1"/>
  <c r="B1539" i="8"/>
  <c r="B1294" i="8"/>
  <c r="B847" i="8"/>
  <c r="B336" i="8"/>
  <c r="B2860" i="8"/>
  <c r="B2725" i="8"/>
  <c r="B2789" i="8"/>
  <c r="B86" i="8"/>
  <c r="E86" i="8" s="1"/>
  <c r="B3568" i="8"/>
  <c r="E3568" i="8" s="1"/>
  <c r="B2894" i="8"/>
  <c r="E2894" i="8" s="1"/>
  <c r="B835" i="8"/>
  <c r="B3006" i="8"/>
  <c r="B1754" i="8"/>
  <c r="E1754" i="8" s="1"/>
  <c r="B480" i="8"/>
  <c r="B682" i="8"/>
  <c r="B1078" i="8"/>
  <c r="B2683" i="8"/>
  <c r="B1246" i="8"/>
  <c r="B1124" i="8"/>
  <c r="B1290" i="8"/>
  <c r="B1398" i="8"/>
  <c r="E1398" i="8" s="1"/>
  <c r="B3566" i="8"/>
  <c r="B222" i="8"/>
  <c r="E222" i="8" s="1"/>
  <c r="B2016" i="8"/>
  <c r="B1504" i="8"/>
  <c r="E1504" i="8" s="1"/>
  <c r="B3107" i="8"/>
  <c r="B3162" i="8"/>
  <c r="B2504" i="8"/>
  <c r="B1396" i="8"/>
  <c r="B3576" i="8"/>
  <c r="B267" i="8"/>
  <c r="B675" i="8"/>
  <c r="E675" i="8" s="1"/>
  <c r="B596" i="8"/>
  <c r="B3200" i="8"/>
  <c r="B1232" i="8"/>
  <c r="B2109" i="8"/>
  <c r="B2242" i="8"/>
  <c r="B2828" i="8"/>
  <c r="B719" i="8"/>
  <c r="B1747" i="8"/>
  <c r="B2526" i="8"/>
  <c r="B1464" i="8"/>
  <c r="B2753" i="8"/>
  <c r="B578" i="8"/>
  <c r="B2387" i="8"/>
  <c r="E2387" i="8" s="1"/>
  <c r="B1742" i="8"/>
  <c r="B436" i="8"/>
  <c r="E436" i="8" s="1"/>
  <c r="B1989" i="8"/>
  <c r="B1859" i="8"/>
  <c r="B1576" i="8"/>
  <c r="B2629" i="8"/>
  <c r="E2629" i="8" s="1"/>
  <c r="B2537" i="8"/>
  <c r="B3001" i="8"/>
  <c r="B2963" i="8"/>
  <c r="B777" i="8"/>
  <c r="B3463" i="8"/>
  <c r="E3463" i="8" s="1"/>
  <c r="B1394" i="8"/>
  <c r="E1394" i="8" s="1"/>
  <c r="B3121" i="8"/>
  <c r="E3121" i="8" s="1"/>
  <c r="B708" i="8"/>
  <c r="E708" i="8" s="1"/>
  <c r="B3429" i="8"/>
  <c r="E3429" i="8" s="1"/>
  <c r="B590" i="8"/>
  <c r="E590" i="8" s="1"/>
  <c r="B80" i="8"/>
  <c r="B1059" i="8"/>
  <c r="B635" i="8"/>
  <c r="B1145" i="8"/>
  <c r="B78" i="8"/>
  <c r="B114" i="8"/>
  <c r="E114" i="8" s="1"/>
  <c r="B1629" i="8"/>
  <c r="B2847" i="8"/>
  <c r="B327" i="8"/>
  <c r="B3091" i="8"/>
  <c r="B1826" i="8"/>
  <c r="E1826" i="8" s="1"/>
  <c r="B2114" i="8"/>
  <c r="E2114" i="8" s="1"/>
  <c r="B3613" i="8"/>
  <c r="B970" i="8"/>
  <c r="B2672" i="8"/>
  <c r="B3074" i="8"/>
  <c r="B1745" i="8"/>
  <c r="B1529" i="8"/>
  <c r="E1529" i="8" s="1"/>
  <c r="B1240" i="8"/>
  <c r="B454" i="8"/>
  <c r="B3353" i="8"/>
  <c r="B901" i="8"/>
  <c r="E901" i="8" s="1"/>
  <c r="B1346" i="8"/>
  <c r="B855" i="8"/>
  <c r="B438" i="8"/>
  <c r="B1401" i="8"/>
  <c r="B2162" i="8"/>
  <c r="B111" i="8"/>
  <c r="B923" i="8"/>
  <c r="B553" i="8"/>
  <c r="E553" i="8" s="1"/>
  <c r="B2933" i="8"/>
  <c r="E2933" i="8" s="1"/>
  <c r="B1327" i="8"/>
  <c r="E1327" i="8" s="1"/>
  <c r="B260" i="8"/>
  <c r="E260" i="8" s="1"/>
  <c r="B2423" i="8"/>
  <c r="B2104" i="8"/>
  <c r="E2104" i="8" s="1"/>
  <c r="B3412" i="8"/>
  <c r="B2555" i="8"/>
  <c r="B285" i="8"/>
  <c r="E285" i="8" s="1"/>
  <c r="B269" i="8"/>
  <c r="B268" i="8"/>
  <c r="B3408" i="8"/>
  <c r="B3128" i="8"/>
  <c r="B628" i="8"/>
  <c r="B2835" i="8"/>
  <c r="B2602" i="8"/>
  <c r="E2602" i="8" s="1"/>
  <c r="B774" i="8"/>
  <c r="B1477" i="8"/>
  <c r="B467" i="8"/>
  <c r="B894" i="8"/>
  <c r="B1537" i="8"/>
  <c r="B1543" i="8"/>
  <c r="B1339" i="8"/>
  <c r="B2178" i="8"/>
  <c r="B287" i="8"/>
  <c r="E287" i="8" s="1"/>
  <c r="B3253" i="8"/>
  <c r="E3253" i="8" s="1"/>
  <c r="B645" i="8"/>
  <c r="E645" i="8" s="1"/>
  <c r="B2917" i="8"/>
  <c r="B3052" i="8"/>
  <c r="B3211" i="8"/>
  <c r="E3211" i="8" s="1"/>
  <c r="B1776" i="8"/>
  <c r="B3210" i="8"/>
  <c r="B2865" i="8"/>
  <c r="B3424" i="8"/>
  <c r="B1873" i="8"/>
  <c r="B3553" i="8"/>
  <c r="B3637" i="8"/>
  <c r="E3637" i="8" s="1"/>
  <c r="B3019" i="8"/>
  <c r="B1293" i="8"/>
  <c r="B2632" i="8"/>
  <c r="B1004" i="8"/>
  <c r="B1785" i="8"/>
  <c r="E1785" i="8" s="1"/>
  <c r="B3399" i="8"/>
  <c r="B784" i="8"/>
  <c r="B1803" i="8"/>
  <c r="B1985" i="8"/>
  <c r="B2026" i="8"/>
  <c r="B2684" i="8"/>
  <c r="B964" i="8"/>
  <c r="B184" i="8"/>
  <c r="B1584" i="8"/>
  <c r="B340" i="8"/>
  <c r="B2290" i="8"/>
  <c r="E2290" i="8" s="1"/>
  <c r="B3171" i="8"/>
  <c r="B1657" i="8"/>
  <c r="B3611" i="8"/>
  <c r="B1474" i="8"/>
  <c r="B2544" i="8"/>
  <c r="B2291" i="8"/>
  <c r="B2817" i="8"/>
  <c r="B1291" i="8"/>
  <c r="E1291" i="8" s="1"/>
  <c r="B2468" i="8"/>
  <c r="B992" i="8"/>
  <c r="B2231" i="8"/>
  <c r="B1473" i="8"/>
  <c r="B2314" i="8"/>
  <c r="B1360" i="8"/>
  <c r="B2802" i="8"/>
  <c r="B189" i="8"/>
  <c r="B2565" i="8"/>
  <c r="E2565" i="8" s="1"/>
  <c r="B1781" i="8"/>
  <c r="B404" i="8"/>
  <c r="B709" i="8"/>
  <c r="B2151" i="8"/>
  <c r="B1227" i="8"/>
  <c r="B764" i="8"/>
  <c r="B1028" i="8"/>
  <c r="B1312" i="8"/>
  <c r="B452" i="8"/>
  <c r="B2264" i="8"/>
  <c r="B2181" i="8"/>
  <c r="B2851" i="8"/>
  <c r="B3279" i="8"/>
  <c r="B118" i="8"/>
  <c r="B824" i="8"/>
  <c r="E824" i="8" s="1"/>
  <c r="B2898" i="8"/>
  <c r="E2898" i="8" s="1"/>
  <c r="B356" i="8"/>
  <c r="E356" i="8" s="1"/>
  <c r="B1758" i="8"/>
  <c r="E1758" i="8" s="1"/>
  <c r="B910" i="8"/>
  <c r="B2872" i="8"/>
  <c r="B957" i="8"/>
  <c r="B2017" i="8"/>
  <c r="B3647" i="8"/>
  <c r="B2621" i="8"/>
  <c r="B1854" i="8"/>
  <c r="B431" i="8"/>
  <c r="B1242" i="8"/>
  <c r="B49" i="8"/>
  <c r="E49" i="8" s="1"/>
  <c r="B223" i="8"/>
  <c r="E223" i="8" s="1"/>
  <c r="B2932" i="8"/>
  <c r="E2932" i="8" s="1"/>
  <c r="B2397" i="8"/>
  <c r="E2397" i="8" s="1"/>
  <c r="B40" i="8"/>
  <c r="B601" i="8"/>
  <c r="E601" i="8" s="1"/>
  <c r="B3370" i="8"/>
  <c r="B1357" i="8"/>
  <c r="B3559" i="8"/>
  <c r="B717" i="8"/>
  <c r="B295" i="8"/>
  <c r="B2626" i="8"/>
  <c r="B3138" i="8"/>
  <c r="E3138" i="8" s="1"/>
  <c r="B224" i="8"/>
  <c r="B806" i="8"/>
  <c r="B2000" i="8"/>
  <c r="B498" i="8"/>
  <c r="B2323" i="8"/>
  <c r="B2701" i="8"/>
  <c r="B3082" i="8"/>
  <c r="B3080" i="8"/>
  <c r="B486" i="8"/>
  <c r="B1973" i="8"/>
  <c r="B727" i="8"/>
  <c r="B1355" i="8"/>
  <c r="B755" i="8"/>
  <c r="E755" i="8" s="1"/>
  <c r="B1634" i="8"/>
  <c r="B1434" i="8"/>
  <c r="B1363" i="8"/>
  <c r="B3425" i="8"/>
  <c r="B2241" i="8"/>
  <c r="B1117" i="8"/>
  <c r="E1117" i="8" s="1"/>
  <c r="B638" i="8"/>
  <c r="B207" i="8"/>
  <c r="B2905" i="8"/>
  <c r="B999" i="8"/>
  <c r="B1990" i="8"/>
  <c r="E1990" i="8" s="1"/>
  <c r="B391" i="8"/>
  <c r="B2098" i="8"/>
  <c r="B2218" i="8"/>
  <c r="B2515" i="8"/>
  <c r="B1119" i="8"/>
  <c r="B3356" i="8"/>
  <c r="B993" i="8"/>
  <c r="E993" i="8" s="1"/>
  <c r="B736" i="8"/>
  <c r="B1352" i="8"/>
  <c r="B3149" i="8"/>
  <c r="B2793" i="8"/>
  <c r="B3422" i="8"/>
  <c r="E3422" i="8" s="1"/>
  <c r="B1538" i="8"/>
  <c r="E1538" i="8" s="1"/>
  <c r="B1614" i="8"/>
  <c r="B921" i="8"/>
  <c r="B3202" i="8"/>
  <c r="B3293" i="8"/>
  <c r="B1924" i="8"/>
  <c r="B259" i="8"/>
  <c r="B441" i="8"/>
  <c r="B857" i="8"/>
  <c r="B2815" i="8"/>
  <c r="B883" i="8"/>
  <c r="E883" i="8" s="1"/>
  <c r="B3379" i="8"/>
  <c r="B1661" i="8"/>
  <c r="E1661" i="8" s="1"/>
  <c r="B2991" i="8"/>
  <c r="E2991" i="8" s="1"/>
  <c r="B149" i="8"/>
  <c r="E149" i="8" s="1"/>
  <c r="B2510" i="8"/>
  <c r="B681" i="8"/>
  <c r="B1571" i="8"/>
  <c r="B1676" i="8"/>
  <c r="B2864" i="8"/>
  <c r="B2570" i="8"/>
  <c r="B1926" i="8"/>
  <c r="B2736" i="8"/>
  <c r="B3170" i="8"/>
  <c r="B1925" i="8"/>
  <c r="B2724" i="8"/>
  <c r="B3164" i="8"/>
  <c r="B145" i="8"/>
  <c r="B782" i="8"/>
  <c r="B104" i="8"/>
  <c r="B2646" i="8"/>
  <c r="B1585" i="8"/>
  <c r="B1143" i="8"/>
  <c r="B488" i="8"/>
  <c r="B2073" i="8"/>
  <c r="B428" i="8"/>
  <c r="E428" i="8" s="1"/>
  <c r="B1831" i="8"/>
  <c r="B3518" i="8"/>
  <c r="B3372" i="8"/>
  <c r="B1573" i="8"/>
  <c r="B1603" i="8"/>
  <c r="B2319" i="8"/>
  <c r="B2588" i="8"/>
  <c r="B795" i="8"/>
  <c r="B2395" i="8"/>
  <c r="B3357" i="8"/>
  <c r="B306" i="8"/>
  <c r="E306" i="8" s="1"/>
  <c r="B1307" i="8"/>
  <c r="B272" i="8"/>
  <c r="E272" i="8" s="1"/>
  <c r="B308" i="8"/>
  <c r="E308" i="8" s="1"/>
  <c r="B2310" i="8"/>
  <c r="B362" i="8"/>
  <c r="B3501" i="8"/>
  <c r="B1279" i="8"/>
  <c r="B103" i="8"/>
  <c r="B3296" i="8"/>
  <c r="B3260" i="8"/>
  <c r="B930" i="8"/>
  <c r="B232" i="8"/>
  <c r="C232" i="8" s="1"/>
  <c r="B2677" i="8"/>
  <c r="B2907" i="8"/>
  <c r="B1497" i="8"/>
  <c r="E1497" i="8" s="1"/>
  <c r="B1073" i="8"/>
  <c r="B147" i="8"/>
  <c r="E147" i="8" s="1"/>
  <c r="B2415" i="8"/>
  <c r="B435" i="8"/>
  <c r="B2075" i="8"/>
  <c r="B14" i="8"/>
  <c r="B3272" i="8"/>
  <c r="B1828" i="8"/>
  <c r="B13" i="8"/>
  <c r="B1611" i="8"/>
  <c r="E1611" i="8" s="1"/>
  <c r="B3231" i="8"/>
  <c r="E3231" i="8" s="1"/>
  <c r="B1861" i="8"/>
  <c r="B1442" i="8"/>
  <c r="B2124" i="8"/>
  <c r="E2124" i="8" s="1"/>
  <c r="B2007" i="8"/>
  <c r="B537" i="8"/>
  <c r="B1211" i="8"/>
  <c r="B3020" i="8"/>
  <c r="B1081" i="8"/>
  <c r="B3245" i="8"/>
  <c r="B1560" i="8"/>
  <c r="C1561" i="8" s="1"/>
  <c r="B1000" i="8"/>
  <c r="B2633" i="8"/>
  <c r="B2158" i="8"/>
  <c r="B749" i="8"/>
  <c r="B3271" i="8"/>
  <c r="B1286" i="8"/>
  <c r="B2886" i="8"/>
  <c r="B1857" i="8"/>
  <c r="B983" i="8"/>
  <c r="B1809" i="8"/>
  <c r="B545" i="8"/>
  <c r="B1392" i="8"/>
  <c r="B858" i="8"/>
  <c r="B63" i="8"/>
  <c r="E63" i="8" s="1"/>
  <c r="B258" i="8"/>
  <c r="B2029" i="8"/>
  <c r="B1567" i="8"/>
  <c r="B3277" i="8"/>
  <c r="B70" i="8"/>
  <c r="B1575" i="8"/>
  <c r="B3105" i="8"/>
  <c r="B2455" i="8"/>
  <c r="B214" i="8"/>
  <c r="B3498" i="8"/>
  <c r="E3498" i="8" s="1"/>
  <c r="B1391" i="8"/>
  <c r="E1391" i="8" s="1"/>
  <c r="B1437" i="8"/>
  <c r="B2061" i="8"/>
  <c r="B81" i="8"/>
  <c r="E81" i="8" s="1"/>
  <c r="B1386" i="8"/>
  <c r="B694" i="8"/>
  <c r="B2193" i="8"/>
  <c r="B2959" i="8"/>
  <c r="B2300" i="8"/>
  <c r="B247" i="8"/>
  <c r="B1038" i="8"/>
  <c r="B2556" i="8"/>
  <c r="E2556" i="8" s="1"/>
  <c r="B850" i="8"/>
  <c r="E850" i="8" s="1"/>
  <c r="B1336" i="8"/>
  <c r="B2908" i="8"/>
  <c r="B967" i="8"/>
  <c r="E967" i="8" s="1"/>
  <c r="B1282" i="8"/>
  <c r="B27" i="8"/>
  <c r="B2048" i="8"/>
  <c r="B2593" i="8"/>
  <c r="B28" i="8"/>
  <c r="B3521" i="8"/>
  <c r="B1308" i="8"/>
  <c r="B1741" i="8"/>
  <c r="E1741" i="8" s="1"/>
  <c r="B2216" i="8"/>
  <c r="B429" i="8"/>
  <c r="E429" i="8" s="1"/>
  <c r="B146" i="8"/>
  <c r="E146" i="8" s="1"/>
  <c r="B1729" i="8"/>
  <c r="E1729" i="8" s="1"/>
  <c r="B1343" i="8"/>
  <c r="B3147" i="8"/>
  <c r="B2164" i="8"/>
  <c r="B988" i="8"/>
  <c r="B1906" i="8"/>
  <c r="B2845" i="8"/>
  <c r="B3629" i="8"/>
  <c r="B1928" i="8"/>
  <c r="B854" i="8"/>
  <c r="B1827" i="8"/>
  <c r="B1022" i="8"/>
  <c r="B3488" i="8"/>
  <c r="B2003" i="8"/>
  <c r="B3030" i="8"/>
  <c r="B2259" i="8"/>
  <c r="B1052" i="8"/>
  <c r="E1052" i="8" s="1"/>
  <c r="B1061" i="8"/>
  <c r="B1510" i="8"/>
  <c r="B1054" i="8"/>
  <c r="B1577" i="8"/>
  <c r="B3213" i="8"/>
  <c r="E3213" i="8" s="1"/>
  <c r="B938" i="8"/>
  <c r="E938" i="8" s="1"/>
  <c r="B1039" i="8"/>
  <c r="B1466" i="8"/>
  <c r="E1466" i="8" s="1"/>
  <c r="B3449" i="8"/>
  <c r="B3517" i="8"/>
  <c r="B1149" i="8"/>
  <c r="B2887" i="8"/>
  <c r="B3324" i="8"/>
  <c r="E3324" i="8" s="1"/>
  <c r="B1675" i="8"/>
  <c r="B2532" i="8"/>
  <c r="B2723" i="8"/>
  <c r="B1818" i="8"/>
  <c r="B1379" i="8"/>
  <c r="B2598" i="8"/>
  <c r="B2355" i="8"/>
  <c r="B227" i="8"/>
  <c r="B701" i="8"/>
  <c r="E701" i="8" s="1"/>
  <c r="B3455" i="8"/>
  <c r="B112" i="8"/>
  <c r="E112" i="8" s="1"/>
  <c r="B661" i="8"/>
  <c r="B2438" i="8"/>
  <c r="B817" i="8"/>
  <c r="B2605" i="8"/>
  <c r="B1274" i="8"/>
  <c r="E1274" i="8" s="1"/>
  <c r="B3268" i="8"/>
  <c r="E3268" i="8" s="1"/>
  <c r="B342" i="8"/>
  <c r="E342" i="8" s="1"/>
  <c r="B302" i="8"/>
  <c r="E302" i="8" s="1"/>
  <c r="B2458" i="8"/>
  <c r="B3522" i="8"/>
  <c r="E3522" i="8" s="1"/>
  <c r="B2836" i="8"/>
  <c r="B1096" i="8"/>
  <c r="B3374" i="8"/>
  <c r="B665" i="8"/>
  <c r="B289" i="8"/>
  <c r="B1443" i="8"/>
  <c r="E1443" i="8" s="1"/>
  <c r="B1694" i="8"/>
  <c r="B2080" i="8"/>
  <c r="B2678" i="8"/>
  <c r="B1889" i="8"/>
  <c r="B2408" i="8"/>
  <c r="B3354" i="8"/>
  <c r="B1897" i="8"/>
  <c r="B753" i="8"/>
  <c r="B2750" i="8"/>
  <c r="B2156" i="8"/>
  <c r="B1164" i="8"/>
  <c r="B397" i="8"/>
  <c r="B382" i="8"/>
  <c r="E382" i="8" s="1"/>
  <c r="B3228" i="8"/>
  <c r="B676" i="8"/>
  <c r="B646" i="8"/>
  <c r="B2969" i="8"/>
  <c r="B1551" i="8"/>
  <c r="E1551" i="8" s="1"/>
  <c r="B1869" i="8"/>
  <c r="B2518" i="8"/>
  <c r="B3183" i="8"/>
  <c r="B2779" i="8"/>
  <c r="B796" i="8"/>
  <c r="B1152" i="8"/>
  <c r="B1907" i="8"/>
  <c r="B2313" i="8"/>
  <c r="E2313" i="8" s="1"/>
  <c r="B2607" i="8"/>
  <c r="E2607" i="8" s="1"/>
  <c r="B3590" i="8"/>
  <c r="B2434" i="8"/>
  <c r="B2202" i="8"/>
  <c r="B1511" i="8"/>
  <c r="B2439" i="8"/>
  <c r="B1998" i="8"/>
  <c r="B1541" i="8"/>
  <c r="B209" i="8"/>
  <c r="B2960" i="8"/>
  <c r="B2211" i="8"/>
  <c r="B3573" i="8"/>
  <c r="B626" i="8"/>
  <c r="B178" i="8"/>
  <c r="B3104" i="8"/>
  <c r="B3388" i="8"/>
  <c r="B2327" i="8"/>
  <c r="B618" i="8"/>
  <c r="B3018" i="8"/>
  <c r="B1234" i="8"/>
  <c r="B1482" i="8"/>
  <c r="B2520" i="8"/>
  <c r="E2520" i="8" s="1"/>
  <c r="B1663" i="8"/>
  <c r="B1949" i="8"/>
  <c r="B2831" i="8"/>
  <c r="B2262" i="8"/>
  <c r="B3451" i="8"/>
  <c r="E3451" i="8" s="1"/>
  <c r="B2490" i="8"/>
  <c r="E2490" i="8" s="1"/>
  <c r="B3513" i="8"/>
  <c r="B1771" i="8"/>
  <c r="B781" i="8"/>
  <c r="B1851" i="8"/>
  <c r="B2376" i="8"/>
  <c r="B1833" i="8"/>
  <c r="B616" i="8"/>
  <c r="E616" i="8" s="1"/>
  <c r="B2435" i="8"/>
  <c r="B1814" i="8"/>
  <c r="B3033" i="8"/>
  <c r="B3632" i="8"/>
  <c r="B2972" i="8"/>
  <c r="E2972" i="8" s="1"/>
  <c r="B3480" i="8"/>
  <c r="B3397" i="8"/>
  <c r="B2381" i="8"/>
  <c r="B1788" i="8"/>
  <c r="B3602" i="8"/>
  <c r="B2486" i="8"/>
  <c r="E2486" i="8" s="1"/>
  <c r="B2790" i="8"/>
  <c r="E2790" i="8" s="1"/>
  <c r="B2559" i="8"/>
  <c r="B1646" i="8"/>
  <c r="B2294" i="8"/>
  <c r="B3064" i="8"/>
  <c r="E3064" i="8" s="1"/>
  <c r="B2942" i="8"/>
  <c r="B746" i="8"/>
  <c r="B929" i="8"/>
  <c r="E929" i="8" s="1"/>
  <c r="B278" i="8"/>
  <c r="B1072" i="8"/>
  <c r="B2045" i="8"/>
  <c r="B3237" i="8"/>
  <c r="E3237" i="8" s="1"/>
  <c r="B1811" i="8"/>
  <c r="B2497" i="8"/>
  <c r="B3090" i="8"/>
  <c r="B2514" i="8"/>
  <c r="B586" i="8"/>
  <c r="B1807" i="8"/>
  <c r="E1807" i="8" s="1"/>
  <c r="B3417" i="8"/>
  <c r="B1499" i="8"/>
  <c r="E1499" i="8" s="1"/>
  <c r="B2911" i="8"/>
  <c r="B3303" i="8"/>
  <c r="B1003" i="8"/>
  <c r="B1750" i="8"/>
  <c r="E1750" i="8" s="1"/>
  <c r="B421" i="8"/>
  <c r="B3266" i="8"/>
  <c r="E3266" i="8" s="1"/>
  <c r="B275" i="8"/>
  <c r="B839" i="8"/>
  <c r="B884" i="8"/>
  <c r="B398" i="8"/>
  <c r="B589" i="8"/>
  <c r="B2304" i="8"/>
  <c r="E2304" i="8" s="1"/>
  <c r="B920" i="8"/>
  <c r="E920" i="8" s="1"/>
  <c r="B253" i="8"/>
  <c r="B1502" i="8"/>
  <c r="B1233" i="8"/>
  <c r="B1964" i="8"/>
  <c r="E1964" i="8" s="1"/>
  <c r="B422" i="8"/>
  <c r="B1173" i="8"/>
  <c r="B2165" i="8"/>
  <c r="E2165" i="8" s="1"/>
  <c r="B3126" i="8"/>
  <c r="E3126" i="8" s="1"/>
  <c r="B2682" i="8"/>
  <c r="B3116" i="8"/>
  <c r="B459" i="8"/>
  <c r="B2197" i="8"/>
  <c r="B547" i="8"/>
  <c r="B922" i="8"/>
  <c r="B1654" i="8"/>
  <c r="E1654" i="8" s="1"/>
  <c r="B1621" i="8"/>
  <c r="B1620" i="8"/>
  <c r="B2052" i="8"/>
  <c r="B11" i="8"/>
  <c r="B2177" i="8"/>
  <c r="B3214" i="8"/>
  <c r="E3214" i="8" s="1"/>
  <c r="B3184" i="8"/>
  <c r="B1707" i="8"/>
  <c r="B2030" i="8"/>
  <c r="B1703" i="8"/>
  <c r="B912" i="8"/>
  <c r="B1310" i="8"/>
  <c r="E1310" i="8" s="1"/>
  <c r="B2422" i="8"/>
  <c r="E2422" i="8" s="1"/>
  <c r="B914" i="8"/>
  <c r="B3621" i="8"/>
  <c r="B3502" i="8"/>
  <c r="B2876" i="8"/>
  <c r="B1239" i="8"/>
  <c r="E1239" i="8" s="1"/>
  <c r="B2205" i="8"/>
  <c r="B1971" i="8"/>
  <c r="B2528" i="8"/>
  <c r="B175" i="8"/>
  <c r="B34" i="8"/>
  <c r="B470" i="8"/>
  <c r="E470" i="8" s="1"/>
  <c r="B3434" i="8"/>
  <c r="E3434" i="8" s="1"/>
  <c r="B3626" i="8"/>
  <c r="E3626" i="8" s="1"/>
  <c r="B1067" i="8"/>
  <c r="B120" i="8"/>
  <c r="B1060" i="8"/>
  <c r="B1902" i="8"/>
  <c r="B140" i="8"/>
  <c r="B772" i="8"/>
  <c r="B144" i="8"/>
  <c r="B591" i="8"/>
  <c r="E591" i="8" s="1"/>
  <c r="B2071" i="8"/>
  <c r="B1250" i="8"/>
  <c r="E1250" i="8" s="1"/>
  <c r="B309" i="8"/>
  <c r="E309" i="8" s="1"/>
  <c r="B2859" i="8"/>
  <c r="E2859" i="8" s="1"/>
  <c r="B1362" i="8"/>
  <c r="E1362" i="8" s="1"/>
  <c r="B3383" i="8"/>
  <c r="B911" i="8"/>
  <c r="B3070" i="8"/>
  <c r="B2695" i="8"/>
  <c r="B2426" i="8"/>
  <c r="B1314" i="8"/>
  <c r="B1284" i="8"/>
  <c r="B865" i="8"/>
  <c r="B2147" i="8"/>
  <c r="B2105" i="8"/>
  <c r="B741" i="8"/>
  <c r="B2850" i="8"/>
  <c r="B707" i="8"/>
  <c r="E707" i="8" s="1"/>
  <c r="B2539" i="8"/>
  <c r="B652" i="8"/>
  <c r="E652" i="8" s="1"/>
  <c r="B3572" i="8"/>
  <c r="B2783" i="8"/>
  <c r="B554" i="8"/>
  <c r="B2441" i="8"/>
  <c r="B2146" i="8"/>
  <c r="B1608" i="8"/>
  <c r="B653" i="8"/>
  <c r="B1323" i="8"/>
  <c r="B2293" i="8"/>
  <c r="B2362" i="8"/>
  <c r="B2689" i="8"/>
  <c r="B2596" i="8"/>
  <c r="B3340" i="8"/>
  <c r="B3529" i="8"/>
  <c r="B319" i="8"/>
  <c r="B1535" i="8"/>
  <c r="B57" i="8"/>
  <c r="B780" i="8"/>
  <c r="B2182" i="8"/>
  <c r="E2182" i="8" s="1"/>
  <c r="B2608" i="8"/>
  <c r="B1316" i="8"/>
  <c r="B3588" i="8"/>
  <c r="B849" i="8"/>
  <c r="E849" i="8" s="1"/>
  <c r="B634" i="8"/>
  <c r="B3297" i="8"/>
  <c r="B1182" i="8"/>
  <c r="B1031" i="8"/>
  <c r="B1853" i="8"/>
  <c r="B1009" i="8"/>
  <c r="B2981" i="8"/>
  <c r="B1422" i="8"/>
  <c r="B3343" i="8"/>
  <c r="B2755" i="8"/>
  <c r="B2168" i="8"/>
  <c r="E2168" i="8" s="1"/>
  <c r="B2592" i="8"/>
  <c r="B2644" i="8"/>
  <c r="B2945" i="8"/>
  <c r="B3192" i="8"/>
  <c r="B2641" i="8"/>
  <c r="B2227" i="8"/>
  <c r="B3299" i="8"/>
  <c r="B1165" i="8"/>
  <c r="B1667" i="8"/>
  <c r="E1667" i="8" s="1"/>
  <c r="B1521" i="8"/>
  <c r="E1521" i="8" s="1"/>
  <c r="B990" i="8"/>
  <c r="B1798" i="8"/>
  <c r="B758" i="8"/>
  <c r="B668" i="8"/>
  <c r="B3565" i="8"/>
  <c r="B632" i="8"/>
  <c r="B1894" i="8"/>
  <c r="B3643" i="8"/>
  <c r="B3065" i="8"/>
  <c r="B773" i="8"/>
  <c r="B2472" i="8"/>
  <c r="E2472" i="8" s="1"/>
  <c r="B2278" i="8"/>
  <c r="E2278" i="8" s="1"/>
  <c r="B88" i="8"/>
  <c r="B1544" i="8"/>
  <c r="B450" i="8"/>
  <c r="B713" i="8"/>
  <c r="E713" i="8" s="1"/>
  <c r="B1691" i="8"/>
  <c r="B1197" i="8"/>
  <c r="B1941" i="8"/>
  <c r="B1271" i="8"/>
  <c r="B832" i="8"/>
  <c r="B1780" i="8"/>
  <c r="E1780" i="8" s="1"/>
  <c r="B2123" i="8"/>
  <c r="B3189" i="8"/>
  <c r="B1768" i="8"/>
  <c r="B1527" i="8"/>
  <c r="B3150" i="8"/>
  <c r="B2053" i="8"/>
  <c r="B1470" i="8"/>
  <c r="B897" i="8"/>
  <c r="B735" i="8"/>
  <c r="B2406" i="8"/>
  <c r="B3316" i="8"/>
  <c r="B3044" i="8"/>
  <c r="E3044" i="8" s="1"/>
  <c r="B1012" i="8"/>
  <c r="B1297" i="8"/>
  <c r="B3462" i="8"/>
  <c r="B351" i="8"/>
  <c r="B633" i="8"/>
  <c r="B765" i="8"/>
  <c r="B677" i="8"/>
  <c r="B813" i="8"/>
  <c r="B1272" i="8"/>
  <c r="B1389" i="8"/>
  <c r="B852" i="8"/>
  <c r="B2225" i="8"/>
  <c r="B38" i="8"/>
  <c r="B2430" i="8"/>
  <c r="B3274" i="8"/>
  <c r="B1999" i="8"/>
  <c r="B206" i="8"/>
  <c r="B716" i="8"/>
  <c r="B3474" i="8"/>
  <c r="B164" i="8"/>
  <c r="B1955" i="8"/>
  <c r="B1509" i="8"/>
  <c r="B2814" i="8"/>
  <c r="B87" i="8"/>
  <c r="E87" i="8" s="1"/>
  <c r="B2974" i="8"/>
  <c r="B1528" i="8"/>
  <c r="B440" i="8"/>
  <c r="E440" i="8" s="1"/>
  <c r="B186" i="8"/>
  <c r="B1518" i="8"/>
  <c r="B2843" i="8"/>
  <c r="E2843" i="8" s="1"/>
  <c r="B1301" i="8"/>
  <c r="B671" i="8"/>
  <c r="B3350" i="8"/>
  <c r="B1680" i="8"/>
  <c r="B880" i="8"/>
  <c r="B1756" i="8"/>
  <c r="B3349" i="8"/>
  <c r="E3349" i="8" s="1"/>
  <c r="B3038" i="8"/>
  <c r="C3038" i="8" s="1"/>
  <c r="B1077" i="8"/>
  <c r="B2036" i="8"/>
  <c r="E2036" i="8" s="1"/>
  <c r="B1342" i="8"/>
  <c r="B3282" i="8"/>
  <c r="B581" i="8"/>
  <c r="B2417" i="8"/>
  <c r="B403" i="8"/>
  <c r="B3390" i="8"/>
  <c r="B3267" i="8"/>
  <c r="B3581" i="8"/>
  <c r="E3581" i="8" s="1"/>
  <c r="B1668" i="8"/>
  <c r="E1668" i="8" s="1"/>
  <c r="B828" i="8"/>
  <c r="E828" i="8" s="1"/>
  <c r="B3204" i="8"/>
  <c r="B3627" i="8"/>
  <c r="B630" i="8"/>
  <c r="B101" i="8"/>
  <c r="B1429" i="8"/>
  <c r="B2110" i="8"/>
  <c r="B2566" i="8"/>
  <c r="B3212" i="8"/>
  <c r="B2676" i="8"/>
  <c r="B779" i="8"/>
  <c r="E779" i="8" s="1"/>
  <c r="B2758" i="8"/>
  <c r="B2949" i="8"/>
  <c r="E2949" i="8" s="1"/>
  <c r="B150" i="8"/>
  <c r="B3373" i="8"/>
  <c r="B3630" i="8"/>
  <c r="B3616" i="8"/>
  <c r="B603" i="8"/>
  <c r="B2153" i="8"/>
  <c r="B329" i="8"/>
  <c r="E329" i="8" s="1"/>
  <c r="B415" i="8"/>
  <c r="B1091" i="8"/>
  <c r="B1722" i="8"/>
  <c r="E1722" i="8" s="1"/>
  <c r="B3506" i="8"/>
  <c r="E3506" i="8" s="1"/>
  <c r="B3102" i="8"/>
  <c r="B3151" i="8"/>
  <c r="E3151" i="8" s="1"/>
  <c r="B2988" i="8"/>
  <c r="E2988" i="8" s="1"/>
  <c r="B1953" i="8"/>
  <c r="B1035" i="8"/>
  <c r="B3360" i="8"/>
  <c r="B2046" i="8"/>
  <c r="B137" i="8"/>
  <c r="B842" i="8"/>
  <c r="B2360" i="8"/>
  <c r="B23" i="8"/>
  <c r="E23" i="8" s="1"/>
  <c r="B1345" i="8"/>
  <c r="E1345" i="8" s="1"/>
  <c r="B1452" i="8"/>
  <c r="B1467" i="8"/>
  <c r="B233" i="8"/>
  <c r="B1492" i="8"/>
  <c r="E1492" i="8" s="1"/>
  <c r="B1559" i="8"/>
  <c r="B370" i="8"/>
  <c r="B3395" i="8"/>
  <c r="B30" i="8"/>
  <c r="B3095" i="8"/>
  <c r="B1017" i="8"/>
  <c r="B2866" i="8"/>
  <c r="B2167" i="8"/>
  <c r="E2167" i="8" s="1"/>
  <c r="B859" i="8"/>
  <c r="B1108" i="8"/>
  <c r="B3113" i="8"/>
  <c r="B3254" i="8"/>
  <c r="B3377" i="8"/>
  <c r="B492" i="8"/>
  <c r="B3071" i="8"/>
  <c r="B1580" i="8"/>
  <c r="B3327" i="8"/>
  <c r="B157" i="8"/>
  <c r="B3048" i="8"/>
  <c r="E3048" i="8" s="1"/>
  <c r="B1058" i="8"/>
  <c r="E1058" i="8" s="1"/>
  <c r="B1383" i="8"/>
  <c r="E1383" i="8" s="1"/>
  <c r="B1572" i="8"/>
  <c r="B2201" i="8"/>
  <c r="B2289" i="8"/>
  <c r="B2880" i="8"/>
  <c r="B380" i="8"/>
  <c r="B2962" i="8"/>
  <c r="C2963" i="8" s="1"/>
  <c r="B1856" i="8"/>
  <c r="B168" i="8"/>
  <c r="B2711" i="8"/>
  <c r="B1582" i="8"/>
  <c r="E1582" i="8" s="1"/>
  <c r="B1020" i="8"/>
  <c r="B3582" i="8"/>
  <c r="B1361" i="8"/>
  <c r="B2841" i="8"/>
  <c r="B829" i="8"/>
  <c r="B960" i="8"/>
  <c r="B2331" i="8"/>
  <c r="B3338" i="8"/>
  <c r="B2145" i="8"/>
  <c r="B274" i="8"/>
  <c r="B2087" i="8"/>
  <c r="B3187" i="8"/>
  <c r="E3187" i="8" s="1"/>
  <c r="B789" i="8"/>
  <c r="B1315" i="8"/>
  <c r="B2485" i="8"/>
  <c r="B468" i="8"/>
  <c r="B18" i="8"/>
  <c r="E18" i="8" s="1"/>
  <c r="B3169" i="8"/>
  <c r="B656" i="8"/>
  <c r="B1082" i="8"/>
  <c r="E1082" i="8" s="1"/>
  <c r="B2553" i="8"/>
  <c r="B2500" i="8"/>
  <c r="B1909" i="8"/>
  <c r="B802" i="8"/>
  <c r="C803" i="8" s="1"/>
  <c r="B2517" i="8"/>
  <c r="E2517" i="8" s="1"/>
  <c r="B265" i="8"/>
  <c r="B506" i="8"/>
  <c r="B1790" i="8"/>
  <c r="E1790" i="8" s="1"/>
  <c r="B643" i="8"/>
  <c r="B1313" i="8"/>
  <c r="B3495" i="8"/>
  <c r="B900" i="8"/>
  <c r="B3013" i="8"/>
  <c r="B60" i="8"/>
  <c r="B2275" i="8"/>
  <c r="B2771" i="8"/>
  <c r="E2771" i="8" s="1"/>
  <c r="B98" i="8"/>
  <c r="B613" i="8"/>
  <c r="E613" i="8" s="1"/>
  <c r="B3649" i="8"/>
  <c r="B3311" i="8"/>
  <c r="E3311" i="8" s="1"/>
  <c r="B827" i="8"/>
  <c r="B2301" i="8"/>
  <c r="B3476" i="8"/>
  <c r="B182" i="8"/>
  <c r="B687" i="8"/>
  <c r="B3530" i="8"/>
  <c r="B1426" i="8"/>
  <c r="B2548" i="8"/>
  <c r="B1236" i="8"/>
  <c r="E1236" i="8" s="1"/>
  <c r="B2107" i="8"/>
  <c r="E2107" i="8" s="1"/>
  <c r="B191" i="8"/>
  <c r="B3286" i="8"/>
  <c r="E3286" i="8" s="1"/>
  <c r="B2571" i="8"/>
  <c r="B2024" i="8"/>
  <c r="B2874" i="8"/>
  <c r="B3489" i="8"/>
  <c r="B557" i="8"/>
  <c r="B2132" i="8"/>
  <c r="B396" i="8"/>
  <c r="B130" i="8"/>
  <c r="E130" i="8" s="1"/>
  <c r="B395" i="8"/>
  <c r="B1146" i="8"/>
  <c r="B599" i="8"/>
  <c r="B1890" i="8"/>
  <c r="B2099" i="8"/>
  <c r="B1762" i="8"/>
  <c r="E1762" i="8" s="1"/>
  <c r="B2973" i="8"/>
  <c r="B1874" i="8"/>
  <c r="E1874" i="8" s="1"/>
  <c r="B1407" i="8"/>
  <c r="E1407" i="8" s="1"/>
  <c r="B3593" i="8"/>
  <c r="B1797" i="8"/>
  <c r="B2986" i="8"/>
  <c r="B3532" i="8"/>
  <c r="B472" i="8"/>
  <c r="B1441" i="8"/>
  <c r="B318" i="8"/>
  <c r="B2776" i="8"/>
  <c r="E2776" i="8" s="1"/>
  <c r="B3148" i="8"/>
  <c r="B53" i="8"/>
  <c r="B3418" i="8"/>
  <c r="B394" i="8"/>
  <c r="B1188" i="8"/>
  <c r="B3580" i="8"/>
  <c r="B2742" i="8"/>
  <c r="E2742" i="8" s="1"/>
  <c r="B3516" i="8"/>
  <c r="B1121" i="8"/>
  <c r="B1378" i="8"/>
  <c r="B3376" i="8"/>
  <c r="B2591" i="8"/>
  <c r="B941" i="8"/>
  <c r="B2673" i="8"/>
  <c r="B750" i="8"/>
  <c r="B1903" i="8"/>
  <c r="B292" i="8"/>
  <c r="B725" i="8"/>
  <c r="B3546" i="8"/>
  <c r="E3546" i="8" s="1"/>
  <c r="B1447" i="8"/>
  <c r="B972" i="8"/>
  <c r="B2321" i="8"/>
  <c r="B2194" i="8"/>
  <c r="E2194" i="8" s="1"/>
  <c r="B148" i="8"/>
  <c r="C148" i="8" s="1"/>
  <c r="B3440" i="8"/>
  <c r="B2249" i="8"/>
  <c r="B602" i="8"/>
  <c r="B1619" i="8"/>
  <c r="B1757" i="8"/>
  <c r="B533" i="8"/>
  <c r="B1368" i="8"/>
  <c r="E1368" i="8" s="1"/>
  <c r="B2343" i="8"/>
  <c r="B3628" i="8"/>
  <c r="E3628" i="8" s="1"/>
  <c r="B119" i="8"/>
  <c r="E119" i="8" s="1"/>
  <c r="B249" i="8"/>
  <c r="B2378" i="8"/>
  <c r="B1996" i="8"/>
  <c r="B1951" i="8"/>
  <c r="B301" i="8"/>
  <c r="B3525" i="8"/>
  <c r="B3" i="8"/>
  <c r="B434" i="8"/>
  <c r="B1289" i="8"/>
  <c r="E1289" i="8" s="1"/>
  <c r="B1881" i="8"/>
  <c r="B75" i="8"/>
  <c r="B1660" i="8"/>
  <c r="B462" i="8"/>
  <c r="B766" i="8"/>
  <c r="B974" i="8"/>
  <c r="B82" i="8"/>
  <c r="B465" i="8"/>
  <c r="B2267" i="8"/>
  <c r="B1209" i="8"/>
  <c r="B1283" i="8"/>
  <c r="B2927" i="8"/>
  <c r="B1177" i="8"/>
  <c r="B1299" i="8"/>
  <c r="E1299" i="8" s="1"/>
  <c r="B310" i="8"/>
  <c r="E310" i="8" s="1"/>
  <c r="B457" i="8"/>
  <c r="B1002" i="8"/>
  <c r="B1919" i="8"/>
  <c r="E1919" i="8" s="1"/>
  <c r="B1030" i="8"/>
  <c r="B1995" i="8"/>
  <c r="B1065" i="8"/>
  <c r="B1503" i="8"/>
  <c r="B2440" i="8"/>
  <c r="B3034" i="8"/>
  <c r="E3034" i="8" s="1"/>
  <c r="B2749" i="8"/>
  <c r="B2138" i="8"/>
  <c r="E2138" i="8" s="1"/>
  <c r="B1549" i="8"/>
  <c r="B885" i="8"/>
  <c r="B1230" i="8"/>
  <c r="B1922" i="8"/>
  <c r="B2340" i="8"/>
  <c r="B2832" i="8"/>
  <c r="B1739" i="8"/>
  <c r="B3112" i="8"/>
  <c r="B662" i="8"/>
  <c r="B1305" i="8"/>
  <c r="E1305" i="8" s="1"/>
  <c r="B1163" i="8"/>
  <c r="B3100" i="8"/>
  <c r="B1351" i="8"/>
  <c r="B800" i="8"/>
  <c r="E800" i="8" s="1"/>
  <c r="B1047" i="8"/>
  <c r="B1212" i="8"/>
  <c r="B2157" i="8"/>
  <c r="B77" i="8"/>
  <c r="B455" i="8"/>
  <c r="B654" i="8"/>
  <c r="B658" i="8"/>
  <c r="B1804" i="8"/>
  <c r="E1804" i="8" s="1"/>
  <c r="B977" i="8"/>
  <c r="B2246" i="8"/>
  <c r="B416" i="8"/>
  <c r="B3507" i="8"/>
  <c r="B609" i="8"/>
  <c r="E609" i="8" s="1"/>
  <c r="B1258" i="8"/>
  <c r="B2243" i="8"/>
  <c r="B2968" i="8"/>
  <c r="E2968" i="8" s="1"/>
  <c r="B1380" i="8"/>
  <c r="B3496" i="8"/>
  <c r="B1556" i="8"/>
  <c r="B2939" i="8"/>
  <c r="B2428" i="8"/>
  <c r="E2428" i="8" s="1"/>
  <c r="B1834" i="8"/>
  <c r="B237" i="8"/>
  <c r="E237" i="8" s="1"/>
  <c r="B991" i="8"/>
  <c r="B2354" i="8"/>
  <c r="B3176" i="8"/>
  <c r="B523" i="8"/>
  <c r="B90" i="8"/>
  <c r="B871" i="8"/>
  <c r="B411" i="8"/>
  <c r="B1296" i="8"/>
  <c r="B3224" i="8"/>
  <c r="B1256" i="8"/>
  <c r="B262" i="8"/>
  <c r="B2207" i="8"/>
  <c r="E2207" i="8" s="1"/>
  <c r="B2930" i="8"/>
  <c r="E2930" i="8" s="1"/>
  <c r="B7" i="8"/>
  <c r="B3166" i="8"/>
  <c r="B161" i="8"/>
  <c r="B770" i="8"/>
  <c r="B2614" i="8"/>
  <c r="B1113" i="8"/>
  <c r="B1325" i="8"/>
  <c r="B1449" i="8"/>
  <c r="E1449" i="8" s="1"/>
  <c r="B2970" i="8"/>
  <c r="E2970" i="8" s="1"/>
  <c r="B3081" i="8"/>
  <c r="B1607" i="8"/>
  <c r="B1695" i="8"/>
  <c r="E1695" i="8" s="1"/>
  <c r="B138" i="8"/>
  <c r="B2134" i="8"/>
  <c r="B1471" i="8"/>
  <c r="B771" i="8"/>
  <c r="E771" i="8" s="1"/>
  <c r="B3328" i="8"/>
  <c r="B1513" i="8"/>
  <c r="B1686" i="8"/>
  <c r="B726" i="8"/>
  <c r="B698" i="8"/>
  <c r="B2005" i="8"/>
  <c r="B449" i="8"/>
  <c r="B2271" i="8"/>
  <c r="B650" i="8"/>
  <c r="B2921" i="8"/>
  <c r="B3359" i="8"/>
  <c r="B1982" i="8"/>
  <c r="B3059" i="8"/>
  <c r="B3239" i="8"/>
  <c r="B3648" i="8"/>
  <c r="B2587" i="8"/>
  <c r="B1743" i="8"/>
  <c r="B10" i="8"/>
  <c r="E10" i="8" s="1"/>
  <c r="B1864" i="8"/>
  <c r="B896" i="8"/>
  <c r="B2254" i="8"/>
  <c r="B1830" i="8"/>
  <c r="B1863" i="8"/>
  <c r="B1365" i="8"/>
  <c r="E1365" i="8" s="1"/>
  <c r="B2012" i="8"/>
  <c r="B1493" i="8"/>
  <c r="B3344" i="8"/>
  <c r="B3203" i="8"/>
  <c r="B242" i="8"/>
  <c r="B3315" i="8"/>
  <c r="B2784" i="8"/>
  <c r="B2078" i="8"/>
  <c r="E2078" i="8" s="1"/>
  <c r="B2735" i="8"/>
  <c r="B520" i="8"/>
  <c r="B1377" i="8"/>
  <c r="B1871" i="8"/>
  <c r="B3427" i="8"/>
  <c r="B3046" i="8"/>
  <c r="B607" i="8"/>
  <c r="B3472" i="8"/>
  <c r="B2669" i="8"/>
  <c r="B3058" i="8"/>
  <c r="E3058" i="8" s="1"/>
  <c r="B1444" i="8"/>
  <c r="B996" i="8"/>
  <c r="E996" i="8" s="1"/>
  <c r="B2760" i="8"/>
  <c r="B3236" i="8"/>
  <c r="E3236" i="8" s="1"/>
  <c r="B2427" i="8"/>
  <c r="B2895" i="8"/>
  <c r="B2857" i="8"/>
  <c r="B2800" i="8"/>
  <c r="B3301" i="8"/>
  <c r="B1221" i="8"/>
  <c r="E1221" i="8" s="1"/>
  <c r="B1049" i="8"/>
  <c r="E1049" i="8" s="1"/>
  <c r="B2021" i="8"/>
  <c r="B804" i="8"/>
  <c r="E804" i="8" s="1"/>
  <c r="B2121" i="8"/>
  <c r="B2951" i="8"/>
  <c r="B1167" i="8"/>
  <c r="E1167" i="8" s="1"/>
  <c r="B3053" i="8"/>
  <c r="B3262" i="8"/>
  <c r="B1845" i="8"/>
  <c r="B1912" i="8"/>
  <c r="B2688" i="8"/>
  <c r="B627" i="8"/>
  <c r="E627" i="8" s="1"/>
  <c r="B2714" i="8"/>
  <c r="E2714" i="8" s="1"/>
  <c r="B3645" i="8"/>
  <c r="B816" i="8"/>
  <c r="B2938" i="8"/>
  <c r="B1410" i="8"/>
  <c r="E1410" i="8" s="1"/>
  <c r="B1793" i="8"/>
  <c r="B1266" i="8"/>
  <c r="B2140" i="8"/>
  <c r="B2824" i="8"/>
  <c r="B3269" i="8"/>
  <c r="B3401" i="8"/>
  <c r="B3598" i="8"/>
  <c r="E3598" i="8" s="1"/>
  <c r="B95" i="8"/>
  <c r="E95" i="8" s="1"/>
  <c r="B1876" i="8"/>
  <c r="E1876" i="8" s="1"/>
  <c r="B2401" i="8"/>
  <c r="E2401" i="8" s="1"/>
  <c r="B659" i="8"/>
  <c r="E659" i="8" s="1"/>
  <c r="B2788" i="8"/>
  <c r="E2788" i="8" s="1"/>
  <c r="B2461" i="8"/>
  <c r="B279" i="8"/>
  <c r="B811" i="8"/>
  <c r="B2248" i="8"/>
  <c r="B2265" i="8"/>
  <c r="B903" i="8"/>
  <c r="B718" i="8"/>
  <c r="E718" i="8" s="1"/>
  <c r="B2545" i="8"/>
  <c r="B500" i="8"/>
  <c r="B2709" i="8"/>
  <c r="B1784" i="8"/>
  <c r="B2370" i="8"/>
  <c r="B1216" i="8"/>
  <c r="B2041" i="8"/>
  <c r="B1801" i="8"/>
  <c r="B2206" i="8"/>
  <c r="B1916" i="8"/>
  <c r="B2946" i="8"/>
  <c r="B2560" i="8"/>
  <c r="B1968" i="8"/>
  <c r="E1968" i="8" s="1"/>
  <c r="B3620" i="8"/>
  <c r="B3217" i="8"/>
  <c r="E3217" i="8" s="1"/>
  <c r="B1045" i="8"/>
  <c r="B595" i="8"/>
  <c r="E595" i="8" s="1"/>
  <c r="B2996" i="8"/>
  <c r="B243" i="8"/>
  <c r="B748" i="8"/>
  <c r="B1200" i="8"/>
  <c r="B538" i="8"/>
  <c r="B3405" i="8"/>
  <c r="B1259" i="8"/>
  <c r="B211" i="8"/>
  <c r="E211" i="8" s="1"/>
  <c r="B221" i="8"/>
  <c r="E221" i="8" s="1"/>
  <c r="B2204" i="8"/>
  <c r="E2204" i="8" s="1"/>
  <c r="B2952" i="8"/>
  <c r="B1732" i="8"/>
  <c r="B1516" i="8"/>
  <c r="E1516" i="8" s="1"/>
  <c r="B2366" i="8"/>
  <c r="B2115" i="8"/>
  <c r="B2032" i="8"/>
  <c r="B1500" i="8"/>
  <c r="B825" i="8"/>
  <c r="B2159" i="8"/>
  <c r="B2469" i="8"/>
  <c r="E2469" i="8" s="1"/>
  <c r="B3017" i="8"/>
  <c r="B976" i="8"/>
  <c r="B2698" i="8"/>
  <c r="B1597" i="8"/>
  <c r="B135" i="8"/>
  <c r="B2795" i="8"/>
  <c r="B3557" i="8"/>
  <c r="E3557" i="8" s="1"/>
  <c r="B3461" i="8"/>
  <c r="B916" i="8"/>
  <c r="B1945" i="8"/>
  <c r="B1988" i="8"/>
  <c r="E1988" i="8" s="1"/>
  <c r="B2328" i="8"/>
  <c r="B1843" i="8"/>
  <c r="B2674" i="8"/>
  <c r="B1866" i="8"/>
  <c r="B437" i="8"/>
  <c r="B1255" i="8"/>
  <c r="B2692" i="8"/>
  <c r="B612" i="8"/>
  <c r="B1760" i="8"/>
  <c r="B2150" i="8"/>
  <c r="B877" i="8"/>
  <c r="B3096" i="8"/>
  <c r="B410" i="8"/>
  <c r="E410" i="8" s="1"/>
  <c r="B3181" i="8"/>
  <c r="B1815" i="8"/>
  <c r="B3083" i="8"/>
  <c r="B393" i="8"/>
  <c r="B2228" i="8"/>
  <c r="E2228" i="8" s="1"/>
  <c r="B3402" i="8"/>
  <c r="B2780" i="8"/>
  <c r="B2103" i="8"/>
  <c r="B3575" i="8"/>
  <c r="B3124" i="8"/>
  <c r="B3188" i="8"/>
  <c r="E3188" i="8" s="1"/>
  <c r="B1369" i="8"/>
  <c r="B552" i="8"/>
  <c r="B66" i="8"/>
  <c r="B3135" i="8"/>
  <c r="B3468" i="8"/>
  <c r="E3468" i="8" s="1"/>
  <c r="B2892" i="8"/>
  <c r="B1658" i="8"/>
  <c r="B1480" i="8"/>
  <c r="B1958" i="8"/>
  <c r="B2976" i="8"/>
  <c r="B1122" i="8"/>
  <c r="B3221" i="8"/>
  <c r="E3221" i="8" s="1"/>
  <c r="B575" i="8"/>
  <c r="B567" i="8"/>
  <c r="B276" i="8"/>
  <c r="B294" i="8"/>
  <c r="B3207" i="8"/>
  <c r="B3355" i="8"/>
  <c r="B1237" i="8"/>
  <c r="B1066" i="8"/>
  <c r="B2533" i="8"/>
  <c r="B129" i="8"/>
  <c r="B2809" i="8"/>
  <c r="B1937" i="8"/>
  <c r="B3068" i="8"/>
  <c r="B3595" i="8"/>
  <c r="B2542" i="8"/>
  <c r="C2542" i="8" s="1"/>
  <c r="B2772" i="8"/>
  <c r="B2929" i="8"/>
  <c r="B576" i="8"/>
  <c r="B2470" i="8"/>
  <c r="B3441" i="8"/>
  <c r="B1436" i="8"/>
  <c r="B2169" i="8"/>
  <c r="B1678" i="8"/>
  <c r="B3420" i="8"/>
  <c r="B1705" i="8"/>
  <c r="E1705" i="8" s="1"/>
  <c r="B1140" i="8"/>
  <c r="E1140" i="8" s="1"/>
  <c r="B525" i="8"/>
  <c r="B4" i="8"/>
  <c r="E4" i="8" s="1"/>
  <c r="B2666" i="8"/>
  <c r="B3238" i="8"/>
  <c r="B2449" i="8"/>
  <c r="B3381" i="8"/>
  <c r="B3444" i="8"/>
  <c r="B3291" i="8"/>
  <c r="B2572" i="8"/>
  <c r="B2941" i="8"/>
  <c r="E2941" i="8" s="1"/>
  <c r="B3329" i="8"/>
  <c r="B3640" i="8"/>
  <c r="B312" i="8"/>
  <c r="E312" i="8" s="1"/>
  <c r="B1769" i="8"/>
  <c r="B1111" i="8"/>
  <c r="B606" i="8"/>
  <c r="B3392" i="8"/>
  <c r="B3555" i="8"/>
  <c r="B1134" i="8"/>
  <c r="B1898" i="8"/>
  <c r="B848" i="8"/>
  <c r="B739" i="8"/>
  <c r="B3391" i="8"/>
  <c r="B3222" i="8"/>
  <c r="E3222" i="8" s="1"/>
  <c r="B2039" i="8"/>
  <c r="B2940" i="8"/>
  <c r="B1195" i="8"/>
  <c r="B2139" i="8"/>
  <c r="B3061" i="8"/>
  <c r="B2049" i="8"/>
  <c r="B65" i="8"/>
  <c r="B1940" i="8"/>
  <c r="B1794" i="8"/>
  <c r="B252" i="8"/>
  <c r="E252" i="8" s="1"/>
  <c r="B1899" i="8"/>
  <c r="B3146" i="8"/>
  <c r="B1740" i="8"/>
  <c r="B1007" i="8"/>
  <c r="B216" i="8"/>
  <c r="B381" i="8"/>
  <c r="B202" i="8"/>
  <c r="B2421" i="8"/>
  <c r="E2421" i="8" s="1"/>
  <c r="B251" i="8"/>
  <c r="B946" i="8"/>
  <c r="B46" i="8"/>
  <c r="B1978" i="8"/>
  <c r="B1257" i="8"/>
  <c r="B367" i="8"/>
  <c r="E367" i="8" s="1"/>
  <c r="B2675" i="8"/>
  <c r="B3552" i="8"/>
  <c r="B156" i="8"/>
  <c r="B366" i="8"/>
  <c r="B1652" i="8"/>
  <c r="B3208" i="8"/>
  <c r="B2910" i="8"/>
  <c r="B1548" i="8"/>
  <c r="B1086" i="8"/>
  <c r="B3120" i="8"/>
  <c r="B705" i="8"/>
  <c r="B2037" i="8"/>
  <c r="B1918" i="8"/>
  <c r="B1445" i="8"/>
  <c r="B1656" i="8"/>
  <c r="B2853" i="8"/>
  <c r="B3261" i="8"/>
  <c r="B587" i="8"/>
  <c r="B3605" i="8"/>
  <c r="B1832" i="8"/>
  <c r="B218" i="8"/>
  <c r="B674" i="8"/>
  <c r="E674" i="8" s="1"/>
  <c r="B2606" i="8"/>
  <c r="E2606" i="8" s="1"/>
  <c r="B2738" i="8"/>
  <c r="B2388" i="8"/>
  <c r="E2388" i="8" s="1"/>
  <c r="B1829" i="8"/>
  <c r="E1829" i="8" s="1"/>
  <c r="B2916" i="8"/>
  <c r="B169" i="8"/>
  <c r="E169" i="8" s="1"/>
  <c r="B692" i="8"/>
  <c r="B2904" i="8"/>
  <c r="E2904" i="8" s="1"/>
  <c r="B208" i="8"/>
  <c r="B3569" i="8"/>
  <c r="B2117" i="8"/>
  <c r="B663" i="8"/>
  <c r="B751" i="8"/>
  <c r="B2022" i="8"/>
  <c r="B1568" i="8"/>
  <c r="E1568" i="8" s="1"/>
  <c r="B1679" i="8"/>
  <c r="B3364" i="8"/>
  <c r="B754" i="8"/>
  <c r="B1520" i="8"/>
  <c r="B1158" i="8"/>
  <c r="B1393" i="8"/>
  <c r="B1496" i="8"/>
  <c r="B1787" i="8"/>
  <c r="B261" i="8"/>
  <c r="E261" i="8" s="1"/>
  <c r="B908" i="8"/>
  <c r="B809" i="8"/>
  <c r="B622" i="8"/>
  <c r="E622" i="8" s="1"/>
  <c r="B2356" i="8"/>
  <c r="B1275" i="8"/>
  <c r="B1455" i="8"/>
  <c r="B2645" i="8"/>
  <c r="B1992" i="8"/>
  <c r="B1692" i="8"/>
  <c r="B3249" i="8"/>
  <c r="B1752" i="8"/>
  <c r="B2691" i="8"/>
  <c r="B528" i="8"/>
  <c r="B2129" i="8"/>
  <c r="E2129" i="8" s="1"/>
  <c r="B3641" i="8"/>
  <c r="B2305" i="8"/>
  <c r="B1507" i="8"/>
  <c r="E1507" i="8" s="1"/>
  <c r="B584" i="8"/>
  <c r="B2495" i="8"/>
  <c r="B1112" i="8"/>
  <c r="B2759" i="8"/>
  <c r="B673" i="8"/>
  <c r="B2928" i="8"/>
  <c r="B3571" i="8"/>
  <c r="E3571" i="8" s="1"/>
  <c r="B2713" i="8"/>
  <c r="B1190" i="8"/>
  <c r="B390" i="8"/>
  <c r="B1403" i="8"/>
  <c r="E1403" i="8" s="1"/>
  <c r="B2665" i="8"/>
  <c r="B3520" i="8"/>
  <c r="B1531" i="8"/>
  <c r="B706" i="8"/>
  <c r="B1364" i="8"/>
  <c r="B775" i="8"/>
  <c r="B2512" i="8"/>
  <c r="B2010" i="8"/>
  <c r="B2326" i="8"/>
  <c r="B3049" i="8"/>
  <c r="B3003" i="8"/>
  <c r="B2966" i="8"/>
  <c r="B3000" i="8"/>
  <c r="B1786" i="8"/>
  <c r="E1786" i="8" s="1"/>
  <c r="B1835" i="8"/>
  <c r="B3433" i="8"/>
  <c r="B2700" i="8"/>
  <c r="B1101" i="8"/>
  <c r="B3527" i="8"/>
  <c r="B347" i="8"/>
  <c r="B2819" i="8"/>
  <c r="E2819" i="8" s="1"/>
  <c r="B1665" i="8"/>
  <c r="E1665" i="8" s="1"/>
  <c r="B833" i="8"/>
  <c r="B2728" i="8"/>
  <c r="B2609" i="8"/>
  <c r="B2056" i="8"/>
  <c r="B2315" i="8"/>
  <c r="B2018" i="8"/>
  <c r="B376" i="8"/>
  <c r="B2122" i="8"/>
  <c r="B1952" i="8"/>
  <c r="B1472" i="8"/>
  <c r="B1684" i="8"/>
  <c r="B3179" i="8"/>
  <c r="B1120" i="8"/>
  <c r="B2637" i="8"/>
  <c r="B1558" i="8"/>
  <c r="C1558" i="8" s="1"/>
  <c r="B1689" i="8"/>
  <c r="B1483" i="8"/>
  <c r="B830" i="8"/>
  <c r="B797" i="8"/>
  <c r="B2899" i="8"/>
  <c r="B2240" i="8"/>
  <c r="B1460" i="8"/>
  <c r="E1460" i="8" s="1"/>
  <c r="B1405" i="8"/>
  <c r="E1405" i="8" s="1"/>
  <c r="B2631" i="8"/>
  <c r="E2631" i="8" s="1"/>
  <c r="B1013" i="8"/>
  <c r="B1126" i="8"/>
  <c r="E1126" i="8" s="1"/>
  <c r="B56" i="8"/>
  <c r="E56" i="8" s="1"/>
  <c r="B62" i="8"/>
  <c r="B730" i="8"/>
  <c r="B33" i="8"/>
  <c r="B573" i="8"/>
  <c r="B3158" i="8"/>
  <c r="B106" i="8"/>
  <c r="B1241" i="8"/>
  <c r="E1241" i="8" s="1"/>
  <c r="B3385" i="8"/>
  <c r="B1536" i="8"/>
  <c r="B2349" i="8"/>
  <c r="B985" i="8"/>
  <c r="B617" i="8"/>
  <c r="B3140" i="8"/>
  <c r="B3320" i="8"/>
  <c r="B2330" i="8"/>
  <c r="B1563" i="8"/>
  <c r="B1326" i="8"/>
  <c r="B1068" i="8"/>
  <c r="B2261" i="8"/>
  <c r="B1917" i="8"/>
  <c r="E1917" i="8" s="1"/>
  <c r="B2664" i="8"/>
  <c r="E2664" i="8" s="1"/>
  <c r="B141" i="8"/>
  <c r="B314" i="8"/>
  <c r="B3250" i="8"/>
  <c r="B355" i="8"/>
  <c r="B942" i="8"/>
  <c r="B1062" i="8"/>
  <c r="B1431" i="8"/>
  <c r="B2622" i="8"/>
  <c r="B1673" i="8"/>
  <c r="B1698" i="8"/>
  <c r="E1698" i="8" s="1"/>
  <c r="B2112" i="8"/>
  <c r="E2112" i="8" s="1"/>
  <c r="B837" i="8"/>
  <c r="E837" i="8" s="1"/>
  <c r="B359" i="8"/>
  <c r="B1374" i="8"/>
  <c r="B1981" i="8"/>
  <c r="B3342" i="8"/>
  <c r="B2272" i="8"/>
  <c r="B3137" i="8"/>
  <c r="B110" i="8"/>
  <c r="B2316" i="8"/>
  <c r="B3167" i="8"/>
  <c r="B456" i="8"/>
  <c r="E456" i="8" s="1"/>
  <c r="B1270" i="8"/>
  <c r="B188" i="8"/>
  <c r="B919" i="8"/>
  <c r="B3243" i="8"/>
  <c r="B1367" i="8"/>
  <c r="B2615" i="8"/>
  <c r="E2615" i="8" s="1"/>
  <c r="B402" i="8"/>
  <c r="B3246" i="8"/>
  <c r="B1278" i="8"/>
  <c r="B2756" i="8"/>
  <c r="B3185" i="8"/>
  <c r="B892" i="8"/>
  <c r="B2577" i="8"/>
  <c r="B571" i="8"/>
  <c r="E571" i="8" s="1"/>
  <c r="B647" i="8"/>
  <c r="B874" i="8"/>
  <c r="B2239" i="8"/>
  <c r="E2239" i="8" s="1"/>
  <c r="B918" i="8"/>
  <c r="B1133" i="8"/>
  <c r="B1199" i="8"/>
  <c r="B1688" i="8"/>
  <c r="B3218" i="8"/>
  <c r="B549" i="8"/>
  <c r="B2617" i="8"/>
  <c r="B3459" i="8"/>
  <c r="B1215" i="8"/>
  <c r="C1215" i="8" s="1"/>
  <c r="B2479" i="8"/>
  <c r="B2358" i="8"/>
  <c r="B1169" i="8"/>
  <c r="B328" i="8"/>
  <c r="B594" i="8"/>
  <c r="B846" i="8"/>
  <c r="B625" i="8"/>
  <c r="B1337" i="8"/>
  <c r="B2811" i="8"/>
  <c r="E2811" i="8" s="1"/>
  <c r="B3403" i="8"/>
  <c r="E3403" i="8" s="1"/>
  <c r="B944" i="8"/>
  <c r="B2511" i="8"/>
  <c r="B1839" i="8"/>
  <c r="B254" i="8"/>
  <c r="E254" i="8" s="1"/>
  <c r="B593" i="8"/>
  <c r="B412" i="8"/>
  <c r="B952" i="8"/>
  <c r="B1892" i="8"/>
  <c r="B958" i="8"/>
  <c r="B1114" i="8"/>
  <c r="B936" i="8"/>
  <c r="B3073" i="8"/>
  <c r="E3073" i="8" s="1"/>
  <c r="B2396" i="8"/>
  <c r="E2396" i="8" s="1"/>
  <c r="B2238" i="8"/>
  <c r="E2238" i="8" s="1"/>
  <c r="B3369" i="8"/>
  <c r="E3369" i="8" s="1"/>
  <c r="B1609" i="8"/>
  <c r="E1609" i="8" s="1"/>
  <c r="B1841" i="8"/>
  <c r="B2914" i="8"/>
  <c r="B1243" i="8"/>
  <c r="B165" i="8"/>
  <c r="B2616" i="8"/>
  <c r="B917" i="8"/>
  <c r="B1991" i="8"/>
  <c r="B2273" i="8"/>
  <c r="B1172" i="8"/>
  <c r="B2403" i="8"/>
  <c r="B1645" i="8"/>
  <c r="E1645" i="8" s="1"/>
  <c r="B2748" i="8"/>
  <c r="B2585" i="8"/>
  <c r="B1055" i="8"/>
  <c r="E1055" i="8" s="1"/>
  <c r="B2535" i="8"/>
  <c r="B895" i="8"/>
  <c r="E895" i="8" s="1"/>
  <c r="B3467" i="8"/>
  <c r="B3470" i="8"/>
  <c r="E3470" i="8" s="1"/>
  <c r="B1970" i="8"/>
  <c r="B3283" i="8"/>
  <c r="E3283" i="8" s="1"/>
  <c r="B3497" i="8"/>
  <c r="B959" i="8"/>
  <c r="B2583" i="8"/>
  <c r="B330" i="8"/>
  <c r="B1139" i="8"/>
  <c r="B1219" i="8"/>
  <c r="B3240" i="8"/>
  <c r="B283" i="8"/>
  <c r="B2302" i="8"/>
  <c r="B3255" i="8"/>
  <c r="B3163" i="8"/>
  <c r="B695" i="8"/>
  <c r="E695" i="8" s="1"/>
  <c r="B1564" i="8"/>
  <c r="B2773" i="8"/>
  <c r="B3512" i="8"/>
  <c r="B3014" i="8"/>
  <c r="B3382" i="8"/>
  <c r="B173" i="8"/>
  <c r="B521" i="8"/>
  <c r="B2625" i="8"/>
  <c r="B2647" i="8"/>
  <c r="B1135" i="8"/>
  <c r="B655" i="8"/>
  <c r="B2875" i="8"/>
  <c r="B1409" i="8"/>
  <c r="C1409" i="8" s="1"/>
  <c r="B1220" i="8"/>
  <c r="B3341" i="8"/>
  <c r="B1261" i="8"/>
  <c r="B1127" i="8"/>
  <c r="E1127" i="8" s="1"/>
  <c r="B2737" i="8"/>
  <c r="B2719" i="8"/>
  <c r="B1542" i="8"/>
  <c r="B2155" i="8"/>
  <c r="B1637" i="8"/>
  <c r="B2144" i="8"/>
  <c r="B2856" i="8"/>
  <c r="B1105" i="8"/>
  <c r="E1105" i="8" s="1"/>
  <c r="B1683" i="8"/>
  <c r="B2623" i="8"/>
  <c r="E2623" i="8" s="1"/>
  <c r="B509" i="8"/>
  <c r="B255" i="8"/>
  <c r="E255" i="8" s="1"/>
  <c r="B2230" i="8"/>
  <c r="B3550" i="8"/>
  <c r="B2154" i="8"/>
  <c r="B3304" i="8"/>
  <c r="B2279" i="8"/>
  <c r="B1462" i="8"/>
  <c r="B2552" i="8"/>
  <c r="E2552" i="8" s="1"/>
  <c r="B1110" i="8"/>
  <c r="E1110" i="8" s="1"/>
  <c r="B3650" i="8"/>
  <c r="B479" i="8"/>
  <c r="B3410" i="8"/>
  <c r="B2877" i="8"/>
  <c r="B767" i="8"/>
  <c r="B3259" i="8"/>
  <c r="B2389" i="8"/>
  <c r="B183" i="8"/>
  <c r="B840" i="8"/>
  <c r="B1997" i="8"/>
  <c r="B621" i="8"/>
  <c r="B826" i="8"/>
  <c r="B1755" i="8"/>
  <c r="B1896" i="8"/>
  <c r="B3029" i="8"/>
  <c r="B2371" i="8"/>
  <c r="B3471" i="8"/>
  <c r="B1026" i="8"/>
  <c r="B2125" i="8"/>
  <c r="B1956" i="8"/>
  <c r="B1185" i="8"/>
  <c r="B3371" i="8"/>
  <c r="B2303" i="8"/>
  <c r="E2303" i="8" s="1"/>
  <c r="B544" i="8"/>
  <c r="B812" i="8"/>
  <c r="B876" i="8"/>
  <c r="E876" i="8" s="1"/>
  <c r="B1666" i="8"/>
  <c r="B3086" i="8"/>
  <c r="B801" i="8"/>
  <c r="B3300" i="8"/>
  <c r="B3097" i="8"/>
  <c r="B3024" i="8"/>
  <c r="B311" i="8"/>
  <c r="B3591" i="8"/>
  <c r="B3141" i="8"/>
  <c r="E3141" i="8" s="1"/>
  <c r="B2956" i="8"/>
  <c r="E2956" i="8" s="1"/>
  <c r="B2004" i="8"/>
  <c r="B2751" i="8"/>
  <c r="E2751" i="8" s="1"/>
  <c r="B2718" i="8"/>
  <c r="B3197" i="8"/>
  <c r="B2503" i="8"/>
  <c r="B3040" i="8"/>
  <c r="B1475" i="8"/>
  <c r="B3547" i="8"/>
  <c r="B768" i="8"/>
  <c r="B2339" i="8"/>
  <c r="B2663" i="8"/>
  <c r="E2663" i="8" s="1"/>
  <c r="B1350" i="8"/>
  <c r="B2909" i="8"/>
  <c r="E2909" i="8" s="1"/>
  <c r="B2266" i="8"/>
  <c r="B1986" i="8"/>
  <c r="E1986" i="8" s="1"/>
  <c r="B2855" i="8"/>
  <c r="B478" i="8"/>
  <c r="B3600" i="8"/>
  <c r="B3310" i="8"/>
  <c r="B2920" i="8"/>
  <c r="B2374" i="8"/>
  <c r="B2979" i="8"/>
  <c r="B2008" i="8"/>
  <c r="B1458" i="8"/>
  <c r="B2821" i="8"/>
  <c r="B2344" i="8"/>
  <c r="B1484" i="8"/>
  <c r="E1484" i="8" s="1"/>
  <c r="B3131" i="8"/>
  <c r="B2444" i="8"/>
  <c r="B2670" i="8"/>
  <c r="B2971" i="8"/>
  <c r="B3642" i="8"/>
  <c r="B2460" i="8"/>
  <c r="B2994" i="8"/>
  <c r="B1070" i="8"/>
  <c r="E1070" i="8" s="1"/>
  <c r="B3614" i="8"/>
  <c r="B1089" i="8"/>
  <c r="E1089" i="8" s="1"/>
  <c r="B235" i="8"/>
  <c r="E235" i="8" s="1"/>
  <c r="B2636" i="8"/>
  <c r="B2806" i="8"/>
  <c r="B2534" i="8"/>
  <c r="B2133" i="8"/>
  <c r="B2082" i="8"/>
  <c r="E2082" i="8" s="1"/>
  <c r="B2400" i="8"/>
  <c r="B541" i="8"/>
  <c r="B1092" i="8"/>
  <c r="B1433" i="8"/>
  <c r="E1433" i="8" s="1"/>
  <c r="B720" i="8"/>
  <c r="E720" i="8" s="1"/>
  <c r="B2624" i="8"/>
  <c r="B2604" i="8"/>
  <c r="E2604" i="8" s="1"/>
  <c r="B1115" i="8"/>
  <c r="B762" i="8"/>
  <c r="E762" i="8" s="1"/>
  <c r="B2281" i="8"/>
  <c r="B2584" i="8"/>
  <c r="E2584" i="8" s="1"/>
  <c r="B3447" i="8"/>
  <c r="B2418" i="8"/>
  <c r="B290" i="8"/>
  <c r="B2505" i="8"/>
  <c r="B2013" i="8"/>
  <c r="B2671" i="8"/>
  <c r="E2671" i="8" s="1"/>
  <c r="B392" i="8"/>
  <c r="B1174" i="8"/>
  <c r="B2478" i="8"/>
  <c r="B2180" i="8"/>
  <c r="B987" i="8"/>
  <c r="B2926" i="8"/>
  <c r="B107" i="8"/>
  <c r="B3570" i="8"/>
  <c r="B667" i="8"/>
  <c r="B3490" i="8"/>
  <c r="B1947" i="8"/>
  <c r="B562" i="8"/>
  <c r="E562" i="8" s="1"/>
  <c r="B997" i="8"/>
  <c r="B756" i="8"/>
  <c r="B1332" i="8"/>
  <c r="B317" i="8"/>
  <c r="B180" i="8"/>
  <c r="B2774" i="8"/>
  <c r="B2977" i="8"/>
  <c r="B230" i="8"/>
  <c r="E230" i="8" s="1"/>
  <c r="B335" i="8"/>
  <c r="B3542" i="8"/>
  <c r="E3542" i="8" s="1"/>
  <c r="B331" i="8"/>
  <c r="E331" i="8" s="1"/>
  <c r="B2292" i="8"/>
  <c r="E2292" i="8" s="1"/>
  <c r="B3157" i="8"/>
  <c r="B2025" i="8"/>
  <c r="B1005" i="8"/>
  <c r="E1005" i="8" s="1"/>
  <c r="B2766" i="8"/>
  <c r="B1725" i="8"/>
  <c r="B843" i="8"/>
  <c r="B640" i="8"/>
  <c r="B3244" i="8"/>
  <c r="B2322" i="8"/>
  <c r="B1262" i="8"/>
  <c r="B2786" i="8"/>
  <c r="B2597" i="8"/>
  <c r="B700" i="8"/>
  <c r="C700" i="8" s="1"/>
  <c r="B2778" i="8"/>
  <c r="E2778" i="8" s="1"/>
  <c r="B933" i="8"/>
  <c r="E933" i="8" s="1"/>
  <c r="B530" i="8"/>
  <c r="B3519" i="8"/>
  <c r="B932" i="8"/>
  <c r="B2062" i="8"/>
  <c r="B3075" i="8"/>
  <c r="B507" i="8"/>
  <c r="B526" i="8"/>
  <c r="B763" i="8"/>
  <c r="E763" i="8" s="1"/>
  <c r="B670" i="8"/>
  <c r="C670" i="8" s="1"/>
  <c r="B3492" i="8"/>
  <c r="C3492" i="8" s="1"/>
  <c r="B2681" i="8"/>
  <c r="E2681" i="8" s="1"/>
  <c r="B2868" i="8"/>
  <c r="B1816" i="8"/>
  <c r="E1816" i="8" s="1"/>
  <c r="B2964" i="8"/>
  <c r="E2964" i="8" s="1"/>
  <c r="B2727" i="8"/>
  <c r="B2763" i="8"/>
  <c r="E2763" i="8" s="1"/>
  <c r="B1329" i="8"/>
  <c r="B248" i="8"/>
  <c r="B239" i="8"/>
  <c r="B1643" i="8"/>
  <c r="E1643" i="8" s="1"/>
  <c r="B2581" i="8"/>
  <c r="B2481" i="8"/>
  <c r="E2481" i="8" s="1"/>
  <c r="B8" i="8"/>
  <c r="B3062" i="8"/>
  <c r="E3062" i="8" s="1"/>
  <c r="B172" i="8"/>
  <c r="B2337" i="8"/>
  <c r="B3077" i="8"/>
  <c r="B2256" i="8"/>
  <c r="B1810" i="8"/>
  <c r="B2382" i="8"/>
  <c r="B2173" i="8"/>
  <c r="B3493" i="8"/>
  <c r="B1417" i="8"/>
  <c r="B160" i="8"/>
  <c r="E160" i="8" s="1"/>
  <c r="B794" i="8"/>
  <c r="E794" i="8" s="1"/>
  <c r="B3060" i="8"/>
  <c r="E3060" i="8" s="1"/>
  <c r="B566" i="8"/>
  <c r="E566" i="8" s="1"/>
  <c r="B2359" i="8"/>
  <c r="E2359" i="8" s="1"/>
  <c r="B1206" i="8"/>
  <c r="B1193" i="8"/>
  <c r="B322" i="8"/>
  <c r="B1231" i="8"/>
  <c r="B2152" i="8"/>
  <c r="B3625" i="8"/>
  <c r="E3625" i="8" s="1"/>
  <c r="B2064" i="8"/>
  <c r="B2999" i="8"/>
  <c r="E2999" i="8" s="1"/>
  <c r="B2459" i="8"/>
  <c r="B2720" i="8"/>
  <c r="B2833" i="8"/>
  <c r="E2833" i="8" s="1"/>
  <c r="B494" i="8"/>
  <c r="B2765" i="8"/>
  <c r="B3458" i="8"/>
  <c r="B1196" i="8"/>
  <c r="B1773" i="8"/>
  <c r="B1287" i="8"/>
  <c r="E1287" i="8" s="1"/>
  <c r="B629" i="8"/>
  <c r="E629" i="8" s="1"/>
  <c r="B497" i="8"/>
  <c r="E497" i="8" s="1"/>
  <c r="B1848" i="8"/>
  <c r="B3563" i="8"/>
  <c r="B1192" i="8"/>
  <c r="E1192" i="8" s="1"/>
  <c r="B2475" i="8"/>
  <c r="B482" i="8"/>
  <c r="E482" i="8" s="1"/>
  <c r="B12" i="8"/>
  <c r="B96" i="8"/>
  <c r="E96" i="8" s="1"/>
  <c r="B3010" i="8"/>
  <c r="B615" i="8"/>
  <c r="B2628" i="8"/>
  <c r="B2334" i="8"/>
  <c r="E2334" i="8" s="1"/>
  <c r="B1715" i="8"/>
  <c r="E1715" i="8" s="1"/>
  <c r="B2762" i="8"/>
  <c r="C2762" i="8" s="1"/>
  <c r="B377" i="8"/>
  <c r="B1098" i="8"/>
  <c r="B3505" i="8"/>
  <c r="B2436" i="8"/>
  <c r="B2034" i="8"/>
  <c r="B1498" i="8"/>
  <c r="B902" i="8"/>
  <c r="B2998" i="8"/>
  <c r="B1276" i="8"/>
  <c r="E1276" i="8" s="1"/>
  <c r="B212" i="8"/>
  <c r="E212" i="8" s="1"/>
  <c r="B337" i="8"/>
  <c r="B588" i="8"/>
  <c r="B2189" i="8"/>
  <c r="B714" i="8"/>
  <c r="B1252" i="8"/>
  <c r="E1252" i="8" s="1"/>
  <c r="B1783" i="8"/>
  <c r="B1868" i="8"/>
  <c r="B2414" i="8"/>
  <c r="B1967" i="8"/>
  <c r="B2521" i="8"/>
  <c r="B731" i="8"/>
  <c r="B1821" i="8"/>
  <c r="E1821" i="8" s="1"/>
  <c r="B1446" i="8"/>
  <c r="E1446" i="8" s="1"/>
  <c r="B3414" i="8"/>
  <c r="B887" i="8"/>
  <c r="B2958" i="8"/>
  <c r="B2487" i="8"/>
  <c r="B2223" i="8"/>
  <c r="B1735" i="8"/>
  <c r="B1822" i="8"/>
  <c r="B1681" i="8"/>
  <c r="B1975" i="8"/>
  <c r="B1411" i="8"/>
  <c r="B2309" i="8"/>
  <c r="E2309" i="8" s="1"/>
  <c r="B2564" i="8"/>
  <c r="E2564" i="8" s="1"/>
  <c r="B69" i="8"/>
  <c r="C69" i="8" s="1"/>
  <c r="B757" i="8"/>
  <c r="E757" i="8" s="1"/>
  <c r="B405" i="8"/>
  <c r="E405" i="8" s="1"/>
  <c r="B2990" i="8"/>
  <c r="E2990" i="8" s="1"/>
  <c r="B1281" i="8"/>
  <c r="B3398" i="8"/>
  <c r="B2634" i="8"/>
  <c r="B710" i="8"/>
  <c r="B660" i="8"/>
  <c r="B1147" i="8"/>
  <c r="B293" i="8"/>
  <c r="B3608" i="8"/>
  <c r="B2453" i="8"/>
  <c r="E2453" i="8" s="1"/>
  <c r="B2066" i="8"/>
  <c r="B3298" i="8"/>
  <c r="B3601" i="8"/>
  <c r="B1425" i="8"/>
  <c r="B2190" i="8"/>
  <c r="B3450" i="8"/>
  <c r="B471" i="8"/>
  <c r="B3302" i="8"/>
  <c r="B2575" i="8"/>
  <c r="B559" i="8"/>
  <c r="B2936" i="8"/>
  <c r="E2936" i="8" s="1"/>
  <c r="B3281" i="8"/>
  <c r="E3281" i="8" s="1"/>
  <c r="B1128" i="8"/>
  <c r="B241" i="8"/>
  <c r="E241" i="8" s="1"/>
  <c r="B489" i="8"/>
  <c r="C489" i="8" s="1"/>
  <c r="B2854" i="8"/>
  <c r="B1806" i="8"/>
  <c r="B614" i="8"/>
  <c r="B1704" i="8"/>
  <c r="B3165" i="8"/>
  <c r="B2900" i="8"/>
  <c r="E2900" i="8" s="1"/>
  <c r="B2652" i="8"/>
  <c r="B2562" i="8"/>
  <c r="B2687" i="8"/>
  <c r="B1302" i="8"/>
  <c r="B501" i="8"/>
  <c r="B2191" i="8"/>
  <c r="B2237" i="8"/>
  <c r="E2237" i="8" s="1"/>
  <c r="B371" i="8"/>
  <c r="B1180" i="8"/>
  <c r="B2306" i="8"/>
  <c r="B2295" i="8"/>
  <c r="B469" i="8"/>
  <c r="B3174" i="8"/>
  <c r="B1390" i="8"/>
  <c r="C1391" i="8" s="1"/>
  <c r="B2630" i="8"/>
  <c r="B2576" i="8"/>
  <c r="B2106" i="8"/>
  <c r="B59" i="8"/>
  <c r="B2943" i="8"/>
  <c r="B844" i="8"/>
  <c r="B3093" i="8"/>
  <c r="C3093" i="8" s="1"/>
  <c r="B2286" i="8"/>
  <c r="B543" i="8"/>
  <c r="B2042" i="8"/>
  <c r="B3631" i="8"/>
  <c r="B1913" i="8"/>
  <c r="B878" i="8"/>
  <c r="C878" i="8" s="1"/>
  <c r="B2373" i="8"/>
  <c r="B2285" i="8"/>
  <c r="E2285" i="8" s="1"/>
  <c r="B1303" i="8"/>
  <c r="B1719" i="8"/>
  <c r="B1335" i="8"/>
  <c r="B2452" i="8"/>
  <c r="B934" i="8"/>
  <c r="B1805" i="8"/>
  <c r="B475" i="8"/>
  <c r="B1630" i="8"/>
  <c r="E1630" i="8" s="1"/>
  <c r="B569" i="8"/>
  <c r="C569" i="8" s="1"/>
  <c r="B1693" i="8"/>
  <c r="B2610" i="8"/>
  <c r="B1875" i="8"/>
  <c r="B2538" i="8"/>
  <c r="E2538" i="8" s="1"/>
  <c r="B3042" i="8"/>
  <c r="B1534" i="8"/>
  <c r="B2035" i="8"/>
  <c r="B1562" i="8"/>
  <c r="B3508" i="8"/>
  <c r="B2953" i="8"/>
  <c r="B747" i="8"/>
  <c r="E747" i="8" s="1"/>
  <c r="B3031" i="8"/>
  <c r="B514" i="8"/>
  <c r="C514" i="8" s="1"/>
  <c r="B363" i="8"/>
  <c r="E363" i="8" s="1"/>
  <c r="B2642" i="8"/>
  <c r="B219" i="8"/>
  <c r="B637" i="8"/>
  <c r="B909" i="8"/>
  <c r="B163" i="8"/>
  <c r="B1808" i="8"/>
  <c r="B2067" i="8"/>
  <c r="B1593" i="8"/>
  <c r="B3436" i="8"/>
  <c r="B978" i="8"/>
  <c r="C978" i="8" s="1"/>
  <c r="B2516" i="8"/>
  <c r="E2516" i="8" s="1"/>
  <c r="B1865" i="8"/>
  <c r="B1414" i="8"/>
  <c r="B2482" i="8"/>
  <c r="B3219" i="8"/>
  <c r="B136" i="8"/>
  <c r="B3178" i="8"/>
  <c r="B2431" i="8"/>
  <c r="B127" i="8"/>
  <c r="B1019" i="8"/>
  <c r="B945" i="8"/>
  <c r="B426" i="8"/>
  <c r="B2412" i="8"/>
  <c r="E2412" i="8" s="1"/>
  <c r="B2840" i="8"/>
  <c r="E2840" i="8" s="1"/>
  <c r="B1151" i="8"/>
  <c r="B1644" i="8"/>
  <c r="B3270" i="8"/>
  <c r="B1847" i="8"/>
  <c r="B608" i="8"/>
  <c r="B1100" i="8"/>
  <c r="B196" i="8"/>
  <c r="B3556" i="8"/>
  <c r="B1015" i="8"/>
  <c r="B476" i="8"/>
  <c r="E476" i="8" s="1"/>
  <c r="B2383" i="8"/>
  <c r="B1782" i="8"/>
  <c r="B1905" i="8"/>
  <c r="B3280" i="8"/>
  <c r="B742" i="8"/>
  <c r="B15" i="8"/>
  <c r="B2770" i="8"/>
  <c r="B2869" i="8"/>
  <c r="B1891" i="8"/>
  <c r="B424" i="8"/>
  <c r="B151" i="8"/>
  <c r="E151" i="8" s="1"/>
  <c r="B67" i="8"/>
  <c r="B3159" i="8"/>
  <c r="B1972" i="8"/>
  <c r="B2451" i="8"/>
  <c r="B580" i="8"/>
  <c r="B648" i="8"/>
  <c r="B3168" i="8"/>
  <c r="B1043" i="8"/>
  <c r="B273" i="8"/>
  <c r="B2353" i="8"/>
  <c r="B1189" i="8"/>
  <c r="B1210" i="8"/>
  <c r="E1210" i="8" s="1"/>
  <c r="B2282" i="8"/>
  <c r="B939" i="8"/>
  <c r="B875" i="8"/>
  <c r="B2074" i="8"/>
  <c r="B445" i="8"/>
  <c r="B3193" i="8"/>
  <c r="B1469" i="8"/>
  <c r="B2655" i="8"/>
  <c r="B1440" i="8"/>
  <c r="B236" i="8"/>
  <c r="B3142" i="8"/>
  <c r="B2345" i="8"/>
  <c r="E2345" i="8" s="1"/>
  <c r="B743" i="8"/>
  <c r="E743" i="8" s="1"/>
  <c r="B2377" i="8"/>
  <c r="C2377" i="8" s="1"/>
  <c r="B3594" i="8"/>
  <c r="B3607" i="8"/>
  <c r="B853" i="8"/>
  <c r="E853" i="8" s="1"/>
  <c r="B862" i="8"/>
  <c r="B2643" i="8"/>
  <c r="B956" i="8"/>
  <c r="B2079" i="8"/>
  <c r="B572" i="8"/>
  <c r="B2508" i="8"/>
  <c r="E2508" i="8" s="1"/>
  <c r="B3509" i="8"/>
  <c r="B2002" i="8"/>
  <c r="B2416" i="8"/>
  <c r="E2416" i="8" s="1"/>
  <c r="B1600" i="8"/>
  <c r="B1235" i="8"/>
  <c r="E1235" i="8" s="1"/>
  <c r="B1194" i="8"/>
  <c r="B2095" i="8"/>
  <c r="B1207" i="8"/>
  <c r="B1131" i="8"/>
  <c r="B3361" i="8"/>
  <c r="B1713" i="8"/>
  <c r="B496" i="8"/>
  <c r="B886" i="8"/>
  <c r="E886" i="8" s="1"/>
  <c r="B2883" i="8"/>
  <c r="E2883" i="8" s="1"/>
  <c r="B3103" i="8"/>
  <c r="B1288" i="8"/>
  <c r="B229" i="8"/>
  <c r="B3443" i="8"/>
  <c r="B2325" i="8"/>
  <c r="B2176" i="8"/>
  <c r="B2903" i="8"/>
  <c r="B2126" i="8"/>
  <c r="B358" i="8"/>
  <c r="B1381" i="8"/>
  <c r="B1514" i="8"/>
  <c r="B1716" i="8"/>
  <c r="E1716" i="8" s="1"/>
  <c r="B2196" i="8"/>
  <c r="E2196" i="8" s="1"/>
  <c r="B1570" i="8"/>
  <c r="B3523" i="8"/>
  <c r="B535" i="8"/>
  <c r="B162" i="8"/>
  <c r="E162" i="8" s="1"/>
  <c r="B1023" i="8"/>
  <c r="B2299" i="8"/>
  <c r="B499" i="8"/>
  <c r="B1775" i="8"/>
  <c r="B2502" i="8"/>
  <c r="B1456" i="8"/>
  <c r="E1456" i="8" s="1"/>
  <c r="B2935" i="8"/>
  <c r="B1728" i="8"/>
  <c r="E1728" i="8" s="1"/>
  <c r="B1761" i="8"/>
  <c r="B517" i="8"/>
  <c r="B3114" i="8"/>
  <c r="E3114" i="8" s="1"/>
  <c r="B548" i="8"/>
  <c r="B2251" i="8"/>
  <c r="B39" i="8"/>
  <c r="B2506" i="8"/>
  <c r="B2233" i="8"/>
  <c r="B1205" i="8"/>
  <c r="B2020" i="8"/>
  <c r="B1309" i="8"/>
  <c r="E1309" i="8" s="1"/>
  <c r="B1080" i="8"/>
  <c r="B3258" i="8"/>
  <c r="B43" i="8"/>
  <c r="B1616" i="8"/>
  <c r="B1588" i="8"/>
  <c r="E1588" i="8" s="1"/>
  <c r="B2803" i="8"/>
  <c r="B1373" i="8"/>
  <c r="B2166" i="8"/>
  <c r="B238" i="8"/>
  <c r="B2680" i="8"/>
  <c r="B1427" i="8"/>
  <c r="E1427" i="8" s="1"/>
  <c r="B3577" i="8"/>
  <c r="B1183" i="8"/>
  <c r="B2901" i="8"/>
  <c r="B2456" i="8"/>
  <c r="B2919" i="8"/>
  <c r="E2919" i="8" s="1"/>
  <c r="B2085" i="8"/>
  <c r="B3057" i="8"/>
  <c r="B2739" i="8"/>
  <c r="B3292" i="8"/>
  <c r="B215" i="8"/>
  <c r="B904" i="8"/>
  <c r="B271" i="8"/>
  <c r="E271" i="8" s="1"/>
  <c r="B619" i="8"/>
  <c r="B2386" i="8"/>
  <c r="E2386" i="8" s="1"/>
  <c r="B3117" i="8"/>
  <c r="E3117" i="8" s="1"/>
  <c r="B3206" i="8"/>
  <c r="B2767" i="8"/>
  <c r="B442" i="8"/>
  <c r="E442" i="8" s="1"/>
  <c r="B2101" i="8"/>
  <c r="B2250" i="8"/>
  <c r="B3322" i="8"/>
  <c r="B1008" i="8"/>
  <c r="B672" i="8"/>
  <c r="B563" i="8"/>
  <c r="E563" i="8" s="1"/>
  <c r="B1029" i="8"/>
  <c r="E1029" i="8" s="1"/>
  <c r="B691" i="8"/>
  <c r="B1595" i="8"/>
  <c r="B3026" i="8"/>
  <c r="B951" i="8"/>
  <c r="B2661" i="8"/>
  <c r="B2215" i="8"/>
  <c r="B3247" i="8"/>
  <c r="B686" i="8"/>
  <c r="B3216" i="8"/>
  <c r="B2618" i="8"/>
  <c r="B2934" i="8"/>
  <c r="B1852" i="8"/>
  <c r="B3389" i="8"/>
  <c r="E3389" i="8" s="1"/>
  <c r="B3109" i="8"/>
  <c r="B3227" i="8"/>
  <c r="E3227" i="8" s="1"/>
  <c r="B2433" i="8"/>
  <c r="B1450" i="8"/>
  <c r="E1450" i="8" s="1"/>
  <c r="B1222" i="8"/>
  <c r="B58" i="8"/>
  <c r="B3225" i="8"/>
  <c r="B2870" i="8"/>
  <c r="B307" i="8"/>
  <c r="B2467" i="8"/>
  <c r="E2467" i="8" s="1"/>
  <c r="B3078" i="8"/>
  <c r="B605" i="8"/>
  <c r="E605" i="8" s="1"/>
  <c r="B1033" i="8"/>
  <c r="B305" i="8"/>
  <c r="B3230" i="8"/>
  <c r="B2484" i="8"/>
  <c r="B3510" i="8"/>
  <c r="B1273" i="8"/>
  <c r="B515" i="8"/>
  <c r="B2051" i="8"/>
  <c r="B2985" i="8"/>
  <c r="B1247" i="8"/>
  <c r="B861" i="8"/>
  <c r="E861" i="8" s="1"/>
  <c r="B1662" i="8"/>
  <c r="B666" i="8"/>
  <c r="B2812" i="8"/>
  <c r="B2530" i="8"/>
  <c r="B3288" i="8"/>
  <c r="C3289" i="8" s="1"/>
  <c r="B1107" i="8"/>
  <c r="B29" i="8"/>
  <c r="B3592" i="8"/>
  <c r="B724" i="8"/>
  <c r="B2867" i="8"/>
  <c r="B1489" i="8"/>
  <c r="B3201" i="8"/>
  <c r="E3201" i="8" s="1"/>
  <c r="B1320" i="8"/>
  <c r="B1424" i="8"/>
  <c r="B1179" i="8"/>
  <c r="B24" i="8"/>
  <c r="B1263" i="8"/>
  <c r="B1792" i="8"/>
  <c r="E1792" i="8" s="1"/>
  <c r="B2829" i="8"/>
  <c r="B511" i="8"/>
  <c r="B31" i="8"/>
  <c r="B1079" i="8"/>
  <c r="B2234" i="8"/>
  <c r="E2234" i="8" s="1"/>
  <c r="B540" i="8"/>
  <c r="B1598" i="8"/>
  <c r="E1598" i="8" s="1"/>
  <c r="B3051" i="8"/>
  <c r="E3051" i="8" s="1"/>
  <c r="B1642" i="8"/>
  <c r="E1642" i="8" s="1"/>
  <c r="B3430" i="8"/>
  <c r="B966" i="8"/>
  <c r="B870" i="8"/>
  <c r="B2838" i="8"/>
  <c r="B3539" i="8"/>
  <c r="B2721" i="8"/>
  <c r="B3411" i="8"/>
  <c r="E3411" i="8" s="1"/>
  <c r="B2650" i="8"/>
  <c r="B611" i="8"/>
  <c r="E611" i="8" s="1"/>
  <c r="B1744" i="8"/>
  <c r="C1745" i="8" s="1"/>
  <c r="B2635" i="8"/>
  <c r="E2635" i="8" s="1"/>
  <c r="B3346" i="8"/>
  <c r="C3347" i="8" s="1"/>
  <c r="B42" i="8"/>
  <c r="B2307" i="8"/>
  <c r="B1604" i="8"/>
  <c r="B432" i="8"/>
  <c r="B2660" i="8"/>
  <c r="B733" i="8"/>
  <c r="B2594" i="8"/>
  <c r="B2525" i="8"/>
  <c r="E2525" i="8" s="1"/>
  <c r="B2781" i="8"/>
  <c r="B97" i="8"/>
  <c r="B1738" i="8"/>
  <c r="B1772" i="8"/>
  <c r="B2567" i="8"/>
  <c r="B3133" i="8"/>
  <c r="E3133" i="8" s="1"/>
  <c r="B2210" i="8"/>
  <c r="B2826" i="8"/>
  <c r="B1700" i="8"/>
  <c r="B2600" i="8"/>
  <c r="B1251" i="8"/>
  <c r="B1711" i="8"/>
  <c r="B3099" i="8"/>
  <c r="E3099" i="8" s="1"/>
  <c r="B1153" i="8"/>
  <c r="E1153" i="8" s="1"/>
  <c r="B1491" i="8"/>
  <c r="B1555" i="8"/>
  <c r="E1555" i="8" s="1"/>
  <c r="B2558" i="8"/>
  <c r="B281" i="8"/>
  <c r="E281" i="8" s="1"/>
  <c r="B2839" i="8"/>
  <c r="E2839" i="8" s="1"/>
  <c r="B2471" i="8"/>
  <c r="B1682" i="8"/>
  <c r="B177" i="8"/>
  <c r="B1187" i="8"/>
  <c r="E1187" i="8" s="1"/>
  <c r="B2696" i="8"/>
  <c r="B732" i="8"/>
  <c r="B1733" i="8"/>
  <c r="B3025" i="8"/>
  <c r="E3025" i="8" s="1"/>
  <c r="B3223" i="8"/>
  <c r="B1011" i="8"/>
  <c r="E1011" i="8" s="1"/>
  <c r="B3153" i="8"/>
  <c r="E3153" i="8" s="1"/>
  <c r="B2937" i="8"/>
  <c r="B1726" i="8"/>
  <c r="B2861" i="8"/>
  <c r="B3229" i="8"/>
  <c r="B738" i="8"/>
  <c r="B783" i="8"/>
  <c r="B3335" i="8"/>
  <c r="E3335" i="8" s="1"/>
  <c r="B345" i="8"/>
  <c r="E345" i="8" s="1"/>
  <c r="B2697" i="8"/>
  <c r="B961" i="8"/>
  <c r="B814" i="8"/>
  <c r="B1929" i="8"/>
  <c r="B3056" i="8"/>
  <c r="B1463" i="8"/>
  <c r="B1886" i="8"/>
  <c r="B3325" i="8"/>
  <c r="B3623" i="8"/>
  <c r="B3478" i="8"/>
  <c r="E3478" i="8" s="1"/>
  <c r="B1813" i="8"/>
  <c r="E1813" i="8" s="1"/>
  <c r="B2135" i="8"/>
  <c r="E2135" i="8" s="1"/>
  <c r="B32" i="8"/>
  <c r="B1983" i="8"/>
  <c r="E1983" i="8" s="1"/>
  <c r="B2229" i="8"/>
  <c r="B2252" i="8"/>
  <c r="B3115" i="8"/>
  <c r="B1887" i="8"/>
  <c r="B2686" i="8"/>
  <c r="B72" i="8"/>
  <c r="B1265" i="8"/>
  <c r="B2338" i="8"/>
  <c r="B1064" i="8"/>
  <c r="B1823" i="8"/>
  <c r="E1823" i="8" s="1"/>
  <c r="B2411" i="8"/>
  <c r="B3558" i="8"/>
  <c r="B3290" i="8"/>
  <c r="C3290" i="8" s="1"/>
  <c r="B2540" i="8"/>
  <c r="E2540" i="8" s="1"/>
  <c r="B490" i="8"/>
  <c r="B2255" i="8"/>
  <c r="B3309" i="8"/>
  <c r="B1877" i="8"/>
  <c r="B769" i="8"/>
  <c r="B3063" i="8"/>
  <c r="E3063" i="8" s="1"/>
  <c r="B245" i="8"/>
  <c r="B94" i="8"/>
  <c r="B3561" i="8"/>
  <c r="B3609" i="8"/>
  <c r="B152" i="8"/>
  <c r="B1094" i="8"/>
  <c r="E1094" i="8" s="1"/>
  <c r="B1420" i="8"/>
  <c r="B2987" i="8"/>
  <c r="B1633" i="8"/>
  <c r="B1777" i="8"/>
  <c r="B1749" i="8"/>
  <c r="B1613" i="8"/>
  <c r="B1751" i="8"/>
  <c r="B91" i="8"/>
  <c r="B1034" i="8"/>
  <c r="B1515" i="8"/>
  <c r="B1057" i="8"/>
  <c r="B1628" i="8"/>
  <c r="E1628" i="8" s="1"/>
  <c r="B3464" i="8"/>
  <c r="B16" i="8"/>
  <c r="B3079" i="8"/>
  <c r="B737" i="8"/>
  <c r="B2420" i="8"/>
  <c r="B3134" i="8"/>
  <c r="E3134" i="8" s="1"/>
  <c r="B225" i="8"/>
  <c r="C226" i="8" s="1"/>
  <c r="B2659" i="8"/>
  <c r="B1850" i="8"/>
  <c r="B2715" i="8"/>
  <c r="B36" i="8"/>
  <c r="B948" i="8"/>
  <c r="E948" i="8" s="1"/>
  <c r="B2848" i="8"/>
  <c r="B41" i="8"/>
  <c r="B2769" i="8"/>
  <c r="B2569" i="8"/>
  <c r="B2805" i="8"/>
  <c r="E2805" i="8" s="1"/>
  <c r="B1734" i="8"/>
  <c r="E1734" i="8" s="1"/>
  <c r="B2065" i="8"/>
  <c r="B200" i="8"/>
  <c r="E200" i="8" s="1"/>
  <c r="B995" i="8"/>
  <c r="B2368" i="8"/>
  <c r="B1095" i="8"/>
  <c r="B1672" i="8"/>
  <c r="E1672" i="8" s="1"/>
  <c r="B2754" i="8"/>
  <c r="B1083" i="8"/>
  <c r="B947" i="8"/>
  <c r="B1612" i="8"/>
  <c r="B2149" i="8"/>
  <c r="B1838" i="8"/>
  <c r="E1838" i="8" s="1"/>
  <c r="B822" i="8"/>
  <c r="B3331" i="8"/>
  <c r="B2466" i="8"/>
  <c r="B1125" i="8"/>
  <c r="B1202" i="8"/>
  <c r="B2200" i="8"/>
  <c r="E2200" i="8" s="1"/>
  <c r="B1770" i="8"/>
  <c r="B474" i="8"/>
  <c r="B639" i="8"/>
  <c r="B2086" i="8"/>
  <c r="B752" i="8"/>
  <c r="B935" i="8"/>
  <c r="E935" i="8" s="1"/>
  <c r="B503" i="8"/>
  <c r="E503" i="8" s="1"/>
  <c r="B1519" i="8"/>
  <c r="E1519" i="8" s="1"/>
  <c r="B240" i="8"/>
  <c r="B1553" i="8"/>
  <c r="B3438" i="8"/>
  <c r="B1737" i="8"/>
  <c r="E1737" i="8" s="1"/>
  <c r="B1936" i="8"/>
  <c r="B2494" i="8"/>
  <c r="B484" i="8"/>
  <c r="B792" i="8"/>
  <c r="B2993" i="8"/>
  <c r="B3540" i="8"/>
  <c r="B2586" i="8"/>
  <c r="B3307" i="8"/>
  <c r="B194" i="8"/>
  <c r="B2175" i="8"/>
  <c r="B3545" i="8"/>
  <c r="E3545" i="8" s="1"/>
  <c r="B2693" i="8"/>
  <c r="E2693" i="8" s="1"/>
  <c r="B3574" i="8"/>
  <c r="B3054" i="8"/>
  <c r="B3465" i="8"/>
  <c r="B3564" i="8"/>
  <c r="B1024" i="8"/>
  <c r="E1024" i="8" s="1"/>
  <c r="B924" i="8"/>
  <c r="C924" i="8" s="1"/>
  <c r="B1186" i="8"/>
  <c r="B522" i="8"/>
  <c r="B2060" i="8"/>
  <c r="E2060" i="8" s="1"/>
  <c r="B3536" i="8"/>
  <c r="B385" i="8"/>
  <c r="B3041" i="8"/>
  <c r="E3041" i="8" s="1"/>
  <c r="B1674" i="8"/>
  <c r="B1495" i="8"/>
  <c r="E1495" i="8" s="1"/>
  <c r="B257" i="8"/>
  <c r="B3586" i="8"/>
  <c r="B683" i="8"/>
  <c r="C684" i="8" s="1"/>
  <c r="B1025" i="8"/>
  <c r="B1400" i="8"/>
  <c r="E1400" i="8" s="1"/>
  <c r="B1338" i="8"/>
  <c r="B1701" i="8"/>
  <c r="B425" i="8"/>
  <c r="E425" i="8" s="1"/>
  <c r="B793" i="8"/>
  <c r="B2031" i="8"/>
  <c r="B1248" i="8"/>
  <c r="B3484" i="8"/>
  <c r="B3633" i="8"/>
  <c r="B389" i="8"/>
  <c r="B510" i="8"/>
  <c r="B1267" i="8"/>
  <c r="B2329" i="8"/>
  <c r="E2329" i="8" s="1"/>
  <c r="B2424" i="8"/>
  <c r="B1435" i="8"/>
  <c r="B3597" i="8"/>
  <c r="B2119" i="8"/>
  <c r="E2119" i="8" s="1"/>
  <c r="B1533" i="8"/>
  <c r="E1533" i="8" s="1"/>
  <c r="B74" i="8"/>
  <c r="B3466" i="8"/>
  <c r="B2782" i="8"/>
  <c r="B1184" i="8"/>
  <c r="B1685" i="8"/>
  <c r="E1685" i="8" s="1"/>
  <c r="B2648" i="8"/>
  <c r="B2179" i="8"/>
  <c r="C2179" i="8" s="1"/>
  <c r="B378" i="8"/>
  <c r="B2488" i="8"/>
  <c r="E2488" i="8" s="1"/>
  <c r="B195" i="8"/>
  <c r="B282" i="8"/>
  <c r="E282" i="8" s="1"/>
  <c r="B971" i="8"/>
  <c r="B2092" i="8"/>
  <c r="B1415" i="8"/>
  <c r="B1074" i="8"/>
  <c r="B582" i="8"/>
  <c r="B1651" i="8"/>
  <c r="B1648" i="8"/>
  <c r="B856" i="8"/>
  <c r="E856" i="8" s="1"/>
  <c r="B1697" i="8"/>
  <c r="B1702" i="8"/>
  <c r="B975" i="8"/>
  <c r="B776" i="8"/>
  <c r="B954" i="8"/>
  <c r="B3251" i="8"/>
  <c r="B872" i="8"/>
  <c r="E872" i="8" s="1"/>
  <c r="B3313" i="8"/>
  <c r="B1731" i="8"/>
  <c r="B406" i="8"/>
  <c r="B365" i="8"/>
  <c r="B1590" i="8"/>
  <c r="E1590" i="8" s="1"/>
  <c r="B1904" i="8"/>
  <c r="B928" i="8"/>
  <c r="B651" i="8"/>
  <c r="B409" i="8"/>
  <c r="B3195" i="8"/>
  <c r="E3195" i="8" s="1"/>
  <c r="B2253" i="8"/>
  <c r="B1879" i="8"/>
  <c r="E1879" i="8" s="1"/>
  <c r="B2702" i="8"/>
  <c r="B2028" i="8"/>
  <c r="B1895" i="8"/>
  <c r="E1895" i="8" s="1"/>
  <c r="B873" i="8"/>
  <c r="B495" i="8"/>
  <c r="E495" i="8" s="1"/>
  <c r="B2040" i="8"/>
  <c r="B620" i="8"/>
  <c r="B1168" i="8"/>
  <c r="B448" i="8"/>
  <c r="B1137" i="8"/>
  <c r="B1372" i="8"/>
  <c r="B1486" i="8"/>
  <c r="E1486" i="8" s="1"/>
  <c r="B953" i="8"/>
  <c r="B401" i="8"/>
  <c r="B2236" i="8"/>
  <c r="B2897" i="8"/>
  <c r="E2897" i="8" s="1"/>
  <c r="B326" i="8"/>
  <c r="B3400" i="8"/>
  <c r="C3401" i="8" s="1"/>
  <c r="B1963" i="8"/>
  <c r="B2708" i="8"/>
  <c r="E2708" i="8" s="1"/>
  <c r="B905" i="8"/>
  <c r="E905" i="8" s="1"/>
  <c r="B2918" i="8"/>
  <c r="E2918" i="8" s="1"/>
  <c r="B220" i="8"/>
  <c r="B3431" i="8"/>
  <c r="B1154" i="8"/>
  <c r="B2188" i="8"/>
  <c r="B555" i="8"/>
  <c r="B2667" i="8"/>
  <c r="B1090" i="8"/>
  <c r="E1090" i="8" s="1"/>
  <c r="B485" i="8"/>
  <c r="B266" i="8"/>
  <c r="B536" i="8"/>
  <c r="B2499" i="8"/>
  <c r="B108" i="8"/>
  <c r="B760" i="8"/>
  <c r="B2044" i="8"/>
  <c r="B3483" i="8"/>
  <c r="B2716" i="8"/>
  <c r="B1884" i="8"/>
  <c r="C1885" i="8" s="1"/>
  <c r="B2590" i="8"/>
  <c r="B3482" i="8"/>
  <c r="B3191" i="8"/>
  <c r="C3191" i="8" s="1"/>
  <c r="B303" i="8"/>
  <c r="E303" i="8" s="1"/>
  <c r="B1601" i="8"/>
  <c r="B3548" i="8"/>
  <c r="B2531" i="8"/>
  <c r="B2070" i="8"/>
  <c r="B2492" i="8"/>
  <c r="B1789" i="8"/>
  <c r="B1954" i="8"/>
  <c r="B1104" i="8"/>
  <c r="B1048" i="8"/>
  <c r="B1375" i="8"/>
  <c r="E1375" i="8" s="1"/>
  <c r="B2380" i="8"/>
  <c r="E2380" i="8" s="1"/>
  <c r="B2473" i="8"/>
  <c r="B1298" i="8"/>
  <c r="E1298" i="8" s="1"/>
  <c r="B2785" i="8"/>
  <c r="B3453" i="8"/>
  <c r="B54" i="8"/>
  <c r="B181" i="8"/>
  <c r="B2203" i="8"/>
  <c r="B712" i="8"/>
  <c r="B2731" i="8"/>
  <c r="E2731" i="8" s="1"/>
  <c r="B197" i="8"/>
  <c r="B3306" i="8"/>
  <c r="B1540" i="8"/>
  <c r="E1540" i="8" s="1"/>
  <c r="B2174" i="8"/>
  <c r="B2668" i="8"/>
  <c r="B2496" i="8"/>
  <c r="B3234" i="8"/>
  <c r="C3234" i="8" s="1"/>
  <c r="B558" i="8"/>
  <c r="B102" i="8"/>
  <c r="B2931" i="8"/>
  <c r="B439" i="8"/>
  <c r="B2950" i="8"/>
  <c r="B2694" i="8"/>
  <c r="E2694" i="8" s="1"/>
  <c r="B1578" i="8"/>
  <c r="B1631" i="8"/>
  <c r="B2627" i="8"/>
  <c r="B1044" i="8"/>
  <c r="B2257" i="8"/>
  <c r="B2924" i="8"/>
  <c r="B1328" i="8"/>
  <c r="B1421" i="8"/>
  <c r="B642" i="8"/>
  <c r="B9" i="8"/>
  <c r="B73" i="8"/>
  <c r="B2906" i="8"/>
  <c r="E2906" i="8" s="1"/>
  <c r="B357" i="8"/>
  <c r="E357" i="8" s="1"/>
  <c r="B190" i="8"/>
  <c r="E190" i="8" s="1"/>
  <c r="B2419" i="8"/>
  <c r="B2375" i="8"/>
  <c r="B3334" i="8"/>
  <c r="E3334" i="8" s="1"/>
  <c r="B1721" i="8"/>
  <c r="B174" i="8"/>
  <c r="B1304" i="8"/>
  <c r="B25" i="8"/>
  <c r="B3154" i="8"/>
  <c r="B2722" i="8"/>
  <c r="E2722" i="8" s="1"/>
  <c r="B2220" i="8"/>
  <c r="B1306" i="8"/>
  <c r="B387" i="8"/>
  <c r="B1208" i="8"/>
  <c r="E1208" i="8" s="1"/>
  <c r="B361" i="8"/>
  <c r="B2550" i="8"/>
  <c r="E2550" i="8" s="1"/>
  <c r="B2365" i="8"/>
  <c r="E2365" i="8" s="1"/>
  <c r="B1817" i="8"/>
  <c r="B1927" i="8"/>
  <c r="E1927" i="8" s="1"/>
  <c r="B2317" i="8"/>
  <c r="B192" i="8"/>
  <c r="B3016" i="8"/>
  <c r="B217" i="8"/>
  <c r="B2332" i="8"/>
  <c r="E2332" i="8" s="1"/>
  <c r="B52" i="8"/>
  <c r="E52" i="8" s="1"/>
  <c r="B1014" i="8"/>
  <c r="C1014" i="8" s="1"/>
  <c r="B786" i="8"/>
  <c r="B3543" i="8"/>
  <c r="B678" i="8"/>
  <c r="B3263" i="8"/>
  <c r="B1862" i="8"/>
  <c r="B2357" i="8"/>
  <c r="B1547" i="8"/>
  <c r="B453" i="8"/>
  <c r="B1254" i="8"/>
  <c r="B1583" i="8"/>
  <c r="E1583" i="8" s="1"/>
  <c r="B1860" i="8"/>
  <c r="B1512" i="8"/>
  <c r="E1512" i="8" s="1"/>
  <c r="B3634" i="8"/>
  <c r="E3634" i="8" s="1"/>
  <c r="B1132" i="8"/>
  <c r="B167" i="8"/>
  <c r="B3423" i="8"/>
  <c r="B3375" i="8"/>
  <c r="B1093" i="8"/>
  <c r="B117" i="8"/>
  <c r="B808" i="8"/>
  <c r="E808" i="8" s="1"/>
  <c r="B2128" i="8"/>
  <c r="E2128" i="8" s="1"/>
  <c r="B664" i="8"/>
  <c r="B3636" i="8"/>
  <c r="B1649" i="8"/>
  <c r="B3111" i="8"/>
  <c r="E3111" i="8" s="1"/>
  <c r="B2852" i="8"/>
  <c r="B968" i="8"/>
  <c r="B1150" i="8"/>
  <c r="B1468" i="8"/>
  <c r="E1468" i="8" s="1"/>
  <c r="B2896" i="8"/>
  <c r="B1908" i="8"/>
  <c r="B2091" i="8"/>
  <c r="E2091" i="8" s="1"/>
  <c r="B1855" i="8"/>
  <c r="E1855" i="8" s="1"/>
  <c r="B2213" i="8"/>
  <c r="E2213" i="8" s="1"/>
  <c r="B2226" i="8"/>
  <c r="B3416" i="8"/>
  <c r="B2050" i="8"/>
  <c r="B2088" i="8"/>
  <c r="B3560" i="8"/>
  <c r="B324" i="8"/>
  <c r="B1109" i="8"/>
  <c r="B1939" i="8"/>
  <c r="B3226" i="8"/>
  <c r="B834" i="8"/>
  <c r="B882" i="8"/>
  <c r="B1277" i="8"/>
  <c r="B2522" i="8"/>
  <c r="B2871" i="8"/>
  <c r="B508" i="8"/>
  <c r="B116" i="8"/>
  <c r="E116" i="8" s="1"/>
  <c r="B1872" i="8"/>
  <c r="B3241" i="8"/>
  <c r="B1225" i="8"/>
  <c r="B1399" i="8"/>
  <c r="B3326" i="8"/>
  <c r="B1714" i="8"/>
  <c r="B2822" i="8"/>
  <c r="E2822" i="8" s="1"/>
  <c r="B193" i="8"/>
  <c r="B297" i="8"/>
  <c r="E297" i="8" s="1"/>
  <c r="B341" i="8"/>
  <c r="E341" i="8" s="1"/>
  <c r="B1454" i="8"/>
  <c r="E1454" i="8" s="1"/>
  <c r="B2491" i="8"/>
  <c r="E2491" i="8" s="1"/>
  <c r="B3486" i="8"/>
  <c r="E3486" i="8" s="1"/>
  <c r="B2519" i="8"/>
  <c r="B2372" i="8"/>
  <c r="B2108" i="8"/>
  <c r="B50" i="8"/>
  <c r="B1156" i="8"/>
  <c r="C1157" i="8" s="1"/>
  <c r="B2858" i="8"/>
  <c r="B3043" i="8"/>
  <c r="C3044" i="8" s="1"/>
  <c r="B1566" i="8"/>
  <c r="B2995" i="8"/>
  <c r="B1490" i="8"/>
  <c r="B810" i="8"/>
  <c r="B2015" i="8"/>
  <c r="B893" i="8"/>
  <c r="B2844" i="8"/>
  <c r="E2844" i="8" s="1"/>
  <c r="B3119" i="8"/>
  <c r="B703" i="8"/>
  <c r="B48" i="8"/>
  <c r="B2184" i="8"/>
  <c r="E2184" i="8" s="1"/>
  <c r="B139" i="8"/>
  <c r="E139" i="8" s="1"/>
  <c r="B1774" i="8"/>
  <c r="B1071" i="8"/>
  <c r="E1071" i="8" s="1"/>
  <c r="B2116" i="8"/>
  <c r="B2992" i="8"/>
  <c r="B3603" i="8"/>
  <c r="B531" i="8"/>
  <c r="B3473" i="8"/>
  <c r="C3473" i="8" s="1"/>
  <c r="B1333" i="8"/>
  <c r="B3419" i="8"/>
  <c r="B1148" i="8"/>
  <c r="B134" i="8"/>
  <c r="B679" i="8"/>
  <c r="B2798" i="8"/>
  <c r="E2798" i="8" s="1"/>
  <c r="B19" i="8"/>
  <c r="B989" i="8"/>
  <c r="B2827" i="8"/>
  <c r="E2827" i="8" s="1"/>
  <c r="B1795" i="8"/>
  <c r="C1795" i="8" s="1"/>
  <c r="B1439" i="8"/>
  <c r="B3617" i="8"/>
  <c r="E3617" i="8" s="1"/>
  <c r="B1969" i="8"/>
  <c r="B2136" i="8"/>
  <c r="B1506" i="8"/>
  <c r="B728" i="8"/>
  <c r="C728" i="8" s="1"/>
  <c r="B1010" i="8"/>
  <c r="B1370" i="8"/>
  <c r="E1370" i="8" s="1"/>
  <c r="B1914" i="8"/>
  <c r="B1647" i="8"/>
  <c r="B906" i="8"/>
  <c r="B1923" i="8"/>
  <c r="B1191" i="8"/>
  <c r="B2476" i="8"/>
  <c r="B1984" i="8"/>
  <c r="B644" i="8"/>
  <c r="B3333" i="8"/>
  <c r="E3333" i="8" s="1"/>
  <c r="B3155" i="8"/>
  <c r="C3156" i="8" s="1"/>
  <c r="B2284" i="8"/>
  <c r="B417" i="8"/>
  <c r="B1106" i="8"/>
  <c r="B889" i="8"/>
  <c r="B1550" i="8"/>
  <c r="B205" i="8"/>
  <c r="B2143" i="8"/>
  <c r="B321" i="8"/>
  <c r="B419" i="8"/>
  <c r="B3445" i="8"/>
  <c r="B3499" i="8"/>
  <c r="E3499" i="8" s="1"/>
  <c r="B2794" i="8"/>
  <c r="E2794" i="8" s="1"/>
  <c r="B2297" i="8"/>
  <c r="B1416" i="8"/>
  <c r="E1416" i="8" s="1"/>
  <c r="B204" i="8"/>
  <c r="E204" i="8" s="1"/>
  <c r="B2653" i="8"/>
  <c r="B2732" i="8"/>
  <c r="B1384" i="8"/>
  <c r="B333" i="8"/>
  <c r="B105" i="8"/>
  <c r="B931" i="8"/>
  <c r="B943" i="8"/>
  <c r="B1085" i="8"/>
  <c r="B1627" i="8"/>
  <c r="B3205" i="8"/>
  <c r="B1920" i="8"/>
  <c r="B22" i="8"/>
  <c r="B898" i="8"/>
  <c r="B2346" i="8"/>
  <c r="B142" i="8"/>
  <c r="B2113" i="8"/>
  <c r="B3032" i="8"/>
  <c r="B3606" i="8"/>
  <c r="B863" i="8"/>
  <c r="B1331" i="8"/>
  <c r="E1331" i="8" s="1"/>
  <c r="B1965" i="8"/>
  <c r="E1965" i="8" s="1"/>
  <c r="B3533" i="8"/>
  <c r="C3533" i="8" s="1"/>
  <c r="B2263" i="8"/>
  <c r="B2011" i="8"/>
  <c r="B3415" i="8"/>
  <c r="B2509" i="8"/>
  <c r="B631" i="8"/>
  <c r="B1224" i="8"/>
  <c r="B3047" i="8"/>
  <c r="B3278" i="8"/>
  <c r="B1244" i="8"/>
  <c r="B131" i="8"/>
  <c r="E131" i="8" s="1"/>
  <c r="B1395" i="8"/>
  <c r="E1395" i="8" s="1"/>
  <c r="B244" i="8"/>
  <c r="E244" i="8" s="1"/>
  <c r="B1522" i="8"/>
  <c r="C1522" i="8" s="1"/>
  <c r="B704" i="8"/>
  <c r="B1943" i="8"/>
  <c r="E1943" i="8" s="1"/>
  <c r="B2620" i="8"/>
  <c r="B3460" i="8"/>
  <c r="B2096" i="8"/>
  <c r="B3432" i="8"/>
  <c r="B3323" i="8"/>
  <c r="B2393" i="8"/>
  <c r="B518" i="8"/>
  <c r="B3330" i="8"/>
  <c r="E3330" i="8" s="1"/>
  <c r="B1552" i="8"/>
  <c r="B1494" i="8"/>
  <c r="E1494" i="8" s="1"/>
  <c r="B2221" i="8"/>
  <c r="E2221" i="8" s="1"/>
  <c r="B2797" i="8"/>
  <c r="B927" i="8"/>
  <c r="E927" i="8" s="1"/>
  <c r="B2699" i="8"/>
  <c r="B143" i="8"/>
  <c r="B3534" i="8"/>
  <c r="B3036" i="8"/>
  <c r="B1763" i="8"/>
  <c r="B3479" i="8"/>
  <c r="B881" i="8"/>
  <c r="C881" i="8" s="1"/>
  <c r="B744" i="8"/>
  <c r="B3387" i="8"/>
  <c r="B3494" i="8"/>
  <c r="B3305" i="8"/>
  <c r="E3305" i="8" s="1"/>
  <c r="B3589" i="8"/>
  <c r="B334" i="8"/>
  <c r="B556" i="8"/>
  <c r="B1664" i="8"/>
  <c r="B3252" i="8"/>
  <c r="B2640" i="8"/>
  <c r="B2656" i="8"/>
  <c r="E2656" i="8" s="1"/>
  <c r="B2611" i="8"/>
  <c r="B1610" i="8"/>
  <c r="E1610" i="8" s="1"/>
  <c r="B1579" i="8"/>
  <c r="B598" i="8"/>
  <c r="B539" i="8"/>
  <c r="E539" i="8" s="1"/>
  <c r="B1778" i="8"/>
  <c r="B2341" i="8"/>
  <c r="B2093" i="8"/>
  <c r="B3567" i="8"/>
  <c r="B3145" i="8"/>
  <c r="B1319" i="8"/>
  <c r="B1141" i="8"/>
  <c r="B3199" i="8"/>
  <c r="B170" i="8"/>
  <c r="B2043" i="8"/>
  <c r="E2043" i="8" s="1"/>
  <c r="B1451" i="8"/>
  <c r="B907" i="8"/>
  <c r="B2369" i="8"/>
  <c r="B3152" i="8"/>
  <c r="E3152" i="8" s="1"/>
  <c r="B1042" i="8"/>
  <c r="B1311" i="8"/>
  <c r="B176" i="8"/>
  <c r="B1204" i="8"/>
  <c r="B2619" i="8"/>
  <c r="B3394" i="8"/>
  <c r="B2361" i="8"/>
  <c r="C2361" i="8" s="1"/>
  <c r="B2574" i="8"/>
  <c r="C2575" i="8" s="1"/>
  <c r="B1404" i="8"/>
  <c r="B2712" i="8"/>
  <c r="B2379" i="8"/>
  <c r="B374" i="8"/>
  <c r="E374" i="8" s="1"/>
  <c r="B1638" i="8"/>
  <c r="B1170" i="8"/>
  <c r="B1465" i="8"/>
  <c r="B369" i="8"/>
  <c r="B1418" i="8"/>
  <c r="B926" i="8"/>
  <c r="B1727" i="8"/>
  <c r="B1481" i="8"/>
  <c r="C1482" i="8" s="1"/>
  <c r="B3276" i="8"/>
  <c r="B1051" i="8"/>
  <c r="B3110" i="8"/>
  <c r="E3110" i="8" s="1"/>
  <c r="B2446" i="8"/>
  <c r="B798" i="8"/>
  <c r="B2394" i="8"/>
  <c r="B203" i="8"/>
  <c r="B2185" i="8"/>
  <c r="B2913" i="8"/>
  <c r="B264" i="8"/>
  <c r="E264" i="8" s="1"/>
  <c r="B2245" i="8"/>
  <c r="E2245" i="8" s="1"/>
  <c r="B427" i="8"/>
  <c r="B1160" i="8"/>
  <c r="E1160" i="8" s="1"/>
  <c r="B210" i="8"/>
  <c r="E210" i="8" s="1"/>
  <c r="B1218" i="8"/>
  <c r="B2187" i="8"/>
  <c r="B2398" i="8"/>
  <c r="B2311" i="8"/>
  <c r="B1840" i="8"/>
  <c r="B2450" i="8"/>
  <c r="B1412" i="8"/>
  <c r="E1412" i="8" s="1"/>
  <c r="B1671" i="8"/>
  <c r="E1671" i="8" s="1"/>
  <c r="B516" i="8"/>
  <c r="E516" i="8" s="1"/>
  <c r="B1129" i="8"/>
  <c r="B3366" i="8"/>
  <c r="B2083" i="8"/>
  <c r="B2288" i="8"/>
  <c r="B1324" i="8"/>
  <c r="B570" i="8"/>
  <c r="B940" i="8"/>
  <c r="B2726" i="8"/>
  <c r="B2915" i="8"/>
  <c r="B1710" i="8"/>
  <c r="E1710" i="8" s="1"/>
  <c r="B3136" i="8"/>
  <c r="B1432" i="8"/>
  <c r="E1432" i="8" s="1"/>
  <c r="B2704" i="8"/>
  <c r="B2336" i="8"/>
  <c r="E2336" i="8" s="1"/>
  <c r="B1900" i="8"/>
  <c r="B3624" i="8"/>
  <c r="B729" i="8"/>
  <c r="B2463" i="8"/>
  <c r="B807" i="8"/>
  <c r="B3127" i="8"/>
  <c r="B26" i="8"/>
  <c r="B1406" i="8"/>
  <c r="E1406" i="8" s="1"/>
  <c r="B2038" i="8"/>
  <c r="B1461" i="8"/>
  <c r="E1461" i="8" s="1"/>
  <c r="B64" i="8"/>
  <c r="C64" i="8" s="1"/>
  <c r="B890" i="8"/>
  <c r="E890" i="8" s="1"/>
  <c r="B1476" i="8"/>
  <c r="E1476" i="8" s="1"/>
  <c r="B1836" i="8"/>
  <c r="B925" i="8"/>
  <c r="B2912" i="8"/>
  <c r="B37" i="8"/>
  <c r="B344" i="8"/>
  <c r="B1388" i="8"/>
  <c r="B3639" i="8"/>
  <c r="E3639" i="8" s="1"/>
  <c r="B1622" i="8"/>
  <c r="B2947" i="8"/>
  <c r="C2948" i="8" s="1"/>
  <c r="B1708" i="8"/>
  <c r="B2425" i="8"/>
  <c r="E2425" i="8" s="1"/>
  <c r="B1723" i="8"/>
  <c r="B2183" i="8"/>
  <c r="E2183" i="8" s="1"/>
  <c r="B1517" i="8"/>
  <c r="B2846" i="8"/>
  <c r="B3351" i="8"/>
  <c r="E3351" i="8" s="1"/>
  <c r="B115" i="8"/>
  <c r="B2651" i="8"/>
  <c r="B3348" i="8"/>
  <c r="C3348" i="8" s="1"/>
  <c r="B504" i="8"/>
  <c r="E504" i="8" s="1"/>
  <c r="B1893" i="8"/>
  <c r="E1893" i="8" s="1"/>
  <c r="B384" i="8"/>
  <c r="B2276" i="8"/>
  <c r="B2462" i="8"/>
  <c r="E2462" i="8" s="1"/>
  <c r="B527" i="8"/>
  <c r="B1501" i="8"/>
  <c r="C1502" i="8" s="1"/>
  <c r="B3393" i="8"/>
  <c r="B1226" i="8"/>
  <c r="B3448" i="8"/>
  <c r="B2055" i="8"/>
  <c r="B2922" i="8"/>
  <c r="B458" i="8"/>
  <c r="E458" i="8" s="1"/>
  <c r="B320" i="8"/>
  <c r="E320" i="8" s="1"/>
  <c r="B2873" i="8"/>
  <c r="B2757" i="8"/>
  <c r="B1880" i="8"/>
  <c r="B2787" i="8"/>
  <c r="E2787" i="8" s="1"/>
  <c r="B3610" i="8"/>
  <c r="B2551" i="8"/>
  <c r="B565" i="8"/>
  <c r="B3023" i="8"/>
  <c r="B2807" i="8"/>
  <c r="B2649" i="8"/>
  <c r="B3232" i="8"/>
  <c r="B841" i="8"/>
  <c r="B2118" i="8"/>
  <c r="B2710" i="8"/>
  <c r="C2710" i="8" s="1"/>
  <c r="B2097" i="8"/>
  <c r="B373" i="8"/>
  <c r="B2296" i="8"/>
  <c r="E2296" i="8" s="1"/>
  <c r="B1709" i="8"/>
  <c r="B1269" i="8"/>
  <c r="B2391" i="8"/>
  <c r="B1724" i="8"/>
  <c r="B1018" i="8"/>
  <c r="E1018" i="8" s="1"/>
  <c r="B2172" i="8"/>
  <c r="E2172" i="8" s="1"/>
  <c r="B2120" i="8"/>
  <c r="B166" i="8"/>
  <c r="B3319" i="8"/>
  <c r="E3319" i="8" s="1"/>
  <c r="B3027" i="8"/>
  <c r="E3027" i="8" s="1"/>
  <c r="B315" i="8"/>
  <c r="B805" i="8"/>
  <c r="B1921" i="8"/>
  <c r="B1142" i="8"/>
  <c r="B2747" i="8"/>
  <c r="B3413" i="8"/>
  <c r="B201" i="8"/>
  <c r="B1387" i="8"/>
  <c r="E1387" i="8" s="1"/>
  <c r="B2260" i="8"/>
  <c r="B913" i="8"/>
  <c r="B2410" i="8"/>
  <c r="B3635" i="8"/>
  <c r="B3622" i="8"/>
  <c r="B512" i="8"/>
  <c r="E512" i="8" s="1"/>
  <c r="B1479" i="8"/>
  <c r="B3612" i="8"/>
  <c r="B2076" i="8"/>
  <c r="B1358" i="8"/>
  <c r="B3220" i="8"/>
  <c r="B2957" i="8"/>
  <c r="B1413" i="8"/>
  <c r="B3045" i="8"/>
  <c r="B965" i="8"/>
  <c r="B561" i="8"/>
  <c r="E561" i="8" s="1"/>
  <c r="B3651" i="8"/>
  <c r="B2879" i="8"/>
  <c r="B2524" i="8"/>
  <c r="B1717" i="8"/>
  <c r="B3528" i="8"/>
  <c r="B2163" i="8"/>
  <c r="B1382" i="8"/>
  <c r="E1382" i="8" s="1"/>
  <c r="B433" i="8"/>
  <c r="B759" i="8"/>
  <c r="B2019" i="8"/>
  <c r="B955" i="8"/>
  <c r="E955" i="8" s="1"/>
  <c r="B109" i="8"/>
  <c r="E109" i="8" s="1"/>
  <c r="B2171" i="8"/>
  <c r="B1589" i="8"/>
  <c r="E1589" i="8" s="1"/>
  <c r="B2568" i="8"/>
  <c r="B1069" i="8"/>
  <c r="B2498" i="8"/>
  <c r="B3336" i="8"/>
  <c r="B3524" i="8"/>
  <c r="B3008" i="8"/>
  <c r="E3008" i="8" s="1"/>
  <c r="B304" i="8"/>
  <c r="E304" i="8" s="1"/>
  <c r="B1523" i="8"/>
  <c r="E1523" i="8" s="1"/>
  <c r="B2232" i="8"/>
  <c r="B1765" i="8"/>
  <c r="B2734" i="8"/>
  <c r="E2734" i="8" s="1"/>
  <c r="B1238" i="8"/>
  <c r="E1238" i="8" s="1"/>
  <c r="B3143" i="8"/>
  <c r="B364" i="8"/>
  <c r="B466" i="8"/>
  <c r="B386" i="8"/>
  <c r="B1962" i="8"/>
  <c r="B2888" i="8"/>
  <c r="B2501" i="8"/>
  <c r="C2502" i="8" s="1"/>
  <c r="B346" i="8"/>
  <c r="B1459" i="8"/>
  <c r="B2077" i="8"/>
  <c r="B3435" i="8"/>
  <c r="B2791" i="8"/>
  <c r="C2791" i="8" s="1"/>
  <c r="B153" i="8"/>
  <c r="E153" i="8" s="1"/>
  <c r="B3475" i="8"/>
  <c r="B1546" i="8"/>
  <c r="B680" i="8"/>
  <c r="B3442" i="8"/>
  <c r="E3442" i="8" s="1"/>
  <c r="B1626" i="8"/>
  <c r="B2536" i="8"/>
  <c r="B1159" i="8"/>
  <c r="E1159" i="8" s="1"/>
  <c r="B2058" i="8"/>
  <c r="B3198" i="8"/>
  <c r="B3562" i="8"/>
  <c r="B2363" i="8"/>
  <c r="E2363" i="8" s="1"/>
  <c r="B1587" i="8"/>
  <c r="B55" i="8"/>
  <c r="B6" i="8"/>
  <c r="B85" i="8"/>
  <c r="B1176" i="8"/>
  <c r="B519" i="8"/>
  <c r="E519" i="8" s="1"/>
  <c r="B986" i="8"/>
  <c r="B132" i="8"/>
  <c r="B3002" i="8"/>
  <c r="B2445" i="8"/>
  <c r="B799" i="8"/>
  <c r="E799" i="8" s="1"/>
  <c r="B2983" i="8"/>
  <c r="E2983" i="8" s="1"/>
  <c r="B2730" i="8"/>
  <c r="B47" i="8"/>
  <c r="B3035" i="8"/>
  <c r="B3256" i="8"/>
  <c r="B2923" i="8"/>
  <c r="B2967" i="8"/>
  <c r="B1037" i="8"/>
  <c r="E1037" i="8" s="1"/>
  <c r="B3285" i="8"/>
  <c r="B3384" i="8"/>
  <c r="B1746" i="8"/>
  <c r="B2384" i="8"/>
  <c r="B3123" i="8"/>
  <c r="E3123" i="8" s="1"/>
  <c r="B1581" i="8"/>
  <c r="B2801" i="8"/>
  <c r="B3318" i="8"/>
  <c r="B819" i="8"/>
  <c r="B1690" i="8"/>
  <c r="E1690" i="8" s="1"/>
  <c r="B1606" i="8"/>
  <c r="B2796" i="8"/>
  <c r="E2796" i="8" s="1"/>
  <c r="B3535" i="8"/>
  <c r="B185" i="8"/>
  <c r="B734" i="8"/>
  <c r="B2554" i="8"/>
  <c r="B657" i="8"/>
  <c r="B2102" i="8"/>
  <c r="B2477" i="8"/>
  <c r="B2563" i="8"/>
  <c r="B551" i="8"/>
  <c r="B286" i="8"/>
  <c r="E286" i="8" s="1"/>
  <c r="B3551" i="8"/>
  <c r="C124" i="8"/>
  <c r="C1086" i="8"/>
  <c r="C1092" i="8"/>
  <c r="C2928" i="8"/>
  <c r="C2147" i="8"/>
  <c r="C1767" i="8"/>
  <c r="C1165" i="8"/>
  <c r="C982" i="8"/>
  <c r="C2994" i="8"/>
  <c r="C880" i="8"/>
  <c r="C1530" i="8"/>
  <c r="C3554" i="8"/>
  <c r="C2348" i="8"/>
  <c r="C2815" i="8"/>
  <c r="C3491" i="8"/>
  <c r="C904" i="8"/>
  <c r="C1148" i="8"/>
  <c r="C923" i="8"/>
  <c r="C2954" i="8"/>
  <c r="C1018" i="8"/>
  <c r="E2743" i="8"/>
  <c r="E289" i="8"/>
  <c r="E2950" i="8"/>
  <c r="E2347" i="8"/>
  <c r="E2045" i="8"/>
  <c r="E1624" i="8"/>
  <c r="E1651" i="8"/>
  <c r="E1164" i="8"/>
  <c r="E912" i="8"/>
  <c r="E2348" i="8"/>
  <c r="E1960" i="8"/>
  <c r="E1009" i="8"/>
  <c r="E1561" i="8"/>
  <c r="E1556" i="8"/>
  <c r="E3124" i="8"/>
  <c r="E3408" i="8"/>
  <c r="E2946" i="8"/>
  <c r="E2745" i="8"/>
  <c r="E1686" i="8"/>
  <c r="E2953" i="8"/>
  <c r="E1797" i="8"/>
  <c r="E1086" i="8"/>
  <c r="E1392" i="8"/>
  <c r="E2512" i="8"/>
  <c r="E3185" i="8"/>
  <c r="E1354" i="8"/>
  <c r="E3490" i="8"/>
  <c r="E3190" i="8"/>
  <c r="E118" i="8"/>
  <c r="E1926" i="8"/>
  <c r="E1752" i="8"/>
  <c r="E803" i="8"/>
  <c r="E2152" i="8"/>
  <c r="E510" i="8"/>
  <c r="E2960" i="8"/>
  <c r="E2628" i="8"/>
  <c r="E3602" i="8"/>
  <c r="E2813" i="8"/>
  <c r="E2440" i="8"/>
  <c r="E2149" i="8"/>
  <c r="E752" i="8"/>
  <c r="E13" i="8"/>
  <c r="E777" i="8"/>
  <c r="E2084" i="8"/>
  <c r="E922" i="8"/>
  <c r="E3120" i="8"/>
  <c r="E3479" i="8"/>
  <c r="E1482" i="8"/>
  <c r="E1246" i="8"/>
  <c r="E2885" i="8"/>
  <c r="E2071" i="8"/>
  <c r="E1325" i="8"/>
  <c r="E157" i="8"/>
  <c r="E2572" i="8"/>
  <c r="E848" i="8"/>
  <c r="E124" i="8"/>
  <c r="E1948" i="8"/>
  <c r="E1156" i="8"/>
  <c r="E2928" i="8"/>
  <c r="E1265" i="8"/>
  <c r="E2087" i="8"/>
  <c r="E2815" i="8"/>
  <c r="E533" i="8"/>
  <c r="E1251" i="8"/>
  <c r="E518" i="8"/>
  <c r="E1097" i="8"/>
  <c r="E226" i="8"/>
  <c r="E1003" i="8"/>
  <c r="E123" i="8"/>
  <c r="E3065" i="8"/>
  <c r="E1426" i="8"/>
  <c r="E3623" i="8"/>
  <c r="E2927" i="8"/>
  <c r="E1991" i="8"/>
  <c r="E1076" i="8"/>
  <c r="E2547" i="8"/>
  <c r="E1577" i="8"/>
  <c r="E1233" i="8"/>
  <c r="E2814" i="8"/>
  <c r="E2761" i="8"/>
  <c r="E981" i="8"/>
  <c r="E239" i="8"/>
  <c r="E3301" i="8"/>
  <c r="E1464" i="8"/>
  <c r="E46" i="8"/>
  <c r="E214" i="8"/>
  <c r="E3267" i="8"/>
  <c r="E2605" i="8"/>
  <c r="E964" i="8"/>
  <c r="E879" i="8"/>
  <c r="E817" i="8"/>
  <c r="E1019" i="8"/>
  <c r="E2753" i="8"/>
  <c r="E658" i="8"/>
  <c r="E2680" i="8"/>
  <c r="E1825" i="8"/>
  <c r="E3092" i="8"/>
  <c r="E2994" i="8"/>
  <c r="E350" i="8"/>
  <c r="E1308" i="8"/>
  <c r="E431" i="8"/>
  <c r="E388" i="8"/>
  <c r="E709" i="8"/>
  <c r="E2789" i="8"/>
  <c r="E232" i="8"/>
  <c r="E3527" i="8"/>
  <c r="E1979" i="8"/>
  <c r="E3076" i="8"/>
  <c r="E1068" i="8"/>
  <c r="E930" i="8"/>
  <c r="E1678" i="8"/>
  <c r="E2350" i="8"/>
  <c r="E1092" i="8"/>
  <c r="E2834" i="8"/>
  <c r="E2939" i="8"/>
  <c r="E1104" i="8"/>
  <c r="E1296" i="8"/>
  <c r="E496" i="8"/>
  <c r="E375" i="8"/>
  <c r="E2502" i="8"/>
  <c r="E1214" i="8"/>
  <c r="E3173" i="8"/>
  <c r="E738" i="8"/>
  <c r="E880" i="8"/>
  <c r="E2617" i="8"/>
  <c r="E1828" i="8"/>
  <c r="E2364" i="8"/>
  <c r="E3016" i="8"/>
  <c r="E2626" i="8"/>
  <c r="E1696" i="8"/>
  <c r="E936" i="8"/>
  <c r="E1411" i="8"/>
  <c r="E2532" i="8"/>
  <c r="E1122" i="8"/>
  <c r="E34" i="8"/>
  <c r="E1223" i="8"/>
  <c r="E1381" i="8"/>
  <c r="E78" i="8"/>
  <c r="E513" i="8"/>
  <c r="E2725" i="8"/>
  <c r="E796" i="8"/>
  <c r="E1714" i="8"/>
  <c r="E2688" i="8"/>
  <c r="E61" i="8"/>
  <c r="E1165" i="8"/>
  <c r="E1997" i="8"/>
  <c r="E3553" i="8"/>
  <c r="E1673" i="8"/>
  <c r="E3648" i="8"/>
  <c r="E1091" i="8"/>
  <c r="E2986" i="8"/>
  <c r="E2240" i="8"/>
  <c r="E3149" i="8"/>
  <c r="E3072" i="8"/>
  <c r="E1749" i="8"/>
  <c r="E307" i="8"/>
  <c r="E1884" i="8"/>
  <c r="E3584" i="8"/>
  <c r="E1945" i="8"/>
  <c r="E267" i="8"/>
  <c r="E1506" i="8"/>
  <c r="E982" i="8"/>
  <c r="E2527" i="8"/>
  <c r="E684" i="8"/>
  <c r="E832" i="8"/>
  <c r="E1079" i="8"/>
  <c r="E1794" i="8"/>
  <c r="E2117" i="8"/>
  <c r="E2793" i="8"/>
  <c r="E607" i="8"/>
  <c r="E1970" i="8"/>
  <c r="E568" i="8"/>
  <c r="E3245" i="8"/>
  <c r="E406" i="8"/>
  <c r="E1148" i="8"/>
  <c r="E3371" i="8"/>
  <c r="E3405" i="8"/>
  <c r="E949" i="8"/>
  <c r="E1054" i="8"/>
  <c r="E1462" i="8"/>
  <c r="E3128" i="8"/>
  <c r="E1321" i="8"/>
  <c r="E469" i="8"/>
  <c r="E2094" i="8"/>
  <c r="E295" i="8"/>
  <c r="E2684" i="8"/>
  <c r="E475" i="8"/>
  <c r="E2711" i="8"/>
  <c r="E3556" i="8"/>
  <c r="E2360" i="8"/>
  <c r="E2679" i="8"/>
  <c r="E725" i="8"/>
  <c r="E2144" i="8"/>
  <c r="E979" i="8"/>
  <c r="E526" i="8"/>
  <c r="E892" i="8"/>
  <c r="E2905" i="8"/>
  <c r="E3299" i="8"/>
  <c r="E2676" i="8"/>
  <c r="E2376" i="8"/>
  <c r="E2457" i="8"/>
  <c r="E1259" i="8"/>
  <c r="E2147" i="8"/>
  <c r="E3491" i="8"/>
  <c r="E3220" i="8"/>
  <c r="E1157" i="8"/>
  <c r="E545" i="8"/>
  <c r="E1283" i="8"/>
  <c r="E57" i="8"/>
  <c r="E218" i="8"/>
  <c r="E3456" i="8"/>
  <c r="E1038" i="8"/>
  <c r="E2236" i="8"/>
  <c r="E1124" i="8"/>
  <c r="E3344" i="8"/>
  <c r="E555" i="8"/>
  <c r="E2068" i="8"/>
  <c r="E2275" i="8"/>
  <c r="E834" i="8"/>
  <c r="E699" i="8"/>
  <c r="E865" i="8"/>
  <c r="E2817" i="8"/>
  <c r="E683" i="8"/>
  <c r="E1189" i="8"/>
  <c r="E2224" i="8"/>
  <c r="E2842" i="8"/>
  <c r="E1885" i="8"/>
  <c r="E2866" i="8"/>
  <c r="E1833" i="8"/>
  <c r="E904" i="8"/>
  <c r="E209" i="8"/>
  <c r="E1767" i="8"/>
  <c r="E3347" i="8"/>
  <c r="E424" i="8"/>
  <c r="E3142" i="8"/>
  <c r="E1593" i="8"/>
  <c r="E3163" i="8"/>
  <c r="E2013" i="8"/>
  <c r="E3167" i="8"/>
  <c r="E1973" i="8"/>
  <c r="E3576" i="8"/>
  <c r="E3316" i="8"/>
  <c r="E2985" i="8"/>
  <c r="E2963" i="8"/>
  <c r="E2979" i="8"/>
  <c r="E2863" i="8"/>
  <c r="E1962" i="8"/>
  <c r="E3357" i="8"/>
  <c r="E1978" i="8"/>
  <c r="E672" i="8"/>
  <c r="E1937" i="8"/>
  <c r="E877" i="8"/>
  <c r="E1371" i="8"/>
  <c r="E3591" i="8"/>
  <c r="E1745" i="8"/>
  <c r="E3580" i="8"/>
  <c r="E1787" i="8"/>
  <c r="E396" i="8"/>
  <c r="E2146" i="8"/>
  <c r="E731" i="8"/>
  <c r="E1087" i="8"/>
  <c r="E788" i="8"/>
  <c r="E1766" i="8"/>
  <c r="E488" i="8"/>
  <c r="E1928" i="8"/>
  <c r="E20" i="8"/>
  <c r="E2575" i="8"/>
  <c r="E1152" i="8"/>
  <c r="E2073" i="8"/>
  <c r="E585" i="8"/>
  <c r="E923" i="8"/>
  <c r="E404" i="8"/>
  <c r="E1909" i="8"/>
  <c r="E2618" i="8"/>
  <c r="E2723" i="8"/>
  <c r="E2505" i="8"/>
  <c r="E73" i="8"/>
  <c r="E2594" i="8"/>
  <c r="E903" i="8"/>
  <c r="E2178" i="8"/>
  <c r="E2867" i="8"/>
  <c r="E460" i="8"/>
  <c r="E999" i="8"/>
  <c r="E1205" i="8"/>
  <c r="E1017" i="8"/>
  <c r="E2225" i="8"/>
  <c r="E1262" i="8"/>
  <c r="E121" i="8"/>
  <c r="E1502" i="8"/>
  <c r="E397" i="8"/>
  <c r="E549" i="8"/>
  <c r="E655" i="8"/>
  <c r="E3537" i="8"/>
  <c r="E2339" i="8"/>
  <c r="E2736" i="8"/>
  <c r="E106" i="8"/>
  <c r="E1950" i="8"/>
  <c r="E2649" i="8"/>
  <c r="E825" i="8"/>
  <c r="E3096" i="8"/>
  <c r="E1253" i="8"/>
  <c r="E1141" i="8"/>
  <c r="E2173" i="8"/>
  <c r="E2619" i="8"/>
  <c r="E1147" i="8"/>
  <c r="E662" i="8"/>
  <c r="E434" i="8"/>
  <c r="E2420" i="8"/>
  <c r="E3401" i="8"/>
  <c r="E1952" i="8"/>
  <c r="E3629" i="8"/>
  <c r="E2335" i="8"/>
  <c r="E2809" i="8"/>
  <c r="E2261" i="8"/>
  <c r="E769" i="8"/>
  <c r="E2548" i="8"/>
  <c r="E1418" i="8"/>
  <c r="E852" i="8"/>
  <c r="E1085" i="8"/>
  <c r="E2042" i="8"/>
  <c r="E802" i="8" l="1"/>
  <c r="C125" i="8"/>
  <c r="C1458" i="8"/>
  <c r="E3420" i="8"/>
  <c r="C1979" i="8"/>
  <c r="C2548" i="8"/>
  <c r="C2225" i="8"/>
  <c r="E201" i="8"/>
  <c r="C1815" i="8"/>
  <c r="E3348" i="8"/>
  <c r="E2691" i="8"/>
  <c r="E347" i="8"/>
  <c r="E2875" i="8"/>
  <c r="C2618" i="8"/>
  <c r="E2010" i="8"/>
  <c r="C906" i="8"/>
  <c r="C2619" i="8"/>
  <c r="E2923" i="8"/>
  <c r="E2858" i="8"/>
  <c r="E2652" i="8"/>
  <c r="E1025" i="8"/>
  <c r="C2927" i="8"/>
  <c r="C2048" i="8"/>
  <c r="E2650" i="8"/>
  <c r="E1947" i="8"/>
  <c r="C2005" i="8"/>
  <c r="C276" i="8"/>
  <c r="E1247" i="8"/>
  <c r="E873" i="8"/>
  <c r="E3631" i="8"/>
  <c r="E2008" i="8"/>
  <c r="C1242" i="8"/>
  <c r="C1961" i="8"/>
  <c r="E924" i="8"/>
  <c r="E1242" i="8"/>
  <c r="E1267" i="8"/>
  <c r="E3203" i="8"/>
  <c r="E1430" i="8"/>
  <c r="E3619" i="8"/>
  <c r="E1756" i="8"/>
  <c r="E3174" i="8"/>
  <c r="E739" i="8"/>
  <c r="E663" i="8"/>
  <c r="C2867" i="8"/>
  <c r="C3408" i="8"/>
  <c r="E3540" i="8"/>
  <c r="E2006" i="8"/>
  <c r="E783" i="8"/>
  <c r="E773" i="8"/>
  <c r="E2219" i="8"/>
  <c r="E1565" i="8"/>
  <c r="C3638" i="8"/>
  <c r="C597" i="8"/>
  <c r="C224" i="8"/>
  <c r="C2208" i="8"/>
  <c r="C1383" i="8"/>
  <c r="E1323" i="8"/>
  <c r="E1336" i="8"/>
  <c r="C1412" i="8"/>
  <c r="E1627" i="8"/>
  <c r="E217" i="8"/>
  <c r="E1711" i="8"/>
  <c r="C1254" i="8"/>
  <c r="E1176" i="8"/>
  <c r="E3524" i="8"/>
  <c r="C3349" i="8"/>
  <c r="C1413" i="8"/>
  <c r="C1277" i="8"/>
  <c r="C732" i="8"/>
  <c r="C826" i="8"/>
  <c r="C699" i="8"/>
  <c r="C1164" i="8"/>
  <c r="C2339" i="8"/>
  <c r="E3136" i="8"/>
  <c r="C339" i="8"/>
  <c r="E1514" i="8"/>
  <c r="E3493" i="8"/>
  <c r="E882" i="8"/>
  <c r="E3472" i="8"/>
  <c r="C3188" i="8"/>
  <c r="E391" i="8"/>
  <c r="E1260" i="8"/>
  <c r="E1359" i="8"/>
  <c r="E3085" i="8"/>
  <c r="E17" i="8"/>
  <c r="E881" i="8"/>
  <c r="E3509" i="8"/>
  <c r="E134" i="8"/>
  <c r="E2648" i="8"/>
  <c r="E2696" i="8"/>
  <c r="E3358" i="8"/>
  <c r="E3037" i="8"/>
  <c r="C1988" i="8"/>
  <c r="E972" i="8"/>
  <c r="C2707" i="8"/>
  <c r="E945" i="8"/>
  <c r="E2220" i="8"/>
  <c r="E2560" i="8"/>
  <c r="E2981" i="8"/>
  <c r="E365" i="8"/>
  <c r="E992" i="8"/>
  <c r="E2587" i="8"/>
  <c r="E472" i="8"/>
  <c r="E2338" i="8"/>
  <c r="E3312" i="8"/>
  <c r="C1962" i="8"/>
  <c r="C3016" i="8"/>
  <c r="E1622" i="8"/>
  <c r="E1606" i="8"/>
  <c r="E926" i="8"/>
  <c r="C664" i="8"/>
  <c r="E3155" i="8"/>
  <c r="E1015" i="8"/>
  <c r="E559" i="8"/>
  <c r="E2159" i="8"/>
  <c r="E1048" i="8"/>
  <c r="E1489" i="8"/>
  <c r="E293" i="8"/>
  <c r="E726" i="8"/>
  <c r="E2038" i="8"/>
  <c r="E2957" i="8"/>
  <c r="C2794" i="8"/>
  <c r="C365" i="8"/>
  <c r="C807" i="8"/>
  <c r="C1084" i="8"/>
  <c r="C3563" i="8"/>
  <c r="C1550" i="8"/>
  <c r="C883" i="8"/>
  <c r="E187" i="8"/>
  <c r="E1536" i="8"/>
  <c r="E3199" i="8"/>
  <c r="E621" i="8"/>
  <c r="E2667" i="8"/>
  <c r="E1648" i="8"/>
  <c r="E728" i="8"/>
  <c r="C1250" i="8"/>
  <c r="E3005" i="8"/>
  <c r="E2590" i="8"/>
  <c r="E2934" i="8"/>
  <c r="E809" i="8"/>
  <c r="E2856" i="8"/>
  <c r="E2020" i="8"/>
  <c r="C3221" i="8"/>
  <c r="E1146" i="8"/>
  <c r="E188" i="8"/>
  <c r="E2913" i="8"/>
  <c r="C3499" i="8"/>
  <c r="C131" i="8"/>
  <c r="C2680" i="8"/>
  <c r="E453" i="8"/>
  <c r="E48" i="8"/>
  <c r="E2922" i="8"/>
  <c r="E2993" i="8"/>
  <c r="C2923" i="8"/>
  <c r="C3174" i="8"/>
  <c r="C3073" i="8"/>
  <c r="C739" i="8"/>
  <c r="E1307" i="8"/>
  <c r="E2273" i="8"/>
  <c r="C2335" i="8"/>
  <c r="C1427" i="8"/>
  <c r="E2577" i="8"/>
  <c r="E2967" i="8"/>
  <c r="E2308" i="8"/>
  <c r="E2383" i="8"/>
  <c r="C2387" i="8"/>
  <c r="C2718" i="8"/>
  <c r="E944" i="8"/>
  <c r="E1779" i="8"/>
  <c r="E3404" i="8"/>
  <c r="E3081" i="8"/>
  <c r="E2429" i="8"/>
  <c r="E1437" i="8"/>
  <c r="C1438" i="8"/>
  <c r="E2847" i="8"/>
  <c r="E1452" i="8"/>
  <c r="C2021" i="8"/>
  <c r="E2037" i="8"/>
  <c r="E505" i="8"/>
  <c r="C2173" i="8"/>
  <c r="C1382" i="8"/>
  <c r="C2038" i="8"/>
  <c r="C1472" i="8"/>
  <c r="E3031" i="8"/>
  <c r="E2170" i="8"/>
  <c r="C218" i="8"/>
  <c r="E575" i="8"/>
  <c r="E2468" i="8"/>
  <c r="E1163" i="8"/>
  <c r="E2611" i="8"/>
  <c r="C1606" i="8"/>
  <c r="C1034" i="8"/>
  <c r="C397" i="8"/>
  <c r="C2814" i="8"/>
  <c r="C685" i="8"/>
  <c r="C882" i="8"/>
  <c r="E3394" i="8"/>
  <c r="C2767" i="8"/>
  <c r="E1694" i="8"/>
  <c r="C2043" i="8"/>
  <c r="E977" i="8"/>
  <c r="C2790" i="8"/>
  <c r="E1659" i="8"/>
  <c r="E3343" i="8"/>
  <c r="C1418" i="8"/>
  <c r="C3190" i="8"/>
  <c r="C470" i="8"/>
  <c r="C1087" i="8"/>
  <c r="E3477" i="8"/>
  <c r="E2608" i="8"/>
  <c r="E75" i="8"/>
  <c r="C2817" i="8"/>
  <c r="C2816" i="8"/>
  <c r="E1408" i="8"/>
  <c r="E2613" i="8"/>
  <c r="E1254" i="8"/>
  <c r="C2220" i="8"/>
  <c r="E619" i="8"/>
  <c r="C3125" i="8"/>
  <c r="C3222" i="8"/>
  <c r="C287" i="8"/>
  <c r="C1529" i="8"/>
  <c r="E2195" i="8"/>
  <c r="E1177" i="8"/>
  <c r="E339" i="8"/>
  <c r="E91" i="8"/>
  <c r="E3396" i="8"/>
  <c r="E2511" i="8"/>
  <c r="C629" i="8"/>
  <c r="E2935" i="8"/>
  <c r="E2749" i="8"/>
  <c r="E2464" i="8"/>
  <c r="E2211" i="8"/>
  <c r="E1663" i="8"/>
  <c r="C1000" i="8"/>
  <c r="C824" i="8"/>
  <c r="C3404" i="8"/>
  <c r="C2747" i="8"/>
  <c r="E744" i="8"/>
  <c r="E421" i="8"/>
  <c r="E2562" i="8"/>
  <c r="E578" i="8"/>
  <c r="E1447" i="8"/>
  <c r="E67" i="8"/>
  <c r="E1899" i="8"/>
  <c r="E2597" i="8"/>
  <c r="E2002" i="8"/>
  <c r="E1621" i="8"/>
  <c r="E256" i="8"/>
  <c r="E1306" i="8"/>
  <c r="E2669" i="8"/>
  <c r="E854" i="8"/>
  <c r="E1256" i="8"/>
  <c r="E2326" i="8"/>
  <c r="E1458" i="8"/>
  <c r="E3125" i="8"/>
  <c r="E3482" i="8"/>
  <c r="E3385" i="8"/>
  <c r="E2713" i="8"/>
  <c r="C396" i="8"/>
  <c r="E1907" i="8"/>
  <c r="E2677" i="8"/>
  <c r="C2677" i="8"/>
  <c r="E1123" i="8"/>
  <c r="C1123" i="8"/>
  <c r="E1485" i="8"/>
  <c r="E3139" i="8"/>
  <c r="C2975" i="8"/>
  <c r="E2474" i="8"/>
  <c r="C3405" i="8"/>
  <c r="C1780" i="8"/>
  <c r="C1627" i="8"/>
  <c r="E1626" i="8"/>
  <c r="C434" i="8"/>
  <c r="C3233" i="8"/>
  <c r="E3232" i="8"/>
  <c r="E197" i="8"/>
  <c r="E1613" i="8"/>
  <c r="E3436" i="8"/>
  <c r="E2786" i="8"/>
  <c r="E1472" i="8"/>
  <c r="E3224" i="8"/>
  <c r="C2743" i="8"/>
  <c r="C780" i="8"/>
  <c r="E780" i="8"/>
  <c r="E1608" i="8"/>
  <c r="E1560" i="8"/>
  <c r="E727" i="8"/>
  <c r="C727" i="8"/>
  <c r="C1124" i="8"/>
  <c r="E1213" i="8"/>
  <c r="C1214" i="8"/>
  <c r="E1385" i="8"/>
  <c r="E2654" i="8"/>
  <c r="E1041" i="8"/>
  <c r="E1457" i="8"/>
  <c r="C3175" i="8"/>
  <c r="E3409" i="8"/>
  <c r="C3409" i="8"/>
  <c r="E83" i="8"/>
  <c r="E2186" i="8"/>
  <c r="E3608" i="8"/>
  <c r="E1270" i="8"/>
  <c r="E2343" i="8"/>
  <c r="E3532" i="8"/>
  <c r="E98" i="8"/>
  <c r="E789" i="8"/>
  <c r="E1020" i="8"/>
  <c r="C1020" i="8"/>
  <c r="E1811" i="8"/>
  <c r="C1290" i="8"/>
  <c r="E2948" i="8"/>
  <c r="C2949" i="8"/>
  <c r="E3549" i="8"/>
  <c r="E3170" i="8"/>
  <c r="E698" i="8"/>
  <c r="E3516" i="8"/>
  <c r="E395" i="8"/>
  <c r="E2123" i="8"/>
  <c r="C99" i="8"/>
  <c r="C726" i="8"/>
  <c r="C2668" i="8"/>
  <c r="C2772" i="8"/>
  <c r="C2939" i="8"/>
  <c r="C347" i="8"/>
  <c r="C3045" i="8"/>
  <c r="C3331" i="8"/>
  <c r="C2650" i="8"/>
  <c r="C1711" i="8"/>
  <c r="C3479" i="8"/>
  <c r="C1750" i="8"/>
  <c r="C1251" i="8"/>
  <c r="C2986" i="8"/>
  <c r="C307" i="8"/>
  <c r="C3142" i="8"/>
  <c r="C1019" i="8"/>
  <c r="C46" i="8"/>
  <c r="C825" i="8"/>
  <c r="C1686" i="8"/>
  <c r="C663" i="8"/>
  <c r="C3581" i="8"/>
  <c r="E3459" i="8"/>
  <c r="E245" i="8"/>
  <c r="C2723" i="8"/>
  <c r="C519" i="8"/>
  <c r="C2620" i="8"/>
  <c r="C2732" i="8"/>
  <c r="C912" i="8"/>
  <c r="E1743" i="8"/>
  <c r="C789" i="8"/>
  <c r="C2276" i="8"/>
  <c r="C2995" i="8"/>
  <c r="C1288" i="8"/>
  <c r="C2576" i="8"/>
  <c r="C2349" i="8"/>
  <c r="C1077" i="8"/>
  <c r="C2725" i="8"/>
  <c r="C3316" i="8"/>
  <c r="C3629" i="8"/>
  <c r="C1926" i="8"/>
  <c r="C2065" i="8"/>
  <c r="C1685" i="8"/>
  <c r="C2906" i="8"/>
  <c r="C1025" i="8"/>
  <c r="C1247" i="8"/>
  <c r="C1948" i="8"/>
  <c r="E337" i="8"/>
  <c r="E417" i="8"/>
  <c r="E670" i="8"/>
  <c r="E2559" i="8"/>
  <c r="C2898" i="8"/>
  <c r="E2545" i="8"/>
  <c r="C1306" i="8"/>
  <c r="C1395" i="8"/>
  <c r="C1491" i="8"/>
  <c r="C1601" i="8"/>
  <c r="C1769" i="8"/>
  <c r="C3084" i="8"/>
  <c r="C3488" i="8"/>
  <c r="C461" i="8"/>
  <c r="E3191" i="8"/>
  <c r="E1913" i="8"/>
  <c r="E1369" i="8"/>
  <c r="E2781" i="8"/>
  <c r="E1481" i="8"/>
  <c r="E826" i="8"/>
  <c r="E2581" i="8"/>
  <c r="E2284" i="8"/>
  <c r="E812" i="8"/>
  <c r="E705" i="8"/>
  <c r="E2497" i="8"/>
  <c r="E679" i="8"/>
  <c r="C553" i="8"/>
  <c r="C2129" i="8"/>
  <c r="C1369" i="8"/>
  <c r="C1965" i="8"/>
  <c r="C2606" i="8"/>
  <c r="E3329" i="8"/>
  <c r="E1684" i="8"/>
  <c r="E2974" i="8"/>
  <c r="C2454" i="8"/>
  <c r="C87" i="8"/>
  <c r="C3640" i="8"/>
  <c r="C1296" i="8"/>
  <c r="C3139" i="8"/>
  <c r="C338" i="8"/>
  <c r="C545" i="8"/>
  <c r="C1578" i="8"/>
  <c r="C698" i="8"/>
  <c r="C2141" i="8"/>
  <c r="C1182" i="8"/>
  <c r="C1575" i="8"/>
  <c r="C1753" i="8"/>
  <c r="E3614" i="8"/>
  <c r="C3460" i="8"/>
  <c r="C1384" i="8"/>
  <c r="C167" i="8"/>
  <c r="C862" i="8"/>
  <c r="C1720" i="8"/>
  <c r="C2738" i="8"/>
  <c r="C1220" i="8"/>
  <c r="C356" i="8"/>
  <c r="C3141" i="8"/>
  <c r="C1256" i="8"/>
  <c r="C3170" i="8"/>
  <c r="C2942" i="8"/>
  <c r="C2579" i="8"/>
  <c r="C263" i="8"/>
  <c r="C1453" i="8"/>
  <c r="C852" i="8"/>
  <c r="C832" i="8"/>
  <c r="C2469" i="8"/>
  <c r="C3651" i="8"/>
  <c r="C528" i="8"/>
  <c r="C810" i="8"/>
  <c r="C410" i="8"/>
  <c r="C3231" i="8"/>
  <c r="C2475" i="8"/>
  <c r="C650" i="8"/>
  <c r="C2099" i="8"/>
  <c r="C2408" i="8"/>
  <c r="C979" i="8"/>
  <c r="C476" i="8"/>
  <c r="E1010" i="8"/>
  <c r="C2226" i="8"/>
  <c r="C2649" i="8"/>
  <c r="E2361" i="8"/>
  <c r="E2424" i="8"/>
  <c r="C2329" i="8"/>
  <c r="E3551" i="8"/>
  <c r="E433" i="8"/>
  <c r="E2888" i="8"/>
  <c r="C2413" i="8"/>
  <c r="C1186" i="8"/>
  <c r="E193" i="8"/>
  <c r="C3020" i="8"/>
  <c r="C433" i="8"/>
  <c r="C2588" i="8"/>
  <c r="C1202" i="8"/>
  <c r="C2530" i="8"/>
  <c r="C951" i="8"/>
  <c r="C828" i="8"/>
  <c r="C3254" i="8"/>
  <c r="E664" i="8"/>
  <c r="C2935" i="8"/>
  <c r="C1715" i="8"/>
  <c r="C3494" i="8"/>
  <c r="C705" i="8"/>
  <c r="C2011" i="8"/>
  <c r="C1914" i="8"/>
  <c r="C1649" i="8"/>
  <c r="C2473" i="8"/>
  <c r="C2697" i="8"/>
  <c r="C391" i="8"/>
  <c r="C3641" i="8"/>
  <c r="C1444" i="8"/>
  <c r="C1379" i="8"/>
  <c r="C2850" i="8"/>
  <c r="C676" i="8"/>
  <c r="C2679" i="8"/>
  <c r="C2955" i="8"/>
  <c r="C400" i="8"/>
  <c r="C2714" i="8"/>
  <c r="C2947" i="8"/>
  <c r="E1904" i="8"/>
  <c r="C3493" i="8"/>
  <c r="C2389" i="8"/>
  <c r="C1966" i="8"/>
  <c r="C246" i="8"/>
  <c r="C1303" i="8"/>
  <c r="E2282" i="8"/>
  <c r="E3497" i="8"/>
  <c r="E1409" i="8"/>
  <c r="C2581" i="8"/>
  <c r="E1413" i="8"/>
  <c r="E1186" i="8"/>
  <c r="E978" i="8"/>
  <c r="C1050" i="8"/>
  <c r="C1716" i="8"/>
  <c r="E426" i="8"/>
  <c r="C3330" i="8"/>
  <c r="C1668" i="8"/>
  <c r="C1756" i="8"/>
  <c r="E2536" i="8"/>
  <c r="C2489" i="8"/>
  <c r="C1221" i="8"/>
  <c r="C3049" i="8"/>
  <c r="C3620" i="8"/>
  <c r="C265" i="8"/>
  <c r="C2081" i="8"/>
  <c r="C3639" i="8"/>
  <c r="C1104" i="8"/>
  <c r="E2501" i="8"/>
  <c r="E500" i="8"/>
  <c r="E3315" i="8"/>
  <c r="C1828" i="8"/>
  <c r="C2746" i="8"/>
  <c r="E166" i="8"/>
  <c r="E2226" i="8"/>
  <c r="E1774" i="8"/>
  <c r="E3146" i="8"/>
  <c r="C332" i="8"/>
  <c r="E1522" i="8"/>
  <c r="E1379" i="8"/>
  <c r="E841" i="8"/>
  <c r="C2284" i="8"/>
  <c r="C1111" i="8"/>
  <c r="C363" i="8"/>
  <c r="C3202" i="8"/>
  <c r="C2314" i="8"/>
  <c r="C3006" i="8"/>
  <c r="C3457" i="8"/>
  <c r="C123" i="8"/>
  <c r="C2818" i="8"/>
  <c r="C2797" i="8"/>
  <c r="C1553" i="8"/>
  <c r="C1262" i="8"/>
  <c r="C2967" i="8"/>
  <c r="C2657" i="8"/>
  <c r="C950" i="8"/>
  <c r="E759" i="8"/>
  <c r="C245" i="8"/>
  <c r="C977" i="8"/>
  <c r="C744" i="8"/>
  <c r="C1129" i="8"/>
  <c r="C2066" i="8"/>
  <c r="C378" i="8"/>
  <c r="C2345" i="8"/>
  <c r="C67" i="8"/>
  <c r="C1316" i="8"/>
  <c r="C3621" i="8"/>
  <c r="C627" i="8"/>
  <c r="C764" i="8"/>
  <c r="C3181" i="8"/>
  <c r="C1687" i="8"/>
  <c r="C1085" i="8"/>
  <c r="C2513" i="8"/>
  <c r="C560" i="8"/>
  <c r="C1641" i="8"/>
  <c r="C3005" i="8"/>
  <c r="C1417" i="8"/>
  <c r="C1307" i="8"/>
  <c r="C3101" i="8"/>
  <c r="C1844" i="8"/>
  <c r="C1910" i="8"/>
  <c r="C1608" i="8"/>
  <c r="C1173" i="8"/>
  <c r="C1814" i="8"/>
  <c r="C1743" i="8"/>
  <c r="E653" i="8"/>
  <c r="E544" i="8"/>
  <c r="E1277" i="8"/>
  <c r="C1010" i="8"/>
  <c r="C1241" i="8"/>
  <c r="C1291" i="8"/>
  <c r="C95" i="8"/>
  <c r="C422" i="8"/>
  <c r="C429" i="8"/>
  <c r="C2835" i="8"/>
  <c r="E2120" i="8"/>
  <c r="E1000" i="8"/>
  <c r="E2328" i="8"/>
  <c r="E1240" i="8"/>
  <c r="E3043" i="8"/>
  <c r="C2468" i="8"/>
  <c r="C1583" i="8"/>
  <c r="C1105" i="8"/>
  <c r="C496" i="8"/>
  <c r="C427" i="8"/>
  <c r="C1622" i="8"/>
  <c r="E2947" i="8"/>
  <c r="E326" i="8"/>
  <c r="E2216" i="8"/>
  <c r="E1064" i="8"/>
  <c r="E1290" i="8"/>
  <c r="E170" i="8"/>
  <c r="E338" i="8"/>
  <c r="C1187" i="8"/>
  <c r="C3498" i="8"/>
  <c r="E2576" i="8"/>
  <c r="C3118" i="8"/>
  <c r="C817" i="8"/>
  <c r="C2474" i="8"/>
  <c r="C1734" i="8"/>
  <c r="C1080" i="8"/>
  <c r="C1122" i="8"/>
  <c r="C2560" i="8"/>
  <c r="C3358" i="8"/>
  <c r="E390" i="8"/>
  <c r="C88" i="8"/>
  <c r="C2344" i="8"/>
  <c r="E3621" i="8"/>
  <c r="E2835" i="8"/>
  <c r="E1315" i="8"/>
  <c r="E3285" i="8"/>
  <c r="E3469" i="8"/>
  <c r="E3492" i="8"/>
  <c r="E3640" i="8"/>
  <c r="E997" i="8"/>
  <c r="E2704" i="8"/>
  <c r="C2429" i="8"/>
  <c r="C1525" i="8"/>
  <c r="E596" i="8"/>
  <c r="E2263" i="8"/>
  <c r="E3004" i="8"/>
  <c r="E691" i="8"/>
  <c r="C1147" i="8"/>
  <c r="E32" i="8"/>
  <c r="E2443" i="8"/>
  <c r="E1687" i="8"/>
  <c r="E914" i="8"/>
  <c r="E2022" i="8"/>
  <c r="E3573" i="8"/>
  <c r="C945" i="8"/>
  <c r="C1406" i="8"/>
  <c r="C752" i="8"/>
  <c r="C1049" i="8"/>
  <c r="C1744" i="8"/>
  <c r="C1177" i="8"/>
  <c r="C1308" i="8"/>
  <c r="C1991" i="8"/>
  <c r="C2934" i="8"/>
  <c r="C675" i="8"/>
  <c r="C2091" i="8"/>
  <c r="C2309" i="8"/>
  <c r="E3416" i="8"/>
  <c r="E352" i="8"/>
  <c r="E1490" i="8"/>
  <c r="C2908" i="8"/>
  <c r="E1424" i="8"/>
  <c r="E2881" i="8"/>
  <c r="C1038" i="8"/>
  <c r="E986" i="8"/>
  <c r="C2261" i="8"/>
  <c r="E2260" i="8"/>
  <c r="E3533" i="8"/>
  <c r="E3205" i="8"/>
  <c r="C1091" i="8"/>
  <c r="C2587" i="8"/>
  <c r="E2586" i="8"/>
  <c r="C504" i="8"/>
  <c r="E822" i="8"/>
  <c r="E225" i="8"/>
  <c r="C1751" i="8"/>
  <c r="E1751" i="8"/>
  <c r="C1752" i="8"/>
  <c r="E540" i="8"/>
  <c r="E3078" i="8"/>
  <c r="E1852" i="8"/>
  <c r="C1309" i="8"/>
  <c r="C1310" i="8"/>
  <c r="E1390" i="8"/>
  <c r="E1417" i="8"/>
  <c r="C563" i="8"/>
  <c r="E1350" i="8"/>
  <c r="C2956" i="8"/>
  <c r="C2957" i="8"/>
  <c r="E908" i="8"/>
  <c r="C1257" i="8"/>
  <c r="E1257" i="8"/>
  <c r="E3391" i="8"/>
  <c r="C212" i="8"/>
  <c r="E242" i="8"/>
  <c r="E1881" i="8"/>
  <c r="C1447" i="8"/>
  <c r="E2758" i="8"/>
  <c r="E38" i="8"/>
  <c r="E2105" i="8"/>
  <c r="E1818" i="8"/>
  <c r="E858" i="8"/>
  <c r="E3379" i="8"/>
  <c r="C1355" i="8"/>
  <c r="E1355" i="8"/>
  <c r="C49" i="8"/>
  <c r="C2152" i="8"/>
  <c r="E2151" i="8"/>
  <c r="E184" i="8"/>
  <c r="E628" i="8"/>
  <c r="C628" i="8"/>
  <c r="C1630" i="8"/>
  <c r="E1629" i="8"/>
  <c r="E2141" i="8"/>
  <c r="E1596" i="8"/>
  <c r="E3101" i="8"/>
  <c r="C79" i="8"/>
  <c r="C1825" i="8"/>
  <c r="E3084" i="8"/>
  <c r="E2283" i="8"/>
  <c r="C2283" i="8"/>
  <c r="E45" i="8"/>
  <c r="C1723" i="8"/>
  <c r="E1723" i="8"/>
  <c r="E2058" i="8"/>
  <c r="C1121" i="8"/>
  <c r="E3485" i="8"/>
  <c r="C2909" i="8"/>
  <c r="C1039" i="8"/>
  <c r="E2179" i="8"/>
  <c r="E2297" i="8"/>
  <c r="C1462" i="8"/>
  <c r="C98" i="8"/>
  <c r="C1663" i="8"/>
  <c r="C1728" i="8"/>
  <c r="C1694" i="8"/>
  <c r="C2822" i="8"/>
  <c r="C188" i="8"/>
  <c r="C2664" i="8"/>
  <c r="C2631" i="8"/>
  <c r="C1190" i="8"/>
  <c r="C809" i="8"/>
  <c r="C368" i="8"/>
  <c r="C1141" i="8"/>
  <c r="C262" i="8"/>
  <c r="C3102" i="8"/>
  <c r="C2950" i="8"/>
  <c r="C1297" i="8"/>
  <c r="C3344" i="8"/>
  <c r="C3626" i="8"/>
  <c r="C3268" i="8"/>
  <c r="C272" i="8"/>
  <c r="C225" i="8"/>
  <c r="C357" i="8"/>
  <c r="C1584" i="8"/>
  <c r="C454" i="8"/>
  <c r="C578" i="8"/>
  <c r="C505" i="8"/>
  <c r="C534" i="8"/>
  <c r="C564" i="8"/>
  <c r="C1260" i="8"/>
  <c r="C2578" i="8"/>
  <c r="C833" i="8"/>
  <c r="C834" i="8"/>
  <c r="E2019" i="8"/>
  <c r="C2020" i="8"/>
  <c r="C1631" i="8"/>
  <c r="E1631" i="8"/>
  <c r="C392" i="8"/>
  <c r="E392" i="8"/>
  <c r="C2022" i="8"/>
  <c r="C3103" i="8"/>
  <c r="C1433" i="8"/>
  <c r="E1727" i="8"/>
  <c r="E1552" i="8"/>
  <c r="E732" i="8"/>
  <c r="E3577" i="8"/>
  <c r="E569" i="8"/>
  <c r="C2936" i="8"/>
  <c r="E2064" i="8"/>
  <c r="E1564" i="8"/>
  <c r="E1172" i="8"/>
  <c r="C2577" i="8"/>
  <c r="E528" i="8"/>
  <c r="E751" i="8"/>
  <c r="E3068" i="8"/>
  <c r="E1012" i="8"/>
  <c r="E1422" i="8"/>
  <c r="C1392" i="8"/>
  <c r="E3019" i="8"/>
  <c r="E2318" i="8"/>
  <c r="E159" i="8"/>
  <c r="E2746" i="8"/>
  <c r="E408" i="8"/>
  <c r="E649" i="8"/>
  <c r="E3368" i="8"/>
  <c r="C823" i="8"/>
  <c r="C2142" i="8"/>
  <c r="C1632" i="8"/>
  <c r="E194" i="8"/>
  <c r="E2632" i="8"/>
  <c r="E3012" i="8"/>
  <c r="C1569" i="8"/>
  <c r="E2873" i="8"/>
  <c r="C3595" i="8"/>
  <c r="E3595" i="8"/>
  <c r="C2246" i="8"/>
  <c r="C859" i="8"/>
  <c r="E859" i="8"/>
  <c r="E3038" i="8"/>
  <c r="C3267" i="8"/>
  <c r="E1171" i="8"/>
  <c r="C68" i="8"/>
  <c r="E2574" i="8"/>
  <c r="E1220" i="8"/>
  <c r="E2821" i="8"/>
  <c r="E588" i="8"/>
  <c r="E1293" i="8"/>
  <c r="E1190" i="8"/>
  <c r="E552" i="8"/>
  <c r="E514" i="8"/>
  <c r="E1843" i="8"/>
  <c r="E2442" i="8"/>
  <c r="E2021" i="8"/>
  <c r="E3189" i="8"/>
  <c r="E1586" i="8"/>
  <c r="E2630" i="8"/>
  <c r="E3103" i="8"/>
  <c r="C1461" i="8"/>
  <c r="C3577" i="8"/>
  <c r="C1350" i="8"/>
  <c r="C2512" i="8"/>
  <c r="C2196" i="8"/>
  <c r="C2214" i="8"/>
  <c r="C1071" i="8"/>
  <c r="C2274" i="8"/>
  <c r="C2275" i="8"/>
  <c r="E2908" i="8"/>
  <c r="E1920" i="8"/>
  <c r="C1566" i="8"/>
  <c r="E1566" i="8"/>
  <c r="E485" i="8"/>
  <c r="E3331" i="8"/>
  <c r="E1744" i="8"/>
  <c r="E878" i="8"/>
  <c r="C879" i="8"/>
  <c r="C2688" i="8"/>
  <c r="E2687" i="8"/>
  <c r="E3414" i="8"/>
  <c r="E2762" i="8"/>
  <c r="E700" i="8"/>
  <c r="C1684" i="8"/>
  <c r="E2773" i="8"/>
  <c r="E2403" i="8"/>
  <c r="C2403" i="8"/>
  <c r="E3179" i="8"/>
  <c r="E3645" i="8"/>
  <c r="E2005" i="8"/>
  <c r="E1834" i="8"/>
  <c r="C3232" i="8"/>
  <c r="E3454" i="8"/>
  <c r="E327" i="8"/>
  <c r="E262" i="8"/>
  <c r="E3228" i="8"/>
  <c r="E1827" i="8"/>
  <c r="E3181" i="8"/>
  <c r="E64" i="8"/>
  <c r="E534" i="8"/>
  <c r="E1215" i="8"/>
  <c r="E2065" i="8"/>
  <c r="E2385" i="8"/>
  <c r="E2377" i="8"/>
  <c r="E1578" i="8"/>
  <c r="E3306" i="8"/>
  <c r="C1706" i="8"/>
  <c r="C160" i="8"/>
  <c r="C2006" i="8"/>
  <c r="C201" i="8"/>
  <c r="C2859" i="8"/>
  <c r="C529" i="8"/>
  <c r="C3100" i="8"/>
  <c r="C1565" i="8"/>
  <c r="E2644" i="8"/>
  <c r="C23" i="8"/>
  <c r="E22" i="8"/>
  <c r="C1106" i="8"/>
  <c r="E1106" i="8"/>
  <c r="E240" i="8"/>
  <c r="C240" i="8"/>
  <c r="E756" i="8"/>
  <c r="E141" i="8"/>
  <c r="E1918" i="8"/>
  <c r="C191" i="8"/>
  <c r="C506" i="8"/>
  <c r="E506" i="8"/>
  <c r="E1361" i="8"/>
  <c r="E1108" i="8"/>
  <c r="C151" i="8"/>
  <c r="E258" i="8"/>
  <c r="E1634" i="8"/>
  <c r="E3353" i="8"/>
  <c r="C3068" i="8"/>
  <c r="E3067" i="8"/>
  <c r="C2612" i="8"/>
  <c r="E2612" i="8"/>
  <c r="E1006" i="8"/>
  <c r="E3089" i="8"/>
  <c r="C1341" i="8"/>
  <c r="E1341" i="8"/>
  <c r="E1594" i="8"/>
  <c r="E598" i="8"/>
  <c r="E3535" i="8"/>
  <c r="E132" i="8"/>
  <c r="C132" i="8"/>
  <c r="E346" i="8"/>
  <c r="C1524" i="8"/>
  <c r="C1523" i="8"/>
  <c r="E3045" i="8"/>
  <c r="E913" i="8"/>
  <c r="C913" i="8"/>
  <c r="E2118" i="8"/>
  <c r="C2118" i="8"/>
  <c r="E384" i="8"/>
  <c r="E1708" i="8"/>
  <c r="E1129" i="8"/>
  <c r="E427" i="8"/>
  <c r="C428" i="8"/>
  <c r="C1579" i="8"/>
  <c r="E1579" i="8"/>
  <c r="E3387" i="8"/>
  <c r="C1371" i="8"/>
  <c r="C1370" i="8"/>
  <c r="E2522" i="8"/>
  <c r="C3637" i="8"/>
  <c r="E3636" i="8"/>
  <c r="E1860" i="8"/>
  <c r="C388" i="8"/>
  <c r="E387" i="8"/>
  <c r="E3400" i="8"/>
  <c r="E2040" i="8"/>
  <c r="C1698" i="8"/>
  <c r="C1697" i="8"/>
  <c r="E378" i="8"/>
  <c r="E1338" i="8"/>
  <c r="E522" i="8"/>
  <c r="C3307" i="8"/>
  <c r="E3307" i="8"/>
  <c r="E2659" i="8"/>
  <c r="E94" i="8"/>
  <c r="C94" i="8"/>
  <c r="E1733" i="8"/>
  <c r="C1153" i="8"/>
  <c r="C1321" i="8"/>
  <c r="E1320" i="8"/>
  <c r="C1661" i="8"/>
  <c r="E574" i="8"/>
  <c r="E457" i="8"/>
  <c r="E1077" i="8"/>
  <c r="E3518" i="8"/>
  <c r="E1027" i="8"/>
  <c r="C346" i="8"/>
  <c r="C2632" i="8"/>
  <c r="E1218" i="8"/>
  <c r="E508" i="8"/>
  <c r="E839" i="8"/>
  <c r="E2355" i="8"/>
  <c r="E407" i="8"/>
  <c r="E185" i="8"/>
  <c r="C185" i="8"/>
  <c r="C965" i="8"/>
  <c r="E965" i="8"/>
  <c r="C2605" i="8"/>
  <c r="E3003" i="8"/>
  <c r="C622" i="8"/>
  <c r="E3028" i="8"/>
  <c r="C261" i="8"/>
  <c r="E59" i="8"/>
  <c r="E318" i="8"/>
  <c r="E3449" i="8"/>
  <c r="E827" i="8"/>
  <c r="E2627" i="8"/>
  <c r="C2628" i="8"/>
  <c r="C620" i="8"/>
  <c r="E620" i="8"/>
  <c r="E2025" i="8"/>
  <c r="E2709" i="8"/>
  <c r="C417" i="8"/>
  <c r="E416" i="8"/>
  <c r="E1351" i="8"/>
  <c r="C599" i="8"/>
  <c r="E3649" i="8"/>
  <c r="C3649" i="8"/>
  <c r="E1067" i="8"/>
  <c r="E2061" i="8"/>
  <c r="C2061" i="8"/>
  <c r="C2724" i="8"/>
  <c r="E1614" i="8"/>
  <c r="C340" i="8"/>
  <c r="C1742" i="8"/>
  <c r="E1742" i="8"/>
  <c r="C1931" i="8"/>
  <c r="C3380" i="8"/>
  <c r="E451" i="8"/>
  <c r="C1918" i="8"/>
  <c r="E191" i="8"/>
  <c r="E3274" i="8"/>
  <c r="E1697" i="8"/>
  <c r="E377" i="8"/>
  <c r="E764" i="8"/>
  <c r="E3180" i="8"/>
  <c r="E97" i="8"/>
  <c r="C43" i="8"/>
  <c r="C194" i="8"/>
  <c r="C3205" i="8"/>
  <c r="C822" i="8"/>
  <c r="C3121" i="8"/>
  <c r="E1662" i="8"/>
  <c r="E1080" i="8"/>
  <c r="E939" i="8"/>
  <c r="C939" i="8"/>
  <c r="E3159" i="8"/>
  <c r="E69" i="8"/>
  <c r="E3157" i="8"/>
  <c r="C3157" i="8"/>
  <c r="E2624" i="8"/>
  <c r="C1090" i="8"/>
  <c r="E2004" i="8"/>
  <c r="E1755" i="8"/>
  <c r="E3650" i="8"/>
  <c r="E959" i="8"/>
  <c r="E2738" i="8"/>
  <c r="C568" i="8"/>
  <c r="E567" i="8"/>
  <c r="C3017" i="8"/>
  <c r="E3017" i="8"/>
  <c r="E3620" i="8"/>
  <c r="E1121" i="8"/>
  <c r="E265" i="8"/>
  <c r="C3582" i="8"/>
  <c r="E3582" i="8"/>
  <c r="E1528" i="8"/>
  <c r="C2430" i="8"/>
  <c r="E2430" i="8"/>
  <c r="E741" i="8"/>
  <c r="E1620" i="8"/>
  <c r="E422" i="8"/>
  <c r="C1949" i="8"/>
  <c r="E1949" i="8"/>
  <c r="C1950" i="8"/>
  <c r="E2080" i="8"/>
  <c r="C2633" i="8"/>
  <c r="E2633" i="8"/>
  <c r="E2907" i="8"/>
  <c r="C2907" i="8"/>
  <c r="E1831" i="8"/>
  <c r="E1227" i="8"/>
  <c r="E3055" i="8"/>
  <c r="E3638" i="8"/>
  <c r="E1136" i="8"/>
  <c r="E597" i="8"/>
  <c r="E3118" i="8"/>
  <c r="E1103" i="8"/>
  <c r="E2638" i="8"/>
  <c r="C2160" i="8"/>
  <c r="E1545" i="8"/>
  <c r="E3538" i="8"/>
  <c r="E2407" i="8"/>
  <c r="E3102" i="8"/>
  <c r="E224" i="8"/>
  <c r="E3049" i="8"/>
  <c r="E1183" i="8"/>
  <c r="E3100" i="8"/>
  <c r="E1584" i="8"/>
  <c r="E1683" i="8"/>
  <c r="E2246" i="8"/>
  <c r="C1621" i="8"/>
  <c r="C3085" i="8"/>
  <c r="C1662" i="8"/>
  <c r="E2578" i="8"/>
  <c r="C1172" i="8"/>
  <c r="C3478" i="8"/>
  <c r="C3538" i="8"/>
  <c r="E1848" i="8"/>
  <c r="E1297" i="8"/>
  <c r="E577" i="8"/>
  <c r="E1693" i="8"/>
  <c r="C3646" i="8"/>
  <c r="E454" i="8"/>
  <c r="E1925" i="8"/>
  <c r="E2435" i="8"/>
  <c r="C2517" i="8"/>
  <c r="C488" i="8"/>
  <c r="C1192" i="8"/>
  <c r="E2410" i="8"/>
  <c r="E43" i="8"/>
  <c r="E150" i="8"/>
  <c r="E2321" i="8"/>
  <c r="E340" i="8"/>
  <c r="E19" i="8"/>
  <c r="E2513" i="8"/>
  <c r="C2388" i="8"/>
  <c r="C2613" i="8"/>
  <c r="C805" i="8"/>
  <c r="C3610" i="8"/>
  <c r="C3561" i="8"/>
  <c r="C2531" i="8"/>
  <c r="C1425" i="8"/>
  <c r="C1783" i="8"/>
  <c r="C3519" i="8"/>
  <c r="C2444" i="8"/>
  <c r="C767" i="8"/>
  <c r="C2231" i="8"/>
  <c r="C584" i="8"/>
  <c r="C2996" i="8"/>
  <c r="C3440" i="8"/>
  <c r="C1313" i="8"/>
  <c r="C2881" i="8"/>
  <c r="C1902" i="8"/>
  <c r="C3354" i="8"/>
  <c r="C3277" i="8"/>
  <c r="C2416" i="8"/>
  <c r="C3501" i="8"/>
  <c r="C783" i="8"/>
  <c r="C453" i="8"/>
  <c r="C1657" i="8"/>
  <c r="C3400" i="8"/>
  <c r="C468" i="8"/>
  <c r="C1755" i="8"/>
  <c r="C3544" i="8"/>
  <c r="C1428" i="8"/>
  <c r="C1799" i="8"/>
  <c r="C1268" i="8"/>
  <c r="C2100" i="8"/>
  <c r="C76" i="8"/>
  <c r="C1554" i="8"/>
  <c r="C361" i="8"/>
  <c r="E88" i="8"/>
  <c r="E2657" i="8"/>
  <c r="E1084" i="8"/>
  <c r="E2724" i="8"/>
  <c r="E1814" i="8"/>
  <c r="E2314" i="8"/>
  <c r="E2674" i="8"/>
  <c r="E1120" i="8"/>
  <c r="E3200" i="8"/>
  <c r="E2373" i="8"/>
  <c r="C621" i="8"/>
  <c r="E3083" i="8"/>
  <c r="E399" i="8"/>
  <c r="E3290" i="8"/>
  <c r="E3566" i="8"/>
  <c r="E2479" i="8"/>
  <c r="C20" i="8"/>
  <c r="C2443" i="8"/>
  <c r="C973" i="8"/>
  <c r="C2336" i="8"/>
  <c r="E2244" i="8"/>
  <c r="C875" i="8"/>
  <c r="E2276" i="8"/>
  <c r="E626" i="8"/>
  <c r="E3488" i="8"/>
  <c r="E1649" i="8"/>
  <c r="E2473" i="8"/>
  <c r="E2850" i="8"/>
  <c r="E1444" i="8"/>
  <c r="C1261" i="8"/>
  <c r="C1013" i="8"/>
  <c r="C1614" i="8"/>
  <c r="C1068" i="8"/>
  <c r="E1616" i="8"/>
  <c r="E786" i="8"/>
  <c r="E359" i="8"/>
  <c r="E1740" i="8"/>
  <c r="E666" i="8"/>
  <c r="E1815" i="8"/>
  <c r="E2710" i="8"/>
  <c r="E1378" i="8"/>
  <c r="C1161" i="8"/>
  <c r="E494" i="8"/>
  <c r="C2557" i="8"/>
  <c r="E2992" i="8"/>
  <c r="E2088" i="8"/>
  <c r="C3334" i="8"/>
  <c r="E1558" i="8"/>
  <c r="E758" i="8"/>
  <c r="E2016" i="8"/>
  <c r="C1779" i="8"/>
  <c r="C1746" i="8"/>
  <c r="E1746" i="8"/>
  <c r="E2797" i="8"/>
  <c r="C2798" i="8"/>
  <c r="C1515" i="8"/>
  <c r="E1515" i="8"/>
  <c r="E3206" i="8"/>
  <c r="E2106" i="8"/>
  <c r="E3298" i="8"/>
  <c r="C3299" i="8"/>
  <c r="C3029" i="8"/>
  <c r="E3029" i="8"/>
  <c r="E2358" i="8"/>
  <c r="E985" i="8"/>
  <c r="C1046" i="8"/>
  <c r="E1045" i="8"/>
  <c r="C1784" i="8"/>
  <c r="E3507" i="8"/>
  <c r="C3507" i="8"/>
  <c r="E2029" i="8"/>
  <c r="E1442" i="8"/>
  <c r="E3052" i="8"/>
  <c r="E2270" i="8"/>
  <c r="E937" i="8"/>
  <c r="C1978" i="8"/>
  <c r="E1977" i="8"/>
  <c r="C1356" i="8"/>
  <c r="C3432" i="8"/>
  <c r="C956" i="8"/>
  <c r="C748" i="8"/>
  <c r="E3489" i="8"/>
  <c r="C259" i="8"/>
  <c r="C135" i="8"/>
  <c r="E135" i="8"/>
  <c r="E158" i="8"/>
  <c r="C2446" i="8"/>
  <c r="C315" i="8"/>
  <c r="E315" i="8"/>
  <c r="C385" i="8"/>
  <c r="E3271" i="8"/>
  <c r="E2808" i="8"/>
  <c r="E3590" i="8"/>
  <c r="E2323" i="8"/>
  <c r="C318" i="8"/>
  <c r="C3385" i="8"/>
  <c r="C2758" i="8"/>
  <c r="E2757" i="8"/>
  <c r="C2425" i="8"/>
  <c r="C1160" i="8"/>
  <c r="E1404" i="8"/>
  <c r="C1405" i="8"/>
  <c r="C1452" i="8"/>
  <c r="E1451" i="8"/>
  <c r="C2221" i="8"/>
  <c r="E2995" i="8"/>
  <c r="C341" i="8"/>
  <c r="E2871" i="8"/>
  <c r="E2174" i="8"/>
  <c r="C2174" i="8"/>
  <c r="E1701" i="8"/>
  <c r="C2467" i="8"/>
  <c r="E2466" i="8"/>
  <c r="C2466" i="8"/>
  <c r="C995" i="8"/>
  <c r="E995" i="8"/>
  <c r="E3561" i="8"/>
  <c r="C2411" i="8"/>
  <c r="E1033" i="8"/>
  <c r="C1596" i="8"/>
  <c r="E1595" i="8"/>
  <c r="C2901" i="8"/>
  <c r="E2901" i="8"/>
  <c r="C1289" i="8"/>
  <c r="E1288" i="8"/>
  <c r="E3594" i="8"/>
  <c r="E1972" i="8"/>
  <c r="E612" i="8"/>
  <c r="E2682" i="8"/>
  <c r="E1034" i="8"/>
  <c r="C1973" i="8"/>
  <c r="C2711" i="8"/>
  <c r="C598" i="8"/>
  <c r="C1033" i="8"/>
  <c r="E896" i="8"/>
  <c r="E1850" i="8"/>
  <c r="E2697" i="8"/>
  <c r="E1761" i="8"/>
  <c r="E1914" i="8"/>
  <c r="E3258" i="8"/>
  <c r="C637" i="8"/>
  <c r="E637" i="8"/>
  <c r="E3144" i="8"/>
  <c r="C2497" i="8"/>
  <c r="E2735" i="8"/>
  <c r="C1230" i="8"/>
  <c r="C884" i="8"/>
  <c r="C1386" i="8"/>
  <c r="E1386" i="8"/>
  <c r="C2510" i="8"/>
  <c r="E2510" i="8"/>
  <c r="E838" i="8"/>
  <c r="C838" i="8"/>
  <c r="E3635" i="8"/>
  <c r="C3027" i="8"/>
  <c r="C2712" i="8"/>
  <c r="C2713" i="8"/>
  <c r="E2712" i="8"/>
  <c r="C1647" i="8"/>
  <c r="E1647" i="8"/>
  <c r="E1044" i="8"/>
  <c r="C1299" i="8"/>
  <c r="C1298" i="8"/>
  <c r="E2812" i="8"/>
  <c r="C1829" i="8"/>
  <c r="C462" i="8"/>
  <c r="E462" i="8"/>
  <c r="C3286" i="8"/>
  <c r="E120" i="8"/>
  <c r="E2925" i="8"/>
  <c r="C981" i="8"/>
  <c r="E980" i="8"/>
  <c r="E1655" i="8"/>
  <c r="C2417" i="8"/>
  <c r="E2417" i="8"/>
  <c r="C3518" i="8"/>
  <c r="C3517" i="8"/>
  <c r="E1664" i="8"/>
  <c r="E2390" i="8"/>
  <c r="E2229" i="8"/>
  <c r="C3281" i="8"/>
  <c r="E3280" i="8"/>
  <c r="C1597" i="8"/>
  <c r="E1597" i="8"/>
  <c r="C850" i="8"/>
  <c r="E1553" i="8"/>
  <c r="E360" i="8"/>
  <c r="C2778" i="8"/>
  <c r="C1459" i="8"/>
  <c r="C1460" i="8"/>
  <c r="E1459" i="8"/>
  <c r="C2232" i="8"/>
  <c r="E2232" i="8"/>
  <c r="C3366" i="8"/>
  <c r="E3366" i="8"/>
  <c r="E3276" i="8"/>
  <c r="E2011" i="8"/>
  <c r="C1015" i="8"/>
  <c r="E1014" i="8"/>
  <c r="C2420" i="8"/>
  <c r="E2419" i="8"/>
  <c r="C2627" i="8"/>
  <c r="C304" i="8"/>
  <c r="C266" i="8"/>
  <c r="C267" i="8"/>
  <c r="C1963" i="8"/>
  <c r="C1964" i="8"/>
  <c r="E1963" i="8"/>
  <c r="E928" i="8"/>
  <c r="C1702" i="8"/>
  <c r="E1702" i="8"/>
  <c r="E1435" i="8"/>
  <c r="E1491" i="8"/>
  <c r="E1738" i="8"/>
  <c r="E3109" i="8"/>
  <c r="C1570" i="8"/>
  <c r="E1570" i="8"/>
  <c r="E1600" i="8"/>
  <c r="E875" i="8"/>
  <c r="E1782" i="8"/>
  <c r="C1865" i="8"/>
  <c r="E1865" i="8"/>
  <c r="E2610" i="8"/>
  <c r="E3002" i="8"/>
  <c r="E266" i="8"/>
  <c r="E2099" i="8"/>
  <c r="E3254" i="8"/>
  <c r="E3384" i="8"/>
  <c r="E3494" i="8"/>
  <c r="E2411" i="8"/>
  <c r="E704" i="8"/>
  <c r="C2611" i="8"/>
  <c r="E1302" i="8"/>
  <c r="E1174" i="8"/>
  <c r="C1896" i="8"/>
  <c r="E1896" i="8"/>
  <c r="E1607" i="8"/>
  <c r="C1607" i="8"/>
  <c r="E2678" i="8"/>
  <c r="C2678" i="8"/>
  <c r="E2158" i="8"/>
  <c r="C2933" i="8"/>
  <c r="E2917" i="8"/>
  <c r="C3180" i="8"/>
  <c r="E2889" i="8"/>
  <c r="E2274" i="8"/>
  <c r="C1006" i="8"/>
  <c r="E2955" i="8"/>
  <c r="C2014" i="8"/>
  <c r="E2014" i="8"/>
  <c r="E2069" i="8"/>
  <c r="C2069" i="8"/>
  <c r="E3487" i="8"/>
  <c r="C343" i="8"/>
  <c r="E2465" i="8"/>
  <c r="C2465" i="8"/>
  <c r="C1819" i="8"/>
  <c r="E1819" i="8"/>
  <c r="E1347" i="8"/>
  <c r="E128" i="8"/>
  <c r="E2984" i="8"/>
  <c r="C1640" i="8"/>
  <c r="E1640" i="8"/>
  <c r="E3439" i="8"/>
  <c r="E2541" i="8"/>
  <c r="E1161" i="8"/>
  <c r="E833" i="8"/>
  <c r="C757" i="8"/>
  <c r="C2607" i="8"/>
  <c r="C119" i="8"/>
  <c r="C1351" i="8"/>
  <c r="C804" i="8"/>
  <c r="E1931" i="8"/>
  <c r="E3563" i="8"/>
  <c r="E676" i="8"/>
  <c r="E1768" i="8"/>
  <c r="E479" i="8"/>
  <c r="E816" i="8"/>
  <c r="E3132" i="8"/>
  <c r="E1039" i="8"/>
  <c r="E973" i="8"/>
  <c r="E560" i="8"/>
  <c r="C310" i="8"/>
  <c r="C2889" i="8"/>
  <c r="C327" i="8"/>
  <c r="C756" i="8"/>
  <c r="C2624" i="8"/>
  <c r="C2386" i="8"/>
  <c r="C1768" i="8"/>
  <c r="E2066" i="8"/>
  <c r="C8" i="8"/>
  <c r="C2681" i="8"/>
  <c r="E2344" i="8"/>
  <c r="E2266" i="8"/>
  <c r="C876" i="8"/>
  <c r="C877" i="8"/>
  <c r="E3341" i="8"/>
  <c r="E3512" i="8"/>
  <c r="E2583" i="8"/>
  <c r="C3369" i="8"/>
  <c r="C647" i="8"/>
  <c r="E647" i="8"/>
  <c r="E2349" i="8"/>
  <c r="C2350" i="8"/>
  <c r="C3004" i="8"/>
  <c r="C3003" i="8"/>
  <c r="C2675" i="8"/>
  <c r="C2676" i="8"/>
  <c r="E2039" i="8"/>
  <c r="C2040" i="8"/>
  <c r="E976" i="8"/>
  <c r="E1864" i="8"/>
  <c r="E2831" i="8"/>
  <c r="C308" i="8"/>
  <c r="C309" i="8"/>
  <c r="E473" i="8"/>
  <c r="C473" i="8"/>
  <c r="E276" i="8"/>
  <c r="E3380" i="8"/>
  <c r="E2675" i="8"/>
  <c r="C1362" i="8"/>
  <c r="C1174" i="8"/>
  <c r="C3201" i="8"/>
  <c r="E1128" i="8"/>
  <c r="E887" i="8"/>
  <c r="C887" i="8"/>
  <c r="E2459" i="8"/>
  <c r="E1839" i="8"/>
  <c r="C1839" i="8"/>
  <c r="E919" i="8"/>
  <c r="C526" i="8"/>
  <c r="E525" i="8"/>
  <c r="C525" i="8"/>
  <c r="E2542" i="8"/>
  <c r="E66" i="8"/>
  <c r="C2402" i="8"/>
  <c r="E2784" i="8"/>
  <c r="E449" i="8"/>
  <c r="C1660" i="8"/>
  <c r="E1660" i="8"/>
  <c r="E1441" i="8"/>
  <c r="E599" i="8"/>
  <c r="E2485" i="8"/>
  <c r="C2486" i="8"/>
  <c r="E1572" i="8"/>
  <c r="E1467" i="8"/>
  <c r="C3204" i="8"/>
  <c r="E3204" i="8"/>
  <c r="E3462" i="8"/>
  <c r="C3463" i="8"/>
  <c r="E990" i="8"/>
  <c r="E2755" i="8"/>
  <c r="E1316" i="8"/>
  <c r="C1317" i="8"/>
  <c r="E2293" i="8"/>
  <c r="C2293" i="8"/>
  <c r="E2052" i="8"/>
  <c r="E1173" i="8"/>
  <c r="E275" i="8"/>
  <c r="C3090" i="8"/>
  <c r="E3090" i="8"/>
  <c r="E1646" i="8"/>
  <c r="C342" i="8"/>
  <c r="C2598" i="8"/>
  <c r="E1022" i="8"/>
  <c r="C1861" i="8"/>
  <c r="E1861" i="8"/>
  <c r="E2098" i="8"/>
  <c r="E806" i="8"/>
  <c r="E2231" i="8"/>
  <c r="C3122" i="8"/>
  <c r="E3615" i="8"/>
  <c r="C3615" i="8"/>
  <c r="C3387" i="8"/>
  <c r="C3386" i="8"/>
  <c r="E3386" i="8"/>
  <c r="E2978" i="8"/>
  <c r="C2979" i="8"/>
  <c r="E1402" i="8"/>
  <c r="C89" i="8"/>
  <c r="C1974" i="8"/>
  <c r="C2278" i="8"/>
  <c r="C2277" i="8"/>
  <c r="E1013" i="8"/>
  <c r="E8" i="8"/>
  <c r="E1549" i="8"/>
  <c r="E2189" i="8"/>
  <c r="E3641" i="8"/>
  <c r="E1932" i="8"/>
  <c r="E2598" i="8"/>
  <c r="C2159" i="8"/>
  <c r="C2039" i="8"/>
  <c r="C2985" i="8"/>
  <c r="C3650" i="8"/>
  <c r="C575" i="8"/>
  <c r="C2608" i="8"/>
  <c r="C3200" i="8"/>
  <c r="E1783" i="8"/>
  <c r="C2490" i="8"/>
  <c r="C1387" i="8"/>
  <c r="C329" i="8"/>
  <c r="C638" i="8"/>
  <c r="C2504" i="8"/>
  <c r="E2942" i="8"/>
  <c r="C949" i="8"/>
  <c r="C3617" i="8"/>
  <c r="C3098" i="8"/>
  <c r="C587" i="8"/>
  <c r="E1428" i="8"/>
  <c r="E3006" i="8"/>
  <c r="E385" i="8"/>
  <c r="C1454" i="8"/>
  <c r="C2572" i="8"/>
  <c r="C3206" i="8"/>
  <c r="C2958" i="8"/>
  <c r="C2868" i="8"/>
  <c r="C874" i="8"/>
  <c r="C294" i="8"/>
  <c r="C2121" i="8"/>
  <c r="C2290" i="8"/>
  <c r="C2023" i="8"/>
  <c r="C3317" i="8"/>
  <c r="C3512" i="8"/>
  <c r="C1655" i="8"/>
  <c r="E1799" i="8"/>
  <c r="E906" i="8"/>
  <c r="E246" i="8"/>
  <c r="E1313" i="8"/>
  <c r="E3544" i="8"/>
  <c r="E2767" i="8"/>
  <c r="E2557" i="8"/>
  <c r="E748" i="8"/>
  <c r="E638" i="8"/>
  <c r="E2579" i="8"/>
  <c r="E1753" i="8"/>
  <c r="C1923" i="8"/>
  <c r="C1253" i="8"/>
  <c r="C409" i="8"/>
  <c r="C2105" i="8"/>
  <c r="C829" i="8"/>
  <c r="C122" i="8"/>
  <c r="E681" i="8"/>
  <c r="C1385" i="8"/>
  <c r="E263" i="8"/>
  <c r="E2732" i="8"/>
  <c r="E2996" i="8"/>
  <c r="E1202" i="8"/>
  <c r="C234" i="8"/>
  <c r="C2088" i="8"/>
  <c r="C219" i="8"/>
  <c r="E1268" i="8"/>
  <c r="E1425" i="8"/>
  <c r="E2048" i="8"/>
  <c r="C3335" i="8"/>
  <c r="C1487" i="8"/>
  <c r="C3520" i="8"/>
  <c r="E167" i="8"/>
  <c r="E1487" i="8"/>
  <c r="C2024" i="8"/>
  <c r="C264" i="8"/>
  <c r="C2369" i="8"/>
  <c r="C1057" i="8"/>
  <c r="C2229" i="8"/>
  <c r="C3207" i="8"/>
  <c r="C437" i="8"/>
  <c r="C1598" i="8"/>
  <c r="C1492" i="8"/>
  <c r="C3632" i="8"/>
  <c r="C3271" i="8"/>
  <c r="C790" i="8"/>
  <c r="C360" i="8"/>
  <c r="C235" i="8"/>
  <c r="C2058" i="8"/>
  <c r="C2989" i="8"/>
  <c r="C2589" i="8"/>
  <c r="C2362" i="8"/>
  <c r="C3052" i="8"/>
  <c r="C1376" i="8"/>
  <c r="C1037" i="8"/>
  <c r="E1923" i="8"/>
  <c r="E2588" i="8"/>
  <c r="E1197" i="8"/>
  <c r="E3277" i="8"/>
  <c r="C313" i="8"/>
  <c r="E3517" i="8"/>
  <c r="C1490" i="8"/>
  <c r="C1960" i="8"/>
  <c r="C1045" i="8"/>
  <c r="E956" i="8"/>
  <c r="E3432" i="8"/>
  <c r="C205" i="8"/>
  <c r="E1902" i="8"/>
  <c r="E3560" i="8"/>
  <c r="E3354" i="8"/>
  <c r="E1966" i="8"/>
  <c r="E2446" i="8"/>
  <c r="E2444" i="8"/>
  <c r="C2964" i="8"/>
  <c r="E819" i="8"/>
  <c r="C819" i="8"/>
  <c r="C85" i="8"/>
  <c r="E85" i="8"/>
  <c r="C86" i="8"/>
  <c r="C386" i="8"/>
  <c r="E386" i="8"/>
  <c r="C387" i="8"/>
  <c r="C2163" i="8"/>
  <c r="E2163" i="8"/>
  <c r="C1724" i="8"/>
  <c r="E1724" i="8"/>
  <c r="C2055" i="8"/>
  <c r="E2055" i="8"/>
  <c r="C1388" i="8"/>
  <c r="E1388" i="8"/>
  <c r="C2915" i="8"/>
  <c r="E2915" i="8"/>
  <c r="C2185" i="8"/>
  <c r="C2186" i="8"/>
  <c r="E2185" i="8"/>
  <c r="E1204" i="8"/>
  <c r="C1205" i="8"/>
  <c r="C1204" i="8"/>
  <c r="E2640" i="8"/>
  <c r="C2640" i="8"/>
  <c r="C2393" i="8"/>
  <c r="E2393" i="8"/>
  <c r="C863" i="8"/>
  <c r="E863" i="8"/>
  <c r="C3445" i="8"/>
  <c r="C3446" i="8"/>
  <c r="E3445" i="8"/>
  <c r="C2136" i="8"/>
  <c r="E2136" i="8"/>
  <c r="C703" i="8"/>
  <c r="C704" i="8"/>
  <c r="E703" i="8"/>
  <c r="E3326" i="8"/>
  <c r="C3326" i="8"/>
  <c r="C1909" i="8"/>
  <c r="C1908" i="8"/>
  <c r="E1908" i="8"/>
  <c r="C1547" i="8"/>
  <c r="C3154" i="8"/>
  <c r="C3155" i="8"/>
  <c r="E3154" i="8"/>
  <c r="C439" i="8"/>
  <c r="E439" i="8"/>
  <c r="C440" i="8"/>
  <c r="C2717" i="8"/>
  <c r="C2716" i="8"/>
  <c r="E2716" i="8"/>
  <c r="C401" i="8"/>
  <c r="E401" i="8"/>
  <c r="C1731" i="8"/>
  <c r="E1731" i="8"/>
  <c r="C1184" i="8"/>
  <c r="E1184" i="8"/>
  <c r="C3586" i="8"/>
  <c r="E3586" i="8"/>
  <c r="C792" i="8"/>
  <c r="E792" i="8"/>
  <c r="C1612" i="8"/>
  <c r="E1612" i="8"/>
  <c r="C1613" i="8"/>
  <c r="C737" i="8"/>
  <c r="E737" i="8"/>
  <c r="C738" i="8"/>
  <c r="C73" i="8"/>
  <c r="E72" i="8"/>
  <c r="C72" i="8"/>
  <c r="E3229" i="8"/>
  <c r="C3229" i="8"/>
  <c r="C733" i="8"/>
  <c r="E733" i="8"/>
  <c r="C1008" i="8"/>
  <c r="C1009" i="8"/>
  <c r="E1008" i="8"/>
  <c r="C2068" i="8"/>
  <c r="C2067" i="8"/>
  <c r="E2067" i="8"/>
  <c r="C311" i="8"/>
  <c r="C312" i="8"/>
  <c r="E311" i="8"/>
  <c r="C840" i="8"/>
  <c r="C841" i="8"/>
  <c r="E840" i="8"/>
  <c r="C2279" i="8"/>
  <c r="C2280" i="8"/>
  <c r="E2279" i="8"/>
  <c r="C1136" i="8"/>
  <c r="C1135" i="8"/>
  <c r="E1135" i="8"/>
  <c r="C917" i="8"/>
  <c r="E917" i="8"/>
  <c r="E1337" i="8"/>
  <c r="C1338" i="8"/>
  <c r="C1337" i="8"/>
  <c r="C2756" i="8"/>
  <c r="C2757" i="8"/>
  <c r="E2756" i="8"/>
  <c r="E2622" i="8"/>
  <c r="C2622" i="8"/>
  <c r="C2623" i="8"/>
  <c r="C1327" i="8"/>
  <c r="C1326" i="8"/>
  <c r="E1326" i="8"/>
  <c r="C2900" i="8"/>
  <c r="C2899" i="8"/>
  <c r="E2899" i="8"/>
  <c r="C1101" i="8"/>
  <c r="E1101" i="8"/>
  <c r="C673" i="8"/>
  <c r="C674" i="8"/>
  <c r="E673" i="8"/>
  <c r="C1497" i="8"/>
  <c r="C1496" i="8"/>
  <c r="E1496" i="8"/>
  <c r="C1833" i="8"/>
  <c r="E1832" i="8"/>
  <c r="C1832" i="8"/>
  <c r="C946" i="8"/>
  <c r="E946" i="8"/>
  <c r="C1899" i="8"/>
  <c r="C1898" i="8"/>
  <c r="E1898" i="8"/>
  <c r="C2170" i="8"/>
  <c r="C2169" i="8"/>
  <c r="E2169" i="8"/>
  <c r="C2976" i="8"/>
  <c r="E2976" i="8"/>
  <c r="C2150" i="8"/>
  <c r="C2151" i="8"/>
  <c r="E2150" i="8"/>
  <c r="C1500" i="8"/>
  <c r="E1500" i="8"/>
  <c r="C538" i="8"/>
  <c r="E538" i="8"/>
  <c r="C2265" i="8"/>
  <c r="C2266" i="8"/>
  <c r="E2265" i="8"/>
  <c r="C1912" i="8"/>
  <c r="C1913" i="8"/>
  <c r="E1912" i="8"/>
  <c r="C3046" i="8"/>
  <c r="E3046" i="8"/>
  <c r="C3239" i="8"/>
  <c r="E3239" i="8"/>
  <c r="C1113" i="8"/>
  <c r="E1113" i="8"/>
  <c r="C3497" i="8"/>
  <c r="E3496" i="8"/>
  <c r="C3496" i="8"/>
  <c r="C3112" i="8"/>
  <c r="E3112" i="8"/>
  <c r="C1210" i="8"/>
  <c r="E1209" i="8"/>
  <c r="C1209" i="8"/>
  <c r="C292" i="8"/>
  <c r="C293" i="8"/>
  <c r="E292" i="8"/>
  <c r="C3593" i="8"/>
  <c r="C3594" i="8"/>
  <c r="E3593" i="8"/>
  <c r="C3530" i="8"/>
  <c r="E3530" i="8"/>
  <c r="C2500" i="8"/>
  <c r="C2501" i="8"/>
  <c r="E2500" i="8"/>
  <c r="C168" i="8"/>
  <c r="E168" i="8"/>
  <c r="C3095" i="8"/>
  <c r="C3096" i="8"/>
  <c r="E3095" i="8"/>
  <c r="C415" i="8"/>
  <c r="C416" i="8"/>
  <c r="E415" i="8"/>
  <c r="C3391" i="8"/>
  <c r="C3390" i="8"/>
  <c r="E3390" i="8"/>
  <c r="C1509" i="8"/>
  <c r="E1509" i="8"/>
  <c r="C1271" i="8"/>
  <c r="E1271" i="8"/>
  <c r="C2227" i="8"/>
  <c r="E2227" i="8"/>
  <c r="C1535" i="8"/>
  <c r="E1535" i="8"/>
  <c r="C1536" i="8"/>
  <c r="C1284" i="8"/>
  <c r="C1285" i="8"/>
  <c r="E1284" i="8"/>
  <c r="C175" i="8"/>
  <c r="E175" i="8"/>
  <c r="C547" i="8"/>
  <c r="E547" i="8"/>
  <c r="C3303" i="8"/>
  <c r="E3303" i="8"/>
  <c r="C1788" i="8"/>
  <c r="E1788" i="8"/>
  <c r="C1234" i="8"/>
  <c r="E1234" i="8"/>
  <c r="C2779" i="8"/>
  <c r="E2779" i="8"/>
  <c r="C665" i="8"/>
  <c r="E665" i="8"/>
  <c r="C666" i="8"/>
  <c r="C1675" i="8"/>
  <c r="E1675" i="8"/>
  <c r="E2845" i="8"/>
  <c r="C2845" i="8"/>
  <c r="E247" i="8"/>
  <c r="C247" i="8"/>
  <c r="C1809" i="8"/>
  <c r="E1809" i="8"/>
  <c r="E3272" i="8"/>
  <c r="C3272" i="8"/>
  <c r="C2396" i="8"/>
  <c r="C2395" i="8"/>
  <c r="E2395" i="8"/>
  <c r="E2570" i="8"/>
  <c r="C2570" i="8"/>
  <c r="C1352" i="8"/>
  <c r="E1352" i="8"/>
  <c r="C487" i="8"/>
  <c r="C486" i="8"/>
  <c r="E486" i="8"/>
  <c r="C1855" i="8"/>
  <c r="C1854" i="8"/>
  <c r="E1854" i="8"/>
  <c r="C1781" i="8"/>
  <c r="C1782" i="8"/>
  <c r="E1781" i="8"/>
  <c r="C2026" i="8"/>
  <c r="E2026" i="8"/>
  <c r="C1340" i="8"/>
  <c r="E1339" i="8"/>
  <c r="C1339" i="8"/>
  <c r="C111" i="8"/>
  <c r="E111" i="8"/>
  <c r="C1145" i="8"/>
  <c r="E1145" i="8"/>
  <c r="C1146" i="8"/>
  <c r="C2527" i="8"/>
  <c r="C2526" i="8"/>
  <c r="E2526" i="8"/>
  <c r="C2684" i="8"/>
  <c r="C2683" i="8"/>
  <c r="E2683" i="8"/>
  <c r="C1041" i="8"/>
  <c r="E1040" i="8"/>
  <c r="C1040" i="8"/>
  <c r="C1858" i="8"/>
  <c r="E1858" i="8"/>
  <c r="E546" i="8"/>
  <c r="C546" i="8"/>
  <c r="C3294" i="8"/>
  <c r="E3294" i="8"/>
  <c r="C611" i="8"/>
  <c r="C610" i="8"/>
  <c r="E610" i="8"/>
  <c r="E3087" i="8"/>
  <c r="C3087" i="8"/>
  <c r="E3273" i="8"/>
  <c r="C3274" i="8"/>
  <c r="C3273" i="8"/>
  <c r="E2837" i="8"/>
  <c r="C2837" i="8"/>
  <c r="C1116" i="8"/>
  <c r="E1116" i="8"/>
  <c r="C1980" i="8"/>
  <c r="E1980" i="8"/>
  <c r="C2741" i="8"/>
  <c r="E2741" i="8"/>
  <c r="C2742" i="8"/>
  <c r="C45" i="8"/>
  <c r="C44" i="8"/>
  <c r="E44" i="8"/>
  <c r="C2287" i="8"/>
  <c r="E2287" i="8"/>
  <c r="C154" i="8"/>
  <c r="E154" i="8"/>
  <c r="C2217" i="8"/>
  <c r="E2217" i="8"/>
  <c r="C2997" i="8"/>
  <c r="E2997" i="8"/>
  <c r="E2148" i="8"/>
  <c r="C2149" i="8"/>
  <c r="C2148" i="8"/>
  <c r="E2944" i="8"/>
  <c r="C2944" i="8"/>
  <c r="C869" i="8"/>
  <c r="E869" i="8"/>
  <c r="C1300" i="8"/>
  <c r="E1300" i="8"/>
  <c r="E3050" i="8"/>
  <c r="C3050" i="8"/>
  <c r="C3051" i="8"/>
  <c r="C688" i="8"/>
  <c r="C689" i="8"/>
  <c r="E688" i="8"/>
  <c r="C2961" i="8"/>
  <c r="E2961" i="8"/>
  <c r="C1021" i="8"/>
  <c r="E1021" i="8"/>
  <c r="C277" i="8"/>
  <c r="E277" i="8"/>
  <c r="E2729" i="8"/>
  <c r="C2729" i="8"/>
  <c r="C963" i="8"/>
  <c r="C964" i="8"/>
  <c r="E963" i="8"/>
  <c r="C2137" i="8"/>
  <c r="C2138" i="8"/>
  <c r="E2137" i="8"/>
  <c r="E1547" i="8"/>
  <c r="C552" i="8"/>
  <c r="C551" i="8"/>
  <c r="E551" i="8"/>
  <c r="C3256" i="8"/>
  <c r="E3256" i="8"/>
  <c r="E680" i="8"/>
  <c r="C680" i="8"/>
  <c r="C3336" i="8"/>
  <c r="E3336" i="8"/>
  <c r="C1359" i="8"/>
  <c r="C1358" i="8"/>
  <c r="E1358" i="8"/>
  <c r="C3414" i="8"/>
  <c r="C3413" i="8"/>
  <c r="E3413" i="8"/>
  <c r="C2807" i="8"/>
  <c r="C2651" i="8"/>
  <c r="C2652" i="8"/>
  <c r="E2651" i="8"/>
  <c r="C26" i="8"/>
  <c r="E26" i="8"/>
  <c r="E2450" i="8"/>
  <c r="C2450" i="8"/>
  <c r="E369" i="8"/>
  <c r="C369" i="8"/>
  <c r="C1319" i="8"/>
  <c r="E1319" i="8"/>
  <c r="C1320" i="8"/>
  <c r="C1763" i="8"/>
  <c r="E1763" i="8"/>
  <c r="C1244" i="8"/>
  <c r="E1244" i="8"/>
  <c r="C943" i="8"/>
  <c r="C944" i="8"/>
  <c r="E943" i="8"/>
  <c r="C644" i="8"/>
  <c r="C645" i="8"/>
  <c r="E644" i="8"/>
  <c r="C3419" i="8"/>
  <c r="C3420" i="8"/>
  <c r="E3419" i="8"/>
  <c r="C50" i="8"/>
  <c r="E50" i="8"/>
  <c r="C3226" i="8"/>
  <c r="E3226" i="8"/>
  <c r="C3227" i="8"/>
  <c r="C117" i="8"/>
  <c r="C118" i="8"/>
  <c r="E117" i="8"/>
  <c r="C192" i="8"/>
  <c r="C193" i="8"/>
  <c r="E192" i="8"/>
  <c r="C10" i="8"/>
  <c r="C9" i="8"/>
  <c r="E9" i="8"/>
  <c r="E712" i="8"/>
  <c r="C712" i="8"/>
  <c r="C1954" i="8"/>
  <c r="E1954" i="8"/>
  <c r="C2189" i="8"/>
  <c r="C2188" i="8"/>
  <c r="E2188" i="8"/>
  <c r="C2028" i="8"/>
  <c r="E2028" i="8"/>
  <c r="C582" i="8"/>
  <c r="E582" i="8"/>
  <c r="C389" i="8"/>
  <c r="C390" i="8"/>
  <c r="E389" i="8"/>
  <c r="C3564" i="8"/>
  <c r="E3564" i="8"/>
  <c r="C2086" i="8"/>
  <c r="C2087" i="8"/>
  <c r="E2086" i="8"/>
  <c r="E2569" i="8"/>
  <c r="C2569" i="8"/>
  <c r="C1777" i="8"/>
  <c r="E1777" i="8"/>
  <c r="C3325" i="8"/>
  <c r="E3325" i="8"/>
  <c r="C177" i="8"/>
  <c r="E177" i="8"/>
  <c r="C2600" i="8"/>
  <c r="E2600" i="8"/>
  <c r="C2721" i="8"/>
  <c r="C2722" i="8"/>
  <c r="E2721" i="8"/>
  <c r="C32" i="8"/>
  <c r="C31" i="8"/>
  <c r="E31" i="8"/>
  <c r="C725" i="8"/>
  <c r="E724" i="8"/>
  <c r="C724" i="8"/>
  <c r="C2051" i="8"/>
  <c r="E2051" i="8"/>
  <c r="C2870" i="8"/>
  <c r="E2870" i="8"/>
  <c r="C2871" i="8"/>
  <c r="C3216" i="8"/>
  <c r="C3217" i="8"/>
  <c r="E3216" i="8"/>
  <c r="C215" i="8"/>
  <c r="E215" i="8"/>
  <c r="C239" i="8"/>
  <c r="C238" i="8"/>
  <c r="E238" i="8"/>
  <c r="C2233" i="8"/>
  <c r="C2234" i="8"/>
  <c r="E2233" i="8"/>
  <c r="C1775" i="8"/>
  <c r="E1775" i="8"/>
  <c r="C358" i="8"/>
  <c r="C359" i="8"/>
  <c r="E358" i="8"/>
  <c r="C1714" i="8"/>
  <c r="C1713" i="8"/>
  <c r="E1713" i="8"/>
  <c r="C572" i="8"/>
  <c r="E572" i="8"/>
  <c r="E236" i="8"/>
  <c r="C237" i="8"/>
  <c r="C236" i="8"/>
  <c r="C2353" i="8"/>
  <c r="E2353" i="8"/>
  <c r="C2354" i="8"/>
  <c r="C1891" i="8"/>
  <c r="E1891" i="8"/>
  <c r="C128" i="8"/>
  <c r="E127" i="8"/>
  <c r="C127" i="8"/>
  <c r="C3509" i="8"/>
  <c r="C3508" i="8"/>
  <c r="E3508" i="8"/>
  <c r="C1805" i="8"/>
  <c r="E1805" i="8"/>
  <c r="C543" i="8"/>
  <c r="E543" i="8"/>
  <c r="C544" i="8"/>
  <c r="C2295" i="8"/>
  <c r="E2295" i="8"/>
  <c r="C3165" i="8"/>
  <c r="E3165" i="8"/>
  <c r="C3302" i="8"/>
  <c r="E3302" i="8"/>
  <c r="C660" i="8"/>
  <c r="E660" i="8"/>
  <c r="C1975" i="8"/>
  <c r="E1975" i="8"/>
  <c r="C2521" i="8"/>
  <c r="C2522" i="8"/>
  <c r="E2521" i="8"/>
  <c r="C2999" i="8"/>
  <c r="C2998" i="8"/>
  <c r="E2998" i="8"/>
  <c r="C616" i="8"/>
  <c r="C615" i="8"/>
  <c r="E615" i="8"/>
  <c r="C1773" i="8"/>
  <c r="E1773" i="8"/>
  <c r="C1774" i="8"/>
  <c r="C1231" i="8"/>
  <c r="E1231" i="8"/>
  <c r="C2383" i="8"/>
  <c r="C2382" i="8"/>
  <c r="E2382" i="8"/>
  <c r="C248" i="8"/>
  <c r="E248" i="8"/>
  <c r="C507" i="8"/>
  <c r="E507" i="8"/>
  <c r="C2322" i="8"/>
  <c r="E2322" i="8"/>
  <c r="C335" i="8"/>
  <c r="E335" i="8"/>
  <c r="C667" i="8"/>
  <c r="E667" i="8"/>
  <c r="C290" i="8"/>
  <c r="E290" i="8"/>
  <c r="E541" i="8"/>
  <c r="C541" i="8"/>
  <c r="C2460" i="8"/>
  <c r="C2461" i="8"/>
  <c r="E2460" i="8"/>
  <c r="C2374" i="8"/>
  <c r="E2374" i="8"/>
  <c r="C769" i="8"/>
  <c r="C768" i="8"/>
  <c r="E768" i="8"/>
  <c r="C1185" i="8"/>
  <c r="E1185" i="8"/>
  <c r="C1637" i="8"/>
  <c r="E1637" i="8"/>
  <c r="C3255" i="8"/>
  <c r="E3255" i="8"/>
  <c r="C3470" i="8"/>
  <c r="C1114" i="8"/>
  <c r="E1114" i="8"/>
  <c r="C3218" i="8"/>
  <c r="E3218" i="8"/>
  <c r="C2316" i="8"/>
  <c r="E2316" i="8"/>
  <c r="C3159" i="8"/>
  <c r="E3158" i="8"/>
  <c r="C3158" i="8"/>
  <c r="C2122" i="8"/>
  <c r="E2122" i="8"/>
  <c r="C2123" i="8"/>
  <c r="C775" i="8"/>
  <c r="E775" i="8"/>
  <c r="C3249" i="8"/>
  <c r="E3249" i="8"/>
  <c r="C3569" i="8"/>
  <c r="E3569" i="8"/>
  <c r="C1548" i="8"/>
  <c r="C1549" i="8"/>
  <c r="E1548" i="8"/>
  <c r="C1940" i="8"/>
  <c r="E1940" i="8"/>
  <c r="C3291" i="8"/>
  <c r="E3291" i="8"/>
  <c r="C129" i="8"/>
  <c r="C130" i="8"/>
  <c r="E129" i="8"/>
  <c r="C3575" i="8"/>
  <c r="C3576" i="8"/>
  <c r="E3575" i="8"/>
  <c r="E916" i="8"/>
  <c r="C916" i="8"/>
  <c r="C1916" i="8"/>
  <c r="E1916" i="8"/>
  <c r="C1917" i="8"/>
  <c r="C3269" i="8"/>
  <c r="E3269" i="8"/>
  <c r="C2800" i="8"/>
  <c r="E2800" i="8"/>
  <c r="C2801" i="8"/>
  <c r="C1493" i="8"/>
  <c r="E1493" i="8"/>
  <c r="C1494" i="8"/>
  <c r="C1514" i="8"/>
  <c r="C1513" i="8"/>
  <c r="E1513" i="8"/>
  <c r="C411" i="8"/>
  <c r="E411" i="8"/>
  <c r="C412" i="8"/>
  <c r="C654" i="8"/>
  <c r="C655" i="8"/>
  <c r="E654" i="8"/>
  <c r="C1503" i="8"/>
  <c r="E1503" i="8"/>
  <c r="C3" i="8"/>
  <c r="E3" i="8"/>
  <c r="C1758" i="8"/>
  <c r="C1757" i="8"/>
  <c r="E1757" i="8"/>
  <c r="C1188" i="8"/>
  <c r="E1188" i="8"/>
  <c r="C1189" i="8"/>
  <c r="C2132" i="8"/>
  <c r="E2132" i="8"/>
  <c r="C61" i="8"/>
  <c r="C60" i="8"/>
  <c r="E60" i="8"/>
  <c r="C275" i="8"/>
  <c r="E274" i="8"/>
  <c r="C274" i="8"/>
  <c r="E3327" i="8"/>
  <c r="C3327" i="8"/>
  <c r="C842" i="8"/>
  <c r="E842" i="8"/>
  <c r="C3213" i="8"/>
  <c r="C3212" i="8"/>
  <c r="E3212" i="8"/>
  <c r="C1680" i="8"/>
  <c r="E1680" i="8"/>
  <c r="C1389" i="8"/>
  <c r="C1390" i="8"/>
  <c r="E1389" i="8"/>
  <c r="C2406" i="8"/>
  <c r="C2407" i="8"/>
  <c r="E2406" i="8"/>
  <c r="E3643" i="8"/>
  <c r="C3643" i="8"/>
  <c r="C1853" i="8"/>
  <c r="E1853" i="8"/>
  <c r="C2441" i="8"/>
  <c r="C2442" i="8"/>
  <c r="E2441" i="8"/>
  <c r="C591" i="8"/>
  <c r="C1703" i="8"/>
  <c r="E1703" i="8"/>
  <c r="C253" i="8"/>
  <c r="E253" i="8"/>
  <c r="C1072" i="8"/>
  <c r="E1072" i="8"/>
  <c r="C1852" i="8"/>
  <c r="C1851" i="8"/>
  <c r="E1851" i="8"/>
  <c r="C1541" i="8"/>
  <c r="E1541" i="8"/>
  <c r="C2156" i="8"/>
  <c r="E2156" i="8"/>
  <c r="C2438" i="8"/>
  <c r="E2438" i="8"/>
  <c r="C1510" i="8"/>
  <c r="E1510" i="8"/>
  <c r="C3521" i="8"/>
  <c r="E3521" i="8"/>
  <c r="E2455" i="8"/>
  <c r="C2455" i="8"/>
  <c r="C1081" i="8"/>
  <c r="E1081" i="8"/>
  <c r="C3260" i="8"/>
  <c r="E3260" i="8"/>
  <c r="C1144" i="8"/>
  <c r="E1143" i="8"/>
  <c r="C1143" i="8"/>
  <c r="C858" i="8"/>
  <c r="E857" i="8"/>
  <c r="C857" i="8"/>
  <c r="E207" i="8"/>
  <c r="C207" i="8"/>
  <c r="C717" i="8"/>
  <c r="E717" i="8"/>
  <c r="C718" i="8"/>
  <c r="C3279" i="8"/>
  <c r="E3279" i="8"/>
  <c r="E2291" i="8"/>
  <c r="C2292" i="8"/>
  <c r="C2291" i="8"/>
  <c r="C1873" i="8"/>
  <c r="E1873" i="8"/>
  <c r="E268" i="8"/>
  <c r="C268" i="8"/>
  <c r="C3074" i="8"/>
  <c r="E3074" i="8"/>
  <c r="C3001" i="8"/>
  <c r="C3002" i="8"/>
  <c r="E3001" i="8"/>
  <c r="E1396" i="8"/>
  <c r="C1396" i="8"/>
  <c r="E2860" i="8"/>
  <c r="C2860" i="8"/>
  <c r="C3604" i="8"/>
  <c r="E3604" i="8"/>
  <c r="C2313" i="8"/>
  <c r="C2312" i="8"/>
  <c r="E2312" i="8"/>
  <c r="C2744" i="8"/>
  <c r="C2745" i="8"/>
  <c r="E2744" i="8"/>
  <c r="C3258" i="8"/>
  <c r="C3257" i="8"/>
  <c r="E3257" i="8"/>
  <c r="C2705" i="8"/>
  <c r="E2705" i="8"/>
  <c r="C2685" i="8"/>
  <c r="E2685" i="8"/>
  <c r="E3599" i="8"/>
  <c r="C3599" i="8"/>
  <c r="C1423" i="8"/>
  <c r="C1424" i="8"/>
  <c r="E1423" i="8"/>
  <c r="C323" i="8"/>
  <c r="E323" i="8"/>
  <c r="C423" i="8"/>
  <c r="E423" i="8"/>
  <c r="E354" i="8"/>
  <c r="C354" i="8"/>
  <c r="C2891" i="8"/>
  <c r="E2891" i="8"/>
  <c r="C1843" i="8"/>
  <c r="C1842" i="8"/>
  <c r="E1842" i="8"/>
  <c r="C3242" i="8"/>
  <c r="E3242" i="8"/>
  <c r="C2493" i="8"/>
  <c r="E2493" i="8"/>
  <c r="C3007" i="8"/>
  <c r="C3008" i="8"/>
  <c r="E3007" i="8"/>
  <c r="C3108" i="8"/>
  <c r="C3109" i="8"/>
  <c r="E3108" i="8"/>
  <c r="E3332" i="8"/>
  <c r="C3333" i="8"/>
  <c r="C3332" i="8"/>
  <c r="C3248" i="8"/>
  <c r="E3248" i="8"/>
  <c r="E2351" i="8"/>
  <c r="C2351" i="8"/>
  <c r="C1800" i="8"/>
  <c r="E1800" i="8"/>
  <c r="C696" i="8"/>
  <c r="E696" i="8"/>
  <c r="C785" i="8"/>
  <c r="E785" i="8"/>
  <c r="C1331" i="8"/>
  <c r="C1330" i="8"/>
  <c r="E1330" i="8"/>
  <c r="C864" i="8"/>
  <c r="C865" i="8"/>
  <c r="E864" i="8"/>
  <c r="C1712" i="8"/>
  <c r="E1712" i="8"/>
  <c r="C1915" i="8"/>
  <c r="E1915" i="8"/>
  <c r="E1635" i="8"/>
  <c r="C1635" i="8"/>
  <c r="C1334" i="8"/>
  <c r="E1334" i="8"/>
  <c r="E2807" i="8"/>
  <c r="C196" i="8"/>
  <c r="C197" i="8"/>
  <c r="E196" i="8"/>
  <c r="C1088" i="8"/>
  <c r="C1089" i="8"/>
  <c r="E1088" i="8"/>
  <c r="C1593" i="8"/>
  <c r="C1592" i="8"/>
  <c r="E1592" i="8"/>
  <c r="C1877" i="8"/>
  <c r="E1877" i="8"/>
  <c r="C1617" i="8"/>
  <c r="E1617" i="8"/>
  <c r="C2564" i="8"/>
  <c r="C2563" i="8"/>
  <c r="E2563" i="8"/>
  <c r="C3319" i="8"/>
  <c r="C3318" i="8"/>
  <c r="E3318" i="8"/>
  <c r="C3035" i="8"/>
  <c r="E3035" i="8"/>
  <c r="C6" i="8"/>
  <c r="E6" i="8"/>
  <c r="C1546" i="8"/>
  <c r="E1546" i="8"/>
  <c r="C2498" i="8"/>
  <c r="C3528" i="8"/>
  <c r="E3528" i="8"/>
  <c r="C2391" i="8"/>
  <c r="E2391" i="8"/>
  <c r="E3023" i="8"/>
  <c r="C3023" i="8"/>
  <c r="C3448" i="8"/>
  <c r="E3448" i="8"/>
  <c r="C115" i="8"/>
  <c r="E115" i="8"/>
  <c r="C344" i="8"/>
  <c r="C345" i="8"/>
  <c r="E344" i="8"/>
  <c r="C3127" i="8"/>
  <c r="C3128" i="8"/>
  <c r="E3127" i="8"/>
  <c r="C2726" i="8"/>
  <c r="E2726" i="8"/>
  <c r="C1840" i="8"/>
  <c r="E1840" i="8"/>
  <c r="C203" i="8"/>
  <c r="E203" i="8"/>
  <c r="C204" i="8"/>
  <c r="C1465" i="8"/>
  <c r="E1465" i="8"/>
  <c r="C176" i="8"/>
  <c r="E176" i="8"/>
  <c r="C3145" i="8"/>
  <c r="E3145" i="8"/>
  <c r="C3146" i="8"/>
  <c r="C3252" i="8"/>
  <c r="C3253" i="8"/>
  <c r="E3252" i="8"/>
  <c r="C3037" i="8"/>
  <c r="E3036" i="8"/>
  <c r="C3323" i="8"/>
  <c r="E3323" i="8"/>
  <c r="C3278" i="8"/>
  <c r="E3278" i="8"/>
  <c r="C3606" i="8"/>
  <c r="E3606" i="8"/>
  <c r="C931" i="8"/>
  <c r="E931" i="8"/>
  <c r="C419" i="8"/>
  <c r="E419" i="8"/>
  <c r="C1984" i="8"/>
  <c r="E1984" i="8"/>
  <c r="C1970" i="8"/>
  <c r="C1969" i="8"/>
  <c r="C1333" i="8"/>
  <c r="E1333" i="8"/>
  <c r="C3120" i="8"/>
  <c r="C3119" i="8"/>
  <c r="E3119" i="8"/>
  <c r="C2108" i="8"/>
  <c r="E2108" i="8"/>
  <c r="C1939" i="8"/>
  <c r="E1939" i="8"/>
  <c r="C2896" i="8"/>
  <c r="E2896" i="8"/>
  <c r="C2897" i="8"/>
  <c r="E1093" i="8"/>
  <c r="C1093" i="8"/>
  <c r="C2357" i="8"/>
  <c r="E2357" i="8"/>
  <c r="C2317" i="8"/>
  <c r="E2317" i="8"/>
  <c r="C2318" i="8"/>
  <c r="C25" i="8"/>
  <c r="E25" i="8"/>
  <c r="C642" i="8"/>
  <c r="E642" i="8"/>
  <c r="C643" i="8"/>
  <c r="C2932" i="8"/>
  <c r="C2931" i="8"/>
  <c r="E2931" i="8"/>
  <c r="C2203" i="8"/>
  <c r="E2203" i="8"/>
  <c r="C2204" i="8"/>
  <c r="C1789" i="8"/>
  <c r="E1789" i="8"/>
  <c r="C3483" i="8"/>
  <c r="E3483" i="8"/>
  <c r="C1154" i="8"/>
  <c r="E1154" i="8"/>
  <c r="C953" i="8"/>
  <c r="E953" i="8"/>
  <c r="C2702" i="8"/>
  <c r="E2702" i="8"/>
  <c r="C3313" i="8"/>
  <c r="E3313" i="8"/>
  <c r="C1074" i="8"/>
  <c r="E1074" i="8"/>
  <c r="C2782" i="8"/>
  <c r="E2782" i="8"/>
  <c r="C3633" i="8"/>
  <c r="E3633" i="8"/>
  <c r="C258" i="8"/>
  <c r="C257" i="8"/>
  <c r="E257" i="8"/>
  <c r="C485" i="8"/>
  <c r="E484" i="8"/>
  <c r="C484" i="8"/>
  <c r="C639" i="8"/>
  <c r="E639" i="8"/>
  <c r="C2769" i="8"/>
  <c r="E2769" i="8"/>
  <c r="C3079" i="8"/>
  <c r="E3079" i="8"/>
  <c r="C1633" i="8"/>
  <c r="C1634" i="8"/>
  <c r="E1633" i="8"/>
  <c r="C3309" i="8"/>
  <c r="C2686" i="8"/>
  <c r="C2687" i="8"/>
  <c r="E2686" i="8"/>
  <c r="C1886" i="8"/>
  <c r="E1886" i="8"/>
  <c r="E2861" i="8"/>
  <c r="C2861" i="8"/>
  <c r="C1682" i="8"/>
  <c r="C1683" i="8"/>
  <c r="E1682" i="8"/>
  <c r="C1701" i="8"/>
  <c r="E1700" i="8"/>
  <c r="E2660" i="8"/>
  <c r="C2660" i="8"/>
  <c r="E3539" i="8"/>
  <c r="C3539" i="8"/>
  <c r="C511" i="8"/>
  <c r="E511" i="8"/>
  <c r="C3592" i="8"/>
  <c r="E3592" i="8"/>
  <c r="C515" i="8"/>
  <c r="C516" i="8"/>
  <c r="E515" i="8"/>
  <c r="C3225" i="8"/>
  <c r="E3225" i="8"/>
  <c r="C686" i="8"/>
  <c r="E686" i="8"/>
  <c r="C3322" i="8"/>
  <c r="E3322" i="8"/>
  <c r="E3292" i="8"/>
  <c r="C3292" i="8"/>
  <c r="C2167" i="8"/>
  <c r="E2166" i="8"/>
  <c r="C2166" i="8"/>
  <c r="C2506" i="8"/>
  <c r="E2506" i="8"/>
  <c r="C499" i="8"/>
  <c r="E499" i="8"/>
  <c r="C2126" i="8"/>
  <c r="E2126" i="8"/>
  <c r="E3361" i="8"/>
  <c r="C3361" i="8"/>
  <c r="C2079" i="8"/>
  <c r="C2080" i="8"/>
  <c r="E2079" i="8"/>
  <c r="C1440" i="8"/>
  <c r="E1440" i="8"/>
  <c r="C1441" i="8"/>
  <c r="C273" i="8"/>
  <c r="E273" i="8"/>
  <c r="C2869" i="8"/>
  <c r="E2869" i="8"/>
  <c r="C1100" i="8"/>
  <c r="E1100" i="8"/>
  <c r="C2431" i="8"/>
  <c r="E2431" i="8"/>
  <c r="C1808" i="8"/>
  <c r="E1808" i="8"/>
  <c r="C1562" i="8"/>
  <c r="E1562" i="8"/>
  <c r="C934" i="8"/>
  <c r="C935" i="8"/>
  <c r="E934" i="8"/>
  <c r="C2286" i="8"/>
  <c r="E2286" i="8"/>
  <c r="C2306" i="8"/>
  <c r="E2306" i="8"/>
  <c r="C1704" i="8"/>
  <c r="C1705" i="8"/>
  <c r="E1704" i="8"/>
  <c r="C472" i="8"/>
  <c r="E471" i="8"/>
  <c r="C471" i="8"/>
  <c r="C711" i="8"/>
  <c r="E710" i="8"/>
  <c r="C710" i="8"/>
  <c r="C1681" i="8"/>
  <c r="E1681" i="8"/>
  <c r="C1967" i="8"/>
  <c r="E1967" i="8"/>
  <c r="C903" i="8"/>
  <c r="C902" i="8"/>
  <c r="E902" i="8"/>
  <c r="E3010" i="8"/>
  <c r="C3010" i="8"/>
  <c r="C1196" i="8"/>
  <c r="E1196" i="8"/>
  <c r="C1197" i="8"/>
  <c r="C322" i="8"/>
  <c r="E322" i="8"/>
  <c r="C1811" i="8"/>
  <c r="C1810" i="8"/>
  <c r="E1810" i="8"/>
  <c r="C1329" i="8"/>
  <c r="C3244" i="8"/>
  <c r="C3245" i="8"/>
  <c r="E3244" i="8"/>
  <c r="C230" i="8"/>
  <c r="C231" i="8"/>
  <c r="C3570" i="8"/>
  <c r="E3570" i="8"/>
  <c r="C3571" i="8"/>
  <c r="C2418" i="8"/>
  <c r="C2419" i="8"/>
  <c r="E2418" i="8"/>
  <c r="C2401" i="8"/>
  <c r="C2400" i="8"/>
  <c r="E2400" i="8"/>
  <c r="C3642" i="8"/>
  <c r="E3642" i="8"/>
  <c r="C2920" i="8"/>
  <c r="E2920" i="8"/>
  <c r="C3547" i="8"/>
  <c r="C3024" i="8"/>
  <c r="C3025" i="8"/>
  <c r="C1956" i="8"/>
  <c r="E1956" i="8"/>
  <c r="C184" i="8"/>
  <c r="C183" i="8"/>
  <c r="C3304" i="8"/>
  <c r="E3304" i="8"/>
  <c r="C2155" i="8"/>
  <c r="E2155" i="8"/>
  <c r="C2647" i="8"/>
  <c r="E2647" i="8"/>
  <c r="C2648" i="8"/>
  <c r="C2303" i="8"/>
  <c r="C2302" i="8"/>
  <c r="E2302" i="8"/>
  <c r="C2616" i="8"/>
  <c r="C2617" i="8"/>
  <c r="E2616" i="8"/>
  <c r="C625" i="8"/>
  <c r="E625" i="8"/>
  <c r="C626" i="8"/>
  <c r="C1688" i="8"/>
  <c r="E1688" i="8"/>
  <c r="C1689" i="8"/>
  <c r="C1278" i="8"/>
  <c r="E1278" i="8"/>
  <c r="C110" i="8"/>
  <c r="E110" i="8"/>
  <c r="C1432" i="8"/>
  <c r="E1431" i="8"/>
  <c r="C1431" i="8"/>
  <c r="C1563" i="8"/>
  <c r="E1563" i="8"/>
  <c r="C1564" i="8"/>
  <c r="C573" i="8"/>
  <c r="C574" i="8"/>
  <c r="E573" i="8"/>
  <c r="C797" i="8"/>
  <c r="E797" i="8"/>
  <c r="C377" i="8"/>
  <c r="C376" i="8"/>
  <c r="E376" i="8"/>
  <c r="C2700" i="8"/>
  <c r="E2700" i="8"/>
  <c r="C1364" i="8"/>
  <c r="E1364" i="8"/>
  <c r="E2759" i="8"/>
  <c r="C2759" i="8"/>
  <c r="C1692" i="8"/>
  <c r="E1692" i="8"/>
  <c r="C1693" i="8"/>
  <c r="C1394" i="8"/>
  <c r="C1393" i="8"/>
  <c r="E1393" i="8"/>
  <c r="C209" i="8"/>
  <c r="E208" i="8"/>
  <c r="C208" i="8"/>
  <c r="C3605" i="8"/>
  <c r="E3605" i="8"/>
  <c r="C2910" i="8"/>
  <c r="E2910" i="8"/>
  <c r="C251" i="8"/>
  <c r="C252" i="8"/>
  <c r="E251" i="8"/>
  <c r="C66" i="8"/>
  <c r="E65" i="8"/>
  <c r="C65" i="8"/>
  <c r="E1134" i="8"/>
  <c r="C1134" i="8"/>
  <c r="E3444" i="8"/>
  <c r="C3444" i="8"/>
  <c r="C1437" i="8"/>
  <c r="E1436" i="8"/>
  <c r="C1436" i="8"/>
  <c r="C2533" i="8"/>
  <c r="E2533" i="8"/>
  <c r="C1958" i="8"/>
  <c r="E1958" i="8"/>
  <c r="C2103" i="8"/>
  <c r="E2103" i="8"/>
  <c r="C1760" i="8"/>
  <c r="E1760" i="8"/>
  <c r="C1761" i="8"/>
  <c r="C3461" i="8"/>
  <c r="C3462" i="8"/>
  <c r="E3461" i="8"/>
  <c r="C2032" i="8"/>
  <c r="C2033" i="8"/>
  <c r="E2032" i="8"/>
  <c r="C1200" i="8"/>
  <c r="E1200" i="8"/>
  <c r="C2207" i="8"/>
  <c r="E2206" i="8"/>
  <c r="C2206" i="8"/>
  <c r="C2248" i="8"/>
  <c r="E2248" i="8"/>
  <c r="C2824" i="8"/>
  <c r="E2824" i="8"/>
  <c r="C1845" i="8"/>
  <c r="C2858" i="8"/>
  <c r="E2857" i="8"/>
  <c r="C2857" i="8"/>
  <c r="C3427" i="8"/>
  <c r="E3427" i="8"/>
  <c r="C2012" i="8"/>
  <c r="C2013" i="8"/>
  <c r="E2012" i="8"/>
  <c r="E3059" i="8"/>
  <c r="C3059" i="8"/>
  <c r="C3329" i="8"/>
  <c r="E3328" i="8"/>
  <c r="C3328" i="8"/>
  <c r="C2614" i="8"/>
  <c r="E2614" i="8"/>
  <c r="C871" i="8"/>
  <c r="E871" i="8"/>
  <c r="C1380" i="8"/>
  <c r="C1381" i="8"/>
  <c r="E1380" i="8"/>
  <c r="C455" i="8"/>
  <c r="C456" i="8"/>
  <c r="E455" i="8"/>
  <c r="E1739" i="8"/>
  <c r="C1740" i="8"/>
  <c r="C1739" i="8"/>
  <c r="C1065" i="8"/>
  <c r="E1065" i="8"/>
  <c r="C2267" i="8"/>
  <c r="C2268" i="8"/>
  <c r="E2267" i="8"/>
  <c r="C3525" i="8"/>
  <c r="E3525" i="8"/>
  <c r="E1329" i="8"/>
  <c r="C2102" i="8"/>
  <c r="E2102" i="8"/>
  <c r="C1582" i="8"/>
  <c r="E1581" i="8"/>
  <c r="C1581" i="8"/>
  <c r="C2730" i="8"/>
  <c r="C2731" i="8"/>
  <c r="E2730" i="8"/>
  <c r="E1587" i="8"/>
  <c r="C1587" i="8"/>
  <c r="C153" i="8"/>
  <c r="C3143" i="8"/>
  <c r="E3143" i="8"/>
  <c r="C2568" i="8"/>
  <c r="E2568" i="8"/>
  <c r="C2524" i="8"/>
  <c r="C2525" i="8"/>
  <c r="E2524" i="8"/>
  <c r="E1479" i="8"/>
  <c r="C1479" i="8"/>
  <c r="C1921" i="8"/>
  <c r="E1921" i="8"/>
  <c r="C1709" i="8"/>
  <c r="C1710" i="8"/>
  <c r="E1709" i="8"/>
  <c r="C2551" i="8"/>
  <c r="E2551" i="8"/>
  <c r="C2552" i="8"/>
  <c r="C3393" i="8"/>
  <c r="C3394" i="8"/>
  <c r="E3393" i="8"/>
  <c r="C2846" i="8"/>
  <c r="C2847" i="8"/>
  <c r="E2846" i="8"/>
  <c r="C2912" i="8"/>
  <c r="E2912" i="8"/>
  <c r="C2913" i="8"/>
  <c r="C2464" i="8"/>
  <c r="E2463" i="8"/>
  <c r="C2463" i="8"/>
  <c r="C570" i="8"/>
  <c r="E570" i="8"/>
  <c r="C571" i="8"/>
  <c r="C2398" i="8"/>
  <c r="E2398" i="8"/>
  <c r="C798" i="8"/>
  <c r="E798" i="8"/>
  <c r="C1638" i="8"/>
  <c r="E1638" i="8"/>
  <c r="C1042" i="8"/>
  <c r="E1042" i="8"/>
  <c r="C2094" i="8"/>
  <c r="C2093" i="8"/>
  <c r="E2093" i="8"/>
  <c r="C556" i="8"/>
  <c r="E556" i="8"/>
  <c r="E143" i="8"/>
  <c r="C143" i="8"/>
  <c r="C2096" i="8"/>
  <c r="E2096" i="8"/>
  <c r="C1224" i="8"/>
  <c r="E1224" i="8"/>
  <c r="C2113" i="8"/>
  <c r="E2113" i="8"/>
  <c r="C333" i="8"/>
  <c r="E333" i="8"/>
  <c r="C2143" i="8"/>
  <c r="C2144" i="8"/>
  <c r="E2143" i="8"/>
  <c r="C1191" i="8"/>
  <c r="E1191" i="8"/>
  <c r="C1439" i="8"/>
  <c r="E1439" i="8"/>
  <c r="C531" i="8"/>
  <c r="E531" i="8"/>
  <c r="C893" i="8"/>
  <c r="E893" i="8"/>
  <c r="C2520" i="8"/>
  <c r="C2519" i="8"/>
  <c r="E2519" i="8"/>
  <c r="C3241" i="8"/>
  <c r="E3241" i="8"/>
  <c r="E324" i="8"/>
  <c r="C324" i="8"/>
  <c r="C1150" i="8"/>
  <c r="E1150" i="8"/>
  <c r="C3423" i="8"/>
  <c r="E3423" i="8"/>
  <c r="C3263" i="8"/>
  <c r="E3263" i="8"/>
  <c r="C1817" i="8"/>
  <c r="C1818" i="8"/>
  <c r="E1817" i="8"/>
  <c r="C174" i="8"/>
  <c r="E174" i="8"/>
  <c r="C1328" i="8"/>
  <c r="E1328" i="8"/>
  <c r="C559" i="8"/>
  <c r="E558" i="8"/>
  <c r="C558" i="8"/>
  <c r="C54" i="8"/>
  <c r="E54" i="8"/>
  <c r="C55" i="8"/>
  <c r="C2070" i="8"/>
  <c r="E2070" i="8"/>
  <c r="C2071" i="8"/>
  <c r="C760" i="8"/>
  <c r="E760" i="8"/>
  <c r="C220" i="8"/>
  <c r="C221" i="8"/>
  <c r="E220" i="8"/>
  <c r="C1372" i="8"/>
  <c r="E1372" i="8"/>
  <c r="C2253" i="8"/>
  <c r="E2253" i="8"/>
  <c r="C3251" i="8"/>
  <c r="E3251" i="8"/>
  <c r="C2092" i="8"/>
  <c r="E2092" i="8"/>
  <c r="C75" i="8"/>
  <c r="C74" i="8"/>
  <c r="E74" i="8"/>
  <c r="C1248" i="8"/>
  <c r="E1248" i="8"/>
  <c r="C1249" i="8"/>
  <c r="C1674" i="8"/>
  <c r="E1674" i="8"/>
  <c r="C3574" i="8"/>
  <c r="E3574" i="8"/>
  <c r="C1937" i="8"/>
  <c r="C1936" i="8"/>
  <c r="E1936" i="8"/>
  <c r="C1770" i="8"/>
  <c r="E1770" i="8"/>
  <c r="C2755" i="8"/>
  <c r="E2754" i="8"/>
  <c r="C2754" i="8"/>
  <c r="C2849" i="8"/>
  <c r="C2848" i="8"/>
  <c r="E2848" i="8"/>
  <c r="C3464" i="8"/>
  <c r="E3464" i="8"/>
  <c r="C1420" i="8"/>
  <c r="E1420" i="8"/>
  <c r="C490" i="8"/>
  <c r="E490" i="8"/>
  <c r="C3115" i="8"/>
  <c r="E3115" i="8"/>
  <c r="C3056" i="8"/>
  <c r="E3056" i="8"/>
  <c r="E2937" i="8"/>
  <c r="C2937" i="8"/>
  <c r="C2840" i="8"/>
  <c r="C2839" i="8"/>
  <c r="E2210" i="8"/>
  <c r="C2211" i="8"/>
  <c r="C2210" i="8"/>
  <c r="C1604" i="8"/>
  <c r="E1604" i="8"/>
  <c r="C870" i="8"/>
  <c r="E870" i="8"/>
  <c r="C1792" i="8"/>
  <c r="C1107" i="8"/>
  <c r="C1108" i="8"/>
  <c r="E1107" i="8"/>
  <c r="C3510" i="8"/>
  <c r="E3510" i="8"/>
  <c r="C1222" i="8"/>
  <c r="C1223" i="8"/>
  <c r="E1222" i="8"/>
  <c r="C2215" i="8"/>
  <c r="C2216" i="8"/>
  <c r="E2101" i="8"/>
  <c r="C2101" i="8"/>
  <c r="C3058" i="8"/>
  <c r="C3057" i="8"/>
  <c r="E3057" i="8"/>
  <c r="C2803" i="8"/>
  <c r="E2803" i="8"/>
  <c r="C2251" i="8"/>
  <c r="E2251" i="8"/>
  <c r="C1023" i="8"/>
  <c r="E1023" i="8"/>
  <c r="C1024" i="8"/>
  <c r="C2176" i="8"/>
  <c r="E2176" i="8"/>
  <c r="C1207" i="8"/>
  <c r="C1208" i="8"/>
  <c r="E1207" i="8"/>
  <c r="C2643" i="8"/>
  <c r="E2643" i="8"/>
  <c r="E1469" i="8"/>
  <c r="C1469" i="8"/>
  <c r="C3168" i="8"/>
  <c r="E3168" i="8"/>
  <c r="C15" i="8"/>
  <c r="E15" i="8"/>
  <c r="C1847" i="8"/>
  <c r="E1847" i="8"/>
  <c r="C1848" i="8"/>
  <c r="E136" i="8"/>
  <c r="C136" i="8"/>
  <c r="C909" i="8"/>
  <c r="E909" i="8"/>
  <c r="E1534" i="8"/>
  <c r="C1534" i="8"/>
  <c r="C1335" i="8"/>
  <c r="E1335" i="8"/>
  <c r="C1336" i="8"/>
  <c r="C844" i="8"/>
  <c r="E844" i="8"/>
  <c r="E371" i="8"/>
  <c r="C1806" i="8"/>
  <c r="E1806" i="8"/>
  <c r="C2190" i="8"/>
  <c r="E2190" i="8"/>
  <c r="C3398" i="8"/>
  <c r="E3398" i="8"/>
  <c r="C1735" i="8"/>
  <c r="E1735" i="8"/>
  <c r="C1868" i="8"/>
  <c r="C2034" i="8"/>
  <c r="E2034" i="8"/>
  <c r="C13" i="8"/>
  <c r="E12" i="8"/>
  <c r="C12" i="8"/>
  <c r="C2765" i="8"/>
  <c r="E2765" i="8"/>
  <c r="C1206" i="8"/>
  <c r="E1206" i="8"/>
  <c r="C3077" i="8"/>
  <c r="C3078" i="8"/>
  <c r="E3077" i="8"/>
  <c r="C2727" i="8"/>
  <c r="E2727" i="8"/>
  <c r="E932" i="8"/>
  <c r="C932" i="8"/>
  <c r="C843" i="8"/>
  <c r="C2774" i="8"/>
  <c r="E2774" i="8"/>
  <c r="C2926" i="8"/>
  <c r="E2926" i="8"/>
  <c r="C2584" i="8"/>
  <c r="C2133" i="8"/>
  <c r="E2133" i="8"/>
  <c r="C2671" i="8"/>
  <c r="C2670" i="8"/>
  <c r="E2670" i="8"/>
  <c r="C3600" i="8"/>
  <c r="E3600" i="8"/>
  <c r="C3040" i="8"/>
  <c r="E3040" i="8"/>
  <c r="C3301" i="8"/>
  <c r="C3300" i="8"/>
  <c r="E3300" i="8"/>
  <c r="C1027" i="8"/>
  <c r="E1026" i="8"/>
  <c r="C1026" i="8"/>
  <c r="C3259" i="8"/>
  <c r="E3259" i="8"/>
  <c r="C3551" i="8"/>
  <c r="C3550" i="8"/>
  <c r="E3550" i="8"/>
  <c r="E2719" i="8"/>
  <c r="C2719" i="8"/>
  <c r="C522" i="8"/>
  <c r="C521" i="8"/>
  <c r="E521" i="8"/>
  <c r="C3240" i="8"/>
  <c r="E3240" i="8"/>
  <c r="C2535" i="8"/>
  <c r="C2536" i="8"/>
  <c r="E2535" i="8"/>
  <c r="C1243" i="8"/>
  <c r="E1243" i="8"/>
  <c r="C952" i="8"/>
  <c r="E952" i="8"/>
  <c r="C594" i="8"/>
  <c r="E594" i="8"/>
  <c r="E1133" i="8"/>
  <c r="C1133" i="8"/>
  <c r="C402" i="8"/>
  <c r="E402" i="8"/>
  <c r="C2273" i="8"/>
  <c r="C2272" i="8"/>
  <c r="E2272" i="8"/>
  <c r="E942" i="8"/>
  <c r="C942" i="8"/>
  <c r="C3320" i="8"/>
  <c r="E3320" i="8"/>
  <c r="E730" i="8"/>
  <c r="C730" i="8"/>
  <c r="C731" i="8"/>
  <c r="E1483" i="8"/>
  <c r="C1483" i="8"/>
  <c r="C2315" i="8"/>
  <c r="E2315" i="8"/>
  <c r="C1835" i="8"/>
  <c r="E1835" i="8"/>
  <c r="E1531" i="8"/>
  <c r="C1531" i="8"/>
  <c r="C1532" i="8"/>
  <c r="E2495" i="8"/>
  <c r="C2495" i="8"/>
  <c r="C2645" i="8"/>
  <c r="E2645" i="8"/>
  <c r="C1520" i="8"/>
  <c r="C1521" i="8"/>
  <c r="E1520" i="8"/>
  <c r="E692" i="8"/>
  <c r="C692" i="8"/>
  <c r="C3261" i="8"/>
  <c r="E3261" i="8"/>
  <c r="E1652" i="8"/>
  <c r="C1652" i="8"/>
  <c r="E202" i="8"/>
  <c r="C202" i="8"/>
  <c r="C3061" i="8"/>
  <c r="E3061" i="8"/>
  <c r="C3392" i="8"/>
  <c r="E3392" i="8"/>
  <c r="C2449" i="8"/>
  <c r="E2449" i="8"/>
  <c r="C2470" i="8"/>
  <c r="E2470" i="8"/>
  <c r="C1237" i="8"/>
  <c r="E1237" i="8"/>
  <c r="C1659" i="8"/>
  <c r="C1658" i="8"/>
  <c r="E1658" i="8"/>
  <c r="C3402" i="8"/>
  <c r="E3402" i="8"/>
  <c r="C2692" i="8"/>
  <c r="E2692" i="8"/>
  <c r="C2795" i="8"/>
  <c r="C2796" i="8"/>
  <c r="E2795" i="8"/>
  <c r="C2366" i="8"/>
  <c r="E2366" i="8"/>
  <c r="C244" i="8"/>
  <c r="C243" i="8"/>
  <c r="E243" i="8"/>
  <c r="C2041" i="8"/>
  <c r="C2042" i="8"/>
  <c r="E2041" i="8"/>
  <c r="C279" i="8"/>
  <c r="E279" i="8"/>
  <c r="C1266" i="8"/>
  <c r="C1267" i="8"/>
  <c r="E1266" i="8"/>
  <c r="C3053" i="8"/>
  <c r="E3053" i="8"/>
  <c r="C2428" i="8"/>
  <c r="E2427" i="8"/>
  <c r="C2427" i="8"/>
  <c r="C1377" i="8"/>
  <c r="C1378" i="8"/>
  <c r="E1377" i="8"/>
  <c r="C1863" i="8"/>
  <c r="E1863" i="8"/>
  <c r="C1864" i="8"/>
  <c r="C3359" i="8"/>
  <c r="E3359" i="8"/>
  <c r="E1471" i="8"/>
  <c r="C1471" i="8"/>
  <c r="E161" i="8"/>
  <c r="C161" i="8"/>
  <c r="C524" i="8"/>
  <c r="C523" i="8"/>
  <c r="E523" i="8"/>
  <c r="C2243" i="8"/>
  <c r="E2243" i="8"/>
  <c r="C2157" i="8"/>
  <c r="C2158" i="8"/>
  <c r="E2157" i="8"/>
  <c r="C2340" i="8"/>
  <c r="E2340" i="8"/>
  <c r="C1030" i="8"/>
  <c r="E1030" i="8"/>
  <c r="C82" i="8"/>
  <c r="C83" i="8"/>
  <c r="E82" i="8"/>
  <c r="E1951" i="8"/>
  <c r="C1951" i="8"/>
  <c r="C1952" i="8"/>
  <c r="C2249" i="8"/>
  <c r="E2249" i="8"/>
  <c r="C2673" i="8"/>
  <c r="C2674" i="8"/>
  <c r="E2673" i="8"/>
  <c r="C53" i="8"/>
  <c r="E53" i="8"/>
  <c r="E2973" i="8"/>
  <c r="C2974" i="8"/>
  <c r="C2973" i="8"/>
  <c r="C2875" i="8"/>
  <c r="C2874" i="8"/>
  <c r="E2874" i="8"/>
  <c r="C3476" i="8"/>
  <c r="C3477" i="8"/>
  <c r="C3495" i="8"/>
  <c r="E3495" i="8"/>
  <c r="C656" i="8"/>
  <c r="E656" i="8"/>
  <c r="C2331" i="8"/>
  <c r="C2332" i="8"/>
  <c r="E2331" i="8"/>
  <c r="C380" i="8"/>
  <c r="E380" i="8"/>
  <c r="C492" i="8"/>
  <c r="E492" i="8"/>
  <c r="C370" i="8"/>
  <c r="E370" i="8"/>
  <c r="C3360" i="8"/>
  <c r="E3360" i="8"/>
  <c r="C603" i="8"/>
  <c r="E603" i="8"/>
  <c r="C1430" i="8"/>
  <c r="C1429" i="8"/>
  <c r="E1429" i="8"/>
  <c r="C581" i="8"/>
  <c r="C1301" i="8"/>
  <c r="C1302" i="8"/>
  <c r="E1301" i="8"/>
  <c r="C3474" i="8"/>
  <c r="E3474" i="8"/>
  <c r="C677" i="8"/>
  <c r="E677" i="8"/>
  <c r="E1470" i="8"/>
  <c r="C1470" i="8"/>
  <c r="C1691" i="8"/>
  <c r="E1691" i="8"/>
  <c r="E3565" i="8"/>
  <c r="C3566" i="8"/>
  <c r="C2945" i="8"/>
  <c r="C2946" i="8"/>
  <c r="E2945" i="8"/>
  <c r="C3297" i="8"/>
  <c r="E3297" i="8"/>
  <c r="C3341" i="8"/>
  <c r="C3340" i="8"/>
  <c r="E3340" i="8"/>
  <c r="C3572" i="8"/>
  <c r="C3573" i="8"/>
  <c r="E3572" i="8"/>
  <c r="C2695" i="8"/>
  <c r="E2695" i="8"/>
  <c r="C141" i="8"/>
  <c r="C140" i="8"/>
  <c r="E140" i="8"/>
  <c r="E2205" i="8"/>
  <c r="C2205" i="8"/>
  <c r="C3184" i="8"/>
  <c r="C3185" i="8"/>
  <c r="E3184" i="8"/>
  <c r="C3117" i="8"/>
  <c r="C3116" i="8"/>
  <c r="E3116" i="8"/>
  <c r="C589" i="8"/>
  <c r="E589" i="8"/>
  <c r="C3417" i="8"/>
  <c r="E3417" i="8"/>
  <c r="C746" i="8"/>
  <c r="C747" i="8"/>
  <c r="E746" i="8"/>
  <c r="E3480" i="8"/>
  <c r="C3480" i="8"/>
  <c r="C3513" i="8"/>
  <c r="E3513" i="8"/>
  <c r="C2328" i="8"/>
  <c r="E2327" i="8"/>
  <c r="C1511" i="8"/>
  <c r="C1512" i="8"/>
  <c r="E1511" i="8"/>
  <c r="C1869" i="8"/>
  <c r="E1869" i="8"/>
  <c r="C1897" i="8"/>
  <c r="E1897" i="8"/>
  <c r="C2836" i="8"/>
  <c r="E2836" i="8"/>
  <c r="C3455" i="8"/>
  <c r="E3455" i="8"/>
  <c r="C3456" i="8"/>
  <c r="C1149" i="8"/>
  <c r="E1149" i="8"/>
  <c r="C2259" i="8"/>
  <c r="C2260" i="8"/>
  <c r="E2259" i="8"/>
  <c r="C2164" i="8"/>
  <c r="E2164" i="8"/>
  <c r="C2193" i="8"/>
  <c r="E2193" i="8"/>
  <c r="E70" i="8"/>
  <c r="C70" i="8"/>
  <c r="C2886" i="8"/>
  <c r="E2886" i="8"/>
  <c r="C537" i="8"/>
  <c r="E537" i="8"/>
  <c r="E435" i="8"/>
  <c r="C435" i="8"/>
  <c r="C1280" i="8"/>
  <c r="E1279" i="8"/>
  <c r="C1279" i="8"/>
  <c r="C2319" i="8"/>
  <c r="E2319" i="8"/>
  <c r="C104" i="8"/>
  <c r="E104" i="8"/>
  <c r="E1571" i="8"/>
  <c r="C1572" i="8"/>
  <c r="C1571" i="8"/>
  <c r="C1924" i="8"/>
  <c r="C1925" i="8"/>
  <c r="E1924" i="8"/>
  <c r="C3356" i="8"/>
  <c r="E3356" i="8"/>
  <c r="C3357" i="8"/>
  <c r="C2241" i="8"/>
  <c r="E2241" i="8"/>
  <c r="E2701" i="8"/>
  <c r="C2701" i="8"/>
  <c r="C3370" i="8"/>
  <c r="E3370" i="8"/>
  <c r="C3371" i="8"/>
  <c r="C2017" i="8"/>
  <c r="E2017" i="8"/>
  <c r="E2264" i="8"/>
  <c r="C2264" i="8"/>
  <c r="C2802" i="8"/>
  <c r="E2802" i="8"/>
  <c r="C3210" i="8"/>
  <c r="E3210" i="8"/>
  <c r="C2555" i="8"/>
  <c r="C2556" i="8"/>
  <c r="E2555" i="8"/>
  <c r="C438" i="8"/>
  <c r="E438" i="8"/>
  <c r="C3613" i="8"/>
  <c r="C3614" i="8"/>
  <c r="E3613" i="8"/>
  <c r="C80" i="8"/>
  <c r="E80" i="8"/>
  <c r="C1576" i="8"/>
  <c r="C1577" i="8"/>
  <c r="E1576" i="8"/>
  <c r="C2828" i="8"/>
  <c r="E2828" i="8"/>
  <c r="C3107" i="8"/>
  <c r="E3107" i="8"/>
  <c r="C480" i="8"/>
  <c r="E480" i="8"/>
  <c r="C1294" i="8"/>
  <c r="C1295" i="8"/>
  <c r="E1294" i="8"/>
  <c r="C1322" i="8"/>
  <c r="C1323" i="8"/>
  <c r="E1322" i="8"/>
  <c r="C1993" i="8"/>
  <c r="E1993" i="8"/>
  <c r="C179" i="8"/>
  <c r="E179" i="8"/>
  <c r="C2549" i="8"/>
  <c r="E2549" i="8"/>
  <c r="C3106" i="8"/>
  <c r="E3106" i="8"/>
  <c r="C171" i="8"/>
  <c r="E171" i="8"/>
  <c r="C1138" i="8"/>
  <c r="E1138" i="8"/>
  <c r="C1846" i="8"/>
  <c r="E1846" i="8"/>
  <c r="E3579" i="8"/>
  <c r="C3579" i="8"/>
  <c r="C2073" i="8"/>
  <c r="C2072" i="8"/>
  <c r="E2072" i="8"/>
  <c r="C3321" i="8"/>
  <c r="E3321" i="8"/>
  <c r="E868" i="8"/>
  <c r="C868" i="8"/>
  <c r="C483" i="8"/>
  <c r="E483" i="8"/>
  <c r="E1353" i="8"/>
  <c r="C1353" i="8"/>
  <c r="C1354" i="8"/>
  <c r="C2703" i="8"/>
  <c r="E2703" i="8"/>
  <c r="C379" i="8"/>
  <c r="E379" i="8"/>
  <c r="C1348" i="8"/>
  <c r="E1348" i="8"/>
  <c r="C1203" i="8"/>
  <c r="E1203" i="8"/>
  <c r="C1945" i="8"/>
  <c r="C1944" i="8"/>
  <c r="E1944" i="8"/>
  <c r="C1670" i="8"/>
  <c r="C1671" i="8"/>
  <c r="E1670" i="8"/>
  <c r="C2659" i="8"/>
  <c r="C2658" i="8"/>
  <c r="E2658" i="8"/>
  <c r="C3022" i="8"/>
  <c r="E3022" i="8"/>
  <c r="C3186" i="8"/>
  <c r="E3186" i="8"/>
  <c r="C3187" i="8"/>
  <c r="C1957" i="8"/>
  <c r="E1957" i="8"/>
  <c r="C1526" i="8"/>
  <c r="E1526" i="8"/>
  <c r="C1053" i="8"/>
  <c r="E1053" i="8"/>
  <c r="C1054" i="8"/>
  <c r="C3308" i="8"/>
  <c r="E3308" i="8"/>
  <c r="C2547" i="8"/>
  <c r="C2546" i="8"/>
  <c r="E2546" i="8"/>
  <c r="C891" i="8"/>
  <c r="C892" i="8"/>
  <c r="E891" i="8"/>
  <c r="C2437" i="8"/>
  <c r="E2437" i="8"/>
  <c r="C2582" i="8"/>
  <c r="E2582" i="8"/>
  <c r="C2235" i="8"/>
  <c r="E2235" i="8"/>
  <c r="C999" i="8"/>
  <c r="E998" i="8"/>
  <c r="C998" i="8"/>
  <c r="C721" i="8"/>
  <c r="E721" i="8"/>
  <c r="C316" i="8"/>
  <c r="E316" i="8"/>
  <c r="C3352" i="8"/>
  <c r="C3353" i="8"/>
  <c r="E3352" i="8"/>
  <c r="C1838" i="8"/>
  <c r="E1837" i="8"/>
  <c r="C1837" i="8"/>
  <c r="C2447" i="8"/>
  <c r="E2447" i="8"/>
  <c r="C35" i="8"/>
  <c r="E35" i="8"/>
  <c r="C2599" i="8"/>
  <c r="E2599" i="8"/>
  <c r="C383" i="8"/>
  <c r="C384" i="8"/>
  <c r="E383" i="8"/>
  <c r="C624" i="8"/>
  <c r="E624" i="8"/>
  <c r="C284" i="8"/>
  <c r="E284" i="8"/>
  <c r="C1599" i="8"/>
  <c r="C1600" i="8"/>
  <c r="E1599" i="8"/>
  <c r="E2601" i="8"/>
  <c r="C2602" i="8"/>
  <c r="C2601" i="8"/>
  <c r="C213" i="8"/>
  <c r="C214" i="8"/>
  <c r="E213" i="8"/>
  <c r="C2603" i="8"/>
  <c r="C2604" i="8"/>
  <c r="E2603" i="8"/>
  <c r="C3578" i="8"/>
  <c r="E3578" i="8"/>
  <c r="C2543" i="8"/>
  <c r="C1130" i="8"/>
  <c r="E1130" i="8"/>
  <c r="C100" i="8"/>
  <c r="E100" i="8"/>
  <c r="C3514" i="8"/>
  <c r="E3514" i="8"/>
  <c r="C1166" i="8"/>
  <c r="E1166" i="8"/>
  <c r="C1345" i="8"/>
  <c r="C1344" i="8"/>
  <c r="C2810" i="8"/>
  <c r="C2811" i="8"/>
  <c r="E2810" i="8"/>
  <c r="E3596" i="8"/>
  <c r="C3596" i="8"/>
  <c r="C3597" i="8"/>
  <c r="C1968" i="8"/>
  <c r="C1605" i="8"/>
  <c r="C371" i="8"/>
  <c r="C1175" i="8"/>
  <c r="C1176" i="8"/>
  <c r="E1175" i="8"/>
  <c r="E843" i="8"/>
  <c r="E2498" i="8"/>
  <c r="E2747" i="8"/>
  <c r="C2076" i="8"/>
  <c r="E2076" i="8"/>
  <c r="C947" i="8"/>
  <c r="E947" i="8"/>
  <c r="C959" i="8"/>
  <c r="C958" i="8"/>
  <c r="E958" i="8"/>
  <c r="E2258" i="8"/>
  <c r="C2258" i="8"/>
  <c r="E1344" i="8"/>
  <c r="E1969" i="8"/>
  <c r="C3580" i="8"/>
  <c r="C500" i="8"/>
  <c r="C466" i="8"/>
  <c r="E466" i="8"/>
  <c r="C3465" i="8"/>
  <c r="E3465" i="8"/>
  <c r="C3467" i="8"/>
  <c r="C2027" i="8"/>
  <c r="E2027" i="8"/>
  <c r="E1845" i="8"/>
  <c r="C1400" i="8"/>
  <c r="E1399" i="8"/>
  <c r="C1399" i="8"/>
  <c r="C3076" i="8"/>
  <c r="C3075" i="8"/>
  <c r="E3075" i="8"/>
  <c r="C299" i="8"/>
  <c r="E299" i="8"/>
  <c r="C300" i="8"/>
  <c r="E3476" i="8"/>
  <c r="E1868" i="8"/>
  <c r="C894" i="8"/>
  <c r="E894" i="8"/>
  <c r="E581" i="8"/>
  <c r="E3547" i="8"/>
  <c r="E2215" i="8"/>
  <c r="E183" i="8"/>
  <c r="C2327" i="8"/>
  <c r="C784" i="8"/>
  <c r="E784" i="8"/>
  <c r="E3467" i="8"/>
  <c r="E2543" i="8"/>
  <c r="E3309" i="8"/>
  <c r="E3024" i="8"/>
  <c r="C1700" i="8"/>
  <c r="E3611" i="8"/>
  <c r="C3611" i="8"/>
  <c r="C3036" i="8"/>
  <c r="C3565" i="8"/>
  <c r="C1619" i="8"/>
  <c r="C1620" i="8"/>
  <c r="E1619" i="8"/>
  <c r="C1904" i="8"/>
  <c r="C1903" i="8"/>
  <c r="E1903" i="8"/>
  <c r="C395" i="8"/>
  <c r="C394" i="8"/>
  <c r="E394" i="8"/>
  <c r="C1408" i="8"/>
  <c r="C1407" i="8"/>
  <c r="C557" i="8"/>
  <c r="E557" i="8"/>
  <c r="C687" i="8"/>
  <c r="E687" i="8"/>
  <c r="C3013" i="8"/>
  <c r="E3013" i="8"/>
  <c r="C2553" i="8"/>
  <c r="E2553" i="8"/>
  <c r="C2146" i="8"/>
  <c r="C2145" i="8"/>
  <c r="E2145" i="8"/>
  <c r="C1856" i="8"/>
  <c r="E1856" i="8"/>
  <c r="C1580" i="8"/>
  <c r="E1580" i="8"/>
  <c r="C30" i="8"/>
  <c r="E30" i="8"/>
  <c r="C137" i="8"/>
  <c r="E137" i="8"/>
  <c r="C2566" i="8"/>
  <c r="E2566" i="8"/>
  <c r="C404" i="8"/>
  <c r="C403" i="8"/>
  <c r="E403" i="8"/>
  <c r="C3350" i="8"/>
  <c r="E3350" i="8"/>
  <c r="C1955" i="8"/>
  <c r="E1955" i="8"/>
  <c r="C1272" i="8"/>
  <c r="E1272" i="8"/>
  <c r="C735" i="8"/>
  <c r="E735" i="8"/>
  <c r="C1941" i="8"/>
  <c r="E1941" i="8"/>
  <c r="C1895" i="8"/>
  <c r="E1894" i="8"/>
  <c r="C2641" i="8"/>
  <c r="E2641" i="8"/>
  <c r="C1032" i="8"/>
  <c r="C1031" i="8"/>
  <c r="E1031" i="8"/>
  <c r="C320" i="8"/>
  <c r="E319" i="8"/>
  <c r="C319" i="8"/>
  <c r="C554" i="8"/>
  <c r="C555" i="8"/>
  <c r="E554" i="8"/>
  <c r="C1314" i="8"/>
  <c r="E1314" i="8"/>
  <c r="C1315" i="8"/>
  <c r="C144" i="8"/>
  <c r="E144" i="8"/>
  <c r="C2528" i="8"/>
  <c r="E2528" i="8"/>
  <c r="C2030" i="8"/>
  <c r="E2030" i="8"/>
  <c r="C2197" i="8"/>
  <c r="C2198" i="8"/>
  <c r="E2197" i="8"/>
  <c r="C920" i="8"/>
  <c r="C2911" i="8"/>
  <c r="E2911" i="8"/>
  <c r="C278" i="8"/>
  <c r="E278" i="8"/>
  <c r="E2381" i="8"/>
  <c r="C2381" i="8"/>
  <c r="C781" i="8"/>
  <c r="E781" i="8"/>
  <c r="C3019" i="8"/>
  <c r="C3018" i="8"/>
  <c r="E3018" i="8"/>
  <c r="C1998" i="8"/>
  <c r="E1998" i="8"/>
  <c r="C3183" i="8"/>
  <c r="E3183" i="8"/>
  <c r="C2751" i="8"/>
  <c r="C2750" i="8"/>
  <c r="E2750" i="8"/>
  <c r="C3374" i="8"/>
  <c r="E3374" i="8"/>
  <c r="C662" i="8"/>
  <c r="C661" i="8"/>
  <c r="E661" i="8"/>
  <c r="C3324" i="8"/>
  <c r="C1061" i="8"/>
  <c r="E1061" i="8"/>
  <c r="C1907" i="8"/>
  <c r="E1906" i="8"/>
  <c r="C1906" i="8"/>
  <c r="C28" i="8"/>
  <c r="E28" i="8"/>
  <c r="C2300" i="8"/>
  <c r="E2300" i="8"/>
  <c r="E3105" i="8"/>
  <c r="C3105" i="8"/>
  <c r="C983" i="8"/>
  <c r="E983" i="8"/>
  <c r="E14" i="8"/>
  <c r="C14" i="8"/>
  <c r="C3296" i="8"/>
  <c r="E3296" i="8"/>
  <c r="C795" i="8"/>
  <c r="C1585" i="8"/>
  <c r="E1585" i="8"/>
  <c r="C1586" i="8"/>
  <c r="C2864" i="8"/>
  <c r="E2864" i="8"/>
  <c r="C441" i="8"/>
  <c r="E441" i="8"/>
  <c r="C736" i="8"/>
  <c r="E736" i="8"/>
  <c r="C3080" i="8"/>
  <c r="C3081" i="8"/>
  <c r="C3559" i="8"/>
  <c r="E3559" i="8"/>
  <c r="C2621" i="8"/>
  <c r="E2621" i="8"/>
  <c r="C2851" i="8"/>
  <c r="E2851" i="8"/>
  <c r="C2565" i="8"/>
  <c r="C2544" i="8"/>
  <c r="E2544" i="8"/>
  <c r="C2545" i="8"/>
  <c r="C1985" i="8"/>
  <c r="E1985" i="8"/>
  <c r="C3424" i="8"/>
  <c r="E3424" i="8"/>
  <c r="C1543" i="8"/>
  <c r="E1543" i="8"/>
  <c r="C269" i="8"/>
  <c r="E269" i="8"/>
  <c r="C2162" i="8"/>
  <c r="E2162" i="8"/>
  <c r="C2672" i="8"/>
  <c r="C635" i="8"/>
  <c r="E635" i="8"/>
  <c r="C2537" i="8"/>
  <c r="E2537" i="8"/>
  <c r="C1747" i="8"/>
  <c r="E1747" i="8"/>
  <c r="C1078" i="8"/>
  <c r="C1079" i="8"/>
  <c r="E1078" i="8"/>
  <c r="C337" i="8"/>
  <c r="C336" i="8"/>
  <c r="E336" i="8"/>
  <c r="C1162" i="8"/>
  <c r="E1162" i="8"/>
  <c r="C1163" i="8"/>
  <c r="C1217" i="8"/>
  <c r="E1217" i="8"/>
  <c r="C2199" i="8"/>
  <c r="E2199" i="8"/>
  <c r="C623" i="8"/>
  <c r="E623" i="8"/>
  <c r="C542" i="8"/>
  <c r="E542" i="8"/>
  <c r="C1669" i="8"/>
  <c r="E1669" i="8"/>
  <c r="C3069" i="8"/>
  <c r="E3069" i="8"/>
  <c r="C3089" i="8"/>
  <c r="C3088" i="8"/>
  <c r="E3088" i="8"/>
  <c r="C818" i="8"/>
  <c r="E818" i="8"/>
  <c r="C3584" i="8"/>
  <c r="C3583" i="8"/>
  <c r="E3583" i="8"/>
  <c r="E641" i="8"/>
  <c r="C641" i="8"/>
  <c r="C93" i="8"/>
  <c r="C92" i="8"/>
  <c r="C1821" i="8"/>
  <c r="C1820" i="8"/>
  <c r="E1820" i="8"/>
  <c r="C2862" i="8"/>
  <c r="C2863" i="8"/>
  <c r="C421" i="8"/>
  <c r="C420" i="8"/>
  <c r="E420" i="8"/>
  <c r="C2768" i="8"/>
  <c r="E2768" i="8"/>
  <c r="C1802" i="8"/>
  <c r="C1102" i="8"/>
  <c r="C1103" i="8"/>
  <c r="E1102" i="8"/>
  <c r="C3368" i="8"/>
  <c r="C3367" i="8"/>
  <c r="E3367" i="8"/>
  <c r="C228" i="8"/>
  <c r="E228" i="8"/>
  <c r="E745" i="8"/>
  <c r="C745" i="8"/>
  <c r="C579" i="8"/>
  <c r="E579" i="8"/>
  <c r="C2321" i="8"/>
  <c r="E2320" i="8"/>
  <c r="C2320" i="8"/>
  <c r="C1636" i="8"/>
  <c r="E1636" i="8"/>
  <c r="C1883" i="8"/>
  <c r="C1884" i="8"/>
  <c r="E1883" i="8"/>
  <c r="C3130" i="8"/>
  <c r="E3130" i="8"/>
  <c r="C1075" i="8"/>
  <c r="C1076" i="8"/>
  <c r="C3276" i="8"/>
  <c r="C3275" i="8"/>
  <c r="E3275" i="8"/>
  <c r="C820" i="8"/>
  <c r="E820" i="8"/>
  <c r="C280" i="8"/>
  <c r="E280" i="8"/>
  <c r="E723" i="8"/>
  <c r="C723" i="8"/>
  <c r="C2902" i="8"/>
  <c r="E2902" i="8"/>
  <c r="C1677" i="8"/>
  <c r="C1678" i="8"/>
  <c r="C888" i="8"/>
  <c r="E888" i="8"/>
  <c r="E348" i="8"/>
  <c r="C836" i="8"/>
  <c r="C837" i="8"/>
  <c r="E836" i="8"/>
  <c r="C126" i="8"/>
  <c r="E126" i="8"/>
  <c r="C2775" i="8"/>
  <c r="C2063" i="8"/>
  <c r="E2063" i="8"/>
  <c r="C22" i="8"/>
  <c r="C21" i="8"/>
  <c r="E21" i="8"/>
  <c r="E722" i="8"/>
  <c r="C71" i="8"/>
  <c r="E71" i="8"/>
  <c r="C463" i="8"/>
  <c r="E463" i="8"/>
  <c r="C464" i="8"/>
  <c r="C2342" i="8"/>
  <c r="C2343" i="8"/>
  <c r="E2342" i="8"/>
  <c r="C1764" i="8"/>
  <c r="E1764" i="8"/>
  <c r="C481" i="8"/>
  <c r="E481" i="8"/>
  <c r="C447" i="8"/>
  <c r="E447" i="8"/>
  <c r="C1602" i="8"/>
  <c r="E1602" i="8"/>
  <c r="C1812" i="8"/>
  <c r="C1759" i="8"/>
  <c r="E1759" i="8"/>
  <c r="E1882" i="8"/>
  <c r="C1882" i="8"/>
  <c r="C779" i="8"/>
  <c r="C778" i="8"/>
  <c r="E962" i="8"/>
  <c r="C962" i="8"/>
  <c r="C1478" i="8"/>
  <c r="E1478" i="8"/>
  <c r="C1850" i="8"/>
  <c r="E1849" i="8"/>
  <c r="C1849" i="8"/>
  <c r="C270" i="8"/>
  <c r="C271" i="8"/>
  <c r="C2965" i="8"/>
  <c r="E2965" i="8"/>
  <c r="C113" i="8"/>
  <c r="C114" i="8"/>
  <c r="E113" i="8"/>
  <c r="E3020" i="8"/>
  <c r="C3070" i="8"/>
  <c r="C2477" i="8"/>
  <c r="E2477" i="8"/>
  <c r="E2801" i="8"/>
  <c r="C47" i="8"/>
  <c r="C48" i="8"/>
  <c r="E47" i="8"/>
  <c r="E55" i="8"/>
  <c r="C3475" i="8"/>
  <c r="E3475" i="8"/>
  <c r="C364" i="8"/>
  <c r="E364" i="8"/>
  <c r="C1070" i="8"/>
  <c r="E1069" i="8"/>
  <c r="C1069" i="8"/>
  <c r="C1717" i="8"/>
  <c r="C1718" i="8"/>
  <c r="E1717" i="8"/>
  <c r="C3612" i="8"/>
  <c r="E3612" i="8"/>
  <c r="C1142" i="8"/>
  <c r="E1142" i="8"/>
  <c r="C1269" i="8"/>
  <c r="C1270" i="8"/>
  <c r="E1269" i="8"/>
  <c r="C565" i="8"/>
  <c r="E565" i="8"/>
  <c r="C1226" i="8"/>
  <c r="C1227" i="8"/>
  <c r="E1226" i="8"/>
  <c r="C3351" i="8"/>
  <c r="C38" i="8"/>
  <c r="C37" i="8"/>
  <c r="E37" i="8"/>
  <c r="C808" i="8"/>
  <c r="E807" i="8"/>
  <c r="C940" i="8"/>
  <c r="E940" i="8"/>
  <c r="C2311" i="8"/>
  <c r="E2311" i="8"/>
  <c r="C2394" i="8"/>
  <c r="E2394" i="8"/>
  <c r="C1170" i="8"/>
  <c r="C1171" i="8"/>
  <c r="E1170" i="8"/>
  <c r="C1311" i="8"/>
  <c r="E1311" i="8"/>
  <c r="C3568" i="8"/>
  <c r="C3567" i="8"/>
  <c r="E3567" i="8"/>
  <c r="C1665" i="8"/>
  <c r="C1664" i="8"/>
  <c r="C3534" i="8"/>
  <c r="E3534" i="8"/>
  <c r="C3535" i="8"/>
  <c r="C3047" i="8"/>
  <c r="C3048" i="8"/>
  <c r="E3047" i="8"/>
  <c r="C3032" i="8"/>
  <c r="E3032" i="8"/>
  <c r="C105" i="8"/>
  <c r="E105" i="8"/>
  <c r="C106" i="8"/>
  <c r="C321" i="8"/>
  <c r="E321" i="8"/>
  <c r="C2476" i="8"/>
  <c r="E2476" i="8"/>
  <c r="E3473" i="8"/>
  <c r="C2844" i="8"/>
  <c r="C2372" i="8"/>
  <c r="C2373" i="8"/>
  <c r="E2372" i="8"/>
  <c r="C1225" i="8"/>
  <c r="E1225" i="8"/>
  <c r="C1109" i="8"/>
  <c r="E1109" i="8"/>
  <c r="C1110" i="8"/>
  <c r="C1468" i="8"/>
  <c r="C3375" i="8"/>
  <c r="E3375" i="8"/>
  <c r="C1862" i="8"/>
  <c r="E1862" i="8"/>
  <c r="C1928" i="8"/>
  <c r="C1927" i="8"/>
  <c r="C1305" i="8"/>
  <c r="C1304" i="8"/>
  <c r="E1304" i="8"/>
  <c r="C1422" i="8"/>
  <c r="C1421" i="8"/>
  <c r="E1421" i="8"/>
  <c r="E102" i="8"/>
  <c r="C102" i="8"/>
  <c r="C181" i="8"/>
  <c r="E181" i="8"/>
  <c r="E2492" i="8"/>
  <c r="C2492" i="8"/>
  <c r="C2044" i="8"/>
  <c r="C2045" i="8"/>
  <c r="E2044" i="8"/>
  <c r="C3431" i="8"/>
  <c r="E3431" i="8"/>
  <c r="C1486" i="8"/>
  <c r="C1879" i="8"/>
  <c r="C872" i="8"/>
  <c r="C873" i="8"/>
  <c r="C1415" i="8"/>
  <c r="C1416" i="8"/>
  <c r="E1415" i="8"/>
  <c r="E3466" i="8"/>
  <c r="C3466" i="8"/>
  <c r="C3485" i="8"/>
  <c r="C3484" i="8"/>
  <c r="E3484" i="8"/>
  <c r="C1495" i="8"/>
  <c r="C3055" i="8"/>
  <c r="C3054" i="8"/>
  <c r="E3054" i="8"/>
  <c r="C2494" i="8"/>
  <c r="E2494" i="8"/>
  <c r="C475" i="8"/>
  <c r="C474" i="8"/>
  <c r="E474" i="8"/>
  <c r="C1083" i="8"/>
  <c r="E1083" i="8"/>
  <c r="E41" i="8"/>
  <c r="C41" i="8"/>
  <c r="C16" i="8"/>
  <c r="E16" i="8"/>
  <c r="E2987" i="8"/>
  <c r="C2987" i="8"/>
  <c r="C2255" i="8"/>
  <c r="E2255" i="8"/>
  <c r="C1887" i="8"/>
  <c r="E1887" i="8"/>
  <c r="C1464" i="8"/>
  <c r="C1463" i="8"/>
  <c r="E1463" i="8"/>
  <c r="C1726" i="8"/>
  <c r="C1727" i="8"/>
  <c r="E1726" i="8"/>
  <c r="C2471" i="8"/>
  <c r="C2472" i="8"/>
  <c r="E2471" i="8"/>
  <c r="C2826" i="8"/>
  <c r="E2826" i="8"/>
  <c r="C432" i="8"/>
  <c r="E432" i="8"/>
  <c r="E2838" i="8"/>
  <c r="C2838" i="8"/>
  <c r="E2829" i="8"/>
  <c r="C2829" i="8"/>
  <c r="C29" i="8"/>
  <c r="E29" i="8"/>
  <c r="C1273" i="8"/>
  <c r="E1273" i="8"/>
  <c r="C1274" i="8"/>
  <c r="C58" i="8"/>
  <c r="E58" i="8"/>
  <c r="C3247" i="8"/>
  <c r="E3247" i="8"/>
  <c r="C2250" i="8"/>
  <c r="E2250" i="8"/>
  <c r="C2739" i="8"/>
  <c r="E2739" i="8"/>
  <c r="C1373" i="8"/>
  <c r="E1373" i="8"/>
  <c r="C39" i="8"/>
  <c r="E39" i="8"/>
  <c r="C2299" i="8"/>
  <c r="E2299" i="8"/>
  <c r="C2903" i="8"/>
  <c r="E2903" i="8"/>
  <c r="C1131" i="8"/>
  <c r="E1131" i="8"/>
  <c r="C2656" i="8"/>
  <c r="C2655" i="8"/>
  <c r="E2655" i="8"/>
  <c r="C1043" i="8"/>
  <c r="C1044" i="8"/>
  <c r="E1043" i="8"/>
  <c r="C2770" i="8"/>
  <c r="C2771" i="8"/>
  <c r="E2770" i="8"/>
  <c r="C608" i="8"/>
  <c r="E608" i="8"/>
  <c r="C3179" i="8"/>
  <c r="C3178" i="8"/>
  <c r="E3178" i="8"/>
  <c r="C163" i="8"/>
  <c r="E163" i="8"/>
  <c r="C2035" i="8"/>
  <c r="E2035" i="8"/>
  <c r="C2453" i="8"/>
  <c r="C2452" i="8"/>
  <c r="E2452" i="8"/>
  <c r="C3094" i="8"/>
  <c r="E3093" i="8"/>
  <c r="C1180" i="8"/>
  <c r="C1181" i="8"/>
  <c r="E1180" i="8"/>
  <c r="C614" i="8"/>
  <c r="E614" i="8"/>
  <c r="C3450" i="8"/>
  <c r="E3450" i="8"/>
  <c r="C2634" i="8"/>
  <c r="E2634" i="8"/>
  <c r="C2635" i="8"/>
  <c r="C1822" i="8"/>
  <c r="E1822" i="8"/>
  <c r="C1823" i="8"/>
  <c r="C2414" i="8"/>
  <c r="E2414" i="8"/>
  <c r="C1498" i="8"/>
  <c r="E1498" i="8"/>
  <c r="C96" i="8"/>
  <c r="C97" i="8"/>
  <c r="C3459" i="8"/>
  <c r="E3458" i="8"/>
  <c r="C3458" i="8"/>
  <c r="C1193" i="8"/>
  <c r="E1193" i="8"/>
  <c r="C2256" i="8"/>
  <c r="E2256" i="8"/>
  <c r="C2763" i="8"/>
  <c r="C2764" i="8"/>
  <c r="C2062" i="8"/>
  <c r="E2062" i="8"/>
  <c r="C640" i="8"/>
  <c r="E640" i="8"/>
  <c r="C2977" i="8"/>
  <c r="C2978" i="8"/>
  <c r="E2977" i="8"/>
  <c r="C107" i="8"/>
  <c r="E107" i="8"/>
  <c r="C3447" i="8"/>
  <c r="E3447" i="8"/>
  <c r="C2082" i="8"/>
  <c r="C2971" i="8"/>
  <c r="E2971" i="8"/>
  <c r="C3310" i="8"/>
  <c r="E3310" i="8"/>
  <c r="C1475" i="8"/>
  <c r="E1475" i="8"/>
  <c r="C3097" i="8"/>
  <c r="E3097" i="8"/>
  <c r="C2125" i="8"/>
  <c r="E2125" i="8"/>
  <c r="E2389" i="8"/>
  <c r="C2154" i="8"/>
  <c r="E2154" i="8"/>
  <c r="C1542" i="8"/>
  <c r="E1542" i="8"/>
  <c r="C2626" i="8"/>
  <c r="E2625" i="8"/>
  <c r="C2625" i="8"/>
  <c r="C283" i="8"/>
  <c r="E283" i="8"/>
  <c r="C895" i="8"/>
  <c r="C165" i="8"/>
  <c r="C166" i="8"/>
  <c r="E165" i="8"/>
  <c r="C1893" i="8"/>
  <c r="E1892" i="8"/>
  <c r="C1892" i="8"/>
  <c r="C846" i="8"/>
  <c r="E846" i="8"/>
  <c r="E1199" i="8"/>
  <c r="C1199" i="8"/>
  <c r="E3246" i="8"/>
  <c r="C3246" i="8"/>
  <c r="C3137" i="8"/>
  <c r="C3138" i="8"/>
  <c r="E3137" i="8"/>
  <c r="E1062" i="8"/>
  <c r="C1062" i="8"/>
  <c r="C2330" i="8"/>
  <c r="E2330" i="8"/>
  <c r="C34" i="8"/>
  <c r="E33" i="8"/>
  <c r="C33" i="8"/>
  <c r="C830" i="8"/>
  <c r="E830" i="8"/>
  <c r="C2018" i="8"/>
  <c r="C2019" i="8"/>
  <c r="E2018" i="8"/>
  <c r="C3434" i="8"/>
  <c r="C3433" i="8"/>
  <c r="E3433" i="8"/>
  <c r="C706" i="8"/>
  <c r="E706" i="8"/>
  <c r="C1112" i="8"/>
  <c r="E1112" i="8"/>
  <c r="C1992" i="8"/>
  <c r="E1992" i="8"/>
  <c r="C1158" i="8"/>
  <c r="C1159" i="8"/>
  <c r="E1158" i="8"/>
  <c r="C2905" i="8"/>
  <c r="C2904" i="8"/>
  <c r="E587" i="8"/>
  <c r="C588" i="8"/>
  <c r="C3208" i="8"/>
  <c r="E3208" i="8"/>
  <c r="C2422" i="8"/>
  <c r="C2421" i="8"/>
  <c r="C2049" i="8"/>
  <c r="E2049" i="8"/>
  <c r="C3556" i="8"/>
  <c r="E3555" i="8"/>
  <c r="C3555" i="8"/>
  <c r="C3381" i="8"/>
  <c r="E3381" i="8"/>
  <c r="C3442" i="8"/>
  <c r="C3441" i="8"/>
  <c r="E3441" i="8"/>
  <c r="C1066" i="8"/>
  <c r="C1067" i="8"/>
  <c r="E1066" i="8"/>
  <c r="C1480" i="8"/>
  <c r="E1480" i="8"/>
  <c r="C1481" i="8"/>
  <c r="C2780" i="8"/>
  <c r="C2781" i="8"/>
  <c r="E2780" i="8"/>
  <c r="C613" i="8"/>
  <c r="C612" i="8"/>
  <c r="C3557" i="8"/>
  <c r="C2115" i="8"/>
  <c r="E2115" i="8"/>
  <c r="E1801" i="8"/>
  <c r="C1801" i="8"/>
  <c r="C812" i="8"/>
  <c r="C811" i="8"/>
  <c r="E811" i="8"/>
  <c r="C2140" i="8"/>
  <c r="E2140" i="8"/>
  <c r="C3262" i="8"/>
  <c r="E3262" i="8"/>
  <c r="C2895" i="8"/>
  <c r="E2895" i="8"/>
  <c r="C1871" i="8"/>
  <c r="E1871" i="8"/>
  <c r="C1365" i="8"/>
  <c r="C1982" i="8"/>
  <c r="E1982" i="8"/>
  <c r="C771" i="8"/>
  <c r="C770" i="8"/>
  <c r="E770" i="8"/>
  <c r="C91" i="8"/>
  <c r="C90" i="8"/>
  <c r="E90" i="8"/>
  <c r="C2968" i="8"/>
  <c r="C77" i="8"/>
  <c r="E77" i="8"/>
  <c r="C78" i="8"/>
  <c r="C2832" i="8"/>
  <c r="E2832" i="8"/>
  <c r="E1995" i="8"/>
  <c r="C1995" i="8"/>
  <c r="C465" i="8"/>
  <c r="E465" i="8"/>
  <c r="C301" i="8"/>
  <c r="E301" i="8"/>
  <c r="C602" i="8"/>
  <c r="E602" i="8"/>
  <c r="C751" i="8"/>
  <c r="C750" i="8"/>
  <c r="E750" i="8"/>
  <c r="C3418" i="8"/>
  <c r="E3418" i="8"/>
  <c r="C1874" i="8"/>
  <c r="C3489" i="8"/>
  <c r="C3490" i="8"/>
  <c r="C182" i="8"/>
  <c r="E182" i="8"/>
  <c r="C900" i="8"/>
  <c r="E900" i="8"/>
  <c r="C1082" i="8"/>
  <c r="C3339" i="8"/>
  <c r="C3338" i="8"/>
  <c r="E3338" i="8"/>
  <c r="C2962" i="8"/>
  <c r="E2962" i="8"/>
  <c r="C3071" i="8"/>
  <c r="C3072" i="8"/>
  <c r="E3071" i="8"/>
  <c r="C3396" i="8"/>
  <c r="E3395" i="8"/>
  <c r="C3395" i="8"/>
  <c r="C2047" i="8"/>
  <c r="E2046" i="8"/>
  <c r="C2046" i="8"/>
  <c r="C2153" i="8"/>
  <c r="E2153" i="8"/>
  <c r="C2110" i="8"/>
  <c r="E2110" i="8"/>
  <c r="C671" i="8"/>
  <c r="E671" i="8"/>
  <c r="C164" i="8"/>
  <c r="E164" i="8"/>
  <c r="C813" i="8"/>
  <c r="E813" i="8"/>
  <c r="C897" i="8"/>
  <c r="E897" i="8"/>
  <c r="C632" i="8"/>
  <c r="E632" i="8"/>
  <c r="C3192" i="8"/>
  <c r="E3192" i="8"/>
  <c r="C1183" i="8"/>
  <c r="E1182" i="8"/>
  <c r="C3529" i="8"/>
  <c r="E3529" i="8"/>
  <c r="C2783" i="8"/>
  <c r="E2783" i="8"/>
  <c r="C2784" i="8"/>
  <c r="C2426" i="8"/>
  <c r="E2426" i="8"/>
  <c r="C773" i="8"/>
  <c r="C772" i="8"/>
  <c r="E772" i="8"/>
  <c r="C1971" i="8"/>
  <c r="C1972" i="8"/>
  <c r="E1971" i="8"/>
  <c r="C1707" i="8"/>
  <c r="C1708" i="8"/>
  <c r="E1707" i="8"/>
  <c r="C459" i="8"/>
  <c r="C460" i="8"/>
  <c r="E459" i="8"/>
  <c r="C2304" i="8"/>
  <c r="C1499" i="8"/>
  <c r="C929" i="8"/>
  <c r="C930" i="8"/>
  <c r="C3397" i="8"/>
  <c r="E3397" i="8"/>
  <c r="C1771" i="8"/>
  <c r="E1771" i="8"/>
  <c r="C619" i="8"/>
  <c r="C618" i="8"/>
  <c r="E618" i="8"/>
  <c r="C2439" i="8"/>
  <c r="C2440" i="8"/>
  <c r="E2439" i="8"/>
  <c r="C2518" i="8"/>
  <c r="E2518" i="8"/>
  <c r="C753" i="8"/>
  <c r="E753" i="8"/>
  <c r="C1096" i="8"/>
  <c r="C1097" i="8"/>
  <c r="E1096" i="8"/>
  <c r="C112" i="8"/>
  <c r="E2887" i="8"/>
  <c r="C2887" i="8"/>
  <c r="C2888" i="8"/>
  <c r="C1052" i="8"/>
  <c r="C988" i="8"/>
  <c r="E988" i="8"/>
  <c r="C2593" i="8"/>
  <c r="C2594" i="8"/>
  <c r="E2593" i="8"/>
  <c r="C2959" i="8"/>
  <c r="C2960" i="8"/>
  <c r="E2959" i="8"/>
  <c r="E1575" i="8"/>
  <c r="C1857" i="8"/>
  <c r="E1857" i="8"/>
  <c r="C1211" i="8"/>
  <c r="E1211" i="8"/>
  <c r="C2075" i="8"/>
  <c r="E2075" i="8"/>
  <c r="C103" i="8"/>
  <c r="E103" i="8"/>
  <c r="C2646" i="8"/>
  <c r="E2646" i="8"/>
  <c r="C1676" i="8"/>
  <c r="E1676" i="8"/>
  <c r="C260" i="8"/>
  <c r="E259" i="8"/>
  <c r="C993" i="8"/>
  <c r="C1117" i="8"/>
  <c r="C3082" i="8"/>
  <c r="E3082" i="8"/>
  <c r="C1357" i="8"/>
  <c r="E1357" i="8"/>
  <c r="C3647" i="8"/>
  <c r="E3647" i="8"/>
  <c r="C3648" i="8"/>
  <c r="C2181" i="8"/>
  <c r="C2182" i="8"/>
  <c r="E2181" i="8"/>
  <c r="C189" i="8"/>
  <c r="E189" i="8"/>
  <c r="C190" i="8"/>
  <c r="C1474" i="8"/>
  <c r="E1474" i="8"/>
  <c r="C1803" i="8"/>
  <c r="C1804" i="8"/>
  <c r="E1803" i="8"/>
  <c r="C2866" i="8"/>
  <c r="E2865" i="8"/>
  <c r="C2865" i="8"/>
  <c r="C1538" i="8"/>
  <c r="C1537" i="8"/>
  <c r="E1537" i="8"/>
  <c r="C285" i="8"/>
  <c r="C286" i="8"/>
  <c r="C1402" i="8"/>
  <c r="C1401" i="8"/>
  <c r="E1401" i="8"/>
  <c r="C970" i="8"/>
  <c r="E970" i="8"/>
  <c r="C1059" i="8"/>
  <c r="E1059" i="8"/>
  <c r="C2629" i="8"/>
  <c r="C2630" i="8"/>
  <c r="C719" i="8"/>
  <c r="E719" i="8"/>
  <c r="C3162" i="8"/>
  <c r="C3163" i="8"/>
  <c r="E3162" i="8"/>
  <c r="C683" i="8"/>
  <c r="C682" i="8"/>
  <c r="E682" i="8"/>
  <c r="C847" i="8"/>
  <c r="C848" i="8"/>
  <c r="E847" i="8"/>
  <c r="C1935" i="8"/>
  <c r="E1935" i="8"/>
  <c r="C1654" i="8"/>
  <c r="C1653" i="8"/>
  <c r="C418" i="8"/>
  <c r="E418" i="8"/>
  <c r="C1946" i="8"/>
  <c r="C1947" i="8"/>
  <c r="E1946" i="8"/>
  <c r="C2161" i="8"/>
  <c r="E2161" i="8"/>
  <c r="C2392" i="8"/>
  <c r="E2392" i="8"/>
  <c r="C1797" i="8"/>
  <c r="C1796" i="8"/>
  <c r="C3532" i="8"/>
  <c r="C3531" i="8"/>
  <c r="E3531" i="8"/>
  <c r="E2707" i="8"/>
  <c r="C2706" i="8"/>
  <c r="E2706" i="8"/>
  <c r="C2883" i="8"/>
  <c r="E2882" i="8"/>
  <c r="C2882" i="8"/>
  <c r="C1448" i="8"/>
  <c r="C1449" i="8"/>
  <c r="E1448" i="8"/>
  <c r="C2009" i="8"/>
  <c r="C2010" i="8"/>
  <c r="E2009" i="8"/>
  <c r="C2590" i="8"/>
  <c r="C550" i="8"/>
  <c r="E550" i="8"/>
  <c r="E2489" i="8"/>
  <c r="C2222" i="8"/>
  <c r="C1934" i="8"/>
  <c r="C1933" i="8"/>
  <c r="C477" i="8"/>
  <c r="E477" i="8"/>
  <c r="C691" i="8"/>
  <c r="C690" i="8"/>
  <c r="E690" i="8"/>
  <c r="C3295" i="8"/>
  <c r="E3295" i="8"/>
  <c r="C3515" i="8"/>
  <c r="E3515" i="8"/>
  <c r="C3172" i="8"/>
  <c r="C3173" i="8"/>
  <c r="E3172" i="8"/>
  <c r="C133" i="8"/>
  <c r="C134" i="8"/>
  <c r="E133" i="8"/>
  <c r="C2733" i="8"/>
  <c r="C3421" i="8"/>
  <c r="C3422" i="8"/>
  <c r="E3421" i="8"/>
  <c r="C2269" i="8"/>
  <c r="E2269" i="8"/>
  <c r="C1730" i="8"/>
  <c r="E1730" i="8"/>
  <c r="C532" i="8"/>
  <c r="E532" i="8"/>
  <c r="C533" i="8"/>
  <c r="C2409" i="8"/>
  <c r="E2409" i="8"/>
  <c r="C2410" i="8"/>
  <c r="C1615" i="8"/>
  <c r="E1615" i="8"/>
  <c r="C1938" i="8"/>
  <c r="E1938" i="8"/>
  <c r="C1001" i="8"/>
  <c r="E1001" i="8"/>
  <c r="C2573" i="8"/>
  <c r="C2574" i="8"/>
  <c r="E2573" i="8"/>
  <c r="C1488" i="8"/>
  <c r="E1488" i="8"/>
  <c r="C1489" i="8"/>
  <c r="C414" i="8"/>
  <c r="C413" i="8"/>
  <c r="E413" i="8"/>
  <c r="C2404" i="8"/>
  <c r="E2404" i="8"/>
  <c r="E2448" i="8"/>
  <c r="C2448" i="8"/>
  <c r="C3160" i="8"/>
  <c r="C3161" i="8"/>
  <c r="E3160" i="8"/>
  <c r="C298" i="8"/>
  <c r="E298" i="8"/>
  <c r="C2690" i="8"/>
  <c r="C2691" i="8"/>
  <c r="E2690" i="8"/>
  <c r="C600" i="8"/>
  <c r="E600" i="8"/>
  <c r="C431" i="8"/>
  <c r="C430" i="8"/>
  <c r="C1618" i="8"/>
  <c r="E1618" i="8"/>
  <c r="C787" i="8"/>
  <c r="C788" i="8"/>
  <c r="E787" i="8"/>
  <c r="C2561" i="8"/>
  <c r="E2561" i="8"/>
  <c r="C2562" i="8"/>
  <c r="C3264" i="8"/>
  <c r="E3264" i="8"/>
  <c r="C2825" i="8"/>
  <c r="E2825" i="8"/>
  <c r="C443" i="8"/>
  <c r="E443" i="8"/>
  <c r="C1699" i="8"/>
  <c r="C860" i="8"/>
  <c r="E860" i="8"/>
  <c r="C861" i="8"/>
  <c r="C3009" i="8"/>
  <c r="E3009" i="8"/>
  <c r="E761" i="8"/>
  <c r="C761" i="8"/>
  <c r="C2508" i="8"/>
  <c r="E2507" i="8"/>
  <c r="C2507" i="8"/>
  <c r="E3215" i="8"/>
  <c r="C3215" i="8"/>
  <c r="C816" i="8"/>
  <c r="C815" i="8"/>
  <c r="E815" i="8"/>
  <c r="C2740" i="8"/>
  <c r="C348" i="8"/>
  <c r="C3468" i="8"/>
  <c r="C3449" i="8"/>
  <c r="C668" i="8"/>
  <c r="E2504" i="8"/>
  <c r="C722" i="8"/>
  <c r="C3311" i="8"/>
  <c r="E270" i="8"/>
  <c r="E2672" i="8"/>
  <c r="E1677" i="8"/>
  <c r="E1075" i="8"/>
  <c r="C1813" i="8"/>
  <c r="C2323" i="8"/>
  <c r="E3080" i="8"/>
  <c r="E795" i="8"/>
  <c r="C1894" i="8"/>
  <c r="C2852" i="8"/>
  <c r="E92" i="8"/>
  <c r="E1812" i="8"/>
  <c r="C2390" i="8"/>
  <c r="C796" i="8"/>
  <c r="C3123" i="8"/>
  <c r="C3124" i="8"/>
  <c r="C2554" i="8"/>
  <c r="E2554" i="8"/>
  <c r="C2171" i="8"/>
  <c r="E2171" i="8"/>
  <c r="C2172" i="8"/>
  <c r="C3624" i="8"/>
  <c r="E3624" i="8"/>
  <c r="C3625" i="8"/>
  <c r="C2993" i="8"/>
  <c r="C2992" i="8"/>
  <c r="C2550" i="8"/>
  <c r="C2499" i="8"/>
  <c r="C449" i="8"/>
  <c r="C448" i="8"/>
  <c r="E448" i="8"/>
  <c r="E3438" i="8"/>
  <c r="C3438" i="8"/>
  <c r="C814" i="8"/>
  <c r="E814" i="8"/>
  <c r="C2559" i="8"/>
  <c r="C2558" i="8"/>
  <c r="E2558" i="8"/>
  <c r="C1616" i="8"/>
  <c r="C535" i="8"/>
  <c r="C580" i="8"/>
  <c r="C2482" i="8"/>
  <c r="C2483" i="8"/>
  <c r="E2482" i="8"/>
  <c r="C3601" i="8"/>
  <c r="C3602" i="8"/>
  <c r="C2487" i="8"/>
  <c r="C2488" i="8"/>
  <c r="E2487" i="8"/>
  <c r="C172" i="8"/>
  <c r="C530" i="8"/>
  <c r="E530" i="8"/>
  <c r="C2180" i="8"/>
  <c r="E2180" i="8"/>
  <c r="C2806" i="8"/>
  <c r="E2806" i="8"/>
  <c r="E2855" i="8"/>
  <c r="C2855" i="8"/>
  <c r="C2371" i="8"/>
  <c r="E2371" i="8"/>
  <c r="C255" i="8"/>
  <c r="C256" i="8"/>
  <c r="C3382" i="8"/>
  <c r="E1841" i="8"/>
  <c r="C1841" i="8"/>
  <c r="C3250" i="8"/>
  <c r="C2665" i="8"/>
  <c r="E2665" i="8"/>
  <c r="C3365" i="8"/>
  <c r="C3364" i="8"/>
  <c r="E3364" i="8"/>
  <c r="C1656" i="8"/>
  <c r="E1656" i="8"/>
  <c r="C1195" i="8"/>
  <c r="E1195" i="8"/>
  <c r="C1732" i="8"/>
  <c r="C1733" i="8"/>
  <c r="E1732" i="8"/>
  <c r="C2370" i="8"/>
  <c r="E2370" i="8"/>
  <c r="E2951" i="8"/>
  <c r="C2951" i="8"/>
  <c r="C2735" i="8"/>
  <c r="C2736" i="8"/>
  <c r="C138" i="8"/>
  <c r="E138" i="8"/>
  <c r="C139" i="8"/>
  <c r="E2354" i="8"/>
  <c r="C1048" i="8"/>
  <c r="E1047" i="8"/>
  <c r="E1230" i="8"/>
  <c r="C766" i="8"/>
  <c r="E766" i="8"/>
  <c r="C2378" i="8"/>
  <c r="E2378" i="8"/>
  <c r="C2591" i="8"/>
  <c r="C19" i="8"/>
  <c r="C18" i="8"/>
  <c r="C2289" i="8"/>
  <c r="E2289" i="8"/>
  <c r="C3630" i="8"/>
  <c r="C3631" i="8"/>
  <c r="E3630" i="8"/>
  <c r="C1342" i="8"/>
  <c r="C1518" i="8"/>
  <c r="C1519" i="8"/>
  <c r="C450" i="8"/>
  <c r="E450" i="8"/>
  <c r="C451" i="8"/>
  <c r="E2592" i="8"/>
  <c r="C2539" i="8"/>
  <c r="E2539" i="8"/>
  <c r="C586" i="8"/>
  <c r="E586" i="8"/>
  <c r="C3451" i="8"/>
  <c r="C3104" i="8"/>
  <c r="E3104" i="8"/>
  <c r="C2970" i="8"/>
  <c r="C2969" i="8"/>
  <c r="E2969" i="8"/>
  <c r="C227" i="8"/>
  <c r="C2004" i="8"/>
  <c r="C2003" i="8"/>
  <c r="E2003" i="8"/>
  <c r="E1343" i="8"/>
  <c r="C1343" i="8"/>
  <c r="C1283" i="8"/>
  <c r="E1282" i="8"/>
  <c r="C1282" i="8"/>
  <c r="C1567" i="8"/>
  <c r="C1568" i="8"/>
  <c r="E1567" i="8"/>
  <c r="C362" i="8"/>
  <c r="E362" i="8"/>
  <c r="C2511" i="8"/>
  <c r="C40" i="8"/>
  <c r="E1312" i="8"/>
  <c r="C3171" i="8"/>
  <c r="C1477" i="8"/>
  <c r="C3429" i="8"/>
  <c r="C1017" i="8"/>
  <c r="C1016" i="8"/>
  <c r="C1557" i="8"/>
  <c r="E1557" i="8"/>
  <c r="C2808" i="8"/>
  <c r="C3337" i="8"/>
  <c r="E3337" i="8"/>
  <c r="C2247" i="8"/>
  <c r="C1624" i="8"/>
  <c r="C1623" i="8"/>
  <c r="E1623" i="8"/>
  <c r="C1366" i="8"/>
  <c r="E1366" i="8"/>
  <c r="C1506" i="8"/>
  <c r="E1505" i="8"/>
  <c r="C3099" i="8"/>
  <c r="E3098" i="8"/>
  <c r="C1508" i="8"/>
  <c r="C3585" i="8"/>
  <c r="E3585" i="8"/>
  <c r="C2523" i="8"/>
  <c r="E2523" i="8"/>
  <c r="C1397" i="8"/>
  <c r="C1398" i="8"/>
  <c r="E1397" i="8"/>
  <c r="E3452" i="8"/>
  <c r="C2804" i="8"/>
  <c r="C2805" i="8"/>
  <c r="C2663" i="8"/>
  <c r="C2662" i="8"/>
  <c r="E2662" i="8"/>
  <c r="C198" i="8"/>
  <c r="E198" i="8"/>
  <c r="E1554" i="8"/>
  <c r="E2496" i="8"/>
  <c r="E767" i="8"/>
  <c r="E3519" i="8"/>
  <c r="C2682" i="8"/>
  <c r="C849" i="8"/>
  <c r="C1943" i="8"/>
  <c r="C2116" i="8"/>
  <c r="C2117" i="8"/>
  <c r="E2116" i="8"/>
  <c r="C786" i="8"/>
  <c r="E536" i="8"/>
  <c r="C536" i="8"/>
  <c r="C1983" i="8"/>
  <c r="C1772" i="8"/>
  <c r="E1772" i="8"/>
  <c r="C305" i="8"/>
  <c r="E305" i="8"/>
  <c r="C306" i="8"/>
  <c r="C3607" i="8"/>
  <c r="C3608" i="8"/>
  <c r="E3607" i="8"/>
  <c r="C1876" i="8"/>
  <c r="C1875" i="8"/>
  <c r="E1875" i="8"/>
  <c r="C2720" i="8"/>
  <c r="E2720" i="8"/>
  <c r="C1005" i="8"/>
  <c r="E2636" i="8"/>
  <c r="C2636" i="8"/>
  <c r="C1666" i="8"/>
  <c r="C1667" i="8"/>
  <c r="E1666" i="8"/>
  <c r="C2728" i="8"/>
  <c r="E2728" i="8"/>
  <c r="C3552" i="8"/>
  <c r="C3553" i="8"/>
  <c r="C2940" i="8"/>
  <c r="C2941" i="8"/>
  <c r="E2940" i="8"/>
  <c r="C896" i="8"/>
  <c r="C991" i="8"/>
  <c r="C992" i="8"/>
  <c r="C3376" i="8"/>
  <c r="C1890" i="8"/>
  <c r="C469" i="8"/>
  <c r="E468" i="8"/>
  <c r="E233" i="8"/>
  <c r="C3628" i="8"/>
  <c r="C3627" i="8"/>
  <c r="C351" i="8"/>
  <c r="C352" i="8"/>
  <c r="E351" i="8"/>
  <c r="E3588" i="8"/>
  <c r="C839" i="8"/>
  <c r="C1889" i="8"/>
  <c r="C1443" i="8"/>
  <c r="C1442" i="8"/>
  <c r="C150" i="8"/>
  <c r="C149" i="8"/>
  <c r="C2000" i="8"/>
  <c r="E2000" i="8"/>
  <c r="C1473" i="8"/>
  <c r="E1473" i="8"/>
  <c r="C3091" i="8"/>
  <c r="C3092" i="8"/>
  <c r="E3091" i="8"/>
  <c r="C3265" i="8"/>
  <c r="C3266" i="8"/>
  <c r="E3265" i="8"/>
  <c r="C1878" i="8"/>
  <c r="C289" i="8"/>
  <c r="C288" i="8"/>
  <c r="E288" i="8"/>
  <c r="C984" i="8"/>
  <c r="E984" i="8"/>
  <c r="C604" i="8"/>
  <c r="C605" i="8"/>
  <c r="E604" i="8"/>
  <c r="C2823" i="8"/>
  <c r="E2823" i="8"/>
  <c r="C2405" i="8"/>
  <c r="C2112" i="8"/>
  <c r="C2111" i="8"/>
  <c r="E2111" i="8"/>
  <c r="C444" i="8"/>
  <c r="E444" i="8"/>
  <c r="C2792" i="8"/>
  <c r="C2793" i="8"/>
  <c r="E2792" i="8"/>
  <c r="C2432" i="8"/>
  <c r="C1201" i="8"/>
  <c r="E1201" i="8"/>
  <c r="C3363" i="8"/>
  <c r="C1901" i="8"/>
  <c r="E1901" i="8"/>
  <c r="E1518" i="8"/>
  <c r="E2591" i="8"/>
  <c r="E2362" i="8"/>
  <c r="E1198" i="8"/>
  <c r="E2177" i="8"/>
  <c r="E3250" i="8"/>
  <c r="E829" i="8"/>
  <c r="E584" i="8"/>
  <c r="E2023" i="8"/>
  <c r="E633" i="8"/>
  <c r="E1155" i="8"/>
  <c r="E2007" i="8"/>
  <c r="E1550" i="8"/>
  <c r="E535" i="8"/>
  <c r="E1989" i="8"/>
  <c r="E355" i="8"/>
  <c r="E412" i="8"/>
  <c r="C3228" i="8"/>
  <c r="C2025" i="8"/>
  <c r="C2057" i="8"/>
  <c r="C633" i="8"/>
  <c r="C2880" i="8"/>
  <c r="C3288" i="8"/>
  <c r="C2358" i="8"/>
  <c r="C1505" i="8"/>
  <c r="C1198" i="8"/>
  <c r="C1228" i="8"/>
  <c r="C3315" i="8"/>
  <c r="C3314" i="8"/>
  <c r="C314" i="8"/>
  <c r="C1749" i="8"/>
  <c r="C1748" i="8"/>
  <c r="E991" i="8"/>
  <c r="E2405" i="8"/>
  <c r="E3171" i="8"/>
  <c r="E1878" i="8"/>
  <c r="C2" i="8"/>
  <c r="C967" i="8"/>
  <c r="C1047" i="8"/>
  <c r="C3028" i="8"/>
  <c r="C1252" i="8"/>
  <c r="C827" i="8"/>
  <c r="C2639" i="8"/>
  <c r="C980" i="8"/>
  <c r="C1312" i="8"/>
  <c r="C1589" i="8"/>
  <c r="C1590" i="8"/>
  <c r="C513" i="8"/>
  <c r="C512" i="8"/>
  <c r="C2296" i="8"/>
  <c r="C2297" i="8"/>
  <c r="C1501" i="8"/>
  <c r="C925" i="8"/>
  <c r="C926" i="8"/>
  <c r="C1325" i="8"/>
  <c r="C1324" i="8"/>
  <c r="E1324" i="8"/>
  <c r="C2341" i="8"/>
  <c r="E2341" i="8"/>
  <c r="C3603" i="8"/>
  <c r="E3603" i="8"/>
  <c r="C3487" i="8"/>
  <c r="C3486" i="8"/>
  <c r="C3560" i="8"/>
  <c r="C969" i="8"/>
  <c r="C968" i="8"/>
  <c r="E968" i="8"/>
  <c r="C678" i="8"/>
  <c r="C2365" i="8"/>
  <c r="C1721" i="8"/>
  <c r="C1722" i="8"/>
  <c r="E1721" i="8"/>
  <c r="E2924" i="8"/>
  <c r="C3453" i="8"/>
  <c r="E3453" i="8"/>
  <c r="C3454" i="8"/>
  <c r="E108" i="8"/>
  <c r="C1137" i="8"/>
  <c r="E1137" i="8"/>
  <c r="C955" i="8"/>
  <c r="E954" i="8"/>
  <c r="C954" i="8"/>
  <c r="C1533" i="8"/>
  <c r="C2031" i="8"/>
  <c r="E2031" i="8"/>
  <c r="C2200" i="8"/>
  <c r="C1672" i="8"/>
  <c r="C1673" i="8"/>
  <c r="C1094" i="8"/>
  <c r="C2252" i="8"/>
  <c r="C1929" i="8"/>
  <c r="C1930" i="8"/>
  <c r="E1929" i="8"/>
  <c r="C281" i="8"/>
  <c r="C3133" i="8"/>
  <c r="C3134" i="8"/>
  <c r="C2308" i="8"/>
  <c r="C2307" i="8"/>
  <c r="E2307" i="8"/>
  <c r="C966" i="8"/>
  <c r="E966" i="8"/>
  <c r="C1263" i="8"/>
  <c r="E1263" i="8"/>
  <c r="C2485" i="8"/>
  <c r="C2484" i="8"/>
  <c r="C1588" i="8"/>
  <c r="C162" i="8"/>
  <c r="C2325" i="8"/>
  <c r="C2326" i="8"/>
  <c r="E2325" i="8"/>
  <c r="C2095" i="8"/>
  <c r="E2095" i="8"/>
  <c r="C3193" i="8"/>
  <c r="C648" i="8"/>
  <c r="C649" i="8"/>
  <c r="E648" i="8"/>
  <c r="C742" i="8"/>
  <c r="C743" i="8"/>
  <c r="E742" i="8"/>
  <c r="C3270" i="8"/>
  <c r="E3270" i="8"/>
  <c r="C3219" i="8"/>
  <c r="C3220" i="8"/>
  <c r="C3042" i="8"/>
  <c r="E3042" i="8"/>
  <c r="C2943" i="8"/>
  <c r="C1281" i="8"/>
  <c r="E1281" i="8"/>
  <c r="C2223" i="8"/>
  <c r="E2223" i="8"/>
  <c r="C2224" i="8"/>
  <c r="E2436" i="8"/>
  <c r="C494" i="8"/>
  <c r="C495" i="8"/>
  <c r="C2337" i="8"/>
  <c r="C2338" i="8"/>
  <c r="C180" i="8"/>
  <c r="C479" i="8"/>
  <c r="C478" i="8"/>
  <c r="C2503" i="8"/>
  <c r="E2503" i="8"/>
  <c r="C801" i="8"/>
  <c r="E801" i="8"/>
  <c r="C802" i="8"/>
  <c r="C3472" i="8"/>
  <c r="E3471" i="8"/>
  <c r="C3471" i="8"/>
  <c r="C2230" i="8"/>
  <c r="E2230" i="8"/>
  <c r="C173" i="8"/>
  <c r="C1055" i="8"/>
  <c r="C2914" i="8"/>
  <c r="E2914" i="8"/>
  <c r="C328" i="8"/>
  <c r="E328" i="8"/>
  <c r="C355" i="8"/>
  <c r="C754" i="8"/>
  <c r="E2853" i="8"/>
  <c r="C2853" i="8"/>
  <c r="C367" i="8"/>
  <c r="C366" i="8"/>
  <c r="E366" i="8"/>
  <c r="C2139" i="8"/>
  <c r="E2139" i="8"/>
  <c r="C606" i="8"/>
  <c r="E606" i="8"/>
  <c r="C607" i="8"/>
  <c r="E3238" i="8"/>
  <c r="C576" i="8"/>
  <c r="C577" i="8"/>
  <c r="C3355" i="8"/>
  <c r="C1255" i="8"/>
  <c r="E1255" i="8"/>
  <c r="E2461" i="8"/>
  <c r="C1167" i="8"/>
  <c r="E520" i="8"/>
  <c r="C520" i="8"/>
  <c r="C2921" i="8"/>
  <c r="E2921" i="8"/>
  <c r="C3166" i="8"/>
  <c r="C3167" i="8"/>
  <c r="E3166" i="8"/>
  <c r="C1258" i="8"/>
  <c r="C1259" i="8"/>
  <c r="E1258" i="8"/>
  <c r="C1922" i="8"/>
  <c r="E1922" i="8"/>
  <c r="C974" i="8"/>
  <c r="E3440" i="8"/>
  <c r="C3149" i="8"/>
  <c r="C3148" i="8"/>
  <c r="E2301" i="8"/>
  <c r="C1559" i="8"/>
  <c r="C1560" i="8"/>
  <c r="E1559" i="8"/>
  <c r="E3616" i="8"/>
  <c r="C3282" i="8"/>
  <c r="C3283" i="8"/>
  <c r="E3282" i="8"/>
  <c r="C716" i="8"/>
  <c r="C2053" i="8"/>
  <c r="E2053" i="8"/>
  <c r="C2644" i="8"/>
  <c r="C1240" i="8"/>
  <c r="C1239" i="8"/>
  <c r="C3214" i="8"/>
  <c r="C398" i="8"/>
  <c r="E398" i="8"/>
  <c r="C3425" i="8"/>
  <c r="E3425" i="8"/>
  <c r="C2213" i="8"/>
  <c r="C3437" i="8"/>
  <c r="E3437" i="8"/>
  <c r="E1942" i="8"/>
  <c r="C1942" i="8"/>
  <c r="C2893" i="8"/>
  <c r="C2894" i="8"/>
  <c r="C3587" i="8"/>
  <c r="C3039" i="8"/>
  <c r="E3039" i="8"/>
  <c r="C3426" i="8"/>
  <c r="E1384" i="8"/>
  <c r="E2212" i="8"/>
  <c r="C2924" i="8"/>
  <c r="C2918" i="8"/>
  <c r="C3043" i="8"/>
  <c r="C799" i="8"/>
  <c r="C3562" i="8"/>
  <c r="E3562" i="8"/>
  <c r="C3436" i="8"/>
  <c r="C3435" i="8"/>
  <c r="E3435" i="8"/>
  <c r="C2734" i="8"/>
  <c r="C3622" i="8"/>
  <c r="C3623" i="8"/>
  <c r="C2787" i="8"/>
  <c r="C1218" i="8"/>
  <c r="C2379" i="8"/>
  <c r="C2380" i="8"/>
  <c r="E2379" i="8"/>
  <c r="C3589" i="8"/>
  <c r="E3589" i="8"/>
  <c r="C2346" i="8"/>
  <c r="C2347" i="8"/>
  <c r="E2346" i="8"/>
  <c r="C905" i="8"/>
  <c r="C3545" i="8"/>
  <c r="C3546" i="8"/>
  <c r="C3505" i="8"/>
  <c r="C3506" i="8"/>
  <c r="C3197" i="8"/>
  <c r="E3197" i="8"/>
  <c r="C1367" i="8"/>
  <c r="C1276" i="8"/>
  <c r="E1275" i="8"/>
  <c r="C2667" i="8"/>
  <c r="C2666" i="8"/>
  <c r="E2666" i="8"/>
  <c r="C2788" i="8"/>
  <c r="C2789" i="8"/>
  <c r="E3150" i="8"/>
  <c r="C3151" i="8"/>
  <c r="C3150" i="8"/>
  <c r="C1060" i="8"/>
  <c r="C3064" i="8"/>
  <c r="C3065" i="8"/>
  <c r="C2458" i="8"/>
  <c r="C2459" i="8"/>
  <c r="E2458" i="8"/>
  <c r="C2124" i="8"/>
  <c r="E2109" i="8"/>
  <c r="C2109" i="8"/>
  <c r="C297" i="8"/>
  <c r="C296" i="8"/>
  <c r="C326" i="8"/>
  <c r="C325" i="8"/>
  <c r="E325" i="8"/>
  <c r="E291" i="8"/>
  <c r="C291" i="8"/>
  <c r="C867" i="8"/>
  <c r="E867" i="8"/>
  <c r="C3618" i="8"/>
  <c r="C3619" i="8"/>
  <c r="E3618" i="8"/>
  <c r="C1870" i="8"/>
  <c r="C636" i="8"/>
  <c r="C52" i="8"/>
  <c r="E51" i="8"/>
  <c r="C51" i="8"/>
  <c r="E1477" i="8"/>
  <c r="E925" i="8"/>
  <c r="C3129" i="8"/>
  <c r="C2592" i="8"/>
  <c r="C734" i="8"/>
  <c r="E734" i="8"/>
  <c r="C3199" i="8"/>
  <c r="C3198" i="8"/>
  <c r="E3198" i="8"/>
  <c r="C1765" i="8"/>
  <c r="C1766" i="8"/>
  <c r="E1765" i="8"/>
  <c r="C562" i="8"/>
  <c r="C561" i="8"/>
  <c r="C3636" i="8"/>
  <c r="C3635" i="8"/>
  <c r="C2097" i="8"/>
  <c r="C2098" i="8"/>
  <c r="E2097" i="8"/>
  <c r="C3306" i="8"/>
  <c r="C3305" i="8"/>
  <c r="C3416" i="8"/>
  <c r="C3415" i="8"/>
  <c r="E3415" i="8"/>
  <c r="C2050" i="8"/>
  <c r="C2375" i="8"/>
  <c r="C2376" i="8"/>
  <c r="E2375" i="8"/>
  <c r="C1168" i="8"/>
  <c r="C195" i="8"/>
  <c r="E195" i="8"/>
  <c r="C3536" i="8"/>
  <c r="C3537" i="8"/>
  <c r="E3536" i="8"/>
  <c r="C3558" i="8"/>
  <c r="E3558" i="8"/>
  <c r="C961" i="8"/>
  <c r="E961" i="8"/>
  <c r="C3346" i="8"/>
  <c r="E3346" i="8"/>
  <c r="C2456" i="8"/>
  <c r="C2457" i="8"/>
  <c r="E2456" i="8"/>
  <c r="C1235" i="8"/>
  <c r="C1414" i="8"/>
  <c r="E1414" i="8"/>
  <c r="C501" i="8"/>
  <c r="E501" i="8"/>
  <c r="C714" i="8"/>
  <c r="C715" i="8"/>
  <c r="E714" i="8"/>
  <c r="C3060" i="8"/>
  <c r="C933" i="8"/>
  <c r="C1115" i="8"/>
  <c r="E1115" i="8"/>
  <c r="E2718" i="8"/>
  <c r="C3014" i="8"/>
  <c r="E3014" i="8"/>
  <c r="C3015" i="8"/>
  <c r="C2749" i="8"/>
  <c r="C2748" i="8"/>
  <c r="E2748" i="8"/>
  <c r="C1609" i="8"/>
  <c r="C1610" i="8"/>
  <c r="C3243" i="8"/>
  <c r="E3243" i="8"/>
  <c r="C985" i="8"/>
  <c r="C986" i="8"/>
  <c r="C2966" i="8"/>
  <c r="E2966" i="8"/>
  <c r="C2305" i="8"/>
  <c r="E2305" i="8"/>
  <c r="C1446" i="8"/>
  <c r="C1445" i="8"/>
  <c r="E1445" i="8"/>
  <c r="C4" i="8"/>
  <c r="C2938" i="8"/>
  <c r="E2938" i="8"/>
  <c r="C2078" i="8"/>
  <c r="C1695" i="8"/>
  <c r="C1696" i="8"/>
  <c r="C249" i="8"/>
  <c r="C2842" i="8"/>
  <c r="C2841" i="8"/>
  <c r="C3113" i="8"/>
  <c r="E3113" i="8"/>
  <c r="C3373" i="8"/>
  <c r="E3373" i="8"/>
  <c r="C1999" i="8"/>
  <c r="C1544" i="8"/>
  <c r="E1544" i="8"/>
  <c r="C1545" i="8"/>
  <c r="C1798" i="8"/>
  <c r="E1798" i="8"/>
  <c r="C2168" i="8"/>
  <c r="C707" i="8"/>
  <c r="C120" i="8"/>
  <c r="C121" i="8"/>
  <c r="C3502" i="8"/>
  <c r="E3502" i="8"/>
  <c r="C2165" i="8"/>
  <c r="E2514" i="8"/>
  <c r="C2514" i="8"/>
  <c r="C2262" i="8"/>
  <c r="C2263" i="8"/>
  <c r="E2262" i="8"/>
  <c r="C178" i="8"/>
  <c r="E178" i="8"/>
  <c r="C646" i="8"/>
  <c r="E646" i="8"/>
  <c r="C2355" i="8"/>
  <c r="C1467" i="8"/>
  <c r="C1466" i="8"/>
  <c r="C1729" i="8"/>
  <c r="C81" i="8"/>
  <c r="C749" i="8"/>
  <c r="E749" i="8"/>
  <c r="C1073" i="8"/>
  <c r="E1073" i="8"/>
  <c r="C3372" i="8"/>
  <c r="C921" i="8"/>
  <c r="C922" i="8"/>
  <c r="E921" i="8"/>
  <c r="C1434" i="8"/>
  <c r="C1435" i="8"/>
  <c r="E1434" i="8"/>
  <c r="C2397" i="8"/>
  <c r="C1028" i="8"/>
  <c r="E1028" i="8"/>
  <c r="C1029" i="8"/>
  <c r="C1004" i="8"/>
  <c r="E1004" i="8"/>
  <c r="C774" i="8"/>
  <c r="E774" i="8"/>
  <c r="C901" i="8"/>
  <c r="C708" i="8"/>
  <c r="C709" i="8"/>
  <c r="C1233" i="8"/>
  <c r="C1232" i="8"/>
  <c r="E1232" i="8"/>
  <c r="C835" i="8"/>
  <c r="E835" i="8"/>
  <c r="C408" i="8"/>
  <c r="C407" i="8"/>
  <c r="C5" i="8"/>
  <c r="C491" i="8"/>
  <c r="E491" i="8"/>
  <c r="C2130" i="8"/>
  <c r="C791" i="8"/>
  <c r="E791" i="8"/>
  <c r="C2270" i="8"/>
  <c r="C938" i="8"/>
  <c r="C937" i="8"/>
  <c r="C3511" i="8"/>
  <c r="E3511" i="8"/>
  <c r="C2059" i="8"/>
  <c r="E2059" i="8"/>
  <c r="C2060" i="8"/>
  <c r="C1595" i="8"/>
  <c r="C1594" i="8"/>
  <c r="C1419" i="8"/>
  <c r="E1419" i="8"/>
  <c r="C502" i="8"/>
  <c r="C503" i="8"/>
  <c r="E502" i="8"/>
  <c r="E1890" i="8"/>
  <c r="E2958" i="8"/>
  <c r="E1784" i="8"/>
  <c r="E3601" i="8"/>
  <c r="E3505" i="8"/>
  <c r="E951" i="8"/>
  <c r="E2415" i="8"/>
  <c r="E3376" i="8"/>
  <c r="E974" i="8"/>
  <c r="E1342" i="8"/>
  <c r="E40" i="8"/>
  <c r="E2" i="8"/>
  <c r="E1168" i="8"/>
  <c r="E636" i="8"/>
  <c r="E1501" i="8"/>
  <c r="E3610" i="8"/>
  <c r="E180" i="8"/>
  <c r="E227" i="8"/>
  <c r="E1356" i="8"/>
  <c r="E314" i="8"/>
  <c r="E2337" i="8"/>
  <c r="E1346" i="8"/>
  <c r="E3355" i="8"/>
  <c r="E2852" i="8"/>
  <c r="E1769" i="8"/>
  <c r="E950" i="8"/>
  <c r="E2475" i="8"/>
  <c r="E2943" i="8"/>
  <c r="E2880" i="8"/>
  <c r="E173" i="8"/>
  <c r="C755" i="8"/>
  <c r="C2436" i="8"/>
  <c r="C482" i="8"/>
  <c r="C3588" i="8"/>
  <c r="C1236" i="8"/>
  <c r="C2532" i="8"/>
  <c r="E2531" i="8"/>
  <c r="C2228" i="8"/>
  <c r="C2090" i="8"/>
  <c r="C2089" i="8"/>
  <c r="C927" i="8"/>
  <c r="C928" i="8"/>
  <c r="C2491" i="8"/>
  <c r="C1132" i="8"/>
  <c r="E1132" i="8"/>
  <c r="C2257" i="8"/>
  <c r="C3549" i="8"/>
  <c r="C3548" i="8"/>
  <c r="E3548" i="8"/>
  <c r="C776" i="8"/>
  <c r="C777" i="8"/>
  <c r="E776" i="8"/>
  <c r="C2119" i="8"/>
  <c r="C2120" i="8"/>
  <c r="E793" i="8"/>
  <c r="C793" i="8"/>
  <c r="C794" i="8"/>
  <c r="C1095" i="8"/>
  <c r="E1095" i="8"/>
  <c r="E36" i="8"/>
  <c r="C36" i="8"/>
  <c r="C152" i="8"/>
  <c r="E152" i="8"/>
  <c r="C1011" i="8"/>
  <c r="C2567" i="8"/>
  <c r="E2567" i="8"/>
  <c r="C42" i="8"/>
  <c r="E42" i="8"/>
  <c r="C3430" i="8"/>
  <c r="E3430" i="8"/>
  <c r="C3230" i="8"/>
  <c r="E3230" i="8"/>
  <c r="C3114" i="8"/>
  <c r="C3443" i="8"/>
  <c r="E3443" i="8"/>
  <c r="C1194" i="8"/>
  <c r="E1194" i="8"/>
  <c r="C853" i="8"/>
  <c r="C854" i="8"/>
  <c r="C445" i="8"/>
  <c r="C446" i="8"/>
  <c r="E445" i="8"/>
  <c r="C1644" i="8"/>
  <c r="C1645" i="8"/>
  <c r="E1644" i="8"/>
  <c r="C2538" i="8"/>
  <c r="E1303" i="8"/>
  <c r="C2191" i="8"/>
  <c r="E2191" i="8"/>
  <c r="C2990" i="8"/>
  <c r="C2991" i="8"/>
  <c r="C2833" i="8"/>
  <c r="C2834" i="8"/>
  <c r="C566" i="8"/>
  <c r="C567" i="8"/>
  <c r="C1816" i="8"/>
  <c r="C317" i="8"/>
  <c r="C763" i="8"/>
  <c r="C762" i="8"/>
  <c r="C3132" i="8"/>
  <c r="C3131" i="8"/>
  <c r="E3131" i="8"/>
  <c r="C3086" i="8"/>
  <c r="E3086" i="8"/>
  <c r="C2877" i="8"/>
  <c r="C2878" i="8"/>
  <c r="E2877" i="8"/>
  <c r="C1127" i="8"/>
  <c r="C1128" i="8"/>
  <c r="C2585" i="8"/>
  <c r="C2586" i="8"/>
  <c r="E2585" i="8"/>
  <c r="C593" i="8"/>
  <c r="E593" i="8"/>
  <c r="C1169" i="8"/>
  <c r="E1169" i="8"/>
  <c r="C2240" i="8"/>
  <c r="C2239" i="8"/>
  <c r="C1981" i="8"/>
  <c r="E1981" i="8"/>
  <c r="E617" i="8"/>
  <c r="C617" i="8"/>
  <c r="C56" i="8"/>
  <c r="C57" i="8"/>
  <c r="C3000" i="8"/>
  <c r="E3000" i="8"/>
  <c r="C1507" i="8"/>
  <c r="C2916" i="8"/>
  <c r="C2917" i="8"/>
  <c r="E2916" i="8"/>
  <c r="C157" i="8"/>
  <c r="C156" i="8"/>
  <c r="E156" i="8"/>
  <c r="C2929" i="8"/>
  <c r="E2929" i="8"/>
  <c r="C3469" i="8"/>
  <c r="C596" i="8"/>
  <c r="C595" i="8"/>
  <c r="C1411" i="8"/>
  <c r="C1410" i="8"/>
  <c r="C2761" i="8"/>
  <c r="C2760" i="8"/>
  <c r="E2760" i="8"/>
  <c r="C2254" i="8"/>
  <c r="E2254" i="8"/>
  <c r="C7" i="8"/>
  <c r="E7" i="8"/>
  <c r="C609" i="8"/>
  <c r="C1002" i="8"/>
  <c r="C1003" i="8"/>
  <c r="E1002" i="8"/>
  <c r="C2776" i="8"/>
  <c r="C2571" i="8"/>
  <c r="E643" i="8"/>
  <c r="C630" i="8"/>
  <c r="C206" i="8"/>
  <c r="E206" i="8"/>
  <c r="C2689" i="8"/>
  <c r="E2689" i="8"/>
  <c r="C911" i="8"/>
  <c r="E911" i="8"/>
  <c r="C2178" i="8"/>
  <c r="C2177" i="8"/>
  <c r="C3126" i="8"/>
  <c r="C2434" i="8"/>
  <c r="C2435" i="8"/>
  <c r="E2434" i="8"/>
  <c r="C147" i="8"/>
  <c r="C1574" i="8"/>
  <c r="C1573" i="8"/>
  <c r="E1573" i="8"/>
  <c r="C145" i="8"/>
  <c r="C146" i="8"/>
  <c r="C3203" i="8"/>
  <c r="E3202" i="8"/>
  <c r="C2515" i="8"/>
  <c r="E2515" i="8"/>
  <c r="C2516" i="8"/>
  <c r="C498" i="8"/>
  <c r="E498" i="8"/>
  <c r="C2872" i="8"/>
  <c r="C2873" i="8"/>
  <c r="E2872" i="8"/>
  <c r="C3211" i="8"/>
  <c r="C2104" i="8"/>
  <c r="C1826" i="8"/>
  <c r="C1827" i="8"/>
  <c r="C1990" i="8"/>
  <c r="C1989" i="8"/>
  <c r="C1064" i="8"/>
  <c r="C1063" i="8"/>
  <c r="C1911" i="8"/>
  <c r="E1911" i="8"/>
  <c r="E3541" i="8"/>
  <c r="C3542" i="8"/>
  <c r="C3541" i="8"/>
  <c r="C3362" i="8"/>
  <c r="C84" i="8"/>
  <c r="C3503" i="8"/>
  <c r="E3503" i="8"/>
  <c r="C2820" i="8"/>
  <c r="C2821" i="8"/>
  <c r="C740" i="8"/>
  <c r="C741" i="8"/>
  <c r="C2192" i="8"/>
  <c r="C2753" i="8"/>
  <c r="C2752" i="8"/>
  <c r="E2752" i="8"/>
  <c r="E2324" i="8"/>
  <c r="C2324" i="8"/>
  <c r="C1888" i="8"/>
  <c r="C1736" i="8"/>
  <c r="C1650" i="8"/>
  <c r="C1651" i="8"/>
  <c r="E1650" i="8"/>
  <c r="C1245" i="8"/>
  <c r="C1246" i="8"/>
  <c r="C3504" i="8"/>
  <c r="E3504" i="8"/>
  <c r="C3645" i="8"/>
  <c r="C3644" i="8"/>
  <c r="C1118" i="8"/>
  <c r="E1118" i="8"/>
  <c r="C2244" i="8"/>
  <c r="C2245" i="8"/>
  <c r="C583" i="8"/>
  <c r="E583" i="8"/>
  <c r="C2819" i="8"/>
  <c r="E2818" i="8"/>
  <c r="C2799" i="8"/>
  <c r="E2799" i="8"/>
  <c r="E884" i="8"/>
  <c r="E576" i="8"/>
  <c r="E678" i="8"/>
  <c r="E145" i="8"/>
  <c r="E219" i="8"/>
  <c r="C24" i="8"/>
  <c r="C3280" i="8"/>
  <c r="C1426" i="8"/>
  <c r="C2445" i="8"/>
  <c r="E2445" i="8"/>
  <c r="C2462" i="8"/>
  <c r="C908" i="8"/>
  <c r="C907" i="8"/>
  <c r="E907" i="8"/>
  <c r="C2654" i="8"/>
  <c r="C2653" i="8"/>
  <c r="C2708" i="8"/>
  <c r="C2709" i="8"/>
  <c r="C975" i="8"/>
  <c r="C976" i="8"/>
  <c r="C425" i="8"/>
  <c r="C426" i="8"/>
  <c r="C1125" i="8"/>
  <c r="E1125" i="8"/>
  <c r="C2715" i="8"/>
  <c r="E2715" i="8"/>
  <c r="C3224" i="8"/>
  <c r="C3223" i="8"/>
  <c r="E3223" i="8"/>
  <c r="E1179" i="8"/>
  <c r="C1179" i="8"/>
  <c r="C517" i="8"/>
  <c r="C518" i="8"/>
  <c r="E517" i="8"/>
  <c r="C229" i="8"/>
  <c r="E229" i="8"/>
  <c r="C2074" i="8"/>
  <c r="E2074" i="8"/>
  <c r="C2451" i="8"/>
  <c r="E2451" i="8"/>
  <c r="C1151" i="8"/>
  <c r="C1152" i="8"/>
  <c r="E1151" i="8"/>
  <c r="C2642" i="8"/>
  <c r="E2642" i="8"/>
  <c r="C2285" i="8"/>
  <c r="C2106" i="8"/>
  <c r="C2107" i="8"/>
  <c r="C242" i="8"/>
  <c r="C241" i="8"/>
  <c r="C406" i="8"/>
  <c r="C405" i="8"/>
  <c r="C3063" i="8"/>
  <c r="C3062" i="8"/>
  <c r="C2479" i="8"/>
  <c r="C2478" i="8"/>
  <c r="E2478" i="8"/>
  <c r="C1987" i="8"/>
  <c r="C1986" i="8"/>
  <c r="E3410" i="8"/>
  <c r="C3410" i="8"/>
  <c r="C3411" i="8"/>
  <c r="C254" i="8"/>
  <c r="C1126" i="8"/>
  <c r="C2356" i="8"/>
  <c r="C3135" i="8"/>
  <c r="E3135" i="8"/>
  <c r="C3136" i="8"/>
  <c r="C2952" i="8"/>
  <c r="C2953" i="8"/>
  <c r="C997" i="8"/>
  <c r="C996" i="8"/>
  <c r="C2930" i="8"/>
  <c r="C800" i="8"/>
  <c r="C885" i="8"/>
  <c r="C886" i="8"/>
  <c r="C2195" i="8"/>
  <c r="C2194" i="8"/>
  <c r="C3312" i="8"/>
  <c r="C2201" i="8"/>
  <c r="E2201" i="8"/>
  <c r="C186" i="8"/>
  <c r="C187" i="8"/>
  <c r="E186" i="8"/>
  <c r="C11" i="8"/>
  <c r="E11" i="8"/>
  <c r="C3034" i="8"/>
  <c r="C3033" i="8"/>
  <c r="E3033" i="8"/>
  <c r="C3590" i="8"/>
  <c r="C3591" i="8"/>
  <c r="C303" i="8"/>
  <c r="C302" i="8"/>
  <c r="C2029" i="8"/>
  <c r="C2310" i="8"/>
  <c r="E2310" i="8"/>
  <c r="C2218" i="8"/>
  <c r="C2219" i="8"/>
  <c r="E2218" i="8"/>
  <c r="C910" i="8"/>
  <c r="E910" i="8"/>
  <c r="C2424" i="8"/>
  <c r="E2423" i="8"/>
  <c r="C2423" i="8"/>
  <c r="C436" i="8"/>
  <c r="E1532" i="8"/>
  <c r="C1626" i="8"/>
  <c r="C1625" i="8"/>
  <c r="E1625" i="8"/>
  <c r="C2925" i="8"/>
  <c r="C372" i="8"/>
  <c r="E372" i="8"/>
  <c r="C2367" i="8"/>
  <c r="E2367" i="8"/>
  <c r="C2131" i="8"/>
  <c r="C702" i="8"/>
  <c r="E702" i="8"/>
  <c r="C2352" i="8"/>
  <c r="E2352" i="8"/>
  <c r="C3406" i="8"/>
  <c r="C3407" i="8"/>
  <c r="E3406" i="8"/>
  <c r="C1977" i="8"/>
  <c r="E2777" i="8"/>
  <c r="C2777" i="8"/>
  <c r="C3194" i="8"/>
  <c r="C1591" i="8"/>
  <c r="C3527" i="8"/>
  <c r="C3526" i="8"/>
  <c r="E3526" i="8"/>
  <c r="C2298" i="8"/>
  <c r="C2529" i="8"/>
  <c r="E2529" i="8"/>
  <c r="C1994" i="8"/>
  <c r="E1994" i="8"/>
  <c r="E205" i="8"/>
  <c r="E1999" i="8"/>
  <c r="E249" i="8"/>
  <c r="E489" i="8"/>
  <c r="E2952" i="8"/>
  <c r="E2408" i="8"/>
  <c r="E630" i="8"/>
  <c r="E874" i="8"/>
  <c r="E122" i="8"/>
  <c r="E3587" i="8"/>
  <c r="E3234" i="8"/>
  <c r="E2369" i="8"/>
  <c r="E862" i="8"/>
  <c r="E885" i="8"/>
  <c r="E3622" i="8"/>
  <c r="E975" i="8"/>
  <c r="E437" i="8"/>
  <c r="E2130" i="8"/>
  <c r="E810" i="8"/>
  <c r="E3207" i="8"/>
  <c r="E3372" i="8"/>
  <c r="E1060" i="8"/>
  <c r="E3288" i="8"/>
  <c r="E716" i="8"/>
  <c r="E2841" i="8"/>
  <c r="E2571" i="8"/>
  <c r="E2356" i="8"/>
  <c r="E2530" i="8"/>
  <c r="C3238" i="8"/>
  <c r="C399" i="8"/>
  <c r="C2919" i="8"/>
  <c r="C1368" i="8"/>
  <c r="C3452" i="8"/>
  <c r="C2773" i="8"/>
  <c r="C2212" i="8"/>
  <c r="C1762" i="8"/>
  <c r="C233" i="8"/>
  <c r="C658" i="8"/>
  <c r="E657" i="8"/>
  <c r="C2984" i="8"/>
  <c r="C2983" i="8"/>
  <c r="C2363" i="8"/>
  <c r="C2364" i="8"/>
  <c r="C1238" i="8"/>
  <c r="C2879" i="8"/>
  <c r="E2879" i="8"/>
  <c r="C806" i="8"/>
  <c r="E805" i="8"/>
  <c r="C1517" i="8"/>
  <c r="C729" i="8"/>
  <c r="E729" i="8"/>
  <c r="E2187" i="8"/>
  <c r="C2187" i="8"/>
  <c r="C375" i="8"/>
  <c r="C374" i="8"/>
  <c r="C3152" i="8"/>
  <c r="E334" i="8"/>
  <c r="C334" i="8"/>
  <c r="C2699" i="8"/>
  <c r="E2699" i="8"/>
  <c r="C631" i="8"/>
  <c r="E631" i="8"/>
  <c r="E142" i="8"/>
  <c r="E1795" i="8"/>
  <c r="C2015" i="8"/>
  <c r="E2015" i="8"/>
  <c r="E1872" i="8"/>
  <c r="C1872" i="8"/>
  <c r="C3196" i="8"/>
  <c r="C3195" i="8"/>
  <c r="C971" i="8"/>
  <c r="C972" i="8"/>
  <c r="E971" i="8"/>
  <c r="C3041" i="8"/>
  <c r="C1737" i="8"/>
  <c r="C1738" i="8"/>
  <c r="C948" i="8"/>
  <c r="C1628" i="8"/>
  <c r="C1629" i="8"/>
  <c r="C2541" i="8"/>
  <c r="C2540" i="8"/>
  <c r="C3153" i="8"/>
  <c r="C1451" i="8"/>
  <c r="C1450" i="8"/>
  <c r="E2661" i="8"/>
  <c r="C2661" i="8"/>
  <c r="C442" i="8"/>
  <c r="C2085" i="8"/>
  <c r="E2085" i="8"/>
  <c r="C549" i="8"/>
  <c r="E548" i="8"/>
  <c r="C548" i="8"/>
  <c r="C1719" i="8"/>
  <c r="C2237" i="8"/>
  <c r="C2238" i="8"/>
  <c r="C2854" i="8"/>
  <c r="E2854" i="8"/>
  <c r="C2359" i="8"/>
  <c r="C2360" i="8"/>
  <c r="C1725" i="8"/>
  <c r="E1725" i="8"/>
  <c r="C987" i="8"/>
  <c r="E987" i="8"/>
  <c r="C2282" i="8"/>
  <c r="C2281" i="8"/>
  <c r="C2534" i="8"/>
  <c r="E2534" i="8"/>
  <c r="C2737" i="8"/>
  <c r="E2737" i="8"/>
  <c r="C1219" i="8"/>
  <c r="E1219" i="8"/>
  <c r="C919" i="8"/>
  <c r="C918" i="8"/>
  <c r="E918" i="8"/>
  <c r="C2615" i="8"/>
  <c r="C3343" i="8"/>
  <c r="C3342" i="8"/>
  <c r="C3140" i="8"/>
  <c r="E3140" i="8"/>
  <c r="C62" i="8"/>
  <c r="E62" i="8"/>
  <c r="C1690" i="8"/>
  <c r="E1689" i="8"/>
  <c r="C2056" i="8"/>
  <c r="E2056" i="8"/>
  <c r="C1787" i="8"/>
  <c r="E3520" i="8"/>
  <c r="C1455" i="8"/>
  <c r="E1455" i="8"/>
  <c r="C1456" i="8"/>
  <c r="C169" i="8"/>
  <c r="C170" i="8"/>
  <c r="C381" i="8"/>
  <c r="C382" i="8"/>
  <c r="E381" i="8"/>
  <c r="C2892" i="8"/>
  <c r="C1516" i="8"/>
  <c r="E1216" i="8"/>
  <c r="C1216" i="8"/>
  <c r="C1794" i="8"/>
  <c r="E1793" i="8"/>
  <c r="C1793" i="8"/>
  <c r="C3237" i="8"/>
  <c r="C3236" i="8"/>
  <c r="C1830" i="8"/>
  <c r="C1831" i="8"/>
  <c r="E1830" i="8"/>
  <c r="C2134" i="8"/>
  <c r="C2135" i="8"/>
  <c r="C3176" i="8"/>
  <c r="E3176" i="8"/>
  <c r="C1212" i="8"/>
  <c r="E1212" i="8"/>
  <c r="C1920" i="8"/>
  <c r="C1919" i="8"/>
  <c r="C1997" i="8"/>
  <c r="C1996" i="8"/>
  <c r="E1996" i="8"/>
  <c r="C941" i="8"/>
  <c r="E941" i="8"/>
  <c r="C3169" i="8"/>
  <c r="E3169" i="8"/>
  <c r="E960" i="8"/>
  <c r="C960" i="8"/>
  <c r="C3377" i="8"/>
  <c r="E3377" i="8"/>
  <c r="C1035" i="8"/>
  <c r="E1035" i="8"/>
  <c r="C101" i="8"/>
  <c r="E101" i="8"/>
  <c r="C2843" i="8"/>
  <c r="C765" i="8"/>
  <c r="E765" i="8"/>
  <c r="C713" i="8"/>
  <c r="E668" i="8"/>
  <c r="C669" i="8"/>
  <c r="C634" i="8"/>
  <c r="E634" i="8"/>
  <c r="C2596" i="8"/>
  <c r="C2597" i="8"/>
  <c r="E2596" i="8"/>
  <c r="C652" i="8"/>
  <c r="C653" i="8"/>
  <c r="E3070" i="8"/>
  <c r="C1807" i="8"/>
  <c r="C2972" i="8"/>
  <c r="C3388" i="8"/>
  <c r="E3388" i="8"/>
  <c r="C3389" i="8"/>
  <c r="E2202" i="8"/>
  <c r="C1552" i="8"/>
  <c r="C3522" i="8"/>
  <c r="C701" i="8"/>
  <c r="C3031" i="8"/>
  <c r="C3030" i="8"/>
  <c r="E3030" i="8"/>
  <c r="C3147" i="8"/>
  <c r="E3147" i="8"/>
  <c r="C27" i="8"/>
  <c r="E27" i="8"/>
  <c r="C695" i="8"/>
  <c r="E694" i="8"/>
  <c r="C694" i="8"/>
  <c r="C1286" i="8"/>
  <c r="C1287" i="8"/>
  <c r="E1286" i="8"/>
  <c r="C2007" i="8"/>
  <c r="C2008" i="8"/>
  <c r="C2415" i="8"/>
  <c r="C1603" i="8"/>
  <c r="E1603" i="8"/>
  <c r="C782" i="8"/>
  <c r="E782" i="8"/>
  <c r="C681" i="8"/>
  <c r="C3293" i="8"/>
  <c r="E3293" i="8"/>
  <c r="C1119" i="8"/>
  <c r="E1119" i="8"/>
  <c r="C601" i="8"/>
  <c r="C957" i="8"/>
  <c r="E957" i="8"/>
  <c r="C452" i="8"/>
  <c r="E452" i="8"/>
  <c r="C1360" i="8"/>
  <c r="C1361" i="8"/>
  <c r="E1360" i="8"/>
  <c r="C3399" i="8"/>
  <c r="E3399" i="8"/>
  <c r="C1776" i="8"/>
  <c r="E1776" i="8"/>
  <c r="C467" i="8"/>
  <c r="E467" i="8"/>
  <c r="C3412" i="8"/>
  <c r="C855" i="8"/>
  <c r="E855" i="8"/>
  <c r="C2114" i="8"/>
  <c r="C590" i="8"/>
  <c r="C1859" i="8"/>
  <c r="C1860" i="8"/>
  <c r="E1859" i="8"/>
  <c r="C2242" i="8"/>
  <c r="E2242" i="8"/>
  <c r="C1504" i="8"/>
  <c r="C1754" i="8"/>
  <c r="E1539" i="8"/>
  <c r="C1540" i="8"/>
  <c r="C1539" i="8"/>
  <c r="C2580" i="8"/>
  <c r="C2884" i="8"/>
  <c r="C2885" i="8"/>
  <c r="E2884" i="8"/>
  <c r="C2890" i="8"/>
  <c r="C915" i="8"/>
  <c r="E915" i="8"/>
  <c r="C1056" i="8"/>
  <c r="E1056" i="8"/>
  <c r="C1293" i="8"/>
  <c r="C1292" i="8"/>
  <c r="E1292" i="8"/>
  <c r="C2595" i="8"/>
  <c r="E2595" i="8"/>
  <c r="C693" i="8"/>
  <c r="E693" i="8"/>
  <c r="C199" i="8"/>
  <c r="C200" i="8"/>
  <c r="C1265" i="8"/>
  <c r="C1264" i="8"/>
  <c r="C2480" i="8"/>
  <c r="E2480" i="8"/>
  <c r="C1155" i="8"/>
  <c r="C1156" i="8"/>
  <c r="C3182" i="8"/>
  <c r="E3182" i="8"/>
  <c r="C155" i="8"/>
  <c r="E155" i="8"/>
  <c r="C2981" i="8"/>
  <c r="C2980" i="8"/>
  <c r="C1229" i="8"/>
  <c r="C1178" i="8"/>
  <c r="E1178" i="8"/>
  <c r="C1318" i="8"/>
  <c r="E1318" i="8"/>
  <c r="C493" i="8"/>
  <c r="C158" i="8"/>
  <c r="C159" i="8"/>
  <c r="C3378" i="8"/>
  <c r="C3379" i="8"/>
  <c r="C3021" i="8"/>
  <c r="C3345" i="8"/>
  <c r="E3345" i="8"/>
  <c r="E866" i="8"/>
  <c r="C866" i="8"/>
  <c r="C851" i="8"/>
  <c r="E851" i="8"/>
  <c r="C845" i="8"/>
  <c r="C2001" i="8"/>
  <c r="E2001" i="8"/>
  <c r="C2002" i="8"/>
  <c r="C1099" i="8"/>
  <c r="E1099" i="8"/>
  <c r="C3012" i="8"/>
  <c r="C3011" i="8"/>
  <c r="E3011" i="8"/>
  <c r="C3144" i="8"/>
  <c r="C831" i="8"/>
  <c r="E831" i="8"/>
  <c r="C3209" i="8"/>
  <c r="C2831" i="8"/>
  <c r="C2830" i="8"/>
  <c r="C2334" i="8"/>
  <c r="C2333" i="8"/>
  <c r="C1959" i="8"/>
  <c r="E1959" i="8"/>
  <c r="C2209" i="8"/>
  <c r="E2209" i="8"/>
  <c r="C3428" i="8"/>
  <c r="C1976" i="8"/>
  <c r="E1976" i="8"/>
  <c r="C2054" i="8"/>
  <c r="E3342" i="8"/>
  <c r="E3501" i="8"/>
  <c r="E2100" i="8"/>
  <c r="E2791" i="8"/>
  <c r="E3148" i="8"/>
  <c r="C2202" i="8"/>
  <c r="C1551" i="8"/>
  <c r="C2385" i="8"/>
  <c r="C2384" i="8"/>
  <c r="E2384" i="8"/>
  <c r="C373" i="8"/>
  <c r="E373" i="8"/>
  <c r="C527" i="8"/>
  <c r="E527" i="8"/>
  <c r="C2183" i="8"/>
  <c r="C2184" i="8"/>
  <c r="C1836" i="8"/>
  <c r="E1836" i="8"/>
  <c r="E2288" i="8"/>
  <c r="C2288" i="8"/>
  <c r="C3110" i="8"/>
  <c r="C1778" i="8"/>
  <c r="E1778" i="8"/>
  <c r="C2509" i="8"/>
  <c r="E2509" i="8"/>
  <c r="C2827" i="8"/>
  <c r="C116" i="8"/>
  <c r="C3543" i="8"/>
  <c r="E3543" i="8"/>
  <c r="C2785" i="8"/>
  <c r="C2786" i="8"/>
  <c r="E2785" i="8"/>
  <c r="C282" i="8"/>
  <c r="C1058" i="8"/>
  <c r="E1057" i="8"/>
  <c r="E2433" i="8"/>
  <c r="C2433" i="8"/>
  <c r="C59" i="8"/>
  <c r="E2766" i="8"/>
  <c r="C2766" i="8"/>
  <c r="C1140" i="8"/>
  <c r="E1139" i="8"/>
  <c r="C1139" i="8"/>
  <c r="C2609" i="8"/>
  <c r="C2610" i="8"/>
  <c r="E2609" i="8"/>
  <c r="C216" i="8"/>
  <c r="C217" i="8"/>
  <c r="E216" i="8"/>
  <c r="C393" i="8"/>
  <c r="E393" i="8"/>
  <c r="E650" i="8"/>
  <c r="C1953" i="8"/>
  <c r="E1953" i="8"/>
  <c r="C758" i="8"/>
  <c r="C759" i="8"/>
  <c r="C2876" i="8"/>
  <c r="E2876" i="8"/>
  <c r="C1363" i="8"/>
  <c r="E1363" i="8"/>
  <c r="C1785" i="8"/>
  <c r="C2016" i="8"/>
  <c r="C3284" i="8"/>
  <c r="C3285" i="8"/>
  <c r="C3235" i="8"/>
  <c r="E2892" i="8"/>
  <c r="E313" i="8"/>
  <c r="C2301" i="8"/>
  <c r="C142" i="8"/>
  <c r="C2077" i="8"/>
  <c r="C109" i="8"/>
  <c r="C1880" i="8"/>
  <c r="E1880" i="8"/>
  <c r="C1476" i="8"/>
  <c r="C1900" i="8"/>
  <c r="E1900" i="8"/>
  <c r="C2083" i="8"/>
  <c r="C2084" i="8"/>
  <c r="E2083" i="8"/>
  <c r="C210" i="8"/>
  <c r="C211" i="8"/>
  <c r="C1051" i="8"/>
  <c r="E1051" i="8"/>
  <c r="C540" i="8"/>
  <c r="C539" i="8"/>
  <c r="C898" i="8"/>
  <c r="C899" i="8"/>
  <c r="E898" i="8"/>
  <c r="C889" i="8"/>
  <c r="C890" i="8"/>
  <c r="E889" i="8"/>
  <c r="C1648" i="8"/>
  <c r="C989" i="8"/>
  <c r="E989" i="8"/>
  <c r="C990" i="8"/>
  <c r="C508" i="8"/>
  <c r="C3111" i="8"/>
  <c r="C3634" i="8"/>
  <c r="E361" i="8"/>
  <c r="C2669" i="8"/>
  <c r="E2668" i="8"/>
  <c r="E1601" i="8"/>
  <c r="C651" i="8"/>
  <c r="E651" i="8"/>
  <c r="C3598" i="8"/>
  <c r="C2175" i="8"/>
  <c r="E2175" i="8"/>
  <c r="C2368" i="8"/>
  <c r="E2368" i="8"/>
  <c r="C3609" i="8"/>
  <c r="E3609" i="8"/>
  <c r="C1555" i="8"/>
  <c r="C1642" i="8"/>
  <c r="C1643" i="8"/>
  <c r="C2812" i="8"/>
  <c r="C2813" i="8"/>
  <c r="C3026" i="8"/>
  <c r="E3026" i="8"/>
  <c r="C3523" i="8"/>
  <c r="C3524" i="8"/>
  <c r="E3523" i="8"/>
  <c r="C1905" i="8"/>
  <c r="E1905" i="8"/>
  <c r="C3298" i="8"/>
  <c r="C1098" i="8"/>
  <c r="E1098" i="8"/>
  <c r="C1332" i="8"/>
  <c r="E1332" i="8"/>
  <c r="C1485" i="8"/>
  <c r="C1484" i="8"/>
  <c r="C510" i="8"/>
  <c r="E509" i="8"/>
  <c r="C509" i="8"/>
  <c r="C331" i="8"/>
  <c r="C330" i="8"/>
  <c r="E330" i="8"/>
  <c r="C1375" i="8"/>
  <c r="C1374" i="8"/>
  <c r="C2637" i="8"/>
  <c r="C2638" i="8"/>
  <c r="E2637" i="8"/>
  <c r="C1403" i="8"/>
  <c r="C1404" i="8"/>
  <c r="C1679" i="8"/>
  <c r="E1679" i="8"/>
  <c r="E1007" i="8"/>
  <c r="C1007" i="8"/>
  <c r="C3083" i="8"/>
  <c r="C1866" i="8"/>
  <c r="E1866" i="8"/>
  <c r="C1867" i="8"/>
  <c r="C2698" i="8"/>
  <c r="E2698" i="8"/>
  <c r="C659" i="8"/>
  <c r="E2121" i="8"/>
  <c r="C2271" i="8"/>
  <c r="E2271" i="8"/>
  <c r="C458" i="8"/>
  <c r="C457" i="8"/>
  <c r="C1790" i="8"/>
  <c r="C2988" i="8"/>
  <c r="C2036" i="8"/>
  <c r="C2037" i="8"/>
  <c r="C1528" i="8"/>
  <c r="C1527" i="8"/>
  <c r="E1527" i="8"/>
  <c r="C3383" i="8"/>
  <c r="E3383" i="8"/>
  <c r="C2294" i="8"/>
  <c r="E2294" i="8"/>
  <c r="C3164" i="8"/>
  <c r="E3164" i="8"/>
  <c r="C222" i="8"/>
  <c r="C223" i="8"/>
  <c r="C592" i="8"/>
  <c r="E592" i="8"/>
  <c r="C2127" i="8"/>
  <c r="C2128" i="8"/>
  <c r="E2127" i="8"/>
  <c r="C3067" i="8"/>
  <c r="E3066" i="8"/>
  <c r="C3066" i="8"/>
  <c r="C1036" i="8"/>
  <c r="E1036" i="8"/>
  <c r="C350" i="8"/>
  <c r="C349" i="8"/>
  <c r="E349" i="8"/>
  <c r="C3500" i="8"/>
  <c r="C2399" i="8"/>
  <c r="C3482" i="8"/>
  <c r="C3481" i="8"/>
  <c r="E3481" i="8"/>
  <c r="E2257" i="8"/>
  <c r="E172" i="8"/>
  <c r="E3219" i="8"/>
  <c r="E2989" i="8"/>
  <c r="E1111" i="8"/>
  <c r="E3362" i="8"/>
  <c r="E2247" i="8"/>
  <c r="E3382" i="8"/>
  <c r="E317" i="8"/>
  <c r="E3651" i="8"/>
  <c r="E1508" i="8"/>
  <c r="E2024" i="8"/>
  <c r="E76" i="8"/>
  <c r="E3317" i="8"/>
  <c r="E3194" i="8"/>
  <c r="E2281" i="8"/>
  <c r="E478" i="8"/>
  <c r="E296" i="8"/>
  <c r="E580" i="8"/>
  <c r="E24" i="8"/>
  <c r="E1889" i="8"/>
  <c r="E409" i="8"/>
  <c r="E2499" i="8"/>
  <c r="E1657" i="8"/>
  <c r="E2868" i="8"/>
  <c r="E1261" i="8"/>
  <c r="E2134" i="8"/>
  <c r="E2772" i="8"/>
  <c r="E2653" i="8"/>
  <c r="E3552" i="8"/>
  <c r="E2484" i="8"/>
  <c r="E2077" i="8"/>
  <c r="E1374" i="8"/>
  <c r="E148" i="8"/>
  <c r="E3627" i="8"/>
  <c r="E2620" i="8"/>
  <c r="E1517" i="8"/>
  <c r="E461" i="8"/>
  <c r="E294" i="8"/>
  <c r="E3644" i="8"/>
  <c r="E2252" i="8"/>
  <c r="E3193" i="8"/>
  <c r="E3500" i="8"/>
  <c r="E1453" i="8"/>
  <c r="E1719" i="8"/>
  <c r="E3460" i="8"/>
  <c r="E3457" i="8"/>
  <c r="E754" i="8"/>
  <c r="E3632" i="8"/>
  <c r="E3597" i="8"/>
  <c r="E2050" i="8"/>
  <c r="E790" i="8"/>
  <c r="E3412" i="8"/>
  <c r="E1367" i="8"/>
  <c r="C585" i="8"/>
  <c r="C1786" i="8"/>
  <c r="C2693" i="8"/>
  <c r="C3616" i="8"/>
  <c r="C1346" i="8"/>
  <c r="C1881" i="8"/>
  <c r="C3287" i="8"/>
  <c r="C2496" i="8"/>
  <c r="C1275" i="8"/>
  <c r="C2694" i="8"/>
  <c r="C657" i="8"/>
  <c r="C108" i="8"/>
  <c r="C3384" i="8"/>
  <c r="C2583" i="8"/>
  <c r="C1120" i="8"/>
  <c r="C2052" i="8"/>
  <c r="C1646" i="8"/>
  <c r="C1022" i="8"/>
  <c r="C1791" i="8"/>
  <c r="C821" i="8"/>
  <c r="C3177" i="8"/>
  <c r="C1347" i="8"/>
  <c r="C3439" i="8"/>
  <c r="C2982" i="8"/>
  <c r="C2704" i="8"/>
  <c r="C2412" i="8"/>
  <c r="C2481" i="8"/>
  <c r="C1834" i="8"/>
  <c r="C3189" i="8"/>
  <c r="C914" i="8"/>
  <c r="C63" i="8"/>
  <c r="C1349" i="8"/>
  <c r="C17" i="8"/>
  <c r="C679" i="8"/>
  <c r="C856" i="8"/>
  <c r="C497" i="8"/>
  <c r="C2064" i="8"/>
  <c r="C720" i="8"/>
  <c r="C3516" i="8"/>
  <c r="C1012" i="8"/>
  <c r="C1611" i="8"/>
  <c r="C1824" i="8"/>
  <c r="C1639" i="8"/>
  <c r="C353" i="8"/>
  <c r="C697" i="8"/>
  <c r="C3540" i="8"/>
  <c r="C2696" i="8"/>
  <c r="C2856" i="8"/>
  <c r="C3403" i="8"/>
  <c r="C1741" i="8"/>
  <c r="C1213" i="8"/>
  <c r="C250" i="8"/>
  <c r="C1457" i="8"/>
  <c r="C994" i="8"/>
  <c r="C2922" i="8"/>
  <c r="C2236" i="8"/>
  <c r="C672" i="8"/>
  <c r="C424" i="8"/>
  <c r="C2505" i="8"/>
  <c r="C936" i="8"/>
  <c r="C2809" i="8"/>
  <c r="C1556" i="8"/>
  <c r="C295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EA2B6EA-039E-40A1-AE9B-F62705DB7B98}" keepAlive="1" name="ModelConnection_Table 7" description="Data Model" type="5" refreshedVersion="8" minRefreshableVersion="5" saveData="1">
    <dbPr connection="Data Model Connection" command="Table 7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1CD93C7A-B503-4B95-86DE-DE0D9D688402}" keepAlive="1" name="ModelConnection_Table 8" description="Data Model" type="5" refreshedVersion="8" minRefreshableVersion="5" saveData="1">
    <dbPr connection="Data Model Connection" command="Table 8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24AE8E3C-18BF-4E20-9B3D-FDAEEAF09D35}" keepAlive="1" name="Query - 2024" description="Connection to the '2024' query in the workbook." type="5" refreshedVersion="8" background="1" refreshOnLoad="1" saveData="1">
    <dbPr connection="Provider=Microsoft.Mashup.OleDb.1;Data Source=$Workbook$;Location=2024;Extended Properties=&quot;&quot;" command="SELECT * FROM [2024]"/>
  </connection>
  <connection id="4" xr16:uid="{D7913EBE-0858-41D9-8CA4-E1DA3DC03B83}" name="Query - Table 7" description="Connection to the 'Table 7' query in the workbook." type="100" refreshedVersion="8" minRefreshableVersion="5" refreshOnLoad="1" saveData="1">
    <extLst>
      <ext xmlns:x15="http://schemas.microsoft.com/office/spreadsheetml/2010/11/main" uri="{DE250136-89BD-433C-8126-D09CA5730AF9}">
        <x15:connection id="e68c0616-ca08-4a2e-ad58-6d7a305b992b"/>
      </ext>
    </extLst>
  </connection>
  <connection id="5" xr16:uid="{C6388140-EF0C-4F2C-BA24-D2400BC69DA3}" keepAlive="1" name="Query - Table 7 (3)" description="Connection to the 'Table 7 (3)' query in the workbook." type="5" refreshedVersion="8" background="1" refreshOnLoad="1" saveData="1">
    <dbPr connection="Provider=Microsoft.Mashup.OleDb.1;Data Source=$Workbook$;Location=&quot;Table 7 (3)&quot;;Extended Properties=&quot;&quot;" command="SELECT * FROM [Table 7 (3)]"/>
  </connection>
  <connection id="6" xr16:uid="{B5962588-529E-45FC-B812-568C74BA53CD}" keepAlive="1" name="Query - Table 7 (5)" description="Connection to the 'Table 7 (5)' query in the workbook." type="5" refreshedVersion="8" background="1" refreshOnLoad="1" saveData="1">
    <dbPr connection="Provider=Microsoft.Mashup.OleDb.1;Data Source=$Workbook$;Location=&quot;Table 7 (5)&quot;;Extended Properties=&quot;&quot;" command="SELECT * FROM [Table 7 (5)]"/>
  </connection>
  <connection id="7" xr16:uid="{60DD50BD-6EBC-4904-B2CB-DA24508524D9}" keepAlive="1" name="Query - Table 7 (6)" description="Connection to the 'Table 7 (6)' query in the workbook." type="5" refreshedVersion="8" background="1" refreshOnLoad="1" saveData="1">
    <dbPr connection="Provider=Microsoft.Mashup.OleDb.1;Data Source=$Workbook$;Location=&quot;Table 7 (6)&quot;;Extended Properties=&quot;&quot;" command="SELECT * FROM [Table 7 (6)]"/>
  </connection>
  <connection id="8" xr16:uid="{581A3E19-52D3-4CC6-9848-E7D8E6C0B615}" name="Query - Table 8" description="Connection to the 'Table 8' query in the workbook." type="100" refreshedVersion="8" minRefreshableVersion="5" refreshOnLoad="1" saveData="1">
    <extLst>
      <ext xmlns:x15="http://schemas.microsoft.com/office/spreadsheetml/2010/11/main" uri="{DE250136-89BD-433C-8126-D09CA5730AF9}">
        <x15:connection id="fee464c0-6553-48d1-8a42-898d53d7cf16"/>
      </ext>
    </extLst>
  </connection>
  <connection id="9" xr16:uid="{FD9191BF-4683-49B1-A647-9CF5087A68A2}" keepAlive="1" name="Query - Table 8 (3)" description="Connection to the 'Table 8 (3)' query in the workbook." type="5" refreshedVersion="8" background="1" refreshOnLoad="1" saveData="1">
    <dbPr connection="Provider=Microsoft.Mashup.OleDb.1;Data Source=$Workbook$;Location=&quot;Table 8 (3)&quot;;Extended Properties=&quot;&quot;" command="SELECT * FROM [Table 8 (3)]"/>
  </connection>
  <connection id="10" xr16:uid="{EA093D9A-CE18-4194-A167-8615A0D5CB10}" keepAlive="1" name="Query - Table 8 (5)" description="Connection to the 'Table 8 (5)' query in the workbook." type="5" refreshedVersion="8" background="1" refreshOnLoad="1" saveData="1">
    <dbPr connection="Provider=Microsoft.Mashup.OleDb.1;Data Source=$Workbook$;Location=&quot;Table 8 (5)&quot;;Extended Properties=&quot;&quot;" command="SELECT * FROM [Table 8 (5)]"/>
  </connection>
  <connection id="11" xr16:uid="{F516FFFA-A12D-4C56-B5A1-155E0BFDE6EB}" keepAlive="1" name="Query - Table 8 (6)" description="Connection to the 'Table 8 (6)' query in the workbook." type="5" refreshedVersion="8" background="1" refreshOnLoad="1" saveData="1">
    <dbPr connection="Provider=Microsoft.Mashup.OleDb.1;Data Source=$Workbook$;Location=&quot;Table 8 (6)&quot;;Extended Properties=&quot;&quot;" command="SELECT * FROM [Table 8 (6)]"/>
  </connection>
  <connection id="12" xr16:uid="{6986BC5C-BDB9-480A-8277-EAD1CC3F255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<sst xmlns="http://schemas.openxmlformats.org/spreadsheetml/2006/main" count="2287" uniqueCount="183">
  <si>
    <t>D0</t>
  </si>
  <si>
    <t>D-1</t>
  </si>
  <si>
    <t>DI</t>
  </si>
  <si>
    <t>DOL</t>
  </si>
  <si>
    <t>CCS</t>
  </si>
  <si>
    <t>CCL</t>
  </si>
  <si>
    <t>Contrato</t>
  </si>
  <si>
    <t>Data</t>
  </si>
  <si>
    <t>Dia da Semana</t>
  </si>
  <si>
    <t>Feriado</t>
  </si>
  <si>
    <t>segunda-feira</t>
  </si>
  <si>
    <t>Confraternização Universal</t>
  </si>
  <si>
    <t>Carnaval</t>
  </si>
  <si>
    <t>terça-feira</t>
  </si>
  <si>
    <t>sexta-feira</t>
  </si>
  <si>
    <t>Paixão de Cristo</t>
  </si>
  <si>
    <t>domingo</t>
  </si>
  <si>
    <t>Tiradentes</t>
  </si>
  <si>
    <t>quarta-feira</t>
  </si>
  <si>
    <t>Dia do Trabalho</t>
  </si>
  <si>
    <t>quinta-feira</t>
  </si>
  <si>
    <t>Corpus Christi</t>
  </si>
  <si>
    <t>sábado</t>
  </si>
  <si>
    <t>Independência do Brasil</t>
  </si>
  <si>
    <t>Nossa Sr.a Aparecida - Padroeira do Brasil</t>
  </si>
  <si>
    <t>Finados</t>
  </si>
  <si>
    <t>Proclamação da República</t>
  </si>
  <si>
    <t>Dia Nacional de Zumbi e da Consciência Negra</t>
  </si>
  <si>
    <t>Natal</t>
  </si>
  <si>
    <t xml:space="preserve">Confraternização Universal </t>
  </si>
  <si>
    <t>VENCTO</t>
  </si>
  <si>
    <t>PREÇO ABERT.</t>
  </si>
  <si>
    <t>PREÇO MÍN.</t>
  </si>
  <si>
    <t>PREÇO MÁX.</t>
  </si>
  <si>
    <t>PREÇO MÉD.</t>
  </si>
  <si>
    <t>ÚLT. PREÇO</t>
  </si>
  <si>
    <t>AJUSTE</t>
  </si>
  <si>
    <t>VAR. PTOS.</t>
  </si>
  <si>
    <t>ÚLT. OF. COMPRA</t>
  </si>
  <si>
    <t>ÚLT. OF. VENDA</t>
  </si>
  <si>
    <t>Z24</t>
  </si>
  <si>
    <t>F25</t>
  </si>
  <si>
    <t>G25</t>
  </si>
  <si>
    <t>H25</t>
  </si>
  <si>
    <t>J25</t>
  </si>
  <si>
    <t>K25</t>
  </si>
  <si>
    <t>M25</t>
  </si>
  <si>
    <t>N25</t>
  </si>
  <si>
    <t>Q25</t>
  </si>
  <si>
    <t>V25</t>
  </si>
  <si>
    <t>F26</t>
  </si>
  <si>
    <t>J26</t>
  </si>
  <si>
    <t>N26</t>
  </si>
  <si>
    <t>V26</t>
  </si>
  <si>
    <t>F27</t>
  </si>
  <si>
    <t>J27</t>
  </si>
  <si>
    <t>N27</t>
  </si>
  <si>
    <t>F28</t>
  </si>
  <si>
    <t>N28</t>
  </si>
  <si>
    <t>F29</t>
  </si>
  <si>
    <t>N29</t>
  </si>
  <si>
    <t>F30</t>
  </si>
  <si>
    <t>AJUSTE ANTER. (3)</t>
  </si>
  <si>
    <t>AJUSTE CORRIG. (4)</t>
  </si>
  <si>
    <t>V27</t>
  </si>
  <si>
    <t>J28</t>
  </si>
  <si>
    <t>V28</t>
  </si>
  <si>
    <t>J29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</si>
  <si>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</si>
  <si>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</si>
  <si>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</si>
  <si>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</si>
  <si>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</si>
  <si>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</si>
  <si>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</si>
  <si>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</si>
  <si>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</si>
  <si>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DU</t>
  </si>
  <si>
    <t>DC</t>
  </si>
  <si>
    <t>Código</t>
  </si>
  <si>
    <t>Mês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</si>
  <si>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</si>
  <si>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</si>
  <si>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</si>
  <si>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</si>
  <si>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</si>
  <si>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</si>
  <si>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</si>
  <si>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</si>
  <si>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</si>
  <si>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</si>
  <si>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</si>
  <si>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</si>
  <si>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Vcto Data</t>
  </si>
  <si>
    <t>Currency</t>
  </si>
  <si>
    <t>Buy</t>
  </si>
  <si>
    <t>Sell</t>
  </si>
  <si>
    <t>USD</t>
  </si>
  <si>
    <t>28082024</t>
  </si>
  <si>
    <t>29082024</t>
  </si>
  <si>
    <t>30082024</t>
  </si>
  <si>
    <t>Para atualizar o range da Ptax, editar no Power Query da consulta</t>
  </si>
  <si>
    <t>PTAX (D-1)</t>
  </si>
  <si>
    <t>Tenor</t>
  </si>
  <si>
    <t>U25</t>
  </si>
  <si>
    <t>2092024</t>
  </si>
  <si>
    <t>3092024</t>
  </si>
  <si>
    <t>4092024</t>
  </si>
  <si>
    <t>5092024</t>
  </si>
  <si>
    <t>6092024</t>
  </si>
  <si>
    <t>Diff</t>
  </si>
  <si>
    <t>9092024</t>
  </si>
  <si>
    <t>10092024</t>
  </si>
  <si>
    <t>11092024</t>
  </si>
  <si>
    <t>12092024</t>
  </si>
  <si>
    <t>13092024</t>
  </si>
  <si>
    <t>16092024</t>
  </si>
  <si>
    <t>Pre Implicita</t>
  </si>
  <si>
    <t>17092024</t>
  </si>
  <si>
    <t>18092024</t>
  </si>
  <si>
    <t>19092024</t>
  </si>
  <si>
    <t>20092024</t>
  </si>
  <si>
    <t>Normal</t>
  </si>
  <si>
    <t>Steep</t>
  </si>
  <si>
    <t>Flat</t>
  </si>
  <si>
    <t>Inverted</t>
  </si>
  <si>
    <t>As taxas de juros aumentam conforme o prazo se alonga, indicando confiança no crescimento econômico</t>
  </si>
  <si>
    <t xml:space="preserve"> e expectativas de inflação moderada no futuro.</t>
  </si>
  <si>
    <t>As taxas de juros de curto prazo são maiores que as de longo prazo, um sinal de pessimismo econômico</t>
  </si>
  <si>
    <t xml:space="preserve"> e possível recessão à frente.</t>
  </si>
  <si>
    <t xml:space="preserve">As taxas aumentam rapidamente com o prazo, sugerindo um crescimento econômico acelerado </t>
  </si>
  <si>
    <t>ou expectativas de inflação futura alta.</t>
  </si>
  <si>
    <t>As taxas de curto e longo prazo são quase iguais, sugerindo incerteza no mercado sobre o crescimento</t>
  </si>
  <si>
    <t xml:space="preserve"> econômico futuro ou uma transição entre cenários.</t>
  </si>
  <si>
    <t>X25</t>
  </si>
  <si>
    <t>V29</t>
  </si>
  <si>
    <t>23092024</t>
  </si>
  <si>
    <t>24092024</t>
  </si>
  <si>
    <t>25092024</t>
  </si>
  <si>
    <t>26092024</t>
  </si>
  <si>
    <t>27092024</t>
  </si>
  <si>
    <t>30092024</t>
  </si>
  <si>
    <t>1102024</t>
  </si>
  <si>
    <t>2102024</t>
  </si>
  <si>
    <t>3102024</t>
  </si>
  <si>
    <t>4102024</t>
  </si>
  <si>
    <t>7102024</t>
  </si>
  <si>
    <t>8102024</t>
  </si>
  <si>
    <t>9102024</t>
  </si>
  <si>
    <t>10102024</t>
  </si>
  <si>
    <t>11102024</t>
  </si>
  <si>
    <t>14102024</t>
  </si>
  <si>
    <t>15102024</t>
  </si>
  <si>
    <t>16102024</t>
  </si>
  <si>
    <t>17102024</t>
  </si>
  <si>
    <t>18102024</t>
  </si>
  <si>
    <t>21102024</t>
  </si>
  <si>
    <t>22102024</t>
  </si>
  <si>
    <t>23102024</t>
  </si>
  <si>
    <t>24102024</t>
  </si>
  <si>
    <t>25102024</t>
  </si>
  <si>
    <t>28102024</t>
  </si>
  <si>
    <t>29102024</t>
  </si>
  <si>
    <t>30102024</t>
  </si>
  <si>
    <t>31102024</t>
  </si>
  <si>
    <t>1112024</t>
  </si>
  <si>
    <t>4112024</t>
  </si>
  <si>
    <t>5112024</t>
  </si>
  <si>
    <t>6112024</t>
  </si>
  <si>
    <t>7112024</t>
  </si>
  <si>
    <t>8112024</t>
  </si>
  <si>
    <t>11112024</t>
  </si>
  <si>
    <t>12112024</t>
  </si>
  <si>
    <t>13112024</t>
  </si>
  <si>
    <t>DI (13/11)</t>
  </si>
  <si>
    <t>SPOT</t>
  </si>
  <si>
    <t>datacorrig</t>
  </si>
  <si>
    <t>https://www.b3.com.br/pt_br/market-data-e-indices/servicos-de-dados/market-data/consultas/mercado-de-derivativos/indicadores/indicadores-financeiros/</t>
  </si>
  <si>
    <t>Para atualizar o Spot, consultar o site da B3</t>
  </si>
  <si>
    <t>14112024</t>
  </si>
  <si>
    <t>Fator_DI</t>
  </si>
  <si>
    <t>Fator_CCS</t>
  </si>
  <si>
    <t>Fator_CCL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</si>
</sst>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0.0000"/>
    <numFmt numFmtId="165" formatCode="#,##0.0000"/>
    <numFmt numFmtId="170" formatCode="&quot;R$&quot;\ #,##0.00"/>
    <numFmt numFmtId="176" formatCode="0.000000"/>
  </numFmts>
  <fonts count="15" x14ac:knownFonts="1">
    <font>
      <sz val="10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4"/>
      <name val="Aptos Narrow"/>
      <family val="2"/>
      <scheme val="minor"/>
    </font>
    <font>
      <b/>
      <sz val="9"/>
      <color theme="6"/>
      <name val="Aptos Narrow"/>
      <family val="2"/>
      <scheme val="minor"/>
    </font>
    <font>
      <b/>
      <sz val="9"/>
      <color theme="1" tint="0.34998626667073579"/>
      <name val="Aptos Narrow"/>
      <family val="2"/>
      <scheme val="minor"/>
    </font>
    <font>
      <b/>
      <sz val="8"/>
      <color theme="0"/>
      <name val="Arial"/>
      <family val="2"/>
    </font>
    <font>
      <sz val="8"/>
      <color theme="1"/>
      <name val="Aptos Narrow"/>
      <family val="2"/>
      <scheme val="minor"/>
    </font>
    <font>
      <sz val="8"/>
      <color theme="4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9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i/>
      <sz val="9"/>
      <color theme="4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8">
    <border>
      <left/>
      <right/>
      <top/>
      <bottom/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indexed="55"/>
      </right>
      <top style="medium">
        <color indexed="23"/>
      </top>
      <bottom style="medium">
        <color indexed="2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2">
    <xf numFmtId="0" fontId="0" fillId="0" borderId="0" xfId="0"/>
    <xf numFmtId="0" fontId="2" fillId="2" borderId="4" xfId="0" applyFont="1" applyFill="1" applyBorder="1" applyAlignment="1">
      <alignment horizontal="center"/>
    </xf>
    <xf numFmtId="164" fontId="4" fillId="0" borderId="5" xfId="0" applyNumberFormat="1" applyFont="1" applyBorder="1" applyAlignment="1">
      <alignment horizontal="center"/>
    </xf>
    <xf numFmtId="164" fontId="5" fillId="0" borderId="5" xfId="0" applyNumberFormat="1" applyFont="1" applyBorder="1" applyAlignment="1">
      <alignment horizontal="center"/>
    </xf>
    <xf numFmtId="14" fontId="6" fillId="0" borderId="5" xfId="0" applyNumberFormat="1" applyFont="1" applyBorder="1" applyAlignment="1">
      <alignment horizontal="center"/>
    </xf>
    <xf numFmtId="10" fontId="4" fillId="0" borderId="0" xfId="1" applyNumberFormat="1" applyFont="1" applyAlignment="1">
      <alignment horizontal="center"/>
    </xf>
    <xf numFmtId="14" fontId="7" fillId="2" borderId="1" xfId="0" applyNumberFormat="1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8" fillId="0" borderId="0" xfId="0" applyFont="1"/>
    <xf numFmtId="14" fontId="8" fillId="3" borderId="0" xfId="0" applyNumberFormat="1" applyFont="1" applyFill="1"/>
    <xf numFmtId="0" fontId="8" fillId="3" borderId="0" xfId="0" applyFont="1" applyFill="1"/>
    <xf numFmtId="0" fontId="8" fillId="3" borderId="0" xfId="0" applyFont="1" applyFill="1" applyAlignment="1">
      <alignment horizontal="center"/>
    </xf>
    <xf numFmtId="14" fontId="9" fillId="3" borderId="0" xfId="0" applyNumberFormat="1" applyFont="1" applyFill="1" applyAlignment="1">
      <alignment horizontal="center"/>
    </xf>
    <xf numFmtId="1" fontId="9" fillId="3" borderId="0" xfId="0" applyNumberFormat="1" applyFont="1" applyFill="1" applyAlignment="1">
      <alignment horizontal="center"/>
    </xf>
    <xf numFmtId="164" fontId="9" fillId="3" borderId="0" xfId="0" applyNumberFormat="1" applyFont="1" applyFill="1" applyAlignment="1">
      <alignment horizontal="center"/>
    </xf>
    <xf numFmtId="14" fontId="8" fillId="3" borderId="0" xfId="0" applyNumberFormat="1" applyFont="1" applyFill="1" applyAlignment="1">
      <alignment horizontal="center"/>
    </xf>
    <xf numFmtId="0" fontId="8" fillId="0" borderId="0" xfId="0" applyFont="1" applyAlignment="1">
      <alignment horizontal="center"/>
    </xf>
    <xf numFmtId="14" fontId="8" fillId="0" borderId="0" xfId="0" applyNumberFormat="1" applyFont="1"/>
    <xf numFmtId="0" fontId="2" fillId="2" borderId="0" xfId="0" applyFont="1" applyFill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165" fontId="10" fillId="0" borderId="0" xfId="0" applyNumberFormat="1" applyFont="1" applyAlignment="1">
      <alignment horizontal="center"/>
    </xf>
    <xf numFmtId="165" fontId="2" fillId="4" borderId="0" xfId="0" applyNumberFormat="1" applyFont="1" applyFill="1" applyAlignment="1">
      <alignment horizontal="center"/>
    </xf>
    <xf numFmtId="14" fontId="3" fillId="0" borderId="0" xfId="0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14" fontId="3" fillId="0" borderId="0" xfId="0" applyNumberFormat="1" applyFont="1"/>
    <xf numFmtId="4" fontId="10" fillId="0" borderId="0" xfId="0" applyNumberFormat="1" applyFont="1" applyAlignment="1">
      <alignment horizontal="center"/>
    </xf>
    <xf numFmtId="4" fontId="3" fillId="0" borderId="0" xfId="0" applyNumberFormat="1" applyFont="1" applyAlignment="1">
      <alignment horizontal="center"/>
    </xf>
    <xf numFmtId="10" fontId="11" fillId="0" borderId="0" xfId="1" applyNumberFormat="1" applyFont="1" applyAlignment="1">
      <alignment horizontal="center"/>
    </xf>
    <xf numFmtId="10" fontId="3" fillId="0" borderId="0" xfId="1" applyNumberFormat="1" applyFont="1"/>
    <xf numFmtId="10" fontId="4" fillId="0" borderId="0" xfId="1" applyNumberFormat="1" applyFont="1" applyFill="1" applyAlignment="1">
      <alignment horizontal="center"/>
    </xf>
    <xf numFmtId="10" fontId="11" fillId="0" borderId="0" xfId="1" applyNumberFormat="1" applyFont="1" applyFill="1" applyAlignment="1">
      <alignment horizontal="center"/>
    </xf>
    <xf numFmtId="10" fontId="3" fillId="0" borderId="0" xfId="1" applyNumberFormat="1" applyFont="1" applyFill="1"/>
    <xf numFmtId="0" fontId="13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14" fillId="0" borderId="0" xfId="0" applyFont="1" applyAlignment="1">
      <alignment horizontal="center"/>
    </xf>
    <xf numFmtId="0" fontId="12" fillId="2" borderId="0" xfId="0" applyFont="1" applyFill="1" applyAlignment="1">
      <alignment horizontal="center" vertical="center" wrapText="1"/>
    </xf>
    <xf numFmtId="0" fontId="3" fillId="0" borderId="0" xfId="0" applyNumberFormat="1" applyFont="1" applyAlignment="1">
      <alignment horizontal="center"/>
    </xf>
    <xf numFmtId="170" fontId="10" fillId="0" borderId="0" xfId="0" applyNumberFormat="1" applyFont="1" applyAlignment="1">
      <alignment horizontal="center"/>
    </xf>
    <xf numFmtId="170" fontId="3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center"/>
    </xf>
    <xf numFmtId="14" fontId="6" fillId="0" borderId="6" xfId="0" applyNumberFormat="1" applyFont="1" applyBorder="1" applyAlignment="1">
      <alignment horizontal="center"/>
    </xf>
    <xf numFmtId="165" fontId="3" fillId="3" borderId="0" xfId="0" applyNumberFormat="1" applyFont="1" applyFill="1" applyAlignment="1">
      <alignment horizontal="center"/>
    </xf>
    <xf numFmtId="0" fontId="3" fillId="0" borderId="0" xfId="0" applyNumberFormat="1" applyFont="1" applyAlignment="1">
      <alignment horizontal="left"/>
    </xf>
    <xf numFmtId="14" fontId="6" fillId="0" borderId="7" xfId="0" applyNumberFormat="1" applyFont="1" applyBorder="1" applyAlignment="1">
      <alignment horizontal="center"/>
    </xf>
    <xf numFmtId="176" fontId="9" fillId="3" borderId="0" xfId="0" applyNumberFormat="1" applyFont="1" applyFill="1" applyAlignment="1">
      <alignment horizontal="center"/>
    </xf>
    <xf numFmtId="164" fontId="4" fillId="0" borderId="5" xfId="2" applyNumberFormat="1" applyFont="1" applyBorder="1" applyAlignment="1">
      <alignment horizontal="center"/>
    </xf>
    <xf numFmtId="164" fontId="4" fillId="0" borderId="5" xfId="1" applyNumberFormat="1" applyFont="1" applyBorder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55">
    <dxf>
      <font>
        <b/>
        <strike val="0"/>
        <outline val="0"/>
        <shadow val="0"/>
        <u val="none"/>
        <vertAlign val="baseline"/>
        <sz val="9"/>
        <color theme="1" tint="0.34998626667073579"/>
        <name val="Aptos Narrow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Aptos Narrow"/>
        <family val="2"/>
        <scheme val="minor"/>
      </font>
      <numFmt numFmtId="165" formatCode="#,##0.00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Aptos Narrow"/>
        <family val="2"/>
        <scheme val="minor"/>
      </font>
      <numFmt numFmtId="165" formatCode="#,##0.00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Aptos Narrow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4" formatCode="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4" formatCode="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9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rgb="FFC00000"/>
        </patternFill>
      </fill>
    </dxf>
  </dxfs>
  <tableStyles count="1" defaultTableStyle="TableStyleMedium2" defaultPivotStyle="PivotStyleLight16">
    <tableStyle name="Table Style 1" pivot="0" count="2" xr9:uid="{C56EF769-C6FE-4717-980D-BF420105B9FA}">
      <tableStyleElement type="headerRow" dxfId="54"/>
      <tableStyleElement type="secondRowStripe" dxfId="53"/>
    </tableStyle>
  </tableStyles>
  <colors>
    <mruColors>
      <color rgb="FF9E9E9E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22861</xdr:colOff>
      <xdr:row>0</xdr:row>
      <xdr:rowOff>0</xdr:rowOff>
    </xdr:from>
    <xdr:to>
      <xdr:col>8</xdr:col>
      <xdr:colOff>523429</xdr:colOff>
      <xdr:row>21</xdr:row>
      <xdr:rowOff>121920</xdr:rowOff>
    </xdr:to>
    <xdr:pic>
      <xdr:nvPicPr>
        <xdr:cNvPr id="4" name="Picture 3" descr="Yield Curve: What It Is and Why It Matters - NerdWallet">
          <a:extLst>
            <a:ext uri="{FF2B5EF4-FFF2-40B4-BE49-F238E27FC236}">
              <a16:creationId xmlns:a16="http://schemas.microsoft.com/office/drawing/2014/main" id="{6CD77844-0CCB-2872-0F3E-E9C29132CB6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204"/>
        <a:stretch/>
      </xdr:blipFill>
      <xdr:spPr bwMode="auto">
        <a:xfrm>
          <a:off x="22861" y="0"/>
          <a:ext cx="5415468" cy="388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5" xr16:uid="{319EA2C5-22E8-4185-92AB-E1785BAE49B1}" autoFormatId="16" applyNumberFormats="0" applyBorderFormats="0" applyFontFormats="0" applyPatternFormats="0" applyAlignmentFormats="0" applyWidthHeightFormats="0">
  <queryTableRefresh nextId="2">
    <queryTableFields count="1">
      <queryTableField id="1" name="VENCTO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connectionId="9" xr16:uid="{B492407D-739B-414F-A3F2-300494BDE541}" autoFormatId="16" applyNumberFormats="0" applyBorderFormats="0" applyFontFormats="0" applyPatternFormats="0" applyAlignmentFormats="0" applyWidthHeightFormats="0">
  <queryTableRefresh nextId="13">
    <queryTableFields count="11">
      <queryTableField id="1" name="AJUSTE ANTER. (3)" tableColumnId="1"/>
      <queryTableField id="2" name="AJUSTE CORRIG. (4)" tableColumnId="2"/>
      <queryTableField id="3" name="PREÇO ABERT." tableColumnId="3"/>
      <queryTableField id="4" name="PREÇO MÍN." tableColumnId="4"/>
      <queryTableField id="5" name="PREÇO MÁX." tableColumnId="5"/>
      <queryTableField id="6" name="PREÇO MÉD." tableColumnId="6"/>
      <queryTableField id="7" name="ÚLT. PREÇO" tableColumnId="7"/>
      <queryTableField id="8" name="AJUSTE" tableColumnId="8"/>
      <queryTableField id="9" name="VAR. PTOS." tableColumnId="9"/>
      <queryTableField id="10" name="ÚLT. OF. COMPRA" tableColumnId="10"/>
      <queryTableField id="11" name="ÚLT. OF. VENDA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6" xr16:uid="{75E87303-A7AB-48D1-8F80-E0966E7F6F00}" autoFormatId="16" applyNumberFormats="0" applyBorderFormats="0" applyFontFormats="0" applyPatternFormats="0" applyAlignmentFormats="0" applyWidthHeightFormats="0">
  <queryTableRefresh nextId="2">
    <queryTableFields count="1">
      <queryTableField id="1" name="VENCTO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connectionId="10" xr16:uid="{004D7B51-AB9D-4D35-8B89-D12D16ACFBD0}" autoFormatId="16" applyNumberFormats="0" applyBorderFormats="0" applyFontFormats="0" applyPatternFormats="0" applyAlignmentFormats="0" applyWidthHeightFormats="0">
  <queryTableRefresh nextId="12">
    <queryTableFields count="11">
      <queryTableField id="1" name="AJUSTE ANTER. (3)" tableColumnId="1"/>
      <queryTableField id="2" name="AJUSTE CORRIG. (4)" tableColumnId="2"/>
      <queryTableField id="3" name="PREÇO ABERT." tableColumnId="3"/>
      <queryTableField id="4" name="PREÇO MÍN." tableColumnId="4"/>
      <queryTableField id="5" name="PREÇO MÁX." tableColumnId="5"/>
      <queryTableField id="6" name="PREÇO MÉD." tableColumnId="6"/>
      <queryTableField id="7" name="ÚLT. PREÇO" tableColumnId="7"/>
      <queryTableField id="8" name="AJUSTE" tableColumnId="8"/>
      <queryTableField id="9" name="VAR. PTOS." tableColumnId="9"/>
      <queryTableField id="10" name="ÚLT. OF. COMPRA" tableColumnId="10"/>
      <queryTableField id="11" name="ÚLT. OF. VENDA" tableColumnId="1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 7" backgroundRefresh="0" connectionId="1" xr16:uid="{3FC35C9C-9E00-40DE-BA3C-1EA97FBD58B5}" autoFormatId="16" applyNumberFormats="0" applyBorderFormats="0" applyFontFormats="0" applyPatternFormats="0" applyAlignmentFormats="0" applyWidthHeightFormats="0">
  <queryTableRefresh nextId="3">
    <queryTableFields count="1">
      <queryTableField id="2" name="VENCTO" tableColumnId="2"/>
    </queryTableFields>
  </queryTableRefresh>
  <extLst>
    <ext xmlns:x15="http://schemas.microsoft.com/office/spreadsheetml/2010/11/main" uri="{883FBD77-0823-4a55-B5E3-86C4891E6966}">
      <x15:queryTable sourceDataName="Query - Table 7"/>
    </ext>
  </extLst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 8" backgroundRefresh="0" connectionId="2" xr16:uid="{3F7995F4-C420-4842-931A-0AA282B14AE2}" autoFormatId="16" applyNumberFormats="0" applyBorderFormats="0" applyFontFormats="0" applyPatternFormats="0" applyAlignmentFormats="0" applyWidthHeightFormats="0">
  <queryTableRefresh nextId="10">
    <queryTableFields count="9">
      <queryTableField id="1" name="PREÇO ABERT." tableColumnId="1"/>
      <queryTableField id="2" name="PREÇO MÍN." tableColumnId="2"/>
      <queryTableField id="3" name="PREÇO MÁX." tableColumnId="3"/>
      <queryTableField id="4" name="PREÇO MÉD." tableColumnId="4"/>
      <queryTableField id="5" name="ÚLT. PREÇO" tableColumnId="5"/>
      <queryTableField id="6" name="AJUSTE" tableColumnId="6"/>
      <queryTableField id="7" name="VAR. PTOS." tableColumnId="7"/>
      <queryTableField id="8" name="ÚLT. OF. COMPRA" tableColumnId="8"/>
      <queryTableField id="9" name="ÚLT. OF. VENDA" tableColumnId="9"/>
    </queryTableFields>
  </queryTableRefresh>
  <extLst>
    <ext xmlns:x15="http://schemas.microsoft.com/office/spreadsheetml/2010/11/main" uri="{883FBD77-0823-4a55-B5E3-86C4891E6966}">
      <x15:queryTable sourceDataName="Query - Table 8"/>
    </ext>
  </extLst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3" xr16:uid="{8A9FF5A7-D431-4A08-9C60-25C1833302E3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Data" tableColumnId="1"/>
      <queryTableField id="2" name="Currency" tableColumnId="2"/>
      <queryTableField id="3" name="Buy" tableColumnId="3"/>
      <queryTableField id="4" name="Sell" tableColumnId="4"/>
      <queryTableField id="5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51B9713-01C9-4EC9-A9DA-E6DEC5EE7348}" name="Vcto_DI1" displayName="Vcto_DI1" ref="A1:A39" tableType="queryTable" totalsRowShown="0" headerRowDxfId="52" dataDxfId="51">
  <autoFilter ref="A1:A39" xr:uid="{7DCBC50E-E901-4359-A1CD-1F48DAF0A01F}"/>
  <tableColumns count="1">
    <tableColumn id="1" xr3:uid="{90B9329B-9F38-4D10-9A8F-2596A7621BBB}" uniqueName="1" name="VENCTO" queryTableFieldId="1" dataDxfId="17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C79C789-CF3B-4C19-8E61-F0F5CA133A35}" name="Tbl_DI1" displayName="Tbl_DI1" ref="B1:L39" tableType="queryTable" totalsRowShown="0" headerRowDxfId="50" dataDxfId="49">
  <autoFilter ref="B1:L39" xr:uid="{7FD65588-F3AB-432B-A3C5-7EE80AD610B1}"/>
  <tableColumns count="11">
    <tableColumn id="1" xr3:uid="{852DE5A1-B96E-4D51-ABA2-760715079CCB}" uniqueName="1" name="AJUSTE ANTER. (3)" queryTableFieldId="1" dataDxfId="28"/>
    <tableColumn id="2" xr3:uid="{3DBA1F50-D139-409A-8D5E-E920D9CCFB0D}" uniqueName="2" name="AJUSTE CORRIG. (4)" queryTableFieldId="2" dataDxfId="27"/>
    <tableColumn id="3" xr3:uid="{BAAE703B-82AC-42A0-8A3E-378A72A196CE}" uniqueName="3" name="PREÇO ABERT." queryTableFieldId="3" dataDxfId="26"/>
    <tableColumn id="4" xr3:uid="{4A184994-4E23-41E9-86B2-029C25940A93}" uniqueName="4" name="PREÇO MÍN." queryTableFieldId="4" dataDxfId="25"/>
    <tableColumn id="5" xr3:uid="{C94A4ED0-41D4-4A67-96C7-8F09781FE9F1}" uniqueName="5" name="PREÇO MÁX." queryTableFieldId="5" dataDxfId="24"/>
    <tableColumn id="6" xr3:uid="{4520CF90-7609-44BF-9FD0-8D2CBBCFD832}" uniqueName="6" name="PREÇO MÉD." queryTableFieldId="6" dataDxfId="23"/>
    <tableColumn id="7" xr3:uid="{18ED5C25-F93A-4D46-8815-E4E5F84FF007}" uniqueName="7" name="ÚLT. PREÇO" queryTableFieldId="7" dataDxfId="22"/>
    <tableColumn id="8" xr3:uid="{C531FD0A-49E9-4B57-AFD0-116D6452CDA3}" uniqueName="8" name="AJUSTE" queryTableFieldId="8" dataDxfId="21"/>
    <tableColumn id="9" xr3:uid="{A2C77AC1-8F3A-4F10-B199-C1172657B703}" uniqueName="9" name="VAR. PTOS." queryTableFieldId="9" dataDxfId="20"/>
    <tableColumn id="10" xr3:uid="{B90FA7AF-7E5D-4A7A-AA92-1D80333F8BB8}" uniqueName="10" name="ÚLT. OF. COMPRA" queryTableFieldId="10" dataDxfId="19"/>
    <tableColumn id="11" xr3:uid="{DB4AD0E1-2FFF-4821-9188-C8AFC11044F6}" uniqueName="11" name="ÚLT. OF. VENDA" queryTableFieldId="11" dataDxfId="18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C565AE5-7D6D-4B94-B6EB-6F75F897B5A0}" name="Vcto_DDI" displayName="Vcto_DDI" ref="A1:A39" tableType="queryTable" totalsRowShown="0" headerRowDxfId="48" dataDxfId="47">
  <autoFilter ref="A1:A39" xr:uid="{D9EC00F3-A990-4CB3-AF2C-F30EDCDB3A88}"/>
  <tableColumns count="1">
    <tableColumn id="1" xr3:uid="{D4CDC792-E530-4536-ABDF-3F8BE9122076}" uniqueName="1" name="VENCTO" queryTableFieldId="1" dataDxfId="5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E8BD772-BB56-44CC-8BB8-AAF5C221F2E7}" name="Tbl_DDI" displayName="Tbl_DDI" ref="B1:L39" tableType="queryTable" totalsRowShown="0" headerRowDxfId="46" dataDxfId="45">
  <autoFilter ref="B1:L39" xr:uid="{B36C3E62-6990-4439-9AD8-B9323F9F61C6}"/>
  <tableColumns count="11">
    <tableColumn id="1" xr3:uid="{37850268-9062-4175-9FBE-CC47722D5FD9}" uniqueName="1" name="AJUSTE ANTER. (3)" queryTableFieldId="1" dataDxfId="16"/>
    <tableColumn id="2" xr3:uid="{CC68432C-5CB0-424C-9EF4-427A53E60A3F}" uniqueName="2" name="AJUSTE CORRIG. (4)" queryTableFieldId="2" dataDxfId="15"/>
    <tableColumn id="3" xr3:uid="{26D6CA4A-A4BA-4DBF-B2CA-38AEE17785B3}" uniqueName="3" name="PREÇO ABERT." queryTableFieldId="3" dataDxfId="14"/>
    <tableColumn id="4" xr3:uid="{FEA605DF-CE95-470C-B5C0-A1F4718B34DA}" uniqueName="4" name="PREÇO MÍN." queryTableFieldId="4" dataDxfId="13"/>
    <tableColumn id="5" xr3:uid="{A447DB10-799C-4674-83D3-67B18CE0F9C2}" uniqueName="5" name="PREÇO MÁX." queryTableFieldId="5" dataDxfId="12"/>
    <tableColumn id="6" xr3:uid="{E4719A9A-DCA6-41E2-90B8-3E4108BB1F28}" uniqueName="6" name="PREÇO MÉD." queryTableFieldId="6" dataDxfId="11"/>
    <tableColumn id="7" xr3:uid="{8461B526-8AD6-4EBB-8DB7-A633A073917B}" uniqueName="7" name="ÚLT. PREÇO" queryTableFieldId="7" dataDxfId="10"/>
    <tableColumn id="8" xr3:uid="{8383D355-1EA8-4293-A492-BB0D71A11C13}" uniqueName="8" name="AJUSTE" queryTableFieldId="8" dataDxfId="9"/>
    <tableColumn id="9" xr3:uid="{8A1ED29D-5053-4A4D-A7B9-F0E2A3FAAFD7}" uniqueName="9" name="VAR. PTOS." queryTableFieldId="9" dataDxfId="8"/>
    <tableColumn id="10" xr3:uid="{217F482E-729B-4CC0-9192-74DD13AA9AF0}" uniqueName="10" name="ÚLT. OF. COMPRA" queryTableFieldId="10" dataDxfId="7"/>
    <tableColumn id="11" xr3:uid="{C66D5676-7795-436B-B1AC-921568CFBCD8}" uniqueName="11" name="ÚLT. OF. VENDA" queryTableFieldId="11" dataDxfId="6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D8B8BE-192D-4588-A6D7-0BD4C96DB6B0}" name="Vcto_DOL" displayName="Vcto_DOL" ref="A1:A26" tableType="queryTable" totalsRowShown="0" headerRowDxfId="44" dataDxfId="43">
  <autoFilter ref="A1:A26" xr:uid="{BD275AD0-851B-483F-9B00-64809995AB3C}"/>
  <tableColumns count="1">
    <tableColumn id="2" xr3:uid="{B91AF96A-5A60-4774-BE47-1E34B34FA7EA}" uniqueName="2" name="VENCTO" queryTableFieldId="2" dataDxfId="29"/>
  </tableColumns>
  <tableStyleInfo name="Table Style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A6602D-7224-427D-813D-6987A0C13476}" name="Tbl_DOL" displayName="Tbl_DOL" ref="B1:J26" tableType="queryTable" totalsRowShown="0" headerRowDxfId="42" dataDxfId="41">
  <autoFilter ref="B1:J26" xr:uid="{A6759F31-671B-421E-BF8F-7A826039FCD6}"/>
  <tableColumns count="9">
    <tableColumn id="1" xr3:uid="{D3E53C69-053F-4B63-9B71-A0E5910AD4FD}" uniqueName="1" name="PREÇO ABERT." queryTableFieldId="1" dataDxfId="38"/>
    <tableColumn id="2" xr3:uid="{2C35D51E-5EAD-4A4E-8A1D-2C5CE45D3A3E}" uniqueName="2" name="PREÇO MÍN." queryTableFieldId="2" dataDxfId="37"/>
    <tableColumn id="3" xr3:uid="{0FFD43E8-1A92-468C-A894-85E8EFDC2F19}" uniqueName="3" name="PREÇO MÁX." queryTableFieldId="3" dataDxfId="36"/>
    <tableColumn id="4" xr3:uid="{69A79A5D-FCEF-4761-8522-3050316E6C3D}" uniqueName="4" name="PREÇO MÉD." queryTableFieldId="4" dataDxfId="35"/>
    <tableColumn id="5" xr3:uid="{EE1019C7-0FDE-4CC0-9267-AD125E508F96}" uniqueName="5" name="ÚLT. PREÇO" queryTableFieldId="5" dataDxfId="34"/>
    <tableColumn id="6" xr3:uid="{2CF693AE-0C43-49C7-957A-DB40DB1B67E7}" uniqueName="6" name="AJUSTE" queryTableFieldId="6" dataDxfId="33"/>
    <tableColumn id="7" xr3:uid="{637B5D5F-6E91-4AEF-8CEA-5F9FEC8018BD}" uniqueName="7" name="VAR. PTOS." queryTableFieldId="7" dataDxfId="32"/>
    <tableColumn id="8" xr3:uid="{0285596A-83D5-4343-A3FF-5401C021ACD5}" uniqueName="8" name="ÚLT. OF. COMPRA" queryTableFieldId="8" dataDxfId="31"/>
    <tableColumn id="9" xr3:uid="{5E9F49A3-15C9-44FE-A659-2C5875C90D36}" uniqueName="9" name="ÚLT. OF. VENDA" queryTableFieldId="9" dataDxfId="30"/>
  </tableColumns>
  <tableStyleInfo name="Table Style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947359-2785-43E2-B64F-DAB23D1659FC}" name="_2024" displayName="_2024" ref="A1:E58" tableType="queryTable" totalsRowShown="0" headerRowDxfId="40" dataDxfId="39">
  <autoFilter ref="A1:E58" xr:uid="{85947359-2785-43E2-B64F-DAB23D1659FC}"/>
  <tableColumns count="5">
    <tableColumn id="1" xr3:uid="{3A50E566-101E-448A-B5F4-E69B0ECB767D}" uniqueName="1" name="Data" queryTableFieldId="1" dataDxfId="4"/>
    <tableColumn id="2" xr3:uid="{B0AC3C0F-003E-4684-9819-66B29E97D06A}" uniqueName="2" name="Currency" queryTableFieldId="2" dataDxfId="3"/>
    <tableColumn id="3" xr3:uid="{AB81E4B5-F870-4D19-900C-45C12A3AEF79}" uniqueName="3" name="Buy" queryTableFieldId="3" dataDxfId="2"/>
    <tableColumn id="4" xr3:uid="{2DC199C2-3F4B-4C66-AE5C-F34689618D49}" uniqueName="4" name="Sell" queryTableFieldId="4" dataDxfId="1"/>
    <tableColumn id="5" xr3:uid="{F1FAD640-5D78-45D3-B0B0-223D08FFAD36}" uniqueName="5" name="datacorrig" queryTableFieldId="5" dataDxfId="0">
      <calculatedColumnFormula>IF(LEN(A2)=8,VALUE(LEFT(A2,2)&amp;"/"&amp;RIGHT(LEFT(A2,4),2)&amp;"/"&amp;RIGHT(A2,4)),VALUE("0"&amp;LEFT(A2,1)&amp;"/"&amp;RIGHT(LEFT(A2,3),2)&amp;"/"&amp;RIGHT(A2,4)))</calculatedColumnFormula>
    </tableColumn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www.b3.com.br/pt_br/market-data-e-indices/servicos-de-dados/market-data/consultas/mercado-de-derivativos/indicadores/indicadores-financeiros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C1E68-56DE-4371-AC78-039512E695A0}">
  <sheetPr codeName="Sheet1">
    <tabColor rgb="FFC00000"/>
  </sheetPr>
  <dimension ref="A2:B11"/>
  <sheetViews>
    <sheetView showGridLines="0" tabSelected="1" zoomScaleNormal="100" workbookViewId="0">
      <selection activeCell="E3" sqref="E3"/>
    </sheetView>
  </sheetViews>
  <sheetFormatPr defaultRowHeight="13.8" x14ac:dyDescent="0.3"/>
  <cols>
    <col min="1" max="1" width="10.5546875" customWidth="1"/>
    <col min="2" max="2" width="10.33203125" bestFit="1" customWidth="1"/>
    <col min="5" max="5" width="18.77734375" bestFit="1" customWidth="1"/>
  </cols>
  <sheetData>
    <row r="2" spans="1:2" x14ac:dyDescent="0.3">
      <c r="A2" s="1" t="s">
        <v>0</v>
      </c>
      <c r="B2" s="4">
        <f ca="1">TODAY()</f>
        <v>45610</v>
      </c>
    </row>
    <row r="3" spans="1:2" x14ac:dyDescent="0.3">
      <c r="A3" s="1" t="s">
        <v>1</v>
      </c>
      <c r="B3" s="4">
        <f ca="1">WORKDAY.INTL(D0,-1,1,Feriados)</f>
        <v>45609</v>
      </c>
    </row>
    <row r="4" spans="1:2" x14ac:dyDescent="0.3">
      <c r="A4" s="1" t="s">
        <v>102</v>
      </c>
      <c r="B4" s="2">
        <f ca="1">_xlfn.XLOOKUP(D_1,_2024[datacorrig],_2024[Sell])</f>
        <v>5.7713000000000001</v>
      </c>
    </row>
    <row r="6" spans="1:2" x14ac:dyDescent="0.3">
      <c r="A6" s="20"/>
      <c r="B6" s="20"/>
    </row>
    <row r="7" spans="1:2" x14ac:dyDescent="0.3">
      <c r="A7" s="1" t="s">
        <v>6</v>
      </c>
      <c r="B7" s="3" t="s">
        <v>41</v>
      </c>
    </row>
    <row r="8" spans="1:2" x14ac:dyDescent="0.3">
      <c r="A8" s="1" t="s">
        <v>2</v>
      </c>
      <c r="B8" s="51">
        <f ca="1">_xlfn.XLOOKUP(Contrato_ref,Depara_vcto,Taxas_DI,0,0)</f>
        <v>0.11812484745982554</v>
      </c>
    </row>
    <row r="9" spans="1:2" x14ac:dyDescent="0.3">
      <c r="A9" s="1" t="s">
        <v>4</v>
      </c>
      <c r="B9" s="51">
        <f ca="1">_xlfn.XLOOKUP(Contrato_ref,Depara_vcto,Taxas_DDI,0,0)</f>
        <v>0.46801602320870833</v>
      </c>
    </row>
    <row r="10" spans="1:2" x14ac:dyDescent="0.3">
      <c r="A10" s="1" t="s">
        <v>5</v>
      </c>
      <c r="B10" s="51">
        <f ca="1">_xlfn.XLOOKUP(Contrato_ref,Aux!H:H,Aux!O:O)</f>
        <v>1.9036340268242393</v>
      </c>
    </row>
    <row r="11" spans="1:2" x14ac:dyDescent="0.3">
      <c r="A11" s="1" t="s">
        <v>3</v>
      </c>
      <c r="B11" s="50">
        <f ca="1">_xlfn.XLOOKUP(Contrato_ref,Aux!H:H,Aux!N:N)</f>
        <v>5.8473153618338474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30F50-F37C-4A5D-B232-5574412FCB78}">
  <sheetPr codeName="Sheet3">
    <tabColor theme="0" tint="-4.9989318521683403E-2"/>
  </sheetPr>
  <dimension ref="A1:L39"/>
  <sheetViews>
    <sheetView showGridLines="0" topLeftCell="C1" zoomScaleNormal="100" workbookViewId="0">
      <selection activeCell="I2" sqref="I2"/>
    </sheetView>
  </sheetViews>
  <sheetFormatPr defaultRowHeight="12" x14ac:dyDescent="0.25"/>
  <cols>
    <col min="1" max="1" width="11.109375" style="20" bestFit="1" customWidth="1"/>
    <col min="2" max="2" width="18" style="20" bestFit="1" customWidth="1"/>
    <col min="3" max="3" width="19.109375" style="20" bestFit="1" customWidth="1"/>
    <col min="4" max="4" width="15.44140625" style="20" bestFit="1" customWidth="1"/>
    <col min="5" max="5" width="13.77734375" style="20" bestFit="1" customWidth="1"/>
    <col min="6" max="6" width="14" style="20" bestFit="1" customWidth="1"/>
    <col min="7" max="7" width="14.21875" style="20" bestFit="1" customWidth="1"/>
    <col min="8" max="8" width="13.5546875" style="20" bestFit="1" customWidth="1"/>
    <col min="9" max="9" width="10.21875" style="29" bestFit="1" customWidth="1"/>
    <col min="10" max="10" width="12.88671875" style="20" bestFit="1" customWidth="1"/>
    <col min="11" max="11" width="17.5546875" style="20" bestFit="1" customWidth="1"/>
    <col min="12" max="12" width="16.109375" style="20" bestFit="1" customWidth="1"/>
    <col min="13" max="16384" width="8.88671875" style="20"/>
  </cols>
  <sheetData>
    <row r="1" spans="1:12" x14ac:dyDescent="0.25">
      <c r="A1" s="22" t="s">
        <v>30</v>
      </c>
      <c r="B1" s="22" t="s">
        <v>62</v>
      </c>
      <c r="C1" s="22" t="s">
        <v>63</v>
      </c>
      <c r="D1" s="22" t="s">
        <v>31</v>
      </c>
      <c r="E1" s="22" t="s">
        <v>32</v>
      </c>
      <c r="F1" s="22" t="s">
        <v>33</v>
      </c>
      <c r="G1" s="22" t="s">
        <v>34</v>
      </c>
      <c r="H1" s="22" t="s">
        <v>35</v>
      </c>
      <c r="I1" s="28" t="s">
        <v>36</v>
      </c>
      <c r="J1" s="22" t="s">
        <v>37</v>
      </c>
      <c r="K1" s="22" t="s">
        <v>38</v>
      </c>
      <c r="L1" s="22" t="s">
        <v>39</v>
      </c>
    </row>
    <row r="2" spans="1:12" x14ac:dyDescent="0.25">
      <c r="A2" s="20" t="s">
        <v>40</v>
      </c>
      <c r="B2" s="20">
        <v>99539.45</v>
      </c>
      <c r="C2" s="20">
        <v>99539.45</v>
      </c>
      <c r="D2" s="20">
        <v>11.156000000000001</v>
      </c>
      <c r="E2" s="20">
        <v>11.154</v>
      </c>
      <c r="F2" s="20">
        <v>11.157999999999999</v>
      </c>
      <c r="G2" s="20">
        <v>11.154999999999999</v>
      </c>
      <c r="H2" s="20">
        <v>11.156000000000001</v>
      </c>
      <c r="I2" s="29">
        <v>99539.35</v>
      </c>
      <c r="J2" s="20">
        <v>-0.1</v>
      </c>
      <c r="K2" s="20">
        <v>11.154</v>
      </c>
      <c r="L2" s="20">
        <v>11.156000000000001</v>
      </c>
    </row>
    <row r="3" spans="1:12" x14ac:dyDescent="0.25">
      <c r="A3" s="20" t="s">
        <v>41</v>
      </c>
      <c r="B3" s="20">
        <v>98636.19</v>
      </c>
      <c r="C3" s="20">
        <v>98636.19</v>
      </c>
      <c r="D3" s="20">
        <v>11.43</v>
      </c>
      <c r="E3" s="20">
        <v>11.407999999999999</v>
      </c>
      <c r="F3" s="20">
        <v>11.43</v>
      </c>
      <c r="G3" s="20">
        <v>11.417999999999999</v>
      </c>
      <c r="H3" s="20">
        <v>11.416</v>
      </c>
      <c r="I3" s="29">
        <v>98635.88</v>
      </c>
      <c r="J3" s="20">
        <v>-0.31</v>
      </c>
      <c r="K3" s="20">
        <v>11.416</v>
      </c>
      <c r="L3" s="20">
        <v>11.417999999999999</v>
      </c>
    </row>
    <row r="4" spans="1:12" x14ac:dyDescent="0.25">
      <c r="A4" s="20" t="s">
        <v>42</v>
      </c>
      <c r="B4" s="20">
        <v>97674.64</v>
      </c>
      <c r="C4" s="20">
        <v>97674.64</v>
      </c>
      <c r="D4" s="20">
        <v>11.606</v>
      </c>
      <c r="E4" s="20">
        <v>11.593999999999999</v>
      </c>
      <c r="F4" s="20">
        <v>11.618</v>
      </c>
      <c r="G4" s="20">
        <v>11.608000000000001</v>
      </c>
      <c r="H4" s="20">
        <v>11.603999999999999</v>
      </c>
      <c r="I4" s="29">
        <v>97672.63</v>
      </c>
      <c r="J4" s="20">
        <v>-2.0099999999999998</v>
      </c>
      <c r="K4" s="20">
        <v>11.6</v>
      </c>
      <c r="L4" s="20">
        <v>11.612</v>
      </c>
    </row>
    <row r="5" spans="1:12" x14ac:dyDescent="0.25">
      <c r="A5" s="20" t="s">
        <v>43</v>
      </c>
      <c r="B5" s="20">
        <v>96762.25</v>
      </c>
      <c r="C5" s="20">
        <v>96762.25</v>
      </c>
      <c r="D5" s="20">
        <v>11.85</v>
      </c>
      <c r="E5" s="20">
        <v>11.84</v>
      </c>
      <c r="F5" s="20">
        <v>11.875</v>
      </c>
      <c r="G5" s="20">
        <v>11.866</v>
      </c>
      <c r="H5" s="20">
        <v>11.86</v>
      </c>
      <c r="I5" s="29">
        <v>96758.58</v>
      </c>
      <c r="J5" s="20">
        <v>-3.67</v>
      </c>
      <c r="K5" s="20">
        <v>11.86</v>
      </c>
      <c r="L5" s="20">
        <v>11.875</v>
      </c>
    </row>
    <row r="6" spans="1:12" x14ac:dyDescent="0.25">
      <c r="A6" s="20" t="s">
        <v>44</v>
      </c>
      <c r="B6" s="20">
        <v>95889.17</v>
      </c>
      <c r="C6" s="20">
        <v>95889.17</v>
      </c>
      <c r="D6" s="20">
        <v>12.055</v>
      </c>
      <c r="E6" s="20">
        <v>12.03</v>
      </c>
      <c r="F6" s="20">
        <v>12.074999999999999</v>
      </c>
      <c r="G6" s="20">
        <v>12.055</v>
      </c>
      <c r="H6" s="20">
        <v>12.055</v>
      </c>
      <c r="I6" s="29">
        <v>95883.67</v>
      </c>
      <c r="J6" s="20">
        <v>-5.5</v>
      </c>
      <c r="K6" s="20">
        <v>12.045</v>
      </c>
      <c r="L6" s="20">
        <v>12.055</v>
      </c>
    </row>
    <row r="7" spans="1:12" x14ac:dyDescent="0.25">
      <c r="A7" s="20" t="s">
        <v>45</v>
      </c>
      <c r="B7" s="20">
        <v>94947.99</v>
      </c>
      <c r="C7" s="20">
        <v>94947.99</v>
      </c>
      <c r="D7" s="20">
        <v>12.24</v>
      </c>
      <c r="E7" s="20">
        <v>12.23</v>
      </c>
      <c r="F7" s="20">
        <v>12.285</v>
      </c>
      <c r="G7" s="20">
        <v>12.271000000000001</v>
      </c>
      <c r="H7" s="20">
        <v>12.27</v>
      </c>
      <c r="I7" s="29">
        <v>94940.7</v>
      </c>
      <c r="J7" s="20">
        <v>-7.29</v>
      </c>
      <c r="K7" s="20">
        <v>12.255000000000001</v>
      </c>
      <c r="L7" s="20">
        <v>12.28</v>
      </c>
    </row>
    <row r="8" spans="1:12" x14ac:dyDescent="0.25">
      <c r="A8" s="20" t="s">
        <v>46</v>
      </c>
      <c r="B8" s="20">
        <v>93958.54</v>
      </c>
      <c r="C8" s="20">
        <v>93958.54</v>
      </c>
      <c r="D8" s="20">
        <v>12.41</v>
      </c>
      <c r="E8" s="20">
        <v>12.41</v>
      </c>
      <c r="F8" s="20">
        <v>12.46</v>
      </c>
      <c r="G8" s="20">
        <v>12.454000000000001</v>
      </c>
      <c r="H8" s="20">
        <v>12.46</v>
      </c>
      <c r="I8" s="29">
        <v>93947.24</v>
      </c>
      <c r="J8" s="20">
        <v>-11.3</v>
      </c>
      <c r="K8" s="20">
        <v>12.435</v>
      </c>
      <c r="L8" s="20">
        <v>12.465</v>
      </c>
    </row>
    <row r="9" spans="1:12" x14ac:dyDescent="0.25">
      <c r="A9" s="20" t="s">
        <v>47</v>
      </c>
      <c r="B9" s="20">
        <v>93007.41</v>
      </c>
      <c r="C9" s="20">
        <v>93007.41</v>
      </c>
      <c r="D9" s="20">
        <v>12.59</v>
      </c>
      <c r="E9" s="20">
        <v>12.55</v>
      </c>
      <c r="F9" s="20">
        <v>12.645</v>
      </c>
      <c r="G9" s="20">
        <v>12.606999999999999</v>
      </c>
      <c r="H9" s="20">
        <v>12.62</v>
      </c>
      <c r="I9" s="29">
        <v>92991.45</v>
      </c>
      <c r="J9" s="20">
        <v>-15.96</v>
      </c>
      <c r="K9" s="20">
        <v>12.605</v>
      </c>
      <c r="L9" s="20">
        <v>12.62</v>
      </c>
    </row>
    <row r="10" spans="1:12" x14ac:dyDescent="0.25">
      <c r="A10" s="20" t="s">
        <v>48</v>
      </c>
      <c r="B10" s="20">
        <v>91920.09</v>
      </c>
      <c r="C10" s="20">
        <v>91920.09</v>
      </c>
      <c r="D10" s="20">
        <v>12.73</v>
      </c>
      <c r="E10" s="20">
        <v>12.71</v>
      </c>
      <c r="F10" s="20">
        <v>12.785</v>
      </c>
      <c r="G10" s="20">
        <v>12.778</v>
      </c>
      <c r="H10" s="20">
        <v>12.78</v>
      </c>
      <c r="I10" s="29">
        <v>91901.22</v>
      </c>
      <c r="J10" s="20">
        <v>-18.87</v>
      </c>
      <c r="K10" s="20">
        <v>12.74</v>
      </c>
      <c r="L10" s="20">
        <v>12.785</v>
      </c>
    </row>
    <row r="11" spans="1:12" x14ac:dyDescent="0.25">
      <c r="A11" s="20" t="s">
        <v>104</v>
      </c>
      <c r="B11" s="20">
        <v>90935.77</v>
      </c>
      <c r="C11" s="20">
        <v>90935.77</v>
      </c>
      <c r="D11" s="20">
        <v>12.84</v>
      </c>
      <c r="E11" s="20">
        <v>12.82</v>
      </c>
      <c r="F11" s="20">
        <v>12.914999999999999</v>
      </c>
      <c r="G11" s="20">
        <v>12.875</v>
      </c>
      <c r="H11" s="20">
        <v>12.88</v>
      </c>
      <c r="I11" s="29">
        <v>90910.86</v>
      </c>
      <c r="J11" s="20">
        <v>-24.91</v>
      </c>
      <c r="K11" s="20">
        <v>12.86</v>
      </c>
      <c r="L11" s="20">
        <v>12.9</v>
      </c>
    </row>
    <row r="12" spans="1:12" x14ac:dyDescent="0.25">
      <c r="A12" s="20" t="s">
        <v>49</v>
      </c>
      <c r="B12" s="20">
        <v>89903.82</v>
      </c>
      <c r="C12" s="20">
        <v>89903.82</v>
      </c>
      <c r="D12" s="20">
        <v>12.95</v>
      </c>
      <c r="E12" s="20">
        <v>12.914999999999999</v>
      </c>
      <c r="F12" s="20">
        <v>13.03</v>
      </c>
      <c r="G12" s="20">
        <v>12.99</v>
      </c>
      <c r="H12" s="20">
        <v>13</v>
      </c>
      <c r="I12" s="29">
        <v>89872.77</v>
      </c>
      <c r="J12" s="20">
        <v>-31.05</v>
      </c>
      <c r="K12" s="20">
        <v>12.98</v>
      </c>
      <c r="L12" s="20">
        <v>13.005000000000001</v>
      </c>
    </row>
    <row r="13" spans="1:12" x14ac:dyDescent="0.25">
      <c r="A13" s="20" t="s">
        <v>134</v>
      </c>
      <c r="B13" s="20">
        <v>88847.94</v>
      </c>
      <c r="C13" s="20">
        <v>88847.94</v>
      </c>
      <c r="D13" s="20">
        <v>13.02</v>
      </c>
      <c r="E13" s="20">
        <v>13.02</v>
      </c>
      <c r="F13" s="20">
        <v>13.115</v>
      </c>
      <c r="G13" s="20">
        <v>13.085000000000001</v>
      </c>
      <c r="H13" s="20">
        <v>13.085000000000001</v>
      </c>
      <c r="I13" s="29">
        <v>88811.46</v>
      </c>
      <c r="J13" s="20">
        <v>-36.479999999999997</v>
      </c>
      <c r="K13" s="20">
        <v>13.06</v>
      </c>
      <c r="L13" s="20">
        <v>13.11</v>
      </c>
    </row>
    <row r="14" spans="1:12" x14ac:dyDescent="0.25">
      <c r="A14" s="20" t="s">
        <v>50</v>
      </c>
      <c r="B14" s="20">
        <v>86975.56</v>
      </c>
      <c r="C14" s="20">
        <v>86975.56</v>
      </c>
      <c r="D14" s="20">
        <v>13.195</v>
      </c>
      <c r="E14" s="20">
        <v>13.135</v>
      </c>
      <c r="F14" s="20">
        <v>13.27</v>
      </c>
      <c r="G14" s="20">
        <v>13.215999999999999</v>
      </c>
      <c r="H14" s="20">
        <v>13.21</v>
      </c>
      <c r="I14" s="29">
        <v>86930.72</v>
      </c>
      <c r="J14" s="20">
        <v>-44.84</v>
      </c>
      <c r="K14" s="20">
        <v>13.21</v>
      </c>
      <c r="L14" s="20">
        <v>13.22</v>
      </c>
    </row>
    <row r="15" spans="1:12" x14ac:dyDescent="0.25">
      <c r="A15" s="20" t="s">
        <v>51</v>
      </c>
      <c r="B15" s="20">
        <v>84284.93</v>
      </c>
      <c r="C15" s="20">
        <v>84284.93</v>
      </c>
      <c r="D15" s="20">
        <v>13.29</v>
      </c>
      <c r="E15" s="20">
        <v>13.27</v>
      </c>
      <c r="F15" s="20">
        <v>13.41</v>
      </c>
      <c r="G15" s="20">
        <v>13.346</v>
      </c>
      <c r="H15" s="20">
        <v>13.345000000000001</v>
      </c>
      <c r="I15" s="29">
        <v>84224.15</v>
      </c>
      <c r="J15" s="20">
        <v>-60.78</v>
      </c>
      <c r="K15" s="20">
        <v>13.324999999999999</v>
      </c>
      <c r="L15" s="20">
        <v>13.35</v>
      </c>
    </row>
    <row r="16" spans="1:12" x14ac:dyDescent="0.25">
      <c r="A16" s="20" t="s">
        <v>52</v>
      </c>
      <c r="B16" s="20">
        <v>81713.39</v>
      </c>
      <c r="C16" s="20">
        <v>81713.39</v>
      </c>
      <c r="D16" s="20">
        <v>13.32</v>
      </c>
      <c r="E16" s="20">
        <v>13.315</v>
      </c>
      <c r="F16" s="20">
        <v>13.484999999999999</v>
      </c>
      <c r="G16" s="20">
        <v>13.414</v>
      </c>
      <c r="H16" s="20">
        <v>13.385</v>
      </c>
      <c r="I16" s="29">
        <v>81645.47</v>
      </c>
      <c r="J16" s="20">
        <v>-67.92</v>
      </c>
      <c r="K16" s="20">
        <v>13.38</v>
      </c>
      <c r="L16" s="20">
        <v>13.39</v>
      </c>
    </row>
    <row r="17" spans="1:12" x14ac:dyDescent="0.25">
      <c r="A17" s="20" t="s">
        <v>53</v>
      </c>
      <c r="B17" s="20">
        <v>79104.2</v>
      </c>
      <c r="C17" s="20">
        <v>79104.2</v>
      </c>
      <c r="D17" s="20">
        <v>13.315</v>
      </c>
      <c r="E17" s="20">
        <v>13.315</v>
      </c>
      <c r="F17" s="20">
        <v>13.505000000000001</v>
      </c>
      <c r="G17" s="20">
        <v>13.442</v>
      </c>
      <c r="H17" s="20">
        <v>13.4</v>
      </c>
      <c r="I17" s="29">
        <v>79028.27</v>
      </c>
      <c r="J17" s="20">
        <v>-75.930000000000007</v>
      </c>
      <c r="K17" s="20">
        <v>13.38</v>
      </c>
      <c r="L17" s="20">
        <v>13.385</v>
      </c>
    </row>
    <row r="18" spans="1:12" x14ac:dyDescent="0.25">
      <c r="A18" s="20" t="s">
        <v>54</v>
      </c>
      <c r="B18" s="20">
        <v>76734.429999999993</v>
      </c>
      <c r="C18" s="20">
        <v>76734.429999999993</v>
      </c>
      <c r="D18" s="20">
        <v>13.3</v>
      </c>
      <c r="E18" s="20">
        <v>13.29</v>
      </c>
      <c r="F18" s="20">
        <v>13.5</v>
      </c>
      <c r="G18" s="20">
        <v>13.413</v>
      </c>
      <c r="H18" s="20">
        <v>13.36</v>
      </c>
      <c r="I18" s="29">
        <v>76643.06</v>
      </c>
      <c r="J18" s="20">
        <v>-91.37</v>
      </c>
      <c r="K18" s="20">
        <v>13.36</v>
      </c>
      <c r="L18" s="20">
        <v>13.365</v>
      </c>
    </row>
    <row r="19" spans="1:12" x14ac:dyDescent="0.25">
      <c r="A19" s="20" t="s">
        <v>55</v>
      </c>
      <c r="B19" s="20">
        <v>74496.81</v>
      </c>
      <c r="C19" s="20">
        <v>74496.81</v>
      </c>
      <c r="D19" s="20">
        <v>13.3</v>
      </c>
      <c r="E19" s="20">
        <v>13.3</v>
      </c>
      <c r="F19" s="20">
        <v>13.5</v>
      </c>
      <c r="G19" s="20">
        <v>13.41</v>
      </c>
      <c r="H19" s="20">
        <v>13.355</v>
      </c>
      <c r="I19" s="29">
        <v>74395.91</v>
      </c>
      <c r="J19" s="20">
        <v>-100.9</v>
      </c>
      <c r="K19" s="20">
        <v>0</v>
      </c>
      <c r="L19" s="20">
        <v>0</v>
      </c>
    </row>
    <row r="20" spans="1:12" x14ac:dyDescent="0.25">
      <c r="A20" s="20" t="s">
        <v>56</v>
      </c>
      <c r="B20" s="20">
        <v>72219.94</v>
      </c>
      <c r="C20" s="20">
        <v>72219.94</v>
      </c>
      <c r="D20" s="20">
        <v>13.28</v>
      </c>
      <c r="E20" s="20">
        <v>13.27</v>
      </c>
      <c r="F20" s="20">
        <v>13.5</v>
      </c>
      <c r="G20" s="20">
        <v>13.391999999999999</v>
      </c>
      <c r="H20" s="20">
        <v>13.345000000000001</v>
      </c>
      <c r="I20" s="29">
        <v>72109.45</v>
      </c>
      <c r="J20" s="20">
        <v>-110.49</v>
      </c>
      <c r="K20" s="20">
        <v>13.324999999999999</v>
      </c>
      <c r="L20" s="20">
        <v>13.35</v>
      </c>
    </row>
    <row r="21" spans="1:12" x14ac:dyDescent="0.25">
      <c r="A21" s="20" t="s">
        <v>64</v>
      </c>
      <c r="B21" s="20">
        <v>69974.679999999993</v>
      </c>
      <c r="C21" s="20">
        <v>69974.679999999993</v>
      </c>
      <c r="D21" s="20">
        <v>13.31</v>
      </c>
      <c r="E21" s="20">
        <v>13.305</v>
      </c>
      <c r="F21" s="20">
        <v>13.48</v>
      </c>
      <c r="G21" s="20">
        <v>13.377000000000001</v>
      </c>
      <c r="H21" s="20">
        <v>13.305</v>
      </c>
      <c r="I21" s="29">
        <v>69852.89</v>
      </c>
      <c r="J21" s="20">
        <v>-121.79</v>
      </c>
      <c r="K21" s="20">
        <v>0</v>
      </c>
      <c r="L21" s="20">
        <v>0</v>
      </c>
    </row>
    <row r="22" spans="1:12" x14ac:dyDescent="0.25">
      <c r="A22" s="20" t="s">
        <v>57</v>
      </c>
      <c r="B22" s="20">
        <v>67904.19</v>
      </c>
      <c r="C22" s="20">
        <v>67904.19</v>
      </c>
      <c r="D22" s="20">
        <v>13.23</v>
      </c>
      <c r="E22" s="20">
        <v>13.205</v>
      </c>
      <c r="F22" s="20">
        <v>13.445</v>
      </c>
      <c r="G22" s="20">
        <v>13.349</v>
      </c>
      <c r="H22" s="20">
        <v>13.265000000000001</v>
      </c>
      <c r="I22" s="29">
        <v>67771.37</v>
      </c>
      <c r="J22" s="20">
        <v>-132.82</v>
      </c>
      <c r="K22" s="20">
        <v>13.26</v>
      </c>
      <c r="L22" s="20">
        <v>13.3</v>
      </c>
    </row>
    <row r="23" spans="1:12" x14ac:dyDescent="0.25">
      <c r="A23" s="20" t="s">
        <v>65</v>
      </c>
      <c r="B23" s="20">
        <v>65871.97</v>
      </c>
      <c r="C23" s="20">
        <v>65871.97</v>
      </c>
      <c r="D23" s="20">
        <v>13.22</v>
      </c>
      <c r="E23" s="20">
        <v>13.22</v>
      </c>
      <c r="F23" s="20">
        <v>13.4</v>
      </c>
      <c r="G23" s="20">
        <v>13.301</v>
      </c>
      <c r="H23" s="20">
        <v>13.25</v>
      </c>
      <c r="I23" s="29">
        <v>65734.240000000005</v>
      </c>
      <c r="J23" s="20">
        <v>-137.72999999999999</v>
      </c>
      <c r="K23" s="20">
        <v>0</v>
      </c>
      <c r="L23" s="20">
        <v>0</v>
      </c>
    </row>
    <row r="24" spans="1:12" x14ac:dyDescent="0.25">
      <c r="A24" s="20" t="s">
        <v>58</v>
      </c>
      <c r="B24" s="20">
        <v>63939.68</v>
      </c>
      <c r="C24" s="20">
        <v>63939.68</v>
      </c>
      <c r="D24" s="20">
        <v>13.18</v>
      </c>
      <c r="E24" s="20">
        <v>13.17</v>
      </c>
      <c r="F24" s="20">
        <v>13.414999999999999</v>
      </c>
      <c r="G24" s="20">
        <v>13.292999999999999</v>
      </c>
      <c r="H24" s="20">
        <v>13.225</v>
      </c>
      <c r="I24" s="29">
        <v>63806.16</v>
      </c>
      <c r="J24" s="20">
        <v>-133.52000000000001</v>
      </c>
      <c r="K24" s="20">
        <v>13.215</v>
      </c>
      <c r="L24" s="20">
        <v>13.27</v>
      </c>
    </row>
    <row r="25" spans="1:12" x14ac:dyDescent="0.25">
      <c r="A25" s="20" t="s">
        <v>66</v>
      </c>
      <c r="B25" s="20">
        <v>62000.28</v>
      </c>
      <c r="C25" s="20">
        <v>62000.28</v>
      </c>
      <c r="D25" s="20">
        <v>13.275</v>
      </c>
      <c r="E25" s="20">
        <v>13.215</v>
      </c>
      <c r="F25" s="20">
        <v>13.4</v>
      </c>
      <c r="G25" s="20">
        <v>13.260999999999999</v>
      </c>
      <c r="H25" s="20">
        <v>13.215</v>
      </c>
      <c r="I25" s="29">
        <v>61859.19</v>
      </c>
      <c r="J25" s="20">
        <v>-141.09</v>
      </c>
      <c r="K25" s="20">
        <v>0</v>
      </c>
      <c r="L25" s="20">
        <v>0</v>
      </c>
    </row>
    <row r="26" spans="1:12" x14ac:dyDescent="0.25">
      <c r="A26" s="20" t="s">
        <v>59</v>
      </c>
      <c r="B26" s="20">
        <v>60282.86</v>
      </c>
      <c r="C26" s="20">
        <v>60282.86</v>
      </c>
      <c r="D26" s="20">
        <v>13.15</v>
      </c>
      <c r="E26" s="20">
        <v>13.115</v>
      </c>
      <c r="F26" s="20">
        <v>13.36</v>
      </c>
      <c r="G26" s="20">
        <v>13.254</v>
      </c>
      <c r="H26" s="20">
        <v>13.16</v>
      </c>
      <c r="I26" s="29">
        <v>60138.99</v>
      </c>
      <c r="J26" s="20">
        <v>-143.87</v>
      </c>
      <c r="K26" s="20">
        <v>13.16</v>
      </c>
      <c r="L26" s="20">
        <v>13.2</v>
      </c>
    </row>
    <row r="27" spans="1:12" x14ac:dyDescent="0.25">
      <c r="A27" s="20" t="s">
        <v>67</v>
      </c>
      <c r="B27" s="20">
        <v>58564.78</v>
      </c>
      <c r="C27" s="20">
        <v>58564.78</v>
      </c>
      <c r="D27" s="20">
        <v>13.18</v>
      </c>
      <c r="E27" s="20">
        <v>13.164999999999999</v>
      </c>
      <c r="F27" s="20">
        <v>13.285</v>
      </c>
      <c r="G27" s="20">
        <v>13.242000000000001</v>
      </c>
      <c r="H27" s="20">
        <v>13.164999999999999</v>
      </c>
      <c r="I27" s="29">
        <v>58423.15</v>
      </c>
      <c r="J27" s="20">
        <v>-141.63</v>
      </c>
      <c r="K27" s="20">
        <v>0</v>
      </c>
      <c r="L27" s="20">
        <v>0</v>
      </c>
    </row>
    <row r="28" spans="1:12" x14ac:dyDescent="0.25">
      <c r="A28" s="20" t="s">
        <v>60</v>
      </c>
      <c r="B28" s="20">
        <v>56834.9</v>
      </c>
      <c r="C28" s="20">
        <v>56834.9</v>
      </c>
      <c r="D28" s="20">
        <v>13.09</v>
      </c>
      <c r="E28" s="20">
        <v>13.09</v>
      </c>
      <c r="F28" s="20">
        <v>13.31</v>
      </c>
      <c r="G28" s="20">
        <v>13.157</v>
      </c>
      <c r="H28" s="20">
        <v>13.095000000000001</v>
      </c>
      <c r="I28" s="29">
        <v>56691.54</v>
      </c>
      <c r="J28" s="20">
        <v>-143.36000000000001</v>
      </c>
      <c r="K28" s="20">
        <v>0</v>
      </c>
      <c r="L28" s="20">
        <v>0</v>
      </c>
    </row>
    <row r="29" spans="1:12" x14ac:dyDescent="0.25">
      <c r="A29" s="20" t="s">
        <v>135</v>
      </c>
      <c r="B29" s="20">
        <v>55134.34</v>
      </c>
      <c r="C29" s="20">
        <v>55134.34</v>
      </c>
      <c r="D29" s="20">
        <v>13.135</v>
      </c>
      <c r="E29" s="20">
        <v>13.135</v>
      </c>
      <c r="F29" s="20">
        <v>13.14</v>
      </c>
      <c r="G29" s="20">
        <v>13.135999999999999</v>
      </c>
      <c r="H29" s="20">
        <v>13.135</v>
      </c>
      <c r="I29" s="29">
        <v>54992</v>
      </c>
      <c r="J29" s="20">
        <v>-142.34</v>
      </c>
      <c r="K29" s="20">
        <v>0</v>
      </c>
      <c r="L29" s="20">
        <v>0</v>
      </c>
    </row>
    <row r="30" spans="1:12" x14ac:dyDescent="0.25">
      <c r="A30" s="20" t="s">
        <v>61</v>
      </c>
      <c r="B30" s="20">
        <v>53529.42</v>
      </c>
      <c r="C30" s="20">
        <v>53529.42</v>
      </c>
      <c r="D30" s="20">
        <v>13.05</v>
      </c>
      <c r="E30" s="20">
        <v>13.05</v>
      </c>
      <c r="F30" s="20">
        <v>13.29</v>
      </c>
      <c r="G30" s="20">
        <v>13.170999999999999</v>
      </c>
      <c r="H30" s="20">
        <v>13.08</v>
      </c>
      <c r="I30" s="29">
        <v>53388.92</v>
      </c>
      <c r="J30" s="20">
        <v>-140.5</v>
      </c>
      <c r="K30" s="20">
        <v>13.06</v>
      </c>
      <c r="L30" s="20">
        <v>13.1</v>
      </c>
    </row>
    <row r="31" spans="1:12" x14ac:dyDescent="0.25">
      <c r="A31" s="20" t="s">
        <v>68</v>
      </c>
      <c r="B31" s="20">
        <v>47567.65</v>
      </c>
      <c r="C31" s="20">
        <v>47567.65</v>
      </c>
      <c r="D31" s="20">
        <v>12.96</v>
      </c>
      <c r="E31" s="20">
        <v>12.96</v>
      </c>
      <c r="F31" s="20">
        <v>13.19</v>
      </c>
      <c r="G31" s="20">
        <v>13.092000000000001</v>
      </c>
      <c r="H31" s="20">
        <v>12.97</v>
      </c>
      <c r="I31" s="29">
        <v>47435.23</v>
      </c>
      <c r="J31" s="20">
        <v>-132.41999999999999</v>
      </c>
      <c r="K31" s="20">
        <v>12.97</v>
      </c>
      <c r="L31" s="20">
        <v>12.99</v>
      </c>
    </row>
    <row r="32" spans="1:12" x14ac:dyDescent="0.25">
      <c r="A32" s="20" t="s">
        <v>69</v>
      </c>
      <c r="B32" s="20">
        <v>42313.5</v>
      </c>
      <c r="C32" s="20">
        <v>42313.5</v>
      </c>
      <c r="D32" s="20">
        <v>12.92</v>
      </c>
      <c r="E32" s="20">
        <v>12.89</v>
      </c>
      <c r="F32" s="20">
        <v>13.1</v>
      </c>
      <c r="G32" s="20">
        <v>12.984999999999999</v>
      </c>
      <c r="H32" s="20">
        <v>12.89</v>
      </c>
      <c r="I32" s="29">
        <v>42157.2</v>
      </c>
      <c r="J32" s="20">
        <v>-156.30000000000001</v>
      </c>
      <c r="K32" s="20">
        <v>0</v>
      </c>
      <c r="L32" s="20">
        <v>0</v>
      </c>
    </row>
    <row r="33" spans="1:12" x14ac:dyDescent="0.25">
      <c r="A33" s="20" t="s">
        <v>70</v>
      </c>
      <c r="B33" s="20">
        <v>37618.32</v>
      </c>
      <c r="C33" s="20">
        <v>37618.32</v>
      </c>
      <c r="D33" s="20">
        <v>12.85</v>
      </c>
      <c r="E33" s="20">
        <v>12.83</v>
      </c>
      <c r="F33" s="20">
        <v>13.06</v>
      </c>
      <c r="G33" s="20">
        <v>12.952999999999999</v>
      </c>
      <c r="H33" s="20">
        <v>12.83</v>
      </c>
      <c r="I33" s="29">
        <v>37459.31</v>
      </c>
      <c r="J33" s="20">
        <v>-159.01</v>
      </c>
      <c r="K33" s="20">
        <v>12.83</v>
      </c>
      <c r="L33" s="20">
        <v>12.85</v>
      </c>
    </row>
    <row r="34" spans="1:12" x14ac:dyDescent="0.25">
      <c r="A34" s="20" t="s">
        <v>71</v>
      </c>
      <c r="B34" s="20">
        <v>33591.58</v>
      </c>
      <c r="C34" s="20">
        <v>33591.58</v>
      </c>
      <c r="D34" s="20">
        <v>12.85</v>
      </c>
      <c r="E34" s="20">
        <v>12.75</v>
      </c>
      <c r="F34" s="20">
        <v>12.96</v>
      </c>
      <c r="G34" s="20">
        <v>12.85</v>
      </c>
      <c r="H34" s="20">
        <v>12.75</v>
      </c>
      <c r="I34" s="29">
        <v>33423.58</v>
      </c>
      <c r="J34" s="20">
        <v>-168</v>
      </c>
      <c r="K34" s="20">
        <v>0</v>
      </c>
      <c r="L34" s="20">
        <v>0</v>
      </c>
    </row>
    <row r="35" spans="1:12" x14ac:dyDescent="0.25">
      <c r="A35" s="20" t="s">
        <v>72</v>
      </c>
      <c r="B35" s="20">
        <v>29920.32</v>
      </c>
      <c r="C35" s="20">
        <v>29920.32</v>
      </c>
      <c r="D35" s="20">
        <v>12.72</v>
      </c>
      <c r="E35" s="20">
        <v>12.71</v>
      </c>
      <c r="F35" s="20">
        <v>12.95</v>
      </c>
      <c r="G35" s="20">
        <v>12.847</v>
      </c>
      <c r="H35" s="20">
        <v>12.71</v>
      </c>
      <c r="I35" s="29">
        <v>29751.599999999999</v>
      </c>
      <c r="J35" s="20">
        <v>-168.72</v>
      </c>
      <c r="K35" s="20">
        <v>12.7</v>
      </c>
      <c r="L35" s="20">
        <v>12.71</v>
      </c>
    </row>
    <row r="36" spans="1:12" x14ac:dyDescent="0.25">
      <c r="A36" s="20" t="s">
        <v>73</v>
      </c>
      <c r="B36" s="20">
        <v>26629.79</v>
      </c>
      <c r="C36" s="20">
        <v>26629.79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9">
        <v>26464.720000000001</v>
      </c>
      <c r="J36" s="20">
        <v>-165.07</v>
      </c>
      <c r="K36" s="20">
        <v>0</v>
      </c>
      <c r="L36" s="20">
        <v>0</v>
      </c>
    </row>
    <row r="37" spans="1:12" x14ac:dyDescent="0.25">
      <c r="A37" s="20" t="s">
        <v>74</v>
      </c>
      <c r="B37" s="20">
        <v>23613.91</v>
      </c>
      <c r="C37" s="20">
        <v>23613.91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9">
        <v>23454.18</v>
      </c>
      <c r="J37" s="20">
        <v>-159.72999999999999</v>
      </c>
      <c r="K37" s="20">
        <v>12.4</v>
      </c>
      <c r="L37" s="20">
        <v>12.8</v>
      </c>
    </row>
    <row r="38" spans="1:12" x14ac:dyDescent="0.25">
      <c r="A38" s="20" t="s">
        <v>75</v>
      </c>
      <c r="B38" s="20">
        <v>20979.43</v>
      </c>
      <c r="C38" s="20">
        <v>20979.43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9">
        <v>20825.830000000002</v>
      </c>
      <c r="J38" s="20">
        <v>-153.6</v>
      </c>
      <c r="K38" s="20">
        <v>0</v>
      </c>
      <c r="L38" s="20">
        <v>0</v>
      </c>
    </row>
    <row r="39" spans="1:12" x14ac:dyDescent="0.25">
      <c r="A39" s="20" t="s">
        <v>76</v>
      </c>
      <c r="B39" s="20">
        <v>18621.16</v>
      </c>
      <c r="C39" s="20">
        <v>18621.16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9">
        <v>18474.38</v>
      </c>
      <c r="J39" s="20">
        <v>-146.78</v>
      </c>
      <c r="K39" s="20">
        <v>0</v>
      </c>
      <c r="L39" s="20">
        <v>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FC13A-6A26-4FBF-AF45-D6DF1AFCE04A}">
  <sheetPr codeName="Sheet4">
    <tabColor theme="0" tint="-4.9989318521683403E-2"/>
  </sheetPr>
  <dimension ref="A1:L39"/>
  <sheetViews>
    <sheetView showGridLines="0" topLeftCell="C1" workbookViewId="0">
      <selection activeCell="I2" sqref="I2"/>
    </sheetView>
  </sheetViews>
  <sheetFormatPr defaultRowHeight="12" x14ac:dyDescent="0.25"/>
  <cols>
    <col min="1" max="1" width="11.109375" style="20" bestFit="1" customWidth="1"/>
    <col min="2" max="2" width="18" style="20" bestFit="1" customWidth="1"/>
    <col min="3" max="3" width="19.109375" style="20" bestFit="1" customWidth="1"/>
    <col min="4" max="4" width="15.44140625" style="20" bestFit="1" customWidth="1"/>
    <col min="5" max="5" width="13.77734375" style="20" bestFit="1" customWidth="1"/>
    <col min="6" max="6" width="14" style="20" bestFit="1" customWidth="1"/>
    <col min="7" max="7" width="14.21875" style="20" bestFit="1" customWidth="1"/>
    <col min="8" max="8" width="13.5546875" style="20" bestFit="1" customWidth="1"/>
    <col min="9" max="9" width="10.21875" style="21" bestFit="1" customWidth="1"/>
    <col min="10" max="10" width="12.88671875" style="20" bestFit="1" customWidth="1"/>
    <col min="11" max="11" width="17.5546875" style="20" bestFit="1" customWidth="1"/>
    <col min="12" max="12" width="16.109375" style="20" bestFit="1" customWidth="1"/>
    <col min="13" max="16384" width="8.88671875" style="20"/>
  </cols>
  <sheetData>
    <row r="1" spans="1:12" x14ac:dyDescent="0.25">
      <c r="A1" s="22" t="s">
        <v>30</v>
      </c>
      <c r="B1" s="22" t="s">
        <v>62</v>
      </c>
      <c r="C1" s="22" t="s">
        <v>63</v>
      </c>
      <c r="D1" s="22" t="s">
        <v>31</v>
      </c>
      <c r="E1" s="22" t="s">
        <v>32</v>
      </c>
      <c r="F1" s="22" t="s">
        <v>33</v>
      </c>
      <c r="G1" s="22" t="s">
        <v>34</v>
      </c>
      <c r="H1" s="22" t="s">
        <v>35</v>
      </c>
      <c r="I1" s="22" t="s">
        <v>36</v>
      </c>
      <c r="J1" s="22" t="s">
        <v>37</v>
      </c>
      <c r="K1" s="22" t="s">
        <v>38</v>
      </c>
      <c r="L1" s="22" t="s">
        <v>39</v>
      </c>
    </row>
    <row r="2" spans="1:12" x14ac:dyDescent="0.25">
      <c r="A2" s="20" t="s">
        <v>40</v>
      </c>
      <c r="B2" s="20">
        <v>99596.14</v>
      </c>
      <c r="C2" s="20">
        <v>99596.14</v>
      </c>
      <c r="D2" s="20">
        <v>5</v>
      </c>
      <c r="E2" s="20">
        <v>-8</v>
      </c>
      <c r="F2" s="20">
        <v>5</v>
      </c>
      <c r="G2" s="20">
        <v>2</v>
      </c>
      <c r="H2" s="20">
        <v>-4</v>
      </c>
      <c r="I2" s="21">
        <v>100479.72</v>
      </c>
      <c r="J2" s="20">
        <v>883.58</v>
      </c>
      <c r="K2" s="20">
        <v>0</v>
      </c>
      <c r="L2" s="20">
        <v>0</v>
      </c>
    </row>
    <row r="3" spans="1:12" x14ac:dyDescent="0.25">
      <c r="A3" s="20" t="s">
        <v>41</v>
      </c>
      <c r="B3" s="20">
        <v>99048.53</v>
      </c>
      <c r="C3" s="20">
        <v>99048.53</v>
      </c>
      <c r="D3" s="20">
        <v>0</v>
      </c>
      <c r="E3" s="20">
        <v>0</v>
      </c>
      <c r="F3" s="20">
        <v>0</v>
      </c>
      <c r="G3" s="20">
        <v>0</v>
      </c>
      <c r="H3" s="20">
        <v>0</v>
      </c>
      <c r="I3" s="21">
        <v>99935.039999999994</v>
      </c>
      <c r="J3" s="20">
        <v>886.51</v>
      </c>
      <c r="K3" s="20">
        <v>0</v>
      </c>
      <c r="L3" s="20">
        <v>0</v>
      </c>
    </row>
    <row r="4" spans="1:12" x14ac:dyDescent="0.25">
      <c r="A4" s="20" t="s">
        <v>42</v>
      </c>
      <c r="B4" s="20">
        <v>98487.9</v>
      </c>
      <c r="C4" s="20">
        <v>98487.9</v>
      </c>
      <c r="D4" s="20">
        <v>0</v>
      </c>
      <c r="E4" s="20">
        <v>0</v>
      </c>
      <c r="F4" s="20">
        <v>0</v>
      </c>
      <c r="G4" s="20">
        <v>0</v>
      </c>
      <c r="H4" s="20">
        <v>0</v>
      </c>
      <c r="I4" s="21">
        <v>99384.03</v>
      </c>
      <c r="J4" s="20">
        <v>896.13</v>
      </c>
      <c r="K4" s="20">
        <v>0</v>
      </c>
      <c r="L4" s="20">
        <v>0</v>
      </c>
    </row>
    <row r="5" spans="1:12" x14ac:dyDescent="0.25">
      <c r="A5" s="20" t="s">
        <v>43</v>
      </c>
      <c r="B5" s="20">
        <v>97976.41</v>
      </c>
      <c r="C5" s="20">
        <v>97976.41</v>
      </c>
      <c r="D5" s="20">
        <v>4</v>
      </c>
      <c r="E5" s="20">
        <v>4</v>
      </c>
      <c r="F5" s="20">
        <v>4</v>
      </c>
      <c r="G5" s="20">
        <v>4</v>
      </c>
      <c r="H5" s="20">
        <v>4</v>
      </c>
      <c r="I5" s="21">
        <v>98895.75</v>
      </c>
      <c r="J5" s="20">
        <v>919.34</v>
      </c>
      <c r="K5" s="20">
        <v>0</v>
      </c>
      <c r="L5" s="20">
        <v>0</v>
      </c>
    </row>
    <row r="6" spans="1:12" x14ac:dyDescent="0.25">
      <c r="A6" s="20" t="s">
        <v>44</v>
      </c>
      <c r="B6" s="20">
        <v>97515.81</v>
      </c>
      <c r="C6" s="20">
        <v>97515.81</v>
      </c>
      <c r="D6" s="20">
        <v>4</v>
      </c>
      <c r="E6" s="20">
        <v>4</v>
      </c>
      <c r="F6" s="20">
        <v>4</v>
      </c>
      <c r="G6" s="20">
        <v>4</v>
      </c>
      <c r="H6" s="20">
        <v>4</v>
      </c>
      <c r="I6" s="21">
        <v>98448.35</v>
      </c>
      <c r="J6" s="20">
        <v>932.54</v>
      </c>
      <c r="K6" s="20">
        <v>0</v>
      </c>
      <c r="L6" s="20">
        <v>0</v>
      </c>
    </row>
    <row r="7" spans="1:12" x14ac:dyDescent="0.25">
      <c r="A7" s="20" t="s">
        <v>45</v>
      </c>
      <c r="B7" s="20">
        <v>96960.68</v>
      </c>
      <c r="C7" s="20">
        <v>96960.68</v>
      </c>
      <c r="D7" s="20">
        <v>5</v>
      </c>
      <c r="E7" s="20">
        <v>5</v>
      </c>
      <c r="F7" s="20">
        <v>5</v>
      </c>
      <c r="G7" s="20">
        <v>5</v>
      </c>
      <c r="H7" s="20">
        <v>5</v>
      </c>
      <c r="I7" s="21">
        <v>97908.800000000003</v>
      </c>
      <c r="J7" s="20">
        <v>948.12</v>
      </c>
      <c r="K7" s="20">
        <v>0</v>
      </c>
      <c r="L7" s="20">
        <v>0</v>
      </c>
    </row>
    <row r="8" spans="1:12" x14ac:dyDescent="0.25">
      <c r="A8" s="20" t="s">
        <v>46</v>
      </c>
      <c r="B8" s="20">
        <v>96484.01</v>
      </c>
      <c r="C8" s="20">
        <v>96484.01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1">
        <v>97440.28</v>
      </c>
      <c r="J8" s="20">
        <v>956.27</v>
      </c>
      <c r="K8" s="20">
        <v>0</v>
      </c>
      <c r="L8" s="20">
        <v>0</v>
      </c>
    </row>
    <row r="9" spans="1:12" x14ac:dyDescent="0.25">
      <c r="A9" s="20" t="s">
        <v>47</v>
      </c>
      <c r="B9" s="20">
        <v>95995.12</v>
      </c>
      <c r="C9" s="20">
        <v>95995.12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1">
        <v>96972.88</v>
      </c>
      <c r="J9" s="20">
        <v>977.76</v>
      </c>
      <c r="K9" s="20">
        <v>0</v>
      </c>
      <c r="L9" s="20">
        <v>0</v>
      </c>
    </row>
    <row r="10" spans="1:12" x14ac:dyDescent="0.25">
      <c r="A10" s="20" t="s">
        <v>48</v>
      </c>
      <c r="B10" s="20">
        <v>95475.88</v>
      </c>
      <c r="C10" s="20">
        <v>95475.88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1">
        <v>96459.29</v>
      </c>
      <c r="J10" s="20">
        <v>983.41</v>
      </c>
      <c r="K10" s="20">
        <v>0</v>
      </c>
      <c r="L10" s="20">
        <v>0</v>
      </c>
    </row>
    <row r="11" spans="1:12" x14ac:dyDescent="0.25">
      <c r="A11" s="20" t="s">
        <v>104</v>
      </c>
      <c r="B11" s="20">
        <v>95041.18</v>
      </c>
      <c r="C11" s="20">
        <v>95041.18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1">
        <v>96037.38</v>
      </c>
      <c r="J11" s="20">
        <v>996.2</v>
      </c>
      <c r="K11" s="20">
        <v>0</v>
      </c>
      <c r="L11" s="20">
        <v>0</v>
      </c>
    </row>
    <row r="12" spans="1:12" x14ac:dyDescent="0.25">
      <c r="A12" s="20" t="s">
        <v>49</v>
      </c>
      <c r="B12" s="20">
        <v>94520.88</v>
      </c>
      <c r="C12" s="20">
        <v>94520.88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1">
        <v>95534.37</v>
      </c>
      <c r="J12" s="20">
        <v>1013.49</v>
      </c>
      <c r="K12" s="20">
        <v>0</v>
      </c>
      <c r="L12" s="20">
        <v>0</v>
      </c>
    </row>
    <row r="13" spans="1:12" x14ac:dyDescent="0.25">
      <c r="A13" s="20" t="s">
        <v>134</v>
      </c>
      <c r="B13" s="20">
        <v>94007.25</v>
      </c>
      <c r="C13" s="20">
        <v>94007.25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1">
        <v>95042.1</v>
      </c>
      <c r="J13" s="20">
        <v>1034.8499999999999</v>
      </c>
      <c r="K13" s="20">
        <v>0</v>
      </c>
      <c r="L13" s="20">
        <v>0</v>
      </c>
    </row>
    <row r="14" spans="1:12" x14ac:dyDescent="0.25">
      <c r="A14" s="20" t="s">
        <v>50</v>
      </c>
      <c r="B14" s="20">
        <v>93054.87</v>
      </c>
      <c r="C14" s="20">
        <v>93054.87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1">
        <v>94113.24</v>
      </c>
      <c r="J14" s="20">
        <v>1058.3699999999999</v>
      </c>
      <c r="K14" s="20">
        <v>0</v>
      </c>
      <c r="L14" s="20">
        <v>0</v>
      </c>
    </row>
    <row r="15" spans="1:12" x14ac:dyDescent="0.25">
      <c r="A15" s="20" t="s">
        <v>51</v>
      </c>
      <c r="B15" s="20">
        <v>91781.64</v>
      </c>
      <c r="C15" s="20">
        <v>91781.64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1">
        <v>92826.38</v>
      </c>
      <c r="J15" s="20">
        <v>1044.74</v>
      </c>
      <c r="K15" s="20">
        <v>0</v>
      </c>
      <c r="L15" s="20">
        <v>0</v>
      </c>
    </row>
    <row r="16" spans="1:12" x14ac:dyDescent="0.25">
      <c r="A16" s="20" t="s">
        <v>52</v>
      </c>
      <c r="B16" s="20">
        <v>90449.61</v>
      </c>
      <c r="C16" s="20">
        <v>90449.61</v>
      </c>
      <c r="D16" s="20">
        <v>0</v>
      </c>
      <c r="E16" s="20">
        <v>0</v>
      </c>
      <c r="F16" s="20">
        <v>0</v>
      </c>
      <c r="G16" s="20">
        <v>0</v>
      </c>
      <c r="H16" s="20">
        <v>0</v>
      </c>
      <c r="I16" s="21">
        <v>91518.84</v>
      </c>
      <c r="J16" s="20">
        <v>1069.23</v>
      </c>
      <c r="K16" s="20">
        <v>0</v>
      </c>
      <c r="L16" s="20">
        <v>0</v>
      </c>
    </row>
    <row r="17" spans="1:12" x14ac:dyDescent="0.25">
      <c r="A17" s="20" t="s">
        <v>53</v>
      </c>
      <c r="B17" s="20">
        <v>89157.53</v>
      </c>
      <c r="C17" s="20">
        <v>89157.53</v>
      </c>
      <c r="D17" s="20">
        <v>0</v>
      </c>
      <c r="E17" s="20">
        <v>0</v>
      </c>
      <c r="F17" s="20">
        <v>0</v>
      </c>
      <c r="G17" s="20">
        <v>0</v>
      </c>
      <c r="H17" s="20">
        <v>0</v>
      </c>
      <c r="I17" s="21">
        <v>90248.65</v>
      </c>
      <c r="J17" s="20">
        <v>1091.1199999999999</v>
      </c>
      <c r="K17" s="20">
        <v>0</v>
      </c>
      <c r="L17" s="20">
        <v>0</v>
      </c>
    </row>
    <row r="18" spans="1:12" x14ac:dyDescent="0.25">
      <c r="A18" s="20" t="s">
        <v>54</v>
      </c>
      <c r="B18" s="20">
        <v>87830.48</v>
      </c>
      <c r="C18" s="20">
        <v>87830.48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 s="21">
        <v>88942.94</v>
      </c>
      <c r="J18" s="20">
        <v>1112.46</v>
      </c>
      <c r="K18" s="20">
        <v>0</v>
      </c>
      <c r="L18" s="20">
        <v>0</v>
      </c>
    </row>
    <row r="19" spans="1:12" x14ac:dyDescent="0.25">
      <c r="A19" s="20" t="s">
        <v>55</v>
      </c>
      <c r="B19" s="20">
        <v>86682.66</v>
      </c>
      <c r="C19" s="20">
        <v>86682.66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1">
        <v>87793.23</v>
      </c>
      <c r="J19" s="20">
        <v>1110.57</v>
      </c>
      <c r="K19" s="20">
        <v>0</v>
      </c>
      <c r="L19" s="20">
        <v>0</v>
      </c>
    </row>
    <row r="20" spans="1:12" x14ac:dyDescent="0.25">
      <c r="A20" s="20" t="s">
        <v>56</v>
      </c>
      <c r="B20" s="20">
        <v>85495.53</v>
      </c>
      <c r="C20" s="20">
        <v>85495.53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1">
        <v>86623.09</v>
      </c>
      <c r="J20" s="20">
        <v>1127.56</v>
      </c>
      <c r="K20" s="20">
        <v>0</v>
      </c>
      <c r="L20" s="20">
        <v>0</v>
      </c>
    </row>
    <row r="21" spans="1:12" x14ac:dyDescent="0.25">
      <c r="A21" s="20" t="s">
        <v>64</v>
      </c>
      <c r="B21" s="20">
        <v>84306.83</v>
      </c>
      <c r="C21" s="20">
        <v>84306.83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1">
        <v>85428.46</v>
      </c>
      <c r="J21" s="20">
        <v>1121.6300000000001</v>
      </c>
      <c r="K21" s="20">
        <v>0</v>
      </c>
      <c r="L21" s="20">
        <v>0</v>
      </c>
    </row>
    <row r="22" spans="1:12" x14ac:dyDescent="0.25">
      <c r="A22" s="20" t="s">
        <v>57</v>
      </c>
      <c r="B22" s="20">
        <v>83146.31</v>
      </c>
      <c r="C22" s="20">
        <v>83146.31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1">
        <v>84258.08</v>
      </c>
      <c r="J22" s="20">
        <v>1111.77</v>
      </c>
      <c r="K22" s="20">
        <v>0</v>
      </c>
      <c r="L22" s="20">
        <v>0</v>
      </c>
    </row>
    <row r="23" spans="1:12" x14ac:dyDescent="0.25">
      <c r="A23" s="20" t="s">
        <v>65</v>
      </c>
      <c r="B23" s="20">
        <v>82119.710000000006</v>
      </c>
      <c r="C23" s="20">
        <v>82119.710000000006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1">
        <v>83172.66</v>
      </c>
      <c r="J23" s="20">
        <v>1052.95</v>
      </c>
      <c r="K23" s="20">
        <v>0</v>
      </c>
      <c r="L23" s="20">
        <v>0</v>
      </c>
    </row>
    <row r="24" spans="1:12" x14ac:dyDescent="0.25">
      <c r="A24" s="20" t="s">
        <v>58</v>
      </c>
      <c r="B24" s="20">
        <v>80985.210000000006</v>
      </c>
      <c r="C24" s="20">
        <v>80985.210000000006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1">
        <v>82140.710000000006</v>
      </c>
      <c r="J24" s="20">
        <v>1155.5</v>
      </c>
      <c r="K24" s="20">
        <v>0</v>
      </c>
      <c r="L24" s="20">
        <v>0</v>
      </c>
    </row>
    <row r="25" spans="1:12" x14ac:dyDescent="0.25">
      <c r="A25" s="20" t="s">
        <v>66</v>
      </c>
      <c r="B25" s="20">
        <v>79920.94</v>
      </c>
      <c r="C25" s="20">
        <v>79920.94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1">
        <v>80984.44</v>
      </c>
      <c r="J25" s="20">
        <v>1063.5</v>
      </c>
      <c r="K25" s="20">
        <v>0</v>
      </c>
      <c r="L25" s="20">
        <v>0</v>
      </c>
    </row>
    <row r="26" spans="1:12" x14ac:dyDescent="0.25">
      <c r="A26" s="20" t="s">
        <v>59</v>
      </c>
      <c r="B26" s="20">
        <v>78873.03</v>
      </c>
      <c r="C26" s="20">
        <v>78873.03</v>
      </c>
      <c r="D26" s="20">
        <v>0</v>
      </c>
      <c r="E26" s="20">
        <v>0</v>
      </c>
      <c r="F26" s="20">
        <v>0</v>
      </c>
      <c r="G26" s="20">
        <v>0</v>
      </c>
      <c r="H26" s="20">
        <v>0</v>
      </c>
      <c r="I26" s="21">
        <v>79912.31</v>
      </c>
      <c r="J26" s="20">
        <v>1039.28</v>
      </c>
      <c r="K26" s="20">
        <v>0</v>
      </c>
      <c r="L26" s="20">
        <v>0</v>
      </c>
    </row>
    <row r="27" spans="1:12" x14ac:dyDescent="0.25">
      <c r="A27" s="20" t="s">
        <v>67</v>
      </c>
      <c r="B27" s="20">
        <v>77841.97</v>
      </c>
      <c r="C27" s="20">
        <v>77841.97</v>
      </c>
      <c r="D27" s="20">
        <v>0</v>
      </c>
      <c r="E27" s="20">
        <v>0</v>
      </c>
      <c r="F27" s="20">
        <v>0</v>
      </c>
      <c r="G27" s="20">
        <v>0</v>
      </c>
      <c r="H27" s="20">
        <v>0</v>
      </c>
      <c r="I27" s="21">
        <v>78856.7</v>
      </c>
      <c r="J27" s="20">
        <v>1014.73</v>
      </c>
      <c r="K27" s="20">
        <v>0</v>
      </c>
      <c r="L27" s="20">
        <v>0</v>
      </c>
    </row>
    <row r="28" spans="1:12" x14ac:dyDescent="0.25">
      <c r="A28" s="20" t="s">
        <v>60</v>
      </c>
      <c r="B28" s="20">
        <v>76792.92</v>
      </c>
      <c r="C28" s="20">
        <v>76792.92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1">
        <v>77809.14</v>
      </c>
      <c r="J28" s="20">
        <v>1016.22</v>
      </c>
      <c r="K28" s="20">
        <v>0</v>
      </c>
      <c r="L28" s="20">
        <v>0</v>
      </c>
    </row>
    <row r="29" spans="1:12" x14ac:dyDescent="0.25">
      <c r="A29" s="20" t="s">
        <v>135</v>
      </c>
      <c r="B29" s="20">
        <v>75790.61</v>
      </c>
      <c r="C29" s="20">
        <v>75790.61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1">
        <v>76777.429999999993</v>
      </c>
      <c r="J29" s="20">
        <v>986.82</v>
      </c>
      <c r="K29" s="20">
        <v>0</v>
      </c>
      <c r="L29" s="20">
        <v>0</v>
      </c>
    </row>
    <row r="30" spans="1:12" x14ac:dyDescent="0.25">
      <c r="A30" s="20" t="s">
        <v>61</v>
      </c>
      <c r="B30" s="20">
        <v>74731.81</v>
      </c>
      <c r="C30" s="20">
        <v>74731.81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1">
        <v>75688.03</v>
      </c>
      <c r="J30" s="20">
        <v>956.22</v>
      </c>
      <c r="K30" s="20">
        <v>0</v>
      </c>
      <c r="L30" s="20">
        <v>0</v>
      </c>
    </row>
    <row r="31" spans="1:12" x14ac:dyDescent="0.25">
      <c r="A31" s="20" t="s">
        <v>68</v>
      </c>
      <c r="B31" s="20">
        <v>70674.179999999993</v>
      </c>
      <c r="C31" s="20">
        <v>70674.179999999993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1">
        <v>71615.5</v>
      </c>
      <c r="J31" s="20">
        <v>941.32</v>
      </c>
      <c r="K31" s="20">
        <v>0</v>
      </c>
      <c r="L31" s="20">
        <v>0</v>
      </c>
    </row>
    <row r="32" spans="1:12" x14ac:dyDescent="0.25">
      <c r="A32" s="20" t="s">
        <v>69</v>
      </c>
      <c r="B32" s="20">
        <v>66743.27</v>
      </c>
      <c r="C32" s="20">
        <v>66743.27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1">
        <v>67659.740000000005</v>
      </c>
      <c r="J32" s="20">
        <v>916.47</v>
      </c>
      <c r="K32" s="20">
        <v>0</v>
      </c>
      <c r="L32" s="20">
        <v>0</v>
      </c>
    </row>
    <row r="33" spans="1:12" x14ac:dyDescent="0.25">
      <c r="A33" s="20" t="s">
        <v>70</v>
      </c>
      <c r="B33" s="20">
        <v>63063.92</v>
      </c>
      <c r="C33" s="20">
        <v>63063.92</v>
      </c>
      <c r="D33" s="20">
        <v>0</v>
      </c>
      <c r="E33" s="20">
        <v>0</v>
      </c>
      <c r="F33" s="20">
        <v>0</v>
      </c>
      <c r="G33" s="20">
        <v>0</v>
      </c>
      <c r="H33" s="20">
        <v>0</v>
      </c>
      <c r="I33" s="21">
        <v>63919.94</v>
      </c>
      <c r="J33" s="20">
        <v>856.02</v>
      </c>
      <c r="K33" s="20">
        <v>0</v>
      </c>
      <c r="L33" s="20">
        <v>0</v>
      </c>
    </row>
    <row r="34" spans="1:12" x14ac:dyDescent="0.25">
      <c r="A34" s="20" t="s">
        <v>71</v>
      </c>
      <c r="B34" s="20">
        <v>59504.83</v>
      </c>
      <c r="C34" s="20">
        <v>59504.83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1">
        <v>60332.49</v>
      </c>
      <c r="J34" s="20">
        <v>827.66</v>
      </c>
      <c r="K34" s="20">
        <v>0</v>
      </c>
      <c r="L34" s="20">
        <v>0</v>
      </c>
    </row>
    <row r="35" spans="1:12" x14ac:dyDescent="0.25">
      <c r="A35" s="20" t="s">
        <v>72</v>
      </c>
      <c r="B35" s="20">
        <v>56257.77</v>
      </c>
      <c r="C35" s="20">
        <v>56257.77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1">
        <v>57020.07</v>
      </c>
      <c r="J35" s="20">
        <v>762.3</v>
      </c>
      <c r="K35" s="20">
        <v>0</v>
      </c>
      <c r="L35" s="20">
        <v>0</v>
      </c>
    </row>
    <row r="36" spans="1:12" x14ac:dyDescent="0.25">
      <c r="A36" s="20" t="s">
        <v>73</v>
      </c>
      <c r="B36" s="20">
        <v>53090.23</v>
      </c>
      <c r="C36" s="20">
        <v>53090.23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1">
        <v>53820.62</v>
      </c>
      <c r="J36" s="20">
        <v>730.39</v>
      </c>
      <c r="K36" s="20">
        <v>0</v>
      </c>
      <c r="L36" s="20">
        <v>0</v>
      </c>
    </row>
    <row r="37" spans="1:12" x14ac:dyDescent="0.25">
      <c r="A37" s="20" t="s">
        <v>74</v>
      </c>
      <c r="B37" s="20">
        <v>50247.53</v>
      </c>
      <c r="C37" s="20">
        <v>50247.53</v>
      </c>
      <c r="D37" s="20">
        <v>0</v>
      </c>
      <c r="E37" s="20">
        <v>0</v>
      </c>
      <c r="F37" s="20">
        <v>0</v>
      </c>
      <c r="G37" s="20">
        <v>0</v>
      </c>
      <c r="H37" s="20">
        <v>0</v>
      </c>
      <c r="I37" s="21">
        <v>50943.83</v>
      </c>
      <c r="J37" s="20">
        <v>696.3</v>
      </c>
      <c r="K37" s="20">
        <v>0</v>
      </c>
      <c r="L37" s="20">
        <v>0</v>
      </c>
    </row>
    <row r="38" spans="1:12" x14ac:dyDescent="0.25">
      <c r="A38" s="20" t="s">
        <v>75</v>
      </c>
      <c r="B38" s="20">
        <v>47343.86</v>
      </c>
      <c r="C38" s="20">
        <v>47343.86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1">
        <v>48009.22</v>
      </c>
      <c r="J38" s="20">
        <v>665.36</v>
      </c>
      <c r="K38" s="20">
        <v>0</v>
      </c>
      <c r="L38" s="20">
        <v>0</v>
      </c>
    </row>
    <row r="39" spans="1:12" x14ac:dyDescent="0.25">
      <c r="A39" s="20" t="s">
        <v>76</v>
      </c>
      <c r="B39" s="20">
        <v>44882.37</v>
      </c>
      <c r="C39" s="20">
        <v>44882.37</v>
      </c>
      <c r="D39" s="20">
        <v>0</v>
      </c>
      <c r="E39" s="20">
        <v>0</v>
      </c>
      <c r="F39" s="20">
        <v>0</v>
      </c>
      <c r="G39" s="20">
        <v>0</v>
      </c>
      <c r="H39" s="20">
        <v>0</v>
      </c>
      <c r="I39" s="21">
        <v>45515.7</v>
      </c>
      <c r="J39" s="20">
        <v>633.33000000000004</v>
      </c>
      <c r="K39" s="20">
        <v>0</v>
      </c>
      <c r="L39" s="20">
        <v>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DBCE7-D377-42BF-9681-FABE9B7B34BF}">
  <sheetPr codeName="Sheet5">
    <tabColor theme="0" tint="-4.9989318521683403E-2"/>
  </sheetPr>
  <dimension ref="A1:J26"/>
  <sheetViews>
    <sheetView showGridLines="0" topLeftCell="D1" workbookViewId="0">
      <selection activeCell="G2" sqref="G2"/>
    </sheetView>
  </sheetViews>
  <sheetFormatPr defaultRowHeight="12" x14ac:dyDescent="0.25"/>
  <cols>
    <col min="1" max="1" width="11.109375" style="20" bestFit="1" customWidth="1"/>
    <col min="2" max="2" width="15.44140625" style="20" bestFit="1" customWidth="1"/>
    <col min="3" max="3" width="13.77734375" style="20" bestFit="1" customWidth="1"/>
    <col min="4" max="4" width="14" style="20" bestFit="1" customWidth="1"/>
    <col min="5" max="5" width="14.21875" style="20" bestFit="1" customWidth="1"/>
    <col min="6" max="6" width="13.5546875" style="20" bestFit="1" customWidth="1"/>
    <col min="7" max="7" width="10.21875" style="29" bestFit="1" customWidth="1"/>
    <col min="8" max="8" width="12.88671875" style="20" bestFit="1" customWidth="1"/>
    <col min="9" max="9" width="17.5546875" style="20" bestFit="1" customWidth="1"/>
    <col min="10" max="10" width="16.109375" style="20" bestFit="1" customWidth="1"/>
    <col min="11" max="16384" width="8.88671875" style="20"/>
  </cols>
  <sheetData>
    <row r="1" spans="1:10" x14ac:dyDescent="0.25">
      <c r="A1" s="22" t="s">
        <v>30</v>
      </c>
      <c r="B1" s="22" t="s">
        <v>31</v>
      </c>
      <c r="C1" s="22" t="s">
        <v>32</v>
      </c>
      <c r="D1" s="22" t="s">
        <v>33</v>
      </c>
      <c r="E1" s="22" t="s">
        <v>34</v>
      </c>
      <c r="F1" s="22" t="s">
        <v>35</v>
      </c>
      <c r="G1" s="28" t="s">
        <v>36</v>
      </c>
      <c r="H1" s="22" t="s">
        <v>37</v>
      </c>
      <c r="I1" s="22" t="s">
        <v>38</v>
      </c>
      <c r="J1" s="22" t="s">
        <v>39</v>
      </c>
    </row>
    <row r="2" spans="1:10" x14ac:dyDescent="0.25">
      <c r="A2" s="20" t="s">
        <v>40</v>
      </c>
      <c r="B2" s="20">
        <v>5737.5</v>
      </c>
      <c r="C2" s="20">
        <v>5733.5</v>
      </c>
      <c r="D2" s="20">
        <v>5829.5</v>
      </c>
      <c r="E2" s="20">
        <v>5786.9080000000004</v>
      </c>
      <c r="F2" s="20">
        <v>5817</v>
      </c>
      <c r="G2" s="29">
        <v>5823.9030000000002</v>
      </c>
      <c r="H2" s="20">
        <v>51.218000000000004</v>
      </c>
      <c r="I2" s="20">
        <v>5816</v>
      </c>
      <c r="J2" s="20">
        <v>5818</v>
      </c>
    </row>
    <row r="3" spans="1:10" x14ac:dyDescent="0.25">
      <c r="A3" s="20" t="s">
        <v>41</v>
      </c>
      <c r="B3" s="20">
        <v>5803</v>
      </c>
      <c r="C3" s="20">
        <v>5803</v>
      </c>
      <c r="D3" s="20">
        <v>5840</v>
      </c>
      <c r="E3" s="20">
        <v>5812.9679999999998</v>
      </c>
      <c r="F3" s="20">
        <v>5828</v>
      </c>
      <c r="G3" s="29">
        <v>5845.39</v>
      </c>
      <c r="H3" s="20">
        <v>51.871000000000002</v>
      </c>
      <c r="I3" s="20">
        <v>5820</v>
      </c>
      <c r="J3" s="20">
        <v>5850</v>
      </c>
    </row>
    <row r="4" spans="1:10" x14ac:dyDescent="0.25">
      <c r="A4" s="20" t="s">
        <v>42</v>
      </c>
      <c r="B4" s="20">
        <v>0</v>
      </c>
      <c r="C4" s="20">
        <v>0</v>
      </c>
      <c r="D4" s="20">
        <v>0</v>
      </c>
      <c r="E4" s="20">
        <v>0</v>
      </c>
      <c r="F4" s="20">
        <v>0</v>
      </c>
      <c r="G4" s="29">
        <v>5870.49</v>
      </c>
      <c r="H4" s="20">
        <v>53.052999999999997</v>
      </c>
      <c r="I4" s="20">
        <v>5826</v>
      </c>
      <c r="J4" s="20">
        <v>5882</v>
      </c>
    </row>
    <row r="5" spans="1:10" x14ac:dyDescent="0.25">
      <c r="A5" s="20" t="s">
        <v>43</v>
      </c>
      <c r="B5" s="20">
        <v>0</v>
      </c>
      <c r="C5" s="20">
        <v>0</v>
      </c>
      <c r="D5" s="20">
        <v>0</v>
      </c>
      <c r="E5" s="20">
        <v>0</v>
      </c>
      <c r="F5" s="20">
        <v>0</v>
      </c>
      <c r="G5" s="29">
        <v>5896.8320000000003</v>
      </c>
      <c r="H5" s="20">
        <v>55.039000000000001</v>
      </c>
      <c r="I5" s="20">
        <v>0</v>
      </c>
      <c r="J5" s="20">
        <v>0</v>
      </c>
    </row>
    <row r="6" spans="1:10" x14ac:dyDescent="0.25">
      <c r="A6" s="20" t="s">
        <v>44</v>
      </c>
      <c r="B6" s="20">
        <v>0</v>
      </c>
      <c r="C6" s="20">
        <v>0</v>
      </c>
      <c r="D6" s="20">
        <v>0</v>
      </c>
      <c r="E6" s="20">
        <v>0</v>
      </c>
      <c r="F6" s="20">
        <v>0</v>
      </c>
      <c r="G6" s="29">
        <v>5923.7190000000001</v>
      </c>
      <c r="H6" s="20">
        <v>56.448</v>
      </c>
      <c r="I6" s="20">
        <v>0</v>
      </c>
      <c r="J6" s="20">
        <v>0</v>
      </c>
    </row>
    <row r="7" spans="1:10" x14ac:dyDescent="0.25">
      <c r="A7" s="20" t="s">
        <v>45</v>
      </c>
      <c r="B7" s="20">
        <v>0</v>
      </c>
      <c r="C7" s="20">
        <v>0</v>
      </c>
      <c r="D7" s="20">
        <v>0</v>
      </c>
      <c r="E7" s="20">
        <v>0</v>
      </c>
      <c r="F7" s="20">
        <v>0</v>
      </c>
      <c r="G7" s="29">
        <v>5949.7669999999998</v>
      </c>
      <c r="H7" s="20">
        <v>58.069000000000003</v>
      </c>
      <c r="I7" s="20">
        <v>0</v>
      </c>
      <c r="J7" s="20">
        <v>0</v>
      </c>
    </row>
    <row r="8" spans="1:10" x14ac:dyDescent="0.25">
      <c r="A8" s="20" t="s">
        <v>46</v>
      </c>
      <c r="B8" s="20">
        <v>0</v>
      </c>
      <c r="C8" s="20">
        <v>0</v>
      </c>
      <c r="D8" s="20">
        <v>0</v>
      </c>
      <c r="E8" s="20">
        <v>0</v>
      </c>
      <c r="F8" s="20">
        <v>0</v>
      </c>
      <c r="G8" s="29">
        <v>5983.9120000000003</v>
      </c>
      <c r="H8" s="20">
        <v>59.439</v>
      </c>
      <c r="I8" s="20">
        <v>0</v>
      </c>
      <c r="J8" s="20">
        <v>0</v>
      </c>
    </row>
    <row r="9" spans="1:10" x14ac:dyDescent="0.25">
      <c r="A9" s="20" t="s">
        <v>47</v>
      </c>
      <c r="B9" s="20">
        <v>6014</v>
      </c>
      <c r="C9" s="20">
        <v>6014</v>
      </c>
      <c r="D9" s="20">
        <v>6014</v>
      </c>
      <c r="E9" s="20">
        <v>6014</v>
      </c>
      <c r="F9" s="20">
        <v>6014</v>
      </c>
      <c r="G9" s="29">
        <v>6016.4170000000004</v>
      </c>
      <c r="H9" s="20">
        <v>61.685000000000002</v>
      </c>
      <c r="I9" s="20">
        <v>0</v>
      </c>
      <c r="J9" s="20">
        <v>0</v>
      </c>
    </row>
    <row r="10" spans="1:10" x14ac:dyDescent="0.25">
      <c r="A10" s="20" t="s">
        <v>48</v>
      </c>
      <c r="B10" s="20">
        <v>0</v>
      </c>
      <c r="C10" s="20">
        <v>0</v>
      </c>
      <c r="D10" s="20">
        <v>0</v>
      </c>
      <c r="E10" s="20">
        <v>0</v>
      </c>
      <c r="F10" s="20">
        <v>0</v>
      </c>
      <c r="G10" s="29">
        <v>6055.5479999999998</v>
      </c>
      <c r="H10" s="20">
        <v>62.968000000000004</v>
      </c>
      <c r="I10" s="20">
        <v>0</v>
      </c>
      <c r="J10" s="20">
        <v>0</v>
      </c>
    </row>
    <row r="11" spans="1:10" x14ac:dyDescent="0.25">
      <c r="A11" s="20" t="s">
        <v>104</v>
      </c>
      <c r="B11" s="20">
        <v>0</v>
      </c>
      <c r="C11" s="20">
        <v>0</v>
      </c>
      <c r="D11" s="20">
        <v>0</v>
      </c>
      <c r="E11" s="20">
        <v>0</v>
      </c>
      <c r="F11" s="20">
        <v>0</v>
      </c>
      <c r="G11" s="29">
        <v>6094.74</v>
      </c>
      <c r="H11" s="20">
        <v>64.873000000000005</v>
      </c>
      <c r="I11" s="20">
        <v>0</v>
      </c>
      <c r="J11" s="20">
        <v>0</v>
      </c>
    </row>
    <row r="12" spans="1:10" x14ac:dyDescent="0.25">
      <c r="A12" s="20" t="s">
        <v>49</v>
      </c>
      <c r="B12" s="20">
        <v>0</v>
      </c>
      <c r="C12" s="20">
        <v>0</v>
      </c>
      <c r="D12" s="20">
        <v>0</v>
      </c>
      <c r="E12" s="20">
        <v>0</v>
      </c>
      <c r="F12" s="20">
        <v>0</v>
      </c>
      <c r="G12" s="29">
        <v>6132.848</v>
      </c>
      <c r="H12" s="20">
        <v>67.158000000000001</v>
      </c>
      <c r="I12" s="20">
        <v>0</v>
      </c>
      <c r="J12" s="20">
        <v>0</v>
      </c>
    </row>
    <row r="13" spans="1:10" x14ac:dyDescent="0.25">
      <c r="A13" s="20" t="s">
        <v>134</v>
      </c>
      <c r="B13" s="20">
        <v>0</v>
      </c>
      <c r="C13" s="20">
        <v>0</v>
      </c>
      <c r="D13" s="20">
        <v>0</v>
      </c>
      <c r="E13" s="20">
        <v>0</v>
      </c>
      <c r="F13" s="20">
        <v>0</v>
      </c>
      <c r="G13" s="29">
        <v>6174.1570000000002</v>
      </c>
      <c r="H13" s="20">
        <v>69.733999999999995</v>
      </c>
      <c r="I13" s="20">
        <v>0</v>
      </c>
      <c r="J13" s="20">
        <v>0</v>
      </c>
    </row>
    <row r="14" spans="1:10" x14ac:dyDescent="0.25">
      <c r="A14" s="20" t="s">
        <v>50</v>
      </c>
      <c r="B14" s="20">
        <v>0</v>
      </c>
      <c r="C14" s="20">
        <v>0</v>
      </c>
      <c r="D14" s="20">
        <v>0</v>
      </c>
      <c r="E14" s="20">
        <v>0</v>
      </c>
      <c r="F14" s="20">
        <v>0</v>
      </c>
      <c r="G14" s="29">
        <v>6246.0879999999997</v>
      </c>
      <c r="H14" s="20">
        <v>73.426000000000002</v>
      </c>
      <c r="I14" s="20">
        <v>0</v>
      </c>
      <c r="J14" s="20">
        <v>0</v>
      </c>
    </row>
    <row r="15" spans="1:10" x14ac:dyDescent="0.25">
      <c r="A15" s="20" t="s">
        <v>51</v>
      </c>
      <c r="B15" s="20">
        <v>0</v>
      </c>
      <c r="C15" s="20">
        <v>0</v>
      </c>
      <c r="D15" s="20">
        <v>0</v>
      </c>
      <c r="E15" s="20">
        <v>0</v>
      </c>
      <c r="F15" s="20">
        <v>0</v>
      </c>
      <c r="G15" s="29">
        <v>6358.6570000000002</v>
      </c>
      <c r="H15" s="20">
        <v>76.099000000000004</v>
      </c>
      <c r="I15" s="20">
        <v>0</v>
      </c>
      <c r="J15" s="20">
        <v>0</v>
      </c>
    </row>
    <row r="16" spans="1:10" x14ac:dyDescent="0.25">
      <c r="A16" s="20" t="s">
        <v>52</v>
      </c>
      <c r="B16" s="20">
        <v>0</v>
      </c>
      <c r="C16" s="20">
        <v>0</v>
      </c>
      <c r="D16" s="20">
        <v>0</v>
      </c>
      <c r="E16" s="20">
        <v>0</v>
      </c>
      <c r="F16" s="20">
        <v>0</v>
      </c>
      <c r="G16" s="29">
        <v>6467.0919999999996</v>
      </c>
      <c r="H16" s="20">
        <v>80.869</v>
      </c>
      <c r="I16" s="20">
        <v>0</v>
      </c>
      <c r="J16" s="20">
        <v>0</v>
      </c>
    </row>
    <row r="17" spans="1:10" x14ac:dyDescent="0.25">
      <c r="A17" s="20" t="s">
        <v>53</v>
      </c>
      <c r="B17" s="20">
        <v>0</v>
      </c>
      <c r="C17" s="20">
        <v>0</v>
      </c>
      <c r="D17" s="20">
        <v>0</v>
      </c>
      <c r="E17" s="20">
        <v>0</v>
      </c>
      <c r="F17" s="20">
        <v>0</v>
      </c>
      <c r="G17" s="29">
        <v>6588.5360000000001</v>
      </c>
      <c r="H17" s="20">
        <v>85.903999999999996</v>
      </c>
      <c r="I17" s="20">
        <v>0</v>
      </c>
      <c r="J17" s="20">
        <v>0</v>
      </c>
    </row>
    <row r="18" spans="1:10" x14ac:dyDescent="0.25">
      <c r="A18" s="20" t="s">
        <v>54</v>
      </c>
      <c r="B18" s="20">
        <v>0</v>
      </c>
      <c r="C18" s="20">
        <v>0</v>
      </c>
      <c r="D18" s="20">
        <v>0</v>
      </c>
      <c r="E18" s="20">
        <v>0</v>
      </c>
      <c r="F18" s="20">
        <v>0</v>
      </c>
      <c r="G18" s="29">
        <v>6695.2889999999998</v>
      </c>
      <c r="H18" s="20">
        <v>91.614999999999995</v>
      </c>
      <c r="I18" s="20">
        <v>0</v>
      </c>
      <c r="J18" s="20">
        <v>0</v>
      </c>
    </row>
    <row r="19" spans="1:10" x14ac:dyDescent="0.25">
      <c r="A19" s="20" t="s">
        <v>55</v>
      </c>
      <c r="B19" s="20">
        <v>0</v>
      </c>
      <c r="C19" s="20">
        <v>0</v>
      </c>
      <c r="D19" s="20">
        <v>0</v>
      </c>
      <c r="E19" s="20">
        <v>0</v>
      </c>
      <c r="F19" s="20">
        <v>0</v>
      </c>
      <c r="G19" s="29">
        <v>6808.3620000000001</v>
      </c>
      <c r="H19" s="20">
        <v>95.228999999999999</v>
      </c>
      <c r="I19" s="20">
        <v>0</v>
      </c>
      <c r="J19" s="20">
        <v>0</v>
      </c>
    </row>
    <row r="20" spans="1:10" x14ac:dyDescent="0.25">
      <c r="A20" s="20" t="s">
        <v>56</v>
      </c>
      <c r="B20" s="20">
        <v>0</v>
      </c>
      <c r="C20" s="20">
        <v>0</v>
      </c>
      <c r="D20" s="20">
        <v>0</v>
      </c>
      <c r="E20" s="20">
        <v>0</v>
      </c>
      <c r="F20" s="20">
        <v>0</v>
      </c>
      <c r="G20" s="29">
        <v>6930.62</v>
      </c>
      <c r="H20" s="20">
        <v>100.679</v>
      </c>
      <c r="I20" s="20">
        <v>0</v>
      </c>
      <c r="J20" s="20">
        <v>0</v>
      </c>
    </row>
    <row r="21" spans="1:10" x14ac:dyDescent="0.25">
      <c r="A21" s="20" t="s">
        <v>64</v>
      </c>
      <c r="B21" s="20">
        <v>0</v>
      </c>
      <c r="C21" s="20">
        <v>0</v>
      </c>
      <c r="D21" s="20">
        <v>0</v>
      </c>
      <c r="E21" s="20">
        <v>0</v>
      </c>
      <c r="F21" s="20">
        <v>0</v>
      </c>
      <c r="G21" s="29">
        <v>7055.8419999999996</v>
      </c>
      <c r="H21" s="20">
        <v>104.759</v>
      </c>
      <c r="I21" s="20">
        <v>0</v>
      </c>
      <c r="J21" s="20">
        <v>0</v>
      </c>
    </row>
    <row r="22" spans="1:10" x14ac:dyDescent="0.25">
      <c r="A22" s="20" t="s">
        <v>57</v>
      </c>
      <c r="B22" s="20">
        <v>0</v>
      </c>
      <c r="C22" s="20">
        <v>0</v>
      </c>
      <c r="D22" s="20">
        <v>0</v>
      </c>
      <c r="E22" s="20">
        <v>0</v>
      </c>
      <c r="F22" s="20">
        <v>0</v>
      </c>
      <c r="G22" s="29">
        <v>7172.9189999999999</v>
      </c>
      <c r="H22" s="20">
        <v>108.491</v>
      </c>
      <c r="I22" s="20">
        <v>0</v>
      </c>
      <c r="J22" s="20">
        <v>0</v>
      </c>
    </row>
    <row r="23" spans="1:10" x14ac:dyDescent="0.25">
      <c r="A23" s="20" t="s">
        <v>58</v>
      </c>
      <c r="B23" s="20">
        <v>0</v>
      </c>
      <c r="C23" s="20">
        <v>0</v>
      </c>
      <c r="D23" s="20">
        <v>0</v>
      </c>
      <c r="E23" s="20">
        <v>0</v>
      </c>
      <c r="F23" s="20">
        <v>0</v>
      </c>
      <c r="G23" s="29">
        <v>7427.2240000000002</v>
      </c>
      <c r="H23" s="20">
        <v>119.774</v>
      </c>
      <c r="I23" s="20">
        <v>0</v>
      </c>
      <c r="J23" s="20">
        <v>0</v>
      </c>
    </row>
    <row r="24" spans="1:10" x14ac:dyDescent="0.25">
      <c r="A24" s="20" t="s">
        <v>59</v>
      </c>
      <c r="B24" s="20">
        <v>0</v>
      </c>
      <c r="C24" s="20">
        <v>0</v>
      </c>
      <c r="D24" s="20">
        <v>0</v>
      </c>
      <c r="E24" s="20">
        <v>0</v>
      </c>
      <c r="F24" s="20">
        <v>0</v>
      </c>
      <c r="G24" s="29">
        <v>7666.3419999999996</v>
      </c>
      <c r="H24" s="20">
        <v>117.761</v>
      </c>
      <c r="I24" s="20">
        <v>0</v>
      </c>
      <c r="J24" s="20">
        <v>0</v>
      </c>
    </row>
    <row r="25" spans="1:10" x14ac:dyDescent="0.25">
      <c r="A25" s="20" t="s">
        <v>60</v>
      </c>
      <c r="B25" s="20">
        <v>0</v>
      </c>
      <c r="C25" s="20">
        <v>0</v>
      </c>
      <c r="D25" s="20">
        <v>0</v>
      </c>
      <c r="E25" s="20">
        <v>0</v>
      </c>
      <c r="F25" s="20">
        <v>0</v>
      </c>
      <c r="G25" s="29">
        <v>7918.5020000000004</v>
      </c>
      <c r="H25" s="20">
        <v>123.133</v>
      </c>
      <c r="I25" s="20">
        <v>0</v>
      </c>
      <c r="J25" s="20">
        <v>0</v>
      </c>
    </row>
    <row r="26" spans="1:10" x14ac:dyDescent="0.25">
      <c r="A26" s="20" t="s">
        <v>61</v>
      </c>
      <c r="B26" s="20">
        <v>0</v>
      </c>
      <c r="C26" s="20">
        <v>0</v>
      </c>
      <c r="D26" s="20">
        <v>0</v>
      </c>
      <c r="E26" s="20">
        <v>0</v>
      </c>
      <c r="F26" s="20">
        <v>0</v>
      </c>
      <c r="G26" s="29">
        <v>8179.1229999999996</v>
      </c>
      <c r="H26" s="20">
        <v>124.53</v>
      </c>
      <c r="I26" s="20">
        <v>0</v>
      </c>
      <c r="J26" s="20">
        <v>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77DD5-38A1-4C6E-AF63-11DA90151E70}">
  <sheetPr codeName="Sheet6">
    <tabColor theme="3" tint="0.89999084444715716"/>
  </sheetPr>
  <dimension ref="A1:S989"/>
  <sheetViews>
    <sheetView showGridLines="0" topLeftCell="E1" zoomScale="130" zoomScaleNormal="130" workbookViewId="0">
      <selection activeCell="O12" sqref="O12"/>
    </sheetView>
  </sheetViews>
  <sheetFormatPr defaultRowHeight="10.8" x14ac:dyDescent="0.25"/>
  <cols>
    <col min="1" max="1" width="10.109375" style="18" bestFit="1" customWidth="1"/>
    <col min="2" max="2" width="11.44140625" style="9" bestFit="1" customWidth="1"/>
    <col min="3" max="3" width="36.77734375" style="9" bestFit="1" customWidth="1"/>
    <col min="4" max="4" width="8.88671875" style="9"/>
    <col min="5" max="5" width="6.5546875" style="9" bestFit="1" customWidth="1"/>
    <col min="6" max="6" width="4.88671875" style="9" customWidth="1"/>
    <col min="7" max="8" width="8.88671875" style="9"/>
    <col min="9" max="11" width="10.6640625" style="17" customWidth="1"/>
    <col min="12" max="12" width="9.44140625" style="9" bestFit="1" customWidth="1"/>
    <col min="13" max="16384" width="8.88671875" style="9"/>
  </cols>
  <sheetData>
    <row r="1" spans="1:19" ht="21" thickBot="1" x14ac:dyDescent="0.3">
      <c r="A1" s="6" t="s">
        <v>7</v>
      </c>
      <c r="B1" s="7" t="s">
        <v>8</v>
      </c>
      <c r="C1" s="8" t="s">
        <v>9</v>
      </c>
      <c r="E1" s="8" t="s">
        <v>79</v>
      </c>
      <c r="F1" s="8" t="s">
        <v>80</v>
      </c>
      <c r="H1" s="8" t="str" cm="1">
        <f t="array" ref="H1:H40">_xlfn.UNIQUE(VCTODI1)</f>
        <v>VENCTO</v>
      </c>
      <c r="I1" s="8" t="s">
        <v>93</v>
      </c>
      <c r="J1" s="8" t="s">
        <v>77</v>
      </c>
      <c r="K1" s="8" t="s">
        <v>78</v>
      </c>
      <c r="L1" s="8" t="s">
        <v>2</v>
      </c>
      <c r="M1" s="8" t="s">
        <v>4</v>
      </c>
      <c r="N1" s="8" t="s">
        <v>3</v>
      </c>
      <c r="O1" s="8" t="s">
        <v>5</v>
      </c>
      <c r="Q1" s="8" t="s">
        <v>180</v>
      </c>
      <c r="R1" s="8" t="s">
        <v>181</v>
      </c>
      <c r="S1" s="8" t="s">
        <v>182</v>
      </c>
    </row>
    <row r="2" spans="1:19" x14ac:dyDescent="0.25">
      <c r="A2" s="10">
        <v>45292</v>
      </c>
      <c r="B2" s="11" t="s">
        <v>10</v>
      </c>
      <c r="C2" s="11" t="s">
        <v>11</v>
      </c>
      <c r="E2" s="12" t="s">
        <v>81</v>
      </c>
      <c r="F2" s="12">
        <v>1</v>
      </c>
      <c r="H2" s="12" t="str">
        <v>Z24</v>
      </c>
      <c r="I2" s="13">
        <f t="shared" ref="I2:I39" si="0">WORKDAY.INTL(DATE(20&amp;RIGHT(H2,2),(_xlfn.XLOOKUP(LEFT(H2,1),Depara_CodigoVCTO,Depara_Mesvcto,,0)),1)-1,1,1,Feriados)</f>
        <v>45628</v>
      </c>
      <c r="J2" s="14">
        <f ca="1">NETWORKDAYS.INTL(D0,I2,1,Feriados)</f>
        <v>11</v>
      </c>
      <c r="K2" s="14">
        <f ca="1">I2-D_1</f>
        <v>19</v>
      </c>
      <c r="L2" s="15">
        <f t="shared" ref="L2:L39" ca="1" si="1">((100000/_xlfn.XLOOKUP($H2,VCTODI1,AJUSTEDI1,,0))^(252/J2))-1</f>
        <v>0.11157123335474428</v>
      </c>
      <c r="M2" s="15" cm="1">
        <f t="array" aca="1" ref="M2" ca="1">(((100000/_xlfn.XLOOKUP(H2,Vcto_DDI[VENCTO],Tbl_DDI[AJUSTE])-1)*360/K2*100))</f>
        <v>-9.0460359353583772</v>
      </c>
      <c r="N2" s="15">
        <f ca="1">SPOT*(Q2/S2)</f>
        <v>5.8258227327785441</v>
      </c>
      <c r="O2" s="15">
        <f t="shared" ref="O2:O39" ca="1" si="2">(((S2-1)*360/K2*100))</f>
        <v>-5.2885732716684695</v>
      </c>
      <c r="Q2" s="49">
        <f>(100000/_xlfn.XLOOKUP($H2,VCTODI1,AJUSTEDI1,,0))</f>
        <v>1.0046278180438188</v>
      </c>
      <c r="R2" s="49" cm="1">
        <f t="array" ref="R2">(100000/_xlfn.XLOOKUP(H2,Vcto_DDI[VENCTO],Tbl_DDI[AJUSTE]))</f>
        <v>0.99522570325633863</v>
      </c>
      <c r="S2" s="49">
        <f ca="1">R2*(SPOT/_xlfn.XLOOKUP(D_1,_2024[datacorrig],_2024[Sell]))</f>
        <v>0.99720880855106386</v>
      </c>
    </row>
    <row r="3" spans="1:19" x14ac:dyDescent="0.25">
      <c r="A3" s="10">
        <v>45334</v>
      </c>
      <c r="B3" s="11" t="s">
        <v>10</v>
      </c>
      <c r="C3" s="11" t="s">
        <v>12</v>
      </c>
      <c r="E3" s="12" t="s">
        <v>82</v>
      </c>
      <c r="F3" s="12">
        <v>2</v>
      </c>
      <c r="H3" s="12" t="str">
        <v>F25</v>
      </c>
      <c r="I3" s="13">
        <f t="shared" si="0"/>
        <v>45659</v>
      </c>
      <c r="J3" s="14">
        <f t="shared" ref="J3:J39" ca="1" si="3">NETWORKDAYS.INTL(D0+1,I3,1,Feriados)</f>
        <v>31</v>
      </c>
      <c r="K3" s="14">
        <f ca="1">I3-D_1</f>
        <v>50</v>
      </c>
      <c r="L3" s="15">
        <f t="shared" ca="1" si="1"/>
        <v>0.11812484745982554</v>
      </c>
      <c r="M3" s="15" cm="1">
        <f t="array" aca="1" ref="M3" ca="1">(((100000/_xlfn.XLOOKUP(H3,Vcto_DDI[VENCTO],Tbl_DDI[AJUSTE])-1)*360/K3*100))</f>
        <v>0.46801602320870833</v>
      </c>
      <c r="N3" s="15">
        <f ca="1">SPOT*(Q3/S3)</f>
        <v>5.8473153618338474</v>
      </c>
      <c r="O3" s="15">
        <f t="shared" ca="1" si="2"/>
        <v>1.9036340268242393</v>
      </c>
      <c r="Q3" s="49">
        <f>(100000/_xlfn.XLOOKUP($H3,VCTODI1,AJUSTEDI1,,0))</f>
        <v>1.013829855829339</v>
      </c>
      <c r="R3" s="49" cm="1">
        <f t="array" ref="R3">(100000/_xlfn.XLOOKUP(H3,Vcto_DDI[VENCTO],Tbl_DDI[AJUSTE]))</f>
        <v>1.0006500222544565</v>
      </c>
      <c r="S3" s="49">
        <f ca="1">R3*(SPOT/_xlfn.XLOOKUP(D_1,_2024[datacorrig],_2024[Sell]))</f>
        <v>1.002643936148367</v>
      </c>
    </row>
    <row r="4" spans="1:19" x14ac:dyDescent="0.25">
      <c r="A4" s="10">
        <v>45335</v>
      </c>
      <c r="B4" s="11" t="s">
        <v>13</v>
      </c>
      <c r="C4" s="11" t="s">
        <v>12</v>
      </c>
      <c r="E4" s="12" t="s">
        <v>83</v>
      </c>
      <c r="F4" s="12">
        <v>3</v>
      </c>
      <c r="H4" s="12" t="str">
        <v>G25</v>
      </c>
      <c r="I4" s="13">
        <f t="shared" si="0"/>
        <v>45691</v>
      </c>
      <c r="J4" s="14">
        <f t="shared" ca="1" si="3"/>
        <v>53</v>
      </c>
      <c r="K4" s="14">
        <f ca="1">I4-D_1</f>
        <v>82</v>
      </c>
      <c r="L4" s="15">
        <f t="shared" ca="1" si="1"/>
        <v>0.11847698417377428</v>
      </c>
      <c r="M4" s="15" cm="1">
        <f t="array" aca="1" ref="M4" ca="1">(((100000/_xlfn.XLOOKUP(H4,Vcto_DDI[VENCTO],Tbl_DDI[AJUSTE])-1)*360/K4*100))</f>
        <v>2.7210191985426153</v>
      </c>
      <c r="N4" s="15">
        <f ca="1">SPOT*(Q4/S4)</f>
        <v>5.8724235473028639</v>
      </c>
      <c r="O4" s="15">
        <f t="shared" ca="1" si="2"/>
        <v>3.6012493388208777</v>
      </c>
      <c r="Q4" s="49">
        <f>(100000/_xlfn.XLOOKUP($H4,VCTODI1,AJUSTEDI1,,0))</f>
        <v>1.0238282720553342</v>
      </c>
      <c r="R4" s="49" cm="1">
        <f t="array" ref="R4">(100000/_xlfn.XLOOKUP(H4,Vcto_DDI[VENCTO],Tbl_DDI[AJUSTE]))</f>
        <v>1.0061978770633471</v>
      </c>
      <c r="S4" s="49">
        <f ca="1">R4*(SPOT/_xlfn.XLOOKUP(D_1,_2024[datacorrig],_2024[Sell]))</f>
        <v>1.0082028457162031</v>
      </c>
    </row>
    <row r="5" spans="1:19" x14ac:dyDescent="0.25">
      <c r="A5" s="10">
        <v>45380</v>
      </c>
      <c r="B5" s="11" t="s">
        <v>14</v>
      </c>
      <c r="C5" s="11" t="s">
        <v>15</v>
      </c>
      <c r="E5" s="12" t="s">
        <v>84</v>
      </c>
      <c r="F5" s="12">
        <v>4</v>
      </c>
      <c r="H5" s="12" t="str">
        <v>H25</v>
      </c>
      <c r="I5" s="13">
        <f t="shared" si="0"/>
        <v>45721</v>
      </c>
      <c r="J5" s="14">
        <f t="shared" ca="1" si="3"/>
        <v>73</v>
      </c>
      <c r="K5" s="14">
        <f ca="1">I5-D_1</f>
        <v>112</v>
      </c>
      <c r="L5" s="15">
        <f t="shared" ca="1" si="1"/>
        <v>0.12047114781429036</v>
      </c>
      <c r="M5" s="15" cm="1">
        <f t="array" aca="1" ref="M5" ca="1">(((100000/_xlfn.XLOOKUP(H5,Vcto_DDI[VENCTO],Tbl_DDI[AJUSTE])-1)*360/K5*100))</f>
        <v>3.5890066054405687</v>
      </c>
      <c r="N5" s="15">
        <f ca="1">SPOT*(Q5/S5)</f>
        <v>5.8987744753488522</v>
      </c>
      <c r="O5" s="15">
        <f t="shared" ca="1" si="2"/>
        <v>4.2366426921785489</v>
      </c>
      <c r="Q5" s="49">
        <f>(100000/_xlfn.XLOOKUP($H5,VCTODI1,AJUSTEDI1,,0))</f>
        <v>1.0335000782359558</v>
      </c>
      <c r="R5" s="49" cm="1">
        <f t="array" ref="R5">(100000/_xlfn.XLOOKUP(H5,Vcto_DDI[VENCTO],Tbl_DDI[AJUSTE]))</f>
        <v>1.0111657983280373</v>
      </c>
      <c r="S5" s="49">
        <f ca="1">R5*(SPOT/_xlfn.XLOOKUP(D_1,_2024[datacorrig],_2024[Sell]))</f>
        <v>1.0131806661534444</v>
      </c>
    </row>
    <row r="6" spans="1:19" x14ac:dyDescent="0.25">
      <c r="A6" s="10">
        <v>45403</v>
      </c>
      <c r="B6" s="11" t="s">
        <v>16</v>
      </c>
      <c r="C6" s="11" t="s">
        <v>17</v>
      </c>
      <c r="E6" s="12" t="s">
        <v>85</v>
      </c>
      <c r="F6" s="12">
        <v>5</v>
      </c>
      <c r="H6" s="12" t="str">
        <v>J25</v>
      </c>
      <c r="I6" s="13">
        <f t="shared" si="0"/>
        <v>45748</v>
      </c>
      <c r="J6" s="14">
        <f t="shared" ca="1" si="3"/>
        <v>92</v>
      </c>
      <c r="K6" s="14">
        <f ca="1">I6-D_1</f>
        <v>139</v>
      </c>
      <c r="L6" s="15">
        <f t="shared" ca="1" si="1"/>
        <v>0.12202824283232316</v>
      </c>
      <c r="M6" s="15" cm="1">
        <f t="array" aca="1" ref="M6" ca="1">(((100000/_xlfn.XLOOKUP(H6,Vcto_DDI[VENCTO],Tbl_DDI[AJUSTE])-1)*360/K6*100))</f>
        <v>4.082000227026243</v>
      </c>
      <c r="N6" s="15">
        <f ca="1">SPOT*(Q6/S6)</f>
        <v>5.9256697449628275</v>
      </c>
      <c r="O6" s="15">
        <f t="shared" ca="1" si="2"/>
        <v>4.606207991099831</v>
      </c>
      <c r="Q6" s="49">
        <f>(100000/_xlfn.XLOOKUP($H6,VCTODI1,AJUSTEDI1,,0))</f>
        <v>1.0429304593785365</v>
      </c>
      <c r="R6" s="49" cm="1">
        <f t="array" ref="R6">(100000/_xlfn.XLOOKUP(H6,Vcto_DDI[VENCTO],Tbl_DDI[AJUSTE]))</f>
        <v>1.0157610564321291</v>
      </c>
      <c r="S6" s="49">
        <f ca="1">R6*(SPOT/_xlfn.XLOOKUP(D_1,_2024[datacorrig],_2024[Sell]))</f>
        <v>1.0177850808545243</v>
      </c>
    </row>
    <row r="7" spans="1:19" x14ac:dyDescent="0.25">
      <c r="A7" s="10">
        <v>45413</v>
      </c>
      <c r="B7" s="11" t="s">
        <v>18</v>
      </c>
      <c r="C7" s="11" t="s">
        <v>19</v>
      </c>
      <c r="E7" s="12" t="s">
        <v>86</v>
      </c>
      <c r="F7" s="12">
        <v>6</v>
      </c>
      <c r="H7" s="12" t="str">
        <v>K25</v>
      </c>
      <c r="I7" s="13">
        <f t="shared" si="0"/>
        <v>45779</v>
      </c>
      <c r="J7" s="14">
        <f t="shared" ca="1" si="3"/>
        <v>112</v>
      </c>
      <c r="K7" s="14">
        <f ca="1">I7-D_1</f>
        <v>170</v>
      </c>
      <c r="L7" s="15">
        <f t="shared" ca="1" si="1"/>
        <v>0.12391128967743015</v>
      </c>
      <c r="M7" s="15" cm="1">
        <f t="array" aca="1" ref="M7" ca="1">(((100000/_xlfn.XLOOKUP(H7,Vcto_DDI[VENCTO],Tbl_DDI[AJUSTE])-1)*360/K7*100))</f>
        <v>4.5230086870758894</v>
      </c>
      <c r="N7" s="15">
        <f ca="1">SPOT*(Q7/S7)</f>
        <v>5.9517262611293154</v>
      </c>
      <c r="O7" s="15">
        <f t="shared" ca="1" si="2"/>
        <v>4.9539876203402189</v>
      </c>
      <c r="Q7" s="49">
        <f>(100000/_xlfn.XLOOKUP($H7,VCTODI1,AJUSTEDI1,,0))</f>
        <v>1.0532890530615426</v>
      </c>
      <c r="R7" s="49" cm="1">
        <f t="array" ref="R7">(100000/_xlfn.XLOOKUP(H7,Vcto_DDI[VENCTO],Tbl_DDI[AJUSTE]))</f>
        <v>1.0213586521334139</v>
      </c>
      <c r="S7" s="49">
        <f ca="1">R7*(SPOT/_xlfn.XLOOKUP(D_1,_2024[datacorrig],_2024[Sell]))</f>
        <v>1.0233938304293844</v>
      </c>
    </row>
    <row r="8" spans="1:19" x14ac:dyDescent="0.25">
      <c r="A8" s="10">
        <v>45442</v>
      </c>
      <c r="B8" s="11" t="s">
        <v>20</v>
      </c>
      <c r="C8" s="11" t="s">
        <v>21</v>
      </c>
      <c r="E8" s="12" t="s">
        <v>87</v>
      </c>
      <c r="F8" s="12">
        <v>7</v>
      </c>
      <c r="H8" s="12" t="str">
        <v>M25</v>
      </c>
      <c r="I8" s="13">
        <f t="shared" si="0"/>
        <v>45810</v>
      </c>
      <c r="J8" s="14">
        <f t="shared" ca="1" si="3"/>
        <v>133</v>
      </c>
      <c r="K8" s="14">
        <f ca="1">I8-D_1</f>
        <v>201</v>
      </c>
      <c r="L8" s="15">
        <f t="shared" ca="1" si="1"/>
        <v>0.1255832852273413</v>
      </c>
      <c r="M8" s="15" cm="1">
        <f t="array" aca="1" ref="M8" ca="1">(((100000/_xlfn.XLOOKUP(H8,Vcto_DDI[VENCTO],Tbl_DDI[AJUSTE])-1)*360/K8*100))</f>
        <v>4.7050081694432233</v>
      </c>
      <c r="N8" s="15">
        <f ca="1">SPOT*(Q8/S8)</f>
        <v>5.9858819478251837</v>
      </c>
      <c r="O8" s="15">
        <f t="shared" ca="1" si="2"/>
        <v>5.071270378388502</v>
      </c>
      <c r="Q8" s="49">
        <f>(100000/_xlfn.XLOOKUP($H8,VCTODI1,AJUSTEDI1,,0))</f>
        <v>1.0644272253234901</v>
      </c>
      <c r="R8" s="49" cm="1">
        <f t="array" ref="R8">(100000/_xlfn.XLOOKUP(H8,Vcto_DDI[VENCTO],Tbl_DDI[AJUSTE]))</f>
        <v>1.026269628946058</v>
      </c>
      <c r="S8" s="49">
        <f ca="1">R8*(SPOT/_xlfn.XLOOKUP(D_1,_2024[datacorrig],_2024[Sell]))</f>
        <v>1.0283145929460025</v>
      </c>
    </row>
    <row r="9" spans="1:19" x14ac:dyDescent="0.25">
      <c r="A9" s="10">
        <v>45542</v>
      </c>
      <c r="B9" s="11" t="s">
        <v>22</v>
      </c>
      <c r="C9" s="11" t="s">
        <v>23</v>
      </c>
      <c r="E9" s="12" t="s">
        <v>88</v>
      </c>
      <c r="F9" s="12">
        <v>8</v>
      </c>
      <c r="H9" s="12" t="str">
        <v>N25</v>
      </c>
      <c r="I9" s="13">
        <f t="shared" si="0"/>
        <v>45839</v>
      </c>
      <c r="J9" s="14">
        <f t="shared" ca="1" si="3"/>
        <v>153</v>
      </c>
      <c r="K9" s="14">
        <f ca="1">I9-D_1</f>
        <v>230</v>
      </c>
      <c r="L9" s="15">
        <f t="shared" ca="1" si="1"/>
        <v>0.12713569335186858</v>
      </c>
      <c r="M9" s="15" cm="1">
        <f t="array" aca="1" ref="M9" ca="1">(((100000/_xlfn.XLOOKUP(H9,Vcto_DDI[VENCTO],Tbl_DDI[AJUSTE])-1)*360/K9*100))</f>
        <v>4.8860061385876206</v>
      </c>
      <c r="N9" s="15">
        <f ca="1">SPOT*(Q9/S9)</f>
        <v>6.0183982757984751</v>
      </c>
      <c r="O9" s="15">
        <f t="shared" ca="1" si="2"/>
        <v>5.2076302216527424</v>
      </c>
      <c r="Q9" s="49">
        <f>(100000/_xlfn.XLOOKUP($H9,VCTODI1,AJUSTEDI1,,0))</f>
        <v>1.0753676816524531</v>
      </c>
      <c r="R9" s="49" cm="1">
        <f t="array" ref="R9">(100000/_xlfn.XLOOKUP(H9,Vcto_DDI[VENCTO],Tbl_DDI[AJUSTE]))</f>
        <v>1.0312161503298654</v>
      </c>
      <c r="S9" s="49">
        <f ca="1">R9*(SPOT/_xlfn.XLOOKUP(D_1,_2024[datacorrig],_2024[Sell]))</f>
        <v>1.0332709708605592</v>
      </c>
    </row>
    <row r="10" spans="1:19" x14ac:dyDescent="0.25">
      <c r="A10" s="10">
        <v>45577</v>
      </c>
      <c r="B10" s="11" t="s">
        <v>22</v>
      </c>
      <c r="C10" s="11" t="s">
        <v>24</v>
      </c>
      <c r="E10" s="12" t="s">
        <v>89</v>
      </c>
      <c r="F10" s="12">
        <v>9</v>
      </c>
      <c r="H10" s="12" t="str">
        <v>Q25</v>
      </c>
      <c r="I10" s="13">
        <f t="shared" si="0"/>
        <v>45870</v>
      </c>
      <c r="J10" s="14">
        <f t="shared" ca="1" si="3"/>
        <v>176</v>
      </c>
      <c r="K10" s="14">
        <f ca="1">I10-D_1</f>
        <v>261</v>
      </c>
      <c r="L10" s="15">
        <f t="shared" ca="1" si="1"/>
        <v>0.12854079521844741</v>
      </c>
      <c r="M10" s="15" cm="1">
        <f t="array" aca="1" ref="M10" ca="1">(((100000/_xlfn.XLOOKUP(H10,Vcto_DDI[VENCTO],Tbl_DDI[AJUSTE])-1)*360/K10*100))</f>
        <v>5.063004228037018</v>
      </c>
      <c r="N10" s="15">
        <f ca="1">SPOT*(Q10/S10)</f>
        <v>6.057542004088738</v>
      </c>
      <c r="O10" s="15">
        <f t="shared" ca="1" si="2"/>
        <v>5.3479368160456175</v>
      </c>
      <c r="Q10" s="49">
        <f>(100000/_xlfn.XLOOKUP($H10,VCTODI1,AJUSTEDI1,,0))</f>
        <v>1.0881248366452589</v>
      </c>
      <c r="R10" s="49" cm="1">
        <f t="array" ref="R10">(100000/_xlfn.XLOOKUP(H10,Vcto_DDI[VENCTO],Tbl_DDI[AJUSTE]))</f>
        <v>1.0367067806532684</v>
      </c>
      <c r="S10" s="49">
        <f ca="1">R10*(SPOT/_xlfn.XLOOKUP(D_1,_2024[datacorrig],_2024[Sell]))</f>
        <v>1.0387725419163307</v>
      </c>
    </row>
    <row r="11" spans="1:19" x14ac:dyDescent="0.25">
      <c r="A11" s="10">
        <v>45598</v>
      </c>
      <c r="B11" s="11" t="s">
        <v>22</v>
      </c>
      <c r="C11" s="11" t="s">
        <v>25</v>
      </c>
      <c r="E11" s="12" t="s">
        <v>90</v>
      </c>
      <c r="F11" s="12">
        <v>10</v>
      </c>
      <c r="H11" s="12" t="str">
        <v>U25</v>
      </c>
      <c r="I11" s="13">
        <f t="shared" si="0"/>
        <v>45901</v>
      </c>
      <c r="J11" s="14">
        <f t="shared" ca="1" si="3"/>
        <v>197</v>
      </c>
      <c r="K11" s="14">
        <f ca="1">I11-D_1</f>
        <v>292</v>
      </c>
      <c r="L11" s="15">
        <f t="shared" ca="1" si="1"/>
        <v>0.12963517669484426</v>
      </c>
      <c r="M11" s="15" cm="1">
        <f t="array" aca="1" ref="M11" ca="1">(((100000/_xlfn.XLOOKUP(H11,Vcto_DDI[VENCTO],Tbl_DDI[AJUSTE])-1)*360/K11*100))</f>
        <v>5.0870004135975062</v>
      </c>
      <c r="N11" s="15">
        <f ca="1">SPOT*(Q11/S11)</f>
        <v>6.0967472004334793</v>
      </c>
      <c r="O11" s="15">
        <f t="shared" ca="1" si="2"/>
        <v>5.3428021781799035</v>
      </c>
      <c r="Q11" s="49">
        <f>(100000/_xlfn.XLOOKUP($H11,VCTODI1,AJUSTEDI1,,0))</f>
        <v>1.0999785944165525</v>
      </c>
      <c r="R11" s="49" cm="1">
        <f t="array" ref="R11">(100000/_xlfn.XLOOKUP(H11,Vcto_DDI[VENCTO],Tbl_DDI[AJUSTE]))</f>
        <v>1.0412612255769575</v>
      </c>
      <c r="S11" s="49">
        <f ca="1">R11*(SPOT/_xlfn.XLOOKUP(D_1,_2024[datacorrig],_2024[Sell]))</f>
        <v>1.0433360621119037</v>
      </c>
    </row>
    <row r="12" spans="1:19" x14ac:dyDescent="0.25">
      <c r="A12" s="10">
        <v>45611</v>
      </c>
      <c r="B12" s="11" t="s">
        <v>14</v>
      </c>
      <c r="C12" s="11" t="s">
        <v>26</v>
      </c>
      <c r="E12" s="12" t="s">
        <v>91</v>
      </c>
      <c r="F12" s="12">
        <v>11</v>
      </c>
      <c r="H12" s="12" t="str">
        <v>V25</v>
      </c>
      <c r="I12" s="13">
        <f t="shared" si="0"/>
        <v>45931</v>
      </c>
      <c r="J12" s="14">
        <f t="shared" ca="1" si="3"/>
        <v>219</v>
      </c>
      <c r="K12" s="14">
        <f ca="1">I12-D_1</f>
        <v>322</v>
      </c>
      <c r="L12" s="15">
        <f t="shared" ca="1" si="1"/>
        <v>0.13073130227481955</v>
      </c>
      <c r="M12" s="15" cm="1">
        <f t="array" aca="1" ref="M12" ca="1">(((100000/_xlfn.XLOOKUP(H12,Vcto_DDI[VENCTO],Tbl_DDI[AJUSTE])-1)*360/K12*100))</f>
        <v>5.2260038074931616</v>
      </c>
      <c r="N12" s="15">
        <f ca="1">SPOT*(Q12/S12)</f>
        <v>6.134867208176626</v>
      </c>
      <c r="O12" s="15">
        <f t="shared" ca="1" si="2"/>
        <v>5.4591944802186108</v>
      </c>
      <c r="Q12" s="49">
        <f>(100000/_xlfn.XLOOKUP($H12,VCTODI1,AJUSTEDI1,,0))</f>
        <v>1.1126840754991751</v>
      </c>
      <c r="R12" s="49" cm="1">
        <f t="array" ref="R12">(100000/_xlfn.XLOOKUP(H12,Vcto_DDI[VENCTO],Tbl_DDI[AJUSTE]))</f>
        <v>1.0467437007225777</v>
      </c>
      <c r="S12" s="49">
        <f ca="1">R12*(SPOT/_xlfn.XLOOKUP(D_1,_2024[datacorrig],_2024[Sell]))</f>
        <v>1.0488294617397331</v>
      </c>
    </row>
    <row r="13" spans="1:19" x14ac:dyDescent="0.25">
      <c r="A13" s="10">
        <v>45616</v>
      </c>
      <c r="B13" s="11" t="s">
        <v>18</v>
      </c>
      <c r="C13" s="11" t="s">
        <v>27</v>
      </c>
      <c r="E13" s="12" t="s">
        <v>92</v>
      </c>
      <c r="F13" s="12">
        <v>12</v>
      </c>
      <c r="H13" s="12" t="str">
        <v>X25</v>
      </c>
      <c r="I13" s="13">
        <f t="shared" si="0"/>
        <v>45964</v>
      </c>
      <c r="J13" s="14">
        <f t="shared" ca="1" si="3"/>
        <v>242</v>
      </c>
      <c r="K13" s="14">
        <f ca="1">I13-D_1</f>
        <v>355</v>
      </c>
      <c r="L13" s="15">
        <f t="shared" ca="1" si="1"/>
        <v>0.13151514215254512</v>
      </c>
      <c r="M13" s="15" cm="1">
        <f t="array" aca="1" ref="M13" ca="1">(((100000/_xlfn.XLOOKUP(H13,Vcto_DDI[VENCTO],Tbl_DDI[AJUSTE])-1)*360/K13*100))</f>
        <v>5.290002617224129</v>
      </c>
      <c r="N13" s="15">
        <f ca="1">SPOT*(Q13/S13)</f>
        <v>6.176190231868727</v>
      </c>
      <c r="O13" s="15">
        <f t="shared" ca="1" si="2"/>
        <v>5.5026119449659854</v>
      </c>
      <c r="Q13" s="49">
        <f>(100000/_xlfn.XLOOKUP($H13,VCTODI1,AJUSTEDI1,,0))</f>
        <v>1.1259808137373262</v>
      </c>
      <c r="R13" s="49" cm="1">
        <f t="array" ref="R13">(100000/_xlfn.XLOOKUP(H13,Vcto_DDI[VENCTO],Tbl_DDI[AJUSTE]))</f>
        <v>1.0521653035865157</v>
      </c>
      <c r="S13" s="49">
        <f ca="1">R13*(SPOT/_xlfn.XLOOKUP(D_1,_2024[datacorrig],_2024[Sell]))</f>
        <v>1.0542618677906368</v>
      </c>
    </row>
    <row r="14" spans="1:19" x14ac:dyDescent="0.25">
      <c r="A14" s="10">
        <v>45651</v>
      </c>
      <c r="B14" s="11" t="s">
        <v>18</v>
      </c>
      <c r="C14" s="11" t="s">
        <v>28</v>
      </c>
      <c r="H14" s="12" t="str">
        <v>F26</v>
      </c>
      <c r="I14" s="13">
        <f t="shared" si="0"/>
        <v>46024</v>
      </c>
      <c r="J14" s="14">
        <f t="shared" ca="1" si="3"/>
        <v>283</v>
      </c>
      <c r="K14" s="14">
        <f ca="1">I14-D_1</f>
        <v>415</v>
      </c>
      <c r="L14" s="15">
        <f t="shared" ca="1" si="1"/>
        <v>0.13282734914107674</v>
      </c>
      <c r="M14" s="15" cm="1">
        <f t="array" aca="1" ref="M14" ca="1">(((100000/_xlfn.XLOOKUP(H14,Vcto_DDI[VENCTO],Tbl_DDI[AJUSTE])-1)*360/K14*100))</f>
        <v>5.4260027472774306</v>
      </c>
      <c r="N14" s="15">
        <f ca="1">SPOT*(Q14/S14)</f>
        <v>6.2481449827172728</v>
      </c>
      <c r="O14" s="15">
        <f t="shared" ca="1" si="2"/>
        <v>5.6096683673352015</v>
      </c>
      <c r="Q14" s="49">
        <f>(100000/_xlfn.XLOOKUP($H14,VCTODI1,AJUSTEDI1,,0))</f>
        <v>1.1503413292792237</v>
      </c>
      <c r="R14" s="49" cm="1">
        <f t="array" ref="R14">(100000/_xlfn.XLOOKUP(H14,Vcto_DDI[VENCTO],Tbl_DDI[AJUSTE]))</f>
        <v>1.0625497538922259</v>
      </c>
      <c r="S14" s="49">
        <f ca="1">R14*(SPOT/_xlfn.XLOOKUP(D_1,_2024[datacorrig],_2024[Sell]))</f>
        <v>1.0646670103456697</v>
      </c>
    </row>
    <row r="15" spans="1:19" x14ac:dyDescent="0.25">
      <c r="A15" s="10">
        <v>45658</v>
      </c>
      <c r="B15" s="11" t="s">
        <v>18</v>
      </c>
      <c r="C15" s="11" t="s">
        <v>11</v>
      </c>
      <c r="H15" s="12" t="str">
        <v>J26</v>
      </c>
      <c r="I15" s="13">
        <f t="shared" si="0"/>
        <v>46113</v>
      </c>
      <c r="J15" s="14">
        <f t="shared" ca="1" si="3"/>
        <v>344</v>
      </c>
      <c r="K15" s="14">
        <f ca="1">I15-D_1</f>
        <v>504</v>
      </c>
      <c r="L15" s="15">
        <f t="shared" ca="1" si="1"/>
        <v>0.1340233545184355</v>
      </c>
      <c r="M15" s="15" cm="1">
        <f t="array" aca="1" ref="M15" ca="1">(((100000/_xlfn.XLOOKUP(H15,Vcto_DDI[VENCTO],Tbl_DDI[AJUSTE])-1)*360/K15*100))</f>
        <v>5.5199979636330534</v>
      </c>
      <c r="N15" s="15">
        <f ca="1">SPOT*(Q15/S15)</f>
        <v>6.3607514815406283</v>
      </c>
      <c r="O15" s="15">
        <f t="shared" ca="1" si="2"/>
        <v>5.6733271178981735</v>
      </c>
      <c r="Q15" s="49">
        <f>(100000/_xlfn.XLOOKUP($H15,VCTODI1,AJUSTEDI1,,0))</f>
        <v>1.1873079158412403</v>
      </c>
      <c r="R15" s="49" cm="1">
        <f t="array" ref="R15">(100000/_xlfn.XLOOKUP(H15,Vcto_DDI[VENCTO],Tbl_DDI[AJUSTE]))</f>
        <v>1.0772799714908627</v>
      </c>
      <c r="S15" s="49">
        <f ca="1">R15*(SPOT/_xlfn.XLOOKUP(D_1,_2024[datacorrig],_2024[Sell]))</f>
        <v>1.0794265796505744</v>
      </c>
    </row>
    <row r="16" spans="1:19" x14ac:dyDescent="0.25">
      <c r="A16" s="10">
        <v>45719</v>
      </c>
      <c r="B16" s="11" t="s">
        <v>10</v>
      </c>
      <c r="C16" s="11" t="s">
        <v>12</v>
      </c>
      <c r="H16" s="12" t="str">
        <v>N26</v>
      </c>
      <c r="I16" s="13">
        <f t="shared" si="0"/>
        <v>46204</v>
      </c>
      <c r="J16" s="14">
        <f t="shared" ca="1" si="3"/>
        <v>405</v>
      </c>
      <c r="K16" s="14">
        <f ca="1">I16-D_1</f>
        <v>595</v>
      </c>
      <c r="L16" s="15">
        <f t="shared" ca="1" si="1"/>
        <v>0.13448251953910817</v>
      </c>
      <c r="M16" s="15" cm="1">
        <f t="array" aca="1" ref="M16" ca="1">(((100000/_xlfn.XLOOKUP(H16,Vcto_DDI[VENCTO],Tbl_DDI[AJUSTE])-1)*360/K16*100))</f>
        <v>5.6069964952139975</v>
      </c>
      <c r="N16" s="15">
        <f ca="1">SPOT*(Q16/S16)</f>
        <v>6.4692221294335113</v>
      </c>
      <c r="O16" s="15">
        <f t="shared" ca="1" si="2"/>
        <v>5.7387309015042076</v>
      </c>
      <c r="Q16" s="49">
        <f>(100000/_xlfn.XLOOKUP($H16,VCTODI1,AJUSTEDI1,,0))</f>
        <v>1.2248076960056693</v>
      </c>
      <c r="R16" s="49" cm="1">
        <f t="array" ref="R16">(100000/_xlfn.XLOOKUP(H16,Vcto_DDI[VENCTO],Tbl_DDI[AJUSTE]))</f>
        <v>1.0926711920736758</v>
      </c>
      <c r="S16" s="49">
        <f ca="1">R16*(SPOT/_xlfn.XLOOKUP(D_1,_2024[datacorrig],_2024[Sell]))</f>
        <v>1.0948484690665279</v>
      </c>
    </row>
    <row r="17" spans="1:19" x14ac:dyDescent="0.25">
      <c r="A17" s="10">
        <v>45720</v>
      </c>
      <c r="B17" s="11" t="s">
        <v>13</v>
      </c>
      <c r="C17" s="11" t="s">
        <v>12</v>
      </c>
      <c r="H17" s="12" t="str">
        <v>V26</v>
      </c>
      <c r="I17" s="13">
        <f t="shared" si="0"/>
        <v>46296</v>
      </c>
      <c r="J17" s="14">
        <f t="shared" ca="1" si="3"/>
        <v>470</v>
      </c>
      <c r="K17" s="14">
        <f ca="1">I17-D_1</f>
        <v>687</v>
      </c>
      <c r="L17" s="15">
        <f t="shared" ca="1" si="1"/>
        <v>0.13450389736458268</v>
      </c>
      <c r="M17" s="15" cm="1">
        <f t="array" aca="1" ref="M17" ca="1">(((100000/_xlfn.XLOOKUP(H17,Vcto_DDI[VENCTO],Tbl_DDI[AJUSTE])-1)*360/K17*100))</f>
        <v>5.6619990761719388</v>
      </c>
      <c r="N17" s="15">
        <f ca="1">SPOT*(Q17/S17)</f>
        <v>6.5907052469325214</v>
      </c>
      <c r="O17" s="15">
        <f t="shared" ca="1" si="2"/>
        <v>5.7776979787956497</v>
      </c>
      <c r="Q17" s="49">
        <f>(100000/_xlfn.XLOOKUP($H17,VCTODI1,AJUSTEDI1,,0))</f>
        <v>1.2653699745673288</v>
      </c>
      <c r="R17" s="49" cm="1">
        <f t="array" ref="R17">(100000/_xlfn.XLOOKUP(H17,Vcto_DDI[VENCTO],Tbl_DDI[AJUSTE]))</f>
        <v>1.1080498157036145</v>
      </c>
      <c r="S17" s="49">
        <f ca="1">R17*(SPOT/_xlfn.XLOOKUP(D_1,_2024[datacorrig],_2024[Sell]))</f>
        <v>1.1102577364286836</v>
      </c>
    </row>
    <row r="18" spans="1:19" x14ac:dyDescent="0.25">
      <c r="A18" s="10">
        <v>45765</v>
      </c>
      <c r="B18" s="11" t="s">
        <v>14</v>
      </c>
      <c r="C18" s="11" t="s">
        <v>15</v>
      </c>
      <c r="H18" s="12" t="str">
        <v>F27</v>
      </c>
      <c r="I18" s="13">
        <f t="shared" si="0"/>
        <v>46391</v>
      </c>
      <c r="J18" s="14">
        <f t="shared" ca="1" si="3"/>
        <v>532</v>
      </c>
      <c r="K18" s="14">
        <f ca="1">I18-D_1</f>
        <v>782</v>
      </c>
      <c r="L18" s="15">
        <f t="shared" ca="1" si="1"/>
        <v>0.13428814630745922</v>
      </c>
      <c r="M18" s="15" cm="1">
        <f t="array" aca="1" ref="M18" ca="1">(((100000/_xlfn.XLOOKUP(H18,Vcto_DDI[VENCTO],Tbl_DDI[AJUSTE])-1)*360/K18*100))</f>
        <v>5.7230024660938446</v>
      </c>
      <c r="N18" s="15">
        <f ca="1">SPOT*(Q18/S18)</f>
        <v>6.6974934145635636</v>
      </c>
      <c r="O18" s="15">
        <f t="shared" ca="1" si="2"/>
        <v>5.8261380322688687</v>
      </c>
      <c r="Q18" s="49">
        <f>(100000/_xlfn.XLOOKUP($H18,VCTODI1,AJUSTEDI1,,0))</f>
        <v>1.3047495754997256</v>
      </c>
      <c r="R18" s="49" cm="1">
        <f t="array" ref="R18">(100000/_xlfn.XLOOKUP(H18,Vcto_DDI[VENCTO],Tbl_DDI[AJUSTE]))</f>
        <v>1.1243163313468163</v>
      </c>
      <c r="S18" s="49">
        <f ca="1">R18*(SPOT/_xlfn.XLOOKUP(D_1,_2024[datacorrig],_2024[Sell]))</f>
        <v>1.1265566650342849</v>
      </c>
    </row>
    <row r="19" spans="1:19" x14ac:dyDescent="0.25">
      <c r="A19" s="10">
        <v>45768</v>
      </c>
      <c r="B19" s="11" t="s">
        <v>10</v>
      </c>
      <c r="C19" s="11" t="s">
        <v>17</v>
      </c>
      <c r="H19" s="12" t="str">
        <v>J27</v>
      </c>
      <c r="I19" s="13">
        <f t="shared" si="0"/>
        <v>46478</v>
      </c>
      <c r="J19" s="14">
        <f t="shared" ca="1" si="3"/>
        <v>592</v>
      </c>
      <c r="K19" s="14">
        <f ca="1">I19-D_1</f>
        <v>869</v>
      </c>
      <c r="L19" s="15">
        <f t="shared" ca="1" si="1"/>
        <v>0.13417074419845365</v>
      </c>
      <c r="M19" s="15" cm="1">
        <f t="array" aca="1" ref="M19" ca="1">(((100000/_xlfn.XLOOKUP(H19,Vcto_DDI[VENCTO],Tbl_DDI[AJUSTE])-1)*360/K19*100))</f>
        <v>5.7599996700690106</v>
      </c>
      <c r="N19" s="15">
        <f ca="1">SPOT*(Q19/S19)</f>
        <v>6.8106038127499211</v>
      </c>
      <c r="O19" s="15">
        <f t="shared" ca="1" si="2"/>
        <v>5.8540252210694526</v>
      </c>
      <c r="Q19" s="49">
        <f>(100000/_xlfn.XLOOKUP($H19,VCTODI1,AJUSTEDI1,,0))</f>
        <v>1.3441599141673244</v>
      </c>
      <c r="R19" s="49" cm="1">
        <f t="array" ref="R19">(100000/_xlfn.XLOOKUP(H19,Vcto_DDI[VENCTO],Tbl_DDI[AJUSTE]))</f>
        <v>1.1390399920358325</v>
      </c>
      <c r="S19" s="49">
        <f ca="1">R19*(SPOT/_xlfn.XLOOKUP(D_1,_2024[datacorrig],_2024[Sell]))</f>
        <v>1.1413096643641487</v>
      </c>
    </row>
    <row r="20" spans="1:19" x14ac:dyDescent="0.25">
      <c r="A20" s="10">
        <v>45778</v>
      </c>
      <c r="B20" s="11" t="s">
        <v>20</v>
      </c>
      <c r="C20" s="11" t="s">
        <v>19</v>
      </c>
      <c r="H20" s="12" t="str">
        <v>N27</v>
      </c>
      <c r="I20" s="13">
        <f t="shared" si="0"/>
        <v>46569</v>
      </c>
      <c r="J20" s="14">
        <f t="shared" ca="1" si="3"/>
        <v>655</v>
      </c>
      <c r="K20" s="14">
        <f ca="1">I20-D_1</f>
        <v>960</v>
      </c>
      <c r="L20" s="15">
        <f t="shared" ca="1" si="1"/>
        <v>0.13405748274074725</v>
      </c>
      <c r="M20" s="15" cm="1">
        <f t="array" aca="1" ref="M20" ca="1">(((100000/_xlfn.XLOOKUP(H20,Vcto_DDI[VENCTO],Tbl_DDI[AJUSTE])-1)*360/K20*100))</f>
        <v>5.7909978159403019</v>
      </c>
      <c r="N20" s="15">
        <f ca="1">SPOT*(Q20/S20)</f>
        <v>6.932903236912777</v>
      </c>
      <c r="O20" s="15">
        <f t="shared" ca="1" si="2"/>
        <v>5.8772602654548454</v>
      </c>
      <c r="Q20" s="49">
        <f>(100000/_xlfn.XLOOKUP($H20,VCTODI1,AJUSTEDI1,,0))</f>
        <v>1.3867807894804356</v>
      </c>
      <c r="R20" s="49" cm="1">
        <f t="array" ref="R20">(100000/_xlfn.XLOOKUP(H20,Vcto_DDI[VENCTO],Tbl_DDI[AJUSTE]))</f>
        <v>1.1544266084250747</v>
      </c>
      <c r="S20" s="49">
        <f ca="1">R20*(SPOT/_xlfn.XLOOKUP(D_1,_2024[datacorrig],_2024[Sell]))</f>
        <v>1.1567269404121292</v>
      </c>
    </row>
    <row r="21" spans="1:19" x14ac:dyDescent="0.25">
      <c r="A21" s="10">
        <v>45827</v>
      </c>
      <c r="B21" s="11" t="s">
        <v>20</v>
      </c>
      <c r="C21" s="11" t="s">
        <v>21</v>
      </c>
      <c r="H21" s="12" t="str">
        <v>V27</v>
      </c>
      <c r="I21" s="13">
        <f t="shared" si="0"/>
        <v>46661</v>
      </c>
      <c r="J21" s="14">
        <f t="shared" ca="1" si="3"/>
        <v>720</v>
      </c>
      <c r="K21" s="14">
        <f ca="1">I21-D_1</f>
        <v>1052</v>
      </c>
      <c r="L21" s="15">
        <f t="shared" ca="1" si="1"/>
        <v>0.13379742793284266</v>
      </c>
      <c r="M21" s="15" cm="1">
        <f t="array" aca="1" ref="M21" ca="1">(((100000/_xlfn.XLOOKUP(H21,Vcto_DDI[VENCTO],Tbl_DDI[AJUSTE])-1)*360/K21*100))</f>
        <v>5.8369992331982523</v>
      </c>
      <c r="N21" s="15">
        <f ca="1">SPOT*(Q21/S21)</f>
        <v>7.0581656850274932</v>
      </c>
      <c r="O21" s="15">
        <f t="shared" ca="1" si="2"/>
        <v>5.9168186175405593</v>
      </c>
      <c r="Q21" s="49">
        <f>(100000/_xlfn.XLOOKUP($H21,VCTODI1,AJUSTEDI1,,0))</f>
        <v>1.431579996189134</v>
      </c>
      <c r="R21" s="49" cm="1">
        <f t="array" ref="R21">(100000/_xlfn.XLOOKUP(H21,Vcto_DDI[VENCTO],Tbl_DDI[AJUSTE]))</f>
        <v>1.17057008870346</v>
      </c>
      <c r="S21" s="49">
        <f ca="1">R21*(SPOT/_xlfn.XLOOKUP(D_1,_2024[datacorrig],_2024[Sell]))</f>
        <v>1.1729025884903519</v>
      </c>
    </row>
    <row r="22" spans="1:19" x14ac:dyDescent="0.25">
      <c r="A22" s="10">
        <v>45907</v>
      </c>
      <c r="B22" s="11" t="s">
        <v>16</v>
      </c>
      <c r="C22" s="11" t="s">
        <v>23</v>
      </c>
      <c r="H22" s="12" t="str">
        <v>F28</v>
      </c>
      <c r="I22" s="13">
        <f t="shared" si="0"/>
        <v>46755</v>
      </c>
      <c r="J22" s="14">
        <f t="shared" ca="1" si="3"/>
        <v>783</v>
      </c>
      <c r="K22" s="14">
        <f ca="1">I22-D_1</f>
        <v>1146</v>
      </c>
      <c r="L22" s="15">
        <f t="shared" ca="1" si="1"/>
        <v>0.13338096570385094</v>
      </c>
      <c r="M22" s="15" cm="1">
        <f t="array" aca="1" ref="M22" ca="1">(((100000/_xlfn.XLOOKUP(H22,Vcto_DDI[VENCTO],Tbl_DDI[AJUSTE])-1)*360/K22*100))</f>
        <v>5.8689988653459757</v>
      </c>
      <c r="N22" s="15">
        <f ca="1">SPOT*(Q22/S22)</f>
        <v>7.175281495770264</v>
      </c>
      <c r="O22" s="15">
        <f t="shared" ca="1" si="2"/>
        <v>5.9432888921084208</v>
      </c>
      <c r="Q22" s="49">
        <f>(100000/_xlfn.XLOOKUP($H22,VCTODI1,AJUSTEDI1,,0))</f>
        <v>1.4755493359511547</v>
      </c>
      <c r="R22" s="49" cm="1">
        <f t="array" ref="R22">(100000/_xlfn.XLOOKUP(H22,Vcto_DDI[VENCTO],Tbl_DDI[AJUSTE]))</f>
        <v>1.1868297972135136</v>
      </c>
      <c r="S22" s="49">
        <f ca="1">R22*(SPOT/_xlfn.XLOOKUP(D_1,_2024[datacorrig],_2024[Sell]))</f>
        <v>1.1891946963987847</v>
      </c>
    </row>
    <row r="23" spans="1:19" x14ac:dyDescent="0.25">
      <c r="A23" s="10">
        <v>45942</v>
      </c>
      <c r="B23" s="11" t="s">
        <v>16</v>
      </c>
      <c r="C23" s="11" t="s">
        <v>24</v>
      </c>
      <c r="H23" s="12" t="str">
        <v>J28</v>
      </c>
      <c r="I23" s="13">
        <f t="shared" si="0"/>
        <v>46846</v>
      </c>
      <c r="J23" s="14">
        <f t="shared" ca="1" si="3"/>
        <v>846</v>
      </c>
      <c r="K23" s="14">
        <f ca="1">I23-D_1</f>
        <v>1237</v>
      </c>
      <c r="L23" s="15">
        <f t="shared" ca="1" si="1"/>
        <v>0.13311719192634719</v>
      </c>
      <c r="M23" s="15" cm="1">
        <f t="array" aca="1" ref="M23" ca="1">(((100000/_xlfn.XLOOKUP(H23,Vcto_DDI[VENCTO],Tbl_DDI[AJUSTE])-1)*360/K23*100))</f>
        <v>5.8879983523968393</v>
      </c>
      <c r="N23" s="15">
        <f ca="1">SPOT*(Q23/S23)</f>
        <v>7.3023491662488214</v>
      </c>
      <c r="O23" s="15">
        <f t="shared" ca="1" si="2"/>
        <v>5.9577214061481243</v>
      </c>
      <c r="Q23" s="49">
        <f>(100000/_xlfn.XLOOKUP($H23,VCTODI1,AJUSTEDI1,,0))</f>
        <v>1.5212771913085172</v>
      </c>
      <c r="R23" s="49" cm="1">
        <f t="array" ref="R23">(100000/_xlfn.XLOOKUP(H23,Vcto_DDI[VENCTO],Tbl_DDI[AJUSTE]))</f>
        <v>1.2023181656087469</v>
      </c>
      <c r="S23" s="49">
        <f ca="1">R23*(SPOT/_xlfn.XLOOKUP(D_1,_2024[datacorrig],_2024[Sell]))</f>
        <v>1.2047139272057008</v>
      </c>
    </row>
    <row r="24" spans="1:19" x14ac:dyDescent="0.25">
      <c r="A24" s="10">
        <v>45963</v>
      </c>
      <c r="B24" s="11" t="s">
        <v>16</v>
      </c>
      <c r="C24" s="11" t="s">
        <v>25</v>
      </c>
      <c r="H24" s="12" t="str">
        <v>N28</v>
      </c>
      <c r="I24" s="13">
        <f t="shared" si="0"/>
        <v>46937</v>
      </c>
      <c r="J24" s="14">
        <f t="shared" ca="1" si="3"/>
        <v>907</v>
      </c>
      <c r="K24" s="14">
        <f ca="1">I24-D_1</f>
        <v>1328</v>
      </c>
      <c r="L24" s="15">
        <f t="shared" ca="1" si="1"/>
        <v>0.13296575609223948</v>
      </c>
      <c r="M24" s="15" cm="1">
        <f t="array" aca="1" ref="M24" ca="1">(((100000/_xlfn.XLOOKUP(H24,Vcto_DDI[VENCTO],Tbl_DDI[AJUSTE])-1)*360/K24*100))</f>
        <v>5.894000423396295</v>
      </c>
      <c r="N24" s="15">
        <f ca="1">SPOT*(Q24/S24)</f>
        <v>7.4296694805485863</v>
      </c>
      <c r="O24" s="15">
        <f t="shared" ca="1" si="2"/>
        <v>5.9597616891112715</v>
      </c>
      <c r="Q24" s="49">
        <f>(100000/_xlfn.XLOOKUP($H24,VCTODI1,AJUSTEDI1,,0))</f>
        <v>1.5672467987416887</v>
      </c>
      <c r="R24" s="49" cm="1">
        <f t="array" ref="R24">(100000/_xlfn.XLOOKUP(H24,Vcto_DDI[VENCTO],Tbl_DDI[AJUSTE]))</f>
        <v>1.21742312672973</v>
      </c>
      <c r="S24" s="49">
        <f ca="1">R24*(SPOT/_xlfn.XLOOKUP(D_1,_2024[datacorrig],_2024[Sell]))</f>
        <v>1.2198489867538824</v>
      </c>
    </row>
    <row r="25" spans="1:19" x14ac:dyDescent="0.25">
      <c r="A25" s="10">
        <v>45976</v>
      </c>
      <c r="B25" s="11" t="s">
        <v>22</v>
      </c>
      <c r="C25" s="11" t="s">
        <v>26</v>
      </c>
      <c r="H25" s="12" t="str">
        <v>V28</v>
      </c>
      <c r="I25" s="13">
        <f t="shared" si="0"/>
        <v>47028</v>
      </c>
      <c r="J25" s="14">
        <f t="shared" ca="1" si="3"/>
        <v>971</v>
      </c>
      <c r="K25" s="14">
        <f ca="1">I25-D_1</f>
        <v>1419</v>
      </c>
      <c r="L25" s="15">
        <f t="shared" ca="1" si="1"/>
        <v>0.13275524206433431</v>
      </c>
      <c r="M25" s="15" cm="1">
        <f t="array" aca="1" ref="M25" ca="1">(((100000/_xlfn.XLOOKUP(H25,Vcto_DDI[VENCTO],Tbl_DDI[AJUSTE])-1)*360/K25*100))</f>
        <v>5.9570005692414973</v>
      </c>
      <c r="N25" s="15">
        <f ca="1">SPOT*(Q25/S25)</f>
        <v>7.5556356068031283</v>
      </c>
      <c r="O25" s="15">
        <f t="shared" ca="1" si="2"/>
        <v>6.0194232926170486</v>
      </c>
      <c r="Q25" s="49">
        <f>(100000/_xlfn.XLOOKUP($H25,VCTODI1,AJUSTEDI1,,0))</f>
        <v>1.6165746754847581</v>
      </c>
      <c r="R25" s="49" cm="1">
        <f t="array" ref="R25">(100000/_xlfn.XLOOKUP(H25,Vcto_DDI[VENCTO],Tbl_DDI[AJUSTE]))</f>
        <v>1.2348051057709357</v>
      </c>
      <c r="S25" s="49">
        <f ca="1">R25*(SPOT/_xlfn.XLOOKUP(D_1,_2024[datacorrig],_2024[Sell]))</f>
        <v>1.2372656014506553</v>
      </c>
    </row>
    <row r="26" spans="1:19" x14ac:dyDescent="0.25">
      <c r="A26" s="10">
        <v>45981</v>
      </c>
      <c r="B26" s="11" t="s">
        <v>20</v>
      </c>
      <c r="C26" s="11" t="s">
        <v>27</v>
      </c>
      <c r="H26" s="12" t="str">
        <v>F29</v>
      </c>
      <c r="I26" s="13">
        <f t="shared" si="0"/>
        <v>47120</v>
      </c>
      <c r="J26" s="14">
        <f t="shared" ca="1" si="3"/>
        <v>1031</v>
      </c>
      <c r="K26" s="14">
        <f ca="1">I26-D_1</f>
        <v>1511</v>
      </c>
      <c r="L26" s="15">
        <f t="shared" ca="1" si="1"/>
        <v>0.13234638254328579</v>
      </c>
      <c r="M26" s="15" cm="1">
        <f t="array" aca="1" ref="M26" ca="1">(((100000/_xlfn.XLOOKUP(H26,Vcto_DDI[VENCTO],Tbl_DDI[AJUSTE])-1)*360/K26*100))</f>
        <v>5.9890004972733184</v>
      </c>
      <c r="N26" s="15">
        <f ca="1">SPOT*(Q26/S26)</f>
        <v>7.66886698135436</v>
      </c>
      <c r="O26" s="15">
        <f t="shared" ca="1" si="2"/>
        <v>6.0484089910843259</v>
      </c>
      <c r="Q26" s="49">
        <f>(100000/_xlfn.XLOOKUP($H26,VCTODI1,AJUSTEDI1,,0))</f>
        <v>1.6628147562837354</v>
      </c>
      <c r="R26" s="49" cm="1">
        <f t="array" ref="R26">(100000/_xlfn.XLOOKUP(H26,Vcto_DDI[VENCTO],Tbl_DDI[AJUSTE]))</f>
        <v>1.2513716597605551</v>
      </c>
      <c r="S26" s="49">
        <f ca="1">R26*(SPOT/_xlfn.XLOOKUP(D_1,_2024[datacorrig],_2024[Sell]))</f>
        <v>1.2538651662646783</v>
      </c>
    </row>
    <row r="27" spans="1:19" x14ac:dyDescent="0.25">
      <c r="A27" s="10">
        <v>46016</v>
      </c>
      <c r="B27" s="11" t="s">
        <v>20</v>
      </c>
      <c r="C27" s="11" t="s">
        <v>28</v>
      </c>
      <c r="H27" s="12" t="str">
        <v>J29</v>
      </c>
      <c r="I27" s="13">
        <f t="shared" si="0"/>
        <v>47210</v>
      </c>
      <c r="J27" s="14">
        <f t="shared" ca="1" si="3"/>
        <v>1092</v>
      </c>
      <c r="K27" s="14">
        <f ca="1">I27-D_1</f>
        <v>1601</v>
      </c>
      <c r="L27" s="15">
        <f t="shared" ca="1" si="1"/>
        <v>0.13204843101078523</v>
      </c>
      <c r="M27" s="15" cm="1">
        <f t="array" aca="1" ref="M27" ca="1">(((100000/_xlfn.XLOOKUP(H27,Vcto_DDI[VENCTO],Tbl_DDI[AJUSTE])-1)*360/K27*100))</f>
        <v>6.0290008085231062</v>
      </c>
      <c r="N27" s="15">
        <f ca="1">SPOT*(Q27/S27)</f>
        <v>7.7898174389775292</v>
      </c>
      <c r="O27" s="15">
        <f t="shared" ca="1" si="2"/>
        <v>6.0858202238297281</v>
      </c>
      <c r="Q27" s="49">
        <f>(100000/_xlfn.XLOOKUP($H27,VCTODI1,AJUSTEDI1,,0))</f>
        <v>1.7116502619252814</v>
      </c>
      <c r="R27" s="49" cm="1">
        <f t="array" ref="R27">(100000/_xlfn.XLOOKUP(H27,Vcto_DDI[VENCTO],Tbl_DDI[AJUSTE]))</f>
        <v>1.268123063734597</v>
      </c>
      <c r="S27" s="49">
        <f ca="1">R27*(SPOT/_xlfn.XLOOKUP(D_1,_2024[datacorrig],_2024[Sell]))</f>
        <v>1.2706499493986498</v>
      </c>
    </row>
    <row r="28" spans="1:19" x14ac:dyDescent="0.25">
      <c r="A28" s="10">
        <v>46023</v>
      </c>
      <c r="B28" s="11" t="s">
        <v>20</v>
      </c>
      <c r="C28" s="11" t="s">
        <v>11</v>
      </c>
      <c r="H28" s="12" t="str">
        <v>N29</v>
      </c>
      <c r="I28" s="13">
        <f t="shared" si="0"/>
        <v>47301</v>
      </c>
      <c r="J28" s="14">
        <f t="shared" ca="1" si="3"/>
        <v>1155</v>
      </c>
      <c r="K28" s="14">
        <f ca="1">I28-D_1</f>
        <v>1692</v>
      </c>
      <c r="L28" s="15">
        <f t="shared" ca="1" si="1"/>
        <v>0.13182122860794276</v>
      </c>
      <c r="M28" s="15" cm="1">
        <f t="array" aca="1" ref="M28" ca="1">(((100000/_xlfn.XLOOKUP(H28,Vcto_DDI[VENCTO],Tbl_DDI[AJUSTE])-1)*360/K28*100))</f>
        <v>6.0680012328475597</v>
      </c>
      <c r="N28" s="15">
        <f ca="1">SPOT*(Q28/S28)</f>
        <v>7.9211093874324119</v>
      </c>
      <c r="O28" s="15">
        <f t="shared" ca="1" si="2"/>
        <v>6.1224885866918504</v>
      </c>
      <c r="Q28" s="49">
        <f>(100000/_xlfn.XLOOKUP($H28,VCTODI1,AJUSTEDI1,,0))</f>
        <v>1.7639316201323865</v>
      </c>
      <c r="R28" s="49" cm="1">
        <f t="array" ref="R28">(100000/_xlfn.XLOOKUP(H28,Vcto_DDI[VENCTO],Tbl_DDI[AJUSTE]))</f>
        <v>1.2851960579438353</v>
      </c>
      <c r="S28" s="49">
        <f ca="1">R28*(SPOT/_xlfn.XLOOKUP(D_1,_2024[datacorrig],_2024[Sell]))</f>
        <v>1.287756963574517</v>
      </c>
    </row>
    <row r="29" spans="1:19" x14ac:dyDescent="0.25">
      <c r="A29" s="10">
        <v>46069</v>
      </c>
      <c r="B29" s="11" t="s">
        <v>10</v>
      </c>
      <c r="C29" s="11" t="s">
        <v>12</v>
      </c>
      <c r="H29" s="12" t="str">
        <v>V29</v>
      </c>
      <c r="I29" s="13">
        <f t="shared" si="0"/>
        <v>47392</v>
      </c>
      <c r="J29" s="14">
        <f t="shared" ca="1" si="3"/>
        <v>1219</v>
      </c>
      <c r="K29" s="14">
        <f ca="1">I29-D_1</f>
        <v>1783</v>
      </c>
      <c r="L29" s="15">
        <f t="shared" ca="1" si="1"/>
        <v>0.13158467404304797</v>
      </c>
      <c r="M29" s="15" cm="1">
        <f t="array" aca="1" ref="M29" ca="1">(((100000/_xlfn.XLOOKUP(H29,Vcto_DDI[VENCTO],Tbl_DDI[AJUSTE])-1)*360/K29*100))</f>
        <v>6.1069992621100004</v>
      </c>
      <c r="N29" s="15">
        <f ca="1">SPOT*(Q29/S29)</f>
        <v>8.0576371428389582</v>
      </c>
      <c r="O29" s="15">
        <f t="shared" ca="1" si="2"/>
        <v>6.1594005278166559</v>
      </c>
      <c r="Q29" s="49">
        <f>(100000/_xlfn.XLOOKUP($H29,VCTODI1,AJUSTEDI1,,0))</f>
        <v>1.8184463194646494</v>
      </c>
      <c r="R29" s="49" cm="1">
        <f t="array" ref="R29">(100000/_xlfn.XLOOKUP(H29,Vcto_DDI[VENCTO],Tbl_DDI[AJUSTE]))</f>
        <v>1.302466102342837</v>
      </c>
      <c r="S29" s="49">
        <f ca="1">R29*(SPOT/_xlfn.XLOOKUP(D_1,_2024[datacorrig],_2024[Sell]))</f>
        <v>1.3050614205860305</v>
      </c>
    </row>
    <row r="30" spans="1:19" x14ac:dyDescent="0.25">
      <c r="A30" s="10">
        <v>46070</v>
      </c>
      <c r="B30" s="11" t="s">
        <v>13</v>
      </c>
      <c r="C30" s="11" t="s">
        <v>12</v>
      </c>
      <c r="H30" s="12" t="str">
        <v>F30</v>
      </c>
      <c r="I30" s="13">
        <f t="shared" si="0"/>
        <v>47485</v>
      </c>
      <c r="J30" s="14">
        <f t="shared" ca="1" si="3"/>
        <v>1280</v>
      </c>
      <c r="K30" s="14">
        <f ca="1">I30-D_1</f>
        <v>1876</v>
      </c>
      <c r="L30" s="15">
        <f t="shared" ca="1" si="1"/>
        <v>0.13150911723434922</v>
      </c>
      <c r="M30" s="15" cm="1">
        <f t="array" aca="1" ref="M30" ca="1">(((100000/_xlfn.XLOOKUP(H30,Vcto_DDI[VENCTO],Tbl_DDI[AJUSTE])-1)*360/K30*100))</f>
        <v>6.163999804621632</v>
      </c>
      <c r="N30" s="15">
        <f ca="1">SPOT*(Q30/S30)</f>
        <v>8.1818161434807077</v>
      </c>
      <c r="O30" s="15">
        <f t="shared" ca="1" si="2"/>
        <v>6.2145201900677174</v>
      </c>
      <c r="Q30" s="49">
        <f>(100000/_xlfn.XLOOKUP($H30,VCTODI1,AJUSTEDI1,,0))</f>
        <v>1.8730478159138639</v>
      </c>
      <c r="R30" s="49" cm="1">
        <f t="array" ref="R30">(100000/_xlfn.XLOOKUP(H30,Vcto_DDI[VENCTO],Tbl_DDI[AJUSTE]))</f>
        <v>1.321212878707505</v>
      </c>
      <c r="S30" s="49">
        <f ca="1">R30*(SPOT/_xlfn.XLOOKUP(D_1,_2024[datacorrig],_2024[Sell]))</f>
        <v>1.3238455521268622</v>
      </c>
    </row>
    <row r="31" spans="1:19" x14ac:dyDescent="0.25">
      <c r="A31" s="10">
        <v>46115</v>
      </c>
      <c r="B31" s="11" t="s">
        <v>14</v>
      </c>
      <c r="C31" s="11" t="s">
        <v>15</v>
      </c>
      <c r="H31" s="12" t="str">
        <v>F31</v>
      </c>
      <c r="I31" s="13">
        <f t="shared" si="0"/>
        <v>47850</v>
      </c>
      <c r="J31" s="14">
        <f t="shared" ca="1" si="3"/>
        <v>1532</v>
      </c>
      <c r="K31" s="14">
        <f ca="1">I31-D_1</f>
        <v>2241</v>
      </c>
      <c r="L31" s="15">
        <f t="shared" ca="1" si="1"/>
        <v>0.13052045290846692</v>
      </c>
      <c r="M31" s="15" cm="1">
        <f t="array" aca="1" ref="M31" ca="1">(((100000/_xlfn.XLOOKUP(H31,Vcto_DDI[VENCTO],Tbl_DDI[AJUSTE])-1)*360/K31*100))</f>
        <v>6.3670002110500921</v>
      </c>
      <c r="N31" s="15">
        <f ca="1">SPOT*(Q31/S31)</f>
        <v>8.7132398251257541</v>
      </c>
      <c r="O31" s="15">
        <f t="shared" ca="1" si="2"/>
        <v>6.4116971525104827</v>
      </c>
      <c r="Q31" s="49">
        <f>(100000/_xlfn.XLOOKUP($H31,VCTODI1,AJUSTEDI1,,0))</f>
        <v>2.1081377701763011</v>
      </c>
      <c r="R31" s="49" cm="1">
        <f t="array" ref="R31">(100000/_xlfn.XLOOKUP(H31,Vcto_DDI[VENCTO],Tbl_DDI[AJUSTE]))</f>
        <v>1.3963457631378682</v>
      </c>
      <c r="S31" s="49">
        <f ca="1">R31*(SPOT/_xlfn.XLOOKUP(D_1,_2024[datacorrig],_2024[Sell]))</f>
        <v>1.3991281477437776</v>
      </c>
    </row>
    <row r="32" spans="1:19" x14ac:dyDescent="0.25">
      <c r="A32" s="10">
        <v>46133</v>
      </c>
      <c r="B32" s="11" t="s">
        <v>13</v>
      </c>
      <c r="C32" s="11" t="s">
        <v>17</v>
      </c>
      <c r="H32" s="12" t="str">
        <v>F32</v>
      </c>
      <c r="I32" s="13">
        <f t="shared" si="0"/>
        <v>48215</v>
      </c>
      <c r="J32" s="14">
        <f t="shared" ca="1" si="3"/>
        <v>1784</v>
      </c>
      <c r="K32" s="14">
        <f ca="1">I32-D_1</f>
        <v>2606</v>
      </c>
      <c r="L32" s="15">
        <f t="shared" ca="1" si="1"/>
        <v>0.12976721295730309</v>
      </c>
      <c r="M32" s="15" cm="1">
        <f t="array" aca="1" ref="M32" ca="1">(((100000/_xlfn.XLOOKUP(H32,Vcto_DDI[VENCTO],Tbl_DDI[AJUSTE])-1)*360/K32*100))</f>
        <v>6.6029996146164587</v>
      </c>
      <c r="N32" s="15">
        <f ca="1">SPOT*(Q32/S32)</f>
        <v>9.2625852158587403</v>
      </c>
      <c r="O32" s="15">
        <f t="shared" ca="1" si="2"/>
        <v>6.6436834562465421</v>
      </c>
      <c r="Q32" s="49">
        <f>(100000/_xlfn.XLOOKUP($H32,VCTODI1,AJUSTEDI1,,0))</f>
        <v>2.3720740466634407</v>
      </c>
      <c r="R32" s="49" cm="1">
        <f t="array" ref="R32">(100000/_xlfn.XLOOKUP(H32,Vcto_DDI[VENCTO],Tbl_DDI[AJUSTE]))</f>
        <v>1.477983805435847</v>
      </c>
      <c r="S32" s="49">
        <f ca="1">R32*(SPOT/_xlfn.XLOOKUP(D_1,_2024[datacorrig],_2024[Sell]))</f>
        <v>1.4809288635271802</v>
      </c>
    </row>
    <row r="33" spans="1:19" x14ac:dyDescent="0.25">
      <c r="A33" s="10">
        <v>46143</v>
      </c>
      <c r="B33" s="11" t="s">
        <v>14</v>
      </c>
      <c r="C33" s="11" t="s">
        <v>19</v>
      </c>
      <c r="H33" s="12" t="str">
        <v>F33</v>
      </c>
      <c r="I33" s="13">
        <f t="shared" si="0"/>
        <v>48582</v>
      </c>
      <c r="J33" s="14">
        <f t="shared" ca="1" si="3"/>
        <v>2036</v>
      </c>
      <c r="K33" s="14">
        <f ca="1">I33-D_1</f>
        <v>2973</v>
      </c>
      <c r="L33" s="15">
        <f t="shared" ca="1" si="1"/>
        <v>0.12922738908605735</v>
      </c>
      <c r="M33" s="15" cm="1">
        <f t="array" aca="1" ref="M33" ca="1">(((100000/_xlfn.XLOOKUP(H33,Vcto_DDI[VENCTO],Tbl_DDI[AJUSTE])-1)*360/K33*100))</f>
        <v>6.8349994507682315</v>
      </c>
      <c r="N33" s="15">
        <f ca="1">SPOT*(Q33/S33)</f>
        <v>9.8480497831380251</v>
      </c>
      <c r="O33" s="15">
        <f t="shared" ca="1" si="2"/>
        <v>6.8727475791274335</v>
      </c>
      <c r="Q33" s="49">
        <f>(100000/_xlfn.XLOOKUP($H33,VCTODI1,AJUSTEDI1,,0))</f>
        <v>2.6695633208406671</v>
      </c>
      <c r="R33" s="49" cm="1">
        <f t="array" ref="R33">(100000/_xlfn.XLOOKUP(H33,Vcto_DDI[VENCTO],Tbl_DDI[AJUSTE]))</f>
        <v>1.564457037975943</v>
      </c>
      <c r="S33" s="49">
        <f ca="1">R33*(SPOT/_xlfn.XLOOKUP(D_1,_2024[datacorrig],_2024[Sell]))</f>
        <v>1.5675744042429405</v>
      </c>
    </row>
    <row r="34" spans="1:19" x14ac:dyDescent="0.25">
      <c r="A34" s="10">
        <v>46177</v>
      </c>
      <c r="B34" s="11" t="s">
        <v>20</v>
      </c>
      <c r="C34" s="11" t="s">
        <v>21</v>
      </c>
      <c r="H34" s="12" t="str">
        <v>F34</v>
      </c>
      <c r="I34" s="13">
        <f t="shared" si="0"/>
        <v>48946</v>
      </c>
      <c r="J34" s="14">
        <f t="shared" ca="1" si="3"/>
        <v>2287</v>
      </c>
      <c r="K34" s="14">
        <f ca="1">I34-D_1</f>
        <v>3337</v>
      </c>
      <c r="L34" s="15">
        <f t="shared" ca="1" si="1"/>
        <v>0.12834955253435187</v>
      </c>
      <c r="M34" s="15" cm="1">
        <f t="array" aca="1" ref="M34" ca="1">(((100000/_xlfn.XLOOKUP(H34,Vcto_DDI[VENCTO],Tbl_DDI[AJUSTE])-1)*360/K34*100))</f>
        <v>7.0930004013862975</v>
      </c>
      <c r="N34" s="15">
        <f ca="1">SPOT*(Q34/S34)</f>
        <v>10.417702099445959</v>
      </c>
      <c r="O34" s="15">
        <f t="shared" ca="1" si="2"/>
        <v>7.1286306813462375</v>
      </c>
      <c r="Q34" s="49">
        <f>(100000/_xlfn.XLOOKUP($H34,VCTODI1,AJUSTEDI1,,0))</f>
        <v>2.9918997306691861</v>
      </c>
      <c r="R34" s="49" cm="1">
        <f t="array" ref="R34">(100000/_xlfn.XLOOKUP(H34,Vcto_DDI[VENCTO],Tbl_DDI[AJUSTE]))</f>
        <v>1.6574817316507242</v>
      </c>
      <c r="S34" s="49">
        <f ca="1">R34*(SPOT/_xlfn.XLOOKUP(D_1,_2024[datacorrig],_2024[Sell]))</f>
        <v>1.660784460657011</v>
      </c>
    </row>
    <row r="35" spans="1:19" x14ac:dyDescent="0.25">
      <c r="A35" s="10">
        <v>46272</v>
      </c>
      <c r="B35" s="11" t="s">
        <v>10</v>
      </c>
      <c r="C35" s="11" t="s">
        <v>23</v>
      </c>
      <c r="H35" s="12" t="str">
        <v>F35</v>
      </c>
      <c r="I35" s="13">
        <f t="shared" si="0"/>
        <v>49311</v>
      </c>
      <c r="J35" s="14">
        <f t="shared" ca="1" si="3"/>
        <v>2535</v>
      </c>
      <c r="K35" s="14">
        <f ca="1">I35-D_1</f>
        <v>3702</v>
      </c>
      <c r="L35" s="15">
        <f t="shared" ca="1" si="1"/>
        <v>0.12807359827502873</v>
      </c>
      <c r="M35" s="15" cm="1">
        <f t="array" aca="1" ref="M35" ca="1">(((100000/_xlfn.XLOOKUP(H35,Vcto_DDI[VENCTO],Tbl_DDI[AJUSTE])-1)*360/K35*100))</f>
        <v>7.3300011715656481</v>
      </c>
      <c r="N35" s="15">
        <f ca="1">SPOT*(Q35/S35)</f>
        <v>11.060915379038439</v>
      </c>
      <c r="O35" s="15">
        <f t="shared" ca="1" si="2"/>
        <v>7.3639842353357743</v>
      </c>
      <c r="Q35" s="49">
        <f>(100000/_xlfn.XLOOKUP($H35,VCTODI1,AJUSTEDI1,,0))</f>
        <v>3.3611637693434977</v>
      </c>
      <c r="R35" s="49" cm="1">
        <f t="array" ref="R35">(100000/_xlfn.XLOOKUP(H35,Vcto_DDI[VENCTO],Tbl_DDI[AJUSTE]))</f>
        <v>1.7537684538093341</v>
      </c>
      <c r="S35" s="49">
        <f ca="1">R35*(SPOT/_xlfn.XLOOKUP(D_1,_2024[datacorrig],_2024[Sell]))</f>
        <v>1.7572630455336955</v>
      </c>
    </row>
    <row r="36" spans="1:19" x14ac:dyDescent="0.25">
      <c r="A36" s="10">
        <v>46307</v>
      </c>
      <c r="B36" s="11" t="s">
        <v>10</v>
      </c>
      <c r="C36" s="11" t="s">
        <v>24</v>
      </c>
      <c r="H36" s="12" t="str">
        <v>F36</v>
      </c>
      <c r="I36" s="13">
        <f t="shared" si="0"/>
        <v>49676</v>
      </c>
      <c r="J36" s="14">
        <f t="shared" ca="1" si="3"/>
        <v>2784</v>
      </c>
      <c r="K36" s="14">
        <f ca="1">I36-D_1</f>
        <v>4067</v>
      </c>
      <c r="L36" s="15">
        <f t="shared" ca="1" si="1"/>
        <v>0.127868748121164</v>
      </c>
      <c r="M36" s="15" cm="1">
        <f t="array" aca="1" ref="M36" ca="1">(((100000/_xlfn.XLOOKUP(H36,Vcto_DDI[VENCTO],Tbl_DDI[AJUSTE])-1)*360/K36*100))</f>
        <v>7.594999153010173</v>
      </c>
      <c r="N36" s="15">
        <f ca="1">SPOT*(Q36/S36)</f>
        <v>11.736944286809004</v>
      </c>
      <c r="O36" s="15">
        <f t="shared" ca="1" si="2"/>
        <v>7.6277712191133062</v>
      </c>
      <c r="Q36" s="49">
        <f>(100000/_xlfn.XLOOKUP($H36,VCTODI1,AJUSTEDI1,,0))</f>
        <v>3.7786154548394992</v>
      </c>
      <c r="R36" s="49" cm="1">
        <f t="array" ref="R36">(100000/_xlfn.XLOOKUP(H36,Vcto_DDI[VENCTO],Tbl_DDI[AJUSTE]))</f>
        <v>1.8580239320914549</v>
      </c>
      <c r="S36" s="49">
        <f ca="1">R36*(SPOT/_xlfn.XLOOKUP(D_1,_2024[datacorrig],_2024[Sell]))</f>
        <v>1.8617262652259394</v>
      </c>
    </row>
    <row r="37" spans="1:19" x14ac:dyDescent="0.25">
      <c r="A37" s="10">
        <v>46328</v>
      </c>
      <c r="B37" s="11" t="s">
        <v>10</v>
      </c>
      <c r="C37" s="11" t="s">
        <v>25</v>
      </c>
      <c r="H37" s="12" t="str">
        <v>F37</v>
      </c>
      <c r="I37" s="13">
        <f t="shared" si="0"/>
        <v>50042</v>
      </c>
      <c r="J37" s="14">
        <f t="shared" ca="1" si="3"/>
        <v>3037</v>
      </c>
      <c r="K37" s="14">
        <f ca="1">I37-D_1</f>
        <v>4433</v>
      </c>
      <c r="L37" s="15">
        <f t="shared" ca="1" si="1"/>
        <v>0.12786467778101507</v>
      </c>
      <c r="M37" s="15" cm="1">
        <f t="array" aca="1" ref="M37" ca="1">(((100000/_xlfn.XLOOKUP(H37,Vcto_DDI[VENCTO],Tbl_DDI[AJUSTE])-1)*360/K37*100))</f>
        <v>7.8200011184772977</v>
      </c>
      <c r="N37" s="15">
        <f ca="1">SPOT*(Q37/S37)</f>
        <v>12.535596046376384</v>
      </c>
      <c r="O37" s="15">
        <f t="shared" ca="1" si="2"/>
        <v>7.851765277912734</v>
      </c>
      <c r="Q37" s="49">
        <f>(100000/_xlfn.XLOOKUP($H37,VCTODI1,AJUSTEDI1,,0))</f>
        <v>4.2636323248137433</v>
      </c>
      <c r="R37" s="49" cm="1">
        <f t="array" ref="R37">(100000/_xlfn.XLOOKUP(H37,Vcto_DDI[VENCTO],Tbl_DDI[AJUSTE]))</f>
        <v>1.9629462488391627</v>
      </c>
      <c r="S37" s="49">
        <f ca="1">R37*(SPOT/_xlfn.XLOOKUP(D_1,_2024[datacorrig],_2024[Sell]))</f>
        <v>1.9668576521385319</v>
      </c>
    </row>
    <row r="38" spans="1:19" x14ac:dyDescent="0.25">
      <c r="A38" s="10">
        <v>46341</v>
      </c>
      <c r="B38" s="11" t="s">
        <v>16</v>
      </c>
      <c r="C38" s="11" t="s">
        <v>26</v>
      </c>
      <c r="H38" s="12" t="str">
        <v>F38</v>
      </c>
      <c r="I38" s="13">
        <f t="shared" si="0"/>
        <v>50409</v>
      </c>
      <c r="J38" s="14">
        <f t="shared" ca="1" si="3"/>
        <v>3286</v>
      </c>
      <c r="K38" s="14">
        <f ca="1">I38-D_1</f>
        <v>4800</v>
      </c>
      <c r="L38" s="15">
        <f t="shared" ca="1" si="1"/>
        <v>0.12786130124969119</v>
      </c>
      <c r="M38" s="15" cm="1">
        <f t="array" aca="1" ref="M38" ca="1">(((100000/_xlfn.XLOOKUP(H38,Vcto_DDI[VENCTO],Tbl_DDI[AJUSTE])-1)*360/K38*100))</f>
        <v>8.1219992743060594</v>
      </c>
      <c r="N38" s="15">
        <f ca="1">SPOT*(Q38/S38)</f>
        <v>13.30442106681943</v>
      </c>
      <c r="O38" s="15">
        <f t="shared" ca="1" si="2"/>
        <v>8.153127961370414</v>
      </c>
      <c r="Q38" s="49">
        <f>(100000/_xlfn.XLOOKUP($H38,VCTODI1,AJUSTEDI1,,0))</f>
        <v>4.8017293908574112</v>
      </c>
      <c r="R38" s="49" cm="1">
        <f t="array" ref="R38">(100000/_xlfn.XLOOKUP(H38,Vcto_DDI[VENCTO],Tbl_DDI[AJUSTE]))</f>
        <v>2.0829332365741413</v>
      </c>
      <c r="S38" s="49">
        <f ca="1">R38*(SPOT/_xlfn.XLOOKUP(D_1,_2024[datacorrig],_2024[Sell]))</f>
        <v>2.0870837281827219</v>
      </c>
    </row>
    <row r="39" spans="1:19" x14ac:dyDescent="0.25">
      <c r="A39" s="10">
        <v>46346</v>
      </c>
      <c r="B39" s="11" t="s">
        <v>14</v>
      </c>
      <c r="C39" s="11" t="s">
        <v>27</v>
      </c>
      <c r="H39" s="12" t="str">
        <v>F39</v>
      </c>
      <c r="I39" s="13">
        <f t="shared" si="0"/>
        <v>50773</v>
      </c>
      <c r="J39" s="14">
        <f t="shared" ca="1" si="3"/>
        <v>3537</v>
      </c>
      <c r="K39" s="14">
        <f ca="1">I39-D_1</f>
        <v>5164</v>
      </c>
      <c r="L39" s="15">
        <f t="shared" ca="1" si="1"/>
        <v>0.12785836206246715</v>
      </c>
      <c r="M39" s="15" cm="1">
        <f t="array" aca="1" ref="M39" ca="1">(((100000/_xlfn.XLOOKUP(H39,Vcto_DDI[VENCTO],Tbl_DDI[AJUSTE])-1)*360/K39*100))</f>
        <v>8.3450014499214689</v>
      </c>
      <c r="N39" s="15">
        <f ca="1">SPOT*(Q39/S39)</f>
        <v>14.218867394196719</v>
      </c>
      <c r="O39" s="15">
        <f ca="1">(((S39-1)*360/K39*100))</f>
        <v>8.3755210775978242</v>
      </c>
      <c r="Q39" s="49">
        <f>(100000/_xlfn.XLOOKUP($H39,VCTODI1,AJUSTEDI1,,0))</f>
        <v>5.4129015425686813</v>
      </c>
      <c r="R39" s="49" cm="1">
        <f t="array" ref="R39">(100000/_xlfn.XLOOKUP(H39,Vcto_DDI[VENCTO],Tbl_DDI[AJUSTE]))</f>
        <v>2.1970440968720686</v>
      </c>
      <c r="S39" s="49">
        <f ca="1">R39*(SPOT/_xlfn.XLOOKUP(D_1,_2024[datacorrig],_2024[Sell]))</f>
        <v>2.2014219679087548</v>
      </c>
    </row>
    <row r="40" spans="1:19" x14ac:dyDescent="0.25">
      <c r="A40" s="10">
        <v>46381</v>
      </c>
      <c r="B40" s="11" t="s">
        <v>14</v>
      </c>
      <c r="C40" s="11" t="s">
        <v>28</v>
      </c>
      <c r="H40" s="12">
        <v>0</v>
      </c>
      <c r="I40" s="16"/>
      <c r="J40" s="16"/>
      <c r="K40" s="16"/>
      <c r="L40" s="16"/>
      <c r="M40" s="15"/>
      <c r="N40" s="12"/>
      <c r="O40" s="15"/>
      <c r="Q40" s="49"/>
      <c r="R40" s="49"/>
      <c r="S40" s="49"/>
    </row>
    <row r="41" spans="1:19" x14ac:dyDescent="0.25">
      <c r="A41" s="10">
        <v>46388</v>
      </c>
      <c r="B41" s="11" t="s">
        <v>14</v>
      </c>
      <c r="C41" s="11" t="s">
        <v>11</v>
      </c>
    </row>
    <row r="42" spans="1:19" x14ac:dyDescent="0.25">
      <c r="A42" s="10">
        <v>46426</v>
      </c>
      <c r="B42" s="11" t="s">
        <v>10</v>
      </c>
      <c r="C42" s="11" t="s">
        <v>12</v>
      </c>
    </row>
    <row r="43" spans="1:19" x14ac:dyDescent="0.25">
      <c r="A43" s="10">
        <v>46427</v>
      </c>
      <c r="B43" s="11" t="s">
        <v>13</v>
      </c>
      <c r="C43" s="11" t="s">
        <v>12</v>
      </c>
    </row>
    <row r="44" spans="1:19" x14ac:dyDescent="0.25">
      <c r="A44" s="10">
        <v>46472</v>
      </c>
      <c r="B44" s="11" t="s">
        <v>14</v>
      </c>
      <c r="C44" s="11" t="s">
        <v>15</v>
      </c>
    </row>
    <row r="45" spans="1:19" x14ac:dyDescent="0.25">
      <c r="A45" s="10">
        <v>46498</v>
      </c>
      <c r="B45" s="11" t="s">
        <v>18</v>
      </c>
      <c r="C45" s="11" t="s">
        <v>17</v>
      </c>
    </row>
    <row r="46" spans="1:19" x14ac:dyDescent="0.25">
      <c r="A46" s="10">
        <v>46508</v>
      </c>
      <c r="B46" s="11" t="s">
        <v>22</v>
      </c>
      <c r="C46" s="11" t="s">
        <v>19</v>
      </c>
    </row>
    <row r="47" spans="1:19" x14ac:dyDescent="0.25">
      <c r="A47" s="10">
        <v>46534</v>
      </c>
      <c r="B47" s="11" t="s">
        <v>20</v>
      </c>
      <c r="C47" s="11" t="s">
        <v>21</v>
      </c>
    </row>
    <row r="48" spans="1:19" x14ac:dyDescent="0.25">
      <c r="A48" s="10">
        <v>46637</v>
      </c>
      <c r="B48" s="11" t="s">
        <v>13</v>
      </c>
      <c r="C48" s="11" t="s">
        <v>23</v>
      </c>
    </row>
    <row r="49" spans="1:3" x14ac:dyDescent="0.25">
      <c r="A49" s="10">
        <v>46672</v>
      </c>
      <c r="B49" s="11" t="s">
        <v>13</v>
      </c>
      <c r="C49" s="11" t="s">
        <v>24</v>
      </c>
    </row>
    <row r="50" spans="1:3" x14ac:dyDescent="0.25">
      <c r="A50" s="10">
        <v>46693</v>
      </c>
      <c r="B50" s="11" t="s">
        <v>13</v>
      </c>
      <c r="C50" s="11" t="s">
        <v>25</v>
      </c>
    </row>
    <row r="51" spans="1:3" x14ac:dyDescent="0.25">
      <c r="A51" s="10">
        <v>46706</v>
      </c>
      <c r="B51" s="11" t="s">
        <v>10</v>
      </c>
      <c r="C51" s="11" t="s">
        <v>26</v>
      </c>
    </row>
    <row r="52" spans="1:3" x14ac:dyDescent="0.25">
      <c r="A52" s="10">
        <v>46711</v>
      </c>
      <c r="B52" s="11" t="s">
        <v>22</v>
      </c>
      <c r="C52" s="11" t="s">
        <v>27</v>
      </c>
    </row>
    <row r="53" spans="1:3" x14ac:dyDescent="0.25">
      <c r="A53" s="10">
        <v>46746</v>
      </c>
      <c r="B53" s="11" t="s">
        <v>22</v>
      </c>
      <c r="C53" s="11" t="s">
        <v>28</v>
      </c>
    </row>
    <row r="54" spans="1:3" x14ac:dyDescent="0.25">
      <c r="A54" s="10">
        <v>46753</v>
      </c>
      <c r="B54" s="11" t="s">
        <v>22</v>
      </c>
      <c r="C54" s="11" t="s">
        <v>11</v>
      </c>
    </row>
    <row r="55" spans="1:3" x14ac:dyDescent="0.25">
      <c r="A55" s="10">
        <v>46811</v>
      </c>
      <c r="B55" s="11" t="s">
        <v>10</v>
      </c>
      <c r="C55" s="11" t="s">
        <v>12</v>
      </c>
    </row>
    <row r="56" spans="1:3" x14ac:dyDescent="0.25">
      <c r="A56" s="10">
        <v>46812</v>
      </c>
      <c r="B56" s="11" t="s">
        <v>13</v>
      </c>
      <c r="C56" s="11" t="s">
        <v>12</v>
      </c>
    </row>
    <row r="57" spans="1:3" x14ac:dyDescent="0.25">
      <c r="A57" s="10">
        <v>46857</v>
      </c>
      <c r="B57" s="11" t="s">
        <v>14</v>
      </c>
      <c r="C57" s="11" t="s">
        <v>15</v>
      </c>
    </row>
    <row r="58" spans="1:3" x14ac:dyDescent="0.25">
      <c r="A58" s="10">
        <v>46864</v>
      </c>
      <c r="B58" s="11" t="s">
        <v>14</v>
      </c>
      <c r="C58" s="11" t="s">
        <v>17</v>
      </c>
    </row>
    <row r="59" spans="1:3" x14ac:dyDescent="0.25">
      <c r="A59" s="10">
        <v>46874</v>
      </c>
      <c r="B59" s="11" t="s">
        <v>10</v>
      </c>
      <c r="C59" s="11" t="s">
        <v>19</v>
      </c>
    </row>
    <row r="60" spans="1:3" x14ac:dyDescent="0.25">
      <c r="A60" s="10">
        <v>46919</v>
      </c>
      <c r="B60" s="11" t="s">
        <v>20</v>
      </c>
      <c r="C60" s="11" t="s">
        <v>21</v>
      </c>
    </row>
    <row r="61" spans="1:3" x14ac:dyDescent="0.25">
      <c r="A61" s="10">
        <v>47003</v>
      </c>
      <c r="B61" s="11" t="s">
        <v>20</v>
      </c>
      <c r="C61" s="11" t="s">
        <v>23</v>
      </c>
    </row>
    <row r="62" spans="1:3" x14ac:dyDescent="0.25">
      <c r="A62" s="10">
        <v>47038</v>
      </c>
      <c r="B62" s="11" t="s">
        <v>20</v>
      </c>
      <c r="C62" s="11" t="s">
        <v>24</v>
      </c>
    </row>
    <row r="63" spans="1:3" x14ac:dyDescent="0.25">
      <c r="A63" s="10">
        <v>47059</v>
      </c>
      <c r="B63" s="11" t="s">
        <v>20</v>
      </c>
      <c r="C63" s="11" t="s">
        <v>25</v>
      </c>
    </row>
    <row r="64" spans="1:3" x14ac:dyDescent="0.25">
      <c r="A64" s="10">
        <v>47072</v>
      </c>
      <c r="B64" s="11" t="s">
        <v>18</v>
      </c>
      <c r="C64" s="11" t="s">
        <v>26</v>
      </c>
    </row>
    <row r="65" spans="1:3" x14ac:dyDescent="0.25">
      <c r="A65" s="10">
        <v>47077</v>
      </c>
      <c r="B65" s="11" t="s">
        <v>10</v>
      </c>
      <c r="C65" s="11" t="s">
        <v>27</v>
      </c>
    </row>
    <row r="66" spans="1:3" x14ac:dyDescent="0.25">
      <c r="A66" s="10">
        <v>47112</v>
      </c>
      <c r="B66" s="11" t="s">
        <v>10</v>
      </c>
      <c r="C66" s="11" t="s">
        <v>28</v>
      </c>
    </row>
    <row r="67" spans="1:3" x14ac:dyDescent="0.25">
      <c r="A67" s="10">
        <v>47119</v>
      </c>
      <c r="B67" s="11" t="s">
        <v>10</v>
      </c>
      <c r="C67" s="11" t="s">
        <v>11</v>
      </c>
    </row>
    <row r="68" spans="1:3" x14ac:dyDescent="0.25">
      <c r="A68" s="10">
        <v>47161</v>
      </c>
      <c r="B68" s="11" t="s">
        <v>10</v>
      </c>
      <c r="C68" s="11" t="s">
        <v>12</v>
      </c>
    </row>
    <row r="69" spans="1:3" x14ac:dyDescent="0.25">
      <c r="A69" s="10">
        <v>47162</v>
      </c>
      <c r="B69" s="11" t="s">
        <v>13</v>
      </c>
      <c r="C69" s="11" t="s">
        <v>12</v>
      </c>
    </row>
    <row r="70" spans="1:3" x14ac:dyDescent="0.25">
      <c r="A70" s="10">
        <v>47207</v>
      </c>
      <c r="B70" s="11" t="s">
        <v>14</v>
      </c>
      <c r="C70" s="11" t="s">
        <v>15</v>
      </c>
    </row>
    <row r="71" spans="1:3" x14ac:dyDescent="0.25">
      <c r="A71" s="10">
        <v>47229</v>
      </c>
      <c r="B71" s="11" t="s">
        <v>22</v>
      </c>
      <c r="C71" s="11" t="s">
        <v>17</v>
      </c>
    </row>
    <row r="72" spans="1:3" x14ac:dyDescent="0.25">
      <c r="A72" s="10">
        <v>47239</v>
      </c>
      <c r="B72" s="11" t="s">
        <v>13</v>
      </c>
      <c r="C72" s="11" t="s">
        <v>19</v>
      </c>
    </row>
    <row r="73" spans="1:3" x14ac:dyDescent="0.25">
      <c r="A73" s="10">
        <v>47269</v>
      </c>
      <c r="B73" s="11" t="s">
        <v>20</v>
      </c>
      <c r="C73" s="11" t="s">
        <v>21</v>
      </c>
    </row>
    <row r="74" spans="1:3" x14ac:dyDescent="0.25">
      <c r="A74" s="10">
        <v>47368</v>
      </c>
      <c r="B74" s="11" t="s">
        <v>14</v>
      </c>
      <c r="C74" s="11" t="s">
        <v>23</v>
      </c>
    </row>
    <row r="75" spans="1:3" x14ac:dyDescent="0.25">
      <c r="A75" s="10">
        <v>47403</v>
      </c>
      <c r="B75" s="11" t="s">
        <v>14</v>
      </c>
      <c r="C75" s="11" t="s">
        <v>24</v>
      </c>
    </row>
    <row r="76" spans="1:3" x14ac:dyDescent="0.25">
      <c r="A76" s="10">
        <v>47424</v>
      </c>
      <c r="B76" s="11" t="s">
        <v>14</v>
      </c>
      <c r="C76" s="11" t="s">
        <v>25</v>
      </c>
    </row>
    <row r="77" spans="1:3" x14ac:dyDescent="0.25">
      <c r="A77" s="10">
        <v>47437</v>
      </c>
      <c r="B77" s="11" t="s">
        <v>20</v>
      </c>
      <c r="C77" s="11" t="s">
        <v>26</v>
      </c>
    </row>
    <row r="78" spans="1:3" x14ac:dyDescent="0.25">
      <c r="A78" s="10">
        <v>47442</v>
      </c>
      <c r="B78" s="11" t="s">
        <v>13</v>
      </c>
      <c r="C78" s="11" t="s">
        <v>27</v>
      </c>
    </row>
    <row r="79" spans="1:3" x14ac:dyDescent="0.25">
      <c r="A79" s="10">
        <v>47477</v>
      </c>
      <c r="B79" s="11" t="s">
        <v>13</v>
      </c>
      <c r="C79" s="11" t="s">
        <v>28</v>
      </c>
    </row>
    <row r="80" spans="1:3" x14ac:dyDescent="0.25">
      <c r="A80" s="10">
        <v>47484</v>
      </c>
      <c r="B80" s="11" t="s">
        <v>13</v>
      </c>
      <c r="C80" s="11" t="s">
        <v>11</v>
      </c>
    </row>
    <row r="81" spans="1:3" x14ac:dyDescent="0.25">
      <c r="A81" s="10">
        <v>47546</v>
      </c>
      <c r="B81" s="11" t="s">
        <v>10</v>
      </c>
      <c r="C81" s="11" t="s">
        <v>12</v>
      </c>
    </row>
    <row r="82" spans="1:3" x14ac:dyDescent="0.25">
      <c r="A82" s="10">
        <v>47547</v>
      </c>
      <c r="B82" s="11" t="s">
        <v>13</v>
      </c>
      <c r="C82" s="11" t="s">
        <v>12</v>
      </c>
    </row>
    <row r="83" spans="1:3" x14ac:dyDescent="0.25">
      <c r="A83" s="10">
        <v>47592</v>
      </c>
      <c r="B83" s="11" t="s">
        <v>14</v>
      </c>
      <c r="C83" s="11" t="s">
        <v>15</v>
      </c>
    </row>
    <row r="84" spans="1:3" x14ac:dyDescent="0.25">
      <c r="A84" s="10">
        <v>47594</v>
      </c>
      <c r="B84" s="11" t="s">
        <v>16</v>
      </c>
      <c r="C84" s="11" t="s">
        <v>17</v>
      </c>
    </row>
    <row r="85" spans="1:3" x14ac:dyDescent="0.25">
      <c r="A85" s="10">
        <v>47604</v>
      </c>
      <c r="B85" s="11" t="s">
        <v>18</v>
      </c>
      <c r="C85" s="11" t="s">
        <v>19</v>
      </c>
    </row>
    <row r="86" spans="1:3" x14ac:dyDescent="0.25">
      <c r="A86" s="10">
        <v>47654</v>
      </c>
      <c r="B86" s="11" t="s">
        <v>20</v>
      </c>
      <c r="C86" s="11" t="s">
        <v>21</v>
      </c>
    </row>
    <row r="87" spans="1:3" x14ac:dyDescent="0.25">
      <c r="A87" s="10">
        <v>47733</v>
      </c>
      <c r="B87" s="11" t="s">
        <v>22</v>
      </c>
      <c r="C87" s="11" t="s">
        <v>23</v>
      </c>
    </row>
    <row r="88" spans="1:3" x14ac:dyDescent="0.25">
      <c r="A88" s="10">
        <v>47768</v>
      </c>
      <c r="B88" s="11" t="s">
        <v>22</v>
      </c>
      <c r="C88" s="11" t="s">
        <v>24</v>
      </c>
    </row>
    <row r="89" spans="1:3" x14ac:dyDescent="0.25">
      <c r="A89" s="10">
        <v>47789</v>
      </c>
      <c r="B89" s="11" t="s">
        <v>22</v>
      </c>
      <c r="C89" s="11" t="s">
        <v>25</v>
      </c>
    </row>
    <row r="90" spans="1:3" x14ac:dyDescent="0.25">
      <c r="A90" s="10">
        <v>47802</v>
      </c>
      <c r="B90" s="11" t="s">
        <v>14</v>
      </c>
      <c r="C90" s="11" t="s">
        <v>26</v>
      </c>
    </row>
    <row r="91" spans="1:3" x14ac:dyDescent="0.25">
      <c r="A91" s="10">
        <v>47807</v>
      </c>
      <c r="B91" s="11" t="s">
        <v>18</v>
      </c>
      <c r="C91" s="11" t="s">
        <v>27</v>
      </c>
    </row>
    <row r="92" spans="1:3" x14ac:dyDescent="0.25">
      <c r="A92" s="10">
        <v>47842</v>
      </c>
      <c r="B92" s="11" t="s">
        <v>18</v>
      </c>
      <c r="C92" s="11" t="s">
        <v>28</v>
      </c>
    </row>
    <row r="93" spans="1:3" x14ac:dyDescent="0.25">
      <c r="A93" s="10">
        <v>47849</v>
      </c>
      <c r="B93" s="11" t="s">
        <v>18</v>
      </c>
      <c r="C93" s="11" t="s">
        <v>11</v>
      </c>
    </row>
    <row r="94" spans="1:3" x14ac:dyDescent="0.25">
      <c r="A94" s="10">
        <v>47903</v>
      </c>
      <c r="B94" s="11" t="s">
        <v>10</v>
      </c>
      <c r="C94" s="11" t="s">
        <v>12</v>
      </c>
    </row>
    <row r="95" spans="1:3" x14ac:dyDescent="0.25">
      <c r="A95" s="10">
        <v>47904</v>
      </c>
      <c r="B95" s="11" t="s">
        <v>13</v>
      </c>
      <c r="C95" s="11" t="s">
        <v>12</v>
      </c>
    </row>
    <row r="96" spans="1:3" x14ac:dyDescent="0.25">
      <c r="A96" s="10">
        <v>47949</v>
      </c>
      <c r="B96" s="11" t="s">
        <v>14</v>
      </c>
      <c r="C96" s="11" t="s">
        <v>15</v>
      </c>
    </row>
    <row r="97" spans="1:3" x14ac:dyDescent="0.25">
      <c r="A97" s="10">
        <v>47959</v>
      </c>
      <c r="B97" s="11" t="s">
        <v>10</v>
      </c>
      <c r="C97" s="11" t="s">
        <v>17</v>
      </c>
    </row>
    <row r="98" spans="1:3" x14ac:dyDescent="0.25">
      <c r="A98" s="10">
        <v>47969</v>
      </c>
      <c r="B98" s="11" t="s">
        <v>20</v>
      </c>
      <c r="C98" s="11" t="s">
        <v>19</v>
      </c>
    </row>
    <row r="99" spans="1:3" x14ac:dyDescent="0.25">
      <c r="A99" s="10">
        <v>48011</v>
      </c>
      <c r="B99" s="11" t="s">
        <v>20</v>
      </c>
      <c r="C99" s="11" t="s">
        <v>21</v>
      </c>
    </row>
    <row r="100" spans="1:3" x14ac:dyDescent="0.25">
      <c r="A100" s="10">
        <v>48098</v>
      </c>
      <c r="B100" s="11" t="s">
        <v>16</v>
      </c>
      <c r="C100" s="11" t="s">
        <v>23</v>
      </c>
    </row>
    <row r="101" spans="1:3" x14ac:dyDescent="0.25">
      <c r="A101" s="10">
        <v>48133</v>
      </c>
      <c r="B101" s="11" t="s">
        <v>16</v>
      </c>
      <c r="C101" s="11" t="s">
        <v>24</v>
      </c>
    </row>
    <row r="102" spans="1:3" x14ac:dyDescent="0.25">
      <c r="A102" s="10">
        <v>48154</v>
      </c>
      <c r="B102" s="11" t="s">
        <v>16</v>
      </c>
      <c r="C102" s="11" t="s">
        <v>25</v>
      </c>
    </row>
    <row r="103" spans="1:3" x14ac:dyDescent="0.25">
      <c r="A103" s="10">
        <v>48167</v>
      </c>
      <c r="B103" s="11" t="s">
        <v>22</v>
      </c>
      <c r="C103" s="11" t="s">
        <v>26</v>
      </c>
    </row>
    <row r="104" spans="1:3" x14ac:dyDescent="0.25">
      <c r="A104" s="10">
        <v>48172</v>
      </c>
      <c r="B104" s="11" t="s">
        <v>20</v>
      </c>
      <c r="C104" s="11" t="s">
        <v>27</v>
      </c>
    </row>
    <row r="105" spans="1:3" x14ac:dyDescent="0.25">
      <c r="A105" s="10">
        <v>48207</v>
      </c>
      <c r="B105" s="11" t="s">
        <v>20</v>
      </c>
      <c r="C105" s="11" t="s">
        <v>28</v>
      </c>
    </row>
    <row r="106" spans="1:3" x14ac:dyDescent="0.25">
      <c r="A106" s="10">
        <v>48214</v>
      </c>
      <c r="B106" s="11" t="s">
        <v>20</v>
      </c>
      <c r="C106" s="11" t="s">
        <v>11</v>
      </c>
    </row>
    <row r="107" spans="1:3" x14ac:dyDescent="0.25">
      <c r="A107" s="10">
        <v>48253</v>
      </c>
      <c r="B107" s="11" t="s">
        <v>10</v>
      </c>
      <c r="C107" s="11" t="s">
        <v>12</v>
      </c>
    </row>
    <row r="108" spans="1:3" x14ac:dyDescent="0.25">
      <c r="A108" s="10">
        <v>48254</v>
      </c>
      <c r="B108" s="11" t="s">
        <v>13</v>
      </c>
      <c r="C108" s="11" t="s">
        <v>12</v>
      </c>
    </row>
    <row r="109" spans="1:3" x14ac:dyDescent="0.25">
      <c r="A109" s="10">
        <v>48299</v>
      </c>
      <c r="B109" s="11" t="s">
        <v>14</v>
      </c>
      <c r="C109" s="11" t="s">
        <v>15</v>
      </c>
    </row>
    <row r="110" spans="1:3" x14ac:dyDescent="0.25">
      <c r="A110" s="10">
        <v>48325</v>
      </c>
      <c r="B110" s="11" t="s">
        <v>18</v>
      </c>
      <c r="C110" s="11" t="s">
        <v>17</v>
      </c>
    </row>
    <row r="111" spans="1:3" x14ac:dyDescent="0.25">
      <c r="A111" s="10">
        <v>48335</v>
      </c>
      <c r="B111" s="11" t="s">
        <v>22</v>
      </c>
      <c r="C111" s="11" t="s">
        <v>19</v>
      </c>
    </row>
    <row r="112" spans="1:3" x14ac:dyDescent="0.25">
      <c r="A112" s="10">
        <v>48361</v>
      </c>
      <c r="B112" s="11" t="s">
        <v>20</v>
      </c>
      <c r="C112" s="11" t="s">
        <v>21</v>
      </c>
    </row>
    <row r="113" spans="1:3" x14ac:dyDescent="0.25">
      <c r="A113" s="10">
        <v>48464</v>
      </c>
      <c r="B113" s="11" t="s">
        <v>13</v>
      </c>
      <c r="C113" s="11" t="s">
        <v>23</v>
      </c>
    </row>
    <row r="114" spans="1:3" x14ac:dyDescent="0.25">
      <c r="A114" s="10">
        <v>48499</v>
      </c>
      <c r="B114" s="11" t="s">
        <v>13</v>
      </c>
      <c r="C114" s="11" t="s">
        <v>24</v>
      </c>
    </row>
    <row r="115" spans="1:3" x14ac:dyDescent="0.25">
      <c r="A115" s="10">
        <v>48520</v>
      </c>
      <c r="B115" s="11" t="s">
        <v>13</v>
      </c>
      <c r="C115" s="11" t="s">
        <v>25</v>
      </c>
    </row>
    <row r="116" spans="1:3" x14ac:dyDescent="0.25">
      <c r="A116" s="10">
        <v>48533</v>
      </c>
      <c r="B116" s="11" t="s">
        <v>10</v>
      </c>
      <c r="C116" s="11" t="s">
        <v>26</v>
      </c>
    </row>
    <row r="117" spans="1:3" x14ac:dyDescent="0.25">
      <c r="A117" s="10">
        <v>48538</v>
      </c>
      <c r="B117" s="11" t="s">
        <v>22</v>
      </c>
      <c r="C117" s="11" t="s">
        <v>27</v>
      </c>
    </row>
    <row r="118" spans="1:3" x14ac:dyDescent="0.25">
      <c r="A118" s="10">
        <v>48573</v>
      </c>
      <c r="B118" s="11" t="s">
        <v>22</v>
      </c>
      <c r="C118" s="11" t="s">
        <v>28</v>
      </c>
    </row>
    <row r="119" spans="1:3" x14ac:dyDescent="0.25">
      <c r="A119" s="10">
        <v>48580</v>
      </c>
      <c r="B119" s="11" t="s">
        <v>22</v>
      </c>
      <c r="C119" s="11" t="s">
        <v>11</v>
      </c>
    </row>
    <row r="120" spans="1:3" x14ac:dyDescent="0.25">
      <c r="A120" s="10">
        <v>48638</v>
      </c>
      <c r="B120" s="11" t="s">
        <v>10</v>
      </c>
      <c r="C120" s="11" t="s">
        <v>12</v>
      </c>
    </row>
    <row r="121" spans="1:3" x14ac:dyDescent="0.25">
      <c r="A121" s="10">
        <v>48639</v>
      </c>
      <c r="B121" s="11" t="s">
        <v>13</v>
      </c>
      <c r="C121" s="11" t="s">
        <v>12</v>
      </c>
    </row>
    <row r="122" spans="1:3" x14ac:dyDescent="0.25">
      <c r="A122" s="10">
        <v>48684</v>
      </c>
      <c r="B122" s="11" t="s">
        <v>14</v>
      </c>
      <c r="C122" s="11" t="s">
        <v>15</v>
      </c>
    </row>
    <row r="123" spans="1:3" x14ac:dyDescent="0.25">
      <c r="A123" s="10">
        <v>48690</v>
      </c>
      <c r="B123" s="11" t="s">
        <v>20</v>
      </c>
      <c r="C123" s="11" t="s">
        <v>17</v>
      </c>
    </row>
    <row r="124" spans="1:3" x14ac:dyDescent="0.25">
      <c r="A124" s="10">
        <v>48700</v>
      </c>
      <c r="B124" s="11" t="s">
        <v>16</v>
      </c>
      <c r="C124" s="11" t="s">
        <v>19</v>
      </c>
    </row>
    <row r="125" spans="1:3" x14ac:dyDescent="0.25">
      <c r="A125" s="10">
        <v>48746</v>
      </c>
      <c r="B125" s="11" t="s">
        <v>20</v>
      </c>
      <c r="C125" s="11" t="s">
        <v>21</v>
      </c>
    </row>
    <row r="126" spans="1:3" x14ac:dyDescent="0.25">
      <c r="A126" s="10">
        <v>48829</v>
      </c>
      <c r="B126" s="11" t="s">
        <v>18</v>
      </c>
      <c r="C126" s="11" t="s">
        <v>23</v>
      </c>
    </row>
    <row r="127" spans="1:3" x14ac:dyDescent="0.25">
      <c r="A127" s="10">
        <v>48864</v>
      </c>
      <c r="B127" s="11" t="s">
        <v>18</v>
      </c>
      <c r="C127" s="11" t="s">
        <v>24</v>
      </c>
    </row>
    <row r="128" spans="1:3" x14ac:dyDescent="0.25">
      <c r="A128" s="10">
        <v>48885</v>
      </c>
      <c r="B128" s="11" t="s">
        <v>18</v>
      </c>
      <c r="C128" s="11" t="s">
        <v>25</v>
      </c>
    </row>
    <row r="129" spans="1:3" x14ac:dyDescent="0.25">
      <c r="A129" s="10">
        <v>48898</v>
      </c>
      <c r="B129" s="11" t="s">
        <v>13</v>
      </c>
      <c r="C129" s="11" t="s">
        <v>26</v>
      </c>
    </row>
    <row r="130" spans="1:3" x14ac:dyDescent="0.25">
      <c r="A130" s="10">
        <v>48903</v>
      </c>
      <c r="B130" s="11" t="s">
        <v>16</v>
      </c>
      <c r="C130" s="11" t="s">
        <v>27</v>
      </c>
    </row>
    <row r="131" spans="1:3" x14ac:dyDescent="0.25">
      <c r="A131" s="10">
        <v>48938</v>
      </c>
      <c r="B131" s="11" t="s">
        <v>16</v>
      </c>
      <c r="C131" s="11" t="s">
        <v>28</v>
      </c>
    </row>
    <row r="132" spans="1:3" x14ac:dyDescent="0.25">
      <c r="A132" s="10">
        <v>48945</v>
      </c>
      <c r="B132" s="11" t="s">
        <v>16</v>
      </c>
      <c r="C132" s="11" t="s">
        <v>11</v>
      </c>
    </row>
    <row r="133" spans="1:3" x14ac:dyDescent="0.25">
      <c r="A133" s="10">
        <v>48995</v>
      </c>
      <c r="B133" s="11" t="s">
        <v>10</v>
      </c>
      <c r="C133" s="11" t="s">
        <v>12</v>
      </c>
    </row>
    <row r="134" spans="1:3" x14ac:dyDescent="0.25">
      <c r="A134" s="10">
        <v>48996</v>
      </c>
      <c r="B134" s="11" t="s">
        <v>13</v>
      </c>
      <c r="C134" s="11" t="s">
        <v>12</v>
      </c>
    </row>
    <row r="135" spans="1:3" x14ac:dyDescent="0.25">
      <c r="A135" s="10">
        <v>49041</v>
      </c>
      <c r="B135" s="11" t="s">
        <v>14</v>
      </c>
      <c r="C135" s="11" t="s">
        <v>15</v>
      </c>
    </row>
    <row r="136" spans="1:3" x14ac:dyDescent="0.25">
      <c r="A136" s="10">
        <v>49055</v>
      </c>
      <c r="B136" s="11" t="s">
        <v>14</v>
      </c>
      <c r="C136" s="11" t="s">
        <v>17</v>
      </c>
    </row>
    <row r="137" spans="1:3" x14ac:dyDescent="0.25">
      <c r="A137" s="10">
        <v>49065</v>
      </c>
      <c r="B137" s="11" t="s">
        <v>10</v>
      </c>
      <c r="C137" s="11" t="s">
        <v>19</v>
      </c>
    </row>
    <row r="138" spans="1:3" x14ac:dyDescent="0.25">
      <c r="A138" s="10">
        <v>49103</v>
      </c>
      <c r="B138" s="11" t="s">
        <v>20</v>
      </c>
      <c r="C138" s="11" t="s">
        <v>21</v>
      </c>
    </row>
    <row r="139" spans="1:3" x14ac:dyDescent="0.25">
      <c r="A139" s="10">
        <v>49194</v>
      </c>
      <c r="B139" s="11" t="s">
        <v>20</v>
      </c>
      <c r="C139" s="11" t="s">
        <v>23</v>
      </c>
    </row>
    <row r="140" spans="1:3" x14ac:dyDescent="0.25">
      <c r="A140" s="10">
        <v>49229</v>
      </c>
      <c r="B140" s="11" t="s">
        <v>20</v>
      </c>
      <c r="C140" s="11" t="s">
        <v>24</v>
      </c>
    </row>
    <row r="141" spans="1:3" x14ac:dyDescent="0.25">
      <c r="A141" s="10">
        <v>49250</v>
      </c>
      <c r="B141" s="11" t="s">
        <v>20</v>
      </c>
      <c r="C141" s="11" t="s">
        <v>25</v>
      </c>
    </row>
    <row r="142" spans="1:3" x14ac:dyDescent="0.25">
      <c r="A142" s="10">
        <v>49263</v>
      </c>
      <c r="B142" s="11" t="s">
        <v>18</v>
      </c>
      <c r="C142" s="11" t="s">
        <v>26</v>
      </c>
    </row>
    <row r="143" spans="1:3" x14ac:dyDescent="0.25">
      <c r="A143" s="10">
        <v>49268</v>
      </c>
      <c r="B143" s="11" t="s">
        <v>10</v>
      </c>
      <c r="C143" s="11" t="s">
        <v>27</v>
      </c>
    </row>
    <row r="144" spans="1:3" x14ac:dyDescent="0.25">
      <c r="A144" s="10">
        <v>49303</v>
      </c>
      <c r="B144" s="11" t="s">
        <v>10</v>
      </c>
      <c r="C144" s="11" t="s">
        <v>28</v>
      </c>
    </row>
    <row r="145" spans="1:3" x14ac:dyDescent="0.25">
      <c r="A145" s="10">
        <v>49310</v>
      </c>
      <c r="B145" s="11" t="s">
        <v>10</v>
      </c>
      <c r="C145" s="11" t="s">
        <v>11</v>
      </c>
    </row>
    <row r="146" spans="1:3" x14ac:dyDescent="0.25">
      <c r="A146" s="10">
        <v>49345</v>
      </c>
      <c r="B146" s="11" t="s">
        <v>10</v>
      </c>
      <c r="C146" s="11" t="s">
        <v>12</v>
      </c>
    </row>
    <row r="147" spans="1:3" x14ac:dyDescent="0.25">
      <c r="A147" s="10">
        <v>49346</v>
      </c>
      <c r="B147" s="11" t="s">
        <v>13</v>
      </c>
      <c r="C147" s="11" t="s">
        <v>12</v>
      </c>
    </row>
    <row r="148" spans="1:3" x14ac:dyDescent="0.25">
      <c r="A148" s="10">
        <v>49391</v>
      </c>
      <c r="B148" s="11" t="s">
        <v>14</v>
      </c>
      <c r="C148" s="11" t="s">
        <v>15</v>
      </c>
    </row>
    <row r="149" spans="1:3" x14ac:dyDescent="0.25">
      <c r="A149" s="10">
        <v>49420</v>
      </c>
      <c r="B149" s="11" t="s">
        <v>22</v>
      </c>
      <c r="C149" s="11" t="s">
        <v>17</v>
      </c>
    </row>
    <row r="150" spans="1:3" x14ac:dyDescent="0.25">
      <c r="A150" s="10">
        <v>49430</v>
      </c>
      <c r="B150" s="11" t="s">
        <v>13</v>
      </c>
      <c r="C150" s="11" t="s">
        <v>19</v>
      </c>
    </row>
    <row r="151" spans="1:3" x14ac:dyDescent="0.25">
      <c r="A151" s="10">
        <v>49453</v>
      </c>
      <c r="B151" s="11" t="s">
        <v>20</v>
      </c>
      <c r="C151" s="11" t="s">
        <v>21</v>
      </c>
    </row>
    <row r="152" spans="1:3" x14ac:dyDescent="0.25">
      <c r="A152" s="10">
        <v>49559</v>
      </c>
      <c r="B152" s="11" t="s">
        <v>14</v>
      </c>
      <c r="C152" s="11" t="s">
        <v>23</v>
      </c>
    </row>
    <row r="153" spans="1:3" x14ac:dyDescent="0.25">
      <c r="A153" s="10">
        <v>49594</v>
      </c>
      <c r="B153" s="11" t="s">
        <v>14</v>
      </c>
      <c r="C153" s="11" t="s">
        <v>24</v>
      </c>
    </row>
    <row r="154" spans="1:3" x14ac:dyDescent="0.25">
      <c r="A154" s="10">
        <v>49615</v>
      </c>
      <c r="B154" s="11" t="s">
        <v>14</v>
      </c>
      <c r="C154" s="11" t="s">
        <v>25</v>
      </c>
    </row>
    <row r="155" spans="1:3" x14ac:dyDescent="0.25">
      <c r="A155" s="10">
        <v>49628</v>
      </c>
      <c r="B155" s="11" t="s">
        <v>20</v>
      </c>
      <c r="C155" s="11" t="s">
        <v>26</v>
      </c>
    </row>
    <row r="156" spans="1:3" x14ac:dyDescent="0.25">
      <c r="A156" s="10">
        <v>49633</v>
      </c>
      <c r="B156" s="11" t="s">
        <v>13</v>
      </c>
      <c r="C156" s="11" t="s">
        <v>27</v>
      </c>
    </row>
    <row r="157" spans="1:3" x14ac:dyDescent="0.25">
      <c r="A157" s="10">
        <v>49668</v>
      </c>
      <c r="B157" s="11" t="s">
        <v>13</v>
      </c>
      <c r="C157" s="11" t="s">
        <v>28</v>
      </c>
    </row>
    <row r="158" spans="1:3" x14ac:dyDescent="0.25">
      <c r="A158" s="10">
        <v>49675</v>
      </c>
      <c r="B158" s="11" t="s">
        <v>13</v>
      </c>
      <c r="C158" s="11" t="s">
        <v>11</v>
      </c>
    </row>
    <row r="159" spans="1:3" x14ac:dyDescent="0.25">
      <c r="A159" s="10">
        <v>49730</v>
      </c>
      <c r="B159" s="11" t="s">
        <v>10</v>
      </c>
      <c r="C159" s="11" t="s">
        <v>12</v>
      </c>
    </row>
    <row r="160" spans="1:3" x14ac:dyDescent="0.25">
      <c r="A160" s="10">
        <v>49731</v>
      </c>
      <c r="B160" s="11" t="s">
        <v>13</v>
      </c>
      <c r="C160" s="11" t="s">
        <v>12</v>
      </c>
    </row>
    <row r="161" spans="1:3" x14ac:dyDescent="0.25">
      <c r="A161" s="10">
        <v>49776</v>
      </c>
      <c r="B161" s="11" t="s">
        <v>14</v>
      </c>
      <c r="C161" s="11" t="s">
        <v>15</v>
      </c>
    </row>
    <row r="162" spans="1:3" x14ac:dyDescent="0.25">
      <c r="A162" s="10">
        <v>49786</v>
      </c>
      <c r="B162" s="11" t="s">
        <v>10</v>
      </c>
      <c r="C162" s="11" t="s">
        <v>17</v>
      </c>
    </row>
    <row r="163" spans="1:3" x14ac:dyDescent="0.25">
      <c r="A163" s="10">
        <v>49796</v>
      </c>
      <c r="B163" s="11" t="s">
        <v>20</v>
      </c>
      <c r="C163" s="11" t="s">
        <v>19</v>
      </c>
    </row>
    <row r="164" spans="1:3" x14ac:dyDescent="0.25">
      <c r="A164" s="10">
        <v>49838</v>
      </c>
      <c r="B164" s="11" t="s">
        <v>20</v>
      </c>
      <c r="C164" s="11" t="s">
        <v>21</v>
      </c>
    </row>
    <row r="165" spans="1:3" x14ac:dyDescent="0.25">
      <c r="A165" s="10">
        <v>49925</v>
      </c>
      <c r="B165" s="11" t="s">
        <v>16</v>
      </c>
      <c r="C165" s="11" t="s">
        <v>23</v>
      </c>
    </row>
    <row r="166" spans="1:3" x14ac:dyDescent="0.25">
      <c r="A166" s="10">
        <v>49960</v>
      </c>
      <c r="B166" s="11" t="s">
        <v>16</v>
      </c>
      <c r="C166" s="11" t="s">
        <v>24</v>
      </c>
    </row>
    <row r="167" spans="1:3" x14ac:dyDescent="0.25">
      <c r="A167" s="10">
        <v>49981</v>
      </c>
      <c r="B167" s="11" t="s">
        <v>16</v>
      </c>
      <c r="C167" s="11" t="s">
        <v>25</v>
      </c>
    </row>
    <row r="168" spans="1:3" x14ac:dyDescent="0.25">
      <c r="A168" s="10">
        <v>49994</v>
      </c>
      <c r="B168" s="11" t="s">
        <v>22</v>
      </c>
      <c r="C168" s="11" t="s">
        <v>26</v>
      </c>
    </row>
    <row r="169" spans="1:3" x14ac:dyDescent="0.25">
      <c r="A169" s="10">
        <v>49999</v>
      </c>
      <c r="B169" s="11" t="s">
        <v>20</v>
      </c>
      <c r="C169" s="11" t="s">
        <v>27</v>
      </c>
    </row>
    <row r="170" spans="1:3" x14ac:dyDescent="0.25">
      <c r="A170" s="10">
        <v>50034</v>
      </c>
      <c r="B170" s="11" t="s">
        <v>20</v>
      </c>
      <c r="C170" s="11" t="s">
        <v>28</v>
      </c>
    </row>
    <row r="171" spans="1:3" x14ac:dyDescent="0.25">
      <c r="A171" s="10">
        <v>50041</v>
      </c>
      <c r="B171" s="11" t="s">
        <v>20</v>
      </c>
      <c r="C171" s="11" t="s">
        <v>11</v>
      </c>
    </row>
    <row r="172" spans="1:3" x14ac:dyDescent="0.25">
      <c r="A172" s="10">
        <v>50087</v>
      </c>
      <c r="B172" s="11" t="s">
        <v>10</v>
      </c>
      <c r="C172" s="11" t="s">
        <v>12</v>
      </c>
    </row>
    <row r="173" spans="1:3" x14ac:dyDescent="0.25">
      <c r="A173" s="10">
        <v>50088</v>
      </c>
      <c r="B173" s="11" t="s">
        <v>13</v>
      </c>
      <c r="C173" s="11" t="s">
        <v>12</v>
      </c>
    </row>
    <row r="174" spans="1:3" x14ac:dyDescent="0.25">
      <c r="A174" s="10">
        <v>50133</v>
      </c>
      <c r="B174" s="11" t="s">
        <v>14</v>
      </c>
      <c r="C174" s="11" t="s">
        <v>15</v>
      </c>
    </row>
    <row r="175" spans="1:3" x14ac:dyDescent="0.25">
      <c r="A175" s="10">
        <v>50151</v>
      </c>
      <c r="B175" s="11" t="s">
        <v>13</v>
      </c>
      <c r="C175" s="11" t="s">
        <v>17</v>
      </c>
    </row>
    <row r="176" spans="1:3" x14ac:dyDescent="0.25">
      <c r="A176" s="10">
        <v>50161</v>
      </c>
      <c r="B176" s="11" t="s">
        <v>14</v>
      </c>
      <c r="C176" s="11" t="s">
        <v>19</v>
      </c>
    </row>
    <row r="177" spans="1:3" x14ac:dyDescent="0.25">
      <c r="A177" s="10">
        <v>50195</v>
      </c>
      <c r="B177" s="11" t="s">
        <v>20</v>
      </c>
      <c r="C177" s="11" t="s">
        <v>21</v>
      </c>
    </row>
    <row r="178" spans="1:3" x14ac:dyDescent="0.25">
      <c r="A178" s="10">
        <v>50290</v>
      </c>
      <c r="B178" s="11" t="s">
        <v>10</v>
      </c>
      <c r="C178" s="11" t="s">
        <v>23</v>
      </c>
    </row>
    <row r="179" spans="1:3" x14ac:dyDescent="0.25">
      <c r="A179" s="10">
        <v>50325</v>
      </c>
      <c r="B179" s="11" t="s">
        <v>10</v>
      </c>
      <c r="C179" s="11" t="s">
        <v>24</v>
      </c>
    </row>
    <row r="180" spans="1:3" x14ac:dyDescent="0.25">
      <c r="A180" s="10">
        <v>50346</v>
      </c>
      <c r="B180" s="11" t="s">
        <v>10</v>
      </c>
      <c r="C180" s="11" t="s">
        <v>25</v>
      </c>
    </row>
    <row r="181" spans="1:3" x14ac:dyDescent="0.25">
      <c r="A181" s="10">
        <v>50359</v>
      </c>
      <c r="B181" s="11" t="s">
        <v>16</v>
      </c>
      <c r="C181" s="11" t="s">
        <v>26</v>
      </c>
    </row>
    <row r="182" spans="1:3" x14ac:dyDescent="0.25">
      <c r="A182" s="10">
        <v>50364</v>
      </c>
      <c r="B182" s="11" t="s">
        <v>14</v>
      </c>
      <c r="C182" s="11" t="s">
        <v>27</v>
      </c>
    </row>
    <row r="183" spans="1:3" x14ac:dyDescent="0.25">
      <c r="A183" s="10">
        <v>50399</v>
      </c>
      <c r="B183" s="11" t="s">
        <v>14</v>
      </c>
      <c r="C183" s="11" t="s">
        <v>28</v>
      </c>
    </row>
    <row r="184" spans="1:3" x14ac:dyDescent="0.25">
      <c r="A184" s="10">
        <v>50406</v>
      </c>
      <c r="B184" s="11" t="s">
        <v>14</v>
      </c>
      <c r="C184" s="11" t="s">
        <v>11</v>
      </c>
    </row>
    <row r="185" spans="1:3" x14ac:dyDescent="0.25">
      <c r="A185" s="10">
        <v>50472</v>
      </c>
      <c r="B185" s="11" t="s">
        <v>10</v>
      </c>
      <c r="C185" s="11" t="s">
        <v>12</v>
      </c>
    </row>
    <row r="186" spans="1:3" x14ac:dyDescent="0.25">
      <c r="A186" s="10">
        <v>50473</v>
      </c>
      <c r="B186" s="11" t="s">
        <v>13</v>
      </c>
      <c r="C186" s="11" t="s">
        <v>12</v>
      </c>
    </row>
    <row r="187" spans="1:3" x14ac:dyDescent="0.25">
      <c r="A187" s="10">
        <v>50516</v>
      </c>
      <c r="B187" s="11" t="s">
        <v>18</v>
      </c>
      <c r="C187" s="11" t="s">
        <v>17</v>
      </c>
    </row>
    <row r="188" spans="1:3" x14ac:dyDescent="0.25">
      <c r="A188" s="10">
        <v>50518</v>
      </c>
      <c r="B188" s="11" t="s">
        <v>14</v>
      </c>
      <c r="C188" s="11" t="s">
        <v>15</v>
      </c>
    </row>
    <row r="189" spans="1:3" x14ac:dyDescent="0.25">
      <c r="A189" s="10">
        <v>50526</v>
      </c>
      <c r="B189" s="11" t="s">
        <v>22</v>
      </c>
      <c r="C189" s="11" t="s">
        <v>19</v>
      </c>
    </row>
    <row r="190" spans="1:3" x14ac:dyDescent="0.25">
      <c r="A190" s="10">
        <v>50580</v>
      </c>
      <c r="B190" s="11" t="s">
        <v>20</v>
      </c>
      <c r="C190" s="11" t="s">
        <v>21</v>
      </c>
    </row>
    <row r="191" spans="1:3" x14ac:dyDescent="0.25">
      <c r="A191" s="10">
        <v>50655</v>
      </c>
      <c r="B191" s="11" t="s">
        <v>13</v>
      </c>
      <c r="C191" s="11" t="s">
        <v>23</v>
      </c>
    </row>
    <row r="192" spans="1:3" x14ac:dyDescent="0.25">
      <c r="A192" s="10">
        <v>50690</v>
      </c>
      <c r="B192" s="11" t="s">
        <v>13</v>
      </c>
      <c r="C192" s="11" t="s">
        <v>24</v>
      </c>
    </row>
    <row r="193" spans="1:3" x14ac:dyDescent="0.25">
      <c r="A193" s="10">
        <v>50711</v>
      </c>
      <c r="B193" s="11" t="s">
        <v>13</v>
      </c>
      <c r="C193" s="11" t="s">
        <v>25</v>
      </c>
    </row>
    <row r="194" spans="1:3" x14ac:dyDescent="0.25">
      <c r="A194" s="10">
        <v>50724</v>
      </c>
      <c r="B194" s="11" t="s">
        <v>10</v>
      </c>
      <c r="C194" s="11" t="s">
        <v>26</v>
      </c>
    </row>
    <row r="195" spans="1:3" x14ac:dyDescent="0.25">
      <c r="A195" s="10">
        <v>50729</v>
      </c>
      <c r="B195" s="11" t="s">
        <v>22</v>
      </c>
      <c r="C195" s="11" t="s">
        <v>27</v>
      </c>
    </row>
    <row r="196" spans="1:3" x14ac:dyDescent="0.25">
      <c r="A196" s="10">
        <v>50764</v>
      </c>
      <c r="B196" s="11" t="s">
        <v>22</v>
      </c>
      <c r="C196" s="11" t="s">
        <v>28</v>
      </c>
    </row>
    <row r="197" spans="1:3" x14ac:dyDescent="0.25">
      <c r="A197" s="10">
        <v>50771</v>
      </c>
      <c r="B197" s="11" t="s">
        <v>22</v>
      </c>
      <c r="C197" s="11" t="s">
        <v>11</v>
      </c>
    </row>
    <row r="198" spans="1:3" x14ac:dyDescent="0.25">
      <c r="A198" s="10">
        <v>50822</v>
      </c>
      <c r="B198" s="11" t="s">
        <v>10</v>
      </c>
      <c r="C198" s="11" t="s">
        <v>12</v>
      </c>
    </row>
    <row r="199" spans="1:3" x14ac:dyDescent="0.25">
      <c r="A199" s="10">
        <v>50823</v>
      </c>
      <c r="B199" s="11" t="s">
        <v>13</v>
      </c>
      <c r="C199" s="11" t="s">
        <v>12</v>
      </c>
    </row>
    <row r="200" spans="1:3" x14ac:dyDescent="0.25">
      <c r="A200" s="10">
        <v>50868</v>
      </c>
      <c r="B200" s="11" t="s">
        <v>14</v>
      </c>
      <c r="C200" s="11" t="s">
        <v>15</v>
      </c>
    </row>
    <row r="201" spans="1:3" x14ac:dyDescent="0.25">
      <c r="A201" s="10">
        <v>50881</v>
      </c>
      <c r="B201" s="11" t="s">
        <v>20</v>
      </c>
      <c r="C201" s="11" t="s">
        <v>17</v>
      </c>
    </row>
    <row r="202" spans="1:3" x14ac:dyDescent="0.25">
      <c r="A202" s="10">
        <v>50891</v>
      </c>
      <c r="B202" s="11" t="s">
        <v>16</v>
      </c>
      <c r="C202" s="11" t="s">
        <v>19</v>
      </c>
    </row>
    <row r="203" spans="1:3" x14ac:dyDescent="0.25">
      <c r="A203" s="10">
        <v>50930</v>
      </c>
      <c r="B203" s="11" t="s">
        <v>20</v>
      </c>
      <c r="C203" s="11" t="s">
        <v>21</v>
      </c>
    </row>
    <row r="204" spans="1:3" x14ac:dyDescent="0.25">
      <c r="A204" s="10">
        <v>51020</v>
      </c>
      <c r="B204" s="11" t="s">
        <v>18</v>
      </c>
      <c r="C204" s="11" t="s">
        <v>23</v>
      </c>
    </row>
    <row r="205" spans="1:3" x14ac:dyDescent="0.25">
      <c r="A205" s="10">
        <v>51055</v>
      </c>
      <c r="B205" s="11" t="s">
        <v>18</v>
      </c>
      <c r="C205" s="11" t="s">
        <v>24</v>
      </c>
    </row>
    <row r="206" spans="1:3" x14ac:dyDescent="0.25">
      <c r="A206" s="10">
        <v>51076</v>
      </c>
      <c r="B206" s="11" t="s">
        <v>18</v>
      </c>
      <c r="C206" s="11" t="s">
        <v>25</v>
      </c>
    </row>
    <row r="207" spans="1:3" x14ac:dyDescent="0.25">
      <c r="A207" s="10">
        <v>51089</v>
      </c>
      <c r="B207" s="11" t="s">
        <v>13</v>
      </c>
      <c r="C207" s="11" t="s">
        <v>26</v>
      </c>
    </row>
    <row r="208" spans="1:3" x14ac:dyDescent="0.25">
      <c r="A208" s="10">
        <v>51094</v>
      </c>
      <c r="B208" s="11" t="s">
        <v>16</v>
      </c>
      <c r="C208" s="11" t="s">
        <v>27</v>
      </c>
    </row>
    <row r="209" spans="1:3" x14ac:dyDescent="0.25">
      <c r="A209" s="10">
        <v>51129</v>
      </c>
      <c r="B209" s="11" t="s">
        <v>16</v>
      </c>
      <c r="C209" s="11" t="s">
        <v>28</v>
      </c>
    </row>
    <row r="210" spans="1:3" x14ac:dyDescent="0.25">
      <c r="A210" s="10">
        <v>51136</v>
      </c>
      <c r="B210" s="11" t="s">
        <v>16</v>
      </c>
      <c r="C210" s="11" t="s">
        <v>11</v>
      </c>
    </row>
    <row r="211" spans="1:3" x14ac:dyDescent="0.25">
      <c r="A211" s="10">
        <v>51179</v>
      </c>
      <c r="B211" s="11" t="s">
        <v>10</v>
      </c>
      <c r="C211" s="11" t="s">
        <v>12</v>
      </c>
    </row>
    <row r="212" spans="1:3" x14ac:dyDescent="0.25">
      <c r="A212" s="10">
        <v>51180</v>
      </c>
      <c r="B212" s="11" t="s">
        <v>13</v>
      </c>
      <c r="C212" s="11" t="s">
        <v>12</v>
      </c>
    </row>
    <row r="213" spans="1:3" x14ac:dyDescent="0.25">
      <c r="A213" s="10">
        <v>51225</v>
      </c>
      <c r="B213" s="11" t="s">
        <v>14</v>
      </c>
      <c r="C213" s="11" t="s">
        <v>15</v>
      </c>
    </row>
    <row r="214" spans="1:3" x14ac:dyDescent="0.25">
      <c r="A214" s="10">
        <v>51247</v>
      </c>
      <c r="B214" s="11" t="s">
        <v>22</v>
      </c>
      <c r="C214" s="11" t="s">
        <v>17</v>
      </c>
    </row>
    <row r="215" spans="1:3" x14ac:dyDescent="0.25">
      <c r="A215" s="10">
        <v>51257</v>
      </c>
      <c r="B215" s="11" t="s">
        <v>13</v>
      </c>
      <c r="C215" s="11" t="s">
        <v>19</v>
      </c>
    </row>
    <row r="216" spans="1:3" x14ac:dyDescent="0.25">
      <c r="A216" s="10">
        <v>51287</v>
      </c>
      <c r="B216" s="11" t="s">
        <v>20</v>
      </c>
      <c r="C216" s="11" t="s">
        <v>21</v>
      </c>
    </row>
    <row r="217" spans="1:3" x14ac:dyDescent="0.25">
      <c r="A217" s="10">
        <v>51386</v>
      </c>
      <c r="B217" s="11" t="s">
        <v>14</v>
      </c>
      <c r="C217" s="11" t="s">
        <v>23</v>
      </c>
    </row>
    <row r="218" spans="1:3" x14ac:dyDescent="0.25">
      <c r="A218" s="10">
        <v>51421</v>
      </c>
      <c r="B218" s="11" t="s">
        <v>14</v>
      </c>
      <c r="C218" s="11" t="s">
        <v>24</v>
      </c>
    </row>
    <row r="219" spans="1:3" x14ac:dyDescent="0.25">
      <c r="A219" s="10">
        <v>51442</v>
      </c>
      <c r="B219" s="11" t="s">
        <v>14</v>
      </c>
      <c r="C219" s="11" t="s">
        <v>25</v>
      </c>
    </row>
    <row r="220" spans="1:3" x14ac:dyDescent="0.25">
      <c r="A220" s="10">
        <v>51455</v>
      </c>
      <c r="B220" s="11" t="s">
        <v>20</v>
      </c>
      <c r="C220" s="11" t="s">
        <v>26</v>
      </c>
    </row>
    <row r="221" spans="1:3" x14ac:dyDescent="0.25">
      <c r="A221" s="10">
        <v>51460</v>
      </c>
      <c r="B221" s="11" t="s">
        <v>13</v>
      </c>
      <c r="C221" s="11" t="s">
        <v>27</v>
      </c>
    </row>
    <row r="222" spans="1:3" x14ac:dyDescent="0.25">
      <c r="A222" s="10">
        <v>51495</v>
      </c>
      <c r="B222" s="11" t="s">
        <v>13</v>
      </c>
      <c r="C222" s="11" t="s">
        <v>28</v>
      </c>
    </row>
    <row r="223" spans="1:3" x14ac:dyDescent="0.25">
      <c r="A223" s="10">
        <v>51502</v>
      </c>
      <c r="B223" s="11" t="s">
        <v>13</v>
      </c>
      <c r="C223" s="11" t="s">
        <v>11</v>
      </c>
    </row>
    <row r="224" spans="1:3" x14ac:dyDescent="0.25">
      <c r="A224" s="10">
        <v>51564</v>
      </c>
      <c r="B224" s="11" t="s">
        <v>10</v>
      </c>
      <c r="C224" s="11" t="s">
        <v>12</v>
      </c>
    </row>
    <row r="225" spans="1:3" x14ac:dyDescent="0.25">
      <c r="A225" s="10">
        <v>51565</v>
      </c>
      <c r="B225" s="11" t="s">
        <v>13</v>
      </c>
      <c r="C225" s="11" t="s">
        <v>12</v>
      </c>
    </row>
    <row r="226" spans="1:3" x14ac:dyDescent="0.25">
      <c r="A226" s="10">
        <v>51610</v>
      </c>
      <c r="B226" s="11" t="s">
        <v>14</v>
      </c>
      <c r="C226" s="11" t="s">
        <v>15</v>
      </c>
    </row>
    <row r="227" spans="1:3" x14ac:dyDescent="0.25">
      <c r="A227" s="10">
        <v>51612</v>
      </c>
      <c r="B227" s="11" t="s">
        <v>16</v>
      </c>
      <c r="C227" s="11" t="s">
        <v>17</v>
      </c>
    </row>
    <row r="228" spans="1:3" x14ac:dyDescent="0.25">
      <c r="A228" s="10">
        <v>51622</v>
      </c>
      <c r="B228" s="11" t="s">
        <v>18</v>
      </c>
      <c r="C228" s="11" t="s">
        <v>19</v>
      </c>
    </row>
    <row r="229" spans="1:3" x14ac:dyDescent="0.25">
      <c r="A229" s="10">
        <v>51672</v>
      </c>
      <c r="B229" s="11" t="s">
        <v>20</v>
      </c>
      <c r="C229" s="11" t="s">
        <v>21</v>
      </c>
    </row>
    <row r="230" spans="1:3" x14ac:dyDescent="0.25">
      <c r="A230" s="10">
        <v>51751</v>
      </c>
      <c r="B230" s="11" t="s">
        <v>22</v>
      </c>
      <c r="C230" s="11" t="s">
        <v>23</v>
      </c>
    </row>
    <row r="231" spans="1:3" x14ac:dyDescent="0.25">
      <c r="A231" s="10">
        <v>51786</v>
      </c>
      <c r="B231" s="11" t="s">
        <v>22</v>
      </c>
      <c r="C231" s="11" t="s">
        <v>24</v>
      </c>
    </row>
    <row r="232" spans="1:3" x14ac:dyDescent="0.25">
      <c r="A232" s="10">
        <v>51807</v>
      </c>
      <c r="B232" s="11" t="s">
        <v>22</v>
      </c>
      <c r="C232" s="11" t="s">
        <v>25</v>
      </c>
    </row>
    <row r="233" spans="1:3" x14ac:dyDescent="0.25">
      <c r="A233" s="10">
        <v>51820</v>
      </c>
      <c r="B233" s="11" t="s">
        <v>14</v>
      </c>
      <c r="C233" s="11" t="s">
        <v>26</v>
      </c>
    </row>
    <row r="234" spans="1:3" x14ac:dyDescent="0.25">
      <c r="A234" s="10">
        <v>51825</v>
      </c>
      <c r="B234" s="11" t="s">
        <v>18</v>
      </c>
      <c r="C234" s="11" t="s">
        <v>27</v>
      </c>
    </row>
    <row r="235" spans="1:3" x14ac:dyDescent="0.25">
      <c r="A235" s="10">
        <v>51860</v>
      </c>
      <c r="B235" s="11" t="s">
        <v>18</v>
      </c>
      <c r="C235" s="11" t="s">
        <v>28</v>
      </c>
    </row>
    <row r="236" spans="1:3" x14ac:dyDescent="0.25">
      <c r="A236" s="10">
        <v>51867</v>
      </c>
      <c r="B236" s="11" t="s">
        <v>18</v>
      </c>
      <c r="C236" s="11" t="s">
        <v>11</v>
      </c>
    </row>
    <row r="237" spans="1:3" x14ac:dyDescent="0.25">
      <c r="A237" s="10">
        <v>51914</v>
      </c>
      <c r="B237" s="11" t="s">
        <v>10</v>
      </c>
      <c r="C237" s="11" t="s">
        <v>12</v>
      </c>
    </row>
    <row r="238" spans="1:3" x14ac:dyDescent="0.25">
      <c r="A238" s="10">
        <v>51915</v>
      </c>
      <c r="B238" s="11" t="s">
        <v>13</v>
      </c>
      <c r="C238" s="11" t="s">
        <v>12</v>
      </c>
    </row>
    <row r="239" spans="1:3" x14ac:dyDescent="0.25">
      <c r="A239" s="10">
        <v>51960</v>
      </c>
      <c r="B239" s="11" t="s">
        <v>14</v>
      </c>
      <c r="C239" s="11" t="s">
        <v>15</v>
      </c>
    </row>
    <row r="240" spans="1:3" x14ac:dyDescent="0.25">
      <c r="A240" s="10">
        <v>51977</v>
      </c>
      <c r="B240" s="11" t="s">
        <v>10</v>
      </c>
      <c r="C240" s="11" t="s">
        <v>17</v>
      </c>
    </row>
    <row r="241" spans="1:3" x14ac:dyDescent="0.25">
      <c r="A241" s="10">
        <v>51987</v>
      </c>
      <c r="B241" s="11" t="s">
        <v>20</v>
      </c>
      <c r="C241" s="11" t="s">
        <v>19</v>
      </c>
    </row>
    <row r="242" spans="1:3" x14ac:dyDescent="0.25">
      <c r="A242" s="10">
        <v>52022</v>
      </c>
      <c r="B242" s="11" t="s">
        <v>20</v>
      </c>
      <c r="C242" s="11" t="s">
        <v>21</v>
      </c>
    </row>
    <row r="243" spans="1:3" x14ac:dyDescent="0.25">
      <c r="A243" s="10">
        <v>52116</v>
      </c>
      <c r="B243" s="11" t="s">
        <v>16</v>
      </c>
      <c r="C243" s="11" t="s">
        <v>23</v>
      </c>
    </row>
    <row r="244" spans="1:3" x14ac:dyDescent="0.25">
      <c r="A244" s="10">
        <v>52151</v>
      </c>
      <c r="B244" s="11" t="s">
        <v>16</v>
      </c>
      <c r="C244" s="11" t="s">
        <v>24</v>
      </c>
    </row>
    <row r="245" spans="1:3" x14ac:dyDescent="0.25">
      <c r="A245" s="10">
        <v>52172</v>
      </c>
      <c r="B245" s="11" t="s">
        <v>16</v>
      </c>
      <c r="C245" s="11" t="s">
        <v>25</v>
      </c>
    </row>
    <row r="246" spans="1:3" x14ac:dyDescent="0.25">
      <c r="A246" s="10">
        <v>52185</v>
      </c>
      <c r="B246" s="11" t="s">
        <v>22</v>
      </c>
      <c r="C246" s="11" t="s">
        <v>26</v>
      </c>
    </row>
    <row r="247" spans="1:3" x14ac:dyDescent="0.25">
      <c r="A247" s="10">
        <v>52190</v>
      </c>
      <c r="B247" s="11" t="s">
        <v>20</v>
      </c>
      <c r="C247" s="11" t="s">
        <v>27</v>
      </c>
    </row>
    <row r="248" spans="1:3" x14ac:dyDescent="0.25">
      <c r="A248" s="10">
        <v>52225</v>
      </c>
      <c r="B248" s="11" t="s">
        <v>20</v>
      </c>
      <c r="C248" s="11" t="s">
        <v>28</v>
      </c>
    </row>
    <row r="249" spans="1:3" x14ac:dyDescent="0.25">
      <c r="A249" s="10">
        <v>52232</v>
      </c>
      <c r="B249" s="11" t="s">
        <v>20</v>
      </c>
      <c r="C249" s="11" t="s">
        <v>11</v>
      </c>
    </row>
    <row r="250" spans="1:3" x14ac:dyDescent="0.25">
      <c r="A250" s="10">
        <v>52271</v>
      </c>
      <c r="B250" s="11" t="s">
        <v>10</v>
      </c>
      <c r="C250" s="11" t="s">
        <v>12</v>
      </c>
    </row>
    <row r="251" spans="1:3" x14ac:dyDescent="0.25">
      <c r="A251" s="10">
        <v>52272</v>
      </c>
      <c r="B251" s="11" t="s">
        <v>13</v>
      </c>
      <c r="C251" s="11" t="s">
        <v>12</v>
      </c>
    </row>
    <row r="252" spans="1:3" x14ac:dyDescent="0.25">
      <c r="A252" s="10">
        <v>52317</v>
      </c>
      <c r="B252" s="11" t="s">
        <v>14</v>
      </c>
      <c r="C252" s="11" t="s">
        <v>15</v>
      </c>
    </row>
    <row r="253" spans="1:3" x14ac:dyDescent="0.25">
      <c r="A253" s="10">
        <v>52342</v>
      </c>
      <c r="B253" s="11" t="s">
        <v>13</v>
      </c>
      <c r="C253" s="11" t="s">
        <v>17</v>
      </c>
    </row>
    <row r="254" spans="1:3" x14ac:dyDescent="0.25">
      <c r="A254" s="10">
        <v>52352</v>
      </c>
      <c r="B254" s="11" t="s">
        <v>14</v>
      </c>
      <c r="C254" s="11" t="s">
        <v>19</v>
      </c>
    </row>
    <row r="255" spans="1:3" x14ac:dyDescent="0.25">
      <c r="A255" s="10">
        <v>52379</v>
      </c>
      <c r="B255" s="11" t="s">
        <v>20</v>
      </c>
      <c r="C255" s="11" t="s">
        <v>21</v>
      </c>
    </row>
    <row r="256" spans="1:3" x14ac:dyDescent="0.25">
      <c r="A256" s="10">
        <v>52481</v>
      </c>
      <c r="B256" s="11" t="s">
        <v>10</v>
      </c>
      <c r="C256" s="11" t="s">
        <v>23</v>
      </c>
    </row>
    <row r="257" spans="1:3" x14ac:dyDescent="0.25">
      <c r="A257" s="10">
        <v>52516</v>
      </c>
      <c r="B257" s="11" t="s">
        <v>10</v>
      </c>
      <c r="C257" s="11" t="s">
        <v>24</v>
      </c>
    </row>
    <row r="258" spans="1:3" x14ac:dyDescent="0.25">
      <c r="A258" s="10">
        <v>52537</v>
      </c>
      <c r="B258" s="11" t="s">
        <v>10</v>
      </c>
      <c r="C258" s="11" t="s">
        <v>25</v>
      </c>
    </row>
    <row r="259" spans="1:3" x14ac:dyDescent="0.25">
      <c r="A259" s="10">
        <v>52550</v>
      </c>
      <c r="B259" s="11" t="s">
        <v>16</v>
      </c>
      <c r="C259" s="11" t="s">
        <v>26</v>
      </c>
    </row>
    <row r="260" spans="1:3" x14ac:dyDescent="0.25">
      <c r="A260" s="10">
        <v>52555</v>
      </c>
      <c r="B260" s="11" t="s">
        <v>14</v>
      </c>
      <c r="C260" s="11" t="s">
        <v>27</v>
      </c>
    </row>
    <row r="261" spans="1:3" x14ac:dyDescent="0.25">
      <c r="A261" s="10">
        <v>52590</v>
      </c>
      <c r="B261" s="11" t="s">
        <v>14</v>
      </c>
      <c r="C261" s="11" t="s">
        <v>28</v>
      </c>
    </row>
    <row r="262" spans="1:3" x14ac:dyDescent="0.25">
      <c r="A262" s="10">
        <v>52597</v>
      </c>
      <c r="B262" s="11" t="s">
        <v>14</v>
      </c>
      <c r="C262" s="11" t="s">
        <v>11</v>
      </c>
    </row>
    <row r="263" spans="1:3" x14ac:dyDescent="0.25">
      <c r="A263" s="10">
        <v>52656</v>
      </c>
      <c r="B263" s="11" t="s">
        <v>10</v>
      </c>
      <c r="C263" s="11" t="s">
        <v>12</v>
      </c>
    </row>
    <row r="264" spans="1:3" x14ac:dyDescent="0.25">
      <c r="A264" s="10">
        <v>52657</v>
      </c>
      <c r="B264" s="11" t="s">
        <v>13</v>
      </c>
      <c r="C264" s="11" t="s">
        <v>12</v>
      </c>
    </row>
    <row r="265" spans="1:3" x14ac:dyDescent="0.25">
      <c r="A265" s="10">
        <v>52702</v>
      </c>
      <c r="B265" s="11" t="s">
        <v>14</v>
      </c>
      <c r="C265" s="11" t="s">
        <v>15</v>
      </c>
    </row>
    <row r="266" spans="1:3" x14ac:dyDescent="0.25">
      <c r="A266" s="10">
        <v>52708</v>
      </c>
      <c r="B266" s="11" t="s">
        <v>20</v>
      </c>
      <c r="C266" s="11" t="s">
        <v>17</v>
      </c>
    </row>
    <row r="267" spans="1:3" x14ac:dyDescent="0.25">
      <c r="A267" s="10">
        <v>52718</v>
      </c>
      <c r="B267" s="11" t="s">
        <v>16</v>
      </c>
      <c r="C267" s="11" t="s">
        <v>19</v>
      </c>
    </row>
    <row r="268" spans="1:3" x14ac:dyDescent="0.25">
      <c r="A268" s="10">
        <v>52764</v>
      </c>
      <c r="B268" s="11" t="s">
        <v>20</v>
      </c>
      <c r="C268" s="11" t="s">
        <v>21</v>
      </c>
    </row>
    <row r="269" spans="1:3" x14ac:dyDescent="0.25">
      <c r="A269" s="10">
        <v>52847</v>
      </c>
      <c r="B269" s="11" t="s">
        <v>18</v>
      </c>
      <c r="C269" s="11" t="s">
        <v>23</v>
      </c>
    </row>
    <row r="270" spans="1:3" x14ac:dyDescent="0.25">
      <c r="A270" s="10">
        <v>52882</v>
      </c>
      <c r="B270" s="11" t="s">
        <v>18</v>
      </c>
      <c r="C270" s="11" t="s">
        <v>24</v>
      </c>
    </row>
    <row r="271" spans="1:3" x14ac:dyDescent="0.25">
      <c r="A271" s="10">
        <v>52903</v>
      </c>
      <c r="B271" s="11" t="s">
        <v>18</v>
      </c>
      <c r="C271" s="11" t="s">
        <v>25</v>
      </c>
    </row>
    <row r="272" spans="1:3" x14ac:dyDescent="0.25">
      <c r="A272" s="10">
        <v>52916</v>
      </c>
      <c r="B272" s="11" t="s">
        <v>13</v>
      </c>
      <c r="C272" s="11" t="s">
        <v>26</v>
      </c>
    </row>
    <row r="273" spans="1:3" x14ac:dyDescent="0.25">
      <c r="A273" s="10">
        <v>52921</v>
      </c>
      <c r="B273" s="11" t="s">
        <v>16</v>
      </c>
      <c r="C273" s="11" t="s">
        <v>27</v>
      </c>
    </row>
    <row r="274" spans="1:3" x14ac:dyDescent="0.25">
      <c r="A274" s="10">
        <v>52956</v>
      </c>
      <c r="B274" s="11" t="s">
        <v>16</v>
      </c>
      <c r="C274" s="11" t="s">
        <v>28</v>
      </c>
    </row>
    <row r="275" spans="1:3" x14ac:dyDescent="0.25">
      <c r="A275" s="10">
        <v>52963</v>
      </c>
      <c r="B275" s="11" t="s">
        <v>16</v>
      </c>
      <c r="C275" s="11" t="s">
        <v>11</v>
      </c>
    </row>
    <row r="276" spans="1:3" x14ac:dyDescent="0.25">
      <c r="A276" s="10">
        <v>53013</v>
      </c>
      <c r="B276" s="11" t="s">
        <v>10</v>
      </c>
      <c r="C276" s="11" t="s">
        <v>12</v>
      </c>
    </row>
    <row r="277" spans="1:3" x14ac:dyDescent="0.25">
      <c r="A277" s="10">
        <v>53014</v>
      </c>
      <c r="B277" s="11" t="s">
        <v>13</v>
      </c>
      <c r="C277" s="11" t="s">
        <v>12</v>
      </c>
    </row>
    <row r="278" spans="1:3" x14ac:dyDescent="0.25">
      <c r="A278" s="10">
        <v>53059</v>
      </c>
      <c r="B278" s="11" t="s">
        <v>14</v>
      </c>
      <c r="C278" s="11" t="s">
        <v>15</v>
      </c>
    </row>
    <row r="279" spans="1:3" x14ac:dyDescent="0.25">
      <c r="A279" s="10">
        <v>53073</v>
      </c>
      <c r="B279" s="11" t="s">
        <v>14</v>
      </c>
      <c r="C279" s="11" t="s">
        <v>17</v>
      </c>
    </row>
    <row r="280" spans="1:3" x14ac:dyDescent="0.25">
      <c r="A280" s="10">
        <v>53083</v>
      </c>
      <c r="B280" s="11" t="s">
        <v>10</v>
      </c>
      <c r="C280" s="11" t="s">
        <v>19</v>
      </c>
    </row>
    <row r="281" spans="1:3" x14ac:dyDescent="0.25">
      <c r="A281" s="10">
        <v>53121</v>
      </c>
      <c r="B281" s="11" t="s">
        <v>20</v>
      </c>
      <c r="C281" s="11" t="s">
        <v>21</v>
      </c>
    </row>
    <row r="282" spans="1:3" x14ac:dyDescent="0.25">
      <c r="A282" s="10">
        <v>53212</v>
      </c>
      <c r="B282" s="11" t="s">
        <v>20</v>
      </c>
      <c r="C282" s="11" t="s">
        <v>23</v>
      </c>
    </row>
    <row r="283" spans="1:3" x14ac:dyDescent="0.25">
      <c r="A283" s="10">
        <v>53247</v>
      </c>
      <c r="B283" s="11" t="s">
        <v>20</v>
      </c>
      <c r="C283" s="11" t="s">
        <v>24</v>
      </c>
    </row>
    <row r="284" spans="1:3" x14ac:dyDescent="0.25">
      <c r="A284" s="10">
        <v>53268</v>
      </c>
      <c r="B284" s="11" t="s">
        <v>20</v>
      </c>
      <c r="C284" s="11" t="s">
        <v>25</v>
      </c>
    </row>
    <row r="285" spans="1:3" x14ac:dyDescent="0.25">
      <c r="A285" s="10">
        <v>53281</v>
      </c>
      <c r="B285" s="11" t="s">
        <v>18</v>
      </c>
      <c r="C285" s="11" t="s">
        <v>26</v>
      </c>
    </row>
    <row r="286" spans="1:3" x14ac:dyDescent="0.25">
      <c r="A286" s="10">
        <v>53286</v>
      </c>
      <c r="B286" s="11" t="s">
        <v>10</v>
      </c>
      <c r="C286" s="11" t="s">
        <v>27</v>
      </c>
    </row>
    <row r="287" spans="1:3" x14ac:dyDescent="0.25">
      <c r="A287" s="10">
        <v>53321</v>
      </c>
      <c r="B287" s="11" t="s">
        <v>10</v>
      </c>
      <c r="C287" s="11" t="s">
        <v>28</v>
      </c>
    </row>
    <row r="288" spans="1:3" x14ac:dyDescent="0.25">
      <c r="A288" s="10">
        <v>53328</v>
      </c>
      <c r="B288" s="11" t="s">
        <v>10</v>
      </c>
      <c r="C288" s="11" t="s">
        <v>11</v>
      </c>
    </row>
    <row r="289" spans="1:3" x14ac:dyDescent="0.25">
      <c r="A289" s="10">
        <v>53363</v>
      </c>
      <c r="B289" s="11" t="s">
        <v>10</v>
      </c>
      <c r="C289" s="11" t="s">
        <v>12</v>
      </c>
    </row>
    <row r="290" spans="1:3" x14ac:dyDescent="0.25">
      <c r="A290" s="10">
        <v>53364</v>
      </c>
      <c r="B290" s="11" t="s">
        <v>13</v>
      </c>
      <c r="C290" s="11" t="s">
        <v>12</v>
      </c>
    </row>
    <row r="291" spans="1:3" x14ac:dyDescent="0.25">
      <c r="A291" s="10">
        <v>53409</v>
      </c>
      <c r="B291" s="11" t="s">
        <v>14</v>
      </c>
      <c r="C291" s="11" t="s">
        <v>15</v>
      </c>
    </row>
    <row r="292" spans="1:3" x14ac:dyDescent="0.25">
      <c r="A292" s="10">
        <v>53438</v>
      </c>
      <c r="B292" s="11" t="s">
        <v>22</v>
      </c>
      <c r="C292" s="11" t="s">
        <v>17</v>
      </c>
    </row>
    <row r="293" spans="1:3" x14ac:dyDescent="0.25">
      <c r="A293" s="10">
        <v>53448</v>
      </c>
      <c r="B293" s="11" t="s">
        <v>13</v>
      </c>
      <c r="C293" s="11" t="s">
        <v>19</v>
      </c>
    </row>
    <row r="294" spans="1:3" x14ac:dyDescent="0.25">
      <c r="A294" s="10">
        <v>53471</v>
      </c>
      <c r="B294" s="11" t="s">
        <v>20</v>
      </c>
      <c r="C294" s="11" t="s">
        <v>21</v>
      </c>
    </row>
    <row r="295" spans="1:3" x14ac:dyDescent="0.25">
      <c r="A295" s="10">
        <v>53577</v>
      </c>
      <c r="B295" s="11" t="s">
        <v>14</v>
      </c>
      <c r="C295" s="11" t="s">
        <v>23</v>
      </c>
    </row>
    <row r="296" spans="1:3" x14ac:dyDescent="0.25">
      <c r="A296" s="10">
        <v>53612</v>
      </c>
      <c r="B296" s="11" t="s">
        <v>14</v>
      </c>
      <c r="C296" s="11" t="s">
        <v>24</v>
      </c>
    </row>
    <row r="297" spans="1:3" x14ac:dyDescent="0.25">
      <c r="A297" s="10">
        <v>53633</v>
      </c>
      <c r="B297" s="11" t="s">
        <v>14</v>
      </c>
      <c r="C297" s="11" t="s">
        <v>25</v>
      </c>
    </row>
    <row r="298" spans="1:3" x14ac:dyDescent="0.25">
      <c r="A298" s="10">
        <v>53646</v>
      </c>
      <c r="B298" s="11" t="s">
        <v>20</v>
      </c>
      <c r="C298" s="11" t="s">
        <v>26</v>
      </c>
    </row>
    <row r="299" spans="1:3" x14ac:dyDescent="0.25">
      <c r="A299" s="10">
        <v>53651</v>
      </c>
      <c r="B299" s="11" t="s">
        <v>13</v>
      </c>
      <c r="C299" s="11" t="s">
        <v>27</v>
      </c>
    </row>
    <row r="300" spans="1:3" x14ac:dyDescent="0.25">
      <c r="A300" s="10">
        <v>53686</v>
      </c>
      <c r="B300" s="11" t="s">
        <v>13</v>
      </c>
      <c r="C300" s="11" t="s">
        <v>28</v>
      </c>
    </row>
    <row r="301" spans="1:3" x14ac:dyDescent="0.25">
      <c r="A301" s="10">
        <v>53693</v>
      </c>
      <c r="B301" s="11" t="s">
        <v>13</v>
      </c>
      <c r="C301" s="11" t="s">
        <v>11</v>
      </c>
    </row>
    <row r="302" spans="1:3" x14ac:dyDescent="0.25">
      <c r="A302" s="10">
        <v>53748</v>
      </c>
      <c r="B302" s="11" t="s">
        <v>10</v>
      </c>
      <c r="C302" s="11" t="s">
        <v>12</v>
      </c>
    </row>
    <row r="303" spans="1:3" x14ac:dyDescent="0.25">
      <c r="A303" s="10">
        <v>53749</v>
      </c>
      <c r="B303" s="11" t="s">
        <v>13</v>
      </c>
      <c r="C303" s="11" t="s">
        <v>12</v>
      </c>
    </row>
    <row r="304" spans="1:3" x14ac:dyDescent="0.25">
      <c r="A304" s="10">
        <v>53794</v>
      </c>
      <c r="B304" s="11" t="s">
        <v>14</v>
      </c>
      <c r="C304" s="11" t="s">
        <v>15</v>
      </c>
    </row>
    <row r="305" spans="1:3" x14ac:dyDescent="0.25">
      <c r="A305" s="10">
        <v>53803</v>
      </c>
      <c r="B305" s="11" t="s">
        <v>16</v>
      </c>
      <c r="C305" s="11" t="s">
        <v>17</v>
      </c>
    </row>
    <row r="306" spans="1:3" x14ac:dyDescent="0.25">
      <c r="A306" s="10">
        <v>53813</v>
      </c>
      <c r="B306" s="11" t="s">
        <v>18</v>
      </c>
      <c r="C306" s="11" t="s">
        <v>19</v>
      </c>
    </row>
    <row r="307" spans="1:3" x14ac:dyDescent="0.25">
      <c r="A307" s="10">
        <v>53856</v>
      </c>
      <c r="B307" s="11" t="s">
        <v>20</v>
      </c>
      <c r="C307" s="11" t="s">
        <v>21</v>
      </c>
    </row>
    <row r="308" spans="1:3" x14ac:dyDescent="0.25">
      <c r="A308" s="10">
        <v>53942</v>
      </c>
      <c r="B308" s="11" t="s">
        <v>22</v>
      </c>
      <c r="C308" s="11" t="s">
        <v>23</v>
      </c>
    </row>
    <row r="309" spans="1:3" x14ac:dyDescent="0.25">
      <c r="A309" s="10">
        <v>53977</v>
      </c>
      <c r="B309" s="11" t="s">
        <v>22</v>
      </c>
      <c r="C309" s="11" t="s">
        <v>24</v>
      </c>
    </row>
    <row r="310" spans="1:3" x14ac:dyDescent="0.25">
      <c r="A310" s="10">
        <v>53998</v>
      </c>
      <c r="B310" s="11" t="s">
        <v>22</v>
      </c>
      <c r="C310" s="11" t="s">
        <v>25</v>
      </c>
    </row>
    <row r="311" spans="1:3" x14ac:dyDescent="0.25">
      <c r="A311" s="10">
        <v>54011</v>
      </c>
      <c r="B311" s="11" t="s">
        <v>14</v>
      </c>
      <c r="C311" s="11" t="s">
        <v>26</v>
      </c>
    </row>
    <row r="312" spans="1:3" x14ac:dyDescent="0.25">
      <c r="A312" s="10">
        <v>54016</v>
      </c>
      <c r="B312" s="11" t="s">
        <v>18</v>
      </c>
      <c r="C312" s="11" t="s">
        <v>27</v>
      </c>
    </row>
    <row r="313" spans="1:3" x14ac:dyDescent="0.25">
      <c r="A313" s="10">
        <v>54051</v>
      </c>
      <c r="B313" s="11" t="s">
        <v>18</v>
      </c>
      <c r="C313" s="11" t="s">
        <v>28</v>
      </c>
    </row>
    <row r="314" spans="1:3" x14ac:dyDescent="0.25">
      <c r="A314" s="10">
        <v>54058</v>
      </c>
      <c r="B314" s="11" t="s">
        <v>18</v>
      </c>
      <c r="C314" s="11" t="s">
        <v>11</v>
      </c>
    </row>
    <row r="315" spans="1:3" x14ac:dyDescent="0.25">
      <c r="A315" s="10">
        <v>54105</v>
      </c>
      <c r="B315" s="11" t="s">
        <v>10</v>
      </c>
      <c r="C315" s="11" t="s">
        <v>12</v>
      </c>
    </row>
    <row r="316" spans="1:3" x14ac:dyDescent="0.25">
      <c r="A316" s="10">
        <v>54106</v>
      </c>
      <c r="B316" s="11" t="s">
        <v>13</v>
      </c>
      <c r="C316" s="11" t="s">
        <v>12</v>
      </c>
    </row>
    <row r="317" spans="1:3" x14ac:dyDescent="0.25">
      <c r="A317" s="10">
        <v>54151</v>
      </c>
      <c r="B317" s="11" t="s">
        <v>14</v>
      </c>
      <c r="C317" s="11" t="s">
        <v>15</v>
      </c>
    </row>
    <row r="318" spans="1:3" x14ac:dyDescent="0.25">
      <c r="A318" s="10">
        <v>54169</v>
      </c>
      <c r="B318" s="11" t="s">
        <v>13</v>
      </c>
      <c r="C318" s="11" t="s">
        <v>17</v>
      </c>
    </row>
    <row r="319" spans="1:3" x14ac:dyDescent="0.25">
      <c r="A319" s="10">
        <v>54179</v>
      </c>
      <c r="B319" s="11" t="s">
        <v>14</v>
      </c>
      <c r="C319" s="11" t="s">
        <v>19</v>
      </c>
    </row>
    <row r="320" spans="1:3" x14ac:dyDescent="0.25">
      <c r="A320" s="10">
        <v>54213</v>
      </c>
      <c r="B320" s="11" t="s">
        <v>20</v>
      </c>
      <c r="C320" s="11" t="s">
        <v>21</v>
      </c>
    </row>
    <row r="321" spans="1:3" x14ac:dyDescent="0.25">
      <c r="A321" s="10">
        <v>54308</v>
      </c>
      <c r="B321" s="11" t="s">
        <v>10</v>
      </c>
      <c r="C321" s="11" t="s">
        <v>23</v>
      </c>
    </row>
    <row r="322" spans="1:3" x14ac:dyDescent="0.25">
      <c r="A322" s="10">
        <v>54343</v>
      </c>
      <c r="B322" s="11" t="s">
        <v>10</v>
      </c>
      <c r="C322" s="11" t="s">
        <v>24</v>
      </c>
    </row>
    <row r="323" spans="1:3" x14ac:dyDescent="0.25">
      <c r="A323" s="10">
        <v>54364</v>
      </c>
      <c r="B323" s="11" t="s">
        <v>10</v>
      </c>
      <c r="C323" s="11" t="s">
        <v>25</v>
      </c>
    </row>
    <row r="324" spans="1:3" x14ac:dyDescent="0.25">
      <c r="A324" s="10">
        <v>54377</v>
      </c>
      <c r="B324" s="11" t="s">
        <v>16</v>
      </c>
      <c r="C324" s="11" t="s">
        <v>26</v>
      </c>
    </row>
    <row r="325" spans="1:3" x14ac:dyDescent="0.25">
      <c r="A325" s="10">
        <v>54382</v>
      </c>
      <c r="B325" s="11" t="s">
        <v>14</v>
      </c>
      <c r="C325" s="11" t="s">
        <v>27</v>
      </c>
    </row>
    <row r="326" spans="1:3" x14ac:dyDescent="0.25">
      <c r="A326" s="10">
        <v>54417</v>
      </c>
      <c r="B326" s="11" t="s">
        <v>14</v>
      </c>
      <c r="C326" s="11" t="s">
        <v>28</v>
      </c>
    </row>
    <row r="327" spans="1:3" x14ac:dyDescent="0.25">
      <c r="A327" s="10">
        <v>54424</v>
      </c>
      <c r="B327" s="11" t="s">
        <v>14</v>
      </c>
      <c r="C327" s="11" t="s">
        <v>11</v>
      </c>
    </row>
    <row r="328" spans="1:3" x14ac:dyDescent="0.25">
      <c r="A328" s="10">
        <v>54483</v>
      </c>
      <c r="B328" s="11" t="s">
        <v>10</v>
      </c>
      <c r="C328" s="11" t="s">
        <v>12</v>
      </c>
    </row>
    <row r="329" spans="1:3" x14ac:dyDescent="0.25">
      <c r="A329" s="10">
        <v>54484</v>
      </c>
      <c r="B329" s="11" t="s">
        <v>13</v>
      </c>
      <c r="C329" s="11" t="s">
        <v>12</v>
      </c>
    </row>
    <row r="330" spans="1:3" x14ac:dyDescent="0.25">
      <c r="A330" s="10">
        <v>54529</v>
      </c>
      <c r="B330" s="11" t="s">
        <v>14</v>
      </c>
      <c r="C330" s="11" t="s">
        <v>15</v>
      </c>
    </row>
    <row r="331" spans="1:3" x14ac:dyDescent="0.25">
      <c r="A331" s="10">
        <v>54534</v>
      </c>
      <c r="B331" s="11" t="s">
        <v>18</v>
      </c>
      <c r="C331" s="11" t="s">
        <v>17</v>
      </c>
    </row>
    <row r="332" spans="1:3" x14ac:dyDescent="0.25">
      <c r="A332" s="10">
        <v>54544</v>
      </c>
      <c r="B332" s="11" t="s">
        <v>22</v>
      </c>
      <c r="C332" s="11" t="s">
        <v>19</v>
      </c>
    </row>
    <row r="333" spans="1:3" x14ac:dyDescent="0.25">
      <c r="A333" s="10">
        <v>54591</v>
      </c>
      <c r="B333" s="11" t="s">
        <v>20</v>
      </c>
      <c r="C333" s="11" t="s">
        <v>21</v>
      </c>
    </row>
    <row r="334" spans="1:3" x14ac:dyDescent="0.25">
      <c r="A334" s="10">
        <v>54673</v>
      </c>
      <c r="B334" s="11" t="s">
        <v>13</v>
      </c>
      <c r="C334" s="11" t="s">
        <v>23</v>
      </c>
    </row>
    <row r="335" spans="1:3" x14ac:dyDescent="0.25">
      <c r="A335" s="10">
        <v>54708</v>
      </c>
      <c r="B335" s="11" t="s">
        <v>13</v>
      </c>
      <c r="C335" s="11" t="s">
        <v>24</v>
      </c>
    </row>
    <row r="336" spans="1:3" x14ac:dyDescent="0.25">
      <c r="A336" s="10">
        <v>54729</v>
      </c>
      <c r="B336" s="11" t="s">
        <v>13</v>
      </c>
      <c r="C336" s="11" t="s">
        <v>25</v>
      </c>
    </row>
    <row r="337" spans="1:3" x14ac:dyDescent="0.25">
      <c r="A337" s="10">
        <v>54742</v>
      </c>
      <c r="B337" s="11" t="s">
        <v>10</v>
      </c>
      <c r="C337" s="11" t="s">
        <v>26</v>
      </c>
    </row>
    <row r="338" spans="1:3" x14ac:dyDescent="0.25">
      <c r="A338" s="10">
        <v>54747</v>
      </c>
      <c r="B338" s="11" t="s">
        <v>22</v>
      </c>
      <c r="C338" s="11" t="s">
        <v>27</v>
      </c>
    </row>
    <row r="339" spans="1:3" x14ac:dyDescent="0.25">
      <c r="A339" s="10">
        <v>54782</v>
      </c>
      <c r="B339" s="11" t="s">
        <v>22</v>
      </c>
      <c r="C339" s="11" t="s">
        <v>28</v>
      </c>
    </row>
    <row r="340" spans="1:3" x14ac:dyDescent="0.25">
      <c r="A340" s="10">
        <v>54789</v>
      </c>
      <c r="B340" s="11" t="s">
        <v>22</v>
      </c>
      <c r="C340" s="11" t="s">
        <v>11</v>
      </c>
    </row>
    <row r="341" spans="1:3" x14ac:dyDescent="0.25">
      <c r="A341" s="10">
        <v>54840</v>
      </c>
      <c r="B341" s="11" t="s">
        <v>10</v>
      </c>
      <c r="C341" s="11" t="s">
        <v>12</v>
      </c>
    </row>
    <row r="342" spans="1:3" x14ac:dyDescent="0.25">
      <c r="A342" s="10">
        <v>54841</v>
      </c>
      <c r="B342" s="11" t="s">
        <v>13</v>
      </c>
      <c r="C342" s="11" t="s">
        <v>12</v>
      </c>
    </row>
    <row r="343" spans="1:3" x14ac:dyDescent="0.25">
      <c r="A343" s="10">
        <v>54886</v>
      </c>
      <c r="B343" s="11" t="s">
        <v>14</v>
      </c>
      <c r="C343" s="11" t="s">
        <v>15</v>
      </c>
    </row>
    <row r="344" spans="1:3" x14ac:dyDescent="0.25">
      <c r="A344" s="10">
        <v>54899</v>
      </c>
      <c r="B344" s="11" t="s">
        <v>20</v>
      </c>
      <c r="C344" s="11" t="s">
        <v>17</v>
      </c>
    </row>
    <row r="345" spans="1:3" x14ac:dyDescent="0.25">
      <c r="A345" s="10">
        <v>54909</v>
      </c>
      <c r="B345" s="11" t="s">
        <v>16</v>
      </c>
      <c r="C345" s="11" t="s">
        <v>19</v>
      </c>
    </row>
    <row r="346" spans="1:3" x14ac:dyDescent="0.25">
      <c r="A346" s="10">
        <v>54948</v>
      </c>
      <c r="B346" s="11" t="s">
        <v>20</v>
      </c>
      <c r="C346" s="11" t="s">
        <v>21</v>
      </c>
    </row>
    <row r="347" spans="1:3" x14ac:dyDescent="0.25">
      <c r="A347" s="10">
        <v>55038</v>
      </c>
      <c r="B347" s="11" t="s">
        <v>18</v>
      </c>
      <c r="C347" s="11" t="s">
        <v>23</v>
      </c>
    </row>
    <row r="348" spans="1:3" x14ac:dyDescent="0.25">
      <c r="A348" s="10">
        <v>55073</v>
      </c>
      <c r="B348" s="11" t="s">
        <v>18</v>
      </c>
      <c r="C348" s="11" t="s">
        <v>24</v>
      </c>
    </row>
    <row r="349" spans="1:3" x14ac:dyDescent="0.25">
      <c r="A349" s="10">
        <v>55094</v>
      </c>
      <c r="B349" s="11" t="s">
        <v>18</v>
      </c>
      <c r="C349" s="11" t="s">
        <v>25</v>
      </c>
    </row>
    <row r="350" spans="1:3" x14ac:dyDescent="0.25">
      <c r="A350" s="10">
        <v>55107</v>
      </c>
      <c r="B350" s="11" t="s">
        <v>13</v>
      </c>
      <c r="C350" s="11" t="s">
        <v>26</v>
      </c>
    </row>
    <row r="351" spans="1:3" x14ac:dyDescent="0.25">
      <c r="A351" s="10">
        <v>55112</v>
      </c>
      <c r="B351" s="11" t="s">
        <v>16</v>
      </c>
      <c r="C351" s="11" t="s">
        <v>27</v>
      </c>
    </row>
    <row r="352" spans="1:3" x14ac:dyDescent="0.25">
      <c r="A352" s="10">
        <v>55147</v>
      </c>
      <c r="B352" s="11" t="s">
        <v>16</v>
      </c>
      <c r="C352" s="11" t="s">
        <v>28</v>
      </c>
    </row>
    <row r="353" spans="1:3" x14ac:dyDescent="0.25">
      <c r="A353" s="10">
        <v>55154</v>
      </c>
      <c r="B353" s="11" t="s">
        <v>16</v>
      </c>
      <c r="C353" s="11" t="s">
        <v>11</v>
      </c>
    </row>
    <row r="354" spans="1:3" x14ac:dyDescent="0.25">
      <c r="A354" s="10">
        <v>55197</v>
      </c>
      <c r="B354" s="11" t="s">
        <v>10</v>
      </c>
      <c r="C354" s="11" t="s">
        <v>12</v>
      </c>
    </row>
    <row r="355" spans="1:3" x14ac:dyDescent="0.25">
      <c r="A355" s="10">
        <v>55198</v>
      </c>
      <c r="B355" s="11" t="s">
        <v>13</v>
      </c>
      <c r="C355" s="11" t="s">
        <v>12</v>
      </c>
    </row>
    <row r="356" spans="1:3" x14ac:dyDescent="0.25">
      <c r="A356" s="10">
        <v>55243</v>
      </c>
      <c r="B356" s="11" t="s">
        <v>14</v>
      </c>
      <c r="C356" s="11" t="s">
        <v>15</v>
      </c>
    </row>
    <row r="357" spans="1:3" x14ac:dyDescent="0.25">
      <c r="A357" s="10">
        <v>55264</v>
      </c>
      <c r="B357" s="11" t="s">
        <v>14</v>
      </c>
      <c r="C357" s="11" t="s">
        <v>17</v>
      </c>
    </row>
    <row r="358" spans="1:3" x14ac:dyDescent="0.25">
      <c r="A358" s="10">
        <v>55274</v>
      </c>
      <c r="B358" s="11" t="s">
        <v>10</v>
      </c>
      <c r="C358" s="11" t="s">
        <v>19</v>
      </c>
    </row>
    <row r="359" spans="1:3" x14ac:dyDescent="0.25">
      <c r="A359" s="10">
        <v>55305</v>
      </c>
      <c r="B359" s="11" t="s">
        <v>20</v>
      </c>
      <c r="C359" s="11" t="s">
        <v>21</v>
      </c>
    </row>
    <row r="360" spans="1:3" x14ac:dyDescent="0.25">
      <c r="A360" s="10">
        <v>55403</v>
      </c>
      <c r="B360" s="11" t="s">
        <v>20</v>
      </c>
      <c r="C360" s="11" t="s">
        <v>23</v>
      </c>
    </row>
    <row r="361" spans="1:3" x14ac:dyDescent="0.25">
      <c r="A361" s="10">
        <v>55438</v>
      </c>
      <c r="B361" s="11" t="s">
        <v>20</v>
      </c>
      <c r="C361" s="11" t="s">
        <v>24</v>
      </c>
    </row>
    <row r="362" spans="1:3" x14ac:dyDescent="0.25">
      <c r="A362" s="10">
        <v>55459</v>
      </c>
      <c r="B362" s="11" t="s">
        <v>20</v>
      </c>
      <c r="C362" s="11" t="s">
        <v>25</v>
      </c>
    </row>
    <row r="363" spans="1:3" x14ac:dyDescent="0.25">
      <c r="A363" s="10">
        <v>55472</v>
      </c>
      <c r="B363" s="11" t="s">
        <v>18</v>
      </c>
      <c r="C363" s="11" t="s">
        <v>26</v>
      </c>
    </row>
    <row r="364" spans="1:3" x14ac:dyDescent="0.25">
      <c r="A364" s="10">
        <v>55477</v>
      </c>
      <c r="B364" s="11" t="s">
        <v>10</v>
      </c>
      <c r="C364" s="11" t="s">
        <v>27</v>
      </c>
    </row>
    <row r="365" spans="1:3" x14ac:dyDescent="0.25">
      <c r="A365" s="10">
        <v>55512</v>
      </c>
      <c r="B365" s="11" t="s">
        <v>10</v>
      </c>
      <c r="C365" s="11" t="s">
        <v>28</v>
      </c>
    </row>
    <row r="366" spans="1:3" x14ac:dyDescent="0.25">
      <c r="A366" s="10">
        <v>55519</v>
      </c>
      <c r="B366" s="11" t="s">
        <v>10</v>
      </c>
      <c r="C366" s="11" t="s">
        <v>11</v>
      </c>
    </row>
    <row r="367" spans="1:3" x14ac:dyDescent="0.25">
      <c r="A367" s="10">
        <v>55582</v>
      </c>
      <c r="B367" s="11" t="s">
        <v>10</v>
      </c>
      <c r="C367" s="11" t="s">
        <v>12</v>
      </c>
    </row>
    <row r="368" spans="1:3" x14ac:dyDescent="0.25">
      <c r="A368" s="10">
        <v>55583</v>
      </c>
      <c r="B368" s="11" t="s">
        <v>13</v>
      </c>
      <c r="C368" s="11" t="s">
        <v>12</v>
      </c>
    </row>
    <row r="369" spans="1:3" x14ac:dyDescent="0.25">
      <c r="A369" s="10">
        <v>55628</v>
      </c>
      <c r="B369" s="11" t="s">
        <v>14</v>
      </c>
      <c r="C369" s="11" t="s">
        <v>15</v>
      </c>
    </row>
    <row r="370" spans="1:3" x14ac:dyDescent="0.25">
      <c r="A370" s="10">
        <v>55630</v>
      </c>
      <c r="B370" s="11" t="s">
        <v>16</v>
      </c>
      <c r="C370" s="11" t="s">
        <v>17</v>
      </c>
    </row>
    <row r="371" spans="1:3" x14ac:dyDescent="0.25">
      <c r="A371" s="10">
        <v>55640</v>
      </c>
      <c r="B371" s="11" t="s">
        <v>18</v>
      </c>
      <c r="C371" s="11" t="s">
        <v>19</v>
      </c>
    </row>
    <row r="372" spans="1:3" x14ac:dyDescent="0.25">
      <c r="A372" s="10">
        <v>55690</v>
      </c>
      <c r="B372" s="11" t="s">
        <v>20</v>
      </c>
      <c r="C372" s="11" t="s">
        <v>21</v>
      </c>
    </row>
    <row r="373" spans="1:3" x14ac:dyDescent="0.25">
      <c r="A373" s="10">
        <v>55769</v>
      </c>
      <c r="B373" s="11" t="s">
        <v>22</v>
      </c>
      <c r="C373" s="11" t="s">
        <v>23</v>
      </c>
    </row>
    <row r="374" spans="1:3" x14ac:dyDescent="0.25">
      <c r="A374" s="10">
        <v>55804</v>
      </c>
      <c r="B374" s="11" t="s">
        <v>22</v>
      </c>
      <c r="C374" s="11" t="s">
        <v>24</v>
      </c>
    </row>
    <row r="375" spans="1:3" x14ac:dyDescent="0.25">
      <c r="A375" s="10">
        <v>55825</v>
      </c>
      <c r="B375" s="11" t="s">
        <v>22</v>
      </c>
      <c r="C375" s="11" t="s">
        <v>25</v>
      </c>
    </row>
    <row r="376" spans="1:3" x14ac:dyDescent="0.25">
      <c r="A376" s="10">
        <v>55838</v>
      </c>
      <c r="B376" s="11" t="s">
        <v>14</v>
      </c>
      <c r="C376" s="11" t="s">
        <v>26</v>
      </c>
    </row>
    <row r="377" spans="1:3" x14ac:dyDescent="0.25">
      <c r="A377" s="10">
        <v>55843</v>
      </c>
      <c r="B377" s="11" t="s">
        <v>18</v>
      </c>
      <c r="C377" s="11" t="s">
        <v>27</v>
      </c>
    </row>
    <row r="378" spans="1:3" x14ac:dyDescent="0.25">
      <c r="A378" s="10">
        <v>55878</v>
      </c>
      <c r="B378" s="11" t="s">
        <v>18</v>
      </c>
      <c r="C378" s="11" t="s">
        <v>28</v>
      </c>
    </row>
    <row r="379" spans="1:3" x14ac:dyDescent="0.25">
      <c r="A379" s="10">
        <v>55885</v>
      </c>
      <c r="B379" s="11" t="s">
        <v>18</v>
      </c>
      <c r="C379" s="11" t="s">
        <v>11</v>
      </c>
    </row>
    <row r="380" spans="1:3" x14ac:dyDescent="0.25">
      <c r="A380" s="10">
        <v>55932</v>
      </c>
      <c r="B380" s="11" t="s">
        <v>10</v>
      </c>
      <c r="C380" s="11" t="s">
        <v>12</v>
      </c>
    </row>
    <row r="381" spans="1:3" x14ac:dyDescent="0.25">
      <c r="A381" s="10">
        <v>55933</v>
      </c>
      <c r="B381" s="11" t="s">
        <v>13</v>
      </c>
      <c r="C381" s="11" t="s">
        <v>12</v>
      </c>
    </row>
    <row r="382" spans="1:3" x14ac:dyDescent="0.25">
      <c r="A382" s="10">
        <v>55978</v>
      </c>
      <c r="B382" s="11" t="s">
        <v>14</v>
      </c>
      <c r="C382" s="11" t="s">
        <v>15</v>
      </c>
    </row>
    <row r="383" spans="1:3" x14ac:dyDescent="0.25">
      <c r="A383" s="10">
        <v>55995</v>
      </c>
      <c r="B383" s="11" t="s">
        <v>10</v>
      </c>
      <c r="C383" s="11" t="s">
        <v>17</v>
      </c>
    </row>
    <row r="384" spans="1:3" x14ac:dyDescent="0.25">
      <c r="A384" s="10">
        <v>56005</v>
      </c>
      <c r="B384" s="11" t="s">
        <v>20</v>
      </c>
      <c r="C384" s="11" t="s">
        <v>19</v>
      </c>
    </row>
    <row r="385" spans="1:3" x14ac:dyDescent="0.25">
      <c r="A385" s="10">
        <v>56040</v>
      </c>
      <c r="B385" s="11" t="s">
        <v>20</v>
      </c>
      <c r="C385" s="11" t="s">
        <v>21</v>
      </c>
    </row>
    <row r="386" spans="1:3" x14ac:dyDescent="0.25">
      <c r="A386" s="10">
        <v>56134</v>
      </c>
      <c r="B386" s="11" t="s">
        <v>16</v>
      </c>
      <c r="C386" s="11" t="s">
        <v>23</v>
      </c>
    </row>
    <row r="387" spans="1:3" x14ac:dyDescent="0.25">
      <c r="A387" s="10">
        <v>56169</v>
      </c>
      <c r="B387" s="11" t="s">
        <v>16</v>
      </c>
      <c r="C387" s="11" t="s">
        <v>24</v>
      </c>
    </row>
    <row r="388" spans="1:3" x14ac:dyDescent="0.25">
      <c r="A388" s="10">
        <v>56190</v>
      </c>
      <c r="B388" s="11" t="s">
        <v>16</v>
      </c>
      <c r="C388" s="11" t="s">
        <v>25</v>
      </c>
    </row>
    <row r="389" spans="1:3" x14ac:dyDescent="0.25">
      <c r="A389" s="10">
        <v>56203</v>
      </c>
      <c r="B389" s="11" t="s">
        <v>22</v>
      </c>
      <c r="C389" s="11" t="s">
        <v>26</v>
      </c>
    </row>
    <row r="390" spans="1:3" x14ac:dyDescent="0.25">
      <c r="A390" s="10">
        <v>56208</v>
      </c>
      <c r="B390" s="11" t="s">
        <v>20</v>
      </c>
      <c r="C390" s="11" t="s">
        <v>27</v>
      </c>
    </row>
    <row r="391" spans="1:3" x14ac:dyDescent="0.25">
      <c r="A391" s="10">
        <v>56243</v>
      </c>
      <c r="B391" s="11" t="s">
        <v>20</v>
      </c>
      <c r="C391" s="11" t="s">
        <v>28</v>
      </c>
    </row>
    <row r="392" spans="1:3" x14ac:dyDescent="0.25">
      <c r="A392" s="10">
        <v>56250</v>
      </c>
      <c r="B392" s="11" t="s">
        <v>20</v>
      </c>
      <c r="C392" s="11" t="s">
        <v>11</v>
      </c>
    </row>
    <row r="393" spans="1:3" x14ac:dyDescent="0.25">
      <c r="A393" s="10">
        <v>56289</v>
      </c>
      <c r="B393" s="11" t="s">
        <v>10</v>
      </c>
      <c r="C393" s="11" t="s">
        <v>12</v>
      </c>
    </row>
    <row r="394" spans="1:3" x14ac:dyDescent="0.25">
      <c r="A394" s="10">
        <v>56290</v>
      </c>
      <c r="B394" s="11" t="s">
        <v>13</v>
      </c>
      <c r="C394" s="11" t="s">
        <v>12</v>
      </c>
    </row>
    <row r="395" spans="1:3" x14ac:dyDescent="0.25">
      <c r="A395" s="10">
        <v>56335</v>
      </c>
      <c r="B395" s="11" t="s">
        <v>14</v>
      </c>
      <c r="C395" s="11" t="s">
        <v>15</v>
      </c>
    </row>
    <row r="396" spans="1:3" x14ac:dyDescent="0.25">
      <c r="A396" s="10">
        <v>56360</v>
      </c>
      <c r="B396" s="11" t="s">
        <v>13</v>
      </c>
      <c r="C396" s="11" t="s">
        <v>17</v>
      </c>
    </row>
    <row r="397" spans="1:3" x14ac:dyDescent="0.25">
      <c r="A397" s="10">
        <v>56370</v>
      </c>
      <c r="B397" s="11" t="s">
        <v>14</v>
      </c>
      <c r="C397" s="11" t="s">
        <v>19</v>
      </c>
    </row>
    <row r="398" spans="1:3" x14ac:dyDescent="0.25">
      <c r="A398" s="10">
        <v>56397</v>
      </c>
      <c r="B398" s="11" t="s">
        <v>20</v>
      </c>
      <c r="C398" s="11" t="s">
        <v>21</v>
      </c>
    </row>
    <row r="399" spans="1:3" x14ac:dyDescent="0.25">
      <c r="A399" s="10">
        <v>56499</v>
      </c>
      <c r="B399" s="11" t="s">
        <v>10</v>
      </c>
      <c r="C399" s="11" t="s">
        <v>23</v>
      </c>
    </row>
    <row r="400" spans="1:3" x14ac:dyDescent="0.25">
      <c r="A400" s="10">
        <v>56534</v>
      </c>
      <c r="B400" s="11" t="s">
        <v>10</v>
      </c>
      <c r="C400" s="11" t="s">
        <v>24</v>
      </c>
    </row>
    <row r="401" spans="1:3" x14ac:dyDescent="0.25">
      <c r="A401" s="10">
        <v>56555</v>
      </c>
      <c r="B401" s="11" t="s">
        <v>10</v>
      </c>
      <c r="C401" s="11" t="s">
        <v>25</v>
      </c>
    </row>
    <row r="402" spans="1:3" x14ac:dyDescent="0.25">
      <c r="A402" s="10">
        <v>56568</v>
      </c>
      <c r="B402" s="11" t="s">
        <v>16</v>
      </c>
      <c r="C402" s="11" t="s">
        <v>26</v>
      </c>
    </row>
    <row r="403" spans="1:3" x14ac:dyDescent="0.25">
      <c r="A403" s="10">
        <v>56573</v>
      </c>
      <c r="B403" s="11" t="s">
        <v>14</v>
      </c>
      <c r="C403" s="11" t="s">
        <v>27</v>
      </c>
    </row>
    <row r="404" spans="1:3" x14ac:dyDescent="0.25">
      <c r="A404" s="10">
        <v>56608</v>
      </c>
      <c r="B404" s="11" t="s">
        <v>14</v>
      </c>
      <c r="C404" s="11" t="s">
        <v>28</v>
      </c>
    </row>
    <row r="405" spans="1:3" x14ac:dyDescent="0.25">
      <c r="A405" s="10">
        <v>56615</v>
      </c>
      <c r="B405" s="11" t="s">
        <v>14</v>
      </c>
      <c r="C405" s="11" t="s">
        <v>11</v>
      </c>
    </row>
    <row r="406" spans="1:3" x14ac:dyDescent="0.25">
      <c r="A406" s="10">
        <v>56674</v>
      </c>
      <c r="B406" s="11" t="s">
        <v>10</v>
      </c>
      <c r="C406" s="11" t="s">
        <v>12</v>
      </c>
    </row>
    <row r="407" spans="1:3" x14ac:dyDescent="0.25">
      <c r="A407" s="10">
        <v>56675</v>
      </c>
      <c r="B407" s="11" t="s">
        <v>13</v>
      </c>
      <c r="C407" s="11" t="s">
        <v>12</v>
      </c>
    </row>
    <row r="408" spans="1:3" x14ac:dyDescent="0.25">
      <c r="A408" s="10">
        <v>56720</v>
      </c>
      <c r="B408" s="11" t="s">
        <v>14</v>
      </c>
      <c r="C408" s="11" t="s">
        <v>15</v>
      </c>
    </row>
    <row r="409" spans="1:3" x14ac:dyDescent="0.25">
      <c r="A409" s="10">
        <v>56725</v>
      </c>
      <c r="B409" s="11" t="s">
        <v>18</v>
      </c>
      <c r="C409" s="11" t="s">
        <v>17</v>
      </c>
    </row>
    <row r="410" spans="1:3" x14ac:dyDescent="0.25">
      <c r="A410" s="10">
        <v>56735</v>
      </c>
      <c r="B410" s="11" t="s">
        <v>22</v>
      </c>
      <c r="C410" s="11" t="s">
        <v>19</v>
      </c>
    </row>
    <row r="411" spans="1:3" x14ac:dyDescent="0.25">
      <c r="A411" s="10">
        <v>56782</v>
      </c>
      <c r="B411" s="11" t="s">
        <v>20</v>
      </c>
      <c r="C411" s="11" t="s">
        <v>21</v>
      </c>
    </row>
    <row r="412" spans="1:3" x14ac:dyDescent="0.25">
      <c r="A412" s="10">
        <v>56864</v>
      </c>
      <c r="B412" s="11" t="s">
        <v>13</v>
      </c>
      <c r="C412" s="11" t="s">
        <v>23</v>
      </c>
    </row>
    <row r="413" spans="1:3" x14ac:dyDescent="0.25">
      <c r="A413" s="10">
        <v>56899</v>
      </c>
      <c r="B413" s="11" t="s">
        <v>13</v>
      </c>
      <c r="C413" s="11" t="s">
        <v>24</v>
      </c>
    </row>
    <row r="414" spans="1:3" x14ac:dyDescent="0.25">
      <c r="A414" s="10">
        <v>56920</v>
      </c>
      <c r="B414" s="11" t="s">
        <v>13</v>
      </c>
      <c r="C414" s="11" t="s">
        <v>25</v>
      </c>
    </row>
    <row r="415" spans="1:3" x14ac:dyDescent="0.25">
      <c r="A415" s="10">
        <v>56933</v>
      </c>
      <c r="B415" s="11" t="s">
        <v>10</v>
      </c>
      <c r="C415" s="11" t="s">
        <v>26</v>
      </c>
    </row>
    <row r="416" spans="1:3" x14ac:dyDescent="0.25">
      <c r="A416" s="10">
        <v>56938</v>
      </c>
      <c r="B416" s="11" t="s">
        <v>22</v>
      </c>
      <c r="C416" s="11" t="s">
        <v>27</v>
      </c>
    </row>
    <row r="417" spans="1:3" x14ac:dyDescent="0.25">
      <c r="A417" s="10">
        <v>56973</v>
      </c>
      <c r="B417" s="11" t="s">
        <v>22</v>
      </c>
      <c r="C417" s="11" t="s">
        <v>28</v>
      </c>
    </row>
    <row r="418" spans="1:3" x14ac:dyDescent="0.25">
      <c r="A418" s="10">
        <v>56980</v>
      </c>
      <c r="B418" s="11" t="s">
        <v>22</v>
      </c>
      <c r="C418" s="11" t="s">
        <v>11</v>
      </c>
    </row>
    <row r="419" spans="1:3" x14ac:dyDescent="0.25">
      <c r="A419" s="10">
        <v>57024</v>
      </c>
      <c r="B419" s="11" t="s">
        <v>10</v>
      </c>
      <c r="C419" s="11" t="s">
        <v>12</v>
      </c>
    </row>
    <row r="420" spans="1:3" x14ac:dyDescent="0.25">
      <c r="A420" s="10">
        <v>57025</v>
      </c>
      <c r="B420" s="11" t="s">
        <v>13</v>
      </c>
      <c r="C420" s="11" t="s">
        <v>12</v>
      </c>
    </row>
    <row r="421" spans="1:3" x14ac:dyDescent="0.25">
      <c r="A421" s="10">
        <v>57070</v>
      </c>
      <c r="B421" s="11" t="s">
        <v>14</v>
      </c>
      <c r="C421" s="11" t="s">
        <v>15</v>
      </c>
    </row>
    <row r="422" spans="1:3" x14ac:dyDescent="0.25">
      <c r="A422" s="10">
        <v>57091</v>
      </c>
      <c r="B422" s="11" t="s">
        <v>14</v>
      </c>
      <c r="C422" s="11" t="s">
        <v>17</v>
      </c>
    </row>
    <row r="423" spans="1:3" x14ac:dyDescent="0.25">
      <c r="A423" s="10">
        <v>57101</v>
      </c>
      <c r="B423" s="11" t="s">
        <v>10</v>
      </c>
      <c r="C423" s="11" t="s">
        <v>19</v>
      </c>
    </row>
    <row r="424" spans="1:3" x14ac:dyDescent="0.25">
      <c r="A424" s="10">
        <v>57132</v>
      </c>
      <c r="B424" s="11" t="s">
        <v>20</v>
      </c>
      <c r="C424" s="11" t="s">
        <v>21</v>
      </c>
    </row>
    <row r="425" spans="1:3" x14ac:dyDescent="0.25">
      <c r="A425" s="10">
        <v>57230</v>
      </c>
      <c r="B425" s="11" t="s">
        <v>20</v>
      </c>
      <c r="C425" s="11" t="s">
        <v>23</v>
      </c>
    </row>
    <row r="426" spans="1:3" x14ac:dyDescent="0.25">
      <c r="A426" s="10">
        <v>57265</v>
      </c>
      <c r="B426" s="11" t="s">
        <v>20</v>
      </c>
      <c r="C426" s="11" t="s">
        <v>24</v>
      </c>
    </row>
    <row r="427" spans="1:3" x14ac:dyDescent="0.25">
      <c r="A427" s="10">
        <v>57286</v>
      </c>
      <c r="B427" s="11" t="s">
        <v>20</v>
      </c>
      <c r="C427" s="11" t="s">
        <v>25</v>
      </c>
    </row>
    <row r="428" spans="1:3" x14ac:dyDescent="0.25">
      <c r="A428" s="10">
        <v>57299</v>
      </c>
      <c r="B428" s="11" t="s">
        <v>18</v>
      </c>
      <c r="C428" s="11" t="s">
        <v>26</v>
      </c>
    </row>
    <row r="429" spans="1:3" x14ac:dyDescent="0.25">
      <c r="A429" s="10">
        <v>57304</v>
      </c>
      <c r="B429" s="11" t="s">
        <v>10</v>
      </c>
      <c r="C429" s="11" t="s">
        <v>27</v>
      </c>
    </row>
    <row r="430" spans="1:3" x14ac:dyDescent="0.25">
      <c r="A430" s="10">
        <v>57339</v>
      </c>
      <c r="B430" s="11" t="s">
        <v>10</v>
      </c>
      <c r="C430" s="11" t="s">
        <v>28</v>
      </c>
    </row>
    <row r="431" spans="1:3" x14ac:dyDescent="0.25">
      <c r="A431" s="10">
        <v>57346</v>
      </c>
      <c r="B431" s="11" t="s">
        <v>10</v>
      </c>
      <c r="C431" s="11" t="s">
        <v>11</v>
      </c>
    </row>
    <row r="432" spans="1:3" x14ac:dyDescent="0.25">
      <c r="A432" s="10">
        <v>57409</v>
      </c>
      <c r="B432" s="11" t="s">
        <v>10</v>
      </c>
      <c r="C432" s="11" t="s">
        <v>12</v>
      </c>
    </row>
    <row r="433" spans="1:3" x14ac:dyDescent="0.25">
      <c r="A433" s="10">
        <v>57410</v>
      </c>
      <c r="B433" s="11" t="s">
        <v>13</v>
      </c>
      <c r="C433" s="11" t="s">
        <v>12</v>
      </c>
    </row>
    <row r="434" spans="1:3" x14ac:dyDescent="0.25">
      <c r="A434" s="10">
        <v>57455</v>
      </c>
      <c r="B434" s="11" t="s">
        <v>14</v>
      </c>
      <c r="C434" s="11" t="s">
        <v>15</v>
      </c>
    </row>
    <row r="435" spans="1:3" x14ac:dyDescent="0.25">
      <c r="A435" s="10">
        <v>57456</v>
      </c>
      <c r="B435" s="11" t="s">
        <v>22</v>
      </c>
      <c r="C435" s="11" t="s">
        <v>17</v>
      </c>
    </row>
    <row r="436" spans="1:3" x14ac:dyDescent="0.25">
      <c r="A436" s="10">
        <v>57466</v>
      </c>
      <c r="B436" s="11" t="s">
        <v>13</v>
      </c>
      <c r="C436" s="11" t="s">
        <v>19</v>
      </c>
    </row>
    <row r="437" spans="1:3" x14ac:dyDescent="0.25">
      <c r="A437" s="10">
        <v>57517</v>
      </c>
      <c r="B437" s="11" t="s">
        <v>20</v>
      </c>
      <c r="C437" s="11" t="s">
        <v>21</v>
      </c>
    </row>
    <row r="438" spans="1:3" x14ac:dyDescent="0.25">
      <c r="A438" s="10">
        <v>57595</v>
      </c>
      <c r="B438" s="11" t="s">
        <v>14</v>
      </c>
      <c r="C438" s="11" t="s">
        <v>23</v>
      </c>
    </row>
    <row r="439" spans="1:3" x14ac:dyDescent="0.25">
      <c r="A439" s="10">
        <v>57630</v>
      </c>
      <c r="B439" s="11" t="s">
        <v>14</v>
      </c>
      <c r="C439" s="11" t="s">
        <v>24</v>
      </c>
    </row>
    <row r="440" spans="1:3" x14ac:dyDescent="0.25">
      <c r="A440" s="10">
        <v>57651</v>
      </c>
      <c r="B440" s="11" t="s">
        <v>14</v>
      </c>
      <c r="C440" s="11" t="s">
        <v>25</v>
      </c>
    </row>
    <row r="441" spans="1:3" x14ac:dyDescent="0.25">
      <c r="A441" s="10">
        <v>57664</v>
      </c>
      <c r="B441" s="11" t="s">
        <v>20</v>
      </c>
      <c r="C441" s="11" t="s">
        <v>26</v>
      </c>
    </row>
    <row r="442" spans="1:3" x14ac:dyDescent="0.25">
      <c r="A442" s="10">
        <v>57669</v>
      </c>
      <c r="B442" s="11" t="s">
        <v>13</v>
      </c>
      <c r="C442" s="11" t="s">
        <v>27</v>
      </c>
    </row>
    <row r="443" spans="1:3" x14ac:dyDescent="0.25">
      <c r="A443" s="10">
        <v>57704</v>
      </c>
      <c r="B443" s="11" t="s">
        <v>13</v>
      </c>
      <c r="C443" s="11" t="s">
        <v>28</v>
      </c>
    </row>
    <row r="444" spans="1:3" x14ac:dyDescent="0.25">
      <c r="A444" s="10">
        <v>57711</v>
      </c>
      <c r="B444" s="11" t="s">
        <v>13</v>
      </c>
      <c r="C444" s="11" t="s">
        <v>11</v>
      </c>
    </row>
    <row r="445" spans="1:3" x14ac:dyDescent="0.25">
      <c r="A445" s="10">
        <v>57766</v>
      </c>
      <c r="B445" s="11" t="s">
        <v>10</v>
      </c>
      <c r="C445" s="11" t="s">
        <v>12</v>
      </c>
    </row>
    <row r="446" spans="1:3" x14ac:dyDescent="0.25">
      <c r="A446" s="10">
        <v>57767</v>
      </c>
      <c r="B446" s="11" t="s">
        <v>13</v>
      </c>
      <c r="C446" s="11" t="s">
        <v>12</v>
      </c>
    </row>
    <row r="447" spans="1:3" x14ac:dyDescent="0.25">
      <c r="A447" s="10">
        <v>57812</v>
      </c>
      <c r="B447" s="11" t="s">
        <v>14</v>
      </c>
      <c r="C447" s="11" t="s">
        <v>15</v>
      </c>
    </row>
    <row r="448" spans="1:3" x14ac:dyDescent="0.25">
      <c r="A448" s="10">
        <v>57821</v>
      </c>
      <c r="B448" s="11" t="s">
        <v>16</v>
      </c>
      <c r="C448" s="11" t="s">
        <v>17</v>
      </c>
    </row>
    <row r="449" spans="1:3" x14ac:dyDescent="0.25">
      <c r="A449" s="10">
        <v>57831</v>
      </c>
      <c r="B449" s="11" t="s">
        <v>18</v>
      </c>
      <c r="C449" s="11" t="s">
        <v>19</v>
      </c>
    </row>
    <row r="450" spans="1:3" x14ac:dyDescent="0.25">
      <c r="A450" s="10">
        <v>57874</v>
      </c>
      <c r="B450" s="11" t="s">
        <v>20</v>
      </c>
      <c r="C450" s="11" t="s">
        <v>21</v>
      </c>
    </row>
    <row r="451" spans="1:3" x14ac:dyDescent="0.25">
      <c r="A451" s="10">
        <v>57960</v>
      </c>
      <c r="B451" s="11" t="s">
        <v>22</v>
      </c>
      <c r="C451" s="11" t="s">
        <v>23</v>
      </c>
    </row>
    <row r="452" spans="1:3" x14ac:dyDescent="0.25">
      <c r="A452" s="10">
        <v>57995</v>
      </c>
      <c r="B452" s="11" t="s">
        <v>22</v>
      </c>
      <c r="C452" s="11" t="s">
        <v>24</v>
      </c>
    </row>
    <row r="453" spans="1:3" x14ac:dyDescent="0.25">
      <c r="A453" s="10">
        <v>58016</v>
      </c>
      <c r="B453" s="11" t="s">
        <v>22</v>
      </c>
      <c r="C453" s="11" t="s">
        <v>25</v>
      </c>
    </row>
    <row r="454" spans="1:3" x14ac:dyDescent="0.25">
      <c r="A454" s="10">
        <v>58029</v>
      </c>
      <c r="B454" s="11" t="s">
        <v>14</v>
      </c>
      <c r="C454" s="11" t="s">
        <v>26</v>
      </c>
    </row>
    <row r="455" spans="1:3" x14ac:dyDescent="0.25">
      <c r="A455" s="10">
        <v>58034</v>
      </c>
      <c r="B455" s="11" t="s">
        <v>18</v>
      </c>
      <c r="C455" s="11" t="s">
        <v>27</v>
      </c>
    </row>
    <row r="456" spans="1:3" x14ac:dyDescent="0.25">
      <c r="A456" s="10">
        <v>58069</v>
      </c>
      <c r="B456" s="11" t="s">
        <v>18</v>
      </c>
      <c r="C456" s="11" t="s">
        <v>28</v>
      </c>
    </row>
    <row r="457" spans="1:3" x14ac:dyDescent="0.25">
      <c r="A457" s="10">
        <v>58076</v>
      </c>
      <c r="B457" s="11" t="s">
        <v>18</v>
      </c>
      <c r="C457" s="11" t="s">
        <v>11</v>
      </c>
    </row>
    <row r="458" spans="1:3" x14ac:dyDescent="0.25">
      <c r="A458" s="10">
        <v>58116</v>
      </c>
      <c r="B458" s="11" t="s">
        <v>10</v>
      </c>
      <c r="C458" s="11" t="s">
        <v>12</v>
      </c>
    </row>
    <row r="459" spans="1:3" x14ac:dyDescent="0.25">
      <c r="A459" s="10">
        <v>58117</v>
      </c>
      <c r="B459" s="11" t="s">
        <v>13</v>
      </c>
      <c r="C459" s="11" t="s">
        <v>12</v>
      </c>
    </row>
    <row r="460" spans="1:3" x14ac:dyDescent="0.25">
      <c r="A460" s="10">
        <v>58162</v>
      </c>
      <c r="B460" s="11" t="s">
        <v>14</v>
      </c>
      <c r="C460" s="11" t="s">
        <v>15</v>
      </c>
    </row>
    <row r="461" spans="1:3" x14ac:dyDescent="0.25">
      <c r="A461" s="10">
        <v>58186</v>
      </c>
      <c r="B461" s="11" t="s">
        <v>10</v>
      </c>
      <c r="C461" s="11" t="s">
        <v>17</v>
      </c>
    </row>
    <row r="462" spans="1:3" x14ac:dyDescent="0.25">
      <c r="A462" s="10">
        <v>58196</v>
      </c>
      <c r="B462" s="11" t="s">
        <v>20</v>
      </c>
      <c r="C462" s="11" t="s">
        <v>19</v>
      </c>
    </row>
    <row r="463" spans="1:3" x14ac:dyDescent="0.25">
      <c r="A463" s="10">
        <v>58224</v>
      </c>
      <c r="B463" s="11" t="s">
        <v>20</v>
      </c>
      <c r="C463" s="11" t="s">
        <v>21</v>
      </c>
    </row>
    <row r="464" spans="1:3" x14ac:dyDescent="0.25">
      <c r="A464" s="10">
        <v>58325</v>
      </c>
      <c r="B464" s="11" t="s">
        <v>16</v>
      </c>
      <c r="C464" s="11" t="s">
        <v>23</v>
      </c>
    </row>
    <row r="465" spans="1:3" x14ac:dyDescent="0.25">
      <c r="A465" s="10">
        <v>58360</v>
      </c>
      <c r="B465" s="11" t="s">
        <v>16</v>
      </c>
      <c r="C465" s="11" t="s">
        <v>24</v>
      </c>
    </row>
    <row r="466" spans="1:3" x14ac:dyDescent="0.25">
      <c r="A466" s="10">
        <v>58381</v>
      </c>
      <c r="B466" s="11" t="s">
        <v>16</v>
      </c>
      <c r="C466" s="11" t="s">
        <v>25</v>
      </c>
    </row>
    <row r="467" spans="1:3" x14ac:dyDescent="0.25">
      <c r="A467" s="10">
        <v>58394</v>
      </c>
      <c r="B467" s="11" t="s">
        <v>22</v>
      </c>
      <c r="C467" s="11" t="s">
        <v>26</v>
      </c>
    </row>
    <row r="468" spans="1:3" x14ac:dyDescent="0.25">
      <c r="A468" s="10">
        <v>58399</v>
      </c>
      <c r="B468" s="11" t="s">
        <v>20</v>
      </c>
      <c r="C468" s="11" t="s">
        <v>27</v>
      </c>
    </row>
    <row r="469" spans="1:3" x14ac:dyDescent="0.25">
      <c r="A469" s="10">
        <v>58434</v>
      </c>
      <c r="B469" s="11" t="s">
        <v>20</v>
      </c>
      <c r="C469" s="11" t="s">
        <v>28</v>
      </c>
    </row>
    <row r="470" spans="1:3" x14ac:dyDescent="0.25">
      <c r="A470" s="10">
        <v>58441</v>
      </c>
      <c r="B470" s="11" t="s">
        <v>20</v>
      </c>
      <c r="C470" s="11" t="s">
        <v>11</v>
      </c>
    </row>
    <row r="471" spans="1:3" x14ac:dyDescent="0.25">
      <c r="A471" s="10">
        <v>58501</v>
      </c>
      <c r="B471" s="11" t="s">
        <v>10</v>
      </c>
      <c r="C471" s="11" t="s">
        <v>12</v>
      </c>
    </row>
    <row r="472" spans="1:3" x14ac:dyDescent="0.25">
      <c r="A472" s="10">
        <v>58502</v>
      </c>
      <c r="B472" s="11" t="s">
        <v>13</v>
      </c>
      <c r="C472" s="11" t="s">
        <v>12</v>
      </c>
    </row>
    <row r="473" spans="1:3" x14ac:dyDescent="0.25">
      <c r="A473" s="10">
        <v>58547</v>
      </c>
      <c r="B473" s="11" t="s">
        <v>14</v>
      </c>
      <c r="C473" s="11" t="s">
        <v>15</v>
      </c>
    </row>
    <row r="474" spans="1:3" x14ac:dyDescent="0.25">
      <c r="A474" s="10">
        <v>58552</v>
      </c>
      <c r="B474" s="11" t="s">
        <v>18</v>
      </c>
      <c r="C474" s="11" t="s">
        <v>17</v>
      </c>
    </row>
    <row r="475" spans="1:3" x14ac:dyDescent="0.25">
      <c r="A475" s="10">
        <v>58562</v>
      </c>
      <c r="B475" s="11" t="s">
        <v>22</v>
      </c>
      <c r="C475" s="11" t="s">
        <v>19</v>
      </c>
    </row>
    <row r="476" spans="1:3" x14ac:dyDescent="0.25">
      <c r="A476" s="10">
        <v>58609</v>
      </c>
      <c r="B476" s="11" t="s">
        <v>20</v>
      </c>
      <c r="C476" s="11" t="s">
        <v>21</v>
      </c>
    </row>
    <row r="477" spans="1:3" x14ac:dyDescent="0.25">
      <c r="A477" s="10">
        <v>58691</v>
      </c>
      <c r="B477" s="11" t="s">
        <v>13</v>
      </c>
      <c r="C477" s="11" t="s">
        <v>23</v>
      </c>
    </row>
    <row r="478" spans="1:3" x14ac:dyDescent="0.25">
      <c r="A478" s="10">
        <v>58726</v>
      </c>
      <c r="B478" s="11" t="s">
        <v>13</v>
      </c>
      <c r="C478" s="11" t="s">
        <v>24</v>
      </c>
    </row>
    <row r="479" spans="1:3" x14ac:dyDescent="0.25">
      <c r="A479" s="10">
        <v>58747</v>
      </c>
      <c r="B479" s="11" t="s">
        <v>13</v>
      </c>
      <c r="C479" s="11" t="s">
        <v>25</v>
      </c>
    </row>
    <row r="480" spans="1:3" x14ac:dyDescent="0.25">
      <c r="A480" s="10">
        <v>58760</v>
      </c>
      <c r="B480" s="11" t="s">
        <v>10</v>
      </c>
      <c r="C480" s="11" t="s">
        <v>26</v>
      </c>
    </row>
    <row r="481" spans="1:3" x14ac:dyDescent="0.25">
      <c r="A481" s="10">
        <v>58765</v>
      </c>
      <c r="B481" s="11" t="s">
        <v>22</v>
      </c>
      <c r="C481" s="11" t="s">
        <v>27</v>
      </c>
    </row>
    <row r="482" spans="1:3" x14ac:dyDescent="0.25">
      <c r="A482" s="10">
        <v>58800</v>
      </c>
      <c r="B482" s="11" t="s">
        <v>22</v>
      </c>
      <c r="C482" s="11" t="s">
        <v>28</v>
      </c>
    </row>
    <row r="483" spans="1:3" x14ac:dyDescent="0.25">
      <c r="A483" s="10">
        <v>58807</v>
      </c>
      <c r="B483" s="11" t="s">
        <v>22</v>
      </c>
      <c r="C483" s="11" t="s">
        <v>11</v>
      </c>
    </row>
    <row r="484" spans="1:3" x14ac:dyDescent="0.25">
      <c r="A484" s="10">
        <v>58858</v>
      </c>
      <c r="B484" s="11" t="s">
        <v>10</v>
      </c>
      <c r="C484" s="11" t="s">
        <v>12</v>
      </c>
    </row>
    <row r="485" spans="1:3" x14ac:dyDescent="0.25">
      <c r="A485" s="10">
        <v>58859</v>
      </c>
      <c r="B485" s="11" t="s">
        <v>13</v>
      </c>
      <c r="C485" s="11" t="s">
        <v>12</v>
      </c>
    </row>
    <row r="486" spans="1:3" x14ac:dyDescent="0.25">
      <c r="A486" s="10">
        <v>58904</v>
      </c>
      <c r="B486" s="11" t="s">
        <v>14</v>
      </c>
      <c r="C486" s="11" t="s">
        <v>15</v>
      </c>
    </row>
    <row r="487" spans="1:3" x14ac:dyDescent="0.25">
      <c r="A487" s="10">
        <v>58917</v>
      </c>
      <c r="B487" s="11" t="s">
        <v>20</v>
      </c>
      <c r="C487" s="11" t="s">
        <v>17</v>
      </c>
    </row>
    <row r="488" spans="1:3" x14ac:dyDescent="0.25">
      <c r="A488" s="10">
        <v>58927</v>
      </c>
      <c r="B488" s="11" t="s">
        <v>16</v>
      </c>
      <c r="C488" s="11" t="s">
        <v>19</v>
      </c>
    </row>
    <row r="489" spans="1:3" x14ac:dyDescent="0.25">
      <c r="A489" s="10">
        <v>58966</v>
      </c>
      <c r="B489" s="11" t="s">
        <v>20</v>
      </c>
      <c r="C489" s="11" t="s">
        <v>21</v>
      </c>
    </row>
    <row r="490" spans="1:3" x14ac:dyDescent="0.25">
      <c r="A490" s="10">
        <v>59056</v>
      </c>
      <c r="B490" s="11" t="s">
        <v>18</v>
      </c>
      <c r="C490" s="11" t="s">
        <v>23</v>
      </c>
    </row>
    <row r="491" spans="1:3" x14ac:dyDescent="0.25">
      <c r="A491" s="10">
        <v>59091</v>
      </c>
      <c r="B491" s="11" t="s">
        <v>18</v>
      </c>
      <c r="C491" s="11" t="s">
        <v>24</v>
      </c>
    </row>
    <row r="492" spans="1:3" x14ac:dyDescent="0.25">
      <c r="A492" s="10">
        <v>59112</v>
      </c>
      <c r="B492" s="11" t="s">
        <v>18</v>
      </c>
      <c r="C492" s="11" t="s">
        <v>25</v>
      </c>
    </row>
    <row r="493" spans="1:3" x14ac:dyDescent="0.25">
      <c r="A493" s="10">
        <v>59125</v>
      </c>
      <c r="B493" s="11" t="s">
        <v>13</v>
      </c>
      <c r="C493" s="11" t="s">
        <v>26</v>
      </c>
    </row>
    <row r="494" spans="1:3" x14ac:dyDescent="0.25">
      <c r="A494" s="10">
        <v>59130</v>
      </c>
      <c r="B494" s="11" t="s">
        <v>16</v>
      </c>
      <c r="C494" s="11" t="s">
        <v>27</v>
      </c>
    </row>
    <row r="495" spans="1:3" x14ac:dyDescent="0.25">
      <c r="A495" s="10">
        <v>59165</v>
      </c>
      <c r="B495" s="11" t="s">
        <v>16</v>
      </c>
      <c r="C495" s="11" t="s">
        <v>28</v>
      </c>
    </row>
    <row r="496" spans="1:3" x14ac:dyDescent="0.25">
      <c r="A496" s="10">
        <v>59172</v>
      </c>
      <c r="B496" s="11" t="s">
        <v>16</v>
      </c>
      <c r="C496" s="11" t="s">
        <v>11</v>
      </c>
    </row>
    <row r="497" spans="1:3" x14ac:dyDescent="0.25">
      <c r="A497" s="10">
        <v>59208</v>
      </c>
      <c r="B497" s="11" t="s">
        <v>10</v>
      </c>
      <c r="C497" s="11" t="s">
        <v>12</v>
      </c>
    </row>
    <row r="498" spans="1:3" x14ac:dyDescent="0.25">
      <c r="A498" s="10">
        <v>59209</v>
      </c>
      <c r="B498" s="11" t="s">
        <v>13</v>
      </c>
      <c r="C498" s="11" t="s">
        <v>12</v>
      </c>
    </row>
    <row r="499" spans="1:3" x14ac:dyDescent="0.25">
      <c r="A499" s="10">
        <v>59254</v>
      </c>
      <c r="B499" s="11" t="s">
        <v>14</v>
      </c>
      <c r="C499" s="11" t="s">
        <v>15</v>
      </c>
    </row>
    <row r="500" spans="1:3" x14ac:dyDescent="0.25">
      <c r="A500" s="10">
        <v>59282</v>
      </c>
      <c r="B500" s="11" t="s">
        <v>14</v>
      </c>
      <c r="C500" s="11" t="s">
        <v>17</v>
      </c>
    </row>
    <row r="501" spans="1:3" x14ac:dyDescent="0.25">
      <c r="A501" s="10">
        <v>59292</v>
      </c>
      <c r="B501" s="11" t="s">
        <v>10</v>
      </c>
      <c r="C501" s="11" t="s">
        <v>19</v>
      </c>
    </row>
    <row r="502" spans="1:3" x14ac:dyDescent="0.25">
      <c r="A502" s="10">
        <v>59316</v>
      </c>
      <c r="B502" s="11" t="s">
        <v>20</v>
      </c>
      <c r="C502" s="11" t="s">
        <v>21</v>
      </c>
    </row>
    <row r="503" spans="1:3" x14ac:dyDescent="0.25">
      <c r="A503" s="10">
        <v>59421</v>
      </c>
      <c r="B503" s="11" t="s">
        <v>20</v>
      </c>
      <c r="C503" s="11" t="s">
        <v>23</v>
      </c>
    </row>
    <row r="504" spans="1:3" x14ac:dyDescent="0.25">
      <c r="A504" s="10">
        <v>59456</v>
      </c>
      <c r="B504" s="11" t="s">
        <v>20</v>
      </c>
      <c r="C504" s="11" t="s">
        <v>24</v>
      </c>
    </row>
    <row r="505" spans="1:3" x14ac:dyDescent="0.25">
      <c r="A505" s="10">
        <v>59477</v>
      </c>
      <c r="B505" s="11" t="s">
        <v>20</v>
      </c>
      <c r="C505" s="11" t="s">
        <v>25</v>
      </c>
    </row>
    <row r="506" spans="1:3" x14ac:dyDescent="0.25">
      <c r="A506" s="10">
        <v>59490</v>
      </c>
      <c r="B506" s="11" t="s">
        <v>18</v>
      </c>
      <c r="C506" s="11" t="s">
        <v>26</v>
      </c>
    </row>
    <row r="507" spans="1:3" x14ac:dyDescent="0.25">
      <c r="A507" s="10">
        <v>59495</v>
      </c>
      <c r="B507" s="11" t="s">
        <v>10</v>
      </c>
      <c r="C507" s="11" t="s">
        <v>27</v>
      </c>
    </row>
    <row r="508" spans="1:3" x14ac:dyDescent="0.25">
      <c r="A508" s="10">
        <v>59530</v>
      </c>
      <c r="B508" s="11" t="s">
        <v>10</v>
      </c>
      <c r="C508" s="11" t="s">
        <v>28</v>
      </c>
    </row>
    <row r="509" spans="1:3" x14ac:dyDescent="0.25">
      <c r="A509" s="10">
        <v>59537</v>
      </c>
      <c r="B509" s="11" t="s">
        <v>10</v>
      </c>
      <c r="C509" s="11" t="s">
        <v>11</v>
      </c>
    </row>
    <row r="510" spans="1:3" x14ac:dyDescent="0.25">
      <c r="A510" s="10">
        <v>59593</v>
      </c>
      <c r="B510" s="11" t="s">
        <v>10</v>
      </c>
      <c r="C510" s="11" t="s">
        <v>12</v>
      </c>
    </row>
    <row r="511" spans="1:3" x14ac:dyDescent="0.25">
      <c r="A511" s="10">
        <v>59594</v>
      </c>
      <c r="B511" s="11" t="s">
        <v>13</v>
      </c>
      <c r="C511" s="11" t="s">
        <v>12</v>
      </c>
    </row>
    <row r="512" spans="1:3" x14ac:dyDescent="0.25">
      <c r="A512" s="10">
        <v>59639</v>
      </c>
      <c r="B512" s="11" t="s">
        <v>14</v>
      </c>
      <c r="C512" s="11" t="s">
        <v>15</v>
      </c>
    </row>
    <row r="513" spans="1:3" x14ac:dyDescent="0.25">
      <c r="A513" s="10">
        <v>59647</v>
      </c>
      <c r="B513" s="11" t="s">
        <v>22</v>
      </c>
      <c r="C513" s="11" t="s">
        <v>17</v>
      </c>
    </row>
    <row r="514" spans="1:3" x14ac:dyDescent="0.25">
      <c r="A514" s="10">
        <v>59657</v>
      </c>
      <c r="B514" s="11" t="s">
        <v>13</v>
      </c>
      <c r="C514" s="11" t="s">
        <v>19</v>
      </c>
    </row>
    <row r="515" spans="1:3" x14ac:dyDescent="0.25">
      <c r="A515" s="10">
        <v>59701</v>
      </c>
      <c r="B515" s="11" t="s">
        <v>20</v>
      </c>
      <c r="C515" s="11" t="s">
        <v>21</v>
      </c>
    </row>
    <row r="516" spans="1:3" x14ac:dyDescent="0.25">
      <c r="A516" s="10">
        <v>59786</v>
      </c>
      <c r="B516" s="11" t="s">
        <v>14</v>
      </c>
      <c r="C516" s="11" t="s">
        <v>23</v>
      </c>
    </row>
    <row r="517" spans="1:3" x14ac:dyDescent="0.25">
      <c r="A517" s="10">
        <v>59821</v>
      </c>
      <c r="B517" s="11" t="s">
        <v>14</v>
      </c>
      <c r="C517" s="11" t="s">
        <v>24</v>
      </c>
    </row>
    <row r="518" spans="1:3" x14ac:dyDescent="0.25">
      <c r="A518" s="10">
        <v>59842</v>
      </c>
      <c r="B518" s="11" t="s">
        <v>14</v>
      </c>
      <c r="C518" s="11" t="s">
        <v>25</v>
      </c>
    </row>
    <row r="519" spans="1:3" x14ac:dyDescent="0.25">
      <c r="A519" s="10">
        <v>59855</v>
      </c>
      <c r="B519" s="11" t="s">
        <v>20</v>
      </c>
      <c r="C519" s="11" t="s">
        <v>26</v>
      </c>
    </row>
    <row r="520" spans="1:3" x14ac:dyDescent="0.25">
      <c r="A520" s="10">
        <v>59860</v>
      </c>
      <c r="B520" s="11" t="s">
        <v>13</v>
      </c>
      <c r="C520" s="11" t="s">
        <v>27</v>
      </c>
    </row>
    <row r="521" spans="1:3" x14ac:dyDescent="0.25">
      <c r="A521" s="10">
        <v>59895</v>
      </c>
      <c r="B521" s="11" t="s">
        <v>13</v>
      </c>
      <c r="C521" s="11" t="s">
        <v>28</v>
      </c>
    </row>
    <row r="522" spans="1:3" x14ac:dyDescent="0.25">
      <c r="A522" s="10">
        <v>59902</v>
      </c>
      <c r="B522" s="11" t="s">
        <v>13</v>
      </c>
      <c r="C522" s="11" t="s">
        <v>11</v>
      </c>
    </row>
    <row r="523" spans="1:3" x14ac:dyDescent="0.25">
      <c r="A523" s="10">
        <v>59950</v>
      </c>
      <c r="B523" s="11" t="s">
        <v>10</v>
      </c>
      <c r="C523" s="11" t="s">
        <v>12</v>
      </c>
    </row>
    <row r="524" spans="1:3" x14ac:dyDescent="0.25">
      <c r="A524" s="10">
        <v>59951</v>
      </c>
      <c r="B524" s="11" t="s">
        <v>13</v>
      </c>
      <c r="C524" s="11" t="s">
        <v>12</v>
      </c>
    </row>
    <row r="525" spans="1:3" x14ac:dyDescent="0.25">
      <c r="A525" s="10">
        <v>59996</v>
      </c>
      <c r="B525" s="11" t="s">
        <v>14</v>
      </c>
      <c r="C525" s="11" t="s">
        <v>15</v>
      </c>
    </row>
    <row r="526" spans="1:3" x14ac:dyDescent="0.25">
      <c r="A526" s="10">
        <v>60013</v>
      </c>
      <c r="B526" s="11" t="s">
        <v>10</v>
      </c>
      <c r="C526" s="11" t="s">
        <v>17</v>
      </c>
    </row>
    <row r="527" spans="1:3" x14ac:dyDescent="0.25">
      <c r="A527" s="10">
        <v>60023</v>
      </c>
      <c r="B527" s="11" t="s">
        <v>20</v>
      </c>
      <c r="C527" s="11" t="s">
        <v>19</v>
      </c>
    </row>
    <row r="528" spans="1:3" x14ac:dyDescent="0.25">
      <c r="A528" s="10">
        <v>60058</v>
      </c>
      <c r="B528" s="11" t="s">
        <v>20</v>
      </c>
      <c r="C528" s="11" t="s">
        <v>21</v>
      </c>
    </row>
    <row r="529" spans="1:3" x14ac:dyDescent="0.25">
      <c r="A529" s="10">
        <v>60152</v>
      </c>
      <c r="B529" s="11" t="s">
        <v>16</v>
      </c>
      <c r="C529" s="11" t="s">
        <v>23</v>
      </c>
    </row>
    <row r="530" spans="1:3" x14ac:dyDescent="0.25">
      <c r="A530" s="10">
        <v>60187</v>
      </c>
      <c r="B530" s="11" t="s">
        <v>16</v>
      </c>
      <c r="C530" s="11" t="s">
        <v>24</v>
      </c>
    </row>
    <row r="531" spans="1:3" x14ac:dyDescent="0.25">
      <c r="A531" s="10">
        <v>60208</v>
      </c>
      <c r="B531" s="11" t="s">
        <v>16</v>
      </c>
      <c r="C531" s="11" t="s">
        <v>25</v>
      </c>
    </row>
    <row r="532" spans="1:3" x14ac:dyDescent="0.25">
      <c r="A532" s="10">
        <v>60221</v>
      </c>
      <c r="B532" s="11" t="s">
        <v>22</v>
      </c>
      <c r="C532" s="11" t="s">
        <v>26</v>
      </c>
    </row>
    <row r="533" spans="1:3" x14ac:dyDescent="0.25">
      <c r="A533" s="10">
        <v>60226</v>
      </c>
      <c r="B533" s="11" t="s">
        <v>20</v>
      </c>
      <c r="C533" s="11" t="s">
        <v>27</v>
      </c>
    </row>
    <row r="534" spans="1:3" x14ac:dyDescent="0.25">
      <c r="A534" s="10">
        <v>60261</v>
      </c>
      <c r="B534" s="11" t="s">
        <v>20</v>
      </c>
      <c r="C534" s="11" t="s">
        <v>28</v>
      </c>
    </row>
    <row r="535" spans="1:3" x14ac:dyDescent="0.25">
      <c r="A535" s="10">
        <v>60268</v>
      </c>
      <c r="B535" s="11" t="s">
        <v>20</v>
      </c>
      <c r="C535" s="11" t="s">
        <v>11</v>
      </c>
    </row>
    <row r="536" spans="1:3" x14ac:dyDescent="0.25">
      <c r="A536" s="10">
        <v>60307</v>
      </c>
      <c r="B536" s="11" t="s">
        <v>10</v>
      </c>
      <c r="C536" s="11" t="s">
        <v>12</v>
      </c>
    </row>
    <row r="537" spans="1:3" x14ac:dyDescent="0.25">
      <c r="A537" s="10">
        <v>60308</v>
      </c>
      <c r="B537" s="11" t="s">
        <v>13</v>
      </c>
      <c r="C537" s="11" t="s">
        <v>12</v>
      </c>
    </row>
    <row r="538" spans="1:3" x14ac:dyDescent="0.25">
      <c r="A538" s="10">
        <v>60353</v>
      </c>
      <c r="B538" s="11" t="s">
        <v>14</v>
      </c>
      <c r="C538" s="11" t="s">
        <v>15</v>
      </c>
    </row>
    <row r="539" spans="1:3" x14ac:dyDescent="0.25">
      <c r="A539" s="10">
        <v>60378</v>
      </c>
      <c r="B539" s="11" t="s">
        <v>13</v>
      </c>
      <c r="C539" s="11" t="s">
        <v>17</v>
      </c>
    </row>
    <row r="540" spans="1:3" x14ac:dyDescent="0.25">
      <c r="A540" s="10">
        <v>60388</v>
      </c>
      <c r="B540" s="11" t="s">
        <v>14</v>
      </c>
      <c r="C540" s="11" t="s">
        <v>19</v>
      </c>
    </row>
    <row r="541" spans="1:3" x14ac:dyDescent="0.25">
      <c r="A541" s="10">
        <v>60415</v>
      </c>
      <c r="B541" s="11" t="s">
        <v>20</v>
      </c>
      <c r="C541" s="11" t="s">
        <v>21</v>
      </c>
    </row>
    <row r="542" spans="1:3" x14ac:dyDescent="0.25">
      <c r="A542" s="10">
        <v>60517</v>
      </c>
      <c r="B542" s="11" t="s">
        <v>10</v>
      </c>
      <c r="C542" s="11" t="s">
        <v>23</v>
      </c>
    </row>
    <row r="543" spans="1:3" x14ac:dyDescent="0.25">
      <c r="A543" s="10">
        <v>60552</v>
      </c>
      <c r="B543" s="11" t="s">
        <v>10</v>
      </c>
      <c r="C543" s="11" t="s">
        <v>24</v>
      </c>
    </row>
    <row r="544" spans="1:3" x14ac:dyDescent="0.25">
      <c r="A544" s="10">
        <v>60573</v>
      </c>
      <c r="B544" s="11" t="s">
        <v>10</v>
      </c>
      <c r="C544" s="11" t="s">
        <v>25</v>
      </c>
    </row>
    <row r="545" spans="1:3" x14ac:dyDescent="0.25">
      <c r="A545" s="10">
        <v>60586</v>
      </c>
      <c r="B545" s="11" t="s">
        <v>16</v>
      </c>
      <c r="C545" s="11" t="s">
        <v>26</v>
      </c>
    </row>
    <row r="546" spans="1:3" x14ac:dyDescent="0.25">
      <c r="A546" s="10">
        <v>60591</v>
      </c>
      <c r="B546" s="11" t="s">
        <v>14</v>
      </c>
      <c r="C546" s="11" t="s">
        <v>27</v>
      </c>
    </row>
    <row r="547" spans="1:3" x14ac:dyDescent="0.25">
      <c r="A547" s="10">
        <v>60626</v>
      </c>
      <c r="B547" s="11" t="s">
        <v>14</v>
      </c>
      <c r="C547" s="11" t="s">
        <v>28</v>
      </c>
    </row>
    <row r="548" spans="1:3" x14ac:dyDescent="0.25">
      <c r="A548" s="10">
        <v>60633</v>
      </c>
      <c r="B548" s="11" t="s">
        <v>14</v>
      </c>
      <c r="C548" s="11" t="s">
        <v>11</v>
      </c>
    </row>
    <row r="549" spans="1:3" x14ac:dyDescent="0.25">
      <c r="A549" s="10">
        <v>60685</v>
      </c>
      <c r="B549" s="11" t="s">
        <v>10</v>
      </c>
      <c r="C549" s="11" t="s">
        <v>12</v>
      </c>
    </row>
    <row r="550" spans="1:3" x14ac:dyDescent="0.25">
      <c r="A550" s="10">
        <v>60686</v>
      </c>
      <c r="B550" s="11" t="s">
        <v>13</v>
      </c>
      <c r="C550" s="11" t="s">
        <v>12</v>
      </c>
    </row>
    <row r="551" spans="1:3" x14ac:dyDescent="0.25">
      <c r="A551" s="10">
        <v>60731</v>
      </c>
      <c r="B551" s="11" t="s">
        <v>14</v>
      </c>
      <c r="C551" s="11" t="s">
        <v>15</v>
      </c>
    </row>
    <row r="552" spans="1:3" x14ac:dyDescent="0.25">
      <c r="A552" s="10">
        <v>60743</v>
      </c>
      <c r="B552" s="11" t="s">
        <v>18</v>
      </c>
      <c r="C552" s="11" t="s">
        <v>17</v>
      </c>
    </row>
    <row r="553" spans="1:3" x14ac:dyDescent="0.25">
      <c r="A553" s="10">
        <v>60753</v>
      </c>
      <c r="B553" s="11" t="s">
        <v>22</v>
      </c>
      <c r="C553" s="11" t="s">
        <v>19</v>
      </c>
    </row>
    <row r="554" spans="1:3" x14ac:dyDescent="0.25">
      <c r="A554" s="10">
        <v>60793</v>
      </c>
      <c r="B554" s="11" t="s">
        <v>20</v>
      </c>
      <c r="C554" s="11" t="s">
        <v>21</v>
      </c>
    </row>
    <row r="555" spans="1:3" x14ac:dyDescent="0.25">
      <c r="A555" s="10">
        <v>60882</v>
      </c>
      <c r="B555" s="11" t="s">
        <v>13</v>
      </c>
      <c r="C555" s="11" t="s">
        <v>23</v>
      </c>
    </row>
    <row r="556" spans="1:3" x14ac:dyDescent="0.25">
      <c r="A556" s="10">
        <v>60917</v>
      </c>
      <c r="B556" s="11" t="s">
        <v>13</v>
      </c>
      <c r="C556" s="11" t="s">
        <v>24</v>
      </c>
    </row>
    <row r="557" spans="1:3" x14ac:dyDescent="0.25">
      <c r="A557" s="10">
        <v>60938</v>
      </c>
      <c r="B557" s="11" t="s">
        <v>13</v>
      </c>
      <c r="C557" s="11" t="s">
        <v>25</v>
      </c>
    </row>
    <row r="558" spans="1:3" x14ac:dyDescent="0.25">
      <c r="A558" s="10">
        <v>60951</v>
      </c>
      <c r="B558" s="11" t="s">
        <v>10</v>
      </c>
      <c r="C558" s="11" t="s">
        <v>26</v>
      </c>
    </row>
    <row r="559" spans="1:3" x14ac:dyDescent="0.25">
      <c r="A559" s="10">
        <v>60956</v>
      </c>
      <c r="B559" s="11" t="s">
        <v>22</v>
      </c>
      <c r="C559" s="11" t="s">
        <v>27</v>
      </c>
    </row>
    <row r="560" spans="1:3" x14ac:dyDescent="0.25">
      <c r="A560" s="10">
        <v>60991</v>
      </c>
      <c r="B560" s="11" t="s">
        <v>22</v>
      </c>
      <c r="C560" s="11" t="s">
        <v>28</v>
      </c>
    </row>
    <row r="561" spans="1:3" x14ac:dyDescent="0.25">
      <c r="A561" s="10">
        <v>60998</v>
      </c>
      <c r="B561" s="11" t="s">
        <v>22</v>
      </c>
      <c r="C561" s="11" t="s">
        <v>11</v>
      </c>
    </row>
    <row r="562" spans="1:3" x14ac:dyDescent="0.25">
      <c r="A562" s="10">
        <v>61042</v>
      </c>
      <c r="B562" s="11" t="s">
        <v>10</v>
      </c>
      <c r="C562" s="11" t="s">
        <v>12</v>
      </c>
    </row>
    <row r="563" spans="1:3" x14ac:dyDescent="0.25">
      <c r="A563" s="10">
        <v>61043</v>
      </c>
      <c r="B563" s="11" t="s">
        <v>13</v>
      </c>
      <c r="C563" s="11" t="s">
        <v>12</v>
      </c>
    </row>
    <row r="564" spans="1:3" x14ac:dyDescent="0.25">
      <c r="A564" s="10">
        <v>61088</v>
      </c>
      <c r="B564" s="11" t="s">
        <v>14</v>
      </c>
      <c r="C564" s="11" t="s">
        <v>15</v>
      </c>
    </row>
    <row r="565" spans="1:3" x14ac:dyDescent="0.25">
      <c r="A565" s="10">
        <v>61108</v>
      </c>
      <c r="B565" s="11" t="s">
        <v>20</v>
      </c>
      <c r="C565" s="11" t="s">
        <v>17</v>
      </c>
    </row>
    <row r="566" spans="1:3" x14ac:dyDescent="0.25">
      <c r="A566" s="10">
        <v>61118</v>
      </c>
      <c r="B566" s="11" t="s">
        <v>16</v>
      </c>
      <c r="C566" s="11" t="s">
        <v>19</v>
      </c>
    </row>
    <row r="567" spans="1:3" x14ac:dyDescent="0.25">
      <c r="A567" s="10">
        <v>61150</v>
      </c>
      <c r="B567" s="11" t="s">
        <v>20</v>
      </c>
      <c r="C567" s="11" t="s">
        <v>21</v>
      </c>
    </row>
    <row r="568" spans="1:3" x14ac:dyDescent="0.25">
      <c r="A568" s="10">
        <v>61247</v>
      </c>
      <c r="B568" s="11" t="s">
        <v>18</v>
      </c>
      <c r="C568" s="11" t="s">
        <v>23</v>
      </c>
    </row>
    <row r="569" spans="1:3" x14ac:dyDescent="0.25">
      <c r="A569" s="10">
        <v>61282</v>
      </c>
      <c r="B569" s="11" t="s">
        <v>18</v>
      </c>
      <c r="C569" s="11" t="s">
        <v>24</v>
      </c>
    </row>
    <row r="570" spans="1:3" x14ac:dyDescent="0.25">
      <c r="A570" s="10">
        <v>61303</v>
      </c>
      <c r="B570" s="11" t="s">
        <v>18</v>
      </c>
      <c r="C570" s="11" t="s">
        <v>25</v>
      </c>
    </row>
    <row r="571" spans="1:3" x14ac:dyDescent="0.25">
      <c r="A571" s="10">
        <v>61316</v>
      </c>
      <c r="B571" s="11" t="s">
        <v>13</v>
      </c>
      <c r="C571" s="11" t="s">
        <v>26</v>
      </c>
    </row>
    <row r="572" spans="1:3" x14ac:dyDescent="0.25">
      <c r="A572" s="10">
        <v>61321</v>
      </c>
      <c r="B572" s="11" t="s">
        <v>16</v>
      </c>
      <c r="C572" s="11" t="s">
        <v>27</v>
      </c>
    </row>
    <row r="573" spans="1:3" x14ac:dyDescent="0.25">
      <c r="A573" s="10">
        <v>61356</v>
      </c>
      <c r="B573" s="11" t="s">
        <v>16</v>
      </c>
      <c r="C573" s="11" t="s">
        <v>28</v>
      </c>
    </row>
    <row r="574" spans="1:3" x14ac:dyDescent="0.25">
      <c r="A574" s="10">
        <v>61363</v>
      </c>
      <c r="B574" s="11" t="s">
        <v>16</v>
      </c>
      <c r="C574" s="11" t="s">
        <v>11</v>
      </c>
    </row>
    <row r="575" spans="1:3" x14ac:dyDescent="0.25">
      <c r="A575" s="10">
        <v>61427</v>
      </c>
      <c r="B575" s="11" t="s">
        <v>10</v>
      </c>
      <c r="C575" s="11" t="s">
        <v>12</v>
      </c>
    </row>
    <row r="576" spans="1:3" x14ac:dyDescent="0.25">
      <c r="A576" s="10">
        <v>61428</v>
      </c>
      <c r="B576" s="11" t="s">
        <v>13</v>
      </c>
      <c r="C576" s="11" t="s">
        <v>12</v>
      </c>
    </row>
    <row r="577" spans="1:3" x14ac:dyDescent="0.25">
      <c r="A577" s="10">
        <v>61473</v>
      </c>
      <c r="B577" s="11" t="s">
        <v>14</v>
      </c>
      <c r="C577" s="11" t="s">
        <v>15</v>
      </c>
    </row>
    <row r="578" spans="1:3" x14ac:dyDescent="0.25">
      <c r="A578" s="10">
        <v>61474</v>
      </c>
      <c r="B578" s="11" t="s">
        <v>22</v>
      </c>
      <c r="C578" s="11" t="s">
        <v>17</v>
      </c>
    </row>
    <row r="579" spans="1:3" x14ac:dyDescent="0.25">
      <c r="A579" s="10">
        <v>61484</v>
      </c>
      <c r="B579" s="11" t="s">
        <v>13</v>
      </c>
      <c r="C579" s="11" t="s">
        <v>19</v>
      </c>
    </row>
    <row r="580" spans="1:3" x14ac:dyDescent="0.25">
      <c r="A580" s="10">
        <v>61535</v>
      </c>
      <c r="B580" s="11" t="s">
        <v>20</v>
      </c>
      <c r="C580" s="11" t="s">
        <v>21</v>
      </c>
    </row>
    <row r="581" spans="1:3" x14ac:dyDescent="0.25">
      <c r="A581" s="10">
        <v>61613</v>
      </c>
      <c r="B581" s="11" t="s">
        <v>14</v>
      </c>
      <c r="C581" s="11" t="s">
        <v>23</v>
      </c>
    </row>
    <row r="582" spans="1:3" x14ac:dyDescent="0.25">
      <c r="A582" s="10">
        <v>61648</v>
      </c>
      <c r="B582" s="11" t="s">
        <v>14</v>
      </c>
      <c r="C582" s="11" t="s">
        <v>24</v>
      </c>
    </row>
    <row r="583" spans="1:3" x14ac:dyDescent="0.25">
      <c r="A583" s="10">
        <v>61669</v>
      </c>
      <c r="B583" s="11" t="s">
        <v>14</v>
      </c>
      <c r="C583" s="11" t="s">
        <v>25</v>
      </c>
    </row>
    <row r="584" spans="1:3" x14ac:dyDescent="0.25">
      <c r="A584" s="10">
        <v>61682</v>
      </c>
      <c r="B584" s="11" t="s">
        <v>20</v>
      </c>
      <c r="C584" s="11" t="s">
        <v>26</v>
      </c>
    </row>
    <row r="585" spans="1:3" x14ac:dyDescent="0.25">
      <c r="A585" s="10">
        <v>61687</v>
      </c>
      <c r="B585" s="11" t="s">
        <v>13</v>
      </c>
      <c r="C585" s="11" t="s">
        <v>27</v>
      </c>
    </row>
    <row r="586" spans="1:3" x14ac:dyDescent="0.25">
      <c r="A586" s="10">
        <v>61722</v>
      </c>
      <c r="B586" s="11" t="s">
        <v>13</v>
      </c>
      <c r="C586" s="11" t="s">
        <v>28</v>
      </c>
    </row>
    <row r="587" spans="1:3" x14ac:dyDescent="0.25">
      <c r="A587" s="10">
        <v>61729</v>
      </c>
      <c r="B587" s="11" t="s">
        <v>13</v>
      </c>
      <c r="C587" s="11" t="s">
        <v>11</v>
      </c>
    </row>
    <row r="588" spans="1:3" x14ac:dyDescent="0.25">
      <c r="A588" s="10">
        <v>61784</v>
      </c>
      <c r="B588" s="11" t="s">
        <v>10</v>
      </c>
      <c r="C588" s="11" t="s">
        <v>12</v>
      </c>
    </row>
    <row r="589" spans="1:3" x14ac:dyDescent="0.25">
      <c r="A589" s="10">
        <v>61785</v>
      </c>
      <c r="B589" s="11" t="s">
        <v>13</v>
      </c>
      <c r="C589" s="11" t="s">
        <v>12</v>
      </c>
    </row>
    <row r="590" spans="1:3" x14ac:dyDescent="0.25">
      <c r="A590" s="10">
        <v>61830</v>
      </c>
      <c r="B590" s="11" t="s">
        <v>14</v>
      </c>
      <c r="C590" s="11" t="s">
        <v>15</v>
      </c>
    </row>
    <row r="591" spans="1:3" x14ac:dyDescent="0.25">
      <c r="A591" s="10">
        <v>61839</v>
      </c>
      <c r="B591" s="11" t="s">
        <v>16</v>
      </c>
      <c r="C591" s="11" t="s">
        <v>17</v>
      </c>
    </row>
    <row r="592" spans="1:3" x14ac:dyDescent="0.25">
      <c r="A592" s="10">
        <v>61849</v>
      </c>
      <c r="B592" s="11" t="s">
        <v>18</v>
      </c>
      <c r="C592" s="11" t="s">
        <v>19</v>
      </c>
    </row>
    <row r="593" spans="1:3" x14ac:dyDescent="0.25">
      <c r="A593" s="10">
        <v>61892</v>
      </c>
      <c r="B593" s="11" t="s">
        <v>20</v>
      </c>
      <c r="C593" s="11" t="s">
        <v>21</v>
      </c>
    </row>
    <row r="594" spans="1:3" x14ac:dyDescent="0.25">
      <c r="A594" s="10">
        <v>61978</v>
      </c>
      <c r="B594" s="11" t="s">
        <v>22</v>
      </c>
      <c r="C594" s="11" t="s">
        <v>23</v>
      </c>
    </row>
    <row r="595" spans="1:3" x14ac:dyDescent="0.25">
      <c r="A595" s="10">
        <v>62013</v>
      </c>
      <c r="B595" s="11" t="s">
        <v>22</v>
      </c>
      <c r="C595" s="11" t="s">
        <v>24</v>
      </c>
    </row>
    <row r="596" spans="1:3" x14ac:dyDescent="0.25">
      <c r="A596" s="10">
        <v>62034</v>
      </c>
      <c r="B596" s="11" t="s">
        <v>22</v>
      </c>
      <c r="C596" s="11" t="s">
        <v>25</v>
      </c>
    </row>
    <row r="597" spans="1:3" x14ac:dyDescent="0.25">
      <c r="A597" s="10">
        <v>62047</v>
      </c>
      <c r="B597" s="11" t="s">
        <v>14</v>
      </c>
      <c r="C597" s="11" t="s">
        <v>26</v>
      </c>
    </row>
    <row r="598" spans="1:3" x14ac:dyDescent="0.25">
      <c r="A598" s="10">
        <v>62052</v>
      </c>
      <c r="B598" s="11" t="s">
        <v>18</v>
      </c>
      <c r="C598" s="11" t="s">
        <v>27</v>
      </c>
    </row>
    <row r="599" spans="1:3" x14ac:dyDescent="0.25">
      <c r="A599" s="10">
        <v>62087</v>
      </c>
      <c r="B599" s="11" t="s">
        <v>18</v>
      </c>
      <c r="C599" s="11" t="s">
        <v>28</v>
      </c>
    </row>
    <row r="600" spans="1:3" x14ac:dyDescent="0.25">
      <c r="A600" s="10">
        <v>62094</v>
      </c>
      <c r="B600" s="11" t="s">
        <v>18</v>
      </c>
      <c r="C600" s="11" t="s">
        <v>11</v>
      </c>
    </row>
    <row r="601" spans="1:3" x14ac:dyDescent="0.25">
      <c r="A601" s="10">
        <v>62134</v>
      </c>
      <c r="B601" s="11" t="s">
        <v>10</v>
      </c>
      <c r="C601" s="11" t="s">
        <v>12</v>
      </c>
    </row>
    <row r="602" spans="1:3" x14ac:dyDescent="0.25">
      <c r="A602" s="10">
        <v>62135</v>
      </c>
      <c r="B602" s="11" t="s">
        <v>13</v>
      </c>
      <c r="C602" s="11" t="s">
        <v>12</v>
      </c>
    </row>
    <row r="603" spans="1:3" x14ac:dyDescent="0.25">
      <c r="A603" s="10">
        <v>62180</v>
      </c>
      <c r="B603" s="11" t="s">
        <v>14</v>
      </c>
      <c r="C603" s="11" t="s">
        <v>15</v>
      </c>
    </row>
    <row r="604" spans="1:3" x14ac:dyDescent="0.25">
      <c r="A604" s="10">
        <v>62204</v>
      </c>
      <c r="B604" s="11" t="s">
        <v>10</v>
      </c>
      <c r="C604" s="11" t="s">
        <v>17</v>
      </c>
    </row>
    <row r="605" spans="1:3" x14ac:dyDescent="0.25">
      <c r="A605" s="10">
        <v>62214</v>
      </c>
      <c r="B605" s="11" t="s">
        <v>20</v>
      </c>
      <c r="C605" s="11" t="s">
        <v>19</v>
      </c>
    </row>
    <row r="606" spans="1:3" x14ac:dyDescent="0.25">
      <c r="A606" s="10">
        <v>62242</v>
      </c>
      <c r="B606" s="11" t="s">
        <v>20</v>
      </c>
      <c r="C606" s="11" t="s">
        <v>21</v>
      </c>
    </row>
    <row r="607" spans="1:3" x14ac:dyDescent="0.25">
      <c r="A607" s="10">
        <v>62343</v>
      </c>
      <c r="B607" s="11" t="s">
        <v>16</v>
      </c>
      <c r="C607" s="11" t="s">
        <v>23</v>
      </c>
    </row>
    <row r="608" spans="1:3" x14ac:dyDescent="0.25">
      <c r="A608" s="10">
        <v>62378</v>
      </c>
      <c r="B608" s="11" t="s">
        <v>16</v>
      </c>
      <c r="C608" s="11" t="s">
        <v>24</v>
      </c>
    </row>
    <row r="609" spans="1:3" x14ac:dyDescent="0.25">
      <c r="A609" s="10">
        <v>62399</v>
      </c>
      <c r="B609" s="11" t="s">
        <v>16</v>
      </c>
      <c r="C609" s="11" t="s">
        <v>25</v>
      </c>
    </row>
    <row r="610" spans="1:3" x14ac:dyDescent="0.25">
      <c r="A610" s="10">
        <v>62412</v>
      </c>
      <c r="B610" s="11" t="s">
        <v>22</v>
      </c>
      <c r="C610" s="11" t="s">
        <v>26</v>
      </c>
    </row>
    <row r="611" spans="1:3" x14ac:dyDescent="0.25">
      <c r="A611" s="10">
        <v>62417</v>
      </c>
      <c r="B611" s="11" t="s">
        <v>20</v>
      </c>
      <c r="C611" s="11" t="s">
        <v>27</v>
      </c>
    </row>
    <row r="612" spans="1:3" x14ac:dyDescent="0.25">
      <c r="A612" s="10">
        <v>62452</v>
      </c>
      <c r="B612" s="11" t="s">
        <v>20</v>
      </c>
      <c r="C612" s="11" t="s">
        <v>28</v>
      </c>
    </row>
    <row r="613" spans="1:3" x14ac:dyDescent="0.25">
      <c r="A613" s="10">
        <v>62459</v>
      </c>
      <c r="B613" s="11" t="s">
        <v>20</v>
      </c>
      <c r="C613" s="11" t="s">
        <v>11</v>
      </c>
    </row>
    <row r="614" spans="1:3" x14ac:dyDescent="0.25">
      <c r="A614" s="10">
        <v>62519</v>
      </c>
      <c r="B614" s="11" t="s">
        <v>10</v>
      </c>
      <c r="C614" s="11" t="s">
        <v>12</v>
      </c>
    </row>
    <row r="615" spans="1:3" x14ac:dyDescent="0.25">
      <c r="A615" s="10">
        <v>62520</v>
      </c>
      <c r="B615" s="11" t="s">
        <v>13</v>
      </c>
      <c r="C615" s="11" t="s">
        <v>12</v>
      </c>
    </row>
    <row r="616" spans="1:3" x14ac:dyDescent="0.25">
      <c r="A616" s="10">
        <v>62565</v>
      </c>
      <c r="B616" s="11" t="s">
        <v>14</v>
      </c>
      <c r="C616" s="11" t="s">
        <v>15</v>
      </c>
    </row>
    <row r="617" spans="1:3" x14ac:dyDescent="0.25">
      <c r="A617" s="10">
        <v>62569</v>
      </c>
      <c r="B617" s="11" t="s">
        <v>13</v>
      </c>
      <c r="C617" s="11" t="s">
        <v>17</v>
      </c>
    </row>
    <row r="618" spans="1:3" x14ac:dyDescent="0.25">
      <c r="A618" s="10">
        <v>62579</v>
      </c>
      <c r="B618" s="11" t="s">
        <v>14</v>
      </c>
      <c r="C618" s="11" t="s">
        <v>19</v>
      </c>
    </row>
    <row r="619" spans="1:3" x14ac:dyDescent="0.25">
      <c r="A619" s="10">
        <v>62627</v>
      </c>
      <c r="B619" s="11" t="s">
        <v>20</v>
      </c>
      <c r="C619" s="11" t="s">
        <v>21</v>
      </c>
    </row>
    <row r="620" spans="1:3" x14ac:dyDescent="0.25">
      <c r="A620" s="10">
        <v>62708</v>
      </c>
      <c r="B620" s="11" t="s">
        <v>10</v>
      </c>
      <c r="C620" s="11" t="s">
        <v>23</v>
      </c>
    </row>
    <row r="621" spans="1:3" x14ac:dyDescent="0.25">
      <c r="A621" s="10">
        <v>62743</v>
      </c>
      <c r="B621" s="11" t="s">
        <v>10</v>
      </c>
      <c r="C621" s="11" t="s">
        <v>24</v>
      </c>
    </row>
    <row r="622" spans="1:3" x14ac:dyDescent="0.25">
      <c r="A622" s="10">
        <v>62764</v>
      </c>
      <c r="B622" s="11" t="s">
        <v>10</v>
      </c>
      <c r="C622" s="11" t="s">
        <v>25</v>
      </c>
    </row>
    <row r="623" spans="1:3" x14ac:dyDescent="0.25">
      <c r="A623" s="10">
        <v>62777</v>
      </c>
      <c r="B623" s="11" t="s">
        <v>16</v>
      </c>
      <c r="C623" s="11" t="s">
        <v>26</v>
      </c>
    </row>
    <row r="624" spans="1:3" x14ac:dyDescent="0.25">
      <c r="A624" s="10">
        <v>62782</v>
      </c>
      <c r="B624" s="11" t="s">
        <v>14</v>
      </c>
      <c r="C624" s="11" t="s">
        <v>27</v>
      </c>
    </row>
    <row r="625" spans="1:3" x14ac:dyDescent="0.25">
      <c r="A625" s="10">
        <v>62817</v>
      </c>
      <c r="B625" s="11" t="s">
        <v>14</v>
      </c>
      <c r="C625" s="11" t="s">
        <v>28</v>
      </c>
    </row>
    <row r="626" spans="1:3" x14ac:dyDescent="0.25">
      <c r="A626" s="10">
        <v>62824</v>
      </c>
      <c r="B626" s="11" t="s">
        <v>14</v>
      </c>
      <c r="C626" s="11" t="s">
        <v>11</v>
      </c>
    </row>
    <row r="627" spans="1:3" x14ac:dyDescent="0.25">
      <c r="A627" s="10">
        <v>62876</v>
      </c>
      <c r="B627" s="11" t="s">
        <v>10</v>
      </c>
      <c r="C627" s="11" t="s">
        <v>12</v>
      </c>
    </row>
    <row r="628" spans="1:3" x14ac:dyDescent="0.25">
      <c r="A628" s="10">
        <v>62877</v>
      </c>
      <c r="B628" s="11" t="s">
        <v>13</v>
      </c>
      <c r="C628" s="11" t="s">
        <v>12</v>
      </c>
    </row>
    <row r="629" spans="1:3" x14ac:dyDescent="0.25">
      <c r="A629" s="10">
        <v>62922</v>
      </c>
      <c r="B629" s="11" t="s">
        <v>14</v>
      </c>
      <c r="C629" s="11" t="s">
        <v>15</v>
      </c>
    </row>
    <row r="630" spans="1:3" x14ac:dyDescent="0.25">
      <c r="A630" s="10">
        <v>62935</v>
      </c>
      <c r="B630" s="11" t="s">
        <v>20</v>
      </c>
      <c r="C630" s="11" t="s">
        <v>17</v>
      </c>
    </row>
    <row r="631" spans="1:3" x14ac:dyDescent="0.25">
      <c r="A631" s="10">
        <v>62945</v>
      </c>
      <c r="B631" s="11" t="s">
        <v>16</v>
      </c>
      <c r="C631" s="11" t="s">
        <v>19</v>
      </c>
    </row>
    <row r="632" spans="1:3" x14ac:dyDescent="0.25">
      <c r="A632" s="10">
        <v>62984</v>
      </c>
      <c r="B632" s="11" t="s">
        <v>20</v>
      </c>
      <c r="C632" s="11" t="s">
        <v>21</v>
      </c>
    </row>
    <row r="633" spans="1:3" x14ac:dyDescent="0.25">
      <c r="A633" s="10">
        <v>63074</v>
      </c>
      <c r="B633" s="11" t="s">
        <v>18</v>
      </c>
      <c r="C633" s="11" t="s">
        <v>23</v>
      </c>
    </row>
    <row r="634" spans="1:3" x14ac:dyDescent="0.25">
      <c r="A634" s="10">
        <v>63109</v>
      </c>
      <c r="B634" s="11" t="s">
        <v>18</v>
      </c>
      <c r="C634" s="11" t="s">
        <v>24</v>
      </c>
    </row>
    <row r="635" spans="1:3" x14ac:dyDescent="0.25">
      <c r="A635" s="10">
        <v>63130</v>
      </c>
      <c r="B635" s="11" t="s">
        <v>18</v>
      </c>
      <c r="C635" s="11" t="s">
        <v>25</v>
      </c>
    </row>
    <row r="636" spans="1:3" x14ac:dyDescent="0.25">
      <c r="A636" s="10">
        <v>63143</v>
      </c>
      <c r="B636" s="11" t="s">
        <v>13</v>
      </c>
      <c r="C636" s="11" t="s">
        <v>26</v>
      </c>
    </row>
    <row r="637" spans="1:3" x14ac:dyDescent="0.25">
      <c r="A637" s="10">
        <v>63148</v>
      </c>
      <c r="B637" s="11" t="s">
        <v>16</v>
      </c>
      <c r="C637" s="11" t="s">
        <v>27</v>
      </c>
    </row>
    <row r="638" spans="1:3" x14ac:dyDescent="0.25">
      <c r="A638" s="10">
        <v>63183</v>
      </c>
      <c r="B638" s="11" t="s">
        <v>16</v>
      </c>
      <c r="C638" s="11" t="s">
        <v>28</v>
      </c>
    </row>
    <row r="639" spans="1:3" x14ac:dyDescent="0.25">
      <c r="A639" s="10">
        <v>63190</v>
      </c>
      <c r="B639" s="11" t="s">
        <v>16</v>
      </c>
      <c r="C639" s="11" t="s">
        <v>11</v>
      </c>
    </row>
    <row r="640" spans="1:3" x14ac:dyDescent="0.25">
      <c r="A640" s="10">
        <v>63226</v>
      </c>
      <c r="B640" s="11" t="s">
        <v>10</v>
      </c>
      <c r="C640" s="11" t="s">
        <v>12</v>
      </c>
    </row>
    <row r="641" spans="1:3" x14ac:dyDescent="0.25">
      <c r="A641" s="10">
        <v>63227</v>
      </c>
      <c r="B641" s="11" t="s">
        <v>13</v>
      </c>
      <c r="C641" s="11" t="s">
        <v>12</v>
      </c>
    </row>
    <row r="642" spans="1:3" x14ac:dyDescent="0.25">
      <c r="A642" s="10">
        <v>63272</v>
      </c>
      <c r="B642" s="11" t="s">
        <v>14</v>
      </c>
      <c r="C642" s="11" t="s">
        <v>15</v>
      </c>
    </row>
    <row r="643" spans="1:3" x14ac:dyDescent="0.25">
      <c r="A643" s="10">
        <v>63300</v>
      </c>
      <c r="B643" s="11" t="s">
        <v>14</v>
      </c>
      <c r="C643" s="11" t="s">
        <v>17</v>
      </c>
    </row>
    <row r="644" spans="1:3" x14ac:dyDescent="0.25">
      <c r="A644" s="10">
        <v>63310</v>
      </c>
      <c r="B644" s="11" t="s">
        <v>10</v>
      </c>
      <c r="C644" s="11" t="s">
        <v>19</v>
      </c>
    </row>
    <row r="645" spans="1:3" x14ac:dyDescent="0.25">
      <c r="A645" s="10">
        <v>63334</v>
      </c>
      <c r="B645" s="11" t="s">
        <v>20</v>
      </c>
      <c r="C645" s="11" t="s">
        <v>21</v>
      </c>
    </row>
    <row r="646" spans="1:3" x14ac:dyDescent="0.25">
      <c r="A646" s="10">
        <v>63439</v>
      </c>
      <c r="B646" s="11" t="s">
        <v>20</v>
      </c>
      <c r="C646" s="11" t="s">
        <v>23</v>
      </c>
    </row>
    <row r="647" spans="1:3" x14ac:dyDescent="0.25">
      <c r="A647" s="10">
        <v>63474</v>
      </c>
      <c r="B647" s="11" t="s">
        <v>20</v>
      </c>
      <c r="C647" s="11" t="s">
        <v>24</v>
      </c>
    </row>
    <row r="648" spans="1:3" x14ac:dyDescent="0.25">
      <c r="A648" s="10">
        <v>63495</v>
      </c>
      <c r="B648" s="11" t="s">
        <v>20</v>
      </c>
      <c r="C648" s="11" t="s">
        <v>25</v>
      </c>
    </row>
    <row r="649" spans="1:3" x14ac:dyDescent="0.25">
      <c r="A649" s="10">
        <v>63508</v>
      </c>
      <c r="B649" s="11" t="s">
        <v>18</v>
      </c>
      <c r="C649" s="11" t="s">
        <v>26</v>
      </c>
    </row>
    <row r="650" spans="1:3" x14ac:dyDescent="0.25">
      <c r="A650" s="10">
        <v>63513</v>
      </c>
      <c r="B650" s="11" t="s">
        <v>10</v>
      </c>
      <c r="C650" s="11" t="s">
        <v>27</v>
      </c>
    </row>
    <row r="651" spans="1:3" x14ac:dyDescent="0.25">
      <c r="A651" s="10">
        <v>63548</v>
      </c>
      <c r="B651" s="11" t="s">
        <v>10</v>
      </c>
      <c r="C651" s="11" t="s">
        <v>28</v>
      </c>
    </row>
    <row r="652" spans="1:3" x14ac:dyDescent="0.25">
      <c r="A652" s="10">
        <v>63555</v>
      </c>
      <c r="B652" s="11" t="s">
        <v>10</v>
      </c>
      <c r="C652" s="11" t="s">
        <v>11</v>
      </c>
    </row>
    <row r="653" spans="1:3" x14ac:dyDescent="0.25">
      <c r="A653" s="10">
        <v>63611</v>
      </c>
      <c r="B653" s="11" t="s">
        <v>10</v>
      </c>
      <c r="C653" s="11" t="s">
        <v>12</v>
      </c>
    </row>
    <row r="654" spans="1:3" x14ac:dyDescent="0.25">
      <c r="A654" s="10">
        <v>63612</v>
      </c>
      <c r="B654" s="11" t="s">
        <v>13</v>
      </c>
      <c r="C654" s="11" t="s">
        <v>12</v>
      </c>
    </row>
    <row r="655" spans="1:3" x14ac:dyDescent="0.25">
      <c r="A655" s="10">
        <v>63657</v>
      </c>
      <c r="B655" s="11" t="s">
        <v>14</v>
      </c>
      <c r="C655" s="11" t="s">
        <v>15</v>
      </c>
    </row>
    <row r="656" spans="1:3" x14ac:dyDescent="0.25">
      <c r="A656" s="10">
        <v>63665</v>
      </c>
      <c r="B656" s="11" t="s">
        <v>22</v>
      </c>
      <c r="C656" s="11" t="s">
        <v>17</v>
      </c>
    </row>
    <row r="657" spans="1:3" x14ac:dyDescent="0.25">
      <c r="A657" s="10">
        <v>63675</v>
      </c>
      <c r="B657" s="11" t="s">
        <v>13</v>
      </c>
      <c r="C657" s="11" t="s">
        <v>19</v>
      </c>
    </row>
    <row r="658" spans="1:3" x14ac:dyDescent="0.25">
      <c r="A658" s="10">
        <v>63719</v>
      </c>
      <c r="B658" s="11" t="s">
        <v>20</v>
      </c>
      <c r="C658" s="11" t="s">
        <v>21</v>
      </c>
    </row>
    <row r="659" spans="1:3" x14ac:dyDescent="0.25">
      <c r="A659" s="10">
        <v>63804</v>
      </c>
      <c r="B659" s="11" t="s">
        <v>14</v>
      </c>
      <c r="C659" s="11" t="s">
        <v>23</v>
      </c>
    </row>
    <row r="660" spans="1:3" x14ac:dyDescent="0.25">
      <c r="A660" s="10">
        <v>63839</v>
      </c>
      <c r="B660" s="11" t="s">
        <v>14</v>
      </c>
      <c r="C660" s="11" t="s">
        <v>24</v>
      </c>
    </row>
    <row r="661" spans="1:3" x14ac:dyDescent="0.25">
      <c r="A661" s="10">
        <v>63860</v>
      </c>
      <c r="B661" s="11" t="s">
        <v>14</v>
      </c>
      <c r="C661" s="11" t="s">
        <v>25</v>
      </c>
    </row>
    <row r="662" spans="1:3" x14ac:dyDescent="0.25">
      <c r="A662" s="10">
        <v>63873</v>
      </c>
      <c r="B662" s="11" t="s">
        <v>20</v>
      </c>
      <c r="C662" s="11" t="s">
        <v>26</v>
      </c>
    </row>
    <row r="663" spans="1:3" x14ac:dyDescent="0.25">
      <c r="A663" s="10">
        <v>63878</v>
      </c>
      <c r="B663" s="11" t="s">
        <v>13</v>
      </c>
      <c r="C663" s="11" t="s">
        <v>27</v>
      </c>
    </row>
    <row r="664" spans="1:3" x14ac:dyDescent="0.25">
      <c r="A664" s="10">
        <v>63913</v>
      </c>
      <c r="B664" s="11" t="s">
        <v>13</v>
      </c>
      <c r="C664" s="11" t="s">
        <v>28</v>
      </c>
    </row>
    <row r="665" spans="1:3" x14ac:dyDescent="0.25">
      <c r="A665" s="10">
        <v>63920</v>
      </c>
      <c r="B665" s="11" t="s">
        <v>13</v>
      </c>
      <c r="C665" s="11" t="s">
        <v>11</v>
      </c>
    </row>
    <row r="666" spans="1:3" x14ac:dyDescent="0.25">
      <c r="A666" s="10">
        <v>63968</v>
      </c>
      <c r="B666" s="11" t="s">
        <v>10</v>
      </c>
      <c r="C666" s="11" t="s">
        <v>12</v>
      </c>
    </row>
    <row r="667" spans="1:3" x14ac:dyDescent="0.25">
      <c r="A667" s="10">
        <v>63969</v>
      </c>
      <c r="B667" s="11" t="s">
        <v>13</v>
      </c>
      <c r="C667" s="11" t="s">
        <v>12</v>
      </c>
    </row>
    <row r="668" spans="1:3" x14ac:dyDescent="0.25">
      <c r="A668" s="10">
        <v>64014</v>
      </c>
      <c r="B668" s="11" t="s">
        <v>14</v>
      </c>
      <c r="C668" s="11" t="s">
        <v>15</v>
      </c>
    </row>
    <row r="669" spans="1:3" x14ac:dyDescent="0.25">
      <c r="A669" s="10">
        <v>64030</v>
      </c>
      <c r="B669" s="11" t="s">
        <v>16</v>
      </c>
      <c r="C669" s="11" t="s">
        <v>17</v>
      </c>
    </row>
    <row r="670" spans="1:3" x14ac:dyDescent="0.25">
      <c r="A670" s="10">
        <v>64040</v>
      </c>
      <c r="B670" s="11" t="s">
        <v>18</v>
      </c>
      <c r="C670" s="11" t="s">
        <v>19</v>
      </c>
    </row>
    <row r="671" spans="1:3" x14ac:dyDescent="0.25">
      <c r="A671" s="10">
        <v>64076</v>
      </c>
      <c r="B671" s="11" t="s">
        <v>20</v>
      </c>
      <c r="C671" s="11" t="s">
        <v>21</v>
      </c>
    </row>
    <row r="672" spans="1:3" x14ac:dyDescent="0.25">
      <c r="A672" s="10">
        <v>64169</v>
      </c>
      <c r="B672" s="11" t="s">
        <v>22</v>
      </c>
      <c r="C672" s="11" t="s">
        <v>23</v>
      </c>
    </row>
    <row r="673" spans="1:3" x14ac:dyDescent="0.25">
      <c r="A673" s="10">
        <v>64204</v>
      </c>
      <c r="B673" s="11" t="s">
        <v>22</v>
      </c>
      <c r="C673" s="11" t="s">
        <v>24</v>
      </c>
    </row>
    <row r="674" spans="1:3" x14ac:dyDescent="0.25">
      <c r="A674" s="10">
        <v>64225</v>
      </c>
      <c r="B674" s="11" t="s">
        <v>22</v>
      </c>
      <c r="C674" s="11" t="s">
        <v>25</v>
      </c>
    </row>
    <row r="675" spans="1:3" x14ac:dyDescent="0.25">
      <c r="A675" s="10">
        <v>64238</v>
      </c>
      <c r="B675" s="11" t="s">
        <v>14</v>
      </c>
      <c r="C675" s="11" t="s">
        <v>26</v>
      </c>
    </row>
    <row r="676" spans="1:3" x14ac:dyDescent="0.25">
      <c r="A676" s="10">
        <v>64243</v>
      </c>
      <c r="B676" s="11" t="s">
        <v>18</v>
      </c>
      <c r="C676" s="11" t="s">
        <v>27</v>
      </c>
    </row>
    <row r="677" spans="1:3" x14ac:dyDescent="0.25">
      <c r="A677" s="10">
        <v>64278</v>
      </c>
      <c r="B677" s="11" t="s">
        <v>18</v>
      </c>
      <c r="C677" s="11" t="s">
        <v>28</v>
      </c>
    </row>
    <row r="678" spans="1:3" x14ac:dyDescent="0.25">
      <c r="A678" s="10">
        <v>64285</v>
      </c>
      <c r="B678" s="11" t="s">
        <v>18</v>
      </c>
      <c r="C678" s="11" t="s">
        <v>11</v>
      </c>
    </row>
    <row r="679" spans="1:3" x14ac:dyDescent="0.25">
      <c r="A679" s="10">
        <v>64346</v>
      </c>
      <c r="B679" s="11" t="s">
        <v>10</v>
      </c>
      <c r="C679" s="11" t="s">
        <v>12</v>
      </c>
    </row>
    <row r="680" spans="1:3" x14ac:dyDescent="0.25">
      <c r="A680" s="10">
        <v>64347</v>
      </c>
      <c r="B680" s="11" t="s">
        <v>13</v>
      </c>
      <c r="C680" s="11" t="s">
        <v>12</v>
      </c>
    </row>
    <row r="681" spans="1:3" x14ac:dyDescent="0.25">
      <c r="A681" s="10">
        <v>64392</v>
      </c>
      <c r="B681" s="11" t="s">
        <v>14</v>
      </c>
      <c r="C681" s="11" t="s">
        <v>15</v>
      </c>
    </row>
    <row r="682" spans="1:3" x14ac:dyDescent="0.25">
      <c r="A682" s="10">
        <v>64396</v>
      </c>
      <c r="B682" s="11" t="s">
        <v>13</v>
      </c>
      <c r="C682" s="11" t="s">
        <v>17</v>
      </c>
    </row>
    <row r="683" spans="1:3" x14ac:dyDescent="0.25">
      <c r="A683" s="10">
        <v>64406</v>
      </c>
      <c r="B683" s="11" t="s">
        <v>14</v>
      </c>
      <c r="C683" s="11" t="s">
        <v>19</v>
      </c>
    </row>
    <row r="684" spans="1:3" x14ac:dyDescent="0.25">
      <c r="A684" s="10">
        <v>64454</v>
      </c>
      <c r="B684" s="11" t="s">
        <v>20</v>
      </c>
      <c r="C684" s="11" t="s">
        <v>21</v>
      </c>
    </row>
    <row r="685" spans="1:3" x14ac:dyDescent="0.25">
      <c r="A685" s="10">
        <v>64535</v>
      </c>
      <c r="B685" s="11" t="s">
        <v>10</v>
      </c>
      <c r="C685" s="11" t="s">
        <v>23</v>
      </c>
    </row>
    <row r="686" spans="1:3" x14ac:dyDescent="0.25">
      <c r="A686" s="10">
        <v>64570</v>
      </c>
      <c r="B686" s="11" t="s">
        <v>10</v>
      </c>
      <c r="C686" s="11" t="s">
        <v>24</v>
      </c>
    </row>
    <row r="687" spans="1:3" x14ac:dyDescent="0.25">
      <c r="A687" s="10">
        <v>64591</v>
      </c>
      <c r="B687" s="11" t="s">
        <v>10</v>
      </c>
      <c r="C687" s="11" t="s">
        <v>25</v>
      </c>
    </row>
    <row r="688" spans="1:3" x14ac:dyDescent="0.25">
      <c r="A688" s="10">
        <v>64604</v>
      </c>
      <c r="B688" s="11" t="s">
        <v>16</v>
      </c>
      <c r="C688" s="11" t="s">
        <v>26</v>
      </c>
    </row>
    <row r="689" spans="1:3" x14ac:dyDescent="0.25">
      <c r="A689" s="10">
        <v>64609</v>
      </c>
      <c r="B689" s="11" t="s">
        <v>14</v>
      </c>
      <c r="C689" s="11" t="s">
        <v>27</v>
      </c>
    </row>
    <row r="690" spans="1:3" x14ac:dyDescent="0.25">
      <c r="A690" s="10">
        <v>64644</v>
      </c>
      <c r="B690" s="11" t="s">
        <v>14</v>
      </c>
      <c r="C690" s="11" t="s">
        <v>28</v>
      </c>
    </row>
    <row r="691" spans="1:3" x14ac:dyDescent="0.25">
      <c r="A691" s="10">
        <v>64651</v>
      </c>
      <c r="B691" s="11" t="s">
        <v>14</v>
      </c>
      <c r="C691" s="11" t="s">
        <v>11</v>
      </c>
    </row>
    <row r="692" spans="1:3" x14ac:dyDescent="0.25">
      <c r="A692" s="10">
        <v>64703</v>
      </c>
      <c r="B692" s="11" t="s">
        <v>10</v>
      </c>
      <c r="C692" s="11" t="s">
        <v>12</v>
      </c>
    </row>
    <row r="693" spans="1:3" x14ac:dyDescent="0.25">
      <c r="A693" s="10">
        <v>64704</v>
      </c>
      <c r="B693" s="11" t="s">
        <v>13</v>
      </c>
      <c r="C693" s="11" t="s">
        <v>12</v>
      </c>
    </row>
    <row r="694" spans="1:3" x14ac:dyDescent="0.25">
      <c r="A694" s="10">
        <v>64749</v>
      </c>
      <c r="B694" s="11" t="s">
        <v>14</v>
      </c>
      <c r="C694" s="11" t="s">
        <v>15</v>
      </c>
    </row>
    <row r="695" spans="1:3" x14ac:dyDescent="0.25">
      <c r="A695" s="10">
        <v>64761</v>
      </c>
      <c r="B695" s="11" t="s">
        <v>18</v>
      </c>
      <c r="C695" s="11" t="s">
        <v>17</v>
      </c>
    </row>
    <row r="696" spans="1:3" x14ac:dyDescent="0.25">
      <c r="A696" s="10">
        <v>64771</v>
      </c>
      <c r="B696" s="11" t="s">
        <v>22</v>
      </c>
      <c r="C696" s="11" t="s">
        <v>19</v>
      </c>
    </row>
    <row r="697" spans="1:3" x14ac:dyDescent="0.25">
      <c r="A697" s="10">
        <v>64811</v>
      </c>
      <c r="B697" s="11" t="s">
        <v>20</v>
      </c>
      <c r="C697" s="11" t="s">
        <v>21</v>
      </c>
    </row>
    <row r="698" spans="1:3" x14ac:dyDescent="0.25">
      <c r="A698" s="10">
        <v>64900</v>
      </c>
      <c r="B698" s="11" t="s">
        <v>13</v>
      </c>
      <c r="C698" s="11" t="s">
        <v>23</v>
      </c>
    </row>
    <row r="699" spans="1:3" x14ac:dyDescent="0.25">
      <c r="A699" s="10">
        <v>64935</v>
      </c>
      <c r="B699" s="11" t="s">
        <v>13</v>
      </c>
      <c r="C699" s="11" t="s">
        <v>24</v>
      </c>
    </row>
    <row r="700" spans="1:3" x14ac:dyDescent="0.25">
      <c r="A700" s="10">
        <v>64956</v>
      </c>
      <c r="B700" s="11" t="s">
        <v>13</v>
      </c>
      <c r="C700" s="11" t="s">
        <v>25</v>
      </c>
    </row>
    <row r="701" spans="1:3" x14ac:dyDescent="0.25">
      <c r="A701" s="10">
        <v>64969</v>
      </c>
      <c r="B701" s="11" t="s">
        <v>10</v>
      </c>
      <c r="C701" s="11" t="s">
        <v>26</v>
      </c>
    </row>
    <row r="702" spans="1:3" x14ac:dyDescent="0.25">
      <c r="A702" s="10">
        <v>64974</v>
      </c>
      <c r="B702" s="11" t="s">
        <v>22</v>
      </c>
      <c r="C702" s="11" t="s">
        <v>27</v>
      </c>
    </row>
    <row r="703" spans="1:3" x14ac:dyDescent="0.25">
      <c r="A703" s="10">
        <v>65009</v>
      </c>
      <c r="B703" s="11" t="s">
        <v>22</v>
      </c>
      <c r="C703" s="11" t="s">
        <v>28</v>
      </c>
    </row>
    <row r="704" spans="1:3" x14ac:dyDescent="0.25">
      <c r="A704" s="10">
        <v>65016</v>
      </c>
      <c r="B704" s="11" t="s">
        <v>22</v>
      </c>
      <c r="C704" s="11" t="s">
        <v>11</v>
      </c>
    </row>
    <row r="705" spans="1:3" x14ac:dyDescent="0.25">
      <c r="A705" s="10">
        <v>65060</v>
      </c>
      <c r="B705" s="11" t="s">
        <v>10</v>
      </c>
      <c r="C705" s="11" t="s">
        <v>12</v>
      </c>
    </row>
    <row r="706" spans="1:3" x14ac:dyDescent="0.25">
      <c r="A706" s="10">
        <v>65061</v>
      </c>
      <c r="B706" s="11" t="s">
        <v>13</v>
      </c>
      <c r="C706" s="11" t="s">
        <v>12</v>
      </c>
    </row>
    <row r="707" spans="1:3" x14ac:dyDescent="0.25">
      <c r="A707" s="10">
        <v>65106</v>
      </c>
      <c r="B707" s="11" t="s">
        <v>14</v>
      </c>
      <c r="C707" s="11" t="s">
        <v>15</v>
      </c>
    </row>
    <row r="708" spans="1:3" x14ac:dyDescent="0.25">
      <c r="A708" s="10">
        <v>65126</v>
      </c>
      <c r="B708" s="11" t="s">
        <v>20</v>
      </c>
      <c r="C708" s="11" t="s">
        <v>17</v>
      </c>
    </row>
    <row r="709" spans="1:3" x14ac:dyDescent="0.25">
      <c r="A709" s="10">
        <v>65136</v>
      </c>
      <c r="B709" s="11" t="s">
        <v>16</v>
      </c>
      <c r="C709" s="11" t="s">
        <v>19</v>
      </c>
    </row>
    <row r="710" spans="1:3" x14ac:dyDescent="0.25">
      <c r="A710" s="10">
        <v>65168</v>
      </c>
      <c r="B710" s="11" t="s">
        <v>20</v>
      </c>
      <c r="C710" s="11" t="s">
        <v>21</v>
      </c>
    </row>
    <row r="711" spans="1:3" x14ac:dyDescent="0.25">
      <c r="A711" s="10">
        <v>65265</v>
      </c>
      <c r="B711" s="11" t="s">
        <v>18</v>
      </c>
      <c r="C711" s="11" t="s">
        <v>23</v>
      </c>
    </row>
    <row r="712" spans="1:3" x14ac:dyDescent="0.25">
      <c r="A712" s="10">
        <v>65300</v>
      </c>
      <c r="B712" s="11" t="s">
        <v>18</v>
      </c>
      <c r="C712" s="11" t="s">
        <v>24</v>
      </c>
    </row>
    <row r="713" spans="1:3" x14ac:dyDescent="0.25">
      <c r="A713" s="10">
        <v>65321</v>
      </c>
      <c r="B713" s="11" t="s">
        <v>18</v>
      </c>
      <c r="C713" s="11" t="s">
        <v>25</v>
      </c>
    </row>
    <row r="714" spans="1:3" x14ac:dyDescent="0.25">
      <c r="A714" s="10">
        <v>65334</v>
      </c>
      <c r="B714" s="11" t="s">
        <v>13</v>
      </c>
      <c r="C714" s="11" t="s">
        <v>26</v>
      </c>
    </row>
    <row r="715" spans="1:3" x14ac:dyDescent="0.25">
      <c r="A715" s="10">
        <v>65339</v>
      </c>
      <c r="B715" s="11" t="s">
        <v>16</v>
      </c>
      <c r="C715" s="11" t="s">
        <v>27</v>
      </c>
    </row>
    <row r="716" spans="1:3" x14ac:dyDescent="0.25">
      <c r="A716" s="10">
        <v>65374</v>
      </c>
      <c r="B716" s="11" t="s">
        <v>16</v>
      </c>
      <c r="C716" s="11" t="s">
        <v>28</v>
      </c>
    </row>
    <row r="717" spans="1:3" x14ac:dyDescent="0.25">
      <c r="A717" s="10">
        <v>65381</v>
      </c>
      <c r="B717" s="11" t="s">
        <v>16</v>
      </c>
      <c r="C717" s="11" t="s">
        <v>11</v>
      </c>
    </row>
    <row r="718" spans="1:3" x14ac:dyDescent="0.25">
      <c r="A718" s="10">
        <v>65445</v>
      </c>
      <c r="B718" s="11" t="s">
        <v>10</v>
      </c>
      <c r="C718" s="11" t="s">
        <v>12</v>
      </c>
    </row>
    <row r="719" spans="1:3" x14ac:dyDescent="0.25">
      <c r="A719" s="10">
        <v>65446</v>
      </c>
      <c r="B719" s="11" t="s">
        <v>13</v>
      </c>
      <c r="C719" s="11" t="s">
        <v>12</v>
      </c>
    </row>
    <row r="720" spans="1:3" x14ac:dyDescent="0.25">
      <c r="A720" s="10">
        <v>65491</v>
      </c>
      <c r="B720" s="11" t="s">
        <v>14</v>
      </c>
      <c r="C720" s="11" t="s">
        <v>15</v>
      </c>
    </row>
    <row r="721" spans="1:3" x14ac:dyDescent="0.25">
      <c r="A721" s="10">
        <v>65491</v>
      </c>
      <c r="B721" s="11" t="s">
        <v>14</v>
      </c>
      <c r="C721" s="11" t="s">
        <v>17</v>
      </c>
    </row>
    <row r="722" spans="1:3" x14ac:dyDescent="0.25">
      <c r="A722" s="10">
        <v>65501</v>
      </c>
      <c r="B722" s="11" t="s">
        <v>10</v>
      </c>
      <c r="C722" s="11" t="s">
        <v>19</v>
      </c>
    </row>
    <row r="723" spans="1:3" x14ac:dyDescent="0.25">
      <c r="A723" s="10">
        <v>65553</v>
      </c>
      <c r="B723" s="11" t="s">
        <v>20</v>
      </c>
      <c r="C723" s="11" t="s">
        <v>21</v>
      </c>
    </row>
    <row r="724" spans="1:3" x14ac:dyDescent="0.25">
      <c r="A724" s="10">
        <v>65630</v>
      </c>
      <c r="B724" s="11" t="s">
        <v>20</v>
      </c>
      <c r="C724" s="11" t="s">
        <v>23</v>
      </c>
    </row>
    <row r="725" spans="1:3" x14ac:dyDescent="0.25">
      <c r="A725" s="10">
        <v>65665</v>
      </c>
      <c r="B725" s="11" t="s">
        <v>20</v>
      </c>
      <c r="C725" s="11" t="s">
        <v>24</v>
      </c>
    </row>
    <row r="726" spans="1:3" x14ac:dyDescent="0.25">
      <c r="A726" s="10">
        <v>65686</v>
      </c>
      <c r="B726" s="11" t="s">
        <v>20</v>
      </c>
      <c r="C726" s="11" t="s">
        <v>25</v>
      </c>
    </row>
    <row r="727" spans="1:3" x14ac:dyDescent="0.25">
      <c r="A727" s="10">
        <v>65699</v>
      </c>
      <c r="B727" s="11" t="s">
        <v>18</v>
      </c>
      <c r="C727" s="11" t="s">
        <v>26</v>
      </c>
    </row>
    <row r="728" spans="1:3" x14ac:dyDescent="0.25">
      <c r="A728" s="10">
        <v>65704</v>
      </c>
      <c r="B728" s="11" t="s">
        <v>10</v>
      </c>
      <c r="C728" s="11" t="s">
        <v>27</v>
      </c>
    </row>
    <row r="729" spans="1:3" x14ac:dyDescent="0.25">
      <c r="A729" s="10">
        <v>65739</v>
      </c>
      <c r="B729" s="11" t="s">
        <v>10</v>
      </c>
      <c r="C729" s="11" t="s">
        <v>28</v>
      </c>
    </row>
    <row r="730" spans="1:3" x14ac:dyDescent="0.25">
      <c r="A730" s="10">
        <v>65746</v>
      </c>
      <c r="B730" s="11" t="s">
        <v>10</v>
      </c>
      <c r="C730" s="11" t="s">
        <v>11</v>
      </c>
    </row>
    <row r="731" spans="1:3" x14ac:dyDescent="0.25">
      <c r="A731" s="10">
        <v>65795</v>
      </c>
      <c r="B731" s="11" t="s">
        <v>10</v>
      </c>
      <c r="C731" s="11" t="s">
        <v>12</v>
      </c>
    </row>
    <row r="732" spans="1:3" x14ac:dyDescent="0.25">
      <c r="A732" s="10">
        <v>65796</v>
      </c>
      <c r="B732" s="11" t="s">
        <v>13</v>
      </c>
      <c r="C732" s="11" t="s">
        <v>12</v>
      </c>
    </row>
    <row r="733" spans="1:3" x14ac:dyDescent="0.25">
      <c r="A733" s="10">
        <v>65841</v>
      </c>
      <c r="B733" s="11" t="s">
        <v>14</v>
      </c>
      <c r="C733" s="11" t="s">
        <v>15</v>
      </c>
    </row>
    <row r="734" spans="1:3" x14ac:dyDescent="0.25">
      <c r="A734" s="10">
        <v>65857</v>
      </c>
      <c r="B734" s="11" t="s">
        <v>16</v>
      </c>
      <c r="C734" s="11" t="s">
        <v>17</v>
      </c>
    </row>
    <row r="735" spans="1:3" x14ac:dyDescent="0.25">
      <c r="A735" s="10">
        <v>65867</v>
      </c>
      <c r="B735" s="11" t="s">
        <v>18</v>
      </c>
      <c r="C735" s="11" t="s">
        <v>19</v>
      </c>
    </row>
    <row r="736" spans="1:3" x14ac:dyDescent="0.25">
      <c r="A736" s="10">
        <v>65903</v>
      </c>
      <c r="B736" s="11" t="s">
        <v>20</v>
      </c>
      <c r="C736" s="11" t="s">
        <v>21</v>
      </c>
    </row>
    <row r="737" spans="1:3" x14ac:dyDescent="0.25">
      <c r="A737" s="10">
        <v>65996</v>
      </c>
      <c r="B737" s="11" t="s">
        <v>22</v>
      </c>
      <c r="C737" s="11" t="s">
        <v>23</v>
      </c>
    </row>
    <row r="738" spans="1:3" x14ac:dyDescent="0.25">
      <c r="A738" s="10">
        <v>66031</v>
      </c>
      <c r="B738" s="11" t="s">
        <v>22</v>
      </c>
      <c r="C738" s="11" t="s">
        <v>24</v>
      </c>
    </row>
    <row r="739" spans="1:3" x14ac:dyDescent="0.25">
      <c r="A739" s="10">
        <v>66052</v>
      </c>
      <c r="B739" s="11" t="s">
        <v>22</v>
      </c>
      <c r="C739" s="11" t="s">
        <v>25</v>
      </c>
    </row>
    <row r="740" spans="1:3" x14ac:dyDescent="0.25">
      <c r="A740" s="10">
        <v>66065</v>
      </c>
      <c r="B740" s="11" t="s">
        <v>14</v>
      </c>
      <c r="C740" s="11" t="s">
        <v>26</v>
      </c>
    </row>
    <row r="741" spans="1:3" x14ac:dyDescent="0.25">
      <c r="A741" s="10">
        <v>66070</v>
      </c>
      <c r="B741" s="11" t="s">
        <v>18</v>
      </c>
      <c r="C741" s="11" t="s">
        <v>27</v>
      </c>
    </row>
    <row r="742" spans="1:3" x14ac:dyDescent="0.25">
      <c r="A742" s="10">
        <v>66105</v>
      </c>
      <c r="B742" s="11" t="s">
        <v>18</v>
      </c>
      <c r="C742" s="11" t="s">
        <v>28</v>
      </c>
    </row>
    <row r="743" spans="1:3" x14ac:dyDescent="0.25">
      <c r="A743" s="10">
        <v>66112</v>
      </c>
      <c r="B743" s="11" t="s">
        <v>18</v>
      </c>
      <c r="C743" s="11" t="s">
        <v>11</v>
      </c>
    </row>
    <row r="744" spans="1:3" x14ac:dyDescent="0.25">
      <c r="A744" s="10">
        <v>66152</v>
      </c>
      <c r="B744" s="11" t="s">
        <v>10</v>
      </c>
      <c r="C744" s="11" t="s">
        <v>12</v>
      </c>
    </row>
    <row r="745" spans="1:3" x14ac:dyDescent="0.25">
      <c r="A745" s="10">
        <v>66153</v>
      </c>
      <c r="B745" s="11" t="s">
        <v>13</v>
      </c>
      <c r="C745" s="11" t="s">
        <v>12</v>
      </c>
    </row>
    <row r="746" spans="1:3" x14ac:dyDescent="0.25">
      <c r="A746" s="10">
        <v>66198</v>
      </c>
      <c r="B746" s="11" t="s">
        <v>14</v>
      </c>
      <c r="C746" s="11" t="s">
        <v>15</v>
      </c>
    </row>
    <row r="747" spans="1:3" x14ac:dyDescent="0.25">
      <c r="A747" s="10">
        <v>66222</v>
      </c>
      <c r="B747" s="11" t="s">
        <v>10</v>
      </c>
      <c r="C747" s="11" t="s">
        <v>17</v>
      </c>
    </row>
    <row r="748" spans="1:3" x14ac:dyDescent="0.25">
      <c r="A748" s="10">
        <v>66232</v>
      </c>
      <c r="B748" s="11" t="s">
        <v>20</v>
      </c>
      <c r="C748" s="11" t="s">
        <v>19</v>
      </c>
    </row>
    <row r="749" spans="1:3" x14ac:dyDescent="0.25">
      <c r="A749" s="10">
        <v>66260</v>
      </c>
      <c r="B749" s="11" t="s">
        <v>20</v>
      </c>
      <c r="C749" s="11" t="s">
        <v>21</v>
      </c>
    </row>
    <row r="750" spans="1:3" x14ac:dyDescent="0.25">
      <c r="A750" s="10">
        <v>66361</v>
      </c>
      <c r="B750" s="11" t="s">
        <v>16</v>
      </c>
      <c r="C750" s="11" t="s">
        <v>23</v>
      </c>
    </row>
    <row r="751" spans="1:3" x14ac:dyDescent="0.25">
      <c r="A751" s="10">
        <v>66396</v>
      </c>
      <c r="B751" s="11" t="s">
        <v>16</v>
      </c>
      <c r="C751" s="11" t="s">
        <v>24</v>
      </c>
    </row>
    <row r="752" spans="1:3" x14ac:dyDescent="0.25">
      <c r="A752" s="10">
        <v>66417</v>
      </c>
      <c r="B752" s="11" t="s">
        <v>16</v>
      </c>
      <c r="C752" s="11" t="s">
        <v>25</v>
      </c>
    </row>
    <row r="753" spans="1:3" x14ac:dyDescent="0.25">
      <c r="A753" s="10">
        <v>66430</v>
      </c>
      <c r="B753" s="11" t="s">
        <v>22</v>
      </c>
      <c r="C753" s="11" t="s">
        <v>26</v>
      </c>
    </row>
    <row r="754" spans="1:3" x14ac:dyDescent="0.25">
      <c r="A754" s="10">
        <v>66435</v>
      </c>
      <c r="B754" s="11" t="s">
        <v>20</v>
      </c>
      <c r="C754" s="11" t="s">
        <v>27</v>
      </c>
    </row>
    <row r="755" spans="1:3" x14ac:dyDescent="0.25">
      <c r="A755" s="10">
        <v>66470</v>
      </c>
      <c r="B755" s="11" t="s">
        <v>20</v>
      </c>
      <c r="C755" s="11" t="s">
        <v>28</v>
      </c>
    </row>
    <row r="756" spans="1:3" x14ac:dyDescent="0.25">
      <c r="A756" s="10">
        <v>66477</v>
      </c>
      <c r="B756" s="11" t="s">
        <v>20</v>
      </c>
      <c r="C756" s="11" t="s">
        <v>11</v>
      </c>
    </row>
    <row r="757" spans="1:3" x14ac:dyDescent="0.25">
      <c r="A757" s="10">
        <v>66537</v>
      </c>
      <c r="B757" s="11" t="s">
        <v>10</v>
      </c>
      <c r="C757" s="11" t="s">
        <v>12</v>
      </c>
    </row>
    <row r="758" spans="1:3" x14ac:dyDescent="0.25">
      <c r="A758" s="10">
        <v>66538</v>
      </c>
      <c r="B758" s="11" t="s">
        <v>13</v>
      </c>
      <c r="C758" s="11" t="s">
        <v>12</v>
      </c>
    </row>
    <row r="759" spans="1:3" x14ac:dyDescent="0.25">
      <c r="A759" s="10">
        <v>66583</v>
      </c>
      <c r="B759" s="11" t="s">
        <v>14</v>
      </c>
      <c r="C759" s="11" t="s">
        <v>15</v>
      </c>
    </row>
    <row r="760" spans="1:3" x14ac:dyDescent="0.25">
      <c r="A760" s="10">
        <v>66587</v>
      </c>
      <c r="B760" s="11" t="s">
        <v>13</v>
      </c>
      <c r="C760" s="11" t="s">
        <v>17</v>
      </c>
    </row>
    <row r="761" spans="1:3" x14ac:dyDescent="0.25">
      <c r="A761" s="10">
        <v>66597</v>
      </c>
      <c r="B761" s="11" t="s">
        <v>14</v>
      </c>
      <c r="C761" s="11" t="s">
        <v>19</v>
      </c>
    </row>
    <row r="762" spans="1:3" x14ac:dyDescent="0.25">
      <c r="A762" s="10">
        <v>66645</v>
      </c>
      <c r="B762" s="11" t="s">
        <v>20</v>
      </c>
      <c r="C762" s="11" t="s">
        <v>21</v>
      </c>
    </row>
    <row r="763" spans="1:3" x14ac:dyDescent="0.25">
      <c r="A763" s="10">
        <v>66726</v>
      </c>
      <c r="B763" s="11" t="s">
        <v>10</v>
      </c>
      <c r="C763" s="11" t="s">
        <v>23</v>
      </c>
    </row>
    <row r="764" spans="1:3" x14ac:dyDescent="0.25">
      <c r="A764" s="10">
        <v>66761</v>
      </c>
      <c r="B764" s="11" t="s">
        <v>10</v>
      </c>
      <c r="C764" s="11" t="s">
        <v>24</v>
      </c>
    </row>
    <row r="765" spans="1:3" x14ac:dyDescent="0.25">
      <c r="A765" s="10">
        <v>66782</v>
      </c>
      <c r="B765" s="11" t="s">
        <v>10</v>
      </c>
      <c r="C765" s="11" t="s">
        <v>25</v>
      </c>
    </row>
    <row r="766" spans="1:3" x14ac:dyDescent="0.25">
      <c r="A766" s="10">
        <v>66795</v>
      </c>
      <c r="B766" s="11" t="s">
        <v>16</v>
      </c>
      <c r="C766" s="11" t="s">
        <v>26</v>
      </c>
    </row>
    <row r="767" spans="1:3" x14ac:dyDescent="0.25">
      <c r="A767" s="10">
        <v>66800</v>
      </c>
      <c r="B767" s="11" t="s">
        <v>14</v>
      </c>
      <c r="C767" s="11" t="s">
        <v>27</v>
      </c>
    </row>
    <row r="768" spans="1:3" x14ac:dyDescent="0.25">
      <c r="A768" s="10">
        <v>66835</v>
      </c>
      <c r="B768" s="11" t="s">
        <v>14</v>
      </c>
      <c r="C768" s="11" t="s">
        <v>28</v>
      </c>
    </row>
    <row r="769" spans="1:3" x14ac:dyDescent="0.25">
      <c r="A769" s="10">
        <v>66842</v>
      </c>
      <c r="B769" s="11" t="s">
        <v>14</v>
      </c>
      <c r="C769" s="11" t="s">
        <v>11</v>
      </c>
    </row>
    <row r="770" spans="1:3" x14ac:dyDescent="0.25">
      <c r="A770" s="10">
        <v>66887</v>
      </c>
      <c r="B770" s="11" t="s">
        <v>10</v>
      </c>
      <c r="C770" s="11" t="s">
        <v>12</v>
      </c>
    </row>
    <row r="771" spans="1:3" x14ac:dyDescent="0.25">
      <c r="A771" s="10">
        <v>66888</v>
      </c>
      <c r="B771" s="11" t="s">
        <v>13</v>
      </c>
      <c r="C771" s="11" t="s">
        <v>12</v>
      </c>
    </row>
    <row r="772" spans="1:3" x14ac:dyDescent="0.25">
      <c r="A772" s="10">
        <v>66933</v>
      </c>
      <c r="B772" s="11" t="s">
        <v>14</v>
      </c>
      <c r="C772" s="11" t="s">
        <v>15</v>
      </c>
    </row>
    <row r="773" spans="1:3" x14ac:dyDescent="0.25">
      <c r="A773" s="10">
        <v>66952</v>
      </c>
      <c r="B773" s="11" t="s">
        <v>18</v>
      </c>
      <c r="C773" s="11" t="s">
        <v>17</v>
      </c>
    </row>
    <row r="774" spans="1:3" x14ac:dyDescent="0.25">
      <c r="A774" s="10">
        <v>66962</v>
      </c>
      <c r="B774" s="11" t="s">
        <v>22</v>
      </c>
      <c r="C774" s="11" t="s">
        <v>19</v>
      </c>
    </row>
    <row r="775" spans="1:3" x14ac:dyDescent="0.25">
      <c r="A775" s="10">
        <v>66995</v>
      </c>
      <c r="B775" s="11" t="s">
        <v>20</v>
      </c>
      <c r="C775" s="11" t="s">
        <v>21</v>
      </c>
    </row>
    <row r="776" spans="1:3" x14ac:dyDescent="0.25">
      <c r="A776" s="10">
        <v>67091</v>
      </c>
      <c r="B776" s="11" t="s">
        <v>13</v>
      </c>
      <c r="C776" s="11" t="s">
        <v>23</v>
      </c>
    </row>
    <row r="777" spans="1:3" x14ac:dyDescent="0.25">
      <c r="A777" s="10">
        <v>67126</v>
      </c>
      <c r="B777" s="11" t="s">
        <v>13</v>
      </c>
      <c r="C777" s="11" t="s">
        <v>24</v>
      </c>
    </row>
    <row r="778" spans="1:3" x14ac:dyDescent="0.25">
      <c r="A778" s="10">
        <v>67147</v>
      </c>
      <c r="B778" s="11" t="s">
        <v>13</v>
      </c>
      <c r="C778" s="11" t="s">
        <v>25</v>
      </c>
    </row>
    <row r="779" spans="1:3" x14ac:dyDescent="0.25">
      <c r="A779" s="10">
        <v>67160</v>
      </c>
      <c r="B779" s="11" t="s">
        <v>10</v>
      </c>
      <c r="C779" s="11" t="s">
        <v>26</v>
      </c>
    </row>
    <row r="780" spans="1:3" x14ac:dyDescent="0.25">
      <c r="A780" s="10">
        <v>67165</v>
      </c>
      <c r="B780" s="11" t="s">
        <v>22</v>
      </c>
      <c r="C780" s="11" t="s">
        <v>27</v>
      </c>
    </row>
    <row r="781" spans="1:3" x14ac:dyDescent="0.25">
      <c r="A781" s="10">
        <v>67200</v>
      </c>
      <c r="B781" s="11" t="s">
        <v>22</v>
      </c>
      <c r="C781" s="11" t="s">
        <v>28</v>
      </c>
    </row>
    <row r="782" spans="1:3" x14ac:dyDescent="0.25">
      <c r="A782" s="10">
        <v>67207</v>
      </c>
      <c r="B782" s="11" t="s">
        <v>22</v>
      </c>
      <c r="C782" s="11" t="s">
        <v>11</v>
      </c>
    </row>
    <row r="783" spans="1:3" x14ac:dyDescent="0.25">
      <c r="A783" s="10">
        <v>67244</v>
      </c>
      <c r="B783" s="11" t="s">
        <v>10</v>
      </c>
      <c r="C783" s="11" t="s">
        <v>12</v>
      </c>
    </row>
    <row r="784" spans="1:3" x14ac:dyDescent="0.25">
      <c r="A784" s="10">
        <v>67245</v>
      </c>
      <c r="B784" s="11" t="s">
        <v>13</v>
      </c>
      <c r="C784" s="11" t="s">
        <v>12</v>
      </c>
    </row>
    <row r="785" spans="1:3" x14ac:dyDescent="0.25">
      <c r="A785" s="10">
        <v>67290</v>
      </c>
      <c r="B785" s="11" t="s">
        <v>14</v>
      </c>
      <c r="C785" s="11" t="s">
        <v>15</v>
      </c>
    </row>
    <row r="786" spans="1:3" x14ac:dyDescent="0.25">
      <c r="A786" s="10">
        <v>67318</v>
      </c>
      <c r="B786" s="11" t="s">
        <v>14</v>
      </c>
      <c r="C786" s="11" t="s">
        <v>17</v>
      </c>
    </row>
    <row r="787" spans="1:3" x14ac:dyDescent="0.25">
      <c r="A787" s="10">
        <v>67328</v>
      </c>
      <c r="B787" s="11" t="s">
        <v>10</v>
      </c>
      <c r="C787" s="11" t="s">
        <v>19</v>
      </c>
    </row>
    <row r="788" spans="1:3" x14ac:dyDescent="0.25">
      <c r="A788" s="10">
        <v>67352</v>
      </c>
      <c r="B788" s="11" t="s">
        <v>20</v>
      </c>
      <c r="C788" s="11" t="s">
        <v>21</v>
      </c>
    </row>
    <row r="789" spans="1:3" x14ac:dyDescent="0.25">
      <c r="A789" s="10">
        <v>67457</v>
      </c>
      <c r="B789" s="11" t="s">
        <v>20</v>
      </c>
      <c r="C789" s="11" t="s">
        <v>23</v>
      </c>
    </row>
    <row r="790" spans="1:3" x14ac:dyDescent="0.25">
      <c r="A790" s="10">
        <v>67492</v>
      </c>
      <c r="B790" s="11" t="s">
        <v>20</v>
      </c>
      <c r="C790" s="11" t="s">
        <v>24</v>
      </c>
    </row>
    <row r="791" spans="1:3" x14ac:dyDescent="0.25">
      <c r="A791" s="10">
        <v>67513</v>
      </c>
      <c r="B791" s="11" t="s">
        <v>20</v>
      </c>
      <c r="C791" s="11" t="s">
        <v>25</v>
      </c>
    </row>
    <row r="792" spans="1:3" x14ac:dyDescent="0.25">
      <c r="A792" s="10">
        <v>67526</v>
      </c>
      <c r="B792" s="11" t="s">
        <v>18</v>
      </c>
      <c r="C792" s="11" t="s">
        <v>26</v>
      </c>
    </row>
    <row r="793" spans="1:3" x14ac:dyDescent="0.25">
      <c r="A793" s="10">
        <v>67531</v>
      </c>
      <c r="B793" s="11" t="s">
        <v>10</v>
      </c>
      <c r="C793" s="11" t="s">
        <v>27</v>
      </c>
    </row>
    <row r="794" spans="1:3" x14ac:dyDescent="0.25">
      <c r="A794" s="10">
        <v>67566</v>
      </c>
      <c r="B794" s="11" t="s">
        <v>10</v>
      </c>
      <c r="C794" s="11" t="s">
        <v>28</v>
      </c>
    </row>
    <row r="795" spans="1:3" x14ac:dyDescent="0.25">
      <c r="A795" s="10">
        <v>67573</v>
      </c>
      <c r="B795" s="11" t="s">
        <v>10</v>
      </c>
      <c r="C795" s="11" t="s">
        <v>11</v>
      </c>
    </row>
    <row r="796" spans="1:3" x14ac:dyDescent="0.25">
      <c r="A796" s="10">
        <v>67629</v>
      </c>
      <c r="B796" s="11" t="s">
        <v>10</v>
      </c>
      <c r="C796" s="11" t="s">
        <v>12</v>
      </c>
    </row>
    <row r="797" spans="1:3" x14ac:dyDescent="0.25">
      <c r="A797" s="10">
        <v>67630</v>
      </c>
      <c r="B797" s="11" t="s">
        <v>13</v>
      </c>
      <c r="C797" s="11" t="s">
        <v>12</v>
      </c>
    </row>
    <row r="798" spans="1:3" x14ac:dyDescent="0.25">
      <c r="A798" s="10">
        <v>67675</v>
      </c>
      <c r="B798" s="11" t="s">
        <v>14</v>
      </c>
      <c r="C798" s="11" t="s">
        <v>15</v>
      </c>
    </row>
    <row r="799" spans="1:3" x14ac:dyDescent="0.25">
      <c r="A799" s="10">
        <v>67683</v>
      </c>
      <c r="B799" s="11" t="s">
        <v>22</v>
      </c>
      <c r="C799" s="11" t="s">
        <v>17</v>
      </c>
    </row>
    <row r="800" spans="1:3" x14ac:dyDescent="0.25">
      <c r="A800" s="10">
        <v>67693</v>
      </c>
      <c r="B800" s="11" t="s">
        <v>13</v>
      </c>
      <c r="C800" s="11" t="s">
        <v>19</v>
      </c>
    </row>
    <row r="801" spans="1:3" x14ac:dyDescent="0.25">
      <c r="A801" s="10">
        <v>67737</v>
      </c>
      <c r="B801" s="11" t="s">
        <v>20</v>
      </c>
      <c r="C801" s="11" t="s">
        <v>21</v>
      </c>
    </row>
    <row r="802" spans="1:3" x14ac:dyDescent="0.25">
      <c r="A802" s="10">
        <v>67822</v>
      </c>
      <c r="B802" s="11" t="s">
        <v>14</v>
      </c>
      <c r="C802" s="11" t="s">
        <v>23</v>
      </c>
    </row>
    <row r="803" spans="1:3" x14ac:dyDescent="0.25">
      <c r="A803" s="10">
        <v>67857</v>
      </c>
      <c r="B803" s="11" t="s">
        <v>14</v>
      </c>
      <c r="C803" s="11" t="s">
        <v>24</v>
      </c>
    </row>
    <row r="804" spans="1:3" x14ac:dyDescent="0.25">
      <c r="A804" s="10">
        <v>67878</v>
      </c>
      <c r="B804" s="11" t="s">
        <v>14</v>
      </c>
      <c r="C804" s="11" t="s">
        <v>25</v>
      </c>
    </row>
    <row r="805" spans="1:3" x14ac:dyDescent="0.25">
      <c r="A805" s="10">
        <v>67891</v>
      </c>
      <c r="B805" s="11" t="s">
        <v>20</v>
      </c>
      <c r="C805" s="11" t="s">
        <v>26</v>
      </c>
    </row>
    <row r="806" spans="1:3" x14ac:dyDescent="0.25">
      <c r="A806" s="10">
        <v>67896</v>
      </c>
      <c r="B806" s="11" t="s">
        <v>13</v>
      </c>
      <c r="C806" s="11" t="s">
        <v>27</v>
      </c>
    </row>
    <row r="807" spans="1:3" x14ac:dyDescent="0.25">
      <c r="A807" s="10">
        <v>67931</v>
      </c>
      <c r="B807" s="11" t="s">
        <v>13</v>
      </c>
      <c r="C807" s="11" t="s">
        <v>28</v>
      </c>
    </row>
    <row r="808" spans="1:3" x14ac:dyDescent="0.25">
      <c r="A808" s="10">
        <v>67938</v>
      </c>
      <c r="B808" s="11" t="s">
        <v>13</v>
      </c>
      <c r="C808" s="11" t="s">
        <v>11</v>
      </c>
    </row>
    <row r="809" spans="1:3" x14ac:dyDescent="0.25">
      <c r="A809" s="10">
        <v>67979</v>
      </c>
      <c r="B809" s="11" t="s">
        <v>10</v>
      </c>
      <c r="C809" s="11" t="s">
        <v>12</v>
      </c>
    </row>
    <row r="810" spans="1:3" x14ac:dyDescent="0.25">
      <c r="A810" s="10">
        <v>67980</v>
      </c>
      <c r="B810" s="11" t="s">
        <v>13</v>
      </c>
      <c r="C810" s="11" t="s">
        <v>12</v>
      </c>
    </row>
    <row r="811" spans="1:3" x14ac:dyDescent="0.25">
      <c r="A811" s="10">
        <v>68025</v>
      </c>
      <c r="B811" s="11" t="s">
        <v>14</v>
      </c>
      <c r="C811" s="11" t="s">
        <v>15</v>
      </c>
    </row>
    <row r="812" spans="1:3" x14ac:dyDescent="0.25">
      <c r="A812" s="10">
        <v>68048</v>
      </c>
      <c r="B812" s="11" t="s">
        <v>16</v>
      </c>
      <c r="C812" s="11" t="s">
        <v>17</v>
      </c>
    </row>
    <row r="813" spans="1:3" x14ac:dyDescent="0.25">
      <c r="A813" s="10">
        <v>68058</v>
      </c>
      <c r="B813" s="11" t="s">
        <v>18</v>
      </c>
      <c r="C813" s="11" t="s">
        <v>19</v>
      </c>
    </row>
    <row r="814" spans="1:3" x14ac:dyDescent="0.25">
      <c r="A814" s="10">
        <v>68087</v>
      </c>
      <c r="B814" s="11" t="s">
        <v>20</v>
      </c>
      <c r="C814" s="11" t="s">
        <v>21</v>
      </c>
    </row>
    <row r="815" spans="1:3" x14ac:dyDescent="0.25">
      <c r="A815" s="10">
        <v>68187</v>
      </c>
      <c r="B815" s="11" t="s">
        <v>22</v>
      </c>
      <c r="C815" s="11" t="s">
        <v>23</v>
      </c>
    </row>
    <row r="816" spans="1:3" x14ac:dyDescent="0.25">
      <c r="A816" s="10">
        <v>68222</v>
      </c>
      <c r="B816" s="11" t="s">
        <v>22</v>
      </c>
      <c r="C816" s="11" t="s">
        <v>24</v>
      </c>
    </row>
    <row r="817" spans="1:3" x14ac:dyDescent="0.25">
      <c r="A817" s="10">
        <v>68243</v>
      </c>
      <c r="B817" s="11" t="s">
        <v>22</v>
      </c>
      <c r="C817" s="11" t="s">
        <v>25</v>
      </c>
    </row>
    <row r="818" spans="1:3" x14ac:dyDescent="0.25">
      <c r="A818" s="10">
        <v>68256</v>
      </c>
      <c r="B818" s="11" t="s">
        <v>14</v>
      </c>
      <c r="C818" s="11" t="s">
        <v>26</v>
      </c>
    </row>
    <row r="819" spans="1:3" x14ac:dyDescent="0.25">
      <c r="A819" s="10">
        <v>68261</v>
      </c>
      <c r="B819" s="11" t="s">
        <v>18</v>
      </c>
      <c r="C819" s="11" t="s">
        <v>27</v>
      </c>
    </row>
    <row r="820" spans="1:3" x14ac:dyDescent="0.25">
      <c r="A820" s="10">
        <v>68296</v>
      </c>
      <c r="B820" s="11" t="s">
        <v>18</v>
      </c>
      <c r="C820" s="11" t="s">
        <v>28</v>
      </c>
    </row>
    <row r="821" spans="1:3" x14ac:dyDescent="0.25">
      <c r="A821" s="10">
        <v>68303</v>
      </c>
      <c r="B821" s="11" t="s">
        <v>18</v>
      </c>
      <c r="C821" s="11" t="s">
        <v>11</v>
      </c>
    </row>
    <row r="822" spans="1:3" x14ac:dyDescent="0.25">
      <c r="A822" s="10">
        <v>68364</v>
      </c>
      <c r="B822" s="11" t="s">
        <v>10</v>
      </c>
      <c r="C822" s="11" t="s">
        <v>12</v>
      </c>
    </row>
    <row r="823" spans="1:3" x14ac:dyDescent="0.25">
      <c r="A823" s="10">
        <v>68365</v>
      </c>
      <c r="B823" s="11" t="s">
        <v>13</v>
      </c>
      <c r="C823" s="11" t="s">
        <v>12</v>
      </c>
    </row>
    <row r="824" spans="1:3" x14ac:dyDescent="0.25">
      <c r="A824" s="10">
        <v>68410</v>
      </c>
      <c r="B824" s="11" t="s">
        <v>14</v>
      </c>
      <c r="C824" s="11" t="s">
        <v>15</v>
      </c>
    </row>
    <row r="825" spans="1:3" x14ac:dyDescent="0.25">
      <c r="A825" s="10">
        <v>68413</v>
      </c>
      <c r="B825" s="11" t="s">
        <v>10</v>
      </c>
      <c r="C825" s="11" t="s">
        <v>17</v>
      </c>
    </row>
    <row r="826" spans="1:3" x14ac:dyDescent="0.25">
      <c r="A826" s="10">
        <v>68423</v>
      </c>
      <c r="B826" s="11" t="s">
        <v>20</v>
      </c>
      <c r="C826" s="11" t="s">
        <v>19</v>
      </c>
    </row>
    <row r="827" spans="1:3" x14ac:dyDescent="0.25">
      <c r="A827" s="10">
        <v>68472</v>
      </c>
      <c r="B827" s="11" t="s">
        <v>20</v>
      </c>
      <c r="C827" s="11" t="s">
        <v>21</v>
      </c>
    </row>
    <row r="828" spans="1:3" x14ac:dyDescent="0.25">
      <c r="A828" s="10">
        <v>68552</v>
      </c>
      <c r="B828" s="11" t="s">
        <v>16</v>
      </c>
      <c r="C828" s="11" t="s">
        <v>23</v>
      </c>
    </row>
    <row r="829" spans="1:3" x14ac:dyDescent="0.25">
      <c r="A829" s="10">
        <v>68587</v>
      </c>
      <c r="B829" s="11" t="s">
        <v>16</v>
      </c>
      <c r="C829" s="11" t="s">
        <v>24</v>
      </c>
    </row>
    <row r="830" spans="1:3" x14ac:dyDescent="0.25">
      <c r="A830" s="10">
        <v>68608</v>
      </c>
      <c r="B830" s="11" t="s">
        <v>16</v>
      </c>
      <c r="C830" s="11" t="s">
        <v>25</v>
      </c>
    </row>
    <row r="831" spans="1:3" x14ac:dyDescent="0.25">
      <c r="A831" s="10">
        <v>68621</v>
      </c>
      <c r="B831" s="11" t="s">
        <v>22</v>
      </c>
      <c r="C831" s="11" t="s">
        <v>26</v>
      </c>
    </row>
    <row r="832" spans="1:3" x14ac:dyDescent="0.25">
      <c r="A832" s="10">
        <v>68626</v>
      </c>
      <c r="B832" s="11" t="s">
        <v>20</v>
      </c>
      <c r="C832" s="11" t="s">
        <v>27</v>
      </c>
    </row>
    <row r="833" spans="1:3" x14ac:dyDescent="0.25">
      <c r="A833" s="10">
        <v>68661</v>
      </c>
      <c r="B833" s="11" t="s">
        <v>20</v>
      </c>
      <c r="C833" s="11" t="s">
        <v>28</v>
      </c>
    </row>
    <row r="834" spans="1:3" x14ac:dyDescent="0.25">
      <c r="A834" s="10">
        <v>68668</v>
      </c>
      <c r="B834" s="11" t="s">
        <v>20</v>
      </c>
      <c r="C834" s="11" t="s">
        <v>11</v>
      </c>
    </row>
    <row r="835" spans="1:3" x14ac:dyDescent="0.25">
      <c r="A835" s="10">
        <v>68721</v>
      </c>
      <c r="B835" s="11" t="s">
        <v>10</v>
      </c>
      <c r="C835" s="11" t="s">
        <v>12</v>
      </c>
    </row>
    <row r="836" spans="1:3" x14ac:dyDescent="0.25">
      <c r="A836" s="10">
        <v>68722</v>
      </c>
      <c r="B836" s="11" t="s">
        <v>13</v>
      </c>
      <c r="C836" s="11" t="s">
        <v>12</v>
      </c>
    </row>
    <row r="837" spans="1:3" x14ac:dyDescent="0.25">
      <c r="A837" s="10">
        <v>68767</v>
      </c>
      <c r="B837" s="11" t="s">
        <v>14</v>
      </c>
      <c r="C837" s="11" t="s">
        <v>15</v>
      </c>
    </row>
    <row r="838" spans="1:3" x14ac:dyDescent="0.25">
      <c r="A838" s="10">
        <v>68779</v>
      </c>
      <c r="B838" s="11" t="s">
        <v>18</v>
      </c>
      <c r="C838" s="11" t="s">
        <v>17</v>
      </c>
    </row>
    <row r="839" spans="1:3" x14ac:dyDescent="0.25">
      <c r="A839" s="10">
        <v>68789</v>
      </c>
      <c r="B839" s="11" t="s">
        <v>22</v>
      </c>
      <c r="C839" s="11" t="s">
        <v>19</v>
      </c>
    </row>
    <row r="840" spans="1:3" x14ac:dyDescent="0.25">
      <c r="A840" s="10">
        <v>68829</v>
      </c>
      <c r="B840" s="11" t="s">
        <v>20</v>
      </c>
      <c r="C840" s="11" t="s">
        <v>21</v>
      </c>
    </row>
    <row r="841" spans="1:3" x14ac:dyDescent="0.25">
      <c r="A841" s="10">
        <v>68918</v>
      </c>
      <c r="B841" s="11" t="s">
        <v>13</v>
      </c>
      <c r="C841" s="11" t="s">
        <v>23</v>
      </c>
    </row>
    <row r="842" spans="1:3" x14ac:dyDescent="0.25">
      <c r="A842" s="10">
        <v>68953</v>
      </c>
      <c r="B842" s="11" t="s">
        <v>13</v>
      </c>
      <c r="C842" s="11" t="s">
        <v>24</v>
      </c>
    </row>
    <row r="843" spans="1:3" x14ac:dyDescent="0.25">
      <c r="A843" s="10">
        <v>68974</v>
      </c>
      <c r="B843" s="11" t="s">
        <v>13</v>
      </c>
      <c r="C843" s="11" t="s">
        <v>25</v>
      </c>
    </row>
    <row r="844" spans="1:3" x14ac:dyDescent="0.25">
      <c r="A844" s="10">
        <v>68987</v>
      </c>
      <c r="B844" s="11" t="s">
        <v>10</v>
      </c>
      <c r="C844" s="11" t="s">
        <v>26</v>
      </c>
    </row>
    <row r="845" spans="1:3" x14ac:dyDescent="0.25">
      <c r="A845" s="10">
        <v>68992</v>
      </c>
      <c r="B845" s="11" t="s">
        <v>22</v>
      </c>
      <c r="C845" s="11" t="s">
        <v>27</v>
      </c>
    </row>
    <row r="846" spans="1:3" x14ac:dyDescent="0.25">
      <c r="A846" s="10">
        <v>69027</v>
      </c>
      <c r="B846" s="11" t="s">
        <v>22</v>
      </c>
      <c r="C846" s="11" t="s">
        <v>28</v>
      </c>
    </row>
    <row r="847" spans="1:3" x14ac:dyDescent="0.25">
      <c r="A847" s="10">
        <v>69034</v>
      </c>
      <c r="B847" s="11" t="s">
        <v>22</v>
      </c>
      <c r="C847" s="11" t="s">
        <v>11</v>
      </c>
    </row>
    <row r="848" spans="1:3" x14ac:dyDescent="0.25">
      <c r="A848" s="10">
        <v>69078</v>
      </c>
      <c r="B848" s="11" t="s">
        <v>10</v>
      </c>
      <c r="C848" s="11" t="s">
        <v>12</v>
      </c>
    </row>
    <row r="849" spans="1:3" x14ac:dyDescent="0.25">
      <c r="A849" s="10">
        <v>69079</v>
      </c>
      <c r="B849" s="11" t="s">
        <v>13</v>
      </c>
      <c r="C849" s="11" t="s">
        <v>12</v>
      </c>
    </row>
    <row r="850" spans="1:3" x14ac:dyDescent="0.25">
      <c r="A850" s="10">
        <v>69124</v>
      </c>
      <c r="B850" s="11" t="s">
        <v>14</v>
      </c>
      <c r="C850" s="11" t="s">
        <v>15</v>
      </c>
    </row>
    <row r="851" spans="1:3" x14ac:dyDescent="0.25">
      <c r="A851" s="10">
        <v>69144</v>
      </c>
      <c r="B851" s="11" t="s">
        <v>20</v>
      </c>
      <c r="C851" s="11" t="s">
        <v>17</v>
      </c>
    </row>
    <row r="852" spans="1:3" x14ac:dyDescent="0.25">
      <c r="A852" s="10">
        <v>69154</v>
      </c>
      <c r="B852" s="11" t="s">
        <v>16</v>
      </c>
      <c r="C852" s="11" t="s">
        <v>19</v>
      </c>
    </row>
    <row r="853" spans="1:3" x14ac:dyDescent="0.25">
      <c r="A853" s="10">
        <v>69186</v>
      </c>
      <c r="B853" s="11" t="s">
        <v>20</v>
      </c>
      <c r="C853" s="11" t="s">
        <v>21</v>
      </c>
    </row>
    <row r="854" spans="1:3" x14ac:dyDescent="0.25">
      <c r="A854" s="10">
        <v>69283</v>
      </c>
      <c r="B854" s="11" t="s">
        <v>18</v>
      </c>
      <c r="C854" s="11" t="s">
        <v>23</v>
      </c>
    </row>
    <row r="855" spans="1:3" x14ac:dyDescent="0.25">
      <c r="A855" s="10">
        <v>69318</v>
      </c>
      <c r="B855" s="11" t="s">
        <v>18</v>
      </c>
      <c r="C855" s="11" t="s">
        <v>24</v>
      </c>
    </row>
    <row r="856" spans="1:3" x14ac:dyDescent="0.25">
      <c r="A856" s="10">
        <v>69339</v>
      </c>
      <c r="B856" s="11" t="s">
        <v>18</v>
      </c>
      <c r="C856" s="11" t="s">
        <v>25</v>
      </c>
    </row>
    <row r="857" spans="1:3" x14ac:dyDescent="0.25">
      <c r="A857" s="10">
        <v>69352</v>
      </c>
      <c r="B857" s="11" t="s">
        <v>13</v>
      </c>
      <c r="C857" s="11" t="s">
        <v>26</v>
      </c>
    </row>
    <row r="858" spans="1:3" x14ac:dyDescent="0.25">
      <c r="A858" s="10">
        <v>69357</v>
      </c>
      <c r="B858" s="11" t="s">
        <v>16</v>
      </c>
      <c r="C858" s="11" t="s">
        <v>27</v>
      </c>
    </row>
    <row r="859" spans="1:3" x14ac:dyDescent="0.25">
      <c r="A859" s="10">
        <v>69392</v>
      </c>
      <c r="B859" s="11" t="s">
        <v>16</v>
      </c>
      <c r="C859" s="11" t="s">
        <v>28</v>
      </c>
    </row>
    <row r="860" spans="1:3" x14ac:dyDescent="0.25">
      <c r="A860" s="10">
        <v>69399</v>
      </c>
      <c r="B860" s="11" t="s">
        <v>16</v>
      </c>
      <c r="C860" s="11" t="s">
        <v>11</v>
      </c>
    </row>
    <row r="861" spans="1:3" x14ac:dyDescent="0.25">
      <c r="A861" s="10">
        <v>69456</v>
      </c>
      <c r="B861" s="11" t="s">
        <v>10</v>
      </c>
      <c r="C861" s="11" t="s">
        <v>12</v>
      </c>
    </row>
    <row r="862" spans="1:3" x14ac:dyDescent="0.25">
      <c r="A862" s="10">
        <v>69457</v>
      </c>
      <c r="B862" s="11" t="s">
        <v>13</v>
      </c>
      <c r="C862" s="11" t="s">
        <v>12</v>
      </c>
    </row>
    <row r="863" spans="1:3" x14ac:dyDescent="0.25">
      <c r="A863" s="10">
        <v>69502</v>
      </c>
      <c r="B863" s="11" t="s">
        <v>14</v>
      </c>
      <c r="C863" s="11" t="s">
        <v>15</v>
      </c>
    </row>
    <row r="864" spans="1:3" x14ac:dyDescent="0.25">
      <c r="A864" s="10">
        <v>69509</v>
      </c>
      <c r="B864" s="11" t="s">
        <v>14</v>
      </c>
      <c r="C864" s="11" t="s">
        <v>17</v>
      </c>
    </row>
    <row r="865" spans="1:3" x14ac:dyDescent="0.25">
      <c r="A865" s="10">
        <v>69519</v>
      </c>
      <c r="B865" s="11" t="s">
        <v>10</v>
      </c>
      <c r="C865" s="11" t="s">
        <v>19</v>
      </c>
    </row>
    <row r="866" spans="1:3" x14ac:dyDescent="0.25">
      <c r="A866" s="10">
        <v>69564</v>
      </c>
      <c r="B866" s="11" t="s">
        <v>20</v>
      </c>
      <c r="C866" s="11" t="s">
        <v>21</v>
      </c>
    </row>
    <row r="867" spans="1:3" x14ac:dyDescent="0.25">
      <c r="A867" s="10">
        <v>69648</v>
      </c>
      <c r="B867" s="11" t="s">
        <v>20</v>
      </c>
      <c r="C867" s="11" t="s">
        <v>23</v>
      </c>
    </row>
    <row r="868" spans="1:3" x14ac:dyDescent="0.25">
      <c r="A868" s="10">
        <v>69683</v>
      </c>
      <c r="B868" s="11" t="s">
        <v>20</v>
      </c>
      <c r="C868" s="11" t="s">
        <v>24</v>
      </c>
    </row>
    <row r="869" spans="1:3" x14ac:dyDescent="0.25">
      <c r="A869" s="10">
        <v>69704</v>
      </c>
      <c r="B869" s="11" t="s">
        <v>20</v>
      </c>
      <c r="C869" s="11" t="s">
        <v>25</v>
      </c>
    </row>
    <row r="870" spans="1:3" x14ac:dyDescent="0.25">
      <c r="A870" s="10">
        <v>69717</v>
      </c>
      <c r="B870" s="11" t="s">
        <v>18</v>
      </c>
      <c r="C870" s="11" t="s">
        <v>26</v>
      </c>
    </row>
    <row r="871" spans="1:3" x14ac:dyDescent="0.25">
      <c r="A871" s="10">
        <v>69722</v>
      </c>
      <c r="B871" s="11" t="s">
        <v>10</v>
      </c>
      <c r="C871" s="11" t="s">
        <v>27</v>
      </c>
    </row>
    <row r="872" spans="1:3" x14ac:dyDescent="0.25">
      <c r="A872" s="10">
        <v>69757</v>
      </c>
      <c r="B872" s="11" t="s">
        <v>10</v>
      </c>
      <c r="C872" s="11" t="s">
        <v>28</v>
      </c>
    </row>
    <row r="873" spans="1:3" x14ac:dyDescent="0.25">
      <c r="A873" s="10">
        <v>69764</v>
      </c>
      <c r="B873" s="11" t="s">
        <v>10</v>
      </c>
      <c r="C873" s="11" t="s">
        <v>11</v>
      </c>
    </row>
    <row r="874" spans="1:3" x14ac:dyDescent="0.25">
      <c r="A874" s="10">
        <v>69813</v>
      </c>
      <c r="B874" s="11" t="s">
        <v>10</v>
      </c>
      <c r="C874" s="11" t="s">
        <v>12</v>
      </c>
    </row>
    <row r="875" spans="1:3" x14ac:dyDescent="0.25">
      <c r="A875" s="10">
        <v>69814</v>
      </c>
      <c r="B875" s="11" t="s">
        <v>13</v>
      </c>
      <c r="C875" s="11" t="s">
        <v>12</v>
      </c>
    </row>
    <row r="876" spans="1:3" x14ac:dyDescent="0.25">
      <c r="A876" s="10">
        <v>69859</v>
      </c>
      <c r="B876" s="11" t="s">
        <v>14</v>
      </c>
      <c r="C876" s="11" t="s">
        <v>15</v>
      </c>
    </row>
    <row r="877" spans="1:3" x14ac:dyDescent="0.25">
      <c r="A877" s="10">
        <v>69874</v>
      </c>
      <c r="B877" s="11" t="s">
        <v>22</v>
      </c>
      <c r="C877" s="11" t="s">
        <v>17</v>
      </c>
    </row>
    <row r="878" spans="1:3" x14ac:dyDescent="0.25">
      <c r="A878" s="10">
        <v>69884</v>
      </c>
      <c r="B878" s="11" t="s">
        <v>13</v>
      </c>
      <c r="C878" s="11" t="s">
        <v>19</v>
      </c>
    </row>
    <row r="879" spans="1:3" x14ac:dyDescent="0.25">
      <c r="A879" s="10">
        <v>69921</v>
      </c>
      <c r="B879" s="11" t="s">
        <v>20</v>
      </c>
      <c r="C879" s="11" t="s">
        <v>21</v>
      </c>
    </row>
    <row r="880" spans="1:3" x14ac:dyDescent="0.25">
      <c r="A880" s="10">
        <v>70013</v>
      </c>
      <c r="B880" s="11" t="s">
        <v>14</v>
      </c>
      <c r="C880" s="11" t="s">
        <v>23</v>
      </c>
    </row>
    <row r="881" spans="1:3" x14ac:dyDescent="0.25">
      <c r="A881" s="10">
        <v>70048</v>
      </c>
      <c r="B881" s="11" t="s">
        <v>14</v>
      </c>
      <c r="C881" s="11" t="s">
        <v>24</v>
      </c>
    </row>
    <row r="882" spans="1:3" x14ac:dyDescent="0.25">
      <c r="A882" s="10">
        <v>70069</v>
      </c>
      <c r="B882" s="11" t="s">
        <v>14</v>
      </c>
      <c r="C882" s="11" t="s">
        <v>25</v>
      </c>
    </row>
    <row r="883" spans="1:3" x14ac:dyDescent="0.25">
      <c r="A883" s="10">
        <v>70082</v>
      </c>
      <c r="B883" s="11" t="s">
        <v>20</v>
      </c>
      <c r="C883" s="11" t="s">
        <v>26</v>
      </c>
    </row>
    <row r="884" spans="1:3" x14ac:dyDescent="0.25">
      <c r="A884" s="10">
        <v>70087</v>
      </c>
      <c r="B884" s="11" t="s">
        <v>13</v>
      </c>
      <c r="C884" s="11" t="s">
        <v>27</v>
      </c>
    </row>
    <row r="885" spans="1:3" x14ac:dyDescent="0.25">
      <c r="A885" s="10">
        <v>70122</v>
      </c>
      <c r="B885" s="11" t="s">
        <v>13</v>
      </c>
      <c r="C885" s="11" t="s">
        <v>28</v>
      </c>
    </row>
    <row r="886" spans="1:3" x14ac:dyDescent="0.25">
      <c r="A886" s="10">
        <v>70129</v>
      </c>
      <c r="B886" s="11" t="s">
        <v>13</v>
      </c>
      <c r="C886" s="11" t="s">
        <v>11</v>
      </c>
    </row>
    <row r="887" spans="1:3" x14ac:dyDescent="0.25">
      <c r="A887" s="10">
        <v>70170</v>
      </c>
      <c r="B887" s="11" t="s">
        <v>10</v>
      </c>
      <c r="C887" s="11" t="s">
        <v>12</v>
      </c>
    </row>
    <row r="888" spans="1:3" x14ac:dyDescent="0.25">
      <c r="A888" s="10">
        <v>70171</v>
      </c>
      <c r="B888" s="11" t="s">
        <v>13</v>
      </c>
      <c r="C888" s="11" t="s">
        <v>12</v>
      </c>
    </row>
    <row r="889" spans="1:3" x14ac:dyDescent="0.25">
      <c r="A889" s="10">
        <v>70216</v>
      </c>
      <c r="B889" s="11" t="s">
        <v>14</v>
      </c>
      <c r="C889" s="11" t="s">
        <v>15</v>
      </c>
    </row>
    <row r="890" spans="1:3" x14ac:dyDescent="0.25">
      <c r="A890" s="10">
        <v>70240</v>
      </c>
      <c r="B890" s="11" t="s">
        <v>10</v>
      </c>
      <c r="C890" s="11" t="s">
        <v>17</v>
      </c>
    </row>
    <row r="891" spans="1:3" x14ac:dyDescent="0.25">
      <c r="A891" s="10">
        <v>70250</v>
      </c>
      <c r="B891" s="11" t="s">
        <v>20</v>
      </c>
      <c r="C891" s="11" t="s">
        <v>19</v>
      </c>
    </row>
    <row r="892" spans="1:3" x14ac:dyDescent="0.25">
      <c r="A892" s="10">
        <v>70278</v>
      </c>
      <c r="B892" s="11" t="s">
        <v>20</v>
      </c>
      <c r="C892" s="11" t="s">
        <v>21</v>
      </c>
    </row>
    <row r="893" spans="1:3" x14ac:dyDescent="0.25">
      <c r="A893" s="10">
        <v>70379</v>
      </c>
      <c r="B893" s="11" t="s">
        <v>16</v>
      </c>
      <c r="C893" s="11" t="s">
        <v>23</v>
      </c>
    </row>
    <row r="894" spans="1:3" x14ac:dyDescent="0.25">
      <c r="A894" s="10">
        <v>70414</v>
      </c>
      <c r="B894" s="11" t="s">
        <v>16</v>
      </c>
      <c r="C894" s="11" t="s">
        <v>24</v>
      </c>
    </row>
    <row r="895" spans="1:3" x14ac:dyDescent="0.25">
      <c r="A895" s="10">
        <v>70435</v>
      </c>
      <c r="B895" s="11" t="s">
        <v>16</v>
      </c>
      <c r="C895" s="11" t="s">
        <v>25</v>
      </c>
    </row>
    <row r="896" spans="1:3" x14ac:dyDescent="0.25">
      <c r="A896" s="10">
        <v>70448</v>
      </c>
      <c r="B896" s="11" t="s">
        <v>22</v>
      </c>
      <c r="C896" s="11" t="s">
        <v>26</v>
      </c>
    </row>
    <row r="897" spans="1:3" x14ac:dyDescent="0.25">
      <c r="A897" s="10">
        <v>70453</v>
      </c>
      <c r="B897" s="11" t="s">
        <v>20</v>
      </c>
      <c r="C897" s="11" t="s">
        <v>27</v>
      </c>
    </row>
    <row r="898" spans="1:3" x14ac:dyDescent="0.25">
      <c r="A898" s="10">
        <v>70488</v>
      </c>
      <c r="B898" s="11" t="s">
        <v>20</v>
      </c>
      <c r="C898" s="11" t="s">
        <v>28</v>
      </c>
    </row>
    <row r="899" spans="1:3" x14ac:dyDescent="0.25">
      <c r="A899" s="10">
        <v>70495</v>
      </c>
      <c r="B899" s="11" t="s">
        <v>20</v>
      </c>
      <c r="C899" s="11" t="s">
        <v>11</v>
      </c>
    </row>
    <row r="900" spans="1:3" x14ac:dyDescent="0.25">
      <c r="A900" s="10">
        <v>70548</v>
      </c>
      <c r="B900" s="11" t="s">
        <v>10</v>
      </c>
      <c r="C900" s="11" t="s">
        <v>12</v>
      </c>
    </row>
    <row r="901" spans="1:3" x14ac:dyDescent="0.25">
      <c r="A901" s="10">
        <v>70549</v>
      </c>
      <c r="B901" s="11" t="s">
        <v>13</v>
      </c>
      <c r="C901" s="11" t="s">
        <v>12</v>
      </c>
    </row>
    <row r="902" spans="1:3" x14ac:dyDescent="0.25">
      <c r="A902" s="10">
        <v>70594</v>
      </c>
      <c r="B902" s="11" t="s">
        <v>14</v>
      </c>
      <c r="C902" s="11" t="s">
        <v>15</v>
      </c>
    </row>
    <row r="903" spans="1:3" x14ac:dyDescent="0.25">
      <c r="A903" s="10">
        <v>70605</v>
      </c>
      <c r="B903" s="11" t="s">
        <v>13</v>
      </c>
      <c r="C903" s="11" t="s">
        <v>17</v>
      </c>
    </row>
    <row r="904" spans="1:3" x14ac:dyDescent="0.25">
      <c r="A904" s="10">
        <v>70615</v>
      </c>
      <c r="B904" s="11" t="s">
        <v>14</v>
      </c>
      <c r="C904" s="11" t="s">
        <v>19</v>
      </c>
    </row>
    <row r="905" spans="1:3" x14ac:dyDescent="0.25">
      <c r="A905" s="10">
        <v>70656</v>
      </c>
      <c r="B905" s="11" t="s">
        <v>20</v>
      </c>
      <c r="C905" s="11" t="s">
        <v>21</v>
      </c>
    </row>
    <row r="906" spans="1:3" x14ac:dyDescent="0.25">
      <c r="A906" s="10">
        <v>70744</v>
      </c>
      <c r="B906" s="11" t="s">
        <v>10</v>
      </c>
      <c r="C906" s="11" t="s">
        <v>23</v>
      </c>
    </row>
    <row r="907" spans="1:3" x14ac:dyDescent="0.25">
      <c r="A907" s="10">
        <v>70779</v>
      </c>
      <c r="B907" s="11" t="s">
        <v>10</v>
      </c>
      <c r="C907" s="11" t="s">
        <v>24</v>
      </c>
    </row>
    <row r="908" spans="1:3" x14ac:dyDescent="0.25">
      <c r="A908" s="10">
        <v>70800</v>
      </c>
      <c r="B908" s="11" t="s">
        <v>10</v>
      </c>
      <c r="C908" s="11" t="s">
        <v>25</v>
      </c>
    </row>
    <row r="909" spans="1:3" x14ac:dyDescent="0.25">
      <c r="A909" s="10">
        <v>70813</v>
      </c>
      <c r="B909" s="11" t="s">
        <v>16</v>
      </c>
      <c r="C909" s="11" t="s">
        <v>26</v>
      </c>
    </row>
    <row r="910" spans="1:3" x14ac:dyDescent="0.25">
      <c r="A910" s="10">
        <v>70818</v>
      </c>
      <c r="B910" s="11" t="s">
        <v>14</v>
      </c>
      <c r="C910" s="11" t="s">
        <v>27</v>
      </c>
    </row>
    <row r="911" spans="1:3" x14ac:dyDescent="0.25">
      <c r="A911" s="10">
        <v>70853</v>
      </c>
      <c r="B911" s="11" t="s">
        <v>14</v>
      </c>
      <c r="C911" s="11" t="s">
        <v>28</v>
      </c>
    </row>
    <row r="912" spans="1:3" x14ac:dyDescent="0.25">
      <c r="A912" s="10">
        <v>70860</v>
      </c>
      <c r="B912" s="11" t="s">
        <v>14</v>
      </c>
      <c r="C912" s="11" t="s">
        <v>11</v>
      </c>
    </row>
    <row r="913" spans="1:3" x14ac:dyDescent="0.25">
      <c r="A913" s="10">
        <v>70905</v>
      </c>
      <c r="B913" s="11" t="s">
        <v>10</v>
      </c>
      <c r="C913" s="11" t="s">
        <v>12</v>
      </c>
    </row>
    <row r="914" spans="1:3" x14ac:dyDescent="0.25">
      <c r="A914" s="10">
        <v>70906</v>
      </c>
      <c r="B914" s="11" t="s">
        <v>13</v>
      </c>
      <c r="C914" s="11" t="s">
        <v>12</v>
      </c>
    </row>
    <row r="915" spans="1:3" x14ac:dyDescent="0.25">
      <c r="A915" s="10">
        <v>70951</v>
      </c>
      <c r="B915" s="11" t="s">
        <v>14</v>
      </c>
      <c r="C915" s="11" t="s">
        <v>15</v>
      </c>
    </row>
    <row r="916" spans="1:3" x14ac:dyDescent="0.25">
      <c r="A916" s="10">
        <v>70970</v>
      </c>
      <c r="B916" s="11" t="s">
        <v>18</v>
      </c>
      <c r="C916" s="11" t="s">
        <v>17</v>
      </c>
    </row>
    <row r="917" spans="1:3" x14ac:dyDescent="0.25">
      <c r="A917" s="10">
        <v>70980</v>
      </c>
      <c r="B917" s="11" t="s">
        <v>22</v>
      </c>
      <c r="C917" s="11" t="s">
        <v>19</v>
      </c>
    </row>
    <row r="918" spans="1:3" x14ac:dyDescent="0.25">
      <c r="A918" s="10">
        <v>71013</v>
      </c>
      <c r="B918" s="11" t="s">
        <v>20</v>
      </c>
      <c r="C918" s="11" t="s">
        <v>21</v>
      </c>
    </row>
    <row r="919" spans="1:3" x14ac:dyDescent="0.25">
      <c r="A919" s="10">
        <v>71109</v>
      </c>
      <c r="B919" s="11" t="s">
        <v>13</v>
      </c>
      <c r="C919" s="11" t="s">
        <v>23</v>
      </c>
    </row>
    <row r="920" spans="1:3" x14ac:dyDescent="0.25">
      <c r="A920" s="10">
        <v>71144</v>
      </c>
      <c r="B920" s="11" t="s">
        <v>13</v>
      </c>
      <c r="C920" s="11" t="s">
        <v>24</v>
      </c>
    </row>
    <row r="921" spans="1:3" x14ac:dyDescent="0.25">
      <c r="A921" s="10">
        <v>71165</v>
      </c>
      <c r="B921" s="11" t="s">
        <v>13</v>
      </c>
      <c r="C921" s="11" t="s">
        <v>25</v>
      </c>
    </row>
    <row r="922" spans="1:3" x14ac:dyDescent="0.25">
      <c r="A922" s="10">
        <v>71178</v>
      </c>
      <c r="B922" s="11" t="s">
        <v>10</v>
      </c>
      <c r="C922" s="11" t="s">
        <v>26</v>
      </c>
    </row>
    <row r="923" spans="1:3" x14ac:dyDescent="0.25">
      <c r="A923" s="10">
        <v>71183</v>
      </c>
      <c r="B923" s="11" t="s">
        <v>22</v>
      </c>
      <c r="C923" s="11" t="s">
        <v>27</v>
      </c>
    </row>
    <row r="924" spans="1:3" x14ac:dyDescent="0.25">
      <c r="A924" s="10">
        <v>71218</v>
      </c>
      <c r="B924" s="11" t="s">
        <v>22</v>
      </c>
      <c r="C924" s="11" t="s">
        <v>28</v>
      </c>
    </row>
    <row r="925" spans="1:3" x14ac:dyDescent="0.25">
      <c r="A925" s="10">
        <v>71225</v>
      </c>
      <c r="B925" s="11" t="s">
        <v>22</v>
      </c>
      <c r="C925" s="11" t="s">
        <v>11</v>
      </c>
    </row>
    <row r="926" spans="1:3" x14ac:dyDescent="0.25">
      <c r="A926" s="10">
        <v>71290</v>
      </c>
      <c r="B926" s="11" t="s">
        <v>10</v>
      </c>
      <c r="C926" s="11" t="s">
        <v>12</v>
      </c>
    </row>
    <row r="927" spans="1:3" x14ac:dyDescent="0.25">
      <c r="A927" s="10">
        <v>71291</v>
      </c>
      <c r="B927" s="11" t="s">
        <v>13</v>
      </c>
      <c r="C927" s="11" t="s">
        <v>12</v>
      </c>
    </row>
    <row r="928" spans="1:3" x14ac:dyDescent="0.25">
      <c r="A928" s="10">
        <v>71335</v>
      </c>
      <c r="B928" s="11" t="s">
        <v>20</v>
      </c>
      <c r="C928" s="11" t="s">
        <v>17</v>
      </c>
    </row>
    <row r="929" spans="1:3" x14ac:dyDescent="0.25">
      <c r="A929" s="10">
        <v>71336</v>
      </c>
      <c r="B929" s="11" t="s">
        <v>14</v>
      </c>
      <c r="C929" s="11" t="s">
        <v>15</v>
      </c>
    </row>
    <row r="930" spans="1:3" x14ac:dyDescent="0.25">
      <c r="A930" s="10">
        <v>71345</v>
      </c>
      <c r="B930" s="11" t="s">
        <v>16</v>
      </c>
      <c r="C930" s="11" t="s">
        <v>19</v>
      </c>
    </row>
    <row r="931" spans="1:3" x14ac:dyDescent="0.25">
      <c r="A931" s="10">
        <v>71398</v>
      </c>
      <c r="B931" s="11" t="s">
        <v>20</v>
      </c>
      <c r="C931" s="11" t="s">
        <v>21</v>
      </c>
    </row>
    <row r="932" spans="1:3" x14ac:dyDescent="0.25">
      <c r="A932" s="10">
        <v>71474</v>
      </c>
      <c r="B932" s="11" t="s">
        <v>18</v>
      </c>
      <c r="C932" s="11" t="s">
        <v>23</v>
      </c>
    </row>
    <row r="933" spans="1:3" x14ac:dyDescent="0.25">
      <c r="A933" s="10">
        <v>71509</v>
      </c>
      <c r="B933" s="11" t="s">
        <v>18</v>
      </c>
      <c r="C933" s="11" t="s">
        <v>24</v>
      </c>
    </row>
    <row r="934" spans="1:3" x14ac:dyDescent="0.25">
      <c r="A934" s="10">
        <v>71530</v>
      </c>
      <c r="B934" s="11" t="s">
        <v>18</v>
      </c>
      <c r="C934" s="11" t="s">
        <v>25</v>
      </c>
    </row>
    <row r="935" spans="1:3" x14ac:dyDescent="0.25">
      <c r="A935" s="10">
        <v>71543</v>
      </c>
      <c r="B935" s="11" t="s">
        <v>13</v>
      </c>
      <c r="C935" s="11" t="s">
        <v>26</v>
      </c>
    </row>
    <row r="936" spans="1:3" x14ac:dyDescent="0.25">
      <c r="A936" s="10">
        <v>71548</v>
      </c>
      <c r="B936" s="11" t="s">
        <v>16</v>
      </c>
      <c r="C936" s="11" t="s">
        <v>27</v>
      </c>
    </row>
    <row r="937" spans="1:3" x14ac:dyDescent="0.25">
      <c r="A937" s="10">
        <v>71583</v>
      </c>
      <c r="B937" s="11" t="s">
        <v>16</v>
      </c>
      <c r="C937" s="11" t="s">
        <v>28</v>
      </c>
    </row>
    <row r="938" spans="1:3" x14ac:dyDescent="0.25">
      <c r="A938" s="10">
        <v>71590</v>
      </c>
      <c r="B938" s="11" t="s">
        <v>16</v>
      </c>
      <c r="C938" s="11" t="s">
        <v>11</v>
      </c>
    </row>
    <row r="939" spans="1:3" x14ac:dyDescent="0.25">
      <c r="A939" s="10">
        <v>71647</v>
      </c>
      <c r="B939" s="11" t="s">
        <v>10</v>
      </c>
      <c r="C939" s="11" t="s">
        <v>12</v>
      </c>
    </row>
    <row r="940" spans="1:3" x14ac:dyDescent="0.25">
      <c r="A940" s="10">
        <v>71648</v>
      </c>
      <c r="B940" s="11" t="s">
        <v>13</v>
      </c>
      <c r="C940" s="11" t="s">
        <v>12</v>
      </c>
    </row>
    <row r="941" spans="1:3" x14ac:dyDescent="0.25">
      <c r="A941" s="10">
        <v>71693</v>
      </c>
      <c r="B941" s="11" t="s">
        <v>14</v>
      </c>
      <c r="C941" s="11" t="s">
        <v>15</v>
      </c>
    </row>
    <row r="942" spans="1:3" x14ac:dyDescent="0.25">
      <c r="A942" s="10">
        <v>71701</v>
      </c>
      <c r="B942" s="11" t="s">
        <v>22</v>
      </c>
      <c r="C942" s="11" t="s">
        <v>17</v>
      </c>
    </row>
    <row r="943" spans="1:3" x14ac:dyDescent="0.25">
      <c r="A943" s="10">
        <v>71711</v>
      </c>
      <c r="B943" s="11" t="s">
        <v>13</v>
      </c>
      <c r="C943" s="11" t="s">
        <v>19</v>
      </c>
    </row>
    <row r="944" spans="1:3" x14ac:dyDescent="0.25">
      <c r="A944" s="10">
        <v>71755</v>
      </c>
      <c r="B944" s="11" t="s">
        <v>20</v>
      </c>
      <c r="C944" s="11" t="s">
        <v>21</v>
      </c>
    </row>
    <row r="945" spans="1:3" x14ac:dyDescent="0.25">
      <c r="A945" s="10">
        <v>71840</v>
      </c>
      <c r="B945" s="11" t="s">
        <v>14</v>
      </c>
      <c r="C945" s="11" t="s">
        <v>23</v>
      </c>
    </row>
    <row r="946" spans="1:3" x14ac:dyDescent="0.25">
      <c r="A946" s="10">
        <v>71875</v>
      </c>
      <c r="B946" s="11" t="s">
        <v>14</v>
      </c>
      <c r="C946" s="11" t="s">
        <v>24</v>
      </c>
    </row>
    <row r="947" spans="1:3" x14ac:dyDescent="0.25">
      <c r="A947" s="10">
        <v>71896</v>
      </c>
      <c r="B947" s="11" t="s">
        <v>14</v>
      </c>
      <c r="C947" s="11" t="s">
        <v>25</v>
      </c>
    </row>
    <row r="948" spans="1:3" x14ac:dyDescent="0.25">
      <c r="A948" s="10">
        <v>71909</v>
      </c>
      <c r="B948" s="11" t="s">
        <v>20</v>
      </c>
      <c r="C948" s="11" t="s">
        <v>26</v>
      </c>
    </row>
    <row r="949" spans="1:3" x14ac:dyDescent="0.25">
      <c r="A949" s="10">
        <v>71914</v>
      </c>
      <c r="B949" s="11" t="s">
        <v>13</v>
      </c>
      <c r="C949" s="11" t="s">
        <v>27</v>
      </c>
    </row>
    <row r="950" spans="1:3" x14ac:dyDescent="0.25">
      <c r="A950" s="10">
        <v>71949</v>
      </c>
      <c r="B950" s="11" t="s">
        <v>13</v>
      </c>
      <c r="C950" s="11" t="s">
        <v>28</v>
      </c>
    </row>
    <row r="951" spans="1:3" x14ac:dyDescent="0.25">
      <c r="A951" s="10">
        <v>71956</v>
      </c>
      <c r="B951" s="11" t="s">
        <v>13</v>
      </c>
      <c r="C951" s="11" t="s">
        <v>11</v>
      </c>
    </row>
    <row r="952" spans="1:3" x14ac:dyDescent="0.25">
      <c r="A952" s="10">
        <v>71997</v>
      </c>
      <c r="B952" s="11" t="s">
        <v>10</v>
      </c>
      <c r="C952" s="11" t="s">
        <v>12</v>
      </c>
    </row>
    <row r="953" spans="1:3" x14ac:dyDescent="0.25">
      <c r="A953" s="10">
        <v>71998</v>
      </c>
      <c r="B953" s="11" t="s">
        <v>13</v>
      </c>
      <c r="C953" s="11" t="s">
        <v>12</v>
      </c>
    </row>
    <row r="954" spans="1:3" x14ac:dyDescent="0.25">
      <c r="A954" s="10">
        <v>72043</v>
      </c>
      <c r="B954" s="11" t="s">
        <v>14</v>
      </c>
      <c r="C954" s="11" t="s">
        <v>15</v>
      </c>
    </row>
    <row r="955" spans="1:3" x14ac:dyDescent="0.25">
      <c r="A955" s="10">
        <v>72066</v>
      </c>
      <c r="B955" s="11" t="s">
        <v>16</v>
      </c>
      <c r="C955" s="11" t="s">
        <v>17</v>
      </c>
    </row>
    <row r="956" spans="1:3" x14ac:dyDescent="0.25">
      <c r="A956" s="10">
        <v>72076</v>
      </c>
      <c r="B956" s="11" t="s">
        <v>18</v>
      </c>
      <c r="C956" s="11" t="s">
        <v>19</v>
      </c>
    </row>
    <row r="957" spans="1:3" x14ac:dyDescent="0.25">
      <c r="A957" s="10">
        <v>72105</v>
      </c>
      <c r="B957" s="11" t="s">
        <v>20</v>
      </c>
      <c r="C957" s="11" t="s">
        <v>21</v>
      </c>
    </row>
    <row r="958" spans="1:3" x14ac:dyDescent="0.25">
      <c r="A958" s="10">
        <v>72205</v>
      </c>
      <c r="B958" s="11" t="s">
        <v>22</v>
      </c>
      <c r="C958" s="11" t="s">
        <v>23</v>
      </c>
    </row>
    <row r="959" spans="1:3" x14ac:dyDescent="0.25">
      <c r="A959" s="10">
        <v>72240</v>
      </c>
      <c r="B959" s="11" t="s">
        <v>22</v>
      </c>
      <c r="C959" s="11" t="s">
        <v>24</v>
      </c>
    </row>
    <row r="960" spans="1:3" x14ac:dyDescent="0.25">
      <c r="A960" s="10">
        <v>72261</v>
      </c>
      <c r="B960" s="11" t="s">
        <v>22</v>
      </c>
      <c r="C960" s="11" t="s">
        <v>25</v>
      </c>
    </row>
    <row r="961" spans="1:3" x14ac:dyDescent="0.25">
      <c r="A961" s="10">
        <v>72274</v>
      </c>
      <c r="B961" s="11" t="s">
        <v>14</v>
      </c>
      <c r="C961" s="11" t="s">
        <v>26</v>
      </c>
    </row>
    <row r="962" spans="1:3" x14ac:dyDescent="0.25">
      <c r="A962" s="10">
        <v>72279</v>
      </c>
      <c r="B962" s="11" t="s">
        <v>18</v>
      </c>
      <c r="C962" s="11" t="s">
        <v>27</v>
      </c>
    </row>
    <row r="963" spans="1:3" x14ac:dyDescent="0.25">
      <c r="A963" s="10">
        <v>72314</v>
      </c>
      <c r="B963" s="11" t="s">
        <v>18</v>
      </c>
      <c r="C963" s="11" t="s">
        <v>28</v>
      </c>
    </row>
    <row r="964" spans="1:3" x14ac:dyDescent="0.25">
      <c r="A964" s="10">
        <v>72321</v>
      </c>
      <c r="B964" s="11" t="s">
        <v>18</v>
      </c>
      <c r="C964" s="11" t="s">
        <v>11</v>
      </c>
    </row>
    <row r="965" spans="1:3" x14ac:dyDescent="0.25">
      <c r="A965" s="10">
        <v>72382</v>
      </c>
      <c r="B965" s="11" t="s">
        <v>10</v>
      </c>
      <c r="C965" s="11" t="s">
        <v>12</v>
      </c>
    </row>
    <row r="966" spans="1:3" x14ac:dyDescent="0.25">
      <c r="A966" s="10">
        <v>72383</v>
      </c>
      <c r="B966" s="11" t="s">
        <v>13</v>
      </c>
      <c r="C966" s="11" t="s">
        <v>12</v>
      </c>
    </row>
    <row r="967" spans="1:3" x14ac:dyDescent="0.25">
      <c r="A967" s="10">
        <v>72428</v>
      </c>
      <c r="B967" s="11" t="s">
        <v>14</v>
      </c>
      <c r="C967" s="11" t="s">
        <v>15</v>
      </c>
    </row>
    <row r="968" spans="1:3" x14ac:dyDescent="0.25">
      <c r="A968" s="10">
        <v>72431</v>
      </c>
      <c r="B968" s="11" t="s">
        <v>10</v>
      </c>
      <c r="C968" s="11" t="s">
        <v>17</v>
      </c>
    </row>
    <row r="969" spans="1:3" x14ac:dyDescent="0.25">
      <c r="A969" s="10">
        <v>72441</v>
      </c>
      <c r="B969" s="11" t="s">
        <v>20</v>
      </c>
      <c r="C969" s="11" t="s">
        <v>19</v>
      </c>
    </row>
    <row r="970" spans="1:3" x14ac:dyDescent="0.25">
      <c r="A970" s="10">
        <v>72490</v>
      </c>
      <c r="B970" s="11" t="s">
        <v>20</v>
      </c>
      <c r="C970" s="11" t="s">
        <v>21</v>
      </c>
    </row>
    <row r="971" spans="1:3" x14ac:dyDescent="0.25">
      <c r="A971" s="10">
        <v>72570</v>
      </c>
      <c r="B971" s="11" t="s">
        <v>16</v>
      </c>
      <c r="C971" s="11" t="s">
        <v>23</v>
      </c>
    </row>
    <row r="972" spans="1:3" x14ac:dyDescent="0.25">
      <c r="A972" s="10">
        <v>72605</v>
      </c>
      <c r="B972" s="11" t="s">
        <v>16</v>
      </c>
      <c r="C972" s="11" t="s">
        <v>24</v>
      </c>
    </row>
    <row r="973" spans="1:3" x14ac:dyDescent="0.25">
      <c r="A973" s="10">
        <v>72626</v>
      </c>
      <c r="B973" s="11" t="s">
        <v>16</v>
      </c>
      <c r="C973" s="11" t="s">
        <v>25</v>
      </c>
    </row>
    <row r="974" spans="1:3" x14ac:dyDescent="0.25">
      <c r="A974" s="10">
        <v>72639</v>
      </c>
      <c r="B974" s="11" t="s">
        <v>22</v>
      </c>
      <c r="C974" s="11" t="s">
        <v>26</v>
      </c>
    </row>
    <row r="975" spans="1:3" x14ac:dyDescent="0.25">
      <c r="A975" s="10">
        <v>72644</v>
      </c>
      <c r="B975" s="11" t="s">
        <v>20</v>
      </c>
      <c r="C975" s="11" t="s">
        <v>27</v>
      </c>
    </row>
    <row r="976" spans="1:3" x14ac:dyDescent="0.25">
      <c r="A976" s="10">
        <v>72679</v>
      </c>
      <c r="B976" s="11" t="s">
        <v>20</v>
      </c>
      <c r="C976" s="11" t="s">
        <v>28</v>
      </c>
    </row>
    <row r="977" spans="1:3" x14ac:dyDescent="0.25">
      <c r="A977" s="10">
        <v>72686</v>
      </c>
      <c r="B977" s="11" t="s">
        <v>20</v>
      </c>
      <c r="C977" s="11" t="s">
        <v>29</v>
      </c>
    </row>
    <row r="978" spans="1:3" x14ac:dyDescent="0.25">
      <c r="A978" s="10">
        <v>72739</v>
      </c>
      <c r="B978" s="11" t="s">
        <v>10</v>
      </c>
      <c r="C978" s="11" t="s">
        <v>12</v>
      </c>
    </row>
    <row r="979" spans="1:3" x14ac:dyDescent="0.25">
      <c r="A979" s="10">
        <v>72740</v>
      </c>
      <c r="B979" s="11" t="s">
        <v>13</v>
      </c>
      <c r="C979" s="11" t="s">
        <v>12</v>
      </c>
    </row>
    <row r="980" spans="1:3" x14ac:dyDescent="0.25">
      <c r="A980" s="10">
        <v>72785</v>
      </c>
      <c r="B980" s="11" t="s">
        <v>14</v>
      </c>
      <c r="C980" s="11" t="s">
        <v>15</v>
      </c>
    </row>
    <row r="981" spans="1:3" x14ac:dyDescent="0.25">
      <c r="A981" s="10">
        <v>72796</v>
      </c>
      <c r="B981" s="11" t="s">
        <v>13</v>
      </c>
      <c r="C981" s="11" t="s">
        <v>17</v>
      </c>
    </row>
    <row r="982" spans="1:3" x14ac:dyDescent="0.25">
      <c r="A982" s="10">
        <v>72806</v>
      </c>
      <c r="B982" s="11" t="s">
        <v>14</v>
      </c>
      <c r="C982" s="11" t="s">
        <v>19</v>
      </c>
    </row>
    <row r="983" spans="1:3" x14ac:dyDescent="0.25">
      <c r="A983" s="10">
        <v>72847</v>
      </c>
      <c r="B983" s="11" t="s">
        <v>20</v>
      </c>
      <c r="C983" s="11" t="s">
        <v>21</v>
      </c>
    </row>
    <row r="984" spans="1:3" x14ac:dyDescent="0.25">
      <c r="A984" s="10">
        <v>72935</v>
      </c>
      <c r="B984" s="11" t="s">
        <v>10</v>
      </c>
      <c r="C984" s="11" t="s">
        <v>23</v>
      </c>
    </row>
    <row r="985" spans="1:3" x14ac:dyDescent="0.25">
      <c r="A985" s="10">
        <v>72970</v>
      </c>
      <c r="B985" s="11" t="s">
        <v>10</v>
      </c>
      <c r="C985" s="11" t="s">
        <v>24</v>
      </c>
    </row>
    <row r="986" spans="1:3" x14ac:dyDescent="0.25">
      <c r="A986" s="10">
        <v>72991</v>
      </c>
      <c r="B986" s="11" t="s">
        <v>10</v>
      </c>
      <c r="C986" s="11" t="s">
        <v>25</v>
      </c>
    </row>
    <row r="987" spans="1:3" x14ac:dyDescent="0.25">
      <c r="A987" s="10">
        <v>73004</v>
      </c>
      <c r="B987" s="11" t="s">
        <v>16</v>
      </c>
      <c r="C987" s="11" t="s">
        <v>26</v>
      </c>
    </row>
    <row r="988" spans="1:3" x14ac:dyDescent="0.25">
      <c r="A988" s="10">
        <v>73009</v>
      </c>
      <c r="B988" s="11" t="s">
        <v>14</v>
      </c>
      <c r="C988" s="11" t="s">
        <v>27</v>
      </c>
    </row>
    <row r="989" spans="1:3" x14ac:dyDescent="0.25">
      <c r="A989" s="10">
        <v>73044</v>
      </c>
      <c r="B989" s="11" t="s">
        <v>14</v>
      </c>
      <c r="C989" s="11" t="s">
        <v>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BBAA3-AE9E-4239-A2E3-BE4394F15ABB}">
  <sheetPr codeName="Sheet8">
    <tabColor theme="3" tint="0.89999084444715716"/>
  </sheetPr>
  <dimension ref="A1:H3651"/>
  <sheetViews>
    <sheetView showGridLines="0" zoomScale="85" zoomScaleNormal="85" workbookViewId="0">
      <selection activeCell="B1" sqref="B1"/>
    </sheetView>
  </sheetViews>
  <sheetFormatPr defaultRowHeight="12" x14ac:dyDescent="0.25"/>
  <cols>
    <col min="1" max="1" width="8.88671875" style="21"/>
    <col min="2" max="3" width="27.6640625" style="21" customWidth="1"/>
    <col min="4" max="16384" width="8.88671875" style="20"/>
  </cols>
  <sheetData>
    <row r="1" spans="1:8" x14ac:dyDescent="0.25">
      <c r="A1" s="19" t="s">
        <v>103</v>
      </c>
      <c r="B1" s="19" t="s">
        <v>174</v>
      </c>
      <c r="C1" s="19" t="s">
        <v>117</v>
      </c>
      <c r="D1" s="19" t="s">
        <v>174</v>
      </c>
      <c r="E1" s="19" t="s">
        <v>110</v>
      </c>
    </row>
    <row r="2" spans="1:8" x14ac:dyDescent="0.25">
      <c r="A2" s="21">
        <v>1</v>
      </c>
      <c r="B2" s="32" cm="1">
        <f t="array" aca="1" ref="B2" ca="1">interpolexp(A2,serie_du,Taxas_DI)</f>
        <v>0.11157123335474428</v>
      </c>
      <c r="C2" s="32">
        <f ca="1">B2</f>
        <v>0.11157123335474428</v>
      </c>
      <c r="D2" s="30">
        <v>0.11157123335474428</v>
      </c>
      <c r="E2" s="31">
        <f ca="1">B2-D2</f>
        <v>0</v>
      </c>
    </row>
    <row r="3" spans="1:8" x14ac:dyDescent="0.25">
      <c r="A3" s="21">
        <v>2</v>
      </c>
      <c r="B3" s="32" cm="1">
        <f t="array" aca="1" ref="B3" ca="1">interpolexp(A3,serie_du,Taxas_DI)</f>
        <v>0.11157123335474428</v>
      </c>
      <c r="C3" s="32">
        <f ca="1">((((1+B3)^(A3/252))/((1+B2)^(A2/252)))^(252/1))-1</f>
        <v>0.11157123335472274</v>
      </c>
      <c r="D3" s="30">
        <v>0.11157123335474428</v>
      </c>
      <c r="E3" s="31">
        <f ca="1">B3-D3</f>
        <v>0</v>
      </c>
    </row>
    <row r="4" spans="1:8" x14ac:dyDescent="0.25">
      <c r="A4" s="21">
        <v>3</v>
      </c>
      <c r="B4" s="32" cm="1">
        <f t="array" aca="1" ref="B4" ca="1">interpolexp(A4,serie_du,Taxas_DI)</f>
        <v>0.11157123335474428</v>
      </c>
      <c r="C4" s="32">
        <f ca="1">((((1+B4)^(A4/252))/((1+B3)^(A3/252)))^(252/1))-1</f>
        <v>0.11157123335472274</v>
      </c>
      <c r="D4" s="30">
        <v>0.11157123335474428</v>
      </c>
      <c r="E4" s="31">
        <f ca="1">B4-D4</f>
        <v>0</v>
      </c>
    </row>
    <row r="5" spans="1:8" x14ac:dyDescent="0.25">
      <c r="A5" s="21">
        <v>4</v>
      </c>
      <c r="B5" s="32" cm="1">
        <f t="array" aca="1" ref="B5" ca="1">interpolexp(A5,serie_du,Taxas_DI)</f>
        <v>0.11157123335474428</v>
      </c>
      <c r="C5" s="32">
        <f ca="1">((((1+B5)^(A5/252))/((1+B4)^(A4/252)))^(252/1))-1</f>
        <v>0.11157123335478358</v>
      </c>
      <c r="D5" s="30">
        <v>0.11157123335474428</v>
      </c>
      <c r="E5" s="31">
        <f ca="1">B5-D5</f>
        <v>0</v>
      </c>
    </row>
    <row r="6" spans="1:8" x14ac:dyDescent="0.25">
      <c r="A6" s="21">
        <v>5</v>
      </c>
      <c r="B6" s="32" cm="1">
        <f t="array" aca="1" ref="B6" ca="1">interpolexp(A6,serie_du,Taxas_DI)</f>
        <v>0.11157123335474428</v>
      </c>
      <c r="C6" s="32">
        <f ca="1">((((1+B6)^(A6/252))/((1+B5)^(A5/252)))^(252/1))-1</f>
        <v>0.11157123335472274</v>
      </c>
      <c r="D6" s="30">
        <v>0.11157123335474428</v>
      </c>
      <c r="E6" s="31">
        <f ca="1">B6-D6</f>
        <v>0</v>
      </c>
    </row>
    <row r="7" spans="1:8" x14ac:dyDescent="0.25">
      <c r="A7" s="21">
        <v>6</v>
      </c>
      <c r="B7" s="32" cm="1">
        <f t="array" aca="1" ref="B7" ca="1">interpolexp(A7,serie_du,Taxas_DI)</f>
        <v>0.11157123335474428</v>
      </c>
      <c r="C7" s="32">
        <f ca="1">((((1+B7)^(A7/252))/((1+B6)^(A6/252)))^(252/1))-1</f>
        <v>0.11157123335472274</v>
      </c>
      <c r="D7" s="30">
        <v>0.11157123335474428</v>
      </c>
      <c r="E7" s="31">
        <f ca="1">B7-D7</f>
        <v>0</v>
      </c>
    </row>
    <row r="8" spans="1:8" x14ac:dyDescent="0.25">
      <c r="A8" s="21">
        <v>7</v>
      </c>
      <c r="B8" s="32" cm="1">
        <f t="array" aca="1" ref="B8" ca="1">interpolexp(A8,serie_du,Taxas_DI)</f>
        <v>0.11157123335474428</v>
      </c>
      <c r="C8" s="32">
        <f ca="1">((((1+B8)^(A8/252))/((1+B7)^(A7/252)))^(252/1))-1</f>
        <v>0.11157123335478358</v>
      </c>
      <c r="D8" s="30">
        <v>0.11157123335474428</v>
      </c>
      <c r="E8" s="31">
        <f ca="1">B8-D8</f>
        <v>0</v>
      </c>
    </row>
    <row r="9" spans="1:8" x14ac:dyDescent="0.25">
      <c r="A9" s="21">
        <v>8</v>
      </c>
      <c r="B9" s="32" cm="1">
        <f t="array" aca="1" ref="B9" ca="1">interpolexp(A9,serie_du,Taxas_DI)</f>
        <v>0.11157123335474428</v>
      </c>
      <c r="C9" s="32">
        <f ca="1">((((1+B9)^(A9/252))/((1+B8)^(A8/252)))^(252/1))-1</f>
        <v>0.11157123335472274</v>
      </c>
      <c r="D9" s="30">
        <v>0.11157123335474428</v>
      </c>
      <c r="E9" s="31">
        <f ca="1">B9-D9</f>
        <v>0</v>
      </c>
    </row>
    <row r="10" spans="1:8" x14ac:dyDescent="0.25">
      <c r="A10" s="21">
        <v>9</v>
      </c>
      <c r="B10" s="32" cm="1">
        <f t="array" aca="1" ref="B10" ca="1">interpolexp(A10,serie_du,Taxas_DI)</f>
        <v>0.11157123335474428</v>
      </c>
      <c r="C10" s="32">
        <f ca="1">((((1+B10)^(A10/252))/((1+B9)^(A9/252)))^(252/1))-1</f>
        <v>0.11157123335472274</v>
      </c>
      <c r="D10" s="30">
        <v>0.11157123335474428</v>
      </c>
      <c r="E10" s="31">
        <f ca="1">B10-D10</f>
        <v>0</v>
      </c>
    </row>
    <row r="11" spans="1:8" x14ac:dyDescent="0.25">
      <c r="A11" s="21">
        <v>10</v>
      </c>
      <c r="B11" s="32" cm="1">
        <f t="array" aca="1" ref="B11" ca="1">interpolexp(A11,serie_du,Taxas_DI)</f>
        <v>0.11157123335474428</v>
      </c>
      <c r="C11" s="32">
        <f ca="1">((((1+B11)^(A11/252))/((1+B10)^(A10/252)))^(252/1))-1</f>
        <v>0.11157123335478358</v>
      </c>
      <c r="D11" s="30">
        <v>0.11157123335474428</v>
      </c>
      <c r="E11" s="31">
        <f ca="1">B11-D11</f>
        <v>0</v>
      </c>
      <c r="H11" s="39"/>
    </row>
    <row r="12" spans="1:8" x14ac:dyDescent="0.25">
      <c r="A12" s="44">
        <v>11</v>
      </c>
      <c r="B12" s="32" cm="1">
        <f t="array" aca="1" ref="B12" ca="1">interpolexp(A12,serie_du,Taxas_DI)</f>
        <v>0.11157123335474428</v>
      </c>
      <c r="C12" s="32">
        <f ca="1">((((1+B12)^(A12/252))/((1+B11)^(A11/252)))^(252/1))-1</f>
        <v>0.11157123335472274</v>
      </c>
      <c r="D12" s="33">
        <v>0.11157123335474428</v>
      </c>
      <c r="E12" s="34">
        <f ca="1">B12-D12</f>
        <v>0</v>
      </c>
    </row>
    <row r="13" spans="1:8" x14ac:dyDescent="0.25">
      <c r="A13" s="21">
        <v>12</v>
      </c>
      <c r="B13" s="32" cm="1">
        <f t="array" aca="1" ref="B13" ca="1">interpolexp(A13,serie_du,Taxas_DI)</f>
        <v>0.11241771771572928</v>
      </c>
      <c r="C13" s="32">
        <f ca="1">((((1+B13)^(A13/252))/((1+B12)^(A12/252)))^(252/1))-1</f>
        <v>0.12177169847391456</v>
      </c>
      <c r="D13" s="33">
        <v>0.11241771771572928</v>
      </c>
      <c r="E13" s="34">
        <f ca="1">B13-D13</f>
        <v>0</v>
      </c>
    </row>
    <row r="14" spans="1:8" x14ac:dyDescent="0.25">
      <c r="A14" s="21">
        <v>13</v>
      </c>
      <c r="B14" s="32" cm="1">
        <f t="array" aca="1" ref="B14" ca="1">interpolexp(A14,serie_du,Taxas_DI)</f>
        <v>0.1131339793037478</v>
      </c>
      <c r="C14" s="32">
        <f ca="1">((((1+B14)^(A14/252))/((1+B13)^(A13/252)))^(252/1))-1</f>
        <v>0.12176517587461411</v>
      </c>
      <c r="D14" s="30">
        <v>0.1131339793037478</v>
      </c>
      <c r="E14" s="31">
        <f ca="1">B14-D14</f>
        <v>0</v>
      </c>
    </row>
    <row r="15" spans="1:8" x14ac:dyDescent="0.25">
      <c r="A15" s="21">
        <v>14</v>
      </c>
      <c r="B15" s="32" cm="1">
        <f t="array" aca="1" ref="B15" ca="1">interpolexp(A15,serie_du,Taxas_DI)</f>
        <v>0.11374792188658667</v>
      </c>
      <c r="C15" s="32">
        <f ca="1">((((1+B15)^(A15/252))/((1+B14)^(A14/252)))^(252/1))-1</f>
        <v>0.12176005764655073</v>
      </c>
      <c r="D15" s="30">
        <v>0.11374792188658667</v>
      </c>
      <c r="E15" s="31">
        <f ca="1">B15-D15</f>
        <v>0</v>
      </c>
    </row>
    <row r="16" spans="1:8" x14ac:dyDescent="0.25">
      <c r="A16" s="21">
        <v>15</v>
      </c>
      <c r="B16" s="32" cm="1">
        <f t="array" aca="1" ref="B16" ca="1">interpolexp(A16,serie_du,Taxas_DI)</f>
        <v>0.11428000850342013</v>
      </c>
      <c r="C16" s="32">
        <f ca="1">((((1+B16)^(A16/252))/((1+B15)^(A15/252)))^(252/1))-1</f>
        <v>0.1217559676113531</v>
      </c>
      <c r="D16" s="30">
        <v>0.11428000850342013</v>
      </c>
      <c r="E16" s="31">
        <f ca="1">B16-D16</f>
        <v>0</v>
      </c>
    </row>
    <row r="17" spans="1:5" x14ac:dyDescent="0.25">
      <c r="A17" s="21">
        <v>16</v>
      </c>
      <c r="B17" s="32" cm="1">
        <f t="array" aca="1" ref="B17" ca="1">interpolexp(A17,serie_du,Taxas_DI)</f>
        <v>0.11474558661337397</v>
      </c>
      <c r="C17" s="32">
        <f ca="1">((((1+B17)^(A17/252))/((1+B16)^(A16/252)))^(252/1))-1</f>
        <v>0.12175264766662397</v>
      </c>
      <c r="D17" s="30">
        <v>0.11474558661337397</v>
      </c>
      <c r="E17" s="31">
        <f ca="1">B17-D17</f>
        <v>0</v>
      </c>
    </row>
    <row r="18" spans="1:5" x14ac:dyDescent="0.25">
      <c r="A18" s="21">
        <v>17</v>
      </c>
      <c r="B18" s="32" cm="1">
        <f t="array" aca="1" ref="B18" ca="1">interpolexp(A18,serie_du,Taxas_DI)</f>
        <v>0.11515639262635879</v>
      </c>
      <c r="C18" s="32">
        <f ca="1">((((1+B18)^(A18/252))/((1+B17)^(A17/252)))^(252/1))-1</f>
        <v>0.12174991589047224</v>
      </c>
      <c r="D18" s="30">
        <v>0.11515639262635879</v>
      </c>
      <c r="E18" s="31">
        <f ca="1">B18-D18</f>
        <v>0</v>
      </c>
    </row>
    <row r="19" spans="1:5" x14ac:dyDescent="0.25">
      <c r="A19" s="21">
        <v>18</v>
      </c>
      <c r="B19" s="5" cm="1">
        <f t="array" aca="1" ref="B19" ca="1">interpolexp(A19,serie_du,Taxas_DI)</f>
        <v>0.11552155494167771</v>
      </c>
      <c r="C19" s="32">
        <f ca="1">((((1+B19)^(A19/252))/((1+B18)^(A18/252)))^(252/1))-1</f>
        <v>0.12174764108713299</v>
      </c>
      <c r="D19" s="30">
        <v>0.11552155494167771</v>
      </c>
      <c r="E19" s="31">
        <f ca="1">B19-D19</f>
        <v>0</v>
      </c>
    </row>
    <row r="20" spans="1:5" x14ac:dyDescent="0.25">
      <c r="A20" s="21">
        <v>19</v>
      </c>
      <c r="B20" s="5" cm="1">
        <f t="array" aca="1" ref="B20" ca="1">interpolexp(A20,serie_du,Taxas_DI)</f>
        <v>0.11584828024748806</v>
      </c>
      <c r="C20" s="32">
        <f ca="1">((((1+B20)^(A20/252))/((1+B19)^(A19/252)))^(252/1))-1</f>
        <v>0.12174572672524753</v>
      </c>
      <c r="D20" s="30">
        <v>0.11584828024748806</v>
      </c>
      <c r="E20" s="31">
        <f ca="1">B20-D20</f>
        <v>0</v>
      </c>
    </row>
    <row r="21" spans="1:5" x14ac:dyDescent="0.25">
      <c r="A21" s="21">
        <v>20</v>
      </c>
      <c r="B21" s="5" cm="1">
        <f t="array" aca="1" ref="B21" ca="1">interpolexp(A21,serie_du,Taxas_DI)</f>
        <v>0.11614233393413276</v>
      </c>
      <c r="C21" s="32">
        <f ca="1">((((1+B21)^(A21/252))/((1+B20)^(A20/252)))^(252/1))-1</f>
        <v>0.12174410046903539</v>
      </c>
      <c r="D21" s="30">
        <v>0.11614233393413276</v>
      </c>
      <c r="E21" s="31">
        <f ca="1">B21-D21</f>
        <v>0</v>
      </c>
    </row>
    <row r="22" spans="1:5" x14ac:dyDescent="0.25">
      <c r="A22" s="21">
        <v>21</v>
      </c>
      <c r="B22" s="5" cm="1">
        <f t="array" aca="1" ref="B22" ca="1">interpolexp(A22,serie_du,Taxas_DI)</f>
        <v>0.11640838325217562</v>
      </c>
      <c r="C22" s="32">
        <f ca="1">((((1+B22)^(A22/252))/((1+B21)^(A21/252)))^(252/1))-1</f>
        <v>0.1217427072795092</v>
      </c>
      <c r="D22" s="30">
        <v>0.11640838325217562</v>
      </c>
      <c r="E22" s="31">
        <f ca="1">B22-D22</f>
        <v>0</v>
      </c>
    </row>
    <row r="23" spans="1:5" x14ac:dyDescent="0.25">
      <c r="A23" s="21">
        <v>22</v>
      </c>
      <c r="B23" s="5" cm="1">
        <f t="array" aca="1" ref="B23" ca="1">interpolexp(A23,serie_du,Taxas_DI)</f>
        <v>0.11665024688192194</v>
      </c>
      <c r="C23" s="32">
        <f ca="1">((((1+B23)^(A23/252))/((1+B22)^(A22/252)))^(252/1))-1</f>
        <v>0.12174150463725941</v>
      </c>
      <c r="D23" s="30">
        <v>0.11665024688192194</v>
      </c>
      <c r="E23" s="31">
        <f ca="1">B23-D23</f>
        <v>0</v>
      </c>
    </row>
    <row r="24" spans="1:5" x14ac:dyDescent="0.25">
      <c r="A24" s="21">
        <v>23</v>
      </c>
      <c r="B24" s="5" cm="1">
        <f t="array" aca="1" ref="B24" ca="1">interpolexp(A24,serie_du,Taxas_DI)</f>
        <v>0.11687107940239194</v>
      </c>
      <c r="C24" s="32">
        <f ca="1">((((1+B24)^(A24/252))/((1+B23)^(A23/252)))^(252/1))-1</f>
        <v>0.12174045932757149</v>
      </c>
      <c r="D24" s="30">
        <v>0.11687107940239194</v>
      </c>
      <c r="E24" s="31">
        <f ca="1">B24-D24</f>
        <v>0</v>
      </c>
    </row>
    <row r="25" spans="1:5" x14ac:dyDescent="0.25">
      <c r="A25" s="21">
        <v>24</v>
      </c>
      <c r="B25" s="5" cm="1">
        <f t="array" aca="1" ref="B25" ca="1">interpolexp(A25,serie_du,Taxas_DI)</f>
        <v>0.1170735096402975</v>
      </c>
      <c r="C25" s="32">
        <f ca="1">((((1+B25)^(A25/252))/((1+B24)^(A24/252)))^(252/1))-1</f>
        <v>0.12173954502483442</v>
      </c>
      <c r="D25" s="30">
        <v>0.1170735096402975</v>
      </c>
      <c r="E25" s="31">
        <f ca="1">B25-D25</f>
        <v>0</v>
      </c>
    </row>
    <row r="26" spans="1:5" x14ac:dyDescent="0.25">
      <c r="A26" s="21">
        <v>25</v>
      </c>
      <c r="B26" s="5" cm="1">
        <f t="array" aca="1" ref="B26" ca="1">interpolexp(A26,serie_du,Taxas_DI)</f>
        <v>0.11725974582106335</v>
      </c>
      <c r="C26" s="32">
        <f ca="1">((((1+B26)^(A26/252))/((1+B25)^(A25/252)))^(252/1))-1</f>
        <v>0.12173874074919411</v>
      </c>
      <c r="D26" s="30">
        <v>0.11725974582106335</v>
      </c>
      <c r="E26" s="31">
        <f ca="1">B26-D26</f>
        <v>0</v>
      </c>
    </row>
    <row r="27" spans="1:5" x14ac:dyDescent="0.25">
      <c r="A27" s="21">
        <v>26</v>
      </c>
      <c r="B27" s="5" cm="1">
        <f t="array" aca="1" ref="B27" ca="1">interpolexp(A27,serie_du,Taxas_DI)</f>
        <v>0.11743165644888531</v>
      </c>
      <c r="C27" s="32">
        <f ca="1">((((1+B27)^(A27/252))/((1+B26)^(A26/252)))^(252/1))-1</f>
        <v>0.12173802949315471</v>
      </c>
      <c r="D27" s="30">
        <v>0.11743165644888531</v>
      </c>
      <c r="E27" s="31">
        <f ca="1">B27-D27</f>
        <v>0</v>
      </c>
    </row>
    <row r="28" spans="1:5" x14ac:dyDescent="0.25">
      <c r="A28" s="21">
        <v>27</v>
      </c>
      <c r="B28" s="5" cm="1">
        <f t="array" aca="1" ref="B28" ca="1">interpolexp(A28,serie_du,Taxas_DI)</f>
        <v>0.11759083321944974</v>
      </c>
      <c r="C28" s="32">
        <f ca="1">((((1+B28)^(A28/252))/((1+B27)^(A27/252)))^(252/1))-1</f>
        <v>0.12173739747194068</v>
      </c>
      <c r="D28" s="30">
        <v>0.11759083321944974</v>
      </c>
      <c r="E28" s="31">
        <f ca="1">B28-D28</f>
        <v>0</v>
      </c>
    </row>
    <row r="29" spans="1:5" x14ac:dyDescent="0.25">
      <c r="A29" s="21">
        <v>28</v>
      </c>
      <c r="B29" s="5" cm="1">
        <f t="array" aca="1" ref="B29" ca="1">interpolexp(A29,serie_du,Taxas_DI)</f>
        <v>0.11773864044735127</v>
      </c>
      <c r="C29" s="32">
        <f ca="1">((((1+B29)^(A29/252))/((1+B28)^(A28/252)))^(252/1))-1</f>
        <v>0.12173683332650431</v>
      </c>
      <c r="D29" s="30">
        <v>0.11773864044735127</v>
      </c>
      <c r="E29" s="31">
        <f ca="1">B29-D29</f>
        <v>0</v>
      </c>
    </row>
    <row r="30" spans="1:5" x14ac:dyDescent="0.25">
      <c r="A30" s="21">
        <v>29</v>
      </c>
      <c r="B30" s="5" cm="1">
        <f t="array" aca="1" ref="B30" ca="1">interpolexp(A30,serie_du,Taxas_DI)</f>
        <v>0.11787625426942228</v>
      </c>
      <c r="C30" s="32">
        <f ca="1">((((1+B30)^(A30/252))/((1+B29)^(A29/252)))^(252/1))-1</f>
        <v>0.1217363276712875</v>
      </c>
      <c r="D30" s="30">
        <v>0.11787625426942228</v>
      </c>
      <c r="E30" s="31">
        <f ca="1">B30-D30</f>
        <v>0</v>
      </c>
    </row>
    <row r="31" spans="1:5" x14ac:dyDescent="0.25">
      <c r="A31" s="21">
        <v>30</v>
      </c>
      <c r="B31" s="5" cm="1">
        <f t="array" aca="1" ref="B31" ca="1">interpolexp(A31,serie_du,Taxas_DI)</f>
        <v>0.11800469400737867</v>
      </c>
      <c r="C31" s="32">
        <f ca="1">((((1+B31)^(A31/252))/((1+B30)^(A30/252)))^(252/1))-1</f>
        <v>0.1217358726960629</v>
      </c>
      <c r="D31" s="30">
        <v>0.11800469400737867</v>
      </c>
      <c r="E31" s="31">
        <f ca="1">B31-D31</f>
        <v>0</v>
      </c>
    </row>
    <row r="32" spans="1:5" x14ac:dyDescent="0.25">
      <c r="A32" s="21">
        <v>31</v>
      </c>
      <c r="B32" s="5" cm="1">
        <f t="array" aca="1" ref="B32" ca="1">interpolexp(A32,serie_du,Taxas_DI)</f>
        <v>0.11812484745982554</v>
      </c>
      <c r="C32" s="32">
        <f ca="1">((((1+B32)^(A32/252))/((1+B31)^(A31/252)))^(252/1))-1</f>
        <v>0.12173546184491646</v>
      </c>
      <c r="D32" s="30">
        <v>0.11812484745982554</v>
      </c>
      <c r="E32" s="31">
        <f ca="1">B32-D32</f>
        <v>0</v>
      </c>
    </row>
    <row r="33" spans="1:5" x14ac:dyDescent="0.25">
      <c r="A33" s="21">
        <v>32</v>
      </c>
      <c r="B33" s="5" cm="1">
        <f t="array" aca="1" ref="B33" ca="1">interpolexp(A33,serie_du,Taxas_DI)</f>
        <v>0.11815135770918417</v>
      </c>
      <c r="C33" s="32">
        <f ca="1">((((1+B33)^(A33/252))/((1+B32)^(A32/252)))^(252/1))-1</f>
        <v>0.11897348727221368</v>
      </c>
      <c r="D33" s="30">
        <v>0.11815135770918417</v>
      </c>
      <c r="E33" s="31">
        <f ca="1">B33-D33</f>
        <v>0</v>
      </c>
    </row>
    <row r="34" spans="1:5" x14ac:dyDescent="0.25">
      <c r="A34" s="44">
        <v>33</v>
      </c>
      <c r="B34" s="32" cm="1">
        <f t="array" aca="1" ref="B34" ca="1">interpolexp(A34,serie_du,Taxas_DI)</f>
        <v>0.11817626128307612</v>
      </c>
      <c r="C34" s="32">
        <f ca="1">((((1+B34)^(A34/252))/((1+B33)^(A33/252)))^(252/1))-1</f>
        <v>0.11897346857279678</v>
      </c>
      <c r="D34" s="33">
        <v>0.11817626128307612</v>
      </c>
      <c r="E34" s="34">
        <f ca="1">B34-D34</f>
        <v>0</v>
      </c>
    </row>
    <row r="35" spans="1:5" x14ac:dyDescent="0.25">
      <c r="A35" s="21">
        <v>34</v>
      </c>
      <c r="B35" s="5" cm="1">
        <f t="array" aca="1" ref="B35" ca="1">interpolexp(A35,serie_du,Taxas_DI)</f>
        <v>0.11819969994644186</v>
      </c>
      <c r="C35" s="32">
        <f ca="1">((((1+B35)^(A35/252))/((1+B34)^(A34/252)))^(252/1))-1</f>
        <v>0.11897345152396777</v>
      </c>
      <c r="D35" s="30">
        <v>0.11819969994644186</v>
      </c>
      <c r="E35" s="31">
        <f ca="1">B35-D35</f>
        <v>0</v>
      </c>
    </row>
    <row r="36" spans="1:5" x14ac:dyDescent="0.25">
      <c r="A36" s="21">
        <v>35</v>
      </c>
      <c r="B36" s="5" cm="1">
        <f t="array" aca="1" ref="B36" ca="1">interpolexp(A36,serie_du,Taxas_DI)</f>
        <v>0.11822179926264109</v>
      </c>
      <c r="C36" s="32">
        <f ca="1">((((1+B36)^(A36/252))/((1+B35)^(A35/252)))^(252/1))-1</f>
        <v>0.11897343593939613</v>
      </c>
      <c r="D36" s="30">
        <v>0.11822179926264109</v>
      </c>
      <c r="E36" s="31">
        <f ca="1">B36-D36</f>
        <v>0</v>
      </c>
    </row>
    <row r="37" spans="1:5" x14ac:dyDescent="0.25">
      <c r="A37" s="21">
        <v>36</v>
      </c>
      <c r="B37" s="5" cm="1">
        <f t="array" aca="1" ref="B37" ca="1">interpolexp(A37,serie_du,Taxas_DI)</f>
        <v>0.11824267084363793</v>
      </c>
      <c r="C37" s="32">
        <f ca="1">((((1+B37)^(A37/252))/((1+B36)^(A36/252)))^(252/1))-1</f>
        <v>0.11897342165794123</v>
      </c>
      <c r="D37" s="30">
        <v>0.11824267084363793</v>
      </c>
      <c r="E37" s="31">
        <f ca="1">B37-D37</f>
        <v>0</v>
      </c>
    </row>
    <row r="38" spans="1:5" x14ac:dyDescent="0.25">
      <c r="A38" s="21">
        <v>37</v>
      </c>
      <c r="B38" s="5" cm="1">
        <f t="array" aca="1" ref="B38" ca="1">interpolexp(A38,serie_du,Taxas_DI)</f>
        <v>0.11826241423511519</v>
      </c>
      <c r="C38" s="32">
        <f ca="1">((((1+B38)^(A38/252))/((1+B37)^(A37/252)))^(252/1))-1</f>
        <v>0.11897340853310268</v>
      </c>
      <c r="D38" s="30">
        <v>0.11826241423511519</v>
      </c>
      <c r="E38" s="31">
        <f ca="1">B38-D38</f>
        <v>0</v>
      </c>
    </row>
    <row r="39" spans="1:5" x14ac:dyDescent="0.25">
      <c r="A39" s="21">
        <v>38</v>
      </c>
      <c r="B39" s="5" cm="1">
        <f t="array" aca="1" ref="B39" ca="1">interpolexp(A39,serie_du,Taxas_DI)</f>
        <v>0.11828111850424872</v>
      </c>
      <c r="C39" s="32">
        <f ca="1">((((1+B39)^(A39/252))/((1+B38)^(A38/252)))^(252/1))-1</f>
        <v>0.11897339644070137</v>
      </c>
      <c r="D39" s="30">
        <v>0.11828111850424872</v>
      </c>
      <c r="E39" s="31">
        <f ca="1">B39-D39</f>
        <v>0</v>
      </c>
    </row>
    <row r="40" spans="1:5" x14ac:dyDescent="0.25">
      <c r="A40" s="21">
        <v>39</v>
      </c>
      <c r="B40" s="5" cm="1">
        <f t="array" aca="1" ref="B40" ca="1">interpolexp(A40,serie_du,Taxas_DI)</f>
        <v>0.11829886358334374</v>
      </c>
      <c r="C40" s="32">
        <f ca="1">((((1+B40)^(A40/252))/((1+B39)^(A39/252)))^(252/1))-1</f>
        <v>0.11897338528200696</v>
      </c>
      <c r="D40" s="30">
        <v>0.11829886358334374</v>
      </c>
      <c r="E40" s="31">
        <f ca="1">B40-D40</f>
        <v>0</v>
      </c>
    </row>
    <row r="41" spans="1:5" x14ac:dyDescent="0.25">
      <c r="A41" s="21">
        <v>40</v>
      </c>
      <c r="B41" s="5" cm="1">
        <f t="array" aca="1" ref="B41" ca="1">interpolexp(A41,serie_du,Taxas_DI)</f>
        <v>0.11831572141123292</v>
      </c>
      <c r="C41" s="32">
        <f ca="1">((((1+B41)^(A41/252))/((1+B40)^(A40/252)))^(252/1))-1</f>
        <v>0.11897337495339277</v>
      </c>
      <c r="D41" s="30">
        <v>0.11831572141123292</v>
      </c>
      <c r="E41" s="31">
        <f ca="1">B41-D41</f>
        <v>0</v>
      </c>
    </row>
    <row r="42" spans="1:5" x14ac:dyDescent="0.25">
      <c r="A42" s="21">
        <v>41</v>
      </c>
      <c r="B42" s="5" cm="1">
        <f t="array" aca="1" ref="B42" ca="1">interpolexp(A42,serie_du,Taxas_DI)</f>
        <v>0.11833175690885156</v>
      </c>
      <c r="C42" s="32">
        <f ca="1">((((1+B42)^(A42/252))/((1+B41)^(A41/252)))^(252/1))-1</f>
        <v>0.11897336539338887</v>
      </c>
      <c r="D42" s="30">
        <v>0.11833175690885156</v>
      </c>
      <c r="E42" s="31">
        <f ca="1">B42-D42</f>
        <v>0</v>
      </c>
    </row>
    <row r="43" spans="1:5" x14ac:dyDescent="0.25">
      <c r="A43" s="21">
        <v>42</v>
      </c>
      <c r="B43" s="5" cm="1">
        <f t="array" aca="1" ref="B43" ca="1">interpolexp(A43,serie_du,Taxas_DI)</f>
        <v>0.1183470288137034</v>
      </c>
      <c r="C43" s="32">
        <f ca="1">((((1+B43)^(A43/252))/((1+B42)^(A42/252)))^(252/1))-1</f>
        <v>0.11897335650922658</v>
      </c>
      <c r="D43" s="30">
        <v>0.1183470288137034</v>
      </c>
      <c r="E43" s="31">
        <f ca="1">B43-D43</f>
        <v>0</v>
      </c>
    </row>
    <row r="44" spans="1:5" x14ac:dyDescent="0.25">
      <c r="A44" s="21">
        <v>43</v>
      </c>
      <c r="B44" s="5" cm="1">
        <f t="array" aca="1" ref="B44" ca="1">interpolexp(A44,serie_du,Taxas_DI)</f>
        <v>0.11836159039959604</v>
      </c>
      <c r="C44" s="32">
        <f ca="1">((((1+B44)^(A44/252))/((1+B43)^(A43/252)))^(252/1))-1</f>
        <v>0.11897334824725103</v>
      </c>
      <c r="D44" s="30">
        <v>0.11836159039959604</v>
      </c>
      <c r="E44" s="31">
        <f ca="1">B44-D44</f>
        <v>0</v>
      </c>
    </row>
    <row r="45" spans="1:5" x14ac:dyDescent="0.25">
      <c r="A45" s="21">
        <v>44</v>
      </c>
      <c r="B45" s="5" cm="1">
        <f t="array" aca="1" ref="B45" ca="1">interpolexp(A45,serie_du,Taxas_DI)</f>
        <v>0.11837549009718895</v>
      </c>
      <c r="C45" s="32">
        <f ca="1">((((1+B45)^(A45/252))/((1+B44)^(A44/252)))^(252/1))-1</f>
        <v>0.11897334054754349</v>
      </c>
      <c r="D45" s="30">
        <v>0.11837549009718895</v>
      </c>
      <c r="E45" s="31">
        <f ca="1">B45-D45</f>
        <v>0</v>
      </c>
    </row>
    <row r="46" spans="1:5" x14ac:dyDescent="0.25">
      <c r="A46" s="21">
        <v>45</v>
      </c>
      <c r="B46" s="5" cm="1">
        <f t="array" aca="1" ref="B46" ca="1">interpolexp(A46,serie_du,Taxas_DI)</f>
        <v>0.11838877203218523</v>
      </c>
      <c r="C46" s="32">
        <f ca="1">((((1+B46)^(A46/252))/((1+B45)^(A45/252)))^(252/1))-1</f>
        <v>0.11897333335878879</v>
      </c>
      <c r="D46" s="30">
        <v>0.11838877203218523</v>
      </c>
      <c r="E46" s="31">
        <f ca="1">B46-D46</f>
        <v>0</v>
      </c>
    </row>
    <row r="47" spans="1:5" x14ac:dyDescent="0.25">
      <c r="A47" s="21">
        <v>46</v>
      </c>
      <c r="B47" s="5" cm="1">
        <f t="array" aca="1" ref="B47" ca="1">interpolexp(A47,serie_du,Taxas_DI)</f>
        <v>0.11840147649335719</v>
      </c>
      <c r="C47" s="32">
        <f ca="1">((((1+B47)^(A47/252))/((1+B46)^(A46/252)))^(252/1))-1</f>
        <v>0.11897332663989757</v>
      </c>
      <c r="D47" s="30">
        <v>0.11840147649335719</v>
      </c>
      <c r="E47" s="31">
        <f ca="1">B47-D47</f>
        <v>0</v>
      </c>
    </row>
    <row r="48" spans="1:5" x14ac:dyDescent="0.25">
      <c r="A48" s="21">
        <v>47</v>
      </c>
      <c r="B48" s="5" cm="1">
        <f t="array" aca="1" ref="B48" ca="1">interpolexp(A48,serie_du,Taxas_DI)</f>
        <v>0.11841364034084201</v>
      </c>
      <c r="C48" s="32">
        <f ca="1">((((1+B48)^(A48/252))/((1+B47)^(A47/252)))^(252/1))-1</f>
        <v>0.11897332035959618</v>
      </c>
      <c r="D48" s="30">
        <v>0.11841364034084201</v>
      </c>
      <c r="E48" s="31">
        <f ca="1">B48-D48</f>
        <v>0</v>
      </c>
    </row>
    <row r="49" spans="1:5" x14ac:dyDescent="0.25">
      <c r="A49" s="21">
        <v>48</v>
      </c>
      <c r="B49" s="5" cm="1">
        <f t="array" aca="1" ref="B49" ca="1">interpolexp(A49,serie_du,Taxas_DI)</f>
        <v>0.11842529736261209</v>
      </c>
      <c r="C49" s="32">
        <f ca="1">((((1+B49)^(A49/252))/((1+B48)^(A48/252)))^(252/1))-1</f>
        <v>0.11897331445862869</v>
      </c>
      <c r="D49" s="30">
        <v>0.11842529736261209</v>
      </c>
      <c r="E49" s="31">
        <f ca="1">B49-D49</f>
        <v>0</v>
      </c>
    </row>
    <row r="50" spans="1:5" x14ac:dyDescent="0.25">
      <c r="A50" s="21">
        <v>49</v>
      </c>
      <c r="B50" s="5" cm="1">
        <f t="array" aca="1" ref="B50" ca="1">interpolexp(A50,serie_du,Taxas_DI)</f>
        <v>0.11843647858891249</v>
      </c>
      <c r="C50" s="32">
        <f ca="1">((((1+B50)^(A50/252))/((1+B49)^(A49/252)))^(252/1))-1</f>
        <v>0.11897330892759195</v>
      </c>
      <c r="D50" s="30">
        <v>0.11843647858891249</v>
      </c>
      <c r="E50" s="31">
        <f ca="1">B50-D50</f>
        <v>0</v>
      </c>
    </row>
    <row r="51" spans="1:5" x14ac:dyDescent="0.25">
      <c r="A51" s="21">
        <v>50</v>
      </c>
      <c r="B51" s="5" cm="1">
        <f t="array" aca="1" ref="B51" ca="1">interpolexp(A51,serie_du,Taxas_DI)</f>
        <v>0.11844721256732971</v>
      </c>
      <c r="C51" s="32">
        <f ca="1">((((1+B51)^(A51/252))/((1+B50)^(A50/252)))^(252/1))-1</f>
        <v>0.11897330372531401</v>
      </c>
      <c r="D51" s="30">
        <v>0.11844721256732971</v>
      </c>
      <c r="E51" s="31">
        <f ca="1">B51-D51</f>
        <v>0</v>
      </c>
    </row>
    <row r="52" spans="1:5" x14ac:dyDescent="0.25">
      <c r="A52" s="21">
        <v>51</v>
      </c>
      <c r="B52" s="5" cm="1">
        <f t="array" aca="1" ref="B52" ca="1">interpolexp(A52,serie_du,Taxas_DI)</f>
        <v>0.11845752560644129</v>
      </c>
      <c r="C52" s="32">
        <f ca="1">((((1+B52)^(A52/252))/((1+B51)^(A51/252)))^(252/1))-1</f>
        <v>0.11897329882646224</v>
      </c>
      <c r="D52" s="30">
        <v>0.11845752560644129</v>
      </c>
      <c r="E52" s="31">
        <f ca="1">B52-D52</f>
        <v>0</v>
      </c>
    </row>
    <row r="53" spans="1:5" x14ac:dyDescent="0.25">
      <c r="A53" s="21">
        <v>52</v>
      </c>
      <c r="B53" s="5" cm="1">
        <f t="array" aca="1" ref="B53" ca="1">interpolexp(A53,serie_du,Taxas_DI)</f>
        <v>0.11846744199122128</v>
      </c>
      <c r="C53" s="32">
        <f ca="1">((((1+B53)^(A53/252))/((1+B52)^(A52/252)))^(252/1))-1</f>
        <v>0.11897329421407044</v>
      </c>
      <c r="D53" s="30">
        <v>0.11846744199122128</v>
      </c>
      <c r="E53" s="31">
        <f ca="1">B53-D53</f>
        <v>0</v>
      </c>
    </row>
    <row r="54" spans="1:5" x14ac:dyDescent="0.25">
      <c r="A54" s="21">
        <v>53</v>
      </c>
      <c r="B54" s="5" cm="1">
        <f t="array" aca="1" ref="B54" ca="1">interpolexp(A54,serie_du,Taxas_DI)</f>
        <v>0.11847698417377428</v>
      </c>
      <c r="C54" s="32">
        <f ca="1">((((1+B54)^(A54/252))/((1+B53)^(A53/252)))^(252/1))-1</f>
        <v>0.11897328986431255</v>
      </c>
      <c r="D54" s="30">
        <v>0.11847698417377428</v>
      </c>
      <c r="E54" s="31">
        <f ca="1">B54-D54</f>
        <v>0</v>
      </c>
    </row>
    <row r="55" spans="1:5" x14ac:dyDescent="0.25">
      <c r="A55" s="21">
        <v>54</v>
      </c>
      <c r="B55" s="5" cm="1">
        <f t="array" aca="1" ref="B55" ca="1">interpolexp(A55,serie_du,Taxas_DI)</f>
        <v>0.11861177361265351</v>
      </c>
      <c r="C55" s="32">
        <f ca="1">((((1+B55)^(A55/252))/((1+B54)^(A54/252)))^(252/1))-1</f>
        <v>0.12577890722278107</v>
      </c>
      <c r="D55" s="30">
        <v>0.11861177361265351</v>
      </c>
      <c r="E55" s="31">
        <f ca="1">B55-D55</f>
        <v>0</v>
      </c>
    </row>
    <row r="56" spans="1:5" x14ac:dyDescent="0.25">
      <c r="A56" s="21">
        <v>55</v>
      </c>
      <c r="B56" s="5" cm="1">
        <f t="array" aca="1" ref="B56" ca="1">interpolexp(A56,serie_du,Taxas_DI)</f>
        <v>0.11874166178911238</v>
      </c>
      <c r="C56" s="32">
        <f ca="1">((((1+B56)^(A56/252))/((1+B55)^(A55/252)))^(252/1))-1</f>
        <v>0.12577806614884102</v>
      </c>
      <c r="D56" s="30">
        <v>0.11874166178911238</v>
      </c>
      <c r="E56" s="31">
        <f ca="1">B56-D56</f>
        <v>0</v>
      </c>
    </row>
    <row r="57" spans="1:5" x14ac:dyDescent="0.25">
      <c r="A57" s="21">
        <v>56</v>
      </c>
      <c r="B57" s="5" cm="1">
        <f t="array" aca="1" ref="B57" ca="1">interpolexp(A57,serie_du,Taxas_DI)</f>
        <v>0.11886691126166138</v>
      </c>
      <c r="C57" s="32">
        <f ca="1">((((1+B57)^(A57/252))/((1+B56)^(A56/252)))^(252/1))-1</f>
        <v>0.12577727031223396</v>
      </c>
      <c r="D57" s="30">
        <v>0.11886691126166138</v>
      </c>
      <c r="E57" s="31">
        <f ca="1">B57-D57</f>
        <v>0</v>
      </c>
    </row>
    <row r="58" spans="1:5" x14ac:dyDescent="0.25">
      <c r="A58" s="21">
        <v>57</v>
      </c>
      <c r="B58" s="5" cm="1">
        <f t="array" aca="1" ref="B58" ca="1">interpolexp(A58,serie_du,Taxas_DI)</f>
        <v>0.11898776616445783</v>
      </c>
      <c r="C58" s="32">
        <f ca="1">((((1+B58)^(A58/252))/((1+B57)^(A57/252)))^(252/1))-1</f>
        <v>0.12577651653570743</v>
      </c>
      <c r="D58" s="30">
        <v>0.11898776616445783</v>
      </c>
      <c r="E58" s="31">
        <f ca="1">B58-D58</f>
        <v>0</v>
      </c>
    </row>
    <row r="59" spans="1:5" x14ac:dyDescent="0.25">
      <c r="A59" s="21">
        <v>58</v>
      </c>
      <c r="B59" s="5" cm="1">
        <f t="array" aca="1" ref="B59" ca="1">interpolexp(A59,serie_du,Taxas_DI)</f>
        <v>0.11910445379519352</v>
      </c>
      <c r="C59" s="32">
        <f ca="1">((((1+B59)^(A59/252))/((1+B58)^(A58/252)))^(252/1))-1</f>
        <v>0.12577580189655602</v>
      </c>
      <c r="D59" s="30">
        <v>0.11910445379519352</v>
      </c>
      <c r="E59" s="31">
        <f ca="1">B59-D59</f>
        <v>0</v>
      </c>
    </row>
    <row r="60" spans="1:5" x14ac:dyDescent="0.25">
      <c r="A60" s="21">
        <v>59</v>
      </c>
      <c r="B60" s="5" cm="1">
        <f t="array" aca="1" ref="B60" ca="1">interpolexp(A60,serie_du,Taxas_DI)</f>
        <v>0.11921718604219755</v>
      </c>
      <c r="C60" s="32">
        <f ca="1">((((1+B60)^(A60/252))/((1+B59)^(A59/252)))^(252/1))-1</f>
        <v>0.12577512373952171</v>
      </c>
      <c r="D60" s="30">
        <v>0.11921718604219755</v>
      </c>
      <c r="E60" s="31">
        <f ca="1">B60-D60</f>
        <v>0</v>
      </c>
    </row>
    <row r="61" spans="1:5" x14ac:dyDescent="0.25">
      <c r="A61" s="21">
        <v>60</v>
      </c>
      <c r="B61" s="5" cm="1">
        <f t="array" aca="1" ref="B61" ca="1">interpolexp(A61,serie_du,Taxas_DI)</f>
        <v>0.11932616066843149</v>
      </c>
      <c r="C61" s="32">
        <f ca="1">((((1+B61)^(A61/252))/((1+B60)^(A60/252)))^(252/1))-1</f>
        <v>0.1257744796274789</v>
      </c>
      <c r="D61" s="30">
        <v>0.11932616066843149</v>
      </c>
      <c r="E61" s="31">
        <f ca="1">B61-D61</f>
        <v>0</v>
      </c>
    </row>
    <row r="62" spans="1:5" x14ac:dyDescent="0.25">
      <c r="A62" s="21">
        <v>61</v>
      </c>
      <c r="B62" s="5" cm="1">
        <f t="array" aca="1" ref="B62" ca="1">interpolexp(A62,serie_du,Taxas_DI)</f>
        <v>0.11943156246874143</v>
      </c>
      <c r="C62" s="32">
        <f ca="1">((((1+B62)^(A62/252))/((1+B61)^(A61/252)))^(252/1))-1</f>
        <v>0.12577386729161666</v>
      </c>
      <c r="D62" s="30">
        <v>0.11943156246874143</v>
      </c>
      <c r="E62" s="31">
        <f ca="1">B62-D62</f>
        <v>0</v>
      </c>
    </row>
    <row r="63" spans="1:5" x14ac:dyDescent="0.25">
      <c r="A63" s="21">
        <v>62</v>
      </c>
      <c r="B63" s="5" cm="1">
        <f t="array" aca="1" ref="B63" ca="1">interpolexp(A63,serie_du,Taxas_DI)</f>
        <v>0.11953356431666506</v>
      </c>
      <c r="C63" s="32">
        <f ca="1">((((1+B63)^(A63/252))/((1+B62)^(A62/252)))^(252/1))-1</f>
        <v>0.12577328470857374</v>
      </c>
      <c r="D63" s="30">
        <v>0.11953356431666506</v>
      </c>
      <c r="E63" s="31">
        <f ca="1">B63-D63</f>
        <v>0</v>
      </c>
    </row>
    <row r="64" spans="1:5" x14ac:dyDescent="0.25">
      <c r="A64" s="21">
        <v>63</v>
      </c>
      <c r="B64" s="5" cm="1">
        <f t="array" aca="1" ref="B64" ca="1">interpolexp(A64,serie_du,Taxas_DI)</f>
        <v>0.11963232810978663</v>
      </c>
      <c r="C64" s="32">
        <f ca="1">((((1+B64)^(A64/252))/((1+B63)^(A63/252)))^(252/1))-1</f>
        <v>0.12577272997117794</v>
      </c>
      <c r="D64" s="30">
        <v>0.11963232810978663</v>
      </c>
      <c r="E64" s="31">
        <f ca="1">B64-D64</f>
        <v>0</v>
      </c>
    </row>
    <row r="65" spans="1:5" x14ac:dyDescent="0.25">
      <c r="A65" s="21">
        <v>64</v>
      </c>
      <c r="B65" s="5" cm="1">
        <f t="array" aca="1" ref="B65" ca="1">interpolexp(A65,serie_du,Taxas_DI)</f>
        <v>0.11972800562722874</v>
      </c>
      <c r="C65" s="32">
        <f ca="1">((((1+B65)^(A65/252))/((1+B64)^(A64/252)))^(252/1))-1</f>
        <v>0.12577220132212874</v>
      </c>
      <c r="D65" s="30">
        <v>0.11972800562722874</v>
      </c>
      <c r="E65" s="31">
        <f ca="1">B65-D65</f>
        <v>0</v>
      </c>
    </row>
    <row r="66" spans="1:5" x14ac:dyDescent="0.25">
      <c r="A66" s="21">
        <v>65</v>
      </c>
      <c r="B66" s="5" cm="1">
        <f t="array" aca="1" ref="B66" ca="1">interpolexp(A66,serie_du,Taxas_DI)</f>
        <v>0.11982073930836279</v>
      </c>
      <c r="C66" s="32">
        <f ca="1">((((1+B66)^(A66/252))/((1+B65)^(A65/252)))^(252/1))-1</f>
        <v>0.12577169716461545</v>
      </c>
      <c r="D66" s="30">
        <v>0.11982073930836279</v>
      </c>
      <c r="E66" s="31">
        <f ca="1">B66-D66</f>
        <v>0</v>
      </c>
    </row>
    <row r="67" spans="1:5" x14ac:dyDescent="0.25">
      <c r="A67" s="21">
        <v>66</v>
      </c>
      <c r="B67" s="5" cm="1">
        <f t="array" aca="1" ref="B67" ca="1">interpolexp(A67,serie_du,Taxas_DI)</f>
        <v>0.11991066295999886</v>
      </c>
      <c r="C67" s="32">
        <f ca="1">((((1+B67)^(A67/252))/((1+B66)^(A66/252)))^(252/1))-1</f>
        <v>0.12577121600137064</v>
      </c>
      <c r="D67" s="30">
        <v>0.11991066295999886</v>
      </c>
      <c r="E67" s="31">
        <f ca="1">B67-D67</f>
        <v>0</v>
      </c>
    </row>
    <row r="68" spans="1:5" x14ac:dyDescent="0.25">
      <c r="A68" s="21">
        <v>67</v>
      </c>
      <c r="B68" s="5" cm="1">
        <f t="array" aca="1" ref="B68" ca="1">interpolexp(A68,serie_du,Taxas_DI)</f>
        <v>0.11999790240067032</v>
      </c>
      <c r="C68" s="32">
        <f ca="1">((((1+B68)^(A68/252))/((1+B67)^(A67/252)))^(252/1))-1</f>
        <v>0.1257707564520647</v>
      </c>
      <c r="D68" s="30">
        <v>0.11999790240067032</v>
      </c>
      <c r="E68" s="31">
        <f ca="1">B68-D68</f>
        <v>0</v>
      </c>
    </row>
    <row r="69" spans="1:5" x14ac:dyDescent="0.25">
      <c r="A69" s="21">
        <v>68</v>
      </c>
      <c r="B69" s="5" cm="1">
        <f t="array" aca="1" ref="B69" ca="1">interpolexp(A69,serie_du,Taxas_DI)</f>
        <v>0.12008257604805284</v>
      </c>
      <c r="C69" s="32">
        <f ca="1">((((1+B69)^(A69/252))/((1+B68)^(A68/252)))^(252/1))-1</f>
        <v>0.12577031724232546</v>
      </c>
      <c r="D69" s="30">
        <v>0.12008257604805284</v>
      </c>
      <c r="E69" s="31">
        <f ca="1">B69-D69</f>
        <v>0</v>
      </c>
    </row>
    <row r="70" spans="1:5" x14ac:dyDescent="0.25">
      <c r="A70" s="21">
        <v>69</v>
      </c>
      <c r="B70" s="5" cm="1">
        <f t="array" aca="1" ref="B70" ca="1">interpolexp(A70,serie_du,Taxas_DI)</f>
        <v>0.12016479545546854</v>
      </c>
      <c r="C70" s="32">
        <f ca="1">((((1+B70)^(A70/252))/((1+B69)^(A69/252)))^(252/1))-1</f>
        <v>0.12576989720608456</v>
      </c>
      <c r="D70" s="30">
        <v>0.12016479545546854</v>
      </c>
      <c r="E70" s="31">
        <f ca="1">B70-D70</f>
        <v>0</v>
      </c>
    </row>
    <row r="71" spans="1:5" x14ac:dyDescent="0.25">
      <c r="A71" s="21">
        <v>70</v>
      </c>
      <c r="B71" s="5" cm="1">
        <f t="array" aca="1" ref="B71" ca="1">interpolexp(A71,serie_du,Taxas_DI)</f>
        <v>0.1202446658015166</v>
      </c>
      <c r="C71" s="32">
        <f ca="1">((((1+B71)^(A71/252))/((1+B70)^(A70/252)))^(252/1))-1</f>
        <v>0.12576949521523129</v>
      </c>
      <c r="D71" s="30">
        <v>0.1202446658015166</v>
      </c>
      <c r="E71" s="31">
        <f ca="1">B71-D71</f>
        <v>0</v>
      </c>
    </row>
    <row r="72" spans="1:5" x14ac:dyDescent="0.25">
      <c r="A72" s="21">
        <v>71</v>
      </c>
      <c r="B72" s="5" cm="1">
        <f t="array" aca="1" ref="B72" ca="1">interpolexp(A72,serie_du,Taxas_DI)</f>
        <v>0.12032228633973574</v>
      </c>
      <c r="C72" s="32">
        <f ca="1">((((1+B72)^(A72/252))/((1+B71)^(A71/252)))^(252/1))-1</f>
        <v>0.12576911027283888</v>
      </c>
      <c r="D72" s="30">
        <v>0.12032228633973574</v>
      </c>
      <c r="E72" s="31">
        <f ca="1">B72-D72</f>
        <v>0</v>
      </c>
    </row>
    <row r="73" spans="1:5" x14ac:dyDescent="0.25">
      <c r="A73" s="21">
        <v>72</v>
      </c>
      <c r="B73" s="5" cm="1">
        <f t="array" aca="1" ref="B73" ca="1">interpolexp(A73,serie_du,Taxas_DI)</f>
        <v>0.12039775080958659</v>
      </c>
      <c r="C73" s="32">
        <f ca="1">((((1+B73)^(A73/252))/((1+B72)^(A72/252)))^(252/1))-1</f>
        <v>0.12576874141896521</v>
      </c>
      <c r="D73" s="30">
        <v>0.12039775080958659</v>
      </c>
      <c r="E73" s="31">
        <f ca="1">B73-D73</f>
        <v>0</v>
      </c>
    </row>
    <row r="74" spans="1:5" x14ac:dyDescent="0.25">
      <c r="A74" s="21">
        <v>73</v>
      </c>
      <c r="B74" s="5" cm="1">
        <f t="array" aca="1" ref="B74" ca="1">interpolexp(A74,serie_du,Taxas_DI)</f>
        <v>0.12047114781429036</v>
      </c>
      <c r="C74" s="32">
        <f ca="1">((((1+B74)^(A74/252))/((1+B73)^(A73/252)))^(252/1))-1</f>
        <v>0.12576838777180011</v>
      </c>
      <c r="D74" s="30">
        <v>0.12047114781429036</v>
      </c>
      <c r="E74" s="31">
        <f ca="1">B74-D74</f>
        <v>0</v>
      </c>
    </row>
    <row r="75" spans="1:5" x14ac:dyDescent="0.25">
      <c r="A75" s="21">
        <v>74</v>
      </c>
      <c r="B75" s="5" cm="1">
        <f t="array" aca="1" ref="B75" ca="1">interpolexp(A75,serie_du,Taxas_DI)</f>
        <v>0.12057303380339501</v>
      </c>
      <c r="C75" s="32">
        <f ca="1">((((1+B75)^(A75/252))/((1+B74)^(A74/252)))^(252/1))-1</f>
        <v>0.1280357894826738</v>
      </c>
      <c r="D75" s="30">
        <v>0.12057303380339501</v>
      </c>
      <c r="E75" s="31">
        <f ca="1">B75-D75</f>
        <v>0</v>
      </c>
    </row>
    <row r="76" spans="1:5" x14ac:dyDescent="0.25">
      <c r="A76" s="21">
        <v>75</v>
      </c>
      <c r="B76" s="5" cm="1">
        <f t="array" aca="1" ref="B76" ca="1">interpolexp(A76,serie_du,Taxas_DI)</f>
        <v>0.12067220293228154</v>
      </c>
      <c r="C76" s="32">
        <f ca="1">((((1+B76)^(A76/252))/((1+B75)^(A75/252)))^(252/1))-1</f>
        <v>0.12803512530896</v>
      </c>
      <c r="D76" s="30">
        <v>0.12067220293228154</v>
      </c>
      <c r="E76" s="31">
        <f ca="1">B76-D76</f>
        <v>0</v>
      </c>
    </row>
    <row r="77" spans="1:5" x14ac:dyDescent="0.25">
      <c r="A77" s="21">
        <v>76</v>
      </c>
      <c r="B77" s="5" cm="1">
        <f t="array" aca="1" ref="B77" ca="1">interpolexp(A77,serie_du,Taxas_DI)</f>
        <v>0.12076876244166979</v>
      </c>
      <c r="C77" s="32">
        <f ca="1">((((1+B77)^(A77/252))/((1+B76)^(A76/252)))^(252/1))-1</f>
        <v>0.12803448747405244</v>
      </c>
      <c r="D77" s="30">
        <v>0.12076876244166979</v>
      </c>
      <c r="E77" s="31">
        <f ca="1">B77-D77</f>
        <v>0</v>
      </c>
    </row>
    <row r="78" spans="1:5" x14ac:dyDescent="0.25">
      <c r="A78" s="21">
        <v>77</v>
      </c>
      <c r="B78" s="5" cm="1">
        <f t="array" aca="1" ref="B78" ca="1">interpolexp(A78,serie_du,Taxas_DI)</f>
        <v>0.12086281400134347</v>
      </c>
      <c r="C78" s="32">
        <f ca="1">((((1+B78)^(A78/252))/((1+B77)^(A77/252)))^(252/1))-1</f>
        <v>0.128033874589496</v>
      </c>
      <c r="D78" s="30">
        <v>0.12086281400134347</v>
      </c>
      <c r="E78" s="31">
        <f ca="1">B78-D78</f>
        <v>0</v>
      </c>
    </row>
    <row r="79" spans="1:5" x14ac:dyDescent="0.25">
      <c r="A79" s="21">
        <v>78</v>
      </c>
      <c r="B79" s="5" cm="1">
        <f t="array" aca="1" ref="B79" ca="1">interpolexp(A79,serie_du,Taxas_DI)</f>
        <v>0.12095445406756777</v>
      </c>
      <c r="C79" s="32">
        <f ca="1">((((1+B79)^(A79/252))/((1+B78)^(A78/252)))^(252/1))-1</f>
        <v>0.1280332853808448</v>
      </c>
      <c r="D79" s="30">
        <v>0.12095445406756777</v>
      </c>
      <c r="E79" s="31">
        <f ca="1">B79-D79</f>
        <v>0</v>
      </c>
    </row>
    <row r="80" spans="1:5" x14ac:dyDescent="0.25">
      <c r="A80" s="21">
        <v>79</v>
      </c>
      <c r="B80" s="5" cm="1">
        <f t="array" aca="1" ref="B80" ca="1">interpolexp(A80,serie_du,Taxas_DI)</f>
        <v>0.12104377421287005</v>
      </c>
      <c r="C80" s="32">
        <f ca="1">((((1+B80)^(A80/252))/((1+B79)^(A79/252)))^(252/1))-1</f>
        <v>0.12803271864070043</v>
      </c>
      <c r="D80" s="30">
        <v>0.12104377421287005</v>
      </c>
      <c r="E80" s="31">
        <f ca="1">B80-D80</f>
        <v>0</v>
      </c>
    </row>
    <row r="81" spans="1:5" x14ac:dyDescent="0.25">
      <c r="A81" s="21">
        <v>80</v>
      </c>
      <c r="B81" s="5" cm="1">
        <f t="array" aca="1" ref="B81" ca="1">interpolexp(A81,serie_du,Taxas_DI)</f>
        <v>0.12113086143119567</v>
      </c>
      <c r="C81" s="32">
        <f ca="1">((((1+B81)^(A81/252))/((1+B80)^(A80/252)))^(252/1))-1</f>
        <v>0.12803217323207483</v>
      </c>
      <c r="D81" s="30">
        <v>0.12113086143119567</v>
      </c>
      <c r="E81" s="31">
        <f ca="1">B81-D81</f>
        <v>0</v>
      </c>
    </row>
    <row r="82" spans="1:5" x14ac:dyDescent="0.25">
      <c r="A82" s="21">
        <v>81</v>
      </c>
      <c r="B82" s="5" cm="1">
        <f t="array" aca="1" ref="B82" ca="1">interpolexp(A82,serie_du,Taxas_DI)</f>
        <v>0.1212157984208373</v>
      </c>
      <c r="C82" s="32">
        <f ca="1">((((1+B82)^(A82/252))/((1+B81)^(A81/252)))^(252/1))-1</f>
        <v>0.1280316481132675</v>
      </c>
      <c r="D82" s="30">
        <v>0.1212157984208373</v>
      </c>
      <c r="E82" s="31">
        <f ca="1">B82-D82</f>
        <v>0</v>
      </c>
    </row>
    <row r="83" spans="1:5" x14ac:dyDescent="0.25">
      <c r="A83" s="21">
        <v>82</v>
      </c>
      <c r="B83" s="5" cm="1">
        <f t="array" aca="1" ref="B83" ca="1">interpolexp(A83,serie_du,Taxas_DI)</f>
        <v>0.12129866384607002</v>
      </c>
      <c r="C83" s="32">
        <f ca="1">((((1+B83)^(A83/252))/((1+B82)^(A82/252)))^(252/1))-1</f>
        <v>0.1280311422832785</v>
      </c>
      <c r="D83" s="30">
        <v>0.12129866384607002</v>
      </c>
      <c r="E83" s="31">
        <f ca="1">B83-D83</f>
        <v>0</v>
      </c>
    </row>
    <row r="84" spans="1:5" x14ac:dyDescent="0.25">
      <c r="A84" s="21">
        <v>83</v>
      </c>
      <c r="B84" s="5" cm="1">
        <f t="array" aca="1" ref="B84" ca="1">interpolexp(A84,serie_du,Taxas_DI)</f>
        <v>0.12137953258013479</v>
      </c>
      <c r="C84" s="32">
        <f ca="1">((((1+B84)^(A84/252))/((1+B83)^(A83/252)))^(252/1))-1</f>
        <v>0.12803065479988329</v>
      </c>
      <c r="D84" s="30">
        <v>0.12137953258013479</v>
      </c>
      <c r="E84" s="31">
        <f ca="1">B84-D84</f>
        <v>0</v>
      </c>
    </row>
    <row r="85" spans="1:5" x14ac:dyDescent="0.25">
      <c r="A85" s="21">
        <v>84</v>
      </c>
      <c r="B85" s="5" cm="1">
        <f t="array" aca="1" ref="B85" ca="1">interpolexp(A85,serie_du,Taxas_DI)</f>
        <v>0.12145847593119097</v>
      </c>
      <c r="C85" s="32">
        <f ca="1">((((1+B85)^(A85/252))/((1+B84)^(A84/252)))^(252/1))-1</f>
        <v>0.12803018480201067</v>
      </c>
      <c r="D85" s="30">
        <v>0.12145847593119097</v>
      </c>
      <c r="E85" s="31">
        <f ca="1">B85-D85</f>
        <v>0</v>
      </c>
    </row>
    <row r="86" spans="1:5" x14ac:dyDescent="0.25">
      <c r="A86" s="21">
        <v>85</v>
      </c>
      <c r="B86" s="5" cm="1">
        <f t="array" aca="1" ref="B86" ca="1">interpolexp(A86,serie_du,Taxas_DI)</f>
        <v>0.12153556185170444</v>
      </c>
      <c r="C86" s="32">
        <f ca="1">((((1+B86)^(A86/252))/((1+B85)^(A85/252)))^(252/1))-1</f>
        <v>0.1280297314534613</v>
      </c>
      <c r="D86" s="30">
        <v>0.12153556185170444</v>
      </c>
      <c r="E86" s="31">
        <f ca="1">B86-D86</f>
        <v>0</v>
      </c>
    </row>
    <row r="87" spans="1:5" x14ac:dyDescent="0.25">
      <c r="A87" s="21">
        <v>86</v>
      </c>
      <c r="B87" s="5" cm="1">
        <f t="array" aca="1" ref="B87" ca="1">interpolexp(A87,serie_du,Taxas_DI)</f>
        <v>0.1216108551336692</v>
      </c>
      <c r="C87" s="32">
        <f ca="1">((((1+B87)^(A87/252))/((1+B86)^(A86/252)))^(252/1))-1</f>
        <v>0.12802929397740637</v>
      </c>
      <c r="D87" s="30">
        <v>0.1216108551336692</v>
      </c>
      <c r="E87" s="31">
        <f ca="1">B87-D87</f>
        <v>0</v>
      </c>
    </row>
    <row r="88" spans="1:5" x14ac:dyDescent="0.25">
      <c r="A88" s="21">
        <v>87</v>
      </c>
      <c r="B88" s="5" cm="1">
        <f t="array" aca="1" ref="B88" ca="1">interpolexp(A88,serie_du,Taxas_DI)</f>
        <v>0.12168441759023985</v>
      </c>
      <c r="C88" s="32">
        <f ca="1">((((1+B88)^(A88/252))/((1+B87)^(A87/252)))^(252/1))-1</f>
        <v>0.12802887164178833</v>
      </c>
      <c r="D88" s="30">
        <v>0.12168441759023985</v>
      </c>
      <c r="E88" s="31">
        <f ca="1">B88-D88</f>
        <v>0</v>
      </c>
    </row>
    <row r="89" spans="1:5" x14ac:dyDescent="0.25">
      <c r="A89" s="21">
        <v>88</v>
      </c>
      <c r="B89" s="5" cm="1">
        <f t="array" aca="1" ref="B89" ca="1">interpolexp(A89,serie_du,Taxas_DI)</f>
        <v>0.12175630822504058</v>
      </c>
      <c r="C89" s="32">
        <f ca="1">((((1+B89)^(A89/252))/((1+B88)^(A88/252)))^(252/1))-1</f>
        <v>0.1280284637623359</v>
      </c>
      <c r="D89" s="30">
        <v>0.12175630822504058</v>
      </c>
      <c r="E89" s="31">
        <f ca="1">B89-D89</f>
        <v>0</v>
      </c>
    </row>
    <row r="90" spans="1:5" x14ac:dyDescent="0.25">
      <c r="A90" s="21">
        <v>89</v>
      </c>
      <c r="B90" s="5" cm="1">
        <f t="array" aca="1" ref="B90" ca="1">interpolexp(A90,serie_du,Taxas_DI)</f>
        <v>0.1218265833898835</v>
      </c>
      <c r="C90" s="32">
        <f ca="1">((((1+B90)^(A90/252))/((1+B89)^(A89/252)))^(252/1))-1</f>
        <v>0.12802806968290925</v>
      </c>
      <c r="D90" s="30">
        <v>0.1218265833898835</v>
      </c>
      <c r="E90" s="31">
        <f ca="1">B90-D90</f>
        <v>0</v>
      </c>
    </row>
    <row r="91" spans="1:5" x14ac:dyDescent="0.25">
      <c r="A91" s="21">
        <v>90</v>
      </c>
      <c r="B91" s="5" cm="1">
        <f t="array" aca="1" ref="B91" ca="1">interpolexp(A91,serie_du,Taxas_DI)</f>
        <v>0.12189529693205081</v>
      </c>
      <c r="C91" s="32">
        <f ca="1">((((1+B91)^(A91/252))/((1+B90)^(A90/252)))^(252/1))-1</f>
        <v>0.12802768878067927</v>
      </c>
      <c r="D91" s="30">
        <v>0.12189529693205081</v>
      </c>
      <c r="E91" s="31">
        <f ca="1">B91-D91</f>
        <v>0</v>
      </c>
    </row>
    <row r="92" spans="1:5" x14ac:dyDescent="0.25">
      <c r="A92" s="21">
        <v>91</v>
      </c>
      <c r="B92" s="5" cm="1">
        <f t="array" aca="1" ref="B92" ca="1">interpolexp(A92,serie_du,Taxas_DI)</f>
        <v>0.12196250033211786</v>
      </c>
      <c r="C92" s="32">
        <f ca="1">((((1+B92)^(A92/252))/((1+B91)^(A91/252)))^(252/1))-1</f>
        <v>0.12802732048642484</v>
      </c>
      <c r="D92" s="30">
        <v>0.12196250033211786</v>
      </c>
      <c r="E92" s="31">
        <f ca="1">B92-D92</f>
        <v>0</v>
      </c>
    </row>
    <row r="93" spans="1:5" x14ac:dyDescent="0.25">
      <c r="A93" s="21">
        <v>92</v>
      </c>
      <c r="B93" s="5" cm="1">
        <f t="array" aca="1" ref="B93" ca="1">interpolexp(A93,serie_du,Taxas_DI)</f>
        <v>0.12202824283232316</v>
      </c>
      <c r="C93" s="32">
        <f ca="1">((((1+B93)^(A93/252))/((1+B92)^(A92/252)))^(252/1))-1</f>
        <v>0.12802696423937032</v>
      </c>
      <c r="D93" s="30">
        <v>0.12202824283232316</v>
      </c>
      <c r="E93" s="31">
        <f ca="1">B93-D93</f>
        <v>0</v>
      </c>
    </row>
    <row r="94" spans="1:5" x14ac:dyDescent="0.25">
      <c r="A94" s="21">
        <v>93</v>
      </c>
      <c r="B94" s="5" cm="1">
        <f t="array" aca="1" ref="B94" ca="1">interpolexp(A94,serie_du,Taxas_DI)</f>
        <v>0.12214162959731656</v>
      </c>
      <c r="C94" s="32">
        <f ca="1">((((1+B94)^(A94/252))/((1+B93)^(A93/252)))^(252/1))-1</f>
        <v>0.13262238127023229</v>
      </c>
      <c r="D94" s="30">
        <v>0.12214162959731656</v>
      </c>
      <c r="E94" s="31">
        <f ca="1">B94-D94</f>
        <v>0</v>
      </c>
    </row>
    <row r="95" spans="1:5" x14ac:dyDescent="0.25">
      <c r="A95" s="21">
        <v>94</v>
      </c>
      <c r="B95" s="5" cm="1">
        <f t="array" aca="1" ref="B95" ca="1">interpolexp(A95,serie_du,Taxas_DI)</f>
        <v>0.12225260400222648</v>
      </c>
      <c r="C95" s="32">
        <f ca="1">((((1+B95)^(A95/252))/((1+B94)^(A94/252)))^(252/1))-1</f>
        <v>0.13262134047365759</v>
      </c>
      <c r="D95" s="30">
        <v>0.12225260400222648</v>
      </c>
      <c r="E95" s="31">
        <f ca="1">B95-D95</f>
        <v>0</v>
      </c>
    </row>
    <row r="96" spans="1:5" x14ac:dyDescent="0.25">
      <c r="A96" s="21">
        <v>95</v>
      </c>
      <c r="B96" s="5" cm="1">
        <f t="array" aca="1" ref="B96" ca="1">interpolexp(A96,serie_du,Taxas_DI)</f>
        <v>0.12236124222306799</v>
      </c>
      <c r="C96" s="32">
        <f ca="1">((((1+B96)^(A96/252))/((1+B95)^(A95/252)))^(252/1))-1</f>
        <v>0.13262033275362639</v>
      </c>
      <c r="D96" s="30">
        <v>0.12236124222306799</v>
      </c>
      <c r="E96" s="31">
        <f ca="1">B96-D96</f>
        <v>0</v>
      </c>
    </row>
    <row r="97" spans="1:5" x14ac:dyDescent="0.25">
      <c r="A97" s="21">
        <v>96</v>
      </c>
      <c r="B97" s="5" cm="1">
        <f t="array" aca="1" ref="B97" ca="1">interpolexp(A97,serie_du,Taxas_DI)</f>
        <v>0.12246761726184552</v>
      </c>
      <c r="C97" s="32">
        <f ca="1">((((1+B97)^(A97/252))/((1+B96)^(A96/252)))^(252/1))-1</f>
        <v>0.13261935670775626</v>
      </c>
      <c r="D97" s="30">
        <v>0.12246761726184552</v>
      </c>
      <c r="E97" s="31">
        <f ca="1">B97-D97</f>
        <v>0</v>
      </c>
    </row>
    <row r="98" spans="1:5" x14ac:dyDescent="0.25">
      <c r="A98" s="21">
        <v>97</v>
      </c>
      <c r="B98" s="5" cm="1">
        <f t="array" aca="1" ref="B98" ca="1">interpolexp(A98,serie_du,Taxas_DI)</f>
        <v>0.12257179911037142</v>
      </c>
      <c r="C98" s="32">
        <f ca="1">((((1+B98)^(A98/252))/((1+B97)^(A97/252)))^(252/1))-1</f>
        <v>0.13261841102651717</v>
      </c>
      <c r="D98" s="30">
        <v>0.12257179911037142</v>
      </c>
      <c r="E98" s="31">
        <f ca="1">B98-D98</f>
        <v>0</v>
      </c>
    </row>
    <row r="99" spans="1:5" x14ac:dyDescent="0.25">
      <c r="A99" s="21">
        <v>98</v>
      </c>
      <c r="B99" s="5" cm="1">
        <f t="array" aca="1" ref="B99" ca="1">interpolexp(A99,serie_du,Taxas_DI)</f>
        <v>0.12267385490385418</v>
      </c>
      <c r="C99" s="32">
        <f ca="1">((((1+B99)^(A99/252))/((1+B98)^(A98/252)))^(252/1))-1</f>
        <v>0.13261749446972138</v>
      </c>
      <c r="D99" s="30">
        <v>0.12267385490385418</v>
      </c>
      <c r="E99" s="31">
        <f ca="1">B99-D99</f>
        <v>0</v>
      </c>
    </row>
    <row r="100" spans="1:5" x14ac:dyDescent="0.25">
      <c r="A100" s="21">
        <v>99</v>
      </c>
      <c r="B100" s="5" cm="1">
        <f t="array" aca="1" ref="B100" ca="1">interpolexp(A100,serie_du,Taxas_DI)</f>
        <v>0.12277384906509425</v>
      </c>
      <c r="C100" s="32">
        <f ca="1">((((1+B100)^(A100/252))/((1+B99)^(A99/252)))^(252/1))-1</f>
        <v>0.132616605853074</v>
      </c>
      <c r="D100" s="30">
        <v>0.12277384906509425</v>
      </c>
      <c r="E100" s="31">
        <f ca="1">B100-D100</f>
        <v>0</v>
      </c>
    </row>
    <row r="101" spans="1:5" x14ac:dyDescent="0.25">
      <c r="A101" s="21">
        <v>100</v>
      </c>
      <c r="B101" s="5" cm="1">
        <f t="array" aca="1" ref="B101" ca="1">interpolexp(A101,serie_du,Taxas_DI)</f>
        <v>0.12287184343995339</v>
      </c>
      <c r="C101" s="32">
        <f ca="1">((((1+B101)^(A101/252))/((1+B100)^(A100/252)))^(252/1))-1</f>
        <v>0.1326157440374689</v>
      </c>
      <c r="D101" s="30">
        <v>0.12287184343995339</v>
      </c>
      <c r="E101" s="31">
        <f ca="1">B101-D101</f>
        <v>0</v>
      </c>
    </row>
    <row r="102" spans="1:5" x14ac:dyDescent="0.25">
      <c r="A102" s="21">
        <v>101</v>
      </c>
      <c r="B102" s="5" cm="1">
        <f t="array" aca="1" ref="B102" ca="1">interpolexp(A102,serie_du,Taxas_DI)</f>
        <v>0.12296789742520797</v>
      </c>
      <c r="C102" s="32">
        <f ca="1">((((1+B102)^(A102/252))/((1+B101)^(A101/252)))^(252/1))-1</f>
        <v>0.13261490796910325</v>
      </c>
      <c r="D102" s="30">
        <v>0.12296789742520797</v>
      </c>
      <c r="E102" s="31">
        <f ca="1">B102-D102</f>
        <v>0</v>
      </c>
    </row>
    <row r="103" spans="1:5" x14ac:dyDescent="0.25">
      <c r="A103" s="21">
        <v>102</v>
      </c>
      <c r="B103" s="5" cm="1">
        <f t="array" aca="1" ref="B103" ca="1">interpolexp(A103,serie_du,Taxas_DI)</f>
        <v>0.1230620680884531</v>
      </c>
      <c r="C103" s="32">
        <f ca="1">((((1+B103)^(A103/252))/((1+B102)^(A102/252)))^(252/1))-1</f>
        <v>0.13261409663203017</v>
      </c>
      <c r="D103" s="30">
        <v>0.1230620680884531</v>
      </c>
      <c r="E103" s="31">
        <f ca="1">B103-D103</f>
        <v>0</v>
      </c>
    </row>
    <row r="104" spans="1:5" x14ac:dyDescent="0.25">
      <c r="A104" s="21">
        <v>103</v>
      </c>
      <c r="B104" s="5" cm="1">
        <f t="array" aca="1" ref="B104" ca="1">interpolexp(A104,serie_du,Taxas_DI)</f>
        <v>0.12315441028116769</v>
      </c>
      <c r="C104" s="32">
        <f ca="1">((((1+B104)^(A104/252))/((1+B103)^(A103/252)))^(252/1))-1</f>
        <v>0.13261330906017155</v>
      </c>
      <c r="D104" s="30">
        <v>0.12315441028116769</v>
      </c>
      <c r="E104" s="31">
        <f ca="1">B104-D104</f>
        <v>0</v>
      </c>
    </row>
    <row r="105" spans="1:5" x14ac:dyDescent="0.25">
      <c r="A105" s="21">
        <v>104</v>
      </c>
      <c r="B105" s="5" cm="1">
        <f t="array" aca="1" ref="B105" ca="1">interpolexp(A105,serie_du,Taxas_DI)</f>
        <v>0.12324497674511825</v>
      </c>
      <c r="C105" s="32">
        <f ca="1">((((1+B105)^(A105/252))/((1+B104)^(A104/252)))^(252/1))-1</f>
        <v>0.13261254431984337</v>
      </c>
      <c r="D105" s="30">
        <v>0.12324497674511825</v>
      </c>
      <c r="E105" s="31">
        <f ca="1">B105-D105</f>
        <v>0</v>
      </c>
    </row>
    <row r="106" spans="1:5" x14ac:dyDescent="0.25">
      <c r="A106" s="21">
        <v>105</v>
      </c>
      <c r="B106" s="5" cm="1">
        <f t="array" aca="1" ref="B106" ca="1">interpolexp(A106,serie_du,Taxas_DI)</f>
        <v>0.12333381821323375</v>
      </c>
      <c r="C106" s="32">
        <f ca="1">((((1+B106)^(A106/252))/((1+B105)^(A105/252)))^(252/1))-1</f>
        <v>0.13261180156595831</v>
      </c>
      <c r="D106" s="30">
        <v>0.12333381821323375</v>
      </c>
      <c r="E106" s="31">
        <f ca="1">B106-D106</f>
        <v>0</v>
      </c>
    </row>
    <row r="107" spans="1:5" x14ac:dyDescent="0.25">
      <c r="A107" s="21">
        <v>106</v>
      </c>
      <c r="B107" s="5" cm="1">
        <f t="array" aca="1" ref="B107" ca="1">interpolexp(A107,serie_du,Taxas_DI)</f>
        <v>0.12342098350384134</v>
      </c>
      <c r="C107" s="32">
        <f ca="1">((((1+B107)^(A107/252))/((1+B106)^(A106/252)))^(252/1))-1</f>
        <v>0.13261107993922661</v>
      </c>
      <c r="D107" s="30">
        <v>0.12342098350384134</v>
      </c>
      <c r="E107" s="31">
        <f ca="1">B107-D107</f>
        <v>0</v>
      </c>
    </row>
    <row r="108" spans="1:5" x14ac:dyDescent="0.25">
      <c r="A108" s="21">
        <v>107</v>
      </c>
      <c r="B108" s="5" cm="1">
        <f t="array" aca="1" ref="B108" ca="1">interpolexp(A108,serie_du,Taxas_DI)</f>
        <v>0.12350651961046122</v>
      </c>
      <c r="C108" s="32">
        <f ca="1">((((1+B108)^(A108/252))/((1+B107)^(A107/252)))^(252/1))-1</f>
        <v>0.13261037865544179</v>
      </c>
      <c r="D108" s="30">
        <v>0.12350651961046122</v>
      </c>
      <c r="E108" s="31">
        <f ca="1">B108-D108</f>
        <v>0</v>
      </c>
    </row>
    <row r="109" spans="1:5" x14ac:dyDescent="0.25">
      <c r="A109" s="21">
        <v>108</v>
      </c>
      <c r="B109" s="5" cm="1">
        <f t="array" aca="1" ref="B109" ca="1">interpolexp(A109,serie_du,Taxas_DI)</f>
        <v>0.12359047178611693</v>
      </c>
      <c r="C109" s="32">
        <f ca="1">((((1+B109)^(A109/252))/((1+B108)^(A108/252)))^(252/1))-1</f>
        <v>0.13260969694936575</v>
      </c>
      <c r="D109" s="30">
        <v>0.12359047178611693</v>
      </c>
      <c r="E109" s="31">
        <f ca="1">B109-D109</f>
        <v>0</v>
      </c>
    </row>
    <row r="110" spans="1:5" x14ac:dyDescent="0.25">
      <c r="A110" s="21">
        <v>109</v>
      </c>
      <c r="B110" s="5" cm="1">
        <f t="array" aca="1" ref="B110" ca="1">interpolexp(A110,serie_du,Taxas_DI)</f>
        <v>0.12367288362340467</v>
      </c>
      <c r="C110" s="32">
        <f ca="1">((((1+B110)^(A110/252))/((1+B109)^(A109/252)))^(252/1))-1</f>
        <v>0.13260903411598779</v>
      </c>
      <c r="D110" s="30">
        <v>0.12367288362340467</v>
      </c>
      <c r="E110" s="31">
        <f ca="1">B110-D110</f>
        <v>0</v>
      </c>
    </row>
    <row r="111" spans="1:5" x14ac:dyDescent="0.25">
      <c r="A111" s="21">
        <v>110</v>
      </c>
      <c r="B111" s="5" cm="1">
        <f t="array" aca="1" ref="B111" ca="1">interpolexp(A111,serie_du,Taxas_DI)</f>
        <v>0.12375379712958878</v>
      </c>
      <c r="C111" s="32">
        <f ca="1">((((1+B111)^(A111/252))/((1+B110)^(A110/252)))^(252/1))-1</f>
        <v>0.13260838944186926</v>
      </c>
      <c r="D111" s="30">
        <v>0.12375379712958878</v>
      </c>
      <c r="E111" s="31">
        <f ca="1">B111-D111</f>
        <v>0</v>
      </c>
    </row>
    <row r="112" spans="1:5" x14ac:dyDescent="0.25">
      <c r="A112" s="21">
        <v>111</v>
      </c>
      <c r="B112" s="5" cm="1">
        <f t="array" aca="1" ref="B112" ca="1">interpolexp(A112,serie_du,Taxas_DI)</f>
        <v>0.12383325279845536</v>
      </c>
      <c r="C112" s="32">
        <f ca="1">((((1+B112)^(A112/252))/((1+B111)^(A111/252)))^(252/1))-1</f>
        <v>0.13260776229455162</v>
      </c>
      <c r="D112" s="30">
        <v>0.12383325279845536</v>
      </c>
      <c r="E112" s="31">
        <f ca="1">B112-D112</f>
        <v>0</v>
      </c>
    </row>
    <row r="113" spans="1:5" x14ac:dyDescent="0.25">
      <c r="A113" s="21">
        <v>112</v>
      </c>
      <c r="B113" s="5" cm="1">
        <f t="array" aca="1" ref="B113" ca="1">interpolexp(A113,serie_du,Taxas_DI)</f>
        <v>0.12391128967743636</v>
      </c>
      <c r="C113" s="32">
        <f ca="1">((((1+B113)^(A113/252))/((1+B112)^(A112/252)))^(252/1))-1</f>
        <v>0.13260715202179019</v>
      </c>
      <c r="D113" s="30">
        <v>0.12391128967743636</v>
      </c>
      <c r="E113" s="31">
        <f ca="1">B113-D113</f>
        <v>0</v>
      </c>
    </row>
    <row r="114" spans="1:5" x14ac:dyDescent="0.25">
      <c r="A114" s="21">
        <v>113</v>
      </c>
      <c r="B114" s="5" cm="1">
        <f t="array" aca="1" ref="B114" ca="1">interpolexp(A114,serie_du,Taxas_DI)</f>
        <v>0.12400499960387723</v>
      </c>
      <c r="C114" s="32">
        <f ca="1">((((1+B114)^(A114/252))/((1+B113)^(A113/252)))^(252/1))-1</f>
        <v>0.13455010734054462</v>
      </c>
      <c r="D114" s="30">
        <v>0.12400499960387723</v>
      </c>
      <c r="E114" s="31">
        <f ca="1">B114-D114</f>
        <v>0</v>
      </c>
    </row>
    <row r="115" spans="1:5" x14ac:dyDescent="0.25">
      <c r="A115" s="21">
        <v>114</v>
      </c>
      <c r="B115" s="5" cm="1">
        <f t="array" aca="1" ref="B115" ca="1">interpolexp(A115,serie_du,Taxas_DI)</f>
        <v>0.12409706558191846</v>
      </c>
      <c r="C115" s="32">
        <f ca="1">((((1+B115)^(A115/252))/((1+B114)^(A114/252)))^(252/1))-1</f>
        <v>0.13454924167835602</v>
      </c>
      <c r="D115" s="30">
        <v>0.12409706558191846</v>
      </c>
      <c r="E115" s="31">
        <f ca="1">B115-D115</f>
        <v>0</v>
      </c>
    </row>
    <row r="116" spans="1:5" x14ac:dyDescent="0.25">
      <c r="A116" s="21">
        <v>115</v>
      </c>
      <c r="B116" s="5" cm="1">
        <f t="array" aca="1" ref="B116" ca="1">interpolexp(A116,serie_du,Taxas_DI)</f>
        <v>0.12418753049505682</v>
      </c>
      <c r="C116" s="32">
        <f ca="1">((((1+B116)^(A116/252))/((1+B115)^(A115/252)))^(252/1))-1</f>
        <v>0.13454839874744917</v>
      </c>
      <c r="D116" s="30">
        <v>0.12418753049505682</v>
      </c>
      <c r="E116" s="31">
        <f ca="1">B116-D116</f>
        <v>0</v>
      </c>
    </row>
    <row r="117" spans="1:5" x14ac:dyDescent="0.25">
      <c r="A117" s="21">
        <v>116</v>
      </c>
      <c r="B117" s="5" cm="1">
        <f t="array" aca="1" ref="B117" ca="1">interpolexp(A117,serie_du,Taxas_DI)</f>
        <v>0.12427643574788316</v>
      </c>
      <c r="C117" s="32">
        <f ca="1">((((1+B117)^(A117/252))/((1+B116)^(A116/252)))^(252/1))-1</f>
        <v>0.13454757773182613</v>
      </c>
      <c r="D117" s="30">
        <v>0.12427643574788316</v>
      </c>
      <c r="E117" s="31">
        <f ca="1">B117-D117</f>
        <v>0</v>
      </c>
    </row>
    <row r="118" spans="1:5" x14ac:dyDescent="0.25">
      <c r="A118" s="21">
        <v>117</v>
      </c>
      <c r="B118" s="5" cm="1">
        <f t="array" aca="1" ref="B118" ca="1">interpolexp(A118,serie_du,Taxas_DI)</f>
        <v>0.12436382132972046</v>
      </c>
      <c r="C118" s="32">
        <f ca="1">((((1+B118)^(A118/252))/((1+B117)^(A117/252)))^(252/1))-1</f>
        <v>0.13454677790075076</v>
      </c>
      <c r="D118" s="30">
        <v>0.12436382132972046</v>
      </c>
      <c r="E118" s="31">
        <f ca="1">B118-D118</f>
        <v>0</v>
      </c>
    </row>
    <row r="119" spans="1:5" x14ac:dyDescent="0.25">
      <c r="A119" s="21">
        <v>118</v>
      </c>
      <c r="B119" s="5" cm="1">
        <f t="array" aca="1" ref="B119" ca="1">interpolexp(A119,serie_du,Taxas_DI)</f>
        <v>0.12444972587435377</v>
      </c>
      <c r="C119" s="32">
        <f ca="1">((((1+B119)^(A119/252))/((1+B118)^(A118/252)))^(252/1))-1</f>
        <v>0.13454599852784299</v>
      </c>
      <c r="D119" s="30">
        <v>0.12444972587435377</v>
      </c>
      <c r="E119" s="31">
        <f ca="1">B119-D119</f>
        <v>0</v>
      </c>
    </row>
    <row r="120" spans="1:5" x14ac:dyDescent="0.25">
      <c r="A120" s="21">
        <v>119</v>
      </c>
      <c r="B120" s="5" cm="1">
        <f t="array" aca="1" ref="B120" ca="1">interpolexp(A120,serie_du,Taxas_DI)</f>
        <v>0.12453418671702909</v>
      </c>
      <c r="C120" s="32">
        <f ca="1">((((1+B120)^(A120/252))/((1+B119)^(A119/252)))^(252/1))-1</f>
        <v>0.13454523892299752</v>
      </c>
      <c r="D120" s="30">
        <v>0.12453418671702909</v>
      </c>
      <c r="E120" s="31">
        <f ca="1">B120-D120</f>
        <v>0</v>
      </c>
    </row>
    <row r="121" spans="1:5" x14ac:dyDescent="0.25">
      <c r="A121" s="21">
        <v>120</v>
      </c>
      <c r="B121" s="5" cm="1">
        <f t="array" aca="1" ref="B121" ca="1">interpolexp(A121,serie_du,Taxas_DI)</f>
        <v>0.12461723994843243</v>
      </c>
      <c r="C121" s="32">
        <f ca="1">((((1+B121)^(A121/252))/((1+B120)^(A120/252)))^(252/1))-1</f>
        <v>0.13454449840949367</v>
      </c>
      <c r="D121" s="30">
        <v>0.12461723994843243</v>
      </c>
      <c r="E121" s="31">
        <f ca="1">B121-D121</f>
        <v>0</v>
      </c>
    </row>
    <row r="122" spans="1:5" x14ac:dyDescent="0.25">
      <c r="A122" s="21">
        <v>121</v>
      </c>
      <c r="B122" s="5" cm="1">
        <f t="array" aca="1" ref="B122" ca="1">interpolexp(A122,serie_du,Taxas_DI)</f>
        <v>0.12469892046629294</v>
      </c>
      <c r="C122" s="32">
        <f ca="1">((((1+B122)^(A122/252))/((1+B121)^(A121/252)))^(252/1))-1</f>
        <v>0.13454377636047532</v>
      </c>
      <c r="D122" s="30">
        <v>0.12469892046629294</v>
      </c>
      <c r="E122" s="31">
        <f ca="1">B122-D122</f>
        <v>0</v>
      </c>
    </row>
    <row r="123" spans="1:5" x14ac:dyDescent="0.25">
      <c r="A123" s="21">
        <v>122</v>
      </c>
      <c r="B123" s="5" cm="1">
        <f t="array" aca="1" ref="B123" ca="1">interpolexp(A123,serie_du,Taxas_DI)</f>
        <v>0.12477926202436596</v>
      </c>
      <c r="C123" s="32">
        <f ca="1">((((1+B123)^(A123/252))/((1+B122)^(A122/252)))^(252/1))-1</f>
        <v>0.13454307218633632</v>
      </c>
      <c r="D123" s="30">
        <v>0.12477926202436596</v>
      </c>
      <c r="E123" s="31">
        <f ca="1">B123-D123</f>
        <v>0</v>
      </c>
    </row>
    <row r="124" spans="1:5" x14ac:dyDescent="0.25">
      <c r="A124" s="21">
        <v>123</v>
      </c>
      <c r="B124" s="5" cm="1">
        <f t="array" aca="1" ref="B124" ca="1">interpolexp(A124,serie_du,Taxas_DI)</f>
        <v>0.12485829727846287</v>
      </c>
      <c r="C124" s="32">
        <f ca="1">((((1+B124)^(A124/252))/((1+B123)^(A123/252)))^(252/1))-1</f>
        <v>0.13454238526401885</v>
      </c>
      <c r="D124" s="30">
        <v>0.12485829727846287</v>
      </c>
      <c r="E124" s="31">
        <f ca="1">B124-D124</f>
        <v>0</v>
      </c>
    </row>
    <row r="125" spans="1:5" x14ac:dyDescent="0.25">
      <c r="A125" s="21">
        <v>124</v>
      </c>
      <c r="B125" s="5" cm="1">
        <f t="array" aca="1" ref="B125" ca="1">interpolexp(A125,serie_du,Taxas_DI)</f>
        <v>0.12493605783139294</v>
      </c>
      <c r="C125" s="32">
        <f ca="1">((((1+B125)^(A125/252))/((1+B124)^(A124/252)))^(252/1))-1</f>
        <v>0.13454171507862345</v>
      </c>
      <c r="D125" s="30">
        <v>0.12493605783139294</v>
      </c>
      <c r="E125" s="31">
        <f ca="1">B125-D125</f>
        <v>0</v>
      </c>
    </row>
    <row r="126" spans="1:5" x14ac:dyDescent="0.25">
      <c r="A126" s="21">
        <v>125</v>
      </c>
      <c r="B126" s="5" cm="1">
        <f t="array" aca="1" ref="B126" ca="1">interpolexp(A126,serie_du,Taxas_DI)</f>
        <v>0.1250125742742858</v>
      </c>
      <c r="C126" s="32">
        <f ca="1">((((1+B126)^(A126/252))/((1+B125)^(A125/252)))^(252/1))-1</f>
        <v>0.13454106103681562</v>
      </c>
      <c r="D126" s="30">
        <v>0.1250125742742858</v>
      </c>
      <c r="E126" s="31">
        <f ca="1">B126-D126</f>
        <v>0</v>
      </c>
    </row>
    <row r="127" spans="1:5" x14ac:dyDescent="0.25">
      <c r="A127" s="21">
        <v>126</v>
      </c>
      <c r="B127" s="5" cm="1">
        <f t="array" aca="1" ref="B127" ca="1">interpolexp(A127,serie_du,Taxas_DI)</f>
        <v>0.12508787622769191</v>
      </c>
      <c r="C127" s="32">
        <f ca="1">((((1+B127)^(A127/252))/((1+B126)^(A126/252)))^(252/1))-1</f>
        <v>0.13454042268877875</v>
      </c>
      <c r="D127" s="30">
        <v>0.12508787622769191</v>
      </c>
      <c r="E127" s="31">
        <f ca="1">B127-D127</f>
        <v>0</v>
      </c>
    </row>
    <row r="128" spans="1:5" x14ac:dyDescent="0.25">
      <c r="A128" s="21">
        <v>127</v>
      </c>
      <c r="B128" s="5" cm="1">
        <f t="array" aca="1" ref="B128" ca="1">interpolexp(A128,serie_du,Taxas_DI)</f>
        <v>0.12516199237879722</v>
      </c>
      <c r="C128" s="32">
        <f ca="1">((((1+B128)^(A128/252))/((1+B127)^(A127/252)))^(252/1))-1</f>
        <v>0.13453979947748196</v>
      </c>
      <c r="D128" s="30">
        <v>0.12516199237879722</v>
      </c>
      <c r="E128" s="31">
        <f ca="1">B128-D128</f>
        <v>0</v>
      </c>
    </row>
    <row r="129" spans="1:5" x14ac:dyDescent="0.25">
      <c r="A129" s="21">
        <v>128</v>
      </c>
      <c r="B129" s="5" cm="1">
        <f t="array" aca="1" ref="B129" ca="1">interpolexp(A129,serie_du,Taxas_DI)</f>
        <v>0.12523495051861566</v>
      </c>
      <c r="C129" s="32">
        <f ca="1">((((1+B129)^(A129/252))/((1+B128)^(A128/252)))^(252/1))-1</f>
        <v>0.13453919095994382</v>
      </c>
      <c r="D129" s="30">
        <v>0.12523495051861566</v>
      </c>
      <c r="E129" s="31">
        <f ca="1">B129-D129</f>
        <v>0</v>
      </c>
    </row>
    <row r="130" spans="1:5" x14ac:dyDescent="0.25">
      <c r="A130" s="21">
        <v>129</v>
      </c>
      <c r="B130" s="5" cm="1">
        <f t="array" aca="1" ref="B130" ca="1">interpolexp(A130,serie_du,Taxas_DI)</f>
        <v>0.12530677757642827</v>
      </c>
      <c r="C130" s="32">
        <f ca="1">((((1+B130)^(A130/252))/((1+B129)^(A129/252)))^(252/1))-1</f>
        <v>0.13453859667399959</v>
      </c>
      <c r="D130" s="30">
        <v>0.12530677757642827</v>
      </c>
      <c r="E130" s="31">
        <f ca="1">B130-D130</f>
        <v>0</v>
      </c>
    </row>
    <row r="131" spans="1:5" x14ac:dyDescent="0.25">
      <c r="A131" s="21">
        <v>130</v>
      </c>
      <c r="B131" s="5" cm="1">
        <f t="array" aca="1" ref="B131" ca="1">interpolexp(A131,serie_du,Taxas_DI)</f>
        <v>0.12537749965291223</v>
      </c>
      <c r="C131" s="32">
        <f ca="1">((((1+B131)^(A131/252))/((1+B130)^(A130/252)))^(252/1))-1</f>
        <v>0.13453801617287575</v>
      </c>
      <c r="D131" s="30">
        <v>0.12537749965291223</v>
      </c>
      <c r="E131" s="31">
        <f ca="1">B131-D131</f>
        <v>0</v>
      </c>
    </row>
    <row r="132" spans="1:5" x14ac:dyDescent="0.25">
      <c r="A132" s="21">
        <v>131</v>
      </c>
      <c r="B132" s="5" cm="1">
        <f t="array" aca="1" ref="B132" ca="1">interpolexp(A132,serie_du,Taxas_DI)</f>
        <v>0.12544714205184881</v>
      </c>
      <c r="C132" s="32">
        <f ca="1">((((1+B132)^(A132/252))/((1+B131)^(A131/252)))^(252/1))-1</f>
        <v>0.13453744903813059</v>
      </c>
      <c r="D132" s="30">
        <v>0.12544714205184881</v>
      </c>
      <c r="E132" s="31">
        <f ca="1">B132-D132</f>
        <v>0</v>
      </c>
    </row>
    <row r="133" spans="1:5" x14ac:dyDescent="0.25">
      <c r="A133" s="21">
        <v>132</v>
      </c>
      <c r="B133" s="5" cm="1">
        <f t="array" aca="1" ref="B133" ca="1">interpolexp(A133,serie_du,Taxas_DI)</f>
        <v>0.12551572931032151</v>
      </c>
      <c r="C133" s="32">
        <f ca="1">((((1+B133)^(A133/252))/((1+B132)^(A132/252)))^(252/1))-1</f>
        <v>0.13453689486887099</v>
      </c>
      <c r="D133" s="30">
        <v>0.12551572931032151</v>
      </c>
      <c r="E133" s="31">
        <f ca="1">B133-D133</f>
        <v>0</v>
      </c>
    </row>
    <row r="134" spans="1:5" x14ac:dyDescent="0.25">
      <c r="A134" s="21">
        <v>133</v>
      </c>
      <c r="B134" s="5" cm="1">
        <f t="array" aca="1" ref="B134" ca="1">interpolexp(A134,serie_du,Taxas_DI)</f>
        <v>0.12558328522733753</v>
      </c>
      <c r="C134" s="32">
        <f ca="1">((((1+B134)^(A134/252))/((1+B133)^(A133/252)))^(252/1))-1</f>
        <v>0.13453635325332813</v>
      </c>
      <c r="D134" s="30">
        <v>0.12558328522733753</v>
      </c>
      <c r="E134" s="31">
        <f ca="1">B134-D134</f>
        <v>0</v>
      </c>
    </row>
    <row r="135" spans="1:5" x14ac:dyDescent="0.25">
      <c r="A135" s="21">
        <v>134</v>
      </c>
      <c r="B135" s="5" cm="1">
        <f t="array" aca="1" ref="B135" ca="1">interpolexp(A135,serie_du,Taxas_DI)</f>
        <v>0.12567191086421126</v>
      </c>
      <c r="C135" s="32">
        <f ca="1">((((1+B135)^(A135/252))/((1+B134)^(A134/252)))^(252/1))-1</f>
        <v>0.1375215189624801</v>
      </c>
      <c r="D135" s="30">
        <v>0.12567191086421126</v>
      </c>
      <c r="E135" s="31">
        <f ca="1">B135-D135</f>
        <v>0</v>
      </c>
    </row>
    <row r="136" spans="1:5" x14ac:dyDescent="0.25">
      <c r="A136" s="21">
        <v>135</v>
      </c>
      <c r="B136" s="5" cm="1">
        <f t="array" aca="1" ref="B136" ca="1">interpolexp(A136,serie_du,Taxas_DI)</f>
        <v>0.12575922360542613</v>
      </c>
      <c r="C136" s="32">
        <f ca="1">((((1+B136)^(A136/252))/((1+B135)^(A135/252)))^(252/1))-1</f>
        <v>0.1375205985852328</v>
      </c>
      <c r="D136" s="30">
        <v>0.12575922360542613</v>
      </c>
      <c r="E136" s="31">
        <f ca="1">B136-D136</f>
        <v>0</v>
      </c>
    </row>
    <row r="137" spans="1:5" x14ac:dyDescent="0.25">
      <c r="A137" s="21">
        <v>136</v>
      </c>
      <c r="B137" s="5" cm="1">
        <f t="array" aca="1" ref="B137" ca="1">interpolexp(A137,serie_du,Taxas_DI)</f>
        <v>0.12584525241019495</v>
      </c>
      <c r="C137" s="32">
        <f ca="1">((((1+B137)^(A137/252))/((1+B136)^(A136/252)))^(252/1))-1</f>
        <v>0.13751969864430835</v>
      </c>
      <c r="D137" s="30">
        <v>0.12584525241019495</v>
      </c>
      <c r="E137" s="31">
        <f ca="1">B137-D137</f>
        <v>0</v>
      </c>
    </row>
    <row r="138" spans="1:5" x14ac:dyDescent="0.25">
      <c r="A138" s="21">
        <v>137</v>
      </c>
      <c r="B138" s="5" cm="1">
        <f t="array" aca="1" ref="B138" ca="1">interpolexp(A138,serie_du,Taxas_DI)</f>
        <v>0.12593002539234011</v>
      </c>
      <c r="C138" s="32">
        <f ca="1">((((1+B138)^(A138/252))/((1+B137)^(A137/252)))^(252/1))-1</f>
        <v>0.13751881855072345</v>
      </c>
      <c r="D138" s="30">
        <v>0.12593002539234011</v>
      </c>
      <c r="E138" s="31">
        <f ca="1">B138-D138</f>
        <v>0</v>
      </c>
    </row>
    <row r="139" spans="1:5" x14ac:dyDescent="0.25">
      <c r="A139" s="21">
        <v>138</v>
      </c>
      <c r="B139" s="5" cm="1">
        <f t="array" aca="1" ref="B139" ca="1">interpolexp(A139,serie_du,Taxas_DI)</f>
        <v>0.12601356985078027</v>
      </c>
      <c r="C139" s="32">
        <f ca="1">((((1+B139)^(A139/252))/((1+B138)^(A138/252)))^(252/1))-1</f>
        <v>0.1375179577175365</v>
      </c>
      <c r="D139" s="30">
        <v>0.12601356985078027</v>
      </c>
      <c r="E139" s="31">
        <f ca="1">B139-D139</f>
        <v>0</v>
      </c>
    </row>
    <row r="140" spans="1:5" x14ac:dyDescent="0.25">
      <c r="A140" s="21">
        <v>139</v>
      </c>
      <c r="B140" s="5" cm="1">
        <f t="array" aca="1" ref="B140" ca="1">interpolexp(A140,serie_du,Taxas_DI)</f>
        <v>0.12609591229884032</v>
      </c>
      <c r="C140" s="32">
        <f ca="1">((((1+B140)^(A140/252))/((1+B139)^(A139/252)))^(252/1))-1</f>
        <v>0.13751711557842694</v>
      </c>
      <c r="D140" s="30">
        <v>0.12609591229884032</v>
      </c>
      <c r="E140" s="31">
        <f ca="1">B140-D140</f>
        <v>0</v>
      </c>
    </row>
    <row r="141" spans="1:5" x14ac:dyDescent="0.25">
      <c r="A141" s="21">
        <v>140</v>
      </c>
      <c r="B141" s="5" cm="1">
        <f t="array" aca="1" ref="B141" ca="1">interpolexp(A141,serie_du,Taxas_DI)</f>
        <v>0.12617707849247317</v>
      </c>
      <c r="C141" s="32">
        <f ca="1">((((1+B141)^(A141/252))/((1+B140)^(A140/252)))^(252/1))-1</f>
        <v>0.13751629161113965</v>
      </c>
      <c r="D141" s="30">
        <v>0.12617707849247317</v>
      </c>
      <c r="E141" s="31">
        <f ca="1">B141-D141</f>
        <v>0</v>
      </c>
    </row>
    <row r="142" spans="1:5" x14ac:dyDescent="0.25">
      <c r="A142" s="21">
        <v>141</v>
      </c>
      <c r="B142" s="5" cm="1">
        <f t="array" aca="1" ref="B142" ca="1">interpolexp(A142,serie_du,Taxas_DI)</f>
        <v>0.12625709345699399</v>
      </c>
      <c r="C142" s="32">
        <f ca="1">((((1+B142)^(A142/252))/((1+B141)^(A141/252)))^(252/1))-1</f>
        <v>0.13751548529463342</v>
      </c>
      <c r="D142" s="30">
        <v>0.12625709345699399</v>
      </c>
      <c r="E142" s="31">
        <f ca="1">B142-D142</f>
        <v>0</v>
      </c>
    </row>
    <row r="143" spans="1:5" x14ac:dyDescent="0.25">
      <c r="A143" s="21">
        <v>142</v>
      </c>
      <c r="B143" s="5" cm="1">
        <f t="array" aca="1" ref="B143" ca="1">interpolexp(A143,serie_du,Taxas_DI)</f>
        <v>0.12633598151283731</v>
      </c>
      <c r="C143" s="32">
        <f ca="1">((((1+B143)^(A143/252))/((1+B142)^(A142/252)))^(252/1))-1</f>
        <v>0.13751469613148481</v>
      </c>
      <c r="D143" s="30">
        <v>0.12633598151283731</v>
      </c>
      <c r="E143" s="31">
        <f ca="1">B143-D143</f>
        <v>0</v>
      </c>
    </row>
    <row r="144" spans="1:5" x14ac:dyDescent="0.25">
      <c r="A144" s="21">
        <v>143</v>
      </c>
      <c r="B144" s="5" cm="1">
        <f t="array" aca="1" ref="B144" ca="1">interpolexp(A144,serie_du,Taxas_DI)</f>
        <v>0.12641376630002643</v>
      </c>
      <c r="C144" s="32">
        <f ca="1">((((1+B144)^(A144/252))/((1+B143)^(A143/252)))^(252/1))-1</f>
        <v>0.1375139236160543</v>
      </c>
      <c r="D144" s="30">
        <v>0.12641376630002643</v>
      </c>
      <c r="E144" s="31">
        <f ca="1">B144-D144</f>
        <v>0</v>
      </c>
    </row>
    <row r="145" spans="1:5" x14ac:dyDescent="0.25">
      <c r="A145" s="21">
        <v>144</v>
      </c>
      <c r="B145" s="5" cm="1">
        <f t="array" aca="1" ref="B145" ca="1">interpolexp(A145,serie_du,Taxas_DI)</f>
        <v>0.12649047080215414</v>
      </c>
      <c r="C145" s="32">
        <f ca="1">((((1+B145)^(A145/252))/((1+B144)^(A144/252)))^(252/1))-1</f>
        <v>0.13751316731178376</v>
      </c>
      <c r="D145" s="30">
        <v>0.12649047080215414</v>
      </c>
      <c r="E145" s="31">
        <f ca="1">B145-D145</f>
        <v>0</v>
      </c>
    </row>
    <row r="146" spans="1:5" x14ac:dyDescent="0.25">
      <c r="A146" s="21">
        <v>145</v>
      </c>
      <c r="B146" s="5" cm="1">
        <f t="array" aca="1" ref="B146" ca="1">interpolexp(A146,serie_du,Taxas_DI)</f>
        <v>0.12656611736865386</v>
      </c>
      <c r="C146" s="32">
        <f ca="1">((((1+B146)^(A146/252))/((1+B145)^(A145/252)))^(252/1))-1</f>
        <v>0.13751242674488884</v>
      </c>
      <c r="D146" s="30">
        <v>0.12656611736865386</v>
      </c>
      <c r="E146" s="31">
        <f ca="1">B146-D146</f>
        <v>0</v>
      </c>
    </row>
    <row r="147" spans="1:5" x14ac:dyDescent="0.25">
      <c r="A147" s="21">
        <v>146</v>
      </c>
      <c r="B147" s="5" cm="1">
        <f t="array" aca="1" ref="B147" ca="1">interpolexp(A147,serie_du,Taxas_DI)</f>
        <v>0.12664072773682644</v>
      </c>
      <c r="C147" s="32">
        <f ca="1">((((1+B147)^(A147/252))/((1+B146)^(A146/252)))^(252/1))-1</f>
        <v>0.13751170150291681</v>
      </c>
      <c r="D147" s="30">
        <v>0.12664072773682644</v>
      </c>
      <c r="E147" s="31">
        <f ca="1">B147-D147</f>
        <v>0</v>
      </c>
    </row>
    <row r="148" spans="1:5" x14ac:dyDescent="0.25">
      <c r="A148" s="21">
        <v>147</v>
      </c>
      <c r="B148" s="5" cm="1">
        <f t="array" aca="1" ref="B148" ca="1">interpolexp(A148,serie_du,Taxas_DI)</f>
        <v>0.1267143230524459</v>
      </c>
      <c r="C148" s="32">
        <f ca="1">((((1+B148)^(A148/252))/((1+B147)^(A147/252)))^(252/1))-1</f>
        <v>0.13751099115659482</v>
      </c>
      <c r="D148" s="30">
        <v>0.1267143230524459</v>
      </c>
      <c r="E148" s="31">
        <f ca="1">B148-D148</f>
        <v>0</v>
      </c>
    </row>
    <row r="149" spans="1:5" x14ac:dyDescent="0.25">
      <c r="A149" s="21">
        <v>148</v>
      </c>
      <c r="B149" s="5" cm="1">
        <f t="array" aca="1" ref="B149" ca="1">interpolexp(A149,serie_du,Taxas_DI)</f>
        <v>0.12678692388976565</v>
      </c>
      <c r="C149" s="32">
        <f ca="1">((((1+B149)^(A149/252))/((1+B148)^(A148/252)))^(252/1))-1</f>
        <v>0.13751029529403636</v>
      </c>
      <c r="D149" s="30">
        <v>0.12678692388976565</v>
      </c>
      <c r="E149" s="31">
        <f ca="1">B149-D149</f>
        <v>0</v>
      </c>
    </row>
    <row r="150" spans="1:5" x14ac:dyDescent="0.25">
      <c r="A150" s="21">
        <v>149</v>
      </c>
      <c r="B150" s="5" cm="1">
        <f t="array" aca="1" ref="B150" ca="1">interpolexp(A150,serie_du,Taxas_DI)</f>
        <v>0.12685855027079196</v>
      </c>
      <c r="C150" s="32">
        <f ca="1">((((1+B150)^(A150/252))/((1+B149)^(A149/252)))^(252/1))-1</f>
        <v>0.13750961353201219</v>
      </c>
      <c r="D150" s="30">
        <v>0.12685855027079196</v>
      </c>
      <c r="E150" s="31">
        <f ca="1">B150-D150</f>
        <v>0</v>
      </c>
    </row>
    <row r="151" spans="1:5" x14ac:dyDescent="0.25">
      <c r="A151" s="21">
        <v>150</v>
      </c>
      <c r="B151" s="5" cm="1">
        <f t="array" aca="1" ref="B151" ca="1">interpolexp(A151,serie_du,Taxas_DI)</f>
        <v>0.12692922168360266</v>
      </c>
      <c r="C151" s="32">
        <f ca="1">((((1+B151)^(A151/252))/((1+B150)^(A150/252)))^(252/1))-1</f>
        <v>0.13750894548649617</v>
      </c>
      <c r="D151" s="30">
        <v>0.12692922168360266</v>
      </c>
      <c r="E151" s="31">
        <f ca="1">B151-D151</f>
        <v>0</v>
      </c>
    </row>
    <row r="152" spans="1:5" x14ac:dyDescent="0.25">
      <c r="A152" s="21">
        <v>151</v>
      </c>
      <c r="B152" s="5" cm="1">
        <f t="array" aca="1" ref="B152" ca="1">interpolexp(A152,serie_du,Taxas_DI)</f>
        <v>0.12699895710013287</v>
      </c>
      <c r="C152" s="32">
        <f ca="1">((((1+B152)^(A152/252))/((1+B151)^(A151/252)))^(252/1))-1</f>
        <v>0.1375082908028249</v>
      </c>
      <c r="D152" s="30">
        <v>0.12699895710013287</v>
      </c>
      <c r="E152" s="31">
        <f ca="1">B152-D152</f>
        <v>0</v>
      </c>
    </row>
    <row r="153" spans="1:5" x14ac:dyDescent="0.25">
      <c r="A153" s="21">
        <v>152</v>
      </c>
      <c r="B153" s="5" cm="1">
        <f t="array" aca="1" ref="B153" ca="1">interpolexp(A153,serie_du,Taxas_DI)</f>
        <v>0.12706777499298383</v>
      </c>
      <c r="C153" s="32">
        <f ca="1">((((1+B153)^(A153/252))/((1+B152)^(A152/252)))^(252/1))-1</f>
        <v>0.13750764911202507</v>
      </c>
      <c r="D153" s="30">
        <v>0.12706777499298383</v>
      </c>
      <c r="E153" s="31">
        <f ca="1">B153-D153</f>
        <v>0</v>
      </c>
    </row>
    <row r="154" spans="1:5" x14ac:dyDescent="0.25">
      <c r="A154" s="21">
        <v>153</v>
      </c>
      <c r="B154" s="5" cm="1">
        <f t="array" aca="1" ref="B154" ca="1">interpolexp(A154,serie_du,Taxas_DI)</f>
        <v>0.12713569335189856</v>
      </c>
      <c r="C154" s="32">
        <f ca="1">((((1+B154)^(A154/252))/((1+B153)^(A153/252)))^(252/1))-1</f>
        <v>0.13750702008161575</v>
      </c>
      <c r="D154" s="30">
        <v>0.12713569335189856</v>
      </c>
      <c r="E154" s="31">
        <f ca="1">B154-D154</f>
        <v>0</v>
      </c>
    </row>
    <row r="155" spans="1:5" x14ac:dyDescent="0.25">
      <c r="A155" s="21">
        <v>154</v>
      </c>
      <c r="B155" s="5" cm="1">
        <f t="array" aca="1" ref="B155" ca="1">interpolexp(A155,serie_du,Taxas_DI)</f>
        <v>0.12720551161262694</v>
      </c>
      <c r="C155" s="32">
        <f ca="1">((((1+B155)^(A155/252))/((1+B154)^(A154/252)))^(252/1))-1</f>
        <v>0.13793881576107014</v>
      </c>
      <c r="D155" s="30">
        <v>0.12720551161262694</v>
      </c>
      <c r="E155" s="31">
        <f ca="1">B155-D155</f>
        <v>0</v>
      </c>
    </row>
    <row r="156" spans="1:5" x14ac:dyDescent="0.25">
      <c r="A156" s="21">
        <v>155</v>
      </c>
      <c r="B156" s="5" cm="1">
        <f t="array" aca="1" ref="B156" ca="1">interpolexp(A156,serie_du,Taxas_DI)</f>
        <v>0.12727442904032493</v>
      </c>
      <c r="C156" s="32">
        <f ca="1">((((1+B156)^(A156/252))/((1+B155)^(A155/252)))^(252/1))-1</f>
        <v>0.13793815959474864</v>
      </c>
      <c r="D156" s="30">
        <v>0.12727442904032493</v>
      </c>
      <c r="E156" s="31">
        <f ca="1">B156-D156</f>
        <v>0</v>
      </c>
    </row>
    <row r="157" spans="1:5" x14ac:dyDescent="0.25">
      <c r="A157" s="21">
        <v>156</v>
      </c>
      <c r="B157" s="5" cm="1">
        <f t="array" aca="1" ref="B157" ca="1">interpolexp(A157,serie_du,Taxas_DI)</f>
        <v>0.12734246295780238</v>
      </c>
      <c r="C157" s="32">
        <f ca="1">((((1+B157)^(A157/252))/((1+B156)^(A156/252)))^(252/1))-1</f>
        <v>0.13793751612716654</v>
      </c>
      <c r="D157" s="30">
        <v>0.12734246295780238</v>
      </c>
      <c r="E157" s="31">
        <f ca="1">B157-D157</f>
        <v>0</v>
      </c>
    </row>
    <row r="158" spans="1:5" x14ac:dyDescent="0.25">
      <c r="A158" s="21">
        <v>157</v>
      </c>
      <c r="B158" s="5" cm="1">
        <f t="array" aca="1" ref="B158" ca="1">interpolexp(A158,serie_du,Taxas_DI)</f>
        <v>0.12740963024655549</v>
      </c>
      <c r="C158" s="32">
        <f ca="1">((((1+B158)^(A158/252))/((1+B157)^(A157/252)))^(252/1))-1</f>
        <v>0.13793688503429746</v>
      </c>
      <c r="D158" s="30">
        <v>0.12740963024655549</v>
      </c>
      <c r="E158" s="31">
        <f ca="1">B158-D158</f>
        <v>0</v>
      </c>
    </row>
    <row r="159" spans="1:5" x14ac:dyDescent="0.25">
      <c r="A159" s="21">
        <v>158</v>
      </c>
      <c r="B159" s="5" cm="1">
        <f t="array" aca="1" ref="B159" ca="1">interpolexp(A159,serie_du,Taxas_DI)</f>
        <v>0.12747594736060019</v>
      </c>
      <c r="C159" s="32">
        <f ca="1">((((1+B159)^(A159/252))/((1+B158)^(A158/252)))^(252/1))-1</f>
        <v>0.13793626598138964</v>
      </c>
      <c r="D159" s="30">
        <v>0.12747594736060019</v>
      </c>
      <c r="E159" s="31">
        <f ca="1">B159-D159</f>
        <v>0</v>
      </c>
    </row>
    <row r="160" spans="1:5" x14ac:dyDescent="0.25">
      <c r="A160" s="21">
        <v>159</v>
      </c>
      <c r="B160" s="5" cm="1">
        <f t="array" aca="1" ref="B160" ca="1">interpolexp(A160,serie_du,Taxas_DI)</f>
        <v>0.1275414303402389</v>
      </c>
      <c r="C160" s="32">
        <f ca="1">((((1+B160)^(A160/252))/((1+B159)^(A159/252)))^(252/1))-1</f>
        <v>0.13793565869576252</v>
      </c>
      <c r="D160" s="30">
        <v>0.1275414303402389</v>
      </c>
      <c r="E160" s="31">
        <f ca="1">B160-D160</f>
        <v>0</v>
      </c>
    </row>
    <row r="161" spans="1:5" x14ac:dyDescent="0.25">
      <c r="A161" s="21">
        <v>160</v>
      </c>
      <c r="B161" s="5" cm="1">
        <f t="array" aca="1" ref="B161" ca="1">interpolexp(A161,serie_du,Taxas_DI)</f>
        <v>0.12760609482465046</v>
      </c>
      <c r="C161" s="32">
        <f ca="1">((((1+B161)^(A161/252))/((1+B160)^(A160/252)))^(252/1))-1</f>
        <v>0.13793506285985746</v>
      </c>
      <c r="D161" s="30">
        <v>0.12760609482465046</v>
      </c>
      <c r="E161" s="31">
        <f ca="1">B161-D161</f>
        <v>0</v>
      </c>
    </row>
    <row r="162" spans="1:5" x14ac:dyDescent="0.25">
      <c r="A162" s="21">
        <v>161</v>
      </c>
      <c r="B162" s="5" cm="1">
        <f t="array" aca="1" ref="B162" ca="1">interpolexp(A162,serie_du,Taxas_DI)</f>
        <v>0.12766995606454667</v>
      </c>
      <c r="C162" s="32">
        <f ca="1">((((1+B162)^(A162/252))/((1+B161)^(A161/252)))^(252/1))-1</f>
        <v>0.13793447819760729</v>
      </c>
      <c r="D162" s="30">
        <v>0.12766995606454667</v>
      </c>
      <c r="E162" s="31">
        <f ca="1">B162-D162</f>
        <v>0</v>
      </c>
    </row>
    <row r="163" spans="1:5" x14ac:dyDescent="0.25">
      <c r="A163" s="21">
        <v>162</v>
      </c>
      <c r="B163" s="5" cm="1">
        <f t="array" aca="1" ref="B163" ca="1">interpolexp(A163,serie_du,Taxas_DI)</f>
        <v>0.12773302893402949</v>
      </c>
      <c r="C163" s="32">
        <f ca="1">((((1+B163)^(A163/252))/((1+B162)^(A162/252)))^(252/1))-1</f>
        <v>0.13793390442051789</v>
      </c>
      <c r="D163" s="30">
        <v>0.12773302893402949</v>
      </c>
      <c r="E163" s="31">
        <f ca="1">B163-D163</f>
        <v>0</v>
      </c>
    </row>
    <row r="164" spans="1:5" x14ac:dyDescent="0.25">
      <c r="A164" s="21">
        <v>163</v>
      </c>
      <c r="B164" s="5" cm="1">
        <f t="array" aca="1" ref="B164" ca="1">interpolexp(A164,serie_du,Taxas_DI)</f>
        <v>0.12779532794227055</v>
      </c>
      <c r="C164" s="32">
        <f ca="1">((((1+B164)^(A164/252))/((1+B163)^(A163/252)))^(252/1))-1</f>
        <v>0.13793334126968038</v>
      </c>
      <c r="D164" s="30">
        <v>0.12779532794227055</v>
      </c>
      <c r="E164" s="31">
        <f ca="1">B164-D164</f>
        <v>0</v>
      </c>
    </row>
    <row r="165" spans="1:5" x14ac:dyDescent="0.25">
      <c r="A165" s="21">
        <v>164</v>
      </c>
      <c r="B165" s="5" cm="1">
        <f t="array" aca="1" ref="B165" ca="1">interpolexp(A165,serie_du,Taxas_DI)</f>
        <v>0.12785686724456902</v>
      </c>
      <c r="C165" s="32">
        <f ca="1">((((1+B165)^(A165/252))/((1+B164)^(A164/252)))^(252/1))-1</f>
        <v>0.13793278848293022</v>
      </c>
      <c r="D165" s="30">
        <v>0.12785686724456902</v>
      </c>
      <c r="E165" s="31">
        <f ca="1">B165-D165</f>
        <v>0</v>
      </c>
    </row>
    <row r="166" spans="1:5" x14ac:dyDescent="0.25">
      <c r="A166" s="21">
        <v>165</v>
      </c>
      <c r="B166" s="5" cm="1">
        <f t="array" aca="1" ref="B166" ca="1">interpolexp(A166,serie_du,Taxas_DI)</f>
        <v>0.1279176606530763</v>
      </c>
      <c r="C166" s="32">
        <f ca="1">((((1+B166)^(A166/252))/((1+B165)^(A165/252)))^(252/1))-1</f>
        <v>0.13793224580663854</v>
      </c>
      <c r="D166" s="30">
        <v>0.1279176606530763</v>
      </c>
      <c r="E166" s="31">
        <f ca="1">B166-D166</f>
        <v>0</v>
      </c>
    </row>
    <row r="167" spans="1:5" x14ac:dyDescent="0.25">
      <c r="A167" s="21">
        <v>166</v>
      </c>
      <c r="B167" s="5" cm="1">
        <f t="array" aca="1" ref="B167" ca="1">interpolexp(A167,serie_du,Taxas_DI)</f>
        <v>0.12797772164712118</v>
      </c>
      <c r="C167" s="32">
        <f ca="1">((((1+B167)^(A167/252))/((1+B166)^(A166/252)))^(252/1))-1</f>
        <v>0.13793171299307105</v>
      </c>
      <c r="D167" s="30">
        <v>0.12797772164712118</v>
      </c>
      <c r="E167" s="31">
        <f ca="1">B167-D167</f>
        <v>0</v>
      </c>
    </row>
    <row r="168" spans="1:5" x14ac:dyDescent="0.25">
      <c r="A168" s="21">
        <v>167</v>
      </c>
      <c r="B168" s="5" cm="1">
        <f t="array" aca="1" ref="B168" ca="1">interpolexp(A168,serie_du,Taxas_DI)</f>
        <v>0.12803706338322396</v>
      </c>
      <c r="C168" s="32">
        <f ca="1">((((1+B168)^(A168/252))/((1+B167)^(A167/252)))^(252/1))-1</f>
        <v>0.13793118981037944</v>
      </c>
      <c r="D168" s="30">
        <v>0.12803706338322396</v>
      </c>
      <c r="E168" s="31">
        <f ca="1">B168-D168</f>
        <v>0</v>
      </c>
    </row>
    <row r="169" spans="1:5" x14ac:dyDescent="0.25">
      <c r="A169" s="21">
        <v>168</v>
      </c>
      <c r="B169" s="5" cm="1">
        <f t="array" aca="1" ref="B169" ca="1">interpolexp(A169,serie_du,Taxas_DI)</f>
        <v>0.12809569870460003</v>
      </c>
      <c r="C169" s="32">
        <f ca="1">((((1+B169)^(A169/252))/((1+B168)^(A168/252)))^(252/1))-1</f>
        <v>0.13793067601599329</v>
      </c>
      <c r="D169" s="30">
        <v>0.12809569870460003</v>
      </c>
      <c r="E169" s="31">
        <f ca="1">B169-D169</f>
        <v>0</v>
      </c>
    </row>
    <row r="170" spans="1:5" x14ac:dyDescent="0.25">
      <c r="A170" s="21">
        <v>169</v>
      </c>
      <c r="B170" s="5" cm="1">
        <f t="array" aca="1" ref="B170" ca="1">interpolexp(A170,serie_du,Taxas_DI)</f>
        <v>0.12815364015059671</v>
      </c>
      <c r="C170" s="32">
        <f ca="1">((((1+B170)^(A170/252))/((1+B169)^(A169/252)))^(252/1))-1</f>
        <v>0.13793017140310759</v>
      </c>
      <c r="D170" s="30">
        <v>0.12815364015059671</v>
      </c>
      <c r="E170" s="31">
        <f ca="1">B170-D170</f>
        <v>0</v>
      </c>
    </row>
    <row r="171" spans="1:5" x14ac:dyDescent="0.25">
      <c r="A171" s="21">
        <v>170</v>
      </c>
      <c r="B171" s="5" cm="1">
        <f t="array" aca="1" ref="B171" ca="1">interpolexp(A171,serie_du,Taxas_DI)</f>
        <v>0.12821089996548629</v>
      </c>
      <c r="C171" s="32">
        <f ca="1">((((1+B171)^(A171/252))/((1+B170)^(A170/252)))^(252/1))-1</f>
        <v>0.13792967574688131</v>
      </c>
      <c r="D171" s="30">
        <v>0.12821089996548629</v>
      </c>
      <c r="E171" s="31">
        <f ca="1">B171-D171</f>
        <v>0</v>
      </c>
    </row>
    <row r="172" spans="1:5" x14ac:dyDescent="0.25">
      <c r="A172" s="21">
        <v>171</v>
      </c>
      <c r="B172" s="5" cm="1">
        <f t="array" aca="1" ref="B172" ca="1">interpolexp(A172,serie_du,Taxas_DI)</f>
        <v>0.12826749010708127</v>
      </c>
      <c r="C172" s="32">
        <f ca="1">((((1+B172)^(A172/252))/((1+B171)^(A171/252)))^(252/1))-1</f>
        <v>0.13792918882652461</v>
      </c>
      <c r="D172" s="30">
        <v>0.12826749010708127</v>
      </c>
      <c r="E172" s="31">
        <f ca="1">B172-D172</f>
        <v>0</v>
      </c>
    </row>
    <row r="173" spans="1:5" x14ac:dyDescent="0.25">
      <c r="A173" s="21">
        <v>172</v>
      </c>
      <c r="B173" s="5" cm="1">
        <f t="array" aca="1" ref="B173" ca="1">interpolexp(A173,serie_du,Taxas_DI)</f>
        <v>0.12832342225519433</v>
      </c>
      <c r="C173" s="32">
        <f ca="1">((((1+B173)^(A173/252))/((1+B172)^(A172/252)))^(252/1))-1</f>
        <v>0.13792871045070032</v>
      </c>
      <c r="D173" s="30">
        <v>0.12832342225519433</v>
      </c>
      <c r="E173" s="31">
        <f ca="1">B173-D173</f>
        <v>0</v>
      </c>
    </row>
    <row r="174" spans="1:5" x14ac:dyDescent="0.25">
      <c r="A174" s="21">
        <v>173</v>
      </c>
      <c r="B174" s="5" cm="1">
        <f t="array" aca="1" ref="B174" ca="1">interpolexp(A174,serie_du,Taxas_DI)</f>
        <v>0.12837870781958749</v>
      </c>
      <c r="C174" s="32">
        <f ca="1">((((1+B174)^(A174/252))/((1+B173)^(A173/252)))^(252/1))-1</f>
        <v>0.13792824041915197</v>
      </c>
      <c r="D174" s="30">
        <v>0.12837870781958749</v>
      </c>
      <c r="E174" s="31">
        <f ca="1">B174-D174</f>
        <v>0</v>
      </c>
    </row>
    <row r="175" spans="1:5" x14ac:dyDescent="0.25">
      <c r="A175" s="21">
        <v>174</v>
      </c>
      <c r="B175" s="5" cm="1">
        <f t="array" aca="1" ref="B175" ca="1">interpolexp(A175,serie_du,Taxas_DI)</f>
        <v>0.12843335794776589</v>
      </c>
      <c r="C175" s="32">
        <f ca="1">((((1+B175)^(A175/252))/((1+B174)^(A174/252)))^(252/1))-1</f>
        <v>0.13792777854300042</v>
      </c>
      <c r="D175" s="30">
        <v>0.12843335794776589</v>
      </c>
      <c r="E175" s="31">
        <f ca="1">B175-D175</f>
        <v>0</v>
      </c>
    </row>
    <row r="176" spans="1:5" x14ac:dyDescent="0.25">
      <c r="A176" s="21">
        <v>175</v>
      </c>
      <c r="B176" s="5" cm="1">
        <f t="array" aca="1" ref="B176" ca="1">interpolexp(A176,serie_du,Taxas_DI)</f>
        <v>0.12848738353232747</v>
      </c>
      <c r="C176" s="32">
        <f ca="1">((((1+B176)^(A176/252))/((1+B175)^(A175/252)))^(252/1))-1</f>
        <v>0.13792732461422053</v>
      </c>
      <c r="D176" s="30">
        <v>0.12848738353232747</v>
      </c>
      <c r="E176" s="31">
        <f ca="1">B176-D176</f>
        <v>0</v>
      </c>
    </row>
    <row r="177" spans="1:5" x14ac:dyDescent="0.25">
      <c r="A177" s="21">
        <v>176</v>
      </c>
      <c r="B177" s="5" cm="1">
        <f t="array" aca="1" ref="B177" ca="1">interpolexp(A177,serie_du,Taxas_DI)</f>
        <v>0.12854079521844741</v>
      </c>
      <c r="C177" s="32">
        <f ca="1">((((1+B177)^(A177/252))/((1+B176)^(A176/252)))^(252/1))-1</f>
        <v>0.13792687847295904</v>
      </c>
      <c r="D177" s="30">
        <v>0.12854079521844741</v>
      </c>
      <c r="E177" s="31">
        <f ca="1">B177-D177</f>
        <v>0</v>
      </c>
    </row>
    <row r="178" spans="1:5" x14ac:dyDescent="0.25">
      <c r="A178" s="21">
        <v>177</v>
      </c>
      <c r="B178" s="5" cm="1">
        <f t="array" aca="1" ref="B178" ca="1">interpolexp(A178,serie_du,Taxas_DI)</f>
        <v>0.1285987968421054</v>
      </c>
      <c r="C178" s="32">
        <f ca="1">((((1+B178)^(A178/252))/((1+B177)^(A177/252)))^(252/1))-1</f>
        <v>0.13885365429358498</v>
      </c>
      <c r="D178" s="30">
        <v>0.1285987968421054</v>
      </c>
      <c r="E178" s="31">
        <f ca="1">B178-D178</f>
        <v>0</v>
      </c>
    </row>
    <row r="179" spans="1:5" x14ac:dyDescent="0.25">
      <c r="A179" s="21">
        <v>178</v>
      </c>
      <c r="B179" s="5" cm="1">
        <f t="array" aca="1" ref="B179" ca="1">interpolexp(A179,serie_du,Taxas_DI)</f>
        <v>0.12865614679515858</v>
      </c>
      <c r="C179" s="32">
        <f ca="1">((((1+B179)^(A179/252))/((1+B178)^(A178/252)))^(252/1))-1</f>
        <v>0.13885313380314712</v>
      </c>
      <c r="D179" s="30">
        <v>0.12865614679515858</v>
      </c>
      <c r="E179" s="31">
        <f ca="1">B179-D179</f>
        <v>0</v>
      </c>
    </row>
    <row r="180" spans="1:5" x14ac:dyDescent="0.25">
      <c r="A180" s="21">
        <v>179</v>
      </c>
      <c r="B180" s="5" cm="1">
        <f t="array" aca="1" ref="B180" ca="1">interpolexp(A180,serie_du,Taxas_DI)</f>
        <v>0.12871285599891369</v>
      </c>
      <c r="C180" s="32">
        <f ca="1">((((1+B180)^(A180/252))/((1+B179)^(A179/252)))^(252/1))-1</f>
        <v>0.13885262208852978</v>
      </c>
      <c r="D180" s="30">
        <v>0.12871285599891369</v>
      </c>
      <c r="E180" s="31">
        <f ca="1">B180-D180</f>
        <v>0</v>
      </c>
    </row>
    <row r="181" spans="1:5" x14ac:dyDescent="0.25">
      <c r="A181" s="21">
        <v>180</v>
      </c>
      <c r="B181" s="5" cm="1">
        <f t="array" aca="1" ref="B181" ca="1">interpolexp(A181,serie_du,Taxas_DI)</f>
        <v>0.12876893513198429</v>
      </c>
      <c r="C181" s="32">
        <f ca="1">((((1+B181)^(A181/252))/((1+B180)^(A180/252)))^(252/1))-1</f>
        <v>0.13885211895189564</v>
      </c>
      <c r="D181" s="30">
        <v>0.12876893513198429</v>
      </c>
      <c r="E181" s="31">
        <f ca="1">B181-D181</f>
        <v>0</v>
      </c>
    </row>
    <row r="182" spans="1:5" x14ac:dyDescent="0.25">
      <c r="A182" s="21">
        <v>181</v>
      </c>
      <c r="B182" s="5" cm="1">
        <f t="array" aca="1" ref="B182" ca="1">interpolexp(A182,serie_du,Taxas_DI)</f>
        <v>0.12882439463699491</v>
      </c>
      <c r="C182" s="32">
        <f ca="1">((((1+B182)^(A182/252))/((1+B181)^(A181/252)))^(252/1))-1</f>
        <v>0.13885162420093922</v>
      </c>
      <c r="D182" s="30">
        <v>0.12882439463699491</v>
      </c>
      <c r="E182" s="31">
        <f ca="1">B182-D182</f>
        <v>0</v>
      </c>
    </row>
    <row r="183" spans="1:5" x14ac:dyDescent="0.25">
      <c r="A183" s="21">
        <v>182</v>
      </c>
      <c r="B183" s="5" cm="1">
        <f t="array" aca="1" ref="B183" ca="1">interpolexp(A183,serie_du,Taxas_DI)</f>
        <v>0.12887924472713141</v>
      </c>
      <c r="C183" s="32">
        <f ca="1">((((1+B183)^(A183/252))/((1+B182)^(A182/252)))^(252/1))-1</f>
        <v>0.13885113766075374</v>
      </c>
      <c r="D183" s="30">
        <v>0.12887924472713141</v>
      </c>
      <c r="E183" s="31">
        <f ca="1">B183-D183</f>
        <v>0</v>
      </c>
    </row>
    <row r="184" spans="1:5" x14ac:dyDescent="0.25">
      <c r="A184" s="21">
        <v>183</v>
      </c>
      <c r="B184" s="5" cm="1">
        <f t="array" aca="1" ref="B184" ca="1">interpolexp(A184,serie_du,Taxas_DI)</f>
        <v>0.1289334953923138</v>
      </c>
      <c r="C184" s="32">
        <f ca="1">((((1+B184)^(A184/252))/((1+B183)^(A183/252)))^(252/1))-1</f>
        <v>0.13885065914395356</v>
      </c>
      <c r="D184" s="30">
        <v>0.1289334953923138</v>
      </c>
      <c r="E184" s="31">
        <f ca="1">B184-D184</f>
        <v>0</v>
      </c>
    </row>
    <row r="185" spans="1:5" x14ac:dyDescent="0.25">
      <c r="A185" s="21">
        <v>184</v>
      </c>
      <c r="B185" s="5" cm="1">
        <f t="array" aca="1" ref="B185" ca="1">interpolexp(A185,serie_du,Taxas_DI)</f>
        <v>0.12898715640521363</v>
      </c>
      <c r="C185" s="32">
        <f ca="1">((((1+B185)^(A185/252))/((1+B184)^(A184/252)))^(252/1))-1</f>
        <v>0.13885018845902986</v>
      </c>
      <c r="D185" s="30">
        <v>0.12898715640521363</v>
      </c>
      <c r="E185" s="31">
        <f ca="1">B185-D185</f>
        <v>0</v>
      </c>
    </row>
    <row r="186" spans="1:5" x14ac:dyDescent="0.25">
      <c r="A186" s="21">
        <v>185</v>
      </c>
      <c r="B186" s="5" cm="1">
        <f t="array" aca="1" ref="B186" ca="1">interpolexp(A186,serie_du,Taxas_DI)</f>
        <v>0.12904023732736025</v>
      </c>
      <c r="C186" s="32">
        <f ca="1">((((1+B186)^(A186/252))/((1+B185)^(A185/252)))^(252/1))-1</f>
        <v>0.1388497254632941</v>
      </c>
      <c r="D186" s="30">
        <v>0.12904023732736025</v>
      </c>
      <c r="E186" s="31">
        <f ca="1">B186-D186</f>
        <v>0</v>
      </c>
    </row>
    <row r="187" spans="1:5" x14ac:dyDescent="0.25">
      <c r="A187" s="21">
        <v>186</v>
      </c>
      <c r="B187" s="5" cm="1">
        <f t="array" aca="1" ref="B187" ca="1">interpolexp(A187,serie_du,Taxas_DI)</f>
        <v>0.12909274751462529</v>
      </c>
      <c r="C187" s="32">
        <f ca="1">((((1+B187)^(A187/252))/((1+B186)^(A186/252)))^(252/1))-1</f>
        <v>0.13884926998216995</v>
      </c>
      <c r="D187" s="30">
        <v>0.12909274751462529</v>
      </c>
      <c r="E187" s="31">
        <f ca="1">B187-D187</f>
        <v>0</v>
      </c>
    </row>
    <row r="188" spans="1:5" x14ac:dyDescent="0.25">
      <c r="A188" s="21">
        <v>187</v>
      </c>
      <c r="B188" s="5" cm="1">
        <f t="array" aca="1" ref="B188" ca="1">interpolexp(A188,serie_du,Taxas_DI)</f>
        <v>0.12914469612268498</v>
      </c>
      <c r="C188" s="32">
        <f ca="1">((((1+B188)^(A188/252))/((1+B187)^(A187/252)))^(252/1))-1</f>
        <v>0.13884882183940706</v>
      </c>
      <c r="D188" s="30">
        <v>0.12914469612268498</v>
      </c>
      <c r="E188" s="31">
        <f ca="1">B188-D188</f>
        <v>0</v>
      </c>
    </row>
    <row r="189" spans="1:5" x14ac:dyDescent="0.25">
      <c r="A189" s="21">
        <v>188</v>
      </c>
      <c r="B189" s="5" cm="1">
        <f t="array" aca="1" ref="B189" ca="1">interpolexp(A189,serie_du,Taxas_DI)</f>
        <v>0.1291960921124824</v>
      </c>
      <c r="C189" s="32">
        <f ca="1">((((1+B189)^(A189/252))/((1+B188)^(A188/252)))^(252/1))-1</f>
        <v>0.13884838088884588</v>
      </c>
      <c r="D189" s="30">
        <v>0.1291960921124824</v>
      </c>
      <c r="E189" s="31">
        <f ca="1">B189-D189</f>
        <v>0</v>
      </c>
    </row>
    <row r="190" spans="1:5" x14ac:dyDescent="0.25">
      <c r="A190" s="21">
        <v>189</v>
      </c>
      <c r="B190" s="5" cm="1">
        <f t="array" aca="1" ref="B190" ca="1">interpolexp(A190,serie_du,Taxas_DI)</f>
        <v>0.12924694425535677</v>
      </c>
      <c r="C190" s="32">
        <f ca="1">((((1+B190)^(A190/252))/((1+B189)^(A189/252)))^(252/1))-1</f>
        <v>0.13884794698442104</v>
      </c>
      <c r="D190" s="30">
        <v>0.12924694425535677</v>
      </c>
      <c r="E190" s="31">
        <f ca="1">B190-D190</f>
        <v>0</v>
      </c>
    </row>
    <row r="191" spans="1:5" x14ac:dyDescent="0.25">
      <c r="A191" s="21">
        <v>190</v>
      </c>
      <c r="B191" s="5" cm="1">
        <f t="array" aca="1" ref="B191" ca="1">interpolexp(A191,serie_du,Taxas_DI)</f>
        <v>0.12929726113792839</v>
      </c>
      <c r="C191" s="32">
        <f ca="1">((((1+B191)^(A191/252))/((1+B190)^(A190/252)))^(252/1))-1</f>
        <v>0.13884751996409195</v>
      </c>
      <c r="D191" s="30">
        <v>0.12929726113792839</v>
      </c>
      <c r="E191" s="31">
        <f ca="1">B191-D191</f>
        <v>0</v>
      </c>
    </row>
    <row r="192" spans="1:5" x14ac:dyDescent="0.25">
      <c r="A192" s="21">
        <v>191</v>
      </c>
      <c r="B192" s="5" cm="1">
        <f t="array" aca="1" ref="B192" ca="1">interpolexp(A192,serie_du,Taxas_DI)</f>
        <v>0.12934705116705025</v>
      </c>
      <c r="C192" s="32">
        <f ca="1">((((1+B192)^(A192/252))/((1+B191)^(A191/252)))^(252/1))-1</f>
        <v>0.13884709969215292</v>
      </c>
      <c r="D192" s="30">
        <v>0.12934705116705025</v>
      </c>
      <c r="E192" s="31">
        <f ca="1">B192-D192</f>
        <v>0</v>
      </c>
    </row>
    <row r="193" spans="1:5" x14ac:dyDescent="0.25">
      <c r="A193" s="21">
        <v>192</v>
      </c>
      <c r="B193" s="5" cm="1">
        <f t="array" aca="1" ref="B193" ca="1">interpolexp(A193,serie_du,Taxas_DI)</f>
        <v>0.12939632257442657</v>
      </c>
      <c r="C193" s="32">
        <f ca="1">((((1+B193)^(A193/252))/((1+B192)^(A192/252)))^(252/1))-1</f>
        <v>0.13884668602465</v>
      </c>
      <c r="D193" s="30">
        <v>0.12939632257442657</v>
      </c>
      <c r="E193" s="31">
        <f ca="1">B193-D193</f>
        <v>0</v>
      </c>
    </row>
    <row r="194" spans="1:5" x14ac:dyDescent="0.25">
      <c r="A194" s="21">
        <v>193</v>
      </c>
      <c r="B194" s="5" cm="1">
        <f t="array" aca="1" ref="B194" ca="1">interpolexp(A194,serie_du,Taxas_DI)</f>
        <v>0.12944508342109806</v>
      </c>
      <c r="C194" s="32">
        <f ca="1">((((1+B194)^(A194/252))/((1+B193)^(A193/252)))^(252/1))-1</f>
        <v>0.13884627881099432</v>
      </c>
      <c r="D194" s="30">
        <v>0.12944508342109806</v>
      </c>
      <c r="E194" s="31">
        <f ca="1">B194-D194</f>
        <v>0</v>
      </c>
    </row>
    <row r="195" spans="1:5" x14ac:dyDescent="0.25">
      <c r="A195" s="21">
        <v>194</v>
      </c>
      <c r="B195" s="5" cm="1">
        <f t="array" aca="1" ref="B195" ca="1">interpolexp(A195,serie_du,Taxas_DI)</f>
        <v>0.12949334160199388</v>
      </c>
      <c r="C195" s="32">
        <f ca="1">((((1+B195)^(A195/252))/((1+B194)^(A194/252)))^(252/1))-1</f>
        <v>0.13884587793424941</v>
      </c>
      <c r="D195" s="30">
        <v>0.12949334160199388</v>
      </c>
      <c r="E195" s="31">
        <f ca="1">B195-D195</f>
        <v>0</v>
      </c>
    </row>
    <row r="196" spans="1:5" x14ac:dyDescent="0.25">
      <c r="A196" s="21">
        <v>195</v>
      </c>
      <c r="B196" s="5" cm="1">
        <f t="array" aca="1" ref="B196" ca="1">interpolexp(A196,serie_du,Taxas_DI)</f>
        <v>0.12954110485012826</v>
      </c>
      <c r="C196" s="32">
        <f ca="1">((((1+B196)^(A196/252))/((1+B195)^(A195/252)))^(252/1))-1</f>
        <v>0.13884548326874957</v>
      </c>
      <c r="D196" s="30">
        <v>0.12954110485012826</v>
      </c>
      <c r="E196" s="31">
        <f ca="1">B196-D196</f>
        <v>0</v>
      </c>
    </row>
    <row r="197" spans="1:5" x14ac:dyDescent="0.25">
      <c r="A197" s="21">
        <v>196</v>
      </c>
      <c r="B197" s="5" cm="1">
        <f t="array" aca="1" ref="B197" ca="1">interpolexp(A197,serie_du,Taxas_DI)</f>
        <v>0.12958838074064172</v>
      </c>
      <c r="C197" s="32">
        <f ca="1">((((1+B197)^(A197/252))/((1+B196)^(A196/252)))^(252/1))-1</f>
        <v>0.13884509467472106</v>
      </c>
      <c r="D197" s="30">
        <v>0.12958838074064172</v>
      </c>
      <c r="E197" s="31">
        <f ca="1">B197-D197</f>
        <v>0</v>
      </c>
    </row>
    <row r="198" spans="1:5" x14ac:dyDescent="0.25">
      <c r="A198" s="21">
        <v>197</v>
      </c>
      <c r="B198" s="5" cm="1">
        <f t="array" aca="1" ref="B198" ca="1">interpolexp(A198,serie_du,Taxas_DI)</f>
        <v>0.12963517669484426</v>
      </c>
      <c r="C198" s="32">
        <f ca="1">((((1+B198)^(A198/252))/((1+B197)^(A197/252)))^(252/1))-1</f>
        <v>0.13884471202240567</v>
      </c>
      <c r="D198" s="30">
        <v>0.12963517669484426</v>
      </c>
      <c r="E198" s="31">
        <f ca="1">B198-D198</f>
        <v>0</v>
      </c>
    </row>
    <row r="199" spans="1:5" x14ac:dyDescent="0.25">
      <c r="A199" s="21">
        <v>198</v>
      </c>
      <c r="B199" s="5" cm="1">
        <f t="array" aca="1" ref="B199" ca="1">interpolexp(A199,serie_du,Taxas_DI)</f>
        <v>0.12969028465033006</v>
      </c>
      <c r="C199" s="32">
        <f ca="1">((((1+B199)^(A199/252))/((1+B198)^(A198/252)))^(252/1))-1</f>
        <v>0.14059915083233565</v>
      </c>
      <c r="D199" s="30">
        <v>0.12969028465033006</v>
      </c>
      <c r="E199" s="31">
        <f ca="1">B199-D199</f>
        <v>0</v>
      </c>
    </row>
    <row r="200" spans="1:5" x14ac:dyDescent="0.25">
      <c r="A200" s="21">
        <v>199</v>
      </c>
      <c r="B200" s="5" cm="1">
        <f t="array" aca="1" ref="B200" ca="1">interpolexp(A200,serie_du,Taxas_DI)</f>
        <v>0.12974483878691601</v>
      </c>
      <c r="C200" s="32">
        <f ca="1">((((1+B200)^(A200/252))/((1+B199)^(A199/252)))^(252/1))-1</f>
        <v>0.14059862482766583</v>
      </c>
      <c r="D200" s="30">
        <v>0.12974483878691601</v>
      </c>
      <c r="E200" s="31">
        <f ca="1">B200-D200</f>
        <v>0</v>
      </c>
    </row>
    <row r="201" spans="1:5" x14ac:dyDescent="0.25">
      <c r="A201" s="21">
        <v>200</v>
      </c>
      <c r="B201" s="5" cm="1">
        <f t="array" aca="1" ref="B201" ca="1">interpolexp(A201,serie_du,Taxas_DI)</f>
        <v>0.12979884741137759</v>
      </c>
      <c r="C201" s="32">
        <f ca="1">((((1+B201)^(A201/252))/((1+B200)^(A200/252)))^(252/1))-1</f>
        <v>0.14059810675051798</v>
      </c>
      <c r="D201" s="30">
        <v>0.12979884741137759</v>
      </c>
      <c r="E201" s="31">
        <f ca="1">B201-D201</f>
        <v>0</v>
      </c>
    </row>
    <row r="202" spans="1:5" x14ac:dyDescent="0.25">
      <c r="A202" s="21">
        <v>201</v>
      </c>
      <c r="B202" s="5" cm="1">
        <f t="array" aca="1" ref="B202" ca="1">interpolexp(A202,serie_du,Taxas_DI)</f>
        <v>0.12985231866533553</v>
      </c>
      <c r="C202" s="32">
        <f ca="1">((((1+B202)^(A202/252))/((1+B201)^(A201/252)))^(252/1))-1</f>
        <v>0.14059759647151004</v>
      </c>
      <c r="D202" s="30">
        <v>0.12985231866533553</v>
      </c>
      <c r="E202" s="31">
        <f ca="1">B202-D202</f>
        <v>0</v>
      </c>
    </row>
    <row r="203" spans="1:5" x14ac:dyDescent="0.25">
      <c r="A203" s="21">
        <v>202</v>
      </c>
      <c r="B203" s="5" cm="1">
        <f t="array" aca="1" ref="B203" ca="1">interpolexp(A203,serie_du,Taxas_DI)</f>
        <v>0.12990526052905071</v>
      </c>
      <c r="C203" s="32">
        <f ca="1">((((1+B203)^(A203/252))/((1+B202)^(A202/252)))^(252/1))-1</f>
        <v>0.14059709380533003</v>
      </c>
      <c r="D203" s="30">
        <v>0.12990526052905071</v>
      </c>
      <c r="E203" s="31">
        <f ca="1">B203-D203</f>
        <v>0</v>
      </c>
    </row>
    <row r="204" spans="1:5" x14ac:dyDescent="0.25">
      <c r="A204" s="21">
        <v>203</v>
      </c>
      <c r="B204" s="5" cm="1">
        <f t="array" aca="1" ref="B204" ca="1">interpolexp(A204,serie_du,Taxas_DI)</f>
        <v>0.12995768082562087</v>
      </c>
      <c r="C204" s="32">
        <f ca="1">((((1+B204)^(A204/252))/((1+B203)^(A203/252)))^(252/1))-1</f>
        <v>0.14059659861601603</v>
      </c>
      <c r="D204" s="30">
        <v>0.12995768082562087</v>
      </c>
      <c r="E204" s="31">
        <f ca="1">B204-D204</f>
        <v>0</v>
      </c>
    </row>
    <row r="205" spans="1:5" x14ac:dyDescent="0.25">
      <c r="A205" s="21">
        <v>204</v>
      </c>
      <c r="B205" s="5" cm="1">
        <f t="array" aca="1" ref="B205" ca="1">interpolexp(A205,serie_du,Taxas_DI)</f>
        <v>0.13000958722475531</v>
      </c>
      <c r="C205" s="32">
        <f ca="1">((((1+B205)^(A205/252))/((1+B204)^(A204/252)))^(252/1))-1</f>
        <v>0.14059611075581446</v>
      </c>
      <c r="D205" s="30">
        <v>0.13000958722475531</v>
      </c>
      <c r="E205" s="31">
        <f ca="1">B205-D205</f>
        <v>0</v>
      </c>
    </row>
    <row r="206" spans="1:5" x14ac:dyDescent="0.25">
      <c r="A206" s="21">
        <v>205</v>
      </c>
      <c r="B206" s="5" cm="1">
        <f t="array" aca="1" ref="B206" ca="1">interpolexp(A206,serie_du,Taxas_DI)</f>
        <v>0.13006098724650528</v>
      </c>
      <c r="C206" s="32">
        <f ca="1">((((1+B206)^(A206/252))/((1+B205)^(A205/252)))^(252/1))-1</f>
        <v>0.14059563007806619</v>
      </c>
      <c r="D206" s="30">
        <v>0.13006098724650528</v>
      </c>
      <c r="E206" s="31">
        <f ca="1">B206-D206</f>
        <v>0</v>
      </c>
    </row>
    <row r="207" spans="1:5" x14ac:dyDescent="0.25">
      <c r="A207" s="21">
        <v>206</v>
      </c>
      <c r="B207" s="5" cm="1">
        <f t="array" aca="1" ref="B207" ca="1">interpolexp(A207,serie_du,Taxas_DI)</f>
        <v>0.1301118882649277</v>
      </c>
      <c r="C207" s="32">
        <f ca="1">((((1+B207)^(A207/252))/((1+B206)^(A206/252)))^(252/1))-1</f>
        <v>0.14059515644621579</v>
      </c>
      <c r="D207" s="30">
        <v>0.1301118882649277</v>
      </c>
      <c r="E207" s="31">
        <f ca="1">B207-D207</f>
        <v>0</v>
      </c>
    </row>
    <row r="208" spans="1:5" x14ac:dyDescent="0.25">
      <c r="A208" s="21">
        <v>207</v>
      </c>
      <c r="B208" s="5" cm="1">
        <f t="array" aca="1" ref="B208" ca="1">interpolexp(A208,serie_du,Taxas_DI)</f>
        <v>0.13016229751159347</v>
      </c>
      <c r="C208" s="32">
        <f ca="1">((((1+B208)^(A208/252))/((1+B207)^(A207/252)))^(252/1))-1</f>
        <v>0.14059468972341671</v>
      </c>
      <c r="D208" s="30">
        <v>0.13016229751159347</v>
      </c>
      <c r="E208" s="31">
        <f ca="1">B208-D208</f>
        <v>0</v>
      </c>
    </row>
    <row r="209" spans="1:5" x14ac:dyDescent="0.25">
      <c r="A209" s="21">
        <v>208</v>
      </c>
      <c r="B209" s="5" cm="1">
        <f t="array" aca="1" ref="B209" ca="1">interpolexp(A209,serie_du,Taxas_DI)</f>
        <v>0.13021222207896255</v>
      </c>
      <c r="C209" s="32">
        <f ca="1">((((1+B209)^(A209/252))/((1+B208)^(A208/252)))^(252/1))-1</f>
        <v>0.14059422976582603</v>
      </c>
      <c r="D209" s="30">
        <v>0.13021222207896255</v>
      </c>
      <c r="E209" s="31">
        <f ca="1">B209-D209</f>
        <v>0</v>
      </c>
    </row>
    <row r="210" spans="1:5" x14ac:dyDescent="0.25">
      <c r="A210" s="21">
        <v>209</v>
      </c>
      <c r="B210" s="5" cm="1">
        <f t="array" aca="1" ref="B210" ca="1">interpolexp(A210,serie_du,Taxas_DI)</f>
        <v>0.13026166892380342</v>
      </c>
      <c r="C210" s="32">
        <f ca="1">((((1+B210)^(A210/252))/((1+B209)^(A209/252)))^(252/1))-1</f>
        <v>0.14059377645183635</v>
      </c>
      <c r="D210" s="30">
        <v>0.13026166892380342</v>
      </c>
      <c r="E210" s="31">
        <f ca="1">B210-D210</f>
        <v>0</v>
      </c>
    </row>
    <row r="211" spans="1:5" x14ac:dyDescent="0.25">
      <c r="A211" s="21">
        <v>210</v>
      </c>
      <c r="B211" s="5" cm="1">
        <f t="array" aca="1" ref="B211" ca="1">interpolexp(A211,serie_du,Taxas_DI)</f>
        <v>0.13031064487036836</v>
      </c>
      <c r="C211" s="32">
        <f ca="1">((((1+B211)^(A211/252))/((1+B210)^(A210/252)))^(252/1))-1</f>
        <v>0.14059332965144167</v>
      </c>
      <c r="D211" s="30">
        <v>0.13031064487036836</v>
      </c>
      <c r="E211" s="31">
        <f ca="1">B211-D211</f>
        <v>0</v>
      </c>
    </row>
    <row r="212" spans="1:5" x14ac:dyDescent="0.25">
      <c r="A212" s="21">
        <v>211</v>
      </c>
      <c r="B212" s="5" cm="1">
        <f t="array" aca="1" ref="B212" ca="1">interpolexp(A212,serie_du,Taxas_DI)</f>
        <v>0.13035915661359088</v>
      </c>
      <c r="C212" s="32">
        <f ca="1">((((1+B212)^(A212/252))/((1+B211)^(A211/252)))^(252/1))-1</f>
        <v>0.14059288924974056</v>
      </c>
      <c r="D212" s="30">
        <v>0.13035915661359088</v>
      </c>
      <c r="E212" s="31">
        <f ca="1">B212-D212</f>
        <v>0</v>
      </c>
    </row>
    <row r="213" spans="1:5" x14ac:dyDescent="0.25">
      <c r="A213" s="21">
        <v>212</v>
      </c>
      <c r="B213" s="5" cm="1">
        <f t="array" aca="1" ref="B213" ca="1">interpolexp(A213,serie_du,Taxas_DI)</f>
        <v>0.13040721072201666</v>
      </c>
      <c r="C213" s="32">
        <f ca="1">((((1+B213)^(A213/252))/((1+B212)^(A212/252)))^(252/1))-1</f>
        <v>0.14059245510957563</v>
      </c>
      <c r="D213" s="30">
        <v>0.13040721072201666</v>
      </c>
      <c r="E213" s="31">
        <f ca="1">B213-D213</f>
        <v>0</v>
      </c>
    </row>
    <row r="214" spans="1:5" x14ac:dyDescent="0.25">
      <c r="A214" s="21">
        <v>213</v>
      </c>
      <c r="B214" s="5" cm="1">
        <f t="array" aca="1" ref="B214" ca="1">interpolexp(A214,serie_du,Taxas_DI)</f>
        <v>0.13045481364095668</v>
      </c>
      <c r="C214" s="32">
        <f ca="1">((((1+B214)^(A214/252))/((1+B213)^(A213/252)))^(252/1))-1</f>
        <v>0.14059202713651842</v>
      </c>
      <c r="D214" s="30">
        <v>0.13045481364095668</v>
      </c>
      <c r="E214" s="31">
        <f ca="1">B214-D214</f>
        <v>0</v>
      </c>
    </row>
    <row r="215" spans="1:5" x14ac:dyDescent="0.25">
      <c r="A215" s="21">
        <v>214</v>
      </c>
      <c r="B215" s="5" cm="1">
        <f t="array" aca="1" ref="B215" ca="1">interpolexp(A215,serie_du,Taxas_DI)</f>
        <v>0.13050197169506284</v>
      </c>
      <c r="C215" s="32">
        <f ca="1">((((1+B215)^(A215/252))/((1+B214)^(A214/252)))^(252/1))-1</f>
        <v>0.1405916051736138</v>
      </c>
      <c r="D215" s="30">
        <v>0.13050197169506284</v>
      </c>
      <c r="E215" s="31">
        <f ca="1">B215-D215</f>
        <v>0</v>
      </c>
    </row>
    <row r="216" spans="1:5" x14ac:dyDescent="0.25">
      <c r="A216" s="21">
        <v>215</v>
      </c>
      <c r="B216" s="5" cm="1">
        <f t="array" aca="1" ref="B216" ca="1">interpolexp(A216,serie_du,Taxas_DI)</f>
        <v>0.13054869109148104</v>
      </c>
      <c r="C216" s="32">
        <f ca="1">((((1+B216)^(A216/252))/((1+B215)^(A215/252)))^(252/1))-1</f>
        <v>0.14059118914154278</v>
      </c>
      <c r="D216" s="30">
        <v>0.13054869109148104</v>
      </c>
      <c r="E216" s="31">
        <f ca="1">B216-D216</f>
        <v>0</v>
      </c>
    </row>
    <row r="217" spans="1:5" x14ac:dyDescent="0.25">
      <c r="A217" s="21">
        <v>216</v>
      </c>
      <c r="B217" s="5" cm="1">
        <f t="array" aca="1" ref="B217" ca="1">interpolexp(A217,serie_du,Taxas_DI)</f>
        <v>0.13059497792242691</v>
      </c>
      <c r="C217" s="32">
        <f ca="1">((((1+B217)^(A217/252))/((1+B216)^(A216/252)))^(252/1))-1</f>
        <v>0.14059077893242633</v>
      </c>
      <c r="D217" s="30">
        <v>0.13059497792242691</v>
      </c>
      <c r="E217" s="31">
        <f ca="1">B217-D217</f>
        <v>0</v>
      </c>
    </row>
    <row r="218" spans="1:5" x14ac:dyDescent="0.25">
      <c r="A218" s="21">
        <v>217</v>
      </c>
      <c r="B218" s="5" cm="1">
        <f t="array" aca="1" ref="B218" ca="1">interpolexp(A218,serie_du,Taxas_DI)</f>
        <v>0.1306408381677171</v>
      </c>
      <c r="C218" s="32">
        <f ca="1">((((1+B218)^(A218/252))/((1+B217)^(A217/252)))^(252/1))-1</f>
        <v>0.14059037441568312</v>
      </c>
      <c r="D218" s="30">
        <v>0.1306408381677171</v>
      </c>
      <c r="E218" s="31">
        <f ca="1">B218-D218</f>
        <v>0</v>
      </c>
    </row>
    <row r="219" spans="1:5" x14ac:dyDescent="0.25">
      <c r="A219" s="21">
        <v>218</v>
      </c>
      <c r="B219" s="5" cm="1">
        <f t="array" aca="1" ref="B219" ca="1">interpolexp(A219,serie_du,Taxas_DI)</f>
        <v>0.13068627769752261</v>
      </c>
      <c r="C219" s="32">
        <f ca="1">((((1+B219)^(A219/252))/((1+B218)^(A218/252)))^(252/1))-1</f>
        <v>0.14058997550110486</v>
      </c>
      <c r="D219" s="30">
        <v>0.13068627769752261</v>
      </c>
      <c r="E219" s="31">
        <f ca="1">B219-D219</f>
        <v>0</v>
      </c>
    </row>
    <row r="220" spans="1:5" x14ac:dyDescent="0.25">
      <c r="A220" s="21">
        <v>219</v>
      </c>
      <c r="B220" s="5" cm="1">
        <f t="array" aca="1" ref="B220" ca="1">interpolexp(A220,serie_du,Taxas_DI)</f>
        <v>0.13073130227481955</v>
      </c>
      <c r="C220" s="32">
        <f ca="1">((((1+B220)^(A220/252))/((1+B219)^(A219/252)))^(252/1))-1</f>
        <v>0.14058958209006023</v>
      </c>
      <c r="D220" s="30">
        <v>0.13073130227481955</v>
      </c>
      <c r="E220" s="31">
        <f ca="1">B220-D220</f>
        <v>0</v>
      </c>
    </row>
    <row r="221" spans="1:5" x14ac:dyDescent="0.25">
      <c r="A221" s="21">
        <v>220</v>
      </c>
      <c r="B221" s="5" cm="1">
        <f t="array" aca="1" ref="B221" ca="1">interpolexp(A221,serie_du,Taxas_DI)</f>
        <v>0.13076879012925424</v>
      </c>
      <c r="C221" s="32">
        <f ca="1">((((1+B221)^(A221/252))/((1+B220)^(A220/252)))^(252/1))-1</f>
        <v>0.13900864297782878</v>
      </c>
      <c r="D221" s="30">
        <v>0.13076879012925424</v>
      </c>
      <c r="E221" s="31">
        <f ca="1">B221-D221</f>
        <v>0</v>
      </c>
    </row>
    <row r="222" spans="1:5" x14ac:dyDescent="0.25">
      <c r="A222" s="21">
        <v>221</v>
      </c>
      <c r="B222" s="5" cm="1">
        <f t="array" aca="1" ref="B222" ca="1">interpolexp(A222,serie_du,Taxas_DI)</f>
        <v>0.13080593874095214</v>
      </c>
      <c r="C222" s="32">
        <f ca="1">((((1+B222)^(A222/252))/((1+B221)^(A221/252)))^(252/1))-1</f>
        <v>0.13900837314422176</v>
      </c>
      <c r="D222" s="30">
        <v>0.13080593874095214</v>
      </c>
      <c r="E222" s="31">
        <f ca="1">B222-D222</f>
        <v>0</v>
      </c>
    </row>
    <row r="223" spans="1:5" x14ac:dyDescent="0.25">
      <c r="A223" s="21">
        <v>222</v>
      </c>
      <c r="B223" s="5" cm="1">
        <f t="array" aca="1" ref="B223" ca="1">interpolexp(A223,serie_du,Taxas_DI)</f>
        <v>0.13084275269403811</v>
      </c>
      <c r="C223" s="32">
        <f ca="1">((((1+B223)^(A223/252))/((1+B222)^(A222/252)))^(252/1))-1</f>
        <v>0.13900810696334731</v>
      </c>
      <c r="D223" s="30">
        <v>0.13084275269403811</v>
      </c>
      <c r="E223" s="31">
        <f ca="1">B223-D223</f>
        <v>0</v>
      </c>
    </row>
    <row r="224" spans="1:5" x14ac:dyDescent="0.25">
      <c r="A224" s="21">
        <v>223</v>
      </c>
      <c r="B224" s="5" cm="1">
        <f t="array" aca="1" ref="B224" ca="1">interpolexp(A224,serie_du,Taxas_DI)</f>
        <v>0.13087923649051092</v>
      </c>
      <c r="C224" s="32">
        <f ca="1">((((1+B224)^(A224/252))/((1+B223)^(A223/252)))^(252/1))-1</f>
        <v>0.13900784439093217</v>
      </c>
      <c r="D224" s="30">
        <v>0.13087923649051092</v>
      </c>
      <c r="E224" s="31">
        <f ca="1">B224-D224</f>
        <v>0</v>
      </c>
    </row>
    <row r="225" spans="1:5" x14ac:dyDescent="0.25">
      <c r="A225" s="21">
        <v>224</v>
      </c>
      <c r="B225" s="5" cm="1">
        <f t="array" aca="1" ref="B225" ca="1">interpolexp(A225,serie_du,Taxas_DI)</f>
        <v>0.13091539455190038</v>
      </c>
      <c r="C225" s="32">
        <f ca="1">((((1+B225)^(A225/252))/((1+B224)^(A224/252)))^(252/1))-1</f>
        <v>0.13900758534440483</v>
      </c>
      <c r="D225" s="30">
        <v>0.13091539455190038</v>
      </c>
      <c r="E225" s="31">
        <f ca="1">B225-D225</f>
        <v>0</v>
      </c>
    </row>
    <row r="226" spans="1:5" x14ac:dyDescent="0.25">
      <c r="A226" s="21">
        <v>225</v>
      </c>
      <c r="B226" s="5" cm="1">
        <f t="array" aca="1" ref="B226" ca="1">interpolexp(A226,serie_du,Taxas_DI)</f>
        <v>0.13095123122124352</v>
      </c>
      <c r="C226" s="32">
        <f ca="1">((((1+B226)^(A226/252))/((1+B225)^(A225/252)))^(252/1))-1</f>
        <v>0.13900732978559338</v>
      </c>
      <c r="D226" s="30">
        <v>0.13095123122124352</v>
      </c>
      <c r="E226" s="31">
        <f ca="1">B226-D226</f>
        <v>0</v>
      </c>
    </row>
    <row r="227" spans="1:5" x14ac:dyDescent="0.25">
      <c r="A227" s="21">
        <v>226</v>
      </c>
      <c r="B227" s="5" cm="1">
        <f t="array" aca="1" ref="B227" ca="1">interpolexp(A227,serie_du,Taxas_DI)</f>
        <v>0.13098675076450572</v>
      </c>
      <c r="C227" s="32">
        <f ca="1">((((1+B227)^(A227/252))/((1+B226)^(A226/252)))^(252/1))-1</f>
        <v>0.13900707760545328</v>
      </c>
      <c r="D227" s="30">
        <v>0.13098675076450572</v>
      </c>
      <c r="E227" s="31">
        <f ca="1">B227-D227</f>
        <v>0</v>
      </c>
    </row>
    <row r="228" spans="1:5" x14ac:dyDescent="0.25">
      <c r="A228" s="21">
        <v>227</v>
      </c>
      <c r="B228" s="5" cm="1">
        <f t="array" aca="1" ref="B228" ca="1">interpolexp(A228,serie_du,Taxas_DI)</f>
        <v>0.13102195737271227</v>
      </c>
      <c r="C228" s="32">
        <f ca="1">((((1+B228)^(A228/252))/((1+B227)^(A227/252)))^(252/1))-1</f>
        <v>0.13900682879607285</v>
      </c>
      <c r="D228" s="30">
        <v>0.13102195737271227</v>
      </c>
      <c r="E228" s="31">
        <f ca="1">B228-D228</f>
        <v>0</v>
      </c>
    </row>
    <row r="229" spans="1:5" x14ac:dyDescent="0.25">
      <c r="A229" s="21">
        <v>228</v>
      </c>
      <c r="B229" s="5" cm="1">
        <f t="array" aca="1" ref="B229" ca="1">interpolexp(A229,serie_du,Taxas_DI)</f>
        <v>0.13105685516323629</v>
      </c>
      <c r="C229" s="32">
        <f ca="1">((((1+B229)^(A229/252))/((1+B228)^(A228/252)))^(252/1))-1</f>
        <v>0.13900658326874926</v>
      </c>
      <c r="D229" s="30">
        <v>0.13105685516323629</v>
      </c>
      <c r="E229" s="31">
        <f ca="1">B229-D229</f>
        <v>0</v>
      </c>
    </row>
    <row r="230" spans="1:5" x14ac:dyDescent="0.25">
      <c r="A230" s="21">
        <v>229</v>
      </c>
      <c r="B230" s="5" cm="1">
        <f t="array" aca="1" ref="B230" ca="1">interpolexp(A230,serie_du,Taxas_DI)</f>
        <v>0.13109144818155283</v>
      </c>
      <c r="C230" s="32">
        <f ca="1">((((1+B230)^(A230/252))/((1+B229)^(A229/252)))^(252/1))-1</f>
        <v>0.13900634097012521</v>
      </c>
      <c r="D230" s="30">
        <v>0.13109144818155283</v>
      </c>
      <c r="E230" s="31">
        <f ca="1">B230-D230</f>
        <v>0</v>
      </c>
    </row>
    <row r="231" spans="1:5" x14ac:dyDescent="0.25">
      <c r="A231" s="21">
        <v>230</v>
      </c>
      <c r="B231" s="5" cm="1">
        <f t="array" aca="1" ref="B231" ca="1">interpolexp(A231,serie_du,Taxas_DI)</f>
        <v>0.13112574040283764</v>
      </c>
      <c r="C231" s="32">
        <f ca="1">((((1+B231)^(A231/252))/((1+B230)^(A230/252)))^(252/1))-1</f>
        <v>0.13900610185611484</v>
      </c>
      <c r="D231" s="30">
        <v>0.13112574040283764</v>
      </c>
      <c r="E231" s="31">
        <f ca="1">B231-D231</f>
        <v>0</v>
      </c>
    </row>
    <row r="232" spans="1:5" x14ac:dyDescent="0.25">
      <c r="A232" s="21">
        <v>231</v>
      </c>
      <c r="B232" s="5" cm="1">
        <f t="array" aca="1" ref="B232" ca="1">interpolexp(A232,serie_du,Taxas_DI)</f>
        <v>0.13115973573336603</v>
      </c>
      <c r="C232" s="32">
        <f ca="1">((((1+B232)^(A232/252))/((1+B231)^(A231/252)))^(252/1))-1</f>
        <v>0.13900586585558861</v>
      </c>
      <c r="D232" s="30">
        <v>0.13115973573336603</v>
      </c>
      <c r="E232" s="31">
        <f ca="1">B232-D232</f>
        <v>0</v>
      </c>
    </row>
    <row r="233" spans="1:5" x14ac:dyDescent="0.25">
      <c r="A233" s="21">
        <v>232</v>
      </c>
      <c r="B233" s="5" cm="1">
        <f t="array" aca="1" ref="B233" ca="1">interpolexp(A233,serie_du,Taxas_DI)</f>
        <v>0.13119343801204497</v>
      </c>
      <c r="C233" s="32">
        <f ca="1">((((1+B233)^(A233/252))/((1+B232)^(A232/252)))^(252/1))-1</f>
        <v>0.13900563290939294</v>
      </c>
      <c r="D233" s="30">
        <v>0.13119343801204497</v>
      </c>
      <c r="E233" s="31">
        <f ca="1">B233-D233</f>
        <v>0</v>
      </c>
    </row>
    <row r="234" spans="1:5" x14ac:dyDescent="0.25">
      <c r="A234" s="21">
        <v>233</v>
      </c>
      <c r="B234" s="5" cm="1">
        <f t="array" aca="1" ref="B234" ca="1">interpolexp(A234,serie_du,Taxas_DI)</f>
        <v>0.13122685101203402</v>
      </c>
      <c r="C234" s="32">
        <f ca="1">((((1+B234)^(A234/252))/((1+B233)^(A233/252)))^(252/1))-1</f>
        <v>0.13900540300090158</v>
      </c>
      <c r="D234" s="30">
        <v>0.13122685101203402</v>
      </c>
      <c r="E234" s="31">
        <f ca="1">B234-D234</f>
        <v>0</v>
      </c>
    </row>
    <row r="235" spans="1:5" x14ac:dyDescent="0.25">
      <c r="A235" s="21">
        <v>234</v>
      </c>
      <c r="B235" s="5" cm="1">
        <f t="array" aca="1" ref="B235" ca="1">interpolexp(A235,serie_du,Taxas_DI)</f>
        <v>0.13125997844181114</v>
      </c>
      <c r="C235" s="32">
        <f ca="1">((((1+B235)^(A235/252))/((1+B234)^(A234/252)))^(252/1))-1</f>
        <v>0.13900517603465423</v>
      </c>
      <c r="D235" s="30">
        <v>0.13125997844181114</v>
      </c>
      <c r="E235" s="31">
        <f ca="1">B235-D235</f>
        <v>0</v>
      </c>
    </row>
    <row r="236" spans="1:5" x14ac:dyDescent="0.25">
      <c r="A236" s="21">
        <v>235</v>
      </c>
      <c r="B236" s="5" cm="1">
        <f t="array" aca="1" ref="B236" ca="1">interpolexp(A236,serie_du,Taxas_DI)</f>
        <v>0.13129282394683806</v>
      </c>
      <c r="C236" s="32">
        <f ca="1">((((1+B236)^(A236/252))/((1+B235)^(A235/252)))^(252/1))-1</f>
        <v>0.13900495198458107</v>
      </c>
      <c r="D236" s="30">
        <v>0.13129282394683806</v>
      </c>
      <c r="E236" s="31">
        <f ca="1">B236-D236</f>
        <v>0</v>
      </c>
    </row>
    <row r="237" spans="1:5" x14ac:dyDescent="0.25">
      <c r="A237" s="21">
        <v>236</v>
      </c>
      <c r="B237" s="5" cm="1">
        <f t="array" aca="1" ref="B237" ca="1">interpolexp(A237,serie_du,Taxas_DI)</f>
        <v>0.13132539111075925</v>
      </c>
      <c r="C237" s="32">
        <f ca="1">((((1+B237)^(A237/252))/((1+B236)^(A236/252)))^(252/1))-1</f>
        <v>0.13900473079365483</v>
      </c>
      <c r="D237" s="30">
        <v>0.13132539111075925</v>
      </c>
      <c r="E237" s="31">
        <f ca="1">B237-D237</f>
        <v>0</v>
      </c>
    </row>
    <row r="238" spans="1:5" x14ac:dyDescent="0.25">
      <c r="A238" s="21">
        <v>237</v>
      </c>
      <c r="B238" s="5" cm="1">
        <f t="array" aca="1" ref="B238" ca="1">interpolexp(A238,serie_du,Taxas_DI)</f>
        <v>0.13135768345675647</v>
      </c>
      <c r="C238" s="32">
        <f ca="1">((((1+B238)^(A238/252))/((1+B237)^(A237/252)))^(252/1))-1</f>
        <v>0.13900451241765666</v>
      </c>
      <c r="D238" s="30">
        <v>0.13135768345675647</v>
      </c>
      <c r="E238" s="31">
        <f ca="1">B238-D238</f>
        <v>0</v>
      </c>
    </row>
    <row r="239" spans="1:5" x14ac:dyDescent="0.25">
      <c r="A239" s="21">
        <v>238</v>
      </c>
      <c r="B239" s="5" cm="1">
        <f t="array" aca="1" ref="B239" ca="1">interpolexp(A239,serie_du,Taxas_DI)</f>
        <v>0.13138970444876996</v>
      </c>
      <c r="C239" s="32">
        <f ca="1">((((1+B239)^(A239/252))/((1+B238)^(A238/252)))^(252/1))-1</f>
        <v>0.13900429680180704</v>
      </c>
      <c r="D239" s="30">
        <v>0.13138970444876996</v>
      </c>
      <c r="E239" s="31">
        <f ca="1">B239-D239</f>
        <v>0</v>
      </c>
    </row>
    <row r="240" spans="1:5" x14ac:dyDescent="0.25">
      <c r="A240" s="21">
        <v>239</v>
      </c>
      <c r="B240" s="5" cm="1">
        <f t="array" aca="1" ref="B240" ca="1">interpolexp(A240,serie_du,Taxas_DI)</f>
        <v>0.13142145749280854</v>
      </c>
      <c r="C240" s="32">
        <f ca="1">((((1+B240)^(A240/252))/((1+B239)^(A239/252)))^(252/1))-1</f>
        <v>0.13900408390926899</v>
      </c>
      <c r="D240" s="30">
        <v>0.13142145749280854</v>
      </c>
      <c r="E240" s="31">
        <f ca="1">B240-D240</f>
        <v>0</v>
      </c>
    </row>
    <row r="241" spans="1:5" x14ac:dyDescent="0.25">
      <c r="A241" s="21">
        <v>240</v>
      </c>
      <c r="B241" s="5" cm="1">
        <f t="array" aca="1" ref="B241" ca="1">interpolexp(A241,serie_du,Taxas_DI)</f>
        <v>0.13145294593810419</v>
      </c>
      <c r="C241" s="32">
        <f ca="1">((((1+B241)^(A241/252))/((1+B240)^(A240/252)))^(252/1))-1</f>
        <v>0.13900387369178602</v>
      </c>
      <c r="D241" s="30">
        <v>0.13145294593810419</v>
      </c>
      <c r="E241" s="31">
        <f ca="1">B241-D241</f>
        <v>0</v>
      </c>
    </row>
    <row r="242" spans="1:5" x14ac:dyDescent="0.25">
      <c r="A242" s="21">
        <v>241</v>
      </c>
      <c r="B242" s="5" cm="1">
        <f t="array" aca="1" ref="B242" ca="1">interpolexp(A242,serie_du,Taxas_DI)</f>
        <v>0.13148417307828897</v>
      </c>
      <c r="C242" s="32">
        <f ca="1">((((1+B242)^(A242/252))/((1+B241)^(A241/252)))^(252/1))-1</f>
        <v>0.13900366610130166</v>
      </c>
      <c r="D242" s="30">
        <v>0.13148417307828897</v>
      </c>
      <c r="E242" s="31">
        <f ca="1">B242-D242</f>
        <v>0</v>
      </c>
    </row>
    <row r="243" spans="1:5" x14ac:dyDescent="0.25">
      <c r="A243" s="21">
        <v>242</v>
      </c>
      <c r="B243" s="5" cm="1">
        <f t="array" aca="1" ref="B243" ca="1">interpolexp(A243,serie_du,Taxas_DI)</f>
        <v>0.13151514215254956</v>
      </c>
      <c r="C243" s="32">
        <f ca="1">((((1+B243)^(A243/252))/((1+B242)^(A242/252)))^(252/1))-1</f>
        <v>0.13900346109282791</v>
      </c>
      <c r="D243" s="30">
        <v>0.13151514215254956</v>
      </c>
      <c r="E243" s="31">
        <f ca="1">B243-D243</f>
        <v>0</v>
      </c>
    </row>
    <row r="244" spans="1:5" x14ac:dyDescent="0.25">
      <c r="A244" s="21">
        <v>243</v>
      </c>
      <c r="B244" s="5" cm="1">
        <f t="array" aca="1" ref="B244" ca="1">interpolexp(A244,serie_du,Taxas_DI)</f>
        <v>0.13155241528450823</v>
      </c>
      <c r="C244" s="32">
        <f ca="1">((((1+B244)^(A244/252))/((1+B243)^(A243/252)))^(252/1))-1</f>
        <v>0.1406087102580087</v>
      </c>
      <c r="D244" s="30">
        <v>0.13155241528450823</v>
      </c>
      <c r="E244" s="31">
        <f ca="1">B244-D244</f>
        <v>0</v>
      </c>
    </row>
    <row r="245" spans="1:5" x14ac:dyDescent="0.25">
      <c r="A245" s="21">
        <v>244</v>
      </c>
      <c r="B245" s="5" cm="1">
        <f t="array" aca="1" ref="B245" ca="1">interpolexp(A245,serie_du,Taxas_DI)</f>
        <v>0.13158938291266686</v>
      </c>
      <c r="C245" s="32">
        <f ca="1">((((1+B245)^(A245/252))/((1+B244)^(A244/252)))^(252/1))-1</f>
        <v>0.14060841535032353</v>
      </c>
      <c r="D245" s="30">
        <v>0.13158938291266686</v>
      </c>
      <c r="E245" s="31">
        <f ca="1">B245-D245</f>
        <v>0</v>
      </c>
    </row>
    <row r="246" spans="1:5" x14ac:dyDescent="0.25">
      <c r="A246" s="21">
        <v>245</v>
      </c>
      <c r="B246" s="5" cm="1">
        <f t="array" aca="1" ref="B246" ca="1">interpolexp(A246,serie_du,Taxas_DI)</f>
        <v>0.13162604877778872</v>
      </c>
      <c r="C246" s="32">
        <f ca="1">((((1+B246)^(A246/252))/((1+B245)^(A245/252)))^(252/1))-1</f>
        <v>0.14060812408941659</v>
      </c>
      <c r="D246" s="30">
        <v>0.13162604877778872</v>
      </c>
      <c r="E246" s="31">
        <f ca="1">B246-D246</f>
        <v>0</v>
      </c>
    </row>
    <row r="247" spans="1:5" x14ac:dyDescent="0.25">
      <c r="A247" s="21">
        <v>246</v>
      </c>
      <c r="B247" s="5" cm="1">
        <f t="array" aca="1" ref="B247" ca="1">interpolexp(A247,serie_du,Taxas_DI)</f>
        <v>0.1316624165596858</v>
      </c>
      <c r="C247" s="32">
        <f ca="1">((((1+B247)^(A247/252))/((1+B246)^(A246/252)))^(252/1))-1</f>
        <v>0.1406078363839649</v>
      </c>
      <c r="D247" s="30">
        <v>0.1316624165596858</v>
      </c>
      <c r="E247" s="31">
        <f ca="1">B247-D247</f>
        <v>0</v>
      </c>
    </row>
    <row r="248" spans="1:5" x14ac:dyDescent="0.25">
      <c r="A248" s="21">
        <v>247</v>
      </c>
      <c r="B248" s="5" cm="1">
        <f t="array" aca="1" ref="B248" ca="1">interpolexp(A248,serie_du,Taxas_DI)</f>
        <v>0.13169848987866217</v>
      </c>
      <c r="C248" s="32">
        <f ca="1">((((1+B248)^(A248/252))/((1+B247)^(A247/252)))^(252/1))-1</f>
        <v>0.14060755219615384</v>
      </c>
      <c r="D248" s="30">
        <v>0.13169848987866217</v>
      </c>
      <c r="E248" s="31">
        <f ca="1">B248-D248</f>
        <v>0</v>
      </c>
    </row>
    <row r="249" spans="1:5" x14ac:dyDescent="0.25">
      <c r="A249" s="21">
        <v>248</v>
      </c>
      <c r="B249" s="5" cm="1">
        <f t="array" aca="1" ref="B249" ca="1">interpolexp(A249,serie_du,Taxas_DI)</f>
        <v>0.13173427229662416</v>
      </c>
      <c r="C249" s="32">
        <f ca="1">((((1+B249)^(A249/252))/((1+B248)^(A248/252)))^(252/1))-1</f>
        <v>0.14060727146696084</v>
      </c>
      <c r="D249" s="30">
        <v>0.13173427229662416</v>
      </c>
      <c r="E249" s="31">
        <f ca="1">B249-D249</f>
        <v>0</v>
      </c>
    </row>
    <row r="250" spans="1:5" x14ac:dyDescent="0.25">
      <c r="A250" s="21">
        <v>249</v>
      </c>
      <c r="B250" s="5" cm="1">
        <f t="array" aca="1" ref="B250" ca="1">interpolexp(A250,serie_du,Taxas_DI)</f>
        <v>0.13176976731823498</v>
      </c>
      <c r="C250" s="32">
        <f ca="1">((((1+B250)^(A250/252))/((1+B249)^(A249/252)))^(252/1))-1</f>
        <v>0.14060699413414413</v>
      </c>
      <c r="D250" s="30">
        <v>0.13176976731823498</v>
      </c>
      <c r="E250" s="31">
        <f ca="1">B250-D250</f>
        <v>0</v>
      </c>
    </row>
    <row r="251" spans="1:5" x14ac:dyDescent="0.25">
      <c r="A251" s="21">
        <v>250</v>
      </c>
      <c r="B251" s="5" cm="1">
        <f t="array" aca="1" ref="B251" ca="1">interpolexp(A251,serie_du,Taxas_DI)</f>
        <v>0.1318049783921138</v>
      </c>
      <c r="C251" s="32">
        <f ca="1">((((1+B251)^(A251/252))/((1+B250)^(A250/252)))^(252/1))-1</f>
        <v>0.14060672014987663</v>
      </c>
      <c r="D251" s="30">
        <v>0.1318049783921138</v>
      </c>
      <c r="E251" s="31">
        <f ca="1">B251-D251</f>
        <v>0</v>
      </c>
    </row>
    <row r="252" spans="1:5" x14ac:dyDescent="0.25">
      <c r="A252" s="21">
        <v>251</v>
      </c>
      <c r="B252" s="5" cm="1">
        <f t="array" aca="1" ref="B252" ca="1">interpolexp(A252,serie_du,Taxas_DI)</f>
        <v>0.13183990891190156</v>
      </c>
      <c r="C252" s="32">
        <f ca="1">((((1+B252)^(A252/252))/((1+B251)^(A251/252)))^(252/1))-1</f>
        <v>0.14060644945498924</v>
      </c>
      <c r="D252" s="30">
        <v>0.13183990891190156</v>
      </c>
      <c r="E252" s="31">
        <f ca="1">B252-D252</f>
        <v>0</v>
      </c>
    </row>
    <row r="253" spans="1:5" x14ac:dyDescent="0.25">
      <c r="A253" s="21">
        <v>252</v>
      </c>
      <c r="B253" s="5" cm="1">
        <f t="array" aca="1" ref="B253" ca="1">interpolexp(A253,serie_du,Taxas_DI)</f>
        <v>0.13187456221739335</v>
      </c>
      <c r="C253" s="32">
        <f ca="1">((((1+B253)^(A253/252))/((1+B252)^(A252/252)))^(252/1))-1</f>
        <v>0.14060618200176167</v>
      </c>
      <c r="D253" s="30">
        <v>0.13187456221739335</v>
      </c>
      <c r="E253" s="31">
        <f ca="1">B253-D253</f>
        <v>0</v>
      </c>
    </row>
    <row r="254" spans="1:5" x14ac:dyDescent="0.25">
      <c r="A254" s="21">
        <v>253</v>
      </c>
      <c r="B254" s="5" cm="1">
        <f t="array" aca="1" ref="B254" ca="1">interpolexp(A254,serie_du,Taxas_DI)</f>
        <v>0.13190894159553768</v>
      </c>
      <c r="C254" s="32">
        <f ca="1">((((1+B254)^(A254/252))/((1+B253)^(A253/252)))^(252/1))-1</f>
        <v>0.14060591772715858</v>
      </c>
      <c r="D254" s="30">
        <v>0.13190894159553768</v>
      </c>
      <c r="E254" s="31">
        <f ca="1">B254-D254</f>
        <v>0</v>
      </c>
    </row>
    <row r="255" spans="1:5" x14ac:dyDescent="0.25">
      <c r="A255" s="21">
        <v>254</v>
      </c>
      <c r="B255" s="5" cm="1">
        <f t="array" aca="1" ref="B255" ca="1">interpolexp(A255,serie_du,Taxas_DI)</f>
        <v>0.13194305028159103</v>
      </c>
      <c r="C255" s="32">
        <f ca="1">((((1+B255)^(A255/252))/((1+B254)^(A254/252)))^(252/1))-1</f>
        <v>0.14060565659822477</v>
      </c>
      <c r="D255" s="30">
        <v>0.13194305028159103</v>
      </c>
      <c r="E255" s="31">
        <f ca="1">B255-D255</f>
        <v>0</v>
      </c>
    </row>
    <row r="256" spans="1:5" x14ac:dyDescent="0.25">
      <c r="A256" s="21">
        <v>255</v>
      </c>
      <c r="B256" s="5" cm="1">
        <f t="array" aca="1" ref="B256" ca="1">interpolexp(A256,serie_du,Taxas_DI)</f>
        <v>0.13197689146002833</v>
      </c>
      <c r="C256" s="32">
        <f ca="1">((((1+B256)^(A256/252))/((1+B255)^(A255/252)))^(252/1))-1</f>
        <v>0.14060539855661891</v>
      </c>
      <c r="D256" s="30">
        <v>0.13197689146002833</v>
      </c>
      <c r="E256" s="31">
        <f ca="1">B256-D256</f>
        <v>0</v>
      </c>
    </row>
    <row r="257" spans="1:5" x14ac:dyDescent="0.25">
      <c r="A257" s="21">
        <v>256</v>
      </c>
      <c r="B257" s="5" cm="1">
        <f t="array" aca="1" ref="B257" ca="1">interpolexp(A257,serie_du,Taxas_DI)</f>
        <v>0.13201046826554208</v>
      </c>
      <c r="C257" s="32">
        <f ca="1">((((1+B257)^(A257/252))/((1+B256)^(A256/252)))^(252/1))-1</f>
        <v>0.14060514354686915</v>
      </c>
      <c r="D257" s="30">
        <v>0.13201046826554208</v>
      </c>
      <c r="E257" s="31">
        <f ca="1">B257-D257</f>
        <v>0</v>
      </c>
    </row>
    <row r="258" spans="1:5" x14ac:dyDescent="0.25">
      <c r="A258" s="21">
        <v>257</v>
      </c>
      <c r="B258" s="5" cm="1">
        <f t="array" aca="1" ref="B258" ca="1">interpolexp(A258,serie_du,Taxas_DI)</f>
        <v>0.13204378378410819</v>
      </c>
      <c r="C258" s="32">
        <f ca="1">((((1+B258)^(A258/252))/((1+B257)^(A257/252)))^(252/1))-1</f>
        <v>0.14060489153967781</v>
      </c>
      <c r="D258" s="30">
        <v>0.13204378378410819</v>
      </c>
      <c r="E258" s="31">
        <f ca="1">B258-D258</f>
        <v>0</v>
      </c>
    </row>
    <row r="259" spans="1:5" x14ac:dyDescent="0.25">
      <c r="A259" s="21">
        <v>258</v>
      </c>
      <c r="B259" s="5" cm="1">
        <f t="array" aca="1" ref="B259" ca="1">interpolexp(A259,serie_du,Taxas_DI)</f>
        <v>0.13207684105378537</v>
      </c>
      <c r="C259" s="32">
        <f ca="1">((((1+B259)^(A259/252))/((1+B258)^(A258/252)))^(252/1))-1</f>
        <v>0.14060464246897397</v>
      </c>
      <c r="D259" s="30">
        <v>0.13207684105378537</v>
      </c>
      <c r="E259" s="31">
        <f ca="1">B259-D259</f>
        <v>0</v>
      </c>
    </row>
    <row r="260" spans="1:5" x14ac:dyDescent="0.25">
      <c r="A260" s="21">
        <v>259</v>
      </c>
      <c r="B260" s="5" cm="1">
        <f t="array" aca="1" ref="B260" ca="1">interpolexp(A260,serie_du,Taxas_DI)</f>
        <v>0.13210964306578088</v>
      </c>
      <c r="C260" s="32">
        <f ca="1">((((1+B260)^(A260/252))/((1+B259)^(A259/252)))^(252/1))-1</f>
        <v>0.14060439630642407</v>
      </c>
      <c r="D260" s="30">
        <v>0.13210964306578088</v>
      </c>
      <c r="E260" s="31">
        <f ca="1">B260-D260</f>
        <v>0</v>
      </c>
    </row>
    <row r="261" spans="1:5" x14ac:dyDescent="0.25">
      <c r="A261" s="21">
        <v>260</v>
      </c>
      <c r="B261" s="5" cm="1">
        <f t="array" aca="1" ref="B261" ca="1">interpolexp(A261,serie_du,Taxas_DI)</f>
        <v>0.13214219276518335</v>
      </c>
      <c r="C261" s="32">
        <f ca="1">((((1+B261)^(A261/252))/((1+B260)^(A260/252)))^(252/1))-1</f>
        <v>0.14060415298043227</v>
      </c>
      <c r="D261" s="30">
        <v>0.13214219276518335</v>
      </c>
      <c r="E261" s="31">
        <f ca="1">B261-D261</f>
        <v>0</v>
      </c>
    </row>
    <row r="262" spans="1:5" x14ac:dyDescent="0.25">
      <c r="A262" s="21">
        <v>261</v>
      </c>
      <c r="B262" s="5" cm="1">
        <f t="array" aca="1" ref="B262" ca="1">interpolexp(A262,serie_du,Taxas_DI)</f>
        <v>0.13217449305209517</v>
      </c>
      <c r="C262" s="32">
        <f ca="1">((((1+B262)^(A262/252))/((1+B261)^(A261/252)))^(252/1))-1</f>
        <v>0.14060391248573034</v>
      </c>
      <c r="D262" s="30">
        <v>0.13217449305209517</v>
      </c>
      <c r="E262" s="31">
        <f ca="1">B262-D262</f>
        <v>0</v>
      </c>
    </row>
    <row r="263" spans="1:5" x14ac:dyDescent="0.25">
      <c r="A263" s="21">
        <v>262</v>
      </c>
      <c r="B263" s="5" cm="1">
        <f t="array" aca="1" ref="B263" ca="1">interpolexp(A263,serie_du,Taxas_DI)</f>
        <v>0.13220654678220978</v>
      </c>
      <c r="C263" s="32">
        <f ca="1">((((1+B263)^(A263/252))/((1+B262)^(A262/252)))^(252/1))-1</f>
        <v>0.14060367474387525</v>
      </c>
      <c r="D263" s="30">
        <v>0.13220654678220978</v>
      </c>
      <c r="E263" s="31">
        <f ca="1">B263-D263</f>
        <v>0</v>
      </c>
    </row>
    <row r="264" spans="1:5" x14ac:dyDescent="0.25">
      <c r="A264" s="21">
        <v>263</v>
      </c>
      <c r="B264" s="5" cm="1">
        <f t="array" aca="1" ref="B264" ca="1">interpolexp(A264,serie_du,Taxas_DI)</f>
        <v>0.13223835676789975</v>
      </c>
      <c r="C264" s="32">
        <f ca="1">((((1+B264)^(A264/252))/((1+B263)^(A263/252)))^(252/1))-1</f>
        <v>0.14060343974158984</v>
      </c>
      <c r="D264" s="30">
        <v>0.13223835676789975</v>
      </c>
      <c r="E264" s="31">
        <f ca="1">B264-D264</f>
        <v>0</v>
      </c>
    </row>
    <row r="265" spans="1:5" x14ac:dyDescent="0.25">
      <c r="A265" s="21">
        <v>264</v>
      </c>
      <c r="B265" s="5" cm="1">
        <f t="array" aca="1" ref="B265" ca="1">interpolexp(A265,serie_du,Taxas_DI)</f>
        <v>0.13226992577879404</v>
      </c>
      <c r="C265" s="32">
        <f ca="1">((((1+B265)^(A265/252))/((1+B264)^(A264/252)))^(252/1))-1</f>
        <v>0.14060320740183041</v>
      </c>
      <c r="D265" s="30">
        <v>0.13226992577879404</v>
      </c>
      <c r="E265" s="31">
        <f ca="1">B265-D265</f>
        <v>0</v>
      </c>
    </row>
    <row r="266" spans="1:5" x14ac:dyDescent="0.25">
      <c r="A266" s="21">
        <v>265</v>
      </c>
      <c r="B266" s="5" cm="1">
        <f t="array" aca="1" ref="B266" ca="1">interpolexp(A266,serie_du,Taxas_DI)</f>
        <v>0.13230125654286606</v>
      </c>
      <c r="C266" s="32">
        <f ca="1">((((1+B266)^(A266/252))/((1+B265)^(A265/252)))^(252/1))-1</f>
        <v>0.14060297772354513</v>
      </c>
      <c r="D266" s="30">
        <v>0.13230125654286606</v>
      </c>
      <c r="E266" s="31">
        <f ca="1">B266-D266</f>
        <v>0</v>
      </c>
    </row>
    <row r="267" spans="1:5" x14ac:dyDescent="0.25">
      <c r="A267" s="21">
        <v>266</v>
      </c>
      <c r="B267" s="5" cm="1">
        <f t="array" aca="1" ref="B267" ca="1">interpolexp(A267,serie_du,Taxas_DI)</f>
        <v>0.13233235174698876</v>
      </c>
      <c r="C267" s="32">
        <f ca="1">((((1+B267)^(A267/252))/((1+B266)^(A266/252)))^(252/1))-1</f>
        <v>0.14060275064532912</v>
      </c>
      <c r="D267" s="30">
        <v>0.13233235174698876</v>
      </c>
      <c r="E267" s="31">
        <f ca="1">B267-D267</f>
        <v>0</v>
      </c>
    </row>
    <row r="268" spans="1:5" x14ac:dyDescent="0.25">
      <c r="A268" s="21">
        <v>267</v>
      </c>
      <c r="B268" s="5" cm="1">
        <f t="array" aca="1" ref="B268" ca="1">interpolexp(A268,serie_du,Taxas_DI)</f>
        <v>0.1323632140377784</v>
      </c>
      <c r="C268" s="32">
        <f ca="1">((((1+B268)^(A268/252))/((1+B267)^(A267/252)))^(252/1))-1</f>
        <v>0.14060252612659485</v>
      </c>
      <c r="D268" s="30">
        <v>0.1323632140377784</v>
      </c>
      <c r="E268" s="31">
        <f ca="1">B268-D268</f>
        <v>0</v>
      </c>
    </row>
    <row r="269" spans="1:5" x14ac:dyDescent="0.25">
      <c r="A269" s="21">
        <v>268</v>
      </c>
      <c r="B269" s="5" cm="1">
        <f t="array" aca="1" ref="B269" ca="1">interpolexp(A269,serie_du,Taxas_DI)</f>
        <v>0.1323938460223717</v>
      </c>
      <c r="C269" s="32">
        <f ca="1">((((1+B269)^(A269/252))/((1+B268)^(A268/252)))^(252/1))-1</f>
        <v>0.14060230413429142</v>
      </c>
      <c r="D269" s="30">
        <v>0.1323938460223717</v>
      </c>
      <c r="E269" s="31">
        <f ca="1">B269-D269</f>
        <v>0</v>
      </c>
    </row>
    <row r="270" spans="1:5" x14ac:dyDescent="0.25">
      <c r="A270" s="21">
        <v>269</v>
      </c>
      <c r="B270" s="5" cm="1">
        <f t="array" aca="1" ref="B270" ca="1">interpolexp(A270,serie_du,Taxas_DI)</f>
        <v>0.1324242502691364</v>
      </c>
      <c r="C270" s="32">
        <f ca="1">((((1+B270)^(A270/252))/((1+B269)^(A269/252)))^(252/1))-1</f>
        <v>0.14060208463013013</v>
      </c>
      <c r="D270" s="30">
        <v>0.1324242502691364</v>
      </c>
      <c r="E270" s="31">
        <f ca="1">B270-D270</f>
        <v>0</v>
      </c>
    </row>
    <row r="271" spans="1:5" x14ac:dyDescent="0.25">
      <c r="A271" s="21">
        <v>270</v>
      </c>
      <c r="B271" s="5" cm="1">
        <f t="array" aca="1" ref="B271" ca="1">interpolexp(A271,serie_du,Taxas_DI)</f>
        <v>0.1324544293083818</v>
      </c>
      <c r="C271" s="32">
        <f ca="1">((((1+B271)^(A271/252))/((1+B270)^(A270/252)))^(252/1))-1</f>
        <v>0.14060186757419202</v>
      </c>
      <c r="D271" s="30">
        <v>0.1324544293083818</v>
      </c>
      <c r="E271" s="31">
        <f ca="1">B271-D271</f>
        <v>0</v>
      </c>
    </row>
    <row r="272" spans="1:5" x14ac:dyDescent="0.25">
      <c r="A272" s="21">
        <v>271</v>
      </c>
      <c r="B272" s="5" cm="1">
        <f t="array" aca="1" ref="B272" ca="1">interpolexp(A272,serie_du,Taxas_DI)</f>
        <v>0.1324843856330693</v>
      </c>
      <c r="C272" s="32">
        <f ca="1">((((1+B272)^(A272/252))/((1+B271)^(A271/252)))^(252/1))-1</f>
        <v>0.14060165292974669</v>
      </c>
      <c r="D272" s="30">
        <v>0.1324843856330693</v>
      </c>
      <c r="E272" s="31">
        <f ca="1">B272-D272</f>
        <v>0</v>
      </c>
    </row>
    <row r="273" spans="1:5" x14ac:dyDescent="0.25">
      <c r="A273" s="21">
        <v>272</v>
      </c>
      <c r="B273" s="5" cm="1">
        <f t="array" aca="1" ref="B273" ca="1">interpolexp(A273,serie_du,Taxas_DI)</f>
        <v>0.13251412169954513</v>
      </c>
      <c r="C273" s="32">
        <f ca="1">((((1+B273)^(A273/252))/((1+B272)^(A272/252)))^(252/1))-1</f>
        <v>0.1406014406732643</v>
      </c>
      <c r="D273" s="30">
        <v>0.13251412169954513</v>
      </c>
      <c r="E273" s="31">
        <f ca="1">B273-D273</f>
        <v>0</v>
      </c>
    </row>
    <row r="274" spans="1:5" x14ac:dyDescent="0.25">
      <c r="A274" s="21">
        <v>273</v>
      </c>
      <c r="B274" s="5" cm="1">
        <f t="array" aca="1" ref="B274" ca="1">interpolexp(A274,serie_du,Taxas_DI)</f>
        <v>0.13254363992811768</v>
      </c>
      <c r="C274" s="32">
        <f ca="1">((((1+B274)^(A274/252))/((1+B273)^(A273/252)))^(252/1))-1</f>
        <v>0.14060123075640596</v>
      </c>
      <c r="D274" s="30">
        <v>0.13254363992811768</v>
      </c>
      <c r="E274" s="31">
        <f ca="1">B274-D274</f>
        <v>0</v>
      </c>
    </row>
    <row r="275" spans="1:5" x14ac:dyDescent="0.25">
      <c r="A275" s="21">
        <v>274</v>
      </c>
      <c r="B275" s="5" cm="1">
        <f t="array" aca="1" ref="B275" ca="1">interpolexp(A275,serie_du,Taxas_DI)</f>
        <v>0.13257294270376807</v>
      </c>
      <c r="C275" s="32">
        <f ca="1">((((1+B275)^(A275/252))/((1+B274)^(A274/252)))^(252/1))-1</f>
        <v>0.14060102314591472</v>
      </c>
      <c r="D275" s="30">
        <v>0.13257294270376807</v>
      </c>
      <c r="E275" s="31">
        <f ca="1">B275-D275</f>
        <v>0</v>
      </c>
    </row>
    <row r="276" spans="1:5" x14ac:dyDescent="0.25">
      <c r="A276" s="21">
        <v>275</v>
      </c>
      <c r="B276" s="5" cm="1">
        <f t="array" aca="1" ref="B276" ca="1">interpolexp(A276,serie_du,Taxas_DI)</f>
        <v>0.13260203237679402</v>
      </c>
      <c r="C276" s="32">
        <f ca="1">((((1+B276)^(A276/252))/((1+B275)^(A275/252)))^(252/1))-1</f>
        <v>0.14060081780973821</v>
      </c>
      <c r="D276" s="30">
        <v>0.13260203237679402</v>
      </c>
      <c r="E276" s="31">
        <f ca="1">B276-D276</f>
        <v>0</v>
      </c>
    </row>
    <row r="277" spans="1:5" x14ac:dyDescent="0.25">
      <c r="A277" s="21">
        <v>276</v>
      </c>
      <c r="B277" s="5" cm="1">
        <f t="array" aca="1" ref="B277" ca="1">interpolexp(A277,serie_du,Taxas_DI)</f>
        <v>0.13263091126343163</v>
      </c>
      <c r="C277" s="32">
        <f ca="1">((((1+B277)^(A277/252))/((1+B276)^(A276/252)))^(252/1))-1</f>
        <v>0.14060061471430596</v>
      </c>
      <c r="D277" s="30">
        <v>0.13263091126343163</v>
      </c>
      <c r="E277" s="31">
        <f ca="1">B277-D277</f>
        <v>0</v>
      </c>
    </row>
    <row r="278" spans="1:5" x14ac:dyDescent="0.25">
      <c r="A278" s="21">
        <v>277</v>
      </c>
      <c r="B278" s="5" cm="1">
        <f t="array" aca="1" ref="B278" ca="1">interpolexp(A278,serie_du,Taxas_DI)</f>
        <v>0.13265958164654368</v>
      </c>
      <c r="C278" s="32">
        <f ca="1">((((1+B278)^(A278/252))/((1+B277)^(A277/252)))^(252/1))-1</f>
        <v>0.14060041384777411</v>
      </c>
      <c r="D278" s="30">
        <v>0.13265958164654368</v>
      </c>
      <c r="E278" s="31">
        <f ca="1">B278-D278</f>
        <v>0</v>
      </c>
    </row>
    <row r="279" spans="1:5" x14ac:dyDescent="0.25">
      <c r="A279" s="21">
        <v>278</v>
      </c>
      <c r="B279" s="5" cm="1">
        <f t="array" aca="1" ref="B279" ca="1">interpolexp(A279,serie_du,Taxas_DI)</f>
        <v>0.13268804577599713</v>
      </c>
      <c r="C279" s="32">
        <f ca="1">((((1+B279)^(A279/252))/((1+B278)^(A278/252)))^(252/1))-1</f>
        <v>0.14060021513582854</v>
      </c>
      <c r="D279" s="30">
        <v>0.13268804577599713</v>
      </c>
      <c r="E279" s="31">
        <f ca="1">B279-D279</f>
        <v>0</v>
      </c>
    </row>
    <row r="280" spans="1:5" x14ac:dyDescent="0.25">
      <c r="A280" s="21">
        <v>279</v>
      </c>
      <c r="B280" s="5" cm="1">
        <f t="array" aca="1" ref="B280" ca="1">interpolexp(A280,serie_du,Taxas_DI)</f>
        <v>0.13271630586950689</v>
      </c>
      <c r="C280" s="32">
        <f ca="1">((((1+B280)^(A280/252))/((1+B279)^(A279/252)))^(252/1))-1</f>
        <v>0.14060001857628812</v>
      </c>
      <c r="D280" s="30">
        <v>0.13271630586950689</v>
      </c>
      <c r="E280" s="31">
        <f ca="1">B280-D280</f>
        <v>0</v>
      </c>
    </row>
    <row r="281" spans="1:5" x14ac:dyDescent="0.25">
      <c r="A281" s="21">
        <v>280</v>
      </c>
      <c r="B281" s="5" cm="1">
        <f t="array" aca="1" ref="B281" ca="1">interpolexp(A281,serie_du,Taxas_DI)</f>
        <v>0.13274436411312429</v>
      </c>
      <c r="C281" s="32">
        <f ca="1">((((1+B281)^(A281/252))/((1+B280)^(A280/252)))^(252/1))-1</f>
        <v>0.14059982414280037</v>
      </c>
      <c r="D281" s="30">
        <v>0.13274436411312429</v>
      </c>
      <c r="E281" s="31">
        <f ca="1">B281-D281</f>
        <v>0</v>
      </c>
    </row>
    <row r="282" spans="1:5" x14ac:dyDescent="0.25">
      <c r="A282" s="21">
        <v>281</v>
      </c>
      <c r="B282" s="5" cm="1">
        <f t="array" aca="1" ref="B282" ca="1">interpolexp(A282,serie_du,Taxas_DI)</f>
        <v>0.13277222266170341</v>
      </c>
      <c r="C282" s="32">
        <f ca="1">((((1+B282)^(A282/252))/((1+B281)^(A281/252)))^(252/1))-1</f>
        <v>0.14059963178257728</v>
      </c>
      <c r="D282" s="30">
        <v>0.13277222266170341</v>
      </c>
      <c r="E282" s="31">
        <f ca="1">B282-D282</f>
        <v>0</v>
      </c>
    </row>
    <row r="283" spans="1:5" x14ac:dyDescent="0.25">
      <c r="A283" s="21">
        <v>282</v>
      </c>
      <c r="B283" s="5" cm="1">
        <f t="array" aca="1" ref="B283" ca="1">interpolexp(A283,serie_du,Taxas_DI)</f>
        <v>0.13279988363956718</v>
      </c>
      <c r="C283" s="32">
        <f ca="1">((((1+B283)^(A283/252))/((1+B282)^(A282/252)))^(252/1))-1</f>
        <v>0.14059944147516856</v>
      </c>
      <c r="D283" s="30">
        <v>0.13279988363956718</v>
      </c>
      <c r="E283" s="31">
        <f ca="1">B283-D283</f>
        <v>0</v>
      </c>
    </row>
    <row r="284" spans="1:5" x14ac:dyDescent="0.25">
      <c r="A284" s="21">
        <v>283</v>
      </c>
      <c r="B284" s="5" cm="1">
        <f t="array" aca="1" ref="B284" ca="1">interpolexp(A284,serie_du,Taxas_DI)</f>
        <v>0.13282734914108474</v>
      </c>
      <c r="C284" s="32">
        <f ca="1">((((1+B284)^(A284/252))/((1+B283)^(A283/252)))^(252/1))-1</f>
        <v>0.14059925321167244</v>
      </c>
      <c r="D284" s="30">
        <v>0.13282734914108474</v>
      </c>
      <c r="E284" s="31">
        <f ca="1">B284-D284</f>
        <v>0</v>
      </c>
    </row>
    <row r="285" spans="1:5" x14ac:dyDescent="0.25">
      <c r="A285" s="21">
        <v>284</v>
      </c>
      <c r="B285" s="5" cm="1">
        <f t="array" aca="1" ref="B285" ca="1">interpolexp(A285,serie_du,Taxas_DI)</f>
        <v>0.13285109789664684</v>
      </c>
      <c r="C285" s="32">
        <f ca="1">((((1+B285)^(A285/252))/((1+B284)^(A284/252)))^(252/1))-1</f>
        <v>0.13959204270362569</v>
      </c>
      <c r="D285" s="30">
        <v>0.13285109789664684</v>
      </c>
      <c r="E285" s="31">
        <f ca="1">B285-D285</f>
        <v>0</v>
      </c>
    </row>
    <row r="286" spans="1:5" x14ac:dyDescent="0.25">
      <c r="A286" s="21">
        <v>285</v>
      </c>
      <c r="B286" s="5" cm="1">
        <f t="array" aca="1" ref="B286" ca="1">interpolexp(A286,serie_du,Taxas_DI)</f>
        <v>0.13287467999987257</v>
      </c>
      <c r="C286" s="32">
        <f ca="1">((((1+B286)^(A286/252))/((1+B285)^(A285/252)))^(252/1))-1</f>
        <v>0.13959190307238356</v>
      </c>
      <c r="D286" s="30">
        <v>0.13287467999987257</v>
      </c>
      <c r="E286" s="31">
        <f ca="1">B286-D286</f>
        <v>0</v>
      </c>
    </row>
    <row r="287" spans="1:5" x14ac:dyDescent="0.25">
      <c r="A287" s="21">
        <v>286</v>
      </c>
      <c r="B287" s="5" cm="1">
        <f t="array" aca="1" ref="B287" ca="1">interpolexp(A287,serie_du,Taxas_DI)</f>
        <v>0.13289809719876367</v>
      </c>
      <c r="C287" s="32">
        <f ca="1">((((1+B287)^(A287/252))/((1+B286)^(A286/252)))^(252/1))-1</f>
        <v>0.13959176489964875</v>
      </c>
      <c r="D287" s="30">
        <v>0.13289809719876367</v>
      </c>
      <c r="E287" s="31">
        <f ca="1">B287-D287</f>
        <v>0</v>
      </c>
    </row>
    <row r="288" spans="1:5" x14ac:dyDescent="0.25">
      <c r="A288" s="21">
        <v>287</v>
      </c>
      <c r="B288" s="5" cm="1">
        <f t="array" aca="1" ref="B288" ca="1">interpolexp(A288,serie_du,Taxas_DI)</f>
        <v>0.13292135121703019</v>
      </c>
      <c r="C288" s="32">
        <f ca="1">((((1+B288)^(A288/252))/((1+B287)^(A287/252)))^(252/1))-1</f>
        <v>0.13959162818507842</v>
      </c>
      <c r="D288" s="30">
        <v>0.13292135121703019</v>
      </c>
      <c r="E288" s="31">
        <f ca="1">B288-D288</f>
        <v>0</v>
      </c>
    </row>
    <row r="289" spans="1:5" x14ac:dyDescent="0.25">
      <c r="A289" s="21">
        <v>288</v>
      </c>
      <c r="B289" s="5" cm="1">
        <f t="array" aca="1" ref="B289" ca="1">interpolexp(A289,serie_du,Taxas_DI)</f>
        <v>0.13294444375437919</v>
      </c>
      <c r="C289" s="32">
        <f ca="1">((((1+B289)^(A289/252))/((1+B288)^(A288/252)))^(252/1))-1</f>
        <v>0.13959149289004924</v>
      </c>
      <c r="D289" s="30">
        <v>0.13294444375437919</v>
      </c>
      <c r="E289" s="31">
        <f ca="1">B289-D289</f>
        <v>0</v>
      </c>
    </row>
    <row r="290" spans="1:5" x14ac:dyDescent="0.25">
      <c r="A290" s="21">
        <v>289</v>
      </c>
      <c r="B290" s="5" cm="1">
        <f t="array" aca="1" ref="B290" ca="1">interpolexp(A290,serie_du,Taxas_DI)</f>
        <v>0.1329673764870698</v>
      </c>
      <c r="C290" s="32">
        <f ca="1">((((1+B290)^(A290/252))/((1+B289)^(A289/252)))^(252/1))-1</f>
        <v>0.13959135901710407</v>
      </c>
      <c r="D290" s="30">
        <v>0.1329673764870698</v>
      </c>
      <c r="E290" s="31">
        <f ca="1">B290-D290</f>
        <v>0</v>
      </c>
    </row>
    <row r="291" spans="1:5" x14ac:dyDescent="0.25">
      <c r="A291" s="21">
        <v>290</v>
      </c>
      <c r="B291" s="5" cm="1">
        <f t="array" aca="1" ref="B291" ca="1">interpolexp(A291,serie_du,Taxas_DI)</f>
        <v>0.13299015106817969</v>
      </c>
      <c r="C291" s="32">
        <f ca="1">((((1+B291)^(A291/252))/((1+B290)^(A290/252)))^(252/1))-1</f>
        <v>0.13959122652863676</v>
      </c>
      <c r="D291" s="30">
        <v>0.13299015106817969</v>
      </c>
      <c r="E291" s="31">
        <f ca="1">B291-D291</f>
        <v>0</v>
      </c>
    </row>
    <row r="292" spans="1:5" x14ac:dyDescent="0.25">
      <c r="A292" s="21">
        <v>291</v>
      </c>
      <c r="B292" s="5" cm="1">
        <f t="array" aca="1" ref="B292" ca="1">interpolexp(A292,serie_du,Taxas_DI)</f>
        <v>0.13301276912809357</v>
      </c>
      <c r="C292" s="32">
        <f ca="1">((((1+B292)^(A292/252))/((1+B291)^(A291/252)))^(252/1))-1</f>
        <v>0.13959109541415082</v>
      </c>
      <c r="D292" s="30">
        <v>0.13301276912809357</v>
      </c>
      <c r="E292" s="31">
        <f ca="1">B292-D292</f>
        <v>0</v>
      </c>
    </row>
    <row r="293" spans="1:5" x14ac:dyDescent="0.25">
      <c r="A293" s="21">
        <v>292</v>
      </c>
      <c r="B293" s="5" cm="1">
        <f t="array" aca="1" ref="B293" ca="1">interpolexp(A293,serie_du,Taxas_DI)</f>
        <v>0.13303523227485847</v>
      </c>
      <c r="C293" s="32">
        <f ca="1">((((1+B293)^(A293/252))/((1+B292)^(A292/252)))^(252/1))-1</f>
        <v>0.13959096565331852</v>
      </c>
      <c r="D293" s="30">
        <v>0.13303523227485847</v>
      </c>
      <c r="E293" s="31">
        <f ca="1">B293-D293</f>
        <v>0</v>
      </c>
    </row>
    <row r="294" spans="1:5" x14ac:dyDescent="0.25">
      <c r="A294" s="21">
        <v>293</v>
      </c>
      <c r="B294" s="5" cm="1">
        <f t="array" aca="1" ref="B294" ca="1">interpolexp(A294,serie_du,Taxas_DI)</f>
        <v>0.13305754209451681</v>
      </c>
      <c r="C294" s="32">
        <f ca="1">((((1+B294)^(A294/252))/((1+B293)^(A293/252)))^(252/1))-1</f>
        <v>0.13959083721229182</v>
      </c>
      <c r="D294" s="30">
        <v>0.13305754209451681</v>
      </c>
      <c r="E294" s="31">
        <f ca="1">B294-D294</f>
        <v>0</v>
      </c>
    </row>
    <row r="295" spans="1:5" x14ac:dyDescent="0.25">
      <c r="A295" s="21">
        <v>294</v>
      </c>
      <c r="B295" s="5" cm="1">
        <f t="array" aca="1" ref="B295" ca="1">interpolexp(A295,serie_du,Taxas_DI)</f>
        <v>0.13307970015163928</v>
      </c>
      <c r="C295" s="32">
        <f ca="1">((((1+B295)^(A295/252))/((1+B294)^(A294/252)))^(252/1))-1</f>
        <v>0.13959071010423063</v>
      </c>
      <c r="D295" s="30">
        <v>0.13307970015163928</v>
      </c>
      <c r="E295" s="31">
        <f ca="1">B295-D295</f>
        <v>0</v>
      </c>
    </row>
    <row r="296" spans="1:5" x14ac:dyDescent="0.25">
      <c r="A296" s="21">
        <v>295</v>
      </c>
      <c r="B296" s="5" cm="1">
        <f t="array" aca="1" ref="B296" ca="1">interpolexp(A296,serie_du,Taxas_DI)</f>
        <v>0.13310170798948029</v>
      </c>
      <c r="C296" s="32">
        <f ca="1">((((1+B296)^(A296/252))/((1+B295)^(A295/252)))^(252/1))-1</f>
        <v>0.13959058428085647</v>
      </c>
      <c r="D296" s="30">
        <v>0.13310170798948029</v>
      </c>
      <c r="E296" s="31">
        <f ca="1">B296-D296</f>
        <v>0</v>
      </c>
    </row>
    <row r="297" spans="1:5" x14ac:dyDescent="0.25">
      <c r="A297" s="21">
        <v>296</v>
      </c>
      <c r="B297" s="5" cm="1">
        <f t="array" aca="1" ref="B297" ca="1">interpolexp(A297,serie_du,Taxas_DI)</f>
        <v>0.13312356713051088</v>
      </c>
      <c r="C297" s="32">
        <f ca="1">((((1+B297)^(A297/252))/((1+B296)^(A296/252)))^(252/1))-1</f>
        <v>0.13959045974560902</v>
      </c>
      <c r="D297" s="30">
        <v>0.13312356713051088</v>
      </c>
      <c r="E297" s="31">
        <f ca="1">B297-D297</f>
        <v>0</v>
      </c>
    </row>
    <row r="298" spans="1:5" x14ac:dyDescent="0.25">
      <c r="A298" s="21">
        <v>297</v>
      </c>
      <c r="B298" s="5" cm="1">
        <f t="array" aca="1" ref="B298" ca="1">interpolexp(A298,serie_du,Taxas_DI)</f>
        <v>0.13314527907666296</v>
      </c>
      <c r="C298" s="32">
        <f ca="1">((((1+B298)^(A298/252))/((1+B297)^(A297/252)))^(252/1))-1</f>
        <v>0.13959033647070496</v>
      </c>
      <c r="D298" s="30">
        <v>0.13314527907666296</v>
      </c>
      <c r="E298" s="31">
        <f ca="1">B298-D298</f>
        <v>0</v>
      </c>
    </row>
    <row r="299" spans="1:5" x14ac:dyDescent="0.25">
      <c r="A299" s="21">
        <v>298</v>
      </c>
      <c r="B299" s="5" cm="1">
        <f t="array" aca="1" ref="B299" ca="1">interpolexp(A299,serie_du,Taxas_DI)</f>
        <v>0.13316684530970679</v>
      </c>
      <c r="C299" s="32">
        <f ca="1">((((1+B299)^(A299/252))/((1+B298)^(A298/252)))^(252/1))-1</f>
        <v>0.13959021443850772</v>
      </c>
      <c r="D299" s="30">
        <v>0.13316684530970679</v>
      </c>
      <c r="E299" s="31">
        <f ca="1">B299-D299</f>
        <v>0</v>
      </c>
    </row>
    <row r="300" spans="1:5" x14ac:dyDescent="0.25">
      <c r="A300" s="21">
        <v>299</v>
      </c>
      <c r="B300" s="5" cm="1">
        <f t="array" aca="1" ref="B300" ca="1">interpolexp(A300,serie_du,Taxas_DI)</f>
        <v>0.13318826729162847</v>
      </c>
      <c r="C300" s="32">
        <f ca="1">((((1+B300)^(A300/252))/((1+B299)^(A299/252)))^(252/1))-1</f>
        <v>0.13959009364379105</v>
      </c>
      <c r="D300" s="30">
        <v>0.13318826729162847</v>
      </c>
      <c r="E300" s="31">
        <f ca="1">B300-D300</f>
        <v>0</v>
      </c>
    </row>
    <row r="301" spans="1:5" x14ac:dyDescent="0.25">
      <c r="A301" s="21">
        <v>300</v>
      </c>
      <c r="B301" s="5" cm="1">
        <f t="array" aca="1" ref="B301" ca="1">interpolexp(A301,serie_du,Taxas_DI)</f>
        <v>0.13320954646485195</v>
      </c>
      <c r="C301" s="32">
        <f ca="1">((((1+B301)^(A301/252))/((1+B300)^(A300/252)))^(252/1))-1</f>
        <v>0.13958997404907114</v>
      </c>
      <c r="D301" s="30">
        <v>0.13320954646485195</v>
      </c>
      <c r="E301" s="31">
        <f ca="1">B301-D301</f>
        <v>0</v>
      </c>
    </row>
    <row r="302" spans="1:5" x14ac:dyDescent="0.25">
      <c r="A302" s="21">
        <v>301</v>
      </c>
      <c r="B302" s="5" cm="1">
        <f t="array" aca="1" ref="B302" ca="1">interpolexp(A302,serie_du,Taxas_DI)</f>
        <v>0.13323068425270534</v>
      </c>
      <c r="C302" s="32">
        <f ca="1">((((1+B302)^(A302/252))/((1+B301)^(A301/252)))^(252/1))-1</f>
        <v>0.13958985565996551</v>
      </c>
      <c r="D302" s="30">
        <v>0.13323068425270534</v>
      </c>
      <c r="E302" s="31">
        <f ca="1">B302-D302</f>
        <v>0</v>
      </c>
    </row>
    <row r="303" spans="1:5" x14ac:dyDescent="0.25">
      <c r="A303" s="21">
        <v>302</v>
      </c>
      <c r="B303" s="5" cm="1">
        <f t="array" aca="1" ref="B303" ca="1">interpolexp(A303,serie_du,Taxas_DI)</f>
        <v>0.133251682059643</v>
      </c>
      <c r="C303" s="32">
        <f ca="1">((((1+B303)^(A303/252))/((1+B302)^(A302/252)))^(252/1))-1</f>
        <v>0.13958973845381961</v>
      </c>
      <c r="D303" s="30">
        <v>0.133251682059643</v>
      </c>
      <c r="E303" s="31">
        <f ca="1">B303-D303</f>
        <v>0</v>
      </c>
    </row>
    <row r="304" spans="1:5" x14ac:dyDescent="0.25">
      <c r="A304" s="21">
        <v>303</v>
      </c>
      <c r="B304" s="5" cm="1">
        <f t="array" aca="1" ref="B304" ca="1">interpolexp(A304,serie_du,Taxas_DI)</f>
        <v>0.1332725412715341</v>
      </c>
      <c r="C304" s="32">
        <f ca="1">((((1+B304)^(A304/252))/((1+B303)^(A303/252)))^(252/1))-1</f>
        <v>0.13958962240119877</v>
      </c>
      <c r="D304" s="30">
        <v>0.1332725412715341</v>
      </c>
      <c r="E304" s="31">
        <f ca="1">B304-D304</f>
        <v>0</v>
      </c>
    </row>
    <row r="305" spans="1:5" x14ac:dyDescent="0.25">
      <c r="A305" s="21">
        <v>304</v>
      </c>
      <c r="B305" s="5" cm="1">
        <f t="array" aca="1" ref="B305" ca="1">interpolexp(A305,serie_du,Taxas_DI)</f>
        <v>0.13329326325608459</v>
      </c>
      <c r="C305" s="32">
        <f ca="1">((((1+B305)^(A305/252))/((1+B304)^(A304/252)))^(252/1))-1</f>
        <v>0.13958950750858934</v>
      </c>
      <c r="D305" s="30">
        <v>0.13329326325608459</v>
      </c>
      <c r="E305" s="31">
        <f ca="1">B305-D305</f>
        <v>0</v>
      </c>
    </row>
    <row r="306" spans="1:5" x14ac:dyDescent="0.25">
      <c r="A306" s="21">
        <v>305</v>
      </c>
      <c r="B306" s="5" cm="1">
        <f t="array" aca="1" ref="B306" ca="1">interpolexp(A306,serie_du,Taxas_DI)</f>
        <v>0.13331384936301482</v>
      </c>
      <c r="C306" s="32">
        <f ca="1">((((1+B306)^(A306/252))/((1+B305)^(A305/252)))^(252/1))-1</f>
        <v>0.13958939374581791</v>
      </c>
      <c r="D306" s="30">
        <v>0.13331384936301482</v>
      </c>
      <c r="E306" s="31">
        <f ca="1">B306-D306</f>
        <v>0</v>
      </c>
    </row>
    <row r="307" spans="1:5" x14ac:dyDescent="0.25">
      <c r="A307" s="21">
        <v>306</v>
      </c>
      <c r="B307" s="5" cm="1">
        <f t="array" aca="1" ref="B307" ca="1">interpolexp(A307,serie_du,Taxas_DI)</f>
        <v>0.13333430092441478</v>
      </c>
      <c r="C307" s="32">
        <f ca="1">((((1+B307)^(A307/252))/((1+B306)^(A306/252)))^(252/1))-1</f>
        <v>0.13958928110171787</v>
      </c>
      <c r="D307" s="30">
        <v>0.13333430092441478</v>
      </c>
      <c r="E307" s="31">
        <f ca="1">B307-D307</f>
        <v>0</v>
      </c>
    </row>
    <row r="308" spans="1:5" x14ac:dyDescent="0.25">
      <c r="A308" s="21">
        <v>307</v>
      </c>
      <c r="B308" s="5" cm="1">
        <f t="array" aca="1" ref="B308" ca="1">interpolexp(A308,serie_du,Taxas_DI)</f>
        <v>0.13335461925501058</v>
      </c>
      <c r="C308" s="32">
        <f ca="1">((((1+B308)^(A308/252))/((1+B307)^(A307/252)))^(252/1))-1</f>
        <v>0.13958916955926925</v>
      </c>
      <c r="D308" s="30">
        <v>0.13335461925501058</v>
      </c>
      <c r="E308" s="31">
        <f ca="1">B308-D308</f>
        <v>0</v>
      </c>
    </row>
    <row r="309" spans="1:5" x14ac:dyDescent="0.25">
      <c r="A309" s="21">
        <v>308</v>
      </c>
      <c r="B309" s="5" cm="1">
        <f t="array" aca="1" ref="B309" ca="1">interpolexp(A309,serie_du,Taxas_DI)</f>
        <v>0.13337480565249749</v>
      </c>
      <c r="C309" s="32">
        <f ca="1">((((1+B309)^(A309/252))/((1+B308)^(A308/252)))^(252/1))-1</f>
        <v>0.13958905911735453</v>
      </c>
      <c r="D309" s="30">
        <v>0.13337480565249749</v>
      </c>
      <c r="E309" s="31">
        <f ca="1">B309-D309</f>
        <v>0</v>
      </c>
    </row>
    <row r="310" spans="1:5" x14ac:dyDescent="0.25">
      <c r="A310" s="21">
        <v>309</v>
      </c>
      <c r="B310" s="5" cm="1">
        <f t="array" aca="1" ref="B310" ca="1">interpolexp(A310,serie_du,Taxas_DI)</f>
        <v>0.13339486139771761</v>
      </c>
      <c r="C310" s="32">
        <f ca="1">((((1+B310)^(A310/252))/((1+B309)^(A309/252)))^(252/1))-1</f>
        <v>0.13958894974466518</v>
      </c>
      <c r="D310" s="30">
        <v>0.13339486139771761</v>
      </c>
      <c r="E310" s="31">
        <f ca="1">B310-D310</f>
        <v>0</v>
      </c>
    </row>
    <row r="311" spans="1:5" x14ac:dyDescent="0.25">
      <c r="A311" s="21">
        <v>310</v>
      </c>
      <c r="B311" s="5" cm="1">
        <f t="array" aca="1" ref="B311" ca="1">interpolexp(A311,serie_du,Taxas_DI)</f>
        <v>0.13341478775497073</v>
      </c>
      <c r="C311" s="32">
        <f ca="1">((((1+B311)^(A311/252))/((1+B310)^(A310/252)))^(252/1))-1</f>
        <v>0.1395888414223645</v>
      </c>
      <c r="D311" s="30">
        <v>0.13341478775497073</v>
      </c>
      <c r="E311" s="31">
        <f ca="1">B311-D311</f>
        <v>0</v>
      </c>
    </row>
    <row r="312" spans="1:5" x14ac:dyDescent="0.25">
      <c r="A312" s="21">
        <v>311</v>
      </c>
      <c r="B312" s="5" cm="1">
        <f t="array" aca="1" ref="B312" ca="1">interpolexp(A312,serie_du,Taxas_DI)</f>
        <v>0.13343458597243618</v>
      </c>
      <c r="C312" s="32">
        <f ca="1">((((1+B312)^(A312/252))/((1+B311)^(A311/252)))^(252/1))-1</f>
        <v>0.13958873418058859</v>
      </c>
      <c r="D312" s="30">
        <v>0.13343458597243618</v>
      </c>
      <c r="E312" s="31">
        <f ca="1">B312-D312</f>
        <v>0</v>
      </c>
    </row>
    <row r="313" spans="1:5" x14ac:dyDescent="0.25">
      <c r="A313" s="21">
        <v>312</v>
      </c>
      <c r="B313" s="5" cm="1">
        <f t="array" aca="1" ref="B313" ca="1">interpolexp(A313,serie_du,Taxas_DI)</f>
        <v>0.13345425728208404</v>
      </c>
      <c r="C313" s="32">
        <f ca="1">((((1+B313)^(A313/252))/((1+B312)^(A312/252)))^(252/1))-1</f>
        <v>0.13958862794071147</v>
      </c>
      <c r="D313" s="30">
        <v>0.13345425728208404</v>
      </c>
      <c r="E313" s="31">
        <f ca="1">B313-D313</f>
        <v>0</v>
      </c>
    </row>
    <row r="314" spans="1:5" x14ac:dyDescent="0.25">
      <c r="A314" s="21">
        <v>313</v>
      </c>
      <c r="B314" s="5" cm="1">
        <f t="array" aca="1" ref="B314" ca="1">interpolexp(A314,serie_du,Taxas_DI)</f>
        <v>0.13347380290029687</v>
      </c>
      <c r="C314" s="32">
        <f ca="1">((((1+B314)^(A314/252))/((1+B313)^(A313/252)))^(252/1))-1</f>
        <v>0.13958852273846079</v>
      </c>
      <c r="D314" s="30">
        <v>0.13347380290029687</v>
      </c>
      <c r="E314" s="31">
        <f ca="1">B314-D314</f>
        <v>0</v>
      </c>
    </row>
    <row r="315" spans="1:5" x14ac:dyDescent="0.25">
      <c r="A315" s="21">
        <v>314</v>
      </c>
      <c r="B315" s="5" cm="1">
        <f t="array" aca="1" ref="B315" ca="1">interpolexp(A315,serie_du,Taxas_DI)</f>
        <v>0.13349322402791408</v>
      </c>
      <c r="C315" s="32">
        <f ca="1">((((1+B315)^(A315/252))/((1+B314)^(A314/252)))^(252/1))-1</f>
        <v>0.13958841854581405</v>
      </c>
      <c r="D315" s="30">
        <v>0.13349322402791408</v>
      </c>
      <c r="E315" s="31">
        <f ca="1">B315-D315</f>
        <v>0</v>
      </c>
    </row>
    <row r="316" spans="1:5" x14ac:dyDescent="0.25">
      <c r="A316" s="21">
        <v>315</v>
      </c>
      <c r="B316" s="5" cm="1">
        <f t="array" aca="1" ref="B316" ca="1">interpolexp(A316,serie_du,Taxas_DI)</f>
        <v>0.13351252185054285</v>
      </c>
      <c r="C316" s="32">
        <f ca="1">((((1+B316)^(A316/252))/((1+B315)^(A315/252)))^(252/1))-1</f>
        <v>0.13958831535483718</v>
      </c>
      <c r="D316" s="30">
        <v>0.13351252185054285</v>
      </c>
      <c r="E316" s="31">
        <f ca="1">B316-D316</f>
        <v>0</v>
      </c>
    </row>
    <row r="317" spans="1:5" x14ac:dyDescent="0.25">
      <c r="A317" s="21">
        <v>316</v>
      </c>
      <c r="B317" s="5" cm="1">
        <f t="array" aca="1" ref="B317" ca="1">interpolexp(A317,serie_du,Taxas_DI)</f>
        <v>0.13353169753869132</v>
      </c>
      <c r="C317" s="32">
        <f ca="1">((((1+B317)^(A317/252))/((1+B316)^(A316/252)))^(252/1))-1</f>
        <v>0.13958821312360126</v>
      </c>
      <c r="D317" s="30">
        <v>0.13353169753869132</v>
      </c>
      <c r="E317" s="31">
        <f ca="1">B317-D317</f>
        <v>0</v>
      </c>
    </row>
    <row r="318" spans="1:5" x14ac:dyDescent="0.25">
      <c r="A318" s="21">
        <v>317</v>
      </c>
      <c r="B318" s="5" cm="1">
        <f t="array" aca="1" ref="B318" ca="1">interpolexp(A318,serie_du,Taxas_DI)</f>
        <v>0.13355075224823487</v>
      </c>
      <c r="C318" s="32">
        <f ca="1">((((1+B318)^(A318/252))/((1+B317)^(A317/252)))^(252/1))-1</f>
        <v>0.13958811188335307</v>
      </c>
      <c r="D318" s="30">
        <v>0.13355075224823487</v>
      </c>
      <c r="E318" s="31">
        <f ca="1">B318-D318</f>
        <v>0</v>
      </c>
    </row>
    <row r="319" spans="1:5" x14ac:dyDescent="0.25">
      <c r="A319" s="21">
        <v>318</v>
      </c>
      <c r="B319" s="5" cm="1">
        <f t="array" aca="1" ref="B319" ca="1">interpolexp(A319,serie_du,Taxas_DI)</f>
        <v>0.13356968712043837</v>
      </c>
      <c r="C319" s="32">
        <f ca="1">((((1+B319)^(A319/252))/((1+B318)^(A318/252)))^(252/1))-1</f>
        <v>0.13958801159891743</v>
      </c>
      <c r="D319" s="30">
        <v>0.13356968712043837</v>
      </c>
      <c r="E319" s="31">
        <f ca="1">B319-D319</f>
        <v>0</v>
      </c>
    </row>
    <row r="320" spans="1:5" x14ac:dyDescent="0.25">
      <c r="A320" s="21">
        <v>319</v>
      </c>
      <c r="B320" s="5" cm="1">
        <f t="array" aca="1" ref="B320" ca="1">interpolexp(A320,serie_du,Taxas_DI)</f>
        <v>0.13358850328224481</v>
      </c>
      <c r="C320" s="32">
        <f ca="1">((((1+B320)^(A320/252))/((1+B319)^(A319/252)))^(252/1))-1</f>
        <v>0.1395879122544843</v>
      </c>
      <c r="D320" s="30">
        <v>0.13358850328224481</v>
      </c>
      <c r="E320" s="31">
        <f ca="1">B320-D320</f>
        <v>0</v>
      </c>
    </row>
    <row r="321" spans="1:5" x14ac:dyDescent="0.25">
      <c r="A321" s="21">
        <v>320</v>
      </c>
      <c r="B321" s="5" cm="1">
        <f t="array" aca="1" ref="B321" ca="1">interpolexp(A321,serie_du,Taxas_DI)</f>
        <v>0.13360720184654173</v>
      </c>
      <c r="C321" s="32">
        <f ca="1">((((1+B321)^(A321/252))/((1+B320)^(A320/252)))^(252/1))-1</f>
        <v>0.13958781384799046</v>
      </c>
      <c r="D321" s="30">
        <v>0.13360720184654173</v>
      </c>
      <c r="E321" s="31">
        <f ca="1">B321-D321</f>
        <v>0</v>
      </c>
    </row>
    <row r="322" spans="1:5" x14ac:dyDescent="0.25">
      <c r="A322" s="21">
        <v>321</v>
      </c>
      <c r="B322" s="5" cm="1">
        <f t="array" aca="1" ref="B322" ca="1">interpolexp(A322,serie_du,Taxas_DI)</f>
        <v>0.13362578391233892</v>
      </c>
      <c r="C322" s="32">
        <f ca="1">((((1+B322)^(A322/252))/((1+B321)^(A321/252)))^(252/1))-1</f>
        <v>0.13958771636449274</v>
      </c>
      <c r="D322" s="30">
        <v>0.13362578391233892</v>
      </c>
      <c r="E322" s="31">
        <f ca="1">B322-D322</f>
        <v>0</v>
      </c>
    </row>
    <row r="323" spans="1:5" x14ac:dyDescent="0.25">
      <c r="A323" s="21">
        <v>322</v>
      </c>
      <c r="B323" s="5" cm="1">
        <f t="array" aca="1" ref="B323" ca="1">interpolexp(A323,serie_du,Taxas_DI)</f>
        <v>0.13364425056501261</v>
      </c>
      <c r="C323" s="32">
        <f ca="1">((((1+B323)^(A323/252))/((1+B322)^(A322/252)))^(252/1))-1</f>
        <v>0.1395876197983974</v>
      </c>
      <c r="D323" s="30">
        <v>0.13364425056501261</v>
      </c>
      <c r="E323" s="31">
        <f ca="1">B323-D323</f>
        <v>0</v>
      </c>
    </row>
    <row r="324" spans="1:5" x14ac:dyDescent="0.25">
      <c r="A324" s="21">
        <v>323</v>
      </c>
      <c r="B324" s="5" cm="1">
        <f t="array" aca="1" ref="B324" ca="1">interpolexp(A324,serie_du,Taxas_DI)</f>
        <v>0.13366260287643872</v>
      </c>
      <c r="C324" s="32">
        <f ca="1">((((1+B324)^(A324/252))/((1+B323)^(A323/252)))^(252/1))-1</f>
        <v>0.13958752411908582</v>
      </c>
      <c r="D324" s="30">
        <v>0.13366260287643872</v>
      </c>
      <c r="E324" s="31">
        <f ca="1">B324-D324</f>
        <v>0</v>
      </c>
    </row>
    <row r="325" spans="1:5" x14ac:dyDescent="0.25">
      <c r="A325" s="21">
        <v>324</v>
      </c>
      <c r="B325" s="5" cm="1">
        <f t="array" aca="1" ref="B325" ca="1">interpolexp(A325,serie_du,Taxas_DI)</f>
        <v>0.13368084190534812</v>
      </c>
      <c r="C325" s="32">
        <f ca="1">((((1+B325)^(A325/252))/((1+B324)^(A324/252)))^(252/1))-1</f>
        <v>0.13958742934388502</v>
      </c>
      <c r="D325" s="30">
        <v>0.13368084190534812</v>
      </c>
      <c r="E325" s="31">
        <f ca="1">B325-D325</f>
        <v>0</v>
      </c>
    </row>
    <row r="326" spans="1:5" x14ac:dyDescent="0.25">
      <c r="A326" s="21">
        <v>325</v>
      </c>
      <c r="B326" s="5" cm="1">
        <f t="array" aca="1" ref="B326" ca="1">interpolexp(A326,serie_du,Taxas_DI)</f>
        <v>0.13369896869734887</v>
      </c>
      <c r="C326" s="32">
        <f ca="1">((((1+B326)^(A326/252))/((1+B325)^(A325/252)))^(252/1))-1</f>
        <v>0.13958733543159596</v>
      </c>
      <c r="D326" s="30">
        <v>0.13369896869734887</v>
      </c>
      <c r="E326" s="31">
        <f ca="1">B326-D326</f>
        <v>0</v>
      </c>
    </row>
    <row r="327" spans="1:5" x14ac:dyDescent="0.25">
      <c r="A327" s="21">
        <v>326</v>
      </c>
      <c r="B327" s="5" cm="1">
        <f t="array" aca="1" ref="B327" ca="1">interpolexp(A327,serie_du,Taxas_DI)</f>
        <v>0.13371698428530365</v>
      </c>
      <c r="C327" s="32">
        <f ca="1">((((1+B327)^(A327/252))/((1+B326)^(A326/252)))^(252/1))-1</f>
        <v>0.13958724239888842</v>
      </c>
      <c r="D327" s="30">
        <v>0.13371698428530365</v>
      </c>
      <c r="E327" s="31">
        <f ca="1">B327-D327</f>
        <v>0</v>
      </c>
    </row>
    <row r="328" spans="1:5" x14ac:dyDescent="0.25">
      <c r="A328" s="21">
        <v>327</v>
      </c>
      <c r="B328" s="5" cm="1">
        <f t="array" aca="1" ref="B328" ca="1">interpolexp(A328,serie_du,Taxas_DI)</f>
        <v>0.13373488968937419</v>
      </c>
      <c r="C328" s="32">
        <f ca="1">((((1+B328)^(A328/252))/((1+B327)^(A327/252)))^(252/1))-1</f>
        <v>0.13958715021296864</v>
      </c>
      <c r="D328" s="30">
        <v>0.13373488968937419</v>
      </c>
      <c r="E328" s="31">
        <f ca="1">B328-D328</f>
        <v>0</v>
      </c>
    </row>
    <row r="329" spans="1:5" x14ac:dyDescent="0.25">
      <c r="A329" s="21">
        <v>328</v>
      </c>
      <c r="B329" s="5" cm="1">
        <f t="array" aca="1" ref="B329" ca="1">interpolexp(A329,serie_du,Taxas_DI)</f>
        <v>0.13375268591733214</v>
      </c>
      <c r="C329" s="32">
        <f ca="1">((((1+B329)^(A329/252))/((1+B328)^(A328/252)))^(252/1))-1</f>
        <v>0.1395870588802377</v>
      </c>
      <c r="D329" s="30">
        <v>0.13375268591733214</v>
      </c>
      <c r="E329" s="31">
        <f ca="1">B329-D329</f>
        <v>0</v>
      </c>
    </row>
    <row r="330" spans="1:5" x14ac:dyDescent="0.25">
      <c r="A330" s="21">
        <v>329</v>
      </c>
      <c r="B330" s="5" cm="1">
        <f t="array" aca="1" ref="B330" ca="1">interpolexp(A330,serie_du,Taxas_DI)</f>
        <v>0.13377037396464786</v>
      </c>
      <c r="C330" s="32">
        <f ca="1">((((1+B330)^(A330/252))/((1+B329)^(A329/252)))^(252/1))-1</f>
        <v>0.13958696837397011</v>
      </c>
      <c r="D330" s="30">
        <v>0.13377037396464786</v>
      </c>
      <c r="E330" s="31">
        <f ca="1">B330-D330</f>
        <v>0</v>
      </c>
    </row>
    <row r="331" spans="1:5" x14ac:dyDescent="0.25">
      <c r="A331" s="21">
        <v>330</v>
      </c>
      <c r="B331" s="5" cm="1">
        <f t="array" aca="1" ref="B331" ca="1">interpolexp(A331,serie_du,Taxas_DI)</f>
        <v>0.13378795481480132</v>
      </c>
      <c r="C331" s="32">
        <f ca="1">((((1+B331)^(A331/252))/((1+B330)^(A330/252)))^(252/1))-1</f>
        <v>0.13958687870909858</v>
      </c>
      <c r="D331" s="30">
        <v>0.13378795481480132</v>
      </c>
      <c r="E331" s="31">
        <f ca="1">B331-D331</f>
        <v>0</v>
      </c>
    </row>
    <row r="332" spans="1:5" x14ac:dyDescent="0.25">
      <c r="A332" s="21">
        <v>331</v>
      </c>
      <c r="B332" s="5" cm="1">
        <f t="array" aca="1" ref="B332" ca="1">interpolexp(A332,serie_du,Taxas_DI)</f>
        <v>0.13380542943930429</v>
      </c>
      <c r="C332" s="32">
        <f ca="1">((((1+B332)^(A332/252))/((1+B331)^(A331/252)))^(252/1))-1</f>
        <v>0.13958678984798523</v>
      </c>
      <c r="D332" s="30">
        <v>0.13380542943930429</v>
      </c>
      <c r="E332" s="31">
        <f ca="1">B332-D332</f>
        <v>0</v>
      </c>
    </row>
    <row r="333" spans="1:5" x14ac:dyDescent="0.25">
      <c r="A333" s="21">
        <v>332</v>
      </c>
      <c r="B333" s="5" cm="1">
        <f t="array" aca="1" ref="B333" ca="1">interpolexp(A333,serie_du,Taxas_DI)</f>
        <v>0.13382279879801118</v>
      </c>
      <c r="C333" s="32">
        <f ca="1">((((1+B333)^(A333/252))/((1+B332)^(A332/252)))^(252/1))-1</f>
        <v>0.13958670179628752</v>
      </c>
      <c r="D333" s="30">
        <v>0.13382279879801118</v>
      </c>
      <c r="E333" s="31">
        <f ca="1">B333-D333</f>
        <v>0</v>
      </c>
    </row>
    <row r="334" spans="1:5" x14ac:dyDescent="0.25">
      <c r="A334" s="21">
        <v>333</v>
      </c>
      <c r="B334" s="5" cm="1">
        <f t="array" aca="1" ref="B334" ca="1">interpolexp(A334,serie_du,Taxas_DI)</f>
        <v>0.13384006383920788</v>
      </c>
      <c r="C334" s="32">
        <f ca="1">((((1+B334)^(A334/252))/((1+B333)^(A333/252)))^(252/1))-1</f>
        <v>0.13958661453139443</v>
      </c>
      <c r="D334" s="30">
        <v>0.13384006383920788</v>
      </c>
      <c r="E334" s="31">
        <f ca="1">B334-D334</f>
        <v>0</v>
      </c>
    </row>
    <row r="335" spans="1:5" x14ac:dyDescent="0.25">
      <c r="A335" s="21">
        <v>334</v>
      </c>
      <c r="B335" s="5" cm="1">
        <f t="array" aca="1" ref="B335" ca="1">interpolexp(A335,serie_du,Taxas_DI)</f>
        <v>0.13385722549992263</v>
      </c>
      <c r="C335" s="32">
        <f ca="1">((((1+B335)^(A335/252))/((1+B334)^(A334/252)))^(252/1))-1</f>
        <v>0.13958652807679139</v>
      </c>
      <c r="D335" s="30">
        <v>0.13385722549992263</v>
      </c>
      <c r="E335" s="31">
        <f ca="1">B335-D335</f>
        <v>0</v>
      </c>
    </row>
    <row r="336" spans="1:5" x14ac:dyDescent="0.25">
      <c r="A336" s="21">
        <v>335</v>
      </c>
      <c r="B336" s="5" cm="1">
        <f t="array" aca="1" ref="B336" ca="1">interpolexp(A336,serie_du,Taxas_DI)</f>
        <v>0.13387428470583718</v>
      </c>
      <c r="C336" s="32">
        <f ca="1">((((1+B336)^(A336/252))/((1+B335)^(A335/252)))^(252/1))-1</f>
        <v>0.13958644236977658</v>
      </c>
      <c r="D336" s="30">
        <v>0.13387428470583718</v>
      </c>
      <c r="E336" s="31">
        <f ca="1">B336-D336</f>
        <v>0</v>
      </c>
    </row>
    <row r="337" spans="1:5" x14ac:dyDescent="0.25">
      <c r="A337" s="21">
        <v>336</v>
      </c>
      <c r="B337" s="5" cm="1">
        <f t="array" aca="1" ref="B337" ca="1">interpolexp(A337,serie_du,Taxas_DI)</f>
        <v>0.13389124237173089</v>
      </c>
      <c r="C337" s="32">
        <f ca="1">((((1+B337)^(A337/252))/((1+B336)^(A336/252)))^(252/1))-1</f>
        <v>0.13958635744065107</v>
      </c>
      <c r="D337" s="30">
        <v>0.13389124237173089</v>
      </c>
      <c r="E337" s="31">
        <f ca="1">B337-D337</f>
        <v>0</v>
      </c>
    </row>
    <row r="338" spans="1:5" x14ac:dyDescent="0.25">
      <c r="A338" s="21">
        <v>337</v>
      </c>
      <c r="B338" s="5" cm="1">
        <f t="array" aca="1" ref="B338" ca="1">interpolexp(A338,serie_du,Taxas_DI)</f>
        <v>0.13390809940152515</v>
      </c>
      <c r="C338" s="32">
        <f ca="1">((((1+B338)^(A338/252))/((1+B337)^(A337/252)))^(252/1))-1</f>
        <v>0.13958627328015938</v>
      </c>
      <c r="D338" s="30">
        <v>0.13390809940152515</v>
      </c>
      <c r="E338" s="31">
        <f ca="1">B338-D338</f>
        <v>0</v>
      </c>
    </row>
    <row r="339" spans="1:5" x14ac:dyDescent="0.25">
      <c r="A339" s="21">
        <v>338</v>
      </c>
      <c r="B339" s="5" cm="1">
        <f t="array" aca="1" ref="B339" ca="1">interpolexp(A339,serie_du,Taxas_DI)</f>
        <v>0.13392485668837217</v>
      </c>
      <c r="C339" s="32">
        <f ca="1">((((1+B339)^(A339/252))/((1+B338)^(A338/252)))^(252/1))-1</f>
        <v>0.13958618985479432</v>
      </c>
      <c r="D339" s="30">
        <v>0.13392485668837217</v>
      </c>
      <c r="E339" s="31">
        <f ca="1">B339-D339</f>
        <v>0</v>
      </c>
    </row>
    <row r="340" spans="1:5" x14ac:dyDescent="0.25">
      <c r="A340" s="21">
        <v>339</v>
      </c>
      <c r="B340" s="5" cm="1">
        <f t="array" aca="1" ref="B340" ca="1">interpolexp(A340,serie_du,Taxas_DI)</f>
        <v>0.13394151511498809</v>
      </c>
      <c r="C340" s="32">
        <f ca="1">((((1+B340)^(A340/252))/((1+B339)^(A339/252)))^(252/1))-1</f>
        <v>0.13958610719044851</v>
      </c>
      <c r="D340" s="30">
        <v>0.13394151511498809</v>
      </c>
      <c r="E340" s="31">
        <f ca="1">B340-D340</f>
        <v>0</v>
      </c>
    </row>
    <row r="341" spans="1:5" x14ac:dyDescent="0.25">
      <c r="A341" s="21">
        <v>340</v>
      </c>
      <c r="B341" s="5" cm="1">
        <f t="array" aca="1" ref="B341" ca="1">interpolexp(A341,serie_du,Taxas_DI)</f>
        <v>0.1339580755535863</v>
      </c>
      <c r="C341" s="32">
        <f ca="1">((((1+B341)^(A341/252))/((1+B340)^(A340/252)))^(252/1))-1</f>
        <v>0.13958602523823482</v>
      </c>
      <c r="D341" s="30">
        <v>0.1339580755535863</v>
      </c>
      <c r="E341" s="31">
        <f ca="1">B341-D341</f>
        <v>0</v>
      </c>
    </row>
    <row r="342" spans="1:5" x14ac:dyDescent="0.25">
      <c r="A342" s="21">
        <v>341</v>
      </c>
      <c r="B342" s="5" cm="1">
        <f t="array" aca="1" ref="B342" ca="1">interpolexp(A342,serie_du,Taxas_DI)</f>
        <v>0.13397453886621058</v>
      </c>
      <c r="C342" s="32">
        <f ca="1">((((1+B342)^(A342/252))/((1+B341)^(A341/252)))^(252/1))-1</f>
        <v>0.13958594401033908</v>
      </c>
      <c r="D342" s="30">
        <v>0.13397453886621058</v>
      </c>
      <c r="E342" s="31">
        <f ca="1">B342-D342</f>
        <v>0</v>
      </c>
    </row>
    <row r="343" spans="1:5" x14ac:dyDescent="0.25">
      <c r="A343" s="21">
        <v>342</v>
      </c>
      <c r="B343" s="5" cm="1">
        <f t="array" aca="1" ref="B343" ca="1">interpolexp(A343,serie_du,Taxas_DI)</f>
        <v>0.13399090590486828</v>
      </c>
      <c r="C343" s="32">
        <f ca="1">((((1+B343)^(A343/252))/((1+B342)^(A342/252)))^(252/1))-1</f>
        <v>0.13958586351399149</v>
      </c>
      <c r="D343" s="30">
        <v>0.13399090590486828</v>
      </c>
      <c r="E343" s="31">
        <f ca="1">B343-D343</f>
        <v>0</v>
      </c>
    </row>
    <row r="344" spans="1:5" x14ac:dyDescent="0.25">
      <c r="A344" s="21">
        <v>343</v>
      </c>
      <c r="B344" s="5" cm="1">
        <f t="array" aca="1" ref="B344" ca="1">interpolexp(A344,serie_du,Taxas_DI)</f>
        <v>0.13400717751153035</v>
      </c>
      <c r="C344" s="32">
        <f ca="1">((((1+B344)^(A344/252))/((1+B343)^(A343/252)))^(252/1))-1</f>
        <v>0.13958578370614227</v>
      </c>
      <c r="D344" s="30">
        <v>0.13400717751153035</v>
      </c>
      <c r="E344" s="31">
        <f ca="1">B344-D344</f>
        <v>0</v>
      </c>
    </row>
    <row r="345" spans="1:5" x14ac:dyDescent="0.25">
      <c r="A345" s="21">
        <v>344</v>
      </c>
      <c r="B345" s="5" cm="1">
        <f t="array" aca="1" ref="B345" ca="1">interpolexp(A345,serie_du,Taxas_DI)</f>
        <v>0.13402335451844216</v>
      </c>
      <c r="C345" s="32">
        <f ca="1">((((1+B345)^(A345/252))/((1+B344)^(A344/252)))^(252/1))-1</f>
        <v>0.13958570460101494</v>
      </c>
      <c r="D345" s="30">
        <v>0.13402335451844216</v>
      </c>
      <c r="E345" s="31">
        <f ca="1">B345-D345</f>
        <v>0</v>
      </c>
    </row>
    <row r="346" spans="1:5" x14ac:dyDescent="0.25">
      <c r="A346" s="21">
        <v>345</v>
      </c>
      <c r="B346" s="5" cm="1">
        <f t="array" aca="1" ref="B346" ca="1">interpolexp(A346,serie_du,Taxas_DI)</f>
        <v>0.13403219088885532</v>
      </c>
      <c r="C346" s="32">
        <f ca="1">((((1+B346)^(A346/252))/((1+B345)^(A345/252)))^(252/1))-1</f>
        <v>0.13707599171816987</v>
      </c>
      <c r="D346" s="30">
        <v>0.13403219088885532</v>
      </c>
      <c r="E346" s="31">
        <f ca="1">B346-D346</f>
        <v>0</v>
      </c>
    </row>
    <row r="347" spans="1:5" x14ac:dyDescent="0.25">
      <c r="A347" s="21">
        <v>346</v>
      </c>
      <c r="B347" s="5" cm="1">
        <f t="array" aca="1" ref="B347" ca="1">interpolexp(A347,serie_du,Taxas_DI)</f>
        <v>0.13404097618274768</v>
      </c>
      <c r="C347" s="32">
        <f ca="1">((((1+B347)^(A347/252))/((1+B346)^(A346/252)))^(252/1))-1</f>
        <v>0.13707596830326274</v>
      </c>
      <c r="D347" s="30">
        <v>0.13404097618274768</v>
      </c>
      <c r="E347" s="31">
        <f ca="1">B347-D347</f>
        <v>0</v>
      </c>
    </row>
    <row r="348" spans="1:5" x14ac:dyDescent="0.25">
      <c r="A348" s="21">
        <v>347</v>
      </c>
      <c r="B348" s="5" cm="1">
        <f t="array" aca="1" ref="B348" ca="1">interpolexp(A348,serie_du,Taxas_DI)</f>
        <v>0.13404971084169937</v>
      </c>
      <c r="C348" s="32">
        <f ca="1">((((1+B348)^(A348/252))/((1+B347)^(A347/252)))^(252/1))-1</f>
        <v>0.13707594509200982</v>
      </c>
      <c r="D348" s="30">
        <v>0.13404971084169937</v>
      </c>
      <c r="E348" s="31">
        <f ca="1">B348-D348</f>
        <v>0</v>
      </c>
    </row>
    <row r="349" spans="1:5" x14ac:dyDescent="0.25">
      <c r="A349" s="21">
        <v>348</v>
      </c>
      <c r="B349" s="5" cm="1">
        <f t="array" aca="1" ref="B349" ca="1">interpolexp(A349,serie_du,Taxas_DI)</f>
        <v>0.13405839530222785</v>
      </c>
      <c r="C349" s="32">
        <f ca="1">((((1+B349)^(A349/252))/((1+B348)^(A348/252)))^(252/1))-1</f>
        <v>0.13707592208688135</v>
      </c>
      <c r="D349" s="30">
        <v>0.13405839530222785</v>
      </c>
      <c r="E349" s="31">
        <f ca="1">B349-D349</f>
        <v>0</v>
      </c>
    </row>
    <row r="350" spans="1:5" x14ac:dyDescent="0.25">
      <c r="A350" s="21">
        <v>349</v>
      </c>
      <c r="B350" s="5" cm="1">
        <f t="array" aca="1" ref="B350" ca="1">interpolexp(A350,serie_du,Taxas_DI)</f>
        <v>0.13406702999583242</v>
      </c>
      <c r="C350" s="32">
        <f ca="1">((((1+B350)^(A350/252))/((1+B349)^(A349/252)))^(252/1))-1</f>
        <v>0.13707589928006736</v>
      </c>
      <c r="D350" s="30">
        <v>0.13406702999583242</v>
      </c>
      <c r="E350" s="31">
        <f ca="1">B350-D350</f>
        <v>0</v>
      </c>
    </row>
    <row r="351" spans="1:5" x14ac:dyDescent="0.25">
      <c r="A351" s="21">
        <v>350</v>
      </c>
      <c r="B351" s="5" cm="1">
        <f t="array" aca="1" ref="B351" ca="1">interpolexp(A351,serie_du,Taxas_DI)</f>
        <v>0.13407561534903856</v>
      </c>
      <c r="C351" s="32">
        <f ca="1">((((1+B351)^(A351/252))/((1+B350)^(A350/252)))^(252/1))-1</f>
        <v>0.13707587665444532</v>
      </c>
      <c r="D351" s="30">
        <v>0.13407561534903856</v>
      </c>
      <c r="E351" s="31">
        <f ca="1">B351-D351</f>
        <v>0</v>
      </c>
    </row>
    <row r="352" spans="1:5" x14ac:dyDescent="0.25">
      <c r="A352" s="21">
        <v>351</v>
      </c>
      <c r="B352" s="5" cm="1">
        <f t="array" aca="1" ref="B352" ca="1">interpolexp(A352,serie_du,Taxas_DI)</f>
        <v>0.13408415178359778</v>
      </c>
      <c r="C352" s="32">
        <f ca="1">((((1+B352)^(A352/252))/((1+B351)^(A351/252)))^(252/1))-1</f>
        <v>0.13707585423831037</v>
      </c>
      <c r="D352" s="30">
        <v>0.13408415178359778</v>
      </c>
      <c r="E352" s="31">
        <f ca="1">B352-D352</f>
        <v>0</v>
      </c>
    </row>
    <row r="353" spans="1:5" x14ac:dyDescent="0.25">
      <c r="A353" s="21">
        <v>352</v>
      </c>
      <c r="B353" s="5" cm="1">
        <f t="array" aca="1" ref="B353" ca="1">interpolexp(A353,serie_du,Taxas_DI)</f>
        <v>0.13409263971639884</v>
      </c>
      <c r="C353" s="32">
        <f ca="1">((((1+B353)^(A353/252))/((1+B352)^(A352/252)))^(252/1))-1</f>
        <v>0.13707583200465279</v>
      </c>
      <c r="D353" s="30">
        <v>0.13409263971639884</v>
      </c>
      <c r="E353" s="31">
        <f ca="1">B353-D353</f>
        <v>0</v>
      </c>
    </row>
    <row r="354" spans="1:5" x14ac:dyDescent="0.25">
      <c r="A354" s="21">
        <v>353</v>
      </c>
      <c r="B354" s="5" cm="1">
        <f t="array" aca="1" ref="B354" ca="1">interpolexp(A354,serie_du,Taxas_DI)</f>
        <v>0.13410107955966755</v>
      </c>
      <c r="C354" s="32">
        <f ca="1">((((1+B354)^(A354/252))/((1+B353)^(A353/252)))^(252/1))-1</f>
        <v>0.13707580997283242</v>
      </c>
      <c r="D354" s="30">
        <v>0.13410107955966755</v>
      </c>
      <c r="E354" s="31">
        <f ca="1">B354-D354</f>
        <v>0</v>
      </c>
    </row>
    <row r="355" spans="1:5" x14ac:dyDescent="0.25">
      <c r="A355" s="21">
        <v>354</v>
      </c>
      <c r="B355" s="5" cm="1">
        <f t="array" aca="1" ref="B355" ca="1">interpolexp(A355,serie_du,Taxas_DI)</f>
        <v>0.13410947172090015</v>
      </c>
      <c r="C355" s="32">
        <f ca="1">((((1+B355)^(A355/252))/((1+B354)^(A354/252)))^(252/1))-1</f>
        <v>0.13707578811542209</v>
      </c>
      <c r="D355" s="30">
        <v>0.13410947172090015</v>
      </c>
      <c r="E355" s="31">
        <f ca="1">B355-D355</f>
        <v>0</v>
      </c>
    </row>
    <row r="356" spans="1:5" x14ac:dyDescent="0.25">
      <c r="A356" s="21">
        <v>355</v>
      </c>
      <c r="B356" s="5" cm="1">
        <f t="array" aca="1" ref="B356" ca="1">interpolexp(A356,serie_du,Taxas_DI)</f>
        <v>0.13411781660304101</v>
      </c>
      <c r="C356" s="32">
        <f ca="1">((((1+B356)^(A356/252))/((1+B355)^(A355/252)))^(252/1))-1</f>
        <v>0.13707576644418173</v>
      </c>
      <c r="D356" s="30">
        <v>0.13411781660304101</v>
      </c>
      <c r="E356" s="31">
        <f ca="1">B356-D356</f>
        <v>0</v>
      </c>
    </row>
    <row r="357" spans="1:5" x14ac:dyDescent="0.25">
      <c r="A357" s="21">
        <v>356</v>
      </c>
      <c r="B357" s="5" cm="1">
        <f t="array" aca="1" ref="B357" ca="1">interpolexp(A357,serie_du,Taxas_DI)</f>
        <v>0.13412611460450474</v>
      </c>
      <c r="C357" s="32">
        <f ca="1">((((1+B357)^(A357/252))/((1+B356)^(A356/252)))^(252/1))-1</f>
        <v>0.13707574495623631</v>
      </c>
      <c r="D357" s="30">
        <v>0.13412611460450474</v>
      </c>
      <c r="E357" s="31">
        <f ca="1">B357-D357</f>
        <v>0</v>
      </c>
    </row>
    <row r="358" spans="1:5" x14ac:dyDescent="0.25">
      <c r="A358" s="21">
        <v>357</v>
      </c>
      <c r="B358" s="5" cm="1">
        <f t="array" aca="1" ref="B358" ca="1">interpolexp(A358,serie_du,Taxas_DI)</f>
        <v>0.1341343661192651</v>
      </c>
      <c r="C358" s="32">
        <f ca="1">((((1+B358)^(A358/252))/((1+B357)^(A357/252)))^(252/1))-1</f>
        <v>0.13707572365781351</v>
      </c>
      <c r="D358" s="30">
        <v>0.1341343661192651</v>
      </c>
      <c r="E358" s="31">
        <f ca="1">B358-D358</f>
        <v>0</v>
      </c>
    </row>
    <row r="359" spans="1:5" x14ac:dyDescent="0.25">
      <c r="A359" s="21">
        <v>358</v>
      </c>
      <c r="B359" s="5" cm="1">
        <f t="array" aca="1" ref="B359" ca="1">interpolexp(A359,serie_du,Taxas_DI)</f>
        <v>0.13414257153685494</v>
      </c>
      <c r="C359" s="32">
        <f ca="1">((((1+B359)^(A359/252))/((1+B358)^(A358/252)))^(252/1))-1</f>
        <v>0.1370757025330307</v>
      </c>
      <c r="D359" s="30">
        <v>0.13414257153685494</v>
      </c>
      <c r="E359" s="31">
        <f ca="1">B359-D359</f>
        <v>0</v>
      </c>
    </row>
    <row r="360" spans="1:5" x14ac:dyDescent="0.25">
      <c r="A360" s="21">
        <v>359</v>
      </c>
      <c r="B360" s="5" cm="1">
        <f t="array" aca="1" ref="B360" ca="1">interpolexp(A360,serie_du,Taxas_DI)</f>
        <v>0.13415073124247723</v>
      </c>
      <c r="C360" s="32">
        <f ca="1">((((1+B360)^(A360/252))/((1+B359)^(A359/252)))^(252/1))-1</f>
        <v>0.13707568158335448</v>
      </c>
      <c r="D360" s="30">
        <v>0.13415073124247723</v>
      </c>
      <c r="E360" s="31">
        <f ca="1">B360-D360</f>
        <v>0</v>
      </c>
    </row>
    <row r="361" spans="1:5" x14ac:dyDescent="0.25">
      <c r="A361" s="21">
        <v>360</v>
      </c>
      <c r="B361" s="5" cm="1">
        <f t="array" aca="1" ref="B361" ca="1">interpolexp(A361,serie_du,Taxas_DI)</f>
        <v>0.13415884561704949</v>
      </c>
      <c r="C361" s="32">
        <f ca="1">((((1+B361)^(A361/252))/((1+B360)^(A360/252)))^(252/1))-1</f>
        <v>0.13707566080501077</v>
      </c>
      <c r="D361" s="30">
        <v>0.13415884561704949</v>
      </c>
      <c r="E361" s="31">
        <f ca="1">B361-D361</f>
        <v>0</v>
      </c>
    </row>
    <row r="362" spans="1:5" x14ac:dyDescent="0.25">
      <c r="A362" s="21">
        <v>361</v>
      </c>
      <c r="B362" s="5" cm="1">
        <f t="array" aca="1" ref="B362" ca="1">interpolexp(A362,serie_du,Taxas_DI)</f>
        <v>0.13416691503729261</v>
      </c>
      <c r="C362" s="32">
        <f ca="1">((((1+B362)^(A362/252))/((1+B361)^(A361/252)))^(252/1))-1</f>
        <v>0.13707564020464491</v>
      </c>
      <c r="D362" s="30">
        <v>0.13416691503729261</v>
      </c>
      <c r="E362" s="31">
        <f ca="1">B362-D362</f>
        <v>0</v>
      </c>
    </row>
    <row r="363" spans="1:5" x14ac:dyDescent="0.25">
      <c r="A363" s="21">
        <v>362</v>
      </c>
      <c r="B363" s="5" cm="1">
        <f t="array" aca="1" ref="B363" ca="1">interpolexp(A363,serie_du,Taxas_DI)</f>
        <v>0.13417493987573081</v>
      </c>
      <c r="C363" s="32">
        <f ca="1">((((1+B363)^(A363/252))/((1+B362)^(A362/252)))^(252/1))-1</f>
        <v>0.13707561976797433</v>
      </c>
      <c r="D363" s="30">
        <v>0.13417493987573081</v>
      </c>
      <c r="E363" s="31">
        <f ca="1">B363-D363</f>
        <v>0</v>
      </c>
    </row>
    <row r="364" spans="1:5" x14ac:dyDescent="0.25">
      <c r="A364" s="21">
        <v>363</v>
      </c>
      <c r="B364" s="5" cm="1">
        <f t="array" aca="1" ref="B364" ca="1">interpolexp(A364,serie_du,Taxas_DI)</f>
        <v>0.13418292050084712</v>
      </c>
      <c r="C364" s="32">
        <f ca="1">((((1+B364)^(A364/252))/((1+B363)^(A363/252)))^(252/1))-1</f>
        <v>0.13707559951632731</v>
      </c>
      <c r="D364" s="30">
        <v>0.13418292050084712</v>
      </c>
      <c r="E364" s="31">
        <f ca="1">B364-D364</f>
        <v>0</v>
      </c>
    </row>
    <row r="365" spans="1:5" x14ac:dyDescent="0.25">
      <c r="A365" s="21">
        <v>364</v>
      </c>
      <c r="B365" s="5" cm="1">
        <f t="array" aca="1" ref="B365" ca="1">interpolexp(A365,serie_du,Taxas_DI)</f>
        <v>0.13419085727699454</v>
      </c>
      <c r="C365" s="32">
        <f ca="1">((((1+B365)^(A365/252))/((1+B364)^(A364/252)))^(252/1))-1</f>
        <v>0.1370755794183971</v>
      </c>
      <c r="D365" s="30">
        <v>0.13419085727699454</v>
      </c>
      <c r="E365" s="31">
        <f ca="1">B365-D365</f>
        <v>0</v>
      </c>
    </row>
    <row r="366" spans="1:5" x14ac:dyDescent="0.25">
      <c r="A366" s="21">
        <v>365</v>
      </c>
      <c r="B366" s="5" cm="1">
        <f t="array" aca="1" ref="B366" ca="1">interpolexp(A366,serie_du,Taxas_DI)</f>
        <v>0.13419875056459585</v>
      </c>
      <c r="C366" s="32">
        <f ca="1">((((1+B366)^(A366/252))/((1+B365)^(A365/252)))^(252/1))-1</f>
        <v>0.13707555949525796</v>
      </c>
      <c r="D366" s="30">
        <v>0.13419875056459585</v>
      </c>
      <c r="E366" s="31">
        <f ca="1">B366-D366</f>
        <v>0</v>
      </c>
    </row>
    <row r="367" spans="1:5" x14ac:dyDescent="0.25">
      <c r="A367" s="21">
        <v>366</v>
      </c>
      <c r="B367" s="5" cm="1">
        <f t="array" aca="1" ref="B367" ca="1">interpolexp(A367,serie_du,Taxas_DI)</f>
        <v>0.13420660072007706</v>
      </c>
      <c r="C367" s="32">
        <f ca="1">((((1+B367)^(A367/252))/((1+B366)^(A366/252)))^(252/1))-1</f>
        <v>0.13707553972378794</v>
      </c>
      <c r="D367" s="30">
        <v>0.13420660072007706</v>
      </c>
      <c r="E367" s="31">
        <f ca="1">B367-D367</f>
        <v>0</v>
      </c>
    </row>
    <row r="368" spans="1:5" x14ac:dyDescent="0.25">
      <c r="A368" s="21">
        <v>367</v>
      </c>
      <c r="B368" s="5" cm="1">
        <f t="array" aca="1" ref="B368" ca="1">interpolexp(A368,serie_du,Taxas_DI)</f>
        <v>0.13421440809604501</v>
      </c>
      <c r="C368" s="32">
        <f ca="1">((((1+B368)^(A368/252))/((1+B367)^(A367/252)))^(252/1))-1</f>
        <v>0.13707552012636914</v>
      </c>
      <c r="D368" s="30">
        <v>0.13421440809604501</v>
      </c>
      <c r="E368" s="31">
        <f ca="1">B368-D368</f>
        <v>0</v>
      </c>
    </row>
    <row r="369" spans="1:5" x14ac:dyDescent="0.25">
      <c r="A369" s="21">
        <v>368</v>
      </c>
      <c r="B369" s="5" cm="1">
        <f t="array" aca="1" ref="B369" ca="1">interpolexp(A369,serie_du,Taxas_DI)</f>
        <v>0.13422217304119854</v>
      </c>
      <c r="C369" s="32">
        <f ca="1">((((1+B369)^(A369/252))/((1+B368)^(A368/252)))^(252/1))-1</f>
        <v>0.1370755006735429</v>
      </c>
      <c r="D369" s="30">
        <v>0.13422217304119854</v>
      </c>
      <c r="E369" s="31">
        <f ca="1">B369-D369</f>
        <v>0</v>
      </c>
    </row>
    <row r="370" spans="1:5" x14ac:dyDescent="0.25">
      <c r="A370" s="21">
        <v>369</v>
      </c>
      <c r="B370" s="5" cm="1">
        <f t="array" aca="1" ref="B370" ca="1">interpolexp(A370,serie_du,Taxas_DI)</f>
        <v>0.13422989590055057</v>
      </c>
      <c r="C370" s="32">
        <f ca="1">((((1+B370)^(A370/252))/((1+B369)^(A369/252)))^(252/1))-1</f>
        <v>0.13707548139808035</v>
      </c>
      <c r="D370" s="30">
        <v>0.13422989590055057</v>
      </c>
      <c r="E370" s="31">
        <f ca="1">B370-D370</f>
        <v>0</v>
      </c>
    </row>
    <row r="371" spans="1:5" x14ac:dyDescent="0.25">
      <c r="A371" s="21">
        <v>370</v>
      </c>
      <c r="B371" s="5" cm="1">
        <f t="array" aca="1" ref="B371" ca="1">interpolexp(A371,serie_du,Taxas_DI)</f>
        <v>0.13423757701531702</v>
      </c>
      <c r="C371" s="32">
        <f ca="1">((((1+B371)^(A371/252))/((1+B370)^(A370/252)))^(252/1))-1</f>
        <v>0.1370754622735959</v>
      </c>
      <c r="D371" s="30">
        <v>0.13423757701531702</v>
      </c>
      <c r="E371" s="31">
        <f ca="1">B371-D371</f>
        <v>0</v>
      </c>
    </row>
    <row r="372" spans="1:5" x14ac:dyDescent="0.25">
      <c r="A372" s="21">
        <v>371</v>
      </c>
      <c r="B372" s="5" cm="1">
        <f t="array" aca="1" ref="B372" ca="1">interpolexp(A372,serie_du,Taxas_DI)</f>
        <v>0.13424521672300571</v>
      </c>
      <c r="C372" s="32">
        <f ca="1">((((1+B372)^(A372/252))/((1+B371)^(A371/252)))^(252/1))-1</f>
        <v>0.13707544328741061</v>
      </c>
      <c r="D372" s="30">
        <v>0.13424521672300571</v>
      </c>
      <c r="E372" s="31">
        <f ca="1">B372-D372</f>
        <v>0</v>
      </c>
    </row>
    <row r="373" spans="1:5" x14ac:dyDescent="0.25">
      <c r="A373" s="21">
        <v>372</v>
      </c>
      <c r="B373" s="5" cm="1">
        <f t="array" aca="1" ref="B373" ca="1">interpolexp(A373,serie_du,Taxas_DI)</f>
        <v>0.13425281535759392</v>
      </c>
      <c r="C373" s="32">
        <f ca="1">((((1+B373)^(A373/252))/((1+B372)^(A372/252)))^(252/1))-1</f>
        <v>0.13707542447454579</v>
      </c>
      <c r="D373" s="30">
        <v>0.13425281535759392</v>
      </c>
      <c r="E373" s="31">
        <f ca="1">B373-D373</f>
        <v>0</v>
      </c>
    </row>
    <row r="374" spans="1:5" x14ac:dyDescent="0.25">
      <c r="A374" s="21">
        <v>373</v>
      </c>
      <c r="B374" s="5" cm="1">
        <f t="array" aca="1" ref="B374" ca="1">interpolexp(A374,serie_du,Taxas_DI)</f>
        <v>0.13426037324941742</v>
      </c>
      <c r="C374" s="32">
        <f ca="1">((((1+B374)^(A374/252))/((1+B373)^(A373/252)))^(252/1))-1</f>
        <v>0.13707540581102418</v>
      </c>
      <c r="D374" s="30">
        <v>0.13426037324941742</v>
      </c>
      <c r="E374" s="31">
        <f ca="1">B374-D374</f>
        <v>0</v>
      </c>
    </row>
    <row r="375" spans="1:5" x14ac:dyDescent="0.25">
      <c r="A375" s="21">
        <v>374</v>
      </c>
      <c r="B375" s="5" cm="1">
        <f t="array" aca="1" ref="B375" ca="1">interpolexp(A375,serie_du,Taxas_DI)</f>
        <v>0.13426789072525924</v>
      </c>
      <c r="C375" s="32">
        <f ca="1">((((1+B375)^(A375/252))/((1+B374)^(A374/252)))^(252/1))-1</f>
        <v>0.13707538728768176</v>
      </c>
      <c r="D375" s="30">
        <v>0.13426789072525924</v>
      </c>
      <c r="E375" s="31">
        <f ca="1">B375-D375</f>
        <v>0</v>
      </c>
    </row>
    <row r="376" spans="1:5" x14ac:dyDescent="0.25">
      <c r="A376" s="21">
        <v>375</v>
      </c>
      <c r="B376" s="5" cm="1">
        <f t="array" aca="1" ref="B376" ca="1">interpolexp(A376,serie_du,Taxas_DI)</f>
        <v>0.13427536810846075</v>
      </c>
      <c r="C376" s="32">
        <f ca="1">((((1+B376)^(A376/252))/((1+B375)^(A375/252)))^(252/1))-1</f>
        <v>0.13707536891959649</v>
      </c>
      <c r="D376" s="30">
        <v>0.13427536810846075</v>
      </c>
      <c r="E376" s="31">
        <f ca="1">B376-D376</f>
        <v>0</v>
      </c>
    </row>
    <row r="377" spans="1:5" x14ac:dyDescent="0.25">
      <c r="A377" s="21">
        <v>376</v>
      </c>
      <c r="B377" s="5" cm="1">
        <f t="array" aca="1" ref="B377" ca="1">interpolexp(A377,serie_du,Taxas_DI)</f>
        <v>0.13428280571892159</v>
      </c>
      <c r="C377" s="32">
        <f ca="1">((((1+B377)^(A377/252))/((1+B376)^(A376/252)))^(252/1))-1</f>
        <v>0.13707535070424037</v>
      </c>
      <c r="D377" s="30">
        <v>0.13428280571892159</v>
      </c>
      <c r="E377" s="31">
        <f ca="1">B377-D377</f>
        <v>0</v>
      </c>
    </row>
    <row r="378" spans="1:5" x14ac:dyDescent="0.25">
      <c r="A378" s="21">
        <v>377</v>
      </c>
      <c r="B378" s="5" cm="1">
        <f t="array" aca="1" ref="B378" ca="1">interpolexp(A378,serie_du,Taxas_DI)</f>
        <v>0.13429020387305535</v>
      </c>
      <c r="C378" s="32">
        <f ca="1">((((1+B378)^(A378/252))/((1+B377)^(A377/252)))^(252/1))-1</f>
        <v>0.13707533260551785</v>
      </c>
      <c r="D378" s="30">
        <v>0.13429020387305535</v>
      </c>
      <c r="E378" s="31">
        <f ca="1">B378-D378</f>
        <v>0</v>
      </c>
    </row>
    <row r="379" spans="1:5" x14ac:dyDescent="0.25">
      <c r="A379" s="21">
        <v>378</v>
      </c>
      <c r="B379" s="5" cm="1">
        <f t="array" aca="1" ref="B379" ca="1">interpolexp(A379,serie_du,Taxas_DI)</f>
        <v>0.13429756288412253</v>
      </c>
      <c r="C379" s="32">
        <f ca="1">((((1+B379)^(A379/252))/((1+B378)^(A378/252)))^(252/1))-1</f>
        <v>0.13707531469562917</v>
      </c>
      <c r="D379" s="30">
        <v>0.13429756288412253</v>
      </c>
      <c r="E379" s="31">
        <f ca="1">B379-D379</f>
        <v>0</v>
      </c>
    </row>
    <row r="380" spans="1:5" x14ac:dyDescent="0.25">
      <c r="A380" s="21">
        <v>379</v>
      </c>
      <c r="B380" s="5" cm="1">
        <f t="array" aca="1" ref="B380" ca="1">interpolexp(A380,serie_du,Taxas_DI)</f>
        <v>0.13430488306185318</v>
      </c>
      <c r="C380" s="32">
        <f ca="1">((((1+B380)^(A380/252))/((1+B379)^(A379/252)))^(252/1))-1</f>
        <v>0.13707529688799003</v>
      </c>
      <c r="D380" s="30">
        <v>0.13430488306185318</v>
      </c>
      <c r="E380" s="31">
        <f ca="1">B380-D380</f>
        <v>0</v>
      </c>
    </row>
    <row r="381" spans="1:5" x14ac:dyDescent="0.25">
      <c r="A381" s="21">
        <v>380</v>
      </c>
      <c r="B381" s="5" cm="1">
        <f t="array" aca="1" ref="B381" ca="1">interpolexp(A381,serie_du,Taxas_DI)</f>
        <v>0.13431216471286866</v>
      </c>
      <c r="C381" s="32">
        <f ca="1">((((1+B381)^(A381/252))/((1+B380)^(A380/252)))^(252/1))-1</f>
        <v>0.1370752792388592</v>
      </c>
      <c r="D381" s="30">
        <v>0.13431216471286866</v>
      </c>
      <c r="E381" s="31">
        <f ca="1">B381-D381</f>
        <v>0</v>
      </c>
    </row>
    <row r="382" spans="1:5" x14ac:dyDescent="0.25">
      <c r="A382" s="21">
        <v>381</v>
      </c>
      <c r="B382" s="5" cm="1">
        <f t="array" aca="1" ref="B382" ca="1">interpolexp(A382,serie_du,Taxas_DI)</f>
        <v>0.13431940814052634</v>
      </c>
      <c r="C382" s="32">
        <f ca="1">((((1+B382)^(A382/252))/((1+B381)^(A381/252)))^(252/1))-1</f>
        <v>0.13707526172949902</v>
      </c>
      <c r="D382" s="30">
        <v>0.13431940814052634</v>
      </c>
      <c r="E382" s="31">
        <f ca="1">B382-D382</f>
        <v>0</v>
      </c>
    </row>
    <row r="383" spans="1:5" x14ac:dyDescent="0.25">
      <c r="A383" s="21">
        <v>382</v>
      </c>
      <c r="B383" s="5" cm="1">
        <f t="array" aca="1" ref="B383" ca="1">interpolexp(A383,serie_du,Taxas_DI)</f>
        <v>0.13432661364500831</v>
      </c>
      <c r="C383" s="32">
        <f ca="1">((((1+B383)^(A383/252))/((1+B382)^(A382/252)))^(252/1))-1</f>
        <v>0.13707524435889895</v>
      </c>
      <c r="D383" s="30">
        <v>0.13432661364500831</v>
      </c>
      <c r="E383" s="31">
        <f ca="1">B383-D383</f>
        <v>0</v>
      </c>
    </row>
    <row r="384" spans="1:5" x14ac:dyDescent="0.25">
      <c r="A384" s="21">
        <v>383</v>
      </c>
      <c r="B384" s="5" cm="1">
        <f t="array" aca="1" ref="B384" ca="1">interpolexp(A384,serie_du,Taxas_DI)</f>
        <v>0.13433378152334363</v>
      </c>
      <c r="C384" s="32">
        <f ca="1">((((1+B384)^(A384/252))/((1+B383)^(A383/252)))^(252/1))-1</f>
        <v>0.13707522711881137</v>
      </c>
      <c r="D384" s="30">
        <v>0.13433378152334363</v>
      </c>
      <c r="E384" s="31">
        <f ca="1">B384-D384</f>
        <v>0</v>
      </c>
    </row>
    <row r="385" spans="1:5" x14ac:dyDescent="0.25">
      <c r="A385" s="21">
        <v>384</v>
      </c>
      <c r="B385" s="5" cm="1">
        <f t="array" aca="1" ref="B385" ca="1">interpolexp(A385,serie_du,Taxas_DI)</f>
        <v>0.13434091206947496</v>
      </c>
      <c r="C385" s="32">
        <f ca="1">((((1+B385)^(A385/252))/((1+B384)^(A384/252)))^(252/1))-1</f>
        <v>0.13707521001068734</v>
      </c>
      <c r="D385" s="30">
        <v>0.13434091206947496</v>
      </c>
      <c r="E385" s="31">
        <f ca="1">B385-D385</f>
        <v>0</v>
      </c>
    </row>
    <row r="386" spans="1:5" x14ac:dyDescent="0.25">
      <c r="A386" s="21">
        <v>385</v>
      </c>
      <c r="B386" s="5" cm="1">
        <f t="array" aca="1" ref="B386" ca="1">interpolexp(A386,serie_du,Taxas_DI)</f>
        <v>0.13434800557432514</v>
      </c>
      <c r="C386" s="32">
        <f ca="1">((((1+B386)^(A386/252))/((1+B385)^(A385/252)))^(252/1))-1</f>
        <v>0.13707519304620175</v>
      </c>
      <c r="D386" s="30">
        <v>0.13434800557432514</v>
      </c>
      <c r="E386" s="31">
        <f ca="1">B386-D386</f>
        <v>0</v>
      </c>
    </row>
    <row r="387" spans="1:5" x14ac:dyDescent="0.25">
      <c r="A387" s="21">
        <v>386</v>
      </c>
      <c r="B387" s="5" cm="1">
        <f t="array" aca="1" ref="B387" ca="1">interpolexp(A387,serie_du,Taxas_DI)</f>
        <v>0.13435506232575278</v>
      </c>
      <c r="C387" s="32">
        <f ca="1">((((1+B387)^(A387/252))/((1+B386)^(A386/252)))^(252/1))-1</f>
        <v>0.1370751762049327</v>
      </c>
      <c r="D387" s="30">
        <v>0.13435506232575278</v>
      </c>
      <c r="E387" s="31">
        <f ca="1">B387-D387</f>
        <v>0</v>
      </c>
    </row>
    <row r="388" spans="1:5" x14ac:dyDescent="0.25">
      <c r="A388" s="21">
        <v>387</v>
      </c>
      <c r="B388" s="5" cm="1">
        <f t="array" aca="1" ref="B388" ca="1">interpolexp(A388,serie_du,Taxas_DI)</f>
        <v>0.13436208260868554</v>
      </c>
      <c r="C388" s="32">
        <f ca="1">((((1+B388)^(A388/252))/((1+B387)^(A387/252)))^(252/1))-1</f>
        <v>0.13707515950267091</v>
      </c>
      <c r="D388" s="30">
        <v>0.13436208260868554</v>
      </c>
      <c r="E388" s="31">
        <f ca="1">B388-D388</f>
        <v>0</v>
      </c>
    </row>
    <row r="389" spans="1:5" x14ac:dyDescent="0.25">
      <c r="A389" s="21">
        <v>388</v>
      </c>
      <c r="B389" s="5" cm="1">
        <f t="array" aca="1" ref="B389" ca="1">interpolexp(A389,serie_du,Taxas_DI)</f>
        <v>0.13436906670507565</v>
      </c>
      <c r="C389" s="32">
        <f ca="1">((((1+B389)^(A389/252))/((1+B388)^(A388/252)))^(252/1))-1</f>
        <v>0.13707514292324108</v>
      </c>
      <c r="D389" s="30">
        <v>0.13436906670507565</v>
      </c>
      <c r="E389" s="31">
        <f ca="1">B389-D389</f>
        <v>0</v>
      </c>
    </row>
    <row r="390" spans="1:5" x14ac:dyDescent="0.25">
      <c r="A390" s="21">
        <v>389</v>
      </c>
      <c r="B390" s="5" cm="1">
        <f t="array" aca="1" ref="B390" ca="1">interpolexp(A390,serie_du,Taxas_DI)</f>
        <v>0.13437601489398876</v>
      </c>
      <c r="C390" s="32">
        <f ca="1">((((1+B390)^(A390/252))/((1+B389)^(A389/252)))^(252/1))-1</f>
        <v>0.13707512647009179</v>
      </c>
      <c r="D390" s="30">
        <v>0.13437601489398876</v>
      </c>
      <c r="E390" s="31">
        <f ca="1">B390-D390</f>
        <v>0</v>
      </c>
    </row>
    <row r="391" spans="1:5" x14ac:dyDescent="0.25">
      <c r="A391" s="21">
        <v>390</v>
      </c>
      <c r="B391" s="5" cm="1">
        <f t="array" aca="1" ref="B391" ca="1">interpolexp(A391,serie_du,Taxas_DI)</f>
        <v>0.13438292745167058</v>
      </c>
      <c r="C391" s="32">
        <f ca="1">((((1+B391)^(A391/252))/((1+B390)^(A390/252)))^(252/1))-1</f>
        <v>0.13707511015862694</v>
      </c>
      <c r="D391" s="30">
        <v>0.13438292745167058</v>
      </c>
      <c r="E391" s="31">
        <f ca="1">B391-D391</f>
        <v>0</v>
      </c>
    </row>
    <row r="392" spans="1:5" x14ac:dyDescent="0.25">
      <c r="A392" s="21">
        <v>391</v>
      </c>
      <c r="B392" s="5" cm="1">
        <f t="array" aca="1" ref="B392" ca="1">interpolexp(A392,serie_du,Taxas_DI)</f>
        <v>0.1343898046514358</v>
      </c>
      <c r="C392" s="32">
        <f ca="1">((((1+B392)^(A392/252))/((1+B391)^(A391/252)))^(252/1))-1</f>
        <v>0.13707509394639827</v>
      </c>
      <c r="D392" s="30">
        <v>0.1343898046514358</v>
      </c>
      <c r="E392" s="31">
        <f ca="1">B392-D392</f>
        <v>0</v>
      </c>
    </row>
    <row r="393" spans="1:5" x14ac:dyDescent="0.25">
      <c r="A393" s="21">
        <v>392</v>
      </c>
      <c r="B393" s="5" cm="1">
        <f t="array" aca="1" ref="B393" ca="1">interpolexp(A393,serie_du,Taxas_DI)</f>
        <v>0.1343966467639568</v>
      </c>
      <c r="C393" s="32">
        <f ca="1">((((1+B393)^(A393/252))/((1+B392)^(A392/252)))^(252/1))-1</f>
        <v>0.13707507788959106</v>
      </c>
      <c r="D393" s="30">
        <v>0.1343966467639568</v>
      </c>
      <c r="E393" s="31">
        <f ca="1">B393-D393</f>
        <v>0</v>
      </c>
    </row>
    <row r="394" spans="1:5" x14ac:dyDescent="0.25">
      <c r="A394" s="21">
        <v>393</v>
      </c>
      <c r="B394" s="5" cm="1">
        <f t="array" aca="1" ref="B394" ca="1">interpolexp(A394,serie_du,Taxas_DI)</f>
        <v>0.13440345405701937</v>
      </c>
      <c r="C394" s="32">
        <f ca="1">((((1+B394)^(A394/252))/((1+B393)^(A393/252)))^(252/1))-1</f>
        <v>0.13707506193502117</v>
      </c>
      <c r="D394" s="30">
        <v>0.13440345405701937</v>
      </c>
      <c r="E394" s="31">
        <f ca="1">B394-D394</f>
        <v>0</v>
      </c>
    </row>
    <row r="395" spans="1:5" x14ac:dyDescent="0.25">
      <c r="A395" s="21">
        <v>394</v>
      </c>
      <c r="B395" s="5" cm="1">
        <f t="array" aca="1" ref="B395" ca="1">interpolexp(A395,serie_du,Taxas_DI)</f>
        <v>0.13441022679572256</v>
      </c>
      <c r="C395" s="32">
        <f ca="1">((((1+B395)^(A395/252))/((1+B394)^(A394/252)))^(252/1))-1</f>
        <v>0.13707504609422472</v>
      </c>
      <c r="D395" s="30">
        <v>0.13441022679572256</v>
      </c>
      <c r="E395" s="31">
        <f ca="1">B395-D395</f>
        <v>0</v>
      </c>
    </row>
    <row r="396" spans="1:5" x14ac:dyDescent="0.25">
      <c r="A396" s="21">
        <v>395</v>
      </c>
      <c r="B396" s="5" cm="1">
        <f t="array" aca="1" ref="B396" ca="1">interpolexp(A396,serie_du,Taxas_DI)</f>
        <v>0.13441696524256752</v>
      </c>
      <c r="C396" s="32">
        <f ca="1">((((1+B396)^(A396/252))/((1+B395)^(A395/252)))^(252/1))-1</f>
        <v>0.13707503039998947</v>
      </c>
      <c r="D396" s="30">
        <v>0.13441696524256752</v>
      </c>
      <c r="E396" s="31">
        <f ca="1">B396-D396</f>
        <v>0</v>
      </c>
    </row>
    <row r="397" spans="1:5" x14ac:dyDescent="0.25">
      <c r="A397" s="21">
        <v>396</v>
      </c>
      <c r="B397" s="5" cm="1">
        <f t="array" aca="1" ref="B397" ca="1">interpolexp(A397,serie_du,Taxas_DI)</f>
        <v>0.13442366965727981</v>
      </c>
      <c r="C397" s="32">
        <f ca="1">((((1+B397)^(A397/252))/((1+B396)^(A396/252)))^(252/1))-1</f>
        <v>0.13707501480212936</v>
      </c>
      <c r="D397" s="30">
        <v>0.13442366965727981</v>
      </c>
      <c r="E397" s="31">
        <f ca="1">B397-D397</f>
        <v>0</v>
      </c>
    </row>
    <row r="398" spans="1:5" x14ac:dyDescent="0.25">
      <c r="A398" s="21">
        <v>397</v>
      </c>
      <c r="B398" s="5" cm="1">
        <f t="array" aca="1" ref="B398" ca="1">interpolexp(A398,serie_du,Taxas_DI)</f>
        <v>0.1344303402970759</v>
      </c>
      <c r="C398" s="32">
        <f ca="1">((((1+B398)^(A398/252))/((1+B397)^(A397/252)))^(252/1))-1</f>
        <v>0.13707499934219314</v>
      </c>
      <c r="D398" s="30">
        <v>0.1344303402970759</v>
      </c>
      <c r="E398" s="31">
        <f ca="1">B398-D398</f>
        <v>0</v>
      </c>
    </row>
    <row r="399" spans="1:5" x14ac:dyDescent="0.25">
      <c r="A399" s="21">
        <v>398</v>
      </c>
      <c r="B399" s="5" cm="1">
        <f t="array" aca="1" ref="B399" ca="1">interpolexp(A399,serie_du,Taxas_DI)</f>
        <v>0.13443697741648553</v>
      </c>
      <c r="C399" s="32">
        <f ca="1">((((1+B399)^(A399/252))/((1+B398)^(A398/252)))^(252/1))-1</f>
        <v>0.13707498397828433</v>
      </c>
      <c r="D399" s="30">
        <v>0.13443697741648553</v>
      </c>
      <c r="E399" s="31">
        <f ca="1">B399-D399</f>
        <v>0</v>
      </c>
    </row>
    <row r="400" spans="1:5" x14ac:dyDescent="0.25">
      <c r="A400" s="21">
        <v>399</v>
      </c>
      <c r="B400" s="5" cm="1">
        <f t="array" aca="1" ref="B400" ca="1">interpolexp(A400,serie_du,Taxas_DI)</f>
        <v>0.13444358126757372</v>
      </c>
      <c r="C400" s="32">
        <f ca="1">((((1+B400)^(A400/252))/((1+B399)^(A399/252)))^(252/1))-1</f>
        <v>0.13707496874431246</v>
      </c>
      <c r="D400" s="30">
        <v>0.13444358126757372</v>
      </c>
      <c r="E400" s="31">
        <f ca="1">B400-D400</f>
        <v>0</v>
      </c>
    </row>
    <row r="401" spans="1:5" x14ac:dyDescent="0.25">
      <c r="A401" s="21">
        <v>400</v>
      </c>
      <c r="B401" s="5" cm="1">
        <f t="array" aca="1" ref="B401" ca="1">interpolexp(A401,serie_du,Taxas_DI)</f>
        <v>0.1344501520998298</v>
      </c>
      <c r="C401" s="32">
        <f ca="1">((((1+B401)^(A401/252))/((1+B400)^(A400/252)))^(252/1))-1</f>
        <v>0.13707495361674815</v>
      </c>
      <c r="D401" s="30">
        <v>0.1344501520998298</v>
      </c>
      <c r="E401" s="31">
        <f ca="1">B401-D401</f>
        <v>0</v>
      </c>
    </row>
    <row r="402" spans="1:5" x14ac:dyDescent="0.25">
      <c r="A402" s="21">
        <v>401</v>
      </c>
      <c r="B402" s="5" cm="1">
        <f t="array" aca="1" ref="B402" ca="1">interpolexp(A402,serie_du,Taxas_DI)</f>
        <v>0.13445669016027839</v>
      </c>
      <c r="C402" s="32">
        <f ca="1">((((1+B402)^(A402/252))/((1+B401)^(A401/252)))^(252/1))-1</f>
        <v>0.13707493860418873</v>
      </c>
      <c r="D402" s="30">
        <v>0.13445669016027839</v>
      </c>
      <c r="E402" s="31">
        <f ca="1">B402-D402</f>
        <v>0</v>
      </c>
    </row>
    <row r="403" spans="1:5" x14ac:dyDescent="0.25">
      <c r="A403" s="21">
        <v>402</v>
      </c>
      <c r="B403" s="5" cm="1">
        <f t="array" aca="1" ref="B403" ca="1">interpolexp(A403,serie_du,Taxas_DI)</f>
        <v>0.13446319569350162</v>
      </c>
      <c r="C403" s="32">
        <f ca="1">((((1+B403)^(A403/252))/((1+B402)^(A402/252)))^(252/1))-1</f>
        <v>0.13707492371168573</v>
      </c>
      <c r="D403" s="30">
        <v>0.13446319569350162</v>
      </c>
      <c r="E403" s="31">
        <f ca="1">B403-D403</f>
        <v>0</v>
      </c>
    </row>
    <row r="404" spans="1:5" x14ac:dyDescent="0.25">
      <c r="A404" s="21">
        <v>403</v>
      </c>
      <c r="B404" s="5" cm="1">
        <f t="array" aca="1" ref="B404" ca="1">interpolexp(A404,serie_du,Taxas_DI)</f>
        <v>0.13446966894163914</v>
      </c>
      <c r="C404" s="32">
        <f ca="1">((((1+B404)^(A404/252))/((1+B403)^(A403/252)))^(252/1))-1</f>
        <v>0.13707490893219254</v>
      </c>
      <c r="D404" s="30">
        <v>0.13446966894163914</v>
      </c>
      <c r="E404" s="31">
        <f ca="1">B404-D404</f>
        <v>0</v>
      </c>
    </row>
    <row r="405" spans="1:5" x14ac:dyDescent="0.25">
      <c r="A405" s="21">
        <v>404</v>
      </c>
      <c r="B405" s="5" cm="1">
        <f t="array" aca="1" ref="B405" ca="1">interpolexp(A405,serie_du,Taxas_DI)</f>
        <v>0.13447611014438809</v>
      </c>
      <c r="C405" s="32">
        <f ca="1">((((1+B405)^(A405/252))/((1+B404)^(A404/252)))^(252/1))-1</f>
        <v>0.13707489424625607</v>
      </c>
      <c r="D405" s="30">
        <v>0.13447611014438809</v>
      </c>
      <c r="E405" s="31">
        <f ca="1">B405-D405</f>
        <v>0</v>
      </c>
    </row>
    <row r="406" spans="1:5" x14ac:dyDescent="0.25">
      <c r="A406" s="21">
        <v>405</v>
      </c>
      <c r="B406" s="5" cm="1">
        <f t="array" aca="1" ref="B406" ca="1">interpolexp(A406,serie_du,Taxas_DI)</f>
        <v>0.13448251953911416</v>
      </c>
      <c r="C406" s="32">
        <f ca="1">((((1+B406)^(A406/252))/((1+B405)^(A405/252)))^(252/1))-1</f>
        <v>0.13707487966739018</v>
      </c>
      <c r="D406" s="30">
        <v>0.13448251953911416</v>
      </c>
      <c r="E406" s="31">
        <f ca="1">B406-D406</f>
        <v>0</v>
      </c>
    </row>
    <row r="407" spans="1:5" x14ac:dyDescent="0.25">
      <c r="A407" s="21">
        <v>406</v>
      </c>
      <c r="B407" s="5" cm="1">
        <f t="array" aca="1" ref="B407" ca="1">interpolexp(A407,serie_du,Taxas_DI)</f>
        <v>0.1344829002733805</v>
      </c>
      <c r="C407" s="32">
        <f ca="1">((((1+B407)^(A407/252))/((1+B406)^(A406/252)))^(252/1))-1</f>
        <v>0.13463710815673702</v>
      </c>
      <c r="D407" s="30">
        <v>0.1344829002733805</v>
      </c>
      <c r="E407" s="31">
        <f ca="1">B407-D407</f>
        <v>0</v>
      </c>
    </row>
    <row r="408" spans="1:5" x14ac:dyDescent="0.25">
      <c r="A408" s="21">
        <v>407</v>
      </c>
      <c r="B408" s="5" cm="1">
        <f t="array" aca="1" ref="B408" ca="1">interpolexp(A408,serie_du,Taxas_DI)</f>
        <v>0.134483279136699</v>
      </c>
      <c r="C408" s="32">
        <f ca="1">((((1+B408)^(A408/252))/((1+B407)^(A407/252)))^(252/1))-1</f>
        <v>0.13463710809785701</v>
      </c>
      <c r="D408" s="30">
        <v>0.134483279136699</v>
      </c>
      <c r="E408" s="31">
        <f ca="1">B408-D408</f>
        <v>0</v>
      </c>
    </row>
    <row r="409" spans="1:5" x14ac:dyDescent="0.25">
      <c r="A409" s="21">
        <v>408</v>
      </c>
      <c r="B409" s="5" cm="1">
        <f t="array" aca="1" ref="B409" ca="1">interpolexp(A409,serie_du,Taxas_DI)</f>
        <v>0.13448365614285862</v>
      </c>
      <c r="C409" s="32">
        <f ca="1">((((1+B409)^(A409/252))/((1+B408)^(A408/252)))^(252/1))-1</f>
        <v>0.1346371080524702</v>
      </c>
      <c r="D409" s="30">
        <v>0.13448365614285862</v>
      </c>
      <c r="E409" s="31">
        <f ca="1">B409-D409</f>
        <v>0</v>
      </c>
    </row>
    <row r="410" spans="1:5" x14ac:dyDescent="0.25">
      <c r="A410" s="21">
        <v>409</v>
      </c>
      <c r="B410" s="5" cm="1">
        <f t="array" aca="1" ref="B410" ca="1">interpolexp(A410,serie_du,Taxas_DI)</f>
        <v>0.1344840313054485</v>
      </c>
      <c r="C410" s="32">
        <f ca="1">((((1+B410)^(A410/252))/((1+B409)^(A409/252)))^(252/1))-1</f>
        <v>0.13463710799389661</v>
      </c>
      <c r="D410" s="30">
        <v>0.1344840313054485</v>
      </c>
      <c r="E410" s="31">
        <f ca="1">B410-D410</f>
        <v>0</v>
      </c>
    </row>
    <row r="411" spans="1:5" x14ac:dyDescent="0.25">
      <c r="A411" s="21">
        <v>410</v>
      </c>
      <c r="B411" s="5" cm="1">
        <f t="array" aca="1" ref="B411" ca="1">interpolexp(A411,serie_du,Taxas_DI)</f>
        <v>0.13448440463801337</v>
      </c>
      <c r="C411" s="32">
        <f ca="1">((((1+B411)^(A411/252))/((1+B410)^(A410/252)))^(252/1))-1</f>
        <v>0.13463710795828177</v>
      </c>
      <c r="D411" s="30">
        <v>0.13448440463801337</v>
      </c>
      <c r="E411" s="31">
        <f ca="1">B411-D411</f>
        <v>0</v>
      </c>
    </row>
    <row r="412" spans="1:5" x14ac:dyDescent="0.25">
      <c r="A412" s="21">
        <v>411</v>
      </c>
      <c r="B412" s="5" cm="1">
        <f t="array" aca="1" ref="B412" ca="1">interpolexp(A412,serie_du,Taxas_DI)</f>
        <v>0.13448477615383148</v>
      </c>
      <c r="C412" s="32">
        <f ca="1">((((1+B412)^(A412/252))/((1+B411)^(A411/252)))^(252/1))-1</f>
        <v>0.13463710789037586</v>
      </c>
      <c r="D412" s="30">
        <v>0.13448477615383148</v>
      </c>
      <c r="E412" s="31">
        <f ca="1">B412-D412</f>
        <v>0</v>
      </c>
    </row>
    <row r="413" spans="1:5" x14ac:dyDescent="0.25">
      <c r="A413" s="21">
        <v>412</v>
      </c>
      <c r="B413" s="5" cm="1">
        <f t="array" aca="1" ref="B413" ca="1">interpolexp(A413,serie_du,Taxas_DI)</f>
        <v>0.1344851458662033</v>
      </c>
      <c r="C413" s="32">
        <f ca="1">((((1+B413)^(A413/252))/((1+B412)^(A412/252)))^(252/1))-1</f>
        <v>0.13463710785239291</v>
      </c>
      <c r="D413" s="30">
        <v>0.1344851458662033</v>
      </c>
      <c r="E413" s="31">
        <f ca="1">B413-D413</f>
        <v>0</v>
      </c>
    </row>
    <row r="414" spans="1:5" x14ac:dyDescent="0.25">
      <c r="A414" s="21">
        <v>413</v>
      </c>
      <c r="B414" s="5" cm="1">
        <f t="array" aca="1" ref="B414" ca="1">interpolexp(A414,serie_du,Taxas_DI)</f>
        <v>0.13448551378818507</v>
      </c>
      <c r="C414" s="32">
        <f ca="1">((((1+B414)^(A414/252))/((1+B413)^(A413/252)))^(252/1))-1</f>
        <v>0.13463710779661819</v>
      </c>
      <c r="D414" s="30">
        <v>0.13448551378818507</v>
      </c>
      <c r="E414" s="31">
        <f ca="1">B414-D414</f>
        <v>0</v>
      </c>
    </row>
    <row r="415" spans="1:5" x14ac:dyDescent="0.25">
      <c r="A415" s="21">
        <v>414</v>
      </c>
      <c r="B415" s="5" cm="1">
        <f t="array" aca="1" ref="B415" ca="1">interpolexp(A415,serie_du,Taxas_DI)</f>
        <v>0.1344858799327886</v>
      </c>
      <c r="C415" s="32">
        <f ca="1">((((1+B415)^(A415/252))/((1+B414)^(A414/252)))^(252/1))-1</f>
        <v>0.13463710775693327</v>
      </c>
      <c r="D415" s="30">
        <v>0.1344858799327886</v>
      </c>
      <c r="E415" s="31">
        <f ca="1">B415-D415</f>
        <v>0</v>
      </c>
    </row>
    <row r="416" spans="1:5" x14ac:dyDescent="0.25">
      <c r="A416" s="21">
        <v>415</v>
      </c>
      <c r="B416" s="5" cm="1">
        <f t="array" aca="1" ref="B416" ca="1">interpolexp(A416,serie_du,Taxas_DI)</f>
        <v>0.13448624431282585</v>
      </c>
      <c r="C416" s="32">
        <f ca="1">((((1+B416)^(A416/252))/((1+B415)^(A415/252)))^(252/1))-1</f>
        <v>0.13463710770249637</v>
      </c>
      <c r="D416" s="30">
        <v>0.13448624431282585</v>
      </c>
      <c r="E416" s="31">
        <f ca="1">B416-D416</f>
        <v>0</v>
      </c>
    </row>
    <row r="417" spans="1:5" x14ac:dyDescent="0.25">
      <c r="A417" s="21">
        <v>416</v>
      </c>
      <c r="B417" s="5" cm="1">
        <f t="array" aca="1" ref="B417" ca="1">interpolexp(A417,serie_du,Taxas_DI)</f>
        <v>0.1344866069410422</v>
      </c>
      <c r="C417" s="32">
        <f ca="1">((((1+B417)^(A417/252))/((1+B416)^(A416/252)))^(252/1))-1</f>
        <v>0.13463710765663484</v>
      </c>
      <c r="D417" s="30">
        <v>0.1344866069410422</v>
      </c>
      <c r="E417" s="31">
        <f ca="1">B417-D417</f>
        <v>0</v>
      </c>
    </row>
    <row r="418" spans="1:5" x14ac:dyDescent="0.25">
      <c r="A418" s="21">
        <v>417</v>
      </c>
      <c r="B418" s="5" cm="1">
        <f t="array" aca="1" ref="B418" ca="1">interpolexp(A418,serie_du,Taxas_DI)</f>
        <v>0.13448696783004976</v>
      </c>
      <c r="C418" s="32">
        <f ca="1">((((1+B418)^(A418/252))/((1+B417)^(A417/252)))^(252/1))-1</f>
        <v>0.13463710761512182</v>
      </c>
      <c r="D418" s="30">
        <v>0.13448696783004976</v>
      </c>
      <c r="E418" s="31">
        <f ca="1">B418-D418</f>
        <v>0</v>
      </c>
    </row>
    <row r="419" spans="1:5" x14ac:dyDescent="0.25">
      <c r="A419" s="21">
        <v>418</v>
      </c>
      <c r="B419" s="5" cm="1">
        <f t="array" aca="1" ref="B419" ca="1">interpolexp(A419,serie_du,Taxas_DI)</f>
        <v>0.13448732699230526</v>
      </c>
      <c r="C419" s="32">
        <f ca="1">((((1+B419)^(A419/252))/((1+B418)^(A418/252)))^(252/1))-1</f>
        <v>0.13463710756307945</v>
      </c>
      <c r="D419" s="30">
        <v>0.13448732699230526</v>
      </c>
      <c r="E419" s="31">
        <f ca="1">B419-D419</f>
        <v>0</v>
      </c>
    </row>
    <row r="420" spans="1:5" x14ac:dyDescent="0.25">
      <c r="A420" s="21">
        <v>419</v>
      </c>
      <c r="B420" s="5" cm="1">
        <f t="array" aca="1" ref="B420" ca="1">interpolexp(A420,serie_du,Taxas_DI)</f>
        <v>0.13448768444017656</v>
      </c>
      <c r="C420" s="32">
        <f ca="1">((((1+B420)^(A420/252))/((1+B419)^(A419/252)))^(252/1))-1</f>
        <v>0.13463710751326419</v>
      </c>
      <c r="D420" s="30">
        <v>0.13448768444017656</v>
      </c>
      <c r="E420" s="31">
        <f ca="1">B420-D420</f>
        <v>0</v>
      </c>
    </row>
    <row r="421" spans="1:5" x14ac:dyDescent="0.25">
      <c r="A421" s="21">
        <v>420</v>
      </c>
      <c r="B421" s="5" cm="1">
        <f t="array" aca="1" ref="B421" ca="1">interpolexp(A421,serie_du,Taxas_DI)</f>
        <v>0.13448804018592053</v>
      </c>
      <c r="C421" s="32">
        <f ca="1">((((1+B421)^(A421/252))/((1+B420)^(A420/252)))^(252/1))-1</f>
        <v>0.13463710746860569</v>
      </c>
      <c r="D421" s="30">
        <v>0.13448804018592053</v>
      </c>
      <c r="E421" s="31">
        <f ca="1">B421-D421</f>
        <v>0</v>
      </c>
    </row>
    <row r="422" spans="1:5" x14ac:dyDescent="0.25">
      <c r="A422" s="21">
        <v>421</v>
      </c>
      <c r="B422" s="5" cm="1">
        <f t="array" aca="1" ref="B422" ca="1">interpolexp(A422,serie_du,Taxas_DI)</f>
        <v>0.13448839424166081</v>
      </c>
      <c r="C422" s="32">
        <f ca="1">((((1+B422)^(A422/252))/((1+B421)^(A421/252)))^(252/1))-1</f>
        <v>0.13463710742189661</v>
      </c>
      <c r="D422" s="30">
        <v>0.13448839424166081</v>
      </c>
      <c r="E422" s="31">
        <f ca="1">B422-D422</f>
        <v>0</v>
      </c>
    </row>
    <row r="423" spans="1:5" x14ac:dyDescent="0.25">
      <c r="A423" s="21">
        <v>422</v>
      </c>
      <c r="B423" s="5" cm="1">
        <f t="array" aca="1" ref="B423" ca="1">interpolexp(A423,serie_du,Taxas_DI)</f>
        <v>0.13448874661943222</v>
      </c>
      <c r="C423" s="32">
        <f ca="1">((((1+B423)^(A423/252))/((1+B422)^(A422/252)))^(252/1))-1</f>
        <v>0.13463710738411705</v>
      </c>
      <c r="D423" s="30">
        <v>0.13448874661943222</v>
      </c>
      <c r="E423" s="31">
        <f ca="1">B423-D423</f>
        <v>0</v>
      </c>
    </row>
    <row r="424" spans="1:5" x14ac:dyDescent="0.25">
      <c r="A424" s="21">
        <v>423</v>
      </c>
      <c r="B424" s="5" cm="1">
        <f t="array" aca="1" ref="B424" ca="1">interpolexp(A424,serie_du,Taxas_DI)</f>
        <v>0.13448909733109193</v>
      </c>
      <c r="C424" s="32">
        <f ca="1">((((1+B424)^(A424/252))/((1+B423)^(A423/252)))^(252/1))-1</f>
        <v>0.13463710732856549</v>
      </c>
      <c r="D424" s="30">
        <v>0.13448909733109193</v>
      </c>
      <c r="E424" s="31">
        <f ca="1">B424-D424</f>
        <v>0</v>
      </c>
    </row>
    <row r="425" spans="1:5" x14ac:dyDescent="0.25">
      <c r="A425" s="21">
        <v>424</v>
      </c>
      <c r="B425" s="5" cm="1">
        <f t="array" aca="1" ref="B425" ca="1">interpolexp(A425,serie_du,Taxas_DI)</f>
        <v>0.13448944638845273</v>
      </c>
      <c r="C425" s="32">
        <f ca="1">((((1+B425)^(A425/252))/((1+B424)^(A424/252)))^(252/1))-1</f>
        <v>0.13463710728343226</v>
      </c>
      <c r="D425" s="30">
        <v>0.13448944638845273</v>
      </c>
      <c r="E425" s="31">
        <f ca="1">B425-D425</f>
        <v>0</v>
      </c>
    </row>
    <row r="426" spans="1:5" x14ac:dyDescent="0.25">
      <c r="A426" s="21">
        <v>425</v>
      </c>
      <c r="B426" s="5" cm="1">
        <f t="array" aca="1" ref="B426" ca="1">interpolexp(A426,serie_du,Taxas_DI)</f>
        <v>0.13448979380319415</v>
      </c>
      <c r="C426" s="32">
        <f ca="1">((((1+B426)^(A426/252))/((1+B425)^(A425/252)))^(252/1))-1</f>
        <v>0.1346371072395689</v>
      </c>
      <c r="D426" s="30">
        <v>0.13448979380319415</v>
      </c>
      <c r="E426" s="31">
        <f ca="1">B426-D426</f>
        <v>0</v>
      </c>
    </row>
    <row r="427" spans="1:5" x14ac:dyDescent="0.25">
      <c r="A427" s="21">
        <v>426</v>
      </c>
      <c r="B427" s="5" cm="1">
        <f t="array" aca="1" ref="B427" ca="1">interpolexp(A427,serie_du,Taxas_DI)</f>
        <v>0.13449013958690692</v>
      </c>
      <c r="C427" s="32">
        <f ca="1">((((1+B427)^(A427/252))/((1+B426)^(A426/252)))^(252/1))-1</f>
        <v>0.13463710720589805</v>
      </c>
      <c r="D427" s="30">
        <v>0.13449013958690692</v>
      </c>
      <c r="E427" s="31">
        <f ca="1">B427-D427</f>
        <v>0</v>
      </c>
    </row>
    <row r="428" spans="1:5" x14ac:dyDescent="0.25">
      <c r="A428" s="21">
        <v>427</v>
      </c>
      <c r="B428" s="5" cm="1">
        <f t="array" aca="1" ref="B428" ca="1">interpolexp(A428,serie_du,Taxas_DI)</f>
        <v>0.13449048375098194</v>
      </c>
      <c r="C428" s="32">
        <f ca="1">((((1+B428)^(A428/252))/((1+B427)^(A427/252)))^(252/1))-1</f>
        <v>0.13463710714326127</v>
      </c>
      <c r="D428" s="30">
        <v>0.13449048375098194</v>
      </c>
      <c r="E428" s="31">
        <f ca="1">B428-D428</f>
        <v>0</v>
      </c>
    </row>
    <row r="429" spans="1:5" x14ac:dyDescent="0.25">
      <c r="A429" s="21">
        <v>428</v>
      </c>
      <c r="B429" s="5" cm="1">
        <f t="array" aca="1" ref="B429" ca="1">interpolexp(A429,serie_du,Taxas_DI)</f>
        <v>0.13449082630685449</v>
      </c>
      <c r="C429" s="32">
        <f ca="1">((((1+B429)^(A429/252))/((1+B428)^(A428/252)))^(252/1))-1</f>
        <v>0.13463710711641141</v>
      </c>
      <c r="D429" s="30">
        <v>0.13449082630685449</v>
      </c>
      <c r="E429" s="31">
        <f ca="1">B429-D429</f>
        <v>0</v>
      </c>
    </row>
    <row r="430" spans="1:5" x14ac:dyDescent="0.25">
      <c r="A430" s="21">
        <v>429</v>
      </c>
      <c r="B430" s="5" cm="1">
        <f t="array" aca="1" ref="B430" ca="1">interpolexp(A430,serie_du,Taxas_DI)</f>
        <v>0.13449116726569343</v>
      </c>
      <c r="C430" s="32">
        <f ca="1">((((1+B430)^(A430/252))/((1+B429)^(A429/252)))^(252/1))-1</f>
        <v>0.13463710705663123</v>
      </c>
      <c r="D430" s="30">
        <v>0.13449116726569343</v>
      </c>
      <c r="E430" s="31">
        <f ca="1">B430-D430</f>
        <v>0</v>
      </c>
    </row>
    <row r="431" spans="1:5" x14ac:dyDescent="0.25">
      <c r="A431" s="21">
        <v>430</v>
      </c>
      <c r="B431" s="5" cm="1">
        <f t="array" aca="1" ref="B431" ca="1">interpolexp(A431,serie_du,Taxas_DI)</f>
        <v>0.13449150663871201</v>
      </c>
      <c r="C431" s="32">
        <f ca="1">((((1+B431)^(A431/252))/((1+B430)^(A430/252)))^(252/1))-1</f>
        <v>0.13463710702783604</v>
      </c>
      <c r="D431" s="30">
        <v>0.13449150663871201</v>
      </c>
      <c r="E431" s="31">
        <f ca="1">B431-D431</f>
        <v>0</v>
      </c>
    </row>
    <row r="432" spans="1:5" x14ac:dyDescent="0.25">
      <c r="A432" s="21">
        <v>431</v>
      </c>
      <c r="B432" s="5" cm="1">
        <f t="array" aca="1" ref="B432" ca="1">interpolexp(A432,serie_du,Taxas_DI)</f>
        <v>0.13449184443692364</v>
      </c>
      <c r="C432" s="32">
        <f ca="1">((((1+B432)^(A432/252))/((1+B431)^(A431/252)))^(252/1))-1</f>
        <v>0.13463710698859965</v>
      </c>
      <c r="D432" s="30">
        <v>0.13449184443692364</v>
      </c>
      <c r="E432" s="31">
        <f ca="1">B432-D432</f>
        <v>0</v>
      </c>
    </row>
    <row r="433" spans="1:5" x14ac:dyDescent="0.25">
      <c r="A433" s="21">
        <v>432</v>
      </c>
      <c r="B433" s="5" cm="1">
        <f t="array" aca="1" ref="B433" ca="1">interpolexp(A433,serie_du,Taxas_DI)</f>
        <v>0.1344921806712307</v>
      </c>
      <c r="C433" s="32">
        <f ca="1">((((1+B433)^(A433/252))/((1+B432)^(A432/252)))^(252/1))-1</f>
        <v>0.134637106935104</v>
      </c>
      <c r="D433" s="30">
        <v>0.1344921806712307</v>
      </c>
      <c r="E433" s="31">
        <f ca="1">B433-D433</f>
        <v>0</v>
      </c>
    </row>
    <row r="434" spans="1:5" x14ac:dyDescent="0.25">
      <c r="A434" s="21">
        <v>433</v>
      </c>
      <c r="B434" s="5" cm="1">
        <f t="array" aca="1" ref="B434" ca="1">interpolexp(A434,serie_du,Taxas_DI)</f>
        <v>0.13449251535249118</v>
      </c>
      <c r="C434" s="32">
        <f ca="1">((((1+B434)^(A434/252))/((1+B433)^(A433/252)))^(252/1))-1</f>
        <v>0.13463710689171293</v>
      </c>
      <c r="D434" s="30">
        <v>0.13449251535249118</v>
      </c>
      <c r="E434" s="31">
        <f ca="1">B434-D434</f>
        <v>0</v>
      </c>
    </row>
    <row r="435" spans="1:5" x14ac:dyDescent="0.25">
      <c r="A435" s="21">
        <v>434</v>
      </c>
      <c r="B435" s="5" cm="1">
        <f t="array" aca="1" ref="B435" ca="1">interpolexp(A435,serie_du,Taxas_DI)</f>
        <v>0.13449284849145204</v>
      </c>
      <c r="C435" s="32">
        <f ca="1">((((1+B435)^(A435/252))/((1+B434)^(A434/252)))^(252/1))-1</f>
        <v>0.13463710685357744</v>
      </c>
      <c r="D435" s="30">
        <v>0.13449284849145204</v>
      </c>
      <c r="E435" s="31">
        <f ca="1">B435-D435</f>
        <v>0</v>
      </c>
    </row>
    <row r="436" spans="1:5" x14ac:dyDescent="0.25">
      <c r="A436" s="21">
        <v>435</v>
      </c>
      <c r="B436" s="5" cm="1">
        <f t="array" aca="1" ref="B436" ca="1">interpolexp(A436,serie_du,Taxas_DI)</f>
        <v>0.13449318009872702</v>
      </c>
      <c r="C436" s="32">
        <f ca="1">((((1+B436)^(A436/252))/((1+B435)^(A435/252)))^(252/1))-1</f>
        <v>0.13463710680590402</v>
      </c>
      <c r="D436" s="30">
        <v>0.13449318009872702</v>
      </c>
      <c r="E436" s="31">
        <f ca="1">B436-D436</f>
        <v>0</v>
      </c>
    </row>
    <row r="437" spans="1:5" x14ac:dyDescent="0.25">
      <c r="A437" s="21">
        <v>436</v>
      </c>
      <c r="B437" s="5" cm="1">
        <f t="array" aca="1" ref="B437" ca="1">interpolexp(A437,serie_du,Taxas_DI)</f>
        <v>0.13449351018488542</v>
      </c>
      <c r="C437" s="32">
        <f ca="1">((((1+B437)^(A437/252))/((1+B436)^(A436/252)))^(252/1))-1</f>
        <v>0.13463710677166185</v>
      </c>
      <c r="D437" s="30">
        <v>0.13449351018488542</v>
      </c>
      <c r="E437" s="31">
        <f ca="1">B437-D437</f>
        <v>0</v>
      </c>
    </row>
    <row r="438" spans="1:5" x14ac:dyDescent="0.25">
      <c r="A438" s="21">
        <v>437</v>
      </c>
      <c r="B438" s="5" cm="1">
        <f t="array" aca="1" ref="B438" ca="1">interpolexp(A438,serie_du,Taxas_DI)</f>
        <v>0.13449383876034116</v>
      </c>
      <c r="C438" s="32">
        <f ca="1">((((1+B438)^(A438/252))/((1+B437)^(A437/252)))^(252/1))-1</f>
        <v>0.13463710672526319</v>
      </c>
      <c r="D438" s="30">
        <v>0.13449383876034116</v>
      </c>
      <c r="E438" s="31">
        <f ca="1">B438-D438</f>
        <v>0</v>
      </c>
    </row>
    <row r="439" spans="1:5" x14ac:dyDescent="0.25">
      <c r="A439" s="21">
        <v>438</v>
      </c>
      <c r="B439" s="5" cm="1">
        <f t="array" aca="1" ref="B439" ca="1">interpolexp(A439,serie_du,Taxas_DI)</f>
        <v>0.1344941658354637</v>
      </c>
      <c r="C439" s="32">
        <f ca="1">((((1+B439)^(A439/252))/((1+B438)^(A438/252)))^(252/1))-1</f>
        <v>0.13463710668875506</v>
      </c>
      <c r="D439" s="30">
        <v>0.1344941658354637</v>
      </c>
      <c r="E439" s="31">
        <f ca="1">B439-D439</f>
        <v>0</v>
      </c>
    </row>
    <row r="440" spans="1:5" x14ac:dyDescent="0.25">
      <c r="A440" s="21">
        <v>439</v>
      </c>
      <c r="B440" s="5" cm="1">
        <f t="array" aca="1" ref="B440" ca="1">interpolexp(A440,serie_du,Taxas_DI)</f>
        <v>0.1344944914204893</v>
      </c>
      <c r="C440" s="32">
        <f ca="1">((((1+B440)^(A440/252))/((1+B439)^(A439/252)))^(252/1))-1</f>
        <v>0.13463710664538242</v>
      </c>
      <c r="D440" s="30">
        <v>0.1344944914204893</v>
      </c>
      <c r="E440" s="31">
        <f ca="1">B440-D440</f>
        <v>0</v>
      </c>
    </row>
    <row r="441" spans="1:5" x14ac:dyDescent="0.25">
      <c r="A441" s="21">
        <v>440</v>
      </c>
      <c r="B441" s="5" cm="1">
        <f t="array" aca="1" ref="B441" ca="1">interpolexp(A441,serie_du,Taxas_DI)</f>
        <v>0.13449481552558762</v>
      </c>
      <c r="C441" s="32">
        <f ca="1">((((1+B441)^(A441/252))/((1+B440)^(A440/252)))^(252/1))-1</f>
        <v>0.13463710660659123</v>
      </c>
      <c r="D441" s="30">
        <v>0.13449481552558762</v>
      </c>
      <c r="E441" s="31">
        <f ca="1">B441-D441</f>
        <v>0</v>
      </c>
    </row>
    <row r="442" spans="1:5" x14ac:dyDescent="0.25">
      <c r="A442" s="21">
        <v>441</v>
      </c>
      <c r="B442" s="5" cm="1">
        <f t="array" aca="1" ref="B442" ca="1">interpolexp(A442,serie_du,Taxas_DI)</f>
        <v>0.13449513816081726</v>
      </c>
      <c r="C442" s="32">
        <f ca="1">((((1+B442)^(A442/252))/((1+B441)^(A441/252)))^(252/1))-1</f>
        <v>0.13463710656413341</v>
      </c>
      <c r="D442" s="30">
        <v>0.13449513816081726</v>
      </c>
      <c r="E442" s="31">
        <f ca="1">B442-D442</f>
        <v>0</v>
      </c>
    </row>
    <row r="443" spans="1:5" x14ac:dyDescent="0.25">
      <c r="A443" s="21">
        <v>442</v>
      </c>
      <c r="B443" s="5" cm="1">
        <f t="array" aca="1" ref="B443" ca="1">interpolexp(A443,serie_du,Taxas_DI)</f>
        <v>0.13449545933617024</v>
      </c>
      <c r="C443" s="32">
        <f ca="1">((((1+B443)^(A443/252))/((1+B442)^(A442/252)))^(252/1))-1</f>
        <v>0.13463710652879146</v>
      </c>
      <c r="D443" s="30">
        <v>0.13449545933617024</v>
      </c>
      <c r="E443" s="31">
        <f ca="1">B443-D443</f>
        <v>0</v>
      </c>
    </row>
    <row r="444" spans="1:5" x14ac:dyDescent="0.25">
      <c r="A444" s="21">
        <v>443</v>
      </c>
      <c r="B444" s="5" cm="1">
        <f t="array" aca="1" ref="B444" ca="1">interpolexp(A444,serie_du,Taxas_DI)</f>
        <v>0.13449577906150534</v>
      </c>
      <c r="C444" s="32">
        <f ca="1">((((1+B444)^(A444/252))/((1+B443)^(A443/252)))^(252/1))-1</f>
        <v>0.1346371064815719</v>
      </c>
      <c r="D444" s="30">
        <v>0.13449577906150534</v>
      </c>
      <c r="E444" s="31">
        <f ca="1">B444-D444</f>
        <v>0</v>
      </c>
    </row>
    <row r="445" spans="1:5" x14ac:dyDescent="0.25">
      <c r="A445" s="21">
        <v>444</v>
      </c>
      <c r="B445" s="5" cm="1">
        <f t="array" aca="1" ref="B445" ca="1">interpolexp(A445,serie_du,Taxas_DI)</f>
        <v>0.13449609734665913</v>
      </c>
      <c r="C445" s="32">
        <f ca="1">((((1+B445)^(A445/252))/((1+B444)^(A444/252)))^(252/1))-1</f>
        <v>0.13463710645203286</v>
      </c>
      <c r="D445" s="30">
        <v>0.13449609734665913</v>
      </c>
      <c r="E445" s="31">
        <f ca="1">B445-D445</f>
        <v>0</v>
      </c>
    </row>
    <row r="446" spans="1:5" x14ac:dyDescent="0.25">
      <c r="A446" s="21">
        <v>445</v>
      </c>
      <c r="B446" s="5" cm="1">
        <f t="array" aca="1" ref="B446" ca="1">interpolexp(A446,serie_du,Taxas_DI)</f>
        <v>0.13449641420131275</v>
      </c>
      <c r="C446" s="32">
        <f ca="1">((((1+B446)^(A446/252))/((1+B445)^(A445/252)))^(252/1))-1</f>
        <v>0.13463710641026005</v>
      </c>
      <c r="D446" s="30">
        <v>0.13449641420131275</v>
      </c>
      <c r="E446" s="31">
        <f ca="1">B446-D446</f>
        <v>0</v>
      </c>
    </row>
    <row r="447" spans="1:5" x14ac:dyDescent="0.25">
      <c r="A447" s="21">
        <v>446</v>
      </c>
      <c r="B447" s="5" cm="1">
        <f t="array" aca="1" ref="B447" ca="1">interpolexp(A447,serie_du,Taxas_DI)</f>
        <v>0.13449672963508075</v>
      </c>
      <c r="C447" s="32">
        <f ca="1">((((1+B447)^(A447/252))/((1+B446)^(A446/252)))^(252/1))-1</f>
        <v>0.13463710636532378</v>
      </c>
      <c r="D447" s="30">
        <v>0.13449672963508075</v>
      </c>
      <c r="E447" s="31">
        <f ca="1">B447-D447</f>
        <v>0</v>
      </c>
    </row>
    <row r="448" spans="1:5" x14ac:dyDescent="0.25">
      <c r="A448" s="21">
        <v>447</v>
      </c>
      <c r="B448" s="5" cm="1">
        <f t="array" aca="1" ref="B448" ca="1">interpolexp(A448,serie_du,Taxas_DI)</f>
        <v>0.13449704365753323</v>
      </c>
      <c r="C448" s="32">
        <f ca="1">((((1+B448)^(A448/252))/((1+B447)^(A447/252)))^(252/1))-1</f>
        <v>0.13463710633594905</v>
      </c>
      <c r="D448" s="30">
        <v>0.13449704365753323</v>
      </c>
      <c r="E448" s="31">
        <f ca="1">B448-D448</f>
        <v>0</v>
      </c>
    </row>
    <row r="449" spans="1:5" x14ac:dyDescent="0.25">
      <c r="A449" s="21">
        <v>448</v>
      </c>
      <c r="B449" s="5" cm="1">
        <f t="array" aca="1" ref="B449" ca="1">interpolexp(A449,serie_du,Taxas_DI)</f>
        <v>0.1344973562780627</v>
      </c>
      <c r="C449" s="32">
        <f ca="1">((((1+B449)^(A449/252))/((1+B448)^(A448/252)))^(252/1))-1</f>
        <v>0.13463710628062087</v>
      </c>
      <c r="D449" s="30">
        <v>0.1344973562780627</v>
      </c>
      <c r="E449" s="31">
        <f ca="1">B449-D449</f>
        <v>0</v>
      </c>
    </row>
    <row r="450" spans="1:5" x14ac:dyDescent="0.25">
      <c r="A450" s="21">
        <v>449</v>
      </c>
      <c r="B450" s="5" cm="1">
        <f t="array" aca="1" ref="B450" ca="1">interpolexp(A450,serie_du,Taxas_DI)</f>
        <v>0.13449766750610603</v>
      </c>
      <c r="C450" s="32">
        <f ca="1">((((1+B450)^(A450/252))/((1+B449)^(A449/252)))^(252/1))-1</f>
        <v>0.1346371062570817</v>
      </c>
      <c r="D450" s="30">
        <v>0.13449766750610603</v>
      </c>
      <c r="E450" s="31">
        <f ca="1">B450-D450</f>
        <v>0</v>
      </c>
    </row>
    <row r="451" spans="1:5" x14ac:dyDescent="0.25">
      <c r="A451" s="21">
        <v>450</v>
      </c>
      <c r="B451" s="5" cm="1">
        <f t="array" aca="1" ref="B451" ca="1">interpolexp(A451,serie_du,Taxas_DI)</f>
        <v>0.1344979773509225</v>
      </c>
      <c r="C451" s="32">
        <f ca="1">((((1+B451)^(A451/252))/((1+B450)^(A450/252)))^(252/1))-1</f>
        <v>0.13463710622280778</v>
      </c>
      <c r="D451" s="30">
        <v>0.1344979773509225</v>
      </c>
      <c r="E451" s="31">
        <f ca="1">B451-D451</f>
        <v>0</v>
      </c>
    </row>
    <row r="452" spans="1:5" x14ac:dyDescent="0.25">
      <c r="A452" s="21">
        <v>451</v>
      </c>
      <c r="B452" s="5" cm="1">
        <f t="array" aca="1" ref="B452" ca="1">interpolexp(A452,serie_du,Taxas_DI)</f>
        <v>0.13449828582170475</v>
      </c>
      <c r="C452" s="32">
        <f ca="1">((((1+B452)^(A452/252))/((1+B451)^(A451/252)))^(252/1))-1</f>
        <v>0.13463710618510438</v>
      </c>
      <c r="D452" s="30">
        <v>0.13449828582170475</v>
      </c>
      <c r="E452" s="31">
        <f ca="1">B452-D452</f>
        <v>0</v>
      </c>
    </row>
    <row r="453" spans="1:5" x14ac:dyDescent="0.25">
      <c r="A453" s="21">
        <v>452</v>
      </c>
      <c r="B453" s="5" cm="1">
        <f t="array" aca="1" ref="B453" ca="1">interpolexp(A453,serie_du,Taxas_DI)</f>
        <v>0.13449859292755661</v>
      </c>
      <c r="C453" s="32">
        <f ca="1">((((1+B453)^(A453/252))/((1+B452)^(A452/252)))^(252/1))-1</f>
        <v>0.13463710614051783</v>
      </c>
      <c r="D453" s="30">
        <v>0.13449859292755661</v>
      </c>
      <c r="E453" s="31">
        <f ca="1">B453-D453</f>
        <v>0</v>
      </c>
    </row>
    <row r="454" spans="1:5" x14ac:dyDescent="0.25">
      <c r="A454" s="21">
        <v>453</v>
      </c>
      <c r="B454" s="5" cm="1">
        <f t="array" aca="1" ref="B454" ca="1">interpolexp(A454,serie_du,Taxas_DI)</f>
        <v>0.1344988986775375</v>
      </c>
      <c r="C454" s="32">
        <f ca="1">((((1+B454)^(A454/252))/((1+B453)^(A453/252)))^(252/1))-1</f>
        <v>0.13463710610522361</v>
      </c>
      <c r="D454" s="30">
        <v>0.1344988986775375</v>
      </c>
      <c r="E454" s="31">
        <f ca="1">B454-D454</f>
        <v>0</v>
      </c>
    </row>
    <row r="455" spans="1:5" x14ac:dyDescent="0.25">
      <c r="A455" s="21">
        <v>454</v>
      </c>
      <c r="B455" s="5" cm="1">
        <f t="array" aca="1" ref="B455" ca="1">interpolexp(A455,serie_du,Taxas_DI)</f>
        <v>0.13449920308059582</v>
      </c>
      <c r="C455" s="32">
        <f ca="1">((((1+B455)^(A455/252))/((1+B454)^(A454/252)))^(252/1))-1</f>
        <v>0.13463710606519608</v>
      </c>
      <c r="D455" s="30">
        <v>0.13449920308059582</v>
      </c>
      <c r="E455" s="31">
        <f ca="1">B455-D455</f>
        <v>0</v>
      </c>
    </row>
    <row r="456" spans="1:5" x14ac:dyDescent="0.25">
      <c r="A456" s="21">
        <v>455</v>
      </c>
      <c r="B456" s="5" cm="1">
        <f t="array" aca="1" ref="B456" ca="1">interpolexp(A456,serie_du,Taxas_DI)</f>
        <v>0.13449950614561335</v>
      </c>
      <c r="C456" s="32">
        <f ca="1">((((1+B456)^(A456/252))/((1+B455)^(A455/252)))^(252/1))-1</f>
        <v>0.1346371060257836</v>
      </c>
      <c r="D456" s="30">
        <v>0.13449950614561335</v>
      </c>
      <c r="E456" s="31">
        <f ca="1">B456-D456</f>
        <v>0</v>
      </c>
    </row>
    <row r="457" spans="1:5" x14ac:dyDescent="0.25">
      <c r="A457" s="21">
        <v>456</v>
      </c>
      <c r="B457" s="5" cm="1">
        <f t="array" aca="1" ref="B457" ca="1">interpolexp(A457,serie_du,Taxas_DI)</f>
        <v>0.13449980788142746</v>
      </c>
      <c r="C457" s="32">
        <f ca="1">((((1+B457)^(A457/252))/((1+B456)^(A456/252)))^(252/1))-1</f>
        <v>0.13463710600243406</v>
      </c>
      <c r="D457" s="30">
        <v>0.13449980788142746</v>
      </c>
      <c r="E457" s="31">
        <f ca="1">B457-D457</f>
        <v>0</v>
      </c>
    </row>
    <row r="458" spans="1:5" x14ac:dyDescent="0.25">
      <c r="A458" s="21">
        <v>457</v>
      </c>
      <c r="B458" s="5" cm="1">
        <f t="array" aca="1" ref="B458" ca="1">interpolexp(A458,serie_du,Taxas_DI)</f>
        <v>0.1345001082967201</v>
      </c>
      <c r="C458" s="32">
        <f ca="1">((((1+B458)^(A458/252))/((1+B457)^(A457/252)))^(252/1))-1</f>
        <v>0.13463710595926748</v>
      </c>
      <c r="D458" s="30">
        <v>0.1345001082967201</v>
      </c>
      <c r="E458" s="31">
        <f ca="1">B458-D458</f>
        <v>0</v>
      </c>
    </row>
    <row r="459" spans="1:5" x14ac:dyDescent="0.25">
      <c r="A459" s="21">
        <v>458</v>
      </c>
      <c r="B459" s="5" cm="1">
        <f t="array" aca="1" ref="B459" ca="1">interpolexp(A459,serie_du,Taxas_DI)</f>
        <v>0.13450040740015101</v>
      </c>
      <c r="C459" s="32">
        <f ca="1">((((1+B459)^(A459/252))/((1+B458)^(A458/252)))^(252/1))-1</f>
        <v>0.13463710592099876</v>
      </c>
      <c r="D459" s="30">
        <v>0.13450040740015101</v>
      </c>
      <c r="E459" s="31">
        <f ca="1">B459-D459</f>
        <v>0</v>
      </c>
    </row>
    <row r="460" spans="1:5" x14ac:dyDescent="0.25">
      <c r="A460" s="21">
        <v>459</v>
      </c>
      <c r="B460" s="5" cm="1">
        <f t="array" aca="1" ref="B460" ca="1">interpolexp(A460,serie_du,Taxas_DI)</f>
        <v>0.13450070520029112</v>
      </c>
      <c r="C460" s="32">
        <f ca="1">((((1+B460)^(A460/252))/((1+B459)^(A459/252)))^(252/1))-1</f>
        <v>0.13463710588141131</v>
      </c>
      <c r="D460" s="30">
        <v>0.13450070520029112</v>
      </c>
      <c r="E460" s="31">
        <f ca="1">B460-D460</f>
        <v>0</v>
      </c>
    </row>
    <row r="461" spans="1:5" x14ac:dyDescent="0.25">
      <c r="A461" s="21">
        <v>460</v>
      </c>
      <c r="B461" s="5" cm="1">
        <f t="array" aca="1" ref="B461" ca="1">interpolexp(A461,serie_du,Taxas_DI)</f>
        <v>0.13450100170568913</v>
      </c>
      <c r="C461" s="32">
        <f ca="1">((((1+B461)^(A461/252))/((1+B460)^(A460/252)))^(252/1))-1</f>
        <v>0.134637105864575</v>
      </c>
      <c r="D461" s="30">
        <v>0.13450100170568913</v>
      </c>
      <c r="E461" s="31">
        <f ca="1">B461-D461</f>
        <v>0</v>
      </c>
    </row>
    <row r="462" spans="1:5" x14ac:dyDescent="0.25">
      <c r="A462" s="21">
        <v>461</v>
      </c>
      <c r="B462" s="5" cm="1">
        <f t="array" aca="1" ref="B462" ca="1">interpolexp(A462,serie_du,Taxas_DI)</f>
        <v>0.13450129692469392</v>
      </c>
      <c r="C462" s="32">
        <f ca="1">((((1+B462)^(A462/252))/((1+B461)^(A461/252)))^(252/1))-1</f>
        <v>0.13463710581263411</v>
      </c>
      <c r="D462" s="30">
        <v>0.13450129692469392</v>
      </c>
      <c r="E462" s="31">
        <f ca="1">B462-D462</f>
        <v>0</v>
      </c>
    </row>
    <row r="463" spans="1:5" x14ac:dyDescent="0.25">
      <c r="A463" s="21">
        <v>462</v>
      </c>
      <c r="B463" s="5" cm="1">
        <f t="array" aca="1" ref="B463" ca="1">interpolexp(A463,serie_du,Taxas_DI)</f>
        <v>0.13450159086569879</v>
      </c>
      <c r="C463" s="32">
        <f ca="1">((((1+B463)^(A463/252))/((1+B462)^(A462/252)))^(252/1))-1</f>
        <v>0.134637105779432</v>
      </c>
      <c r="D463" s="30">
        <v>0.13450159086569879</v>
      </c>
      <c r="E463" s="31">
        <f ca="1">B463-D463</f>
        <v>0</v>
      </c>
    </row>
    <row r="464" spans="1:5" x14ac:dyDescent="0.25">
      <c r="A464" s="21">
        <v>463</v>
      </c>
      <c r="B464" s="5" cm="1">
        <f t="array" aca="1" ref="B464" ca="1">interpolexp(A464,serie_du,Taxas_DI)</f>
        <v>0.134501883536986</v>
      </c>
      <c r="C464" s="32">
        <f ca="1">((((1+B464)^(A464/252))/((1+B463)^(A463/252)))^(252/1))-1</f>
        <v>0.13463710574708587</v>
      </c>
      <c r="D464" s="30">
        <v>0.134501883536986</v>
      </c>
      <c r="E464" s="31">
        <f ca="1">B464-D464</f>
        <v>0</v>
      </c>
    </row>
    <row r="465" spans="1:5" x14ac:dyDescent="0.25">
      <c r="A465" s="21">
        <v>464</v>
      </c>
      <c r="B465" s="5" cm="1">
        <f t="array" aca="1" ref="B465" ca="1">interpolexp(A465,serie_du,Taxas_DI)</f>
        <v>0.1345021749467934</v>
      </c>
      <c r="C465" s="32">
        <f ca="1">((((1+B465)^(A465/252))/((1+B464)^(A464/252)))^(252/1))-1</f>
        <v>0.13463710572821852</v>
      </c>
      <c r="D465" s="30">
        <v>0.1345021749467934</v>
      </c>
      <c r="E465" s="31">
        <f ca="1">B465-D465</f>
        <v>0</v>
      </c>
    </row>
    <row r="466" spans="1:5" x14ac:dyDescent="0.25">
      <c r="A466" s="21">
        <v>465</v>
      </c>
      <c r="B466" s="5" cm="1">
        <f t="array" aca="1" ref="B466" ca="1">interpolexp(A466,serie_du,Taxas_DI)</f>
        <v>0.1345024651031812</v>
      </c>
      <c r="C466" s="32">
        <f ca="1">((((1+B466)^(A466/252))/((1+B465)^(A465/252)))^(252/1))-1</f>
        <v>0.13463710567312659</v>
      </c>
      <c r="D466" s="30">
        <v>0.1345024651031812</v>
      </c>
      <c r="E466" s="31">
        <f ca="1">B466-D466</f>
        <v>0</v>
      </c>
    </row>
    <row r="467" spans="1:5" x14ac:dyDescent="0.25">
      <c r="A467" s="21">
        <v>466</v>
      </c>
      <c r="B467" s="5" cm="1">
        <f t="array" aca="1" ref="B467" ca="1">interpolexp(A467,serie_du,Taxas_DI)</f>
        <v>0.13450275401427625</v>
      </c>
      <c r="C467" s="32">
        <f ca="1">((((1+B467)^(A467/252))/((1+B466)^(A466/252)))^(252/1))-1</f>
        <v>0.1346371056451503</v>
      </c>
      <c r="D467" s="30">
        <v>0.13450275401427625</v>
      </c>
      <c r="E467" s="31">
        <f ca="1">B467-D467</f>
        <v>0</v>
      </c>
    </row>
    <row r="468" spans="1:5" x14ac:dyDescent="0.25">
      <c r="A468" s="21">
        <v>467</v>
      </c>
      <c r="B468" s="5" cm="1">
        <f t="array" aca="1" ref="B468" ca="1">interpolexp(A468,serie_du,Taxas_DI)</f>
        <v>0.13450304168807214</v>
      </c>
      <c r="C468" s="32">
        <f ca="1">((((1+B468)^(A468/252))/((1+B467)^(A467/252)))^(252/1))-1</f>
        <v>0.13463710561450615</v>
      </c>
      <c r="D468" s="30">
        <v>0.13450304168807214</v>
      </c>
      <c r="E468" s="31">
        <f ca="1">B468-D468</f>
        <v>0</v>
      </c>
    </row>
    <row r="469" spans="1:5" x14ac:dyDescent="0.25">
      <c r="A469" s="21">
        <v>468</v>
      </c>
      <c r="B469" s="5" cm="1">
        <f t="array" aca="1" ref="B469" ca="1">interpolexp(A469,serie_du,Taxas_DI)</f>
        <v>0.13450332813249588</v>
      </c>
      <c r="C469" s="32">
        <f ca="1">((((1+B469)^(A469/252))/((1+B468)^(A468/252)))^(252/1))-1</f>
        <v>0.13463710558194864</v>
      </c>
      <c r="D469" s="30">
        <v>0.13450332813249588</v>
      </c>
      <c r="E469" s="31">
        <f ca="1">B469-D469</f>
        <v>0</v>
      </c>
    </row>
    <row r="470" spans="1:5" x14ac:dyDescent="0.25">
      <c r="A470" s="21">
        <v>469</v>
      </c>
      <c r="B470" s="5" cm="1">
        <f t="array" aca="1" ref="B470" ca="1">interpolexp(A470,serie_du,Taxas_DI)</f>
        <v>0.13450361335538563</v>
      </c>
      <c r="C470" s="32">
        <f ca="1">((((1+B470)^(A470/252))/((1+B469)^(A469/252)))^(252/1))-1</f>
        <v>0.13463710553766117</v>
      </c>
      <c r="D470" s="30">
        <v>0.13450361335538563</v>
      </c>
      <c r="E470" s="31">
        <f ca="1">B470-D470</f>
        <v>0</v>
      </c>
    </row>
    <row r="471" spans="1:5" x14ac:dyDescent="0.25">
      <c r="A471" s="21">
        <v>470</v>
      </c>
      <c r="B471" s="5" cm="1">
        <f t="array" aca="1" ref="B471" ca="1">interpolexp(A471,serie_du,Taxas_DI)</f>
        <v>0.13450389736458268</v>
      </c>
      <c r="C471" s="32">
        <f ca="1">((((1+B471)^(A471/252))/((1+B470)^(A470/252)))^(252/1))-1</f>
        <v>0.13463710551443508</v>
      </c>
      <c r="D471" s="30">
        <v>0.13450389736458268</v>
      </c>
      <c r="E471" s="31">
        <f ca="1">B471-D471</f>
        <v>0</v>
      </c>
    </row>
    <row r="472" spans="1:5" x14ac:dyDescent="0.25">
      <c r="A472" s="21">
        <v>471</v>
      </c>
      <c r="B472" s="5" cm="1">
        <f t="array" aca="1" ref="B472" ca="1">interpolexp(A472,serie_du,Taxas_DI)</f>
        <v>0.13449996682270982</v>
      </c>
      <c r="C472" s="32">
        <f ca="1">((((1+B472)^(A472/252))/((1+B471)^(A471/252)))^(252/1))-1</f>
        <v>0.13265411858456355</v>
      </c>
      <c r="D472" s="30">
        <v>0.13449996682270982</v>
      </c>
      <c r="E472" s="31">
        <f ca="1">B472-D472</f>
        <v>0</v>
      </c>
    </row>
    <row r="473" spans="1:5" x14ac:dyDescent="0.25">
      <c r="A473" s="21">
        <v>472</v>
      </c>
      <c r="B473" s="5" cm="1">
        <f t="array" aca="1" ref="B473" ca="1">interpolexp(A473,serie_du,Taxas_DI)</f>
        <v>0.13449605293582856</v>
      </c>
      <c r="C473" s="32">
        <f ca="1">((((1+B473)^(A473/252))/((1+B472)^(A472/252)))^(252/1))-1</f>
        <v>0.13265411228041613</v>
      </c>
      <c r="D473" s="30">
        <v>0.13449605293582856</v>
      </c>
      <c r="E473" s="31">
        <f ca="1">B473-D473</f>
        <v>0</v>
      </c>
    </row>
    <row r="474" spans="1:5" x14ac:dyDescent="0.25">
      <c r="A474" s="21">
        <v>473</v>
      </c>
      <c r="B474" s="5" cm="1">
        <f t="array" aca="1" ref="B474" ca="1">interpolexp(A474,serie_du,Taxas_DI)</f>
        <v>0.13449215559828698</v>
      </c>
      <c r="C474" s="32">
        <f ca="1">((((1+B474)^(A474/252))/((1+B473)^(A473/252)))^(252/1))-1</f>
        <v>0.13265410600827332</v>
      </c>
      <c r="D474" s="30">
        <v>0.13449215559828698</v>
      </c>
      <c r="E474" s="31">
        <f ca="1">B474-D474</f>
        <v>0</v>
      </c>
    </row>
    <row r="475" spans="1:5" x14ac:dyDescent="0.25">
      <c r="A475" s="21">
        <v>474</v>
      </c>
      <c r="B475" s="5" cm="1">
        <f t="array" aca="1" ref="B475" ca="1">interpolexp(A475,serie_du,Taxas_DI)</f>
        <v>0.13448827470539104</v>
      </c>
      <c r="C475" s="32">
        <f ca="1">((((1+B475)^(A475/252))/((1+B474)^(A474/252)))^(252/1))-1</f>
        <v>0.13265409979922871</v>
      </c>
      <c r="D475" s="30">
        <v>0.13448827470539104</v>
      </c>
      <c r="E475" s="31">
        <f ca="1">B475-D475</f>
        <v>0</v>
      </c>
    </row>
    <row r="476" spans="1:5" x14ac:dyDescent="0.25">
      <c r="A476" s="21">
        <v>475</v>
      </c>
      <c r="B476" s="5" cm="1">
        <f t="array" aca="1" ref="B476" ca="1">interpolexp(A476,serie_du,Taxas_DI)</f>
        <v>0.13448441015322388</v>
      </c>
      <c r="C476" s="32">
        <f ca="1">((((1+B476)^(A476/252))/((1+B475)^(A475/252)))^(252/1))-1</f>
        <v>0.13265409360338487</v>
      </c>
      <c r="D476" s="30">
        <v>0.13448441015322388</v>
      </c>
      <c r="E476" s="31">
        <f ca="1">B476-D476</f>
        <v>0</v>
      </c>
    </row>
    <row r="477" spans="1:5" x14ac:dyDescent="0.25">
      <c r="A477" s="21">
        <v>476</v>
      </c>
      <c r="B477" s="5" cm="1">
        <f t="array" aca="1" ref="B477" ca="1">interpolexp(A477,serie_du,Taxas_DI)</f>
        <v>0.1344805618388234</v>
      </c>
      <c r="C477" s="32">
        <f ca="1">((((1+B477)^(A477/252))/((1+B476)^(A476/252)))^(252/1))-1</f>
        <v>0.13265408745913709</v>
      </c>
      <c r="D477" s="30">
        <v>0.1344805618388234</v>
      </c>
      <c r="E477" s="31">
        <f ca="1">B477-D477</f>
        <v>0</v>
      </c>
    </row>
    <row r="478" spans="1:5" x14ac:dyDescent="0.25">
      <c r="A478" s="21">
        <v>477</v>
      </c>
      <c r="B478" s="5" cm="1">
        <f t="array" aca="1" ref="B478" ca="1">interpolexp(A478,serie_du,Taxas_DI)</f>
        <v>0.13447672966007129</v>
      </c>
      <c r="C478" s="32">
        <f ca="1">((((1+B478)^(A478/252))/((1+B477)^(A477/252)))^(252/1))-1</f>
        <v>0.13265408135681689</v>
      </c>
      <c r="D478" s="30">
        <v>0.13447672966007129</v>
      </c>
      <c r="E478" s="31">
        <f ca="1">B478-D478</f>
        <v>0</v>
      </c>
    </row>
    <row r="479" spans="1:5" x14ac:dyDescent="0.25">
      <c r="A479" s="21">
        <v>478</v>
      </c>
      <c r="B479" s="5" cm="1">
        <f t="array" aca="1" ref="B479" ca="1">interpolexp(A479,serie_du,Taxas_DI)</f>
        <v>0.13447291351567081</v>
      </c>
      <c r="C479" s="32">
        <f ca="1">((((1+B479)^(A479/252))/((1+B478)^(A478/252)))^(252/1))-1</f>
        <v>0.13265407528024631</v>
      </c>
      <c r="D479" s="30">
        <v>0.13447291351567081</v>
      </c>
      <c r="E479" s="31">
        <f ca="1">B479-D479</f>
        <v>0</v>
      </c>
    </row>
    <row r="480" spans="1:5" x14ac:dyDescent="0.25">
      <c r="A480" s="21">
        <v>479</v>
      </c>
      <c r="B480" s="5" cm="1">
        <f t="array" aca="1" ref="B480" ca="1">interpolexp(A480,serie_du,Taxas_DI)</f>
        <v>0.13446911330521338</v>
      </c>
      <c r="C480" s="32">
        <f ca="1">((((1+B480)^(A480/252))/((1+B479)^(A479/252)))^(252/1))-1</f>
        <v>0.13265406924955747</v>
      </c>
      <c r="D480" s="30">
        <v>0.13446911330521338</v>
      </c>
      <c r="E480" s="31">
        <f ca="1">B480-D480</f>
        <v>0</v>
      </c>
    </row>
    <row r="481" spans="1:5" x14ac:dyDescent="0.25">
      <c r="A481" s="21">
        <v>480</v>
      </c>
      <c r="B481" s="5" cm="1">
        <f t="array" aca="1" ref="B481" ca="1">interpolexp(A481,serie_du,Taxas_DI)</f>
        <v>0.134465328929112</v>
      </c>
      <c r="C481" s="32">
        <f ca="1">((((1+B481)^(A481/252))/((1+B480)^(A480/252)))^(252/1))-1</f>
        <v>0.13265406325693152</v>
      </c>
      <c r="D481" s="30">
        <v>0.134465328929112</v>
      </c>
      <c r="E481" s="31">
        <f ca="1">B481-D481</f>
        <v>0</v>
      </c>
    </row>
    <row r="482" spans="1:5" x14ac:dyDescent="0.25">
      <c r="A482" s="21">
        <v>481</v>
      </c>
      <c r="B482" s="5" cm="1">
        <f t="array" aca="1" ref="B482" ca="1">interpolexp(A482,serie_du,Taxas_DI)</f>
        <v>0.13446156028862344</v>
      </c>
      <c r="C482" s="32">
        <f ca="1">((((1+B482)^(A482/252))/((1+B481)^(A481/252)))^(252/1))-1</f>
        <v>0.13265405730968682</v>
      </c>
      <c r="D482" s="30">
        <v>0.13446156028862344</v>
      </c>
      <c r="E482" s="31">
        <f ca="1">B482-D482</f>
        <v>0</v>
      </c>
    </row>
    <row r="483" spans="1:5" x14ac:dyDescent="0.25">
      <c r="A483" s="21">
        <v>482</v>
      </c>
      <c r="B483" s="5" cm="1">
        <f t="array" aca="1" ref="B483" ca="1">interpolexp(A483,serie_du,Taxas_DI)</f>
        <v>0.1344578072857594</v>
      </c>
      <c r="C483" s="32">
        <f ca="1">((((1+B483)^(A483/252))/((1+B482)^(A482/252)))^(252/1))-1</f>
        <v>0.13265405137637298</v>
      </c>
      <c r="D483" s="30">
        <v>0.1344578072857594</v>
      </c>
      <c r="E483" s="31">
        <f ca="1">B483-D483</f>
        <v>0</v>
      </c>
    </row>
    <row r="484" spans="1:5" x14ac:dyDescent="0.25">
      <c r="A484" s="21">
        <v>483</v>
      </c>
      <c r="B484" s="5" cm="1">
        <f t="array" aca="1" ref="B484" ca="1">interpolexp(A484,serie_du,Taxas_DI)</f>
        <v>0.13445406982344199</v>
      </c>
      <c r="C484" s="32">
        <f ca="1">((((1+B484)^(A484/252))/((1+B483)^(A483/252)))^(252/1))-1</f>
        <v>0.13265404550447957</v>
      </c>
      <c r="D484" s="30">
        <v>0.13445406982344199</v>
      </c>
      <c r="E484" s="31">
        <f ca="1">B484-D484</f>
        <v>0</v>
      </c>
    </row>
    <row r="485" spans="1:5" x14ac:dyDescent="0.25">
      <c r="A485" s="21">
        <v>484</v>
      </c>
      <c r="B485" s="5" cm="1">
        <f t="array" aca="1" ref="B485" ca="1">interpolexp(A485,serie_du,Taxas_DI)</f>
        <v>0.13445034780530385</v>
      </c>
      <c r="C485" s="32">
        <f ca="1">((((1+B485)^(A485/252))/((1+B484)^(A484/252)))^(252/1))-1</f>
        <v>0.13265403964921929</v>
      </c>
      <c r="D485" s="30">
        <v>0.13445034780530385</v>
      </c>
      <c r="E485" s="31">
        <f ca="1">B485-D485</f>
        <v>0</v>
      </c>
    </row>
    <row r="486" spans="1:5" x14ac:dyDescent="0.25">
      <c r="A486" s="21">
        <v>485</v>
      </c>
      <c r="B486" s="5" cm="1">
        <f t="array" aca="1" ref="B486" ca="1">interpolexp(A486,serie_du,Taxas_DI)</f>
        <v>0.13444664113582139</v>
      </c>
      <c r="C486" s="32">
        <f ca="1">((((1+B486)^(A486/252))/((1+B485)^(A485/252)))^(252/1))-1</f>
        <v>0.13265403383420793</v>
      </c>
      <c r="D486" s="30">
        <v>0.13444664113582139</v>
      </c>
      <c r="E486" s="31">
        <f ca="1">B486-D486</f>
        <v>0</v>
      </c>
    </row>
    <row r="487" spans="1:5" x14ac:dyDescent="0.25">
      <c r="A487" s="21">
        <v>486</v>
      </c>
      <c r="B487" s="5" cm="1">
        <f t="array" aca="1" ref="B487" ca="1">interpolexp(A487,serie_du,Taxas_DI)</f>
        <v>0.13444294972029258</v>
      </c>
      <c r="C487" s="32">
        <f ca="1">((((1+B487)^(A487/252))/((1+B486)^(A486/252)))^(252/1))-1</f>
        <v>0.13265402807611437</v>
      </c>
      <c r="D487" s="30">
        <v>0.13444294972029258</v>
      </c>
      <c r="E487" s="31">
        <f ca="1">B487-D487</f>
        <v>0</v>
      </c>
    </row>
    <row r="488" spans="1:5" x14ac:dyDescent="0.25">
      <c r="A488" s="21">
        <v>487</v>
      </c>
      <c r="B488" s="5" cm="1">
        <f t="array" aca="1" ref="B488" ca="1">interpolexp(A488,serie_du,Taxas_DI)</f>
        <v>0.13443927346468154</v>
      </c>
      <c r="C488" s="32">
        <f ca="1">((((1+B488)^(A488/252))/((1+B487)^(A487/252)))^(252/1))-1</f>
        <v>0.13265402232039003</v>
      </c>
      <c r="D488" s="30">
        <v>0.13443927346468154</v>
      </c>
      <c r="E488" s="31">
        <f ca="1">B488-D488</f>
        <v>0</v>
      </c>
    </row>
    <row r="489" spans="1:5" x14ac:dyDescent="0.25">
      <c r="A489" s="21">
        <v>488</v>
      </c>
      <c r="B489" s="5" cm="1">
        <f t="array" aca="1" ref="B489" ca="1">interpolexp(A489,serie_du,Taxas_DI)</f>
        <v>0.13443561227586276</v>
      </c>
      <c r="C489" s="32">
        <f ca="1">((((1+B489)^(A489/252))/((1+B488)^(A488/252)))^(252/1))-1</f>
        <v>0.13265401663477538</v>
      </c>
      <c r="D489" s="30">
        <v>0.13443561227586276</v>
      </c>
      <c r="E489" s="31">
        <f ca="1">B489-D489</f>
        <v>0</v>
      </c>
    </row>
    <row r="490" spans="1:5" x14ac:dyDescent="0.25">
      <c r="A490" s="21">
        <v>489</v>
      </c>
      <c r="B490" s="5" cm="1">
        <f t="array" aca="1" ref="B490" ca="1">interpolexp(A490,serie_du,Taxas_DI)</f>
        <v>0.13443196606133245</v>
      </c>
      <c r="C490" s="32">
        <f ca="1">((((1+B490)^(A490/252))/((1+B489)^(A489/252)))^(252/1))-1</f>
        <v>0.13265401095059981</v>
      </c>
      <c r="D490" s="30">
        <v>0.13443196606133245</v>
      </c>
      <c r="E490" s="31">
        <f ca="1">B490-D490</f>
        <v>0</v>
      </c>
    </row>
    <row r="491" spans="1:5" x14ac:dyDescent="0.25">
      <c r="A491" s="21">
        <v>490</v>
      </c>
      <c r="B491" s="5" cm="1">
        <f t="array" aca="1" ref="B491" ca="1">interpolexp(A491,serie_du,Taxas_DI)</f>
        <v>0.13442833472945281</v>
      </c>
      <c r="C491" s="32">
        <f ca="1">((((1+B491)^(A491/252))/((1+B490)^(A490/252)))^(252/1))-1</f>
        <v>0.13265400532185123</v>
      </c>
      <c r="D491" s="30">
        <v>0.13442833472945281</v>
      </c>
      <c r="E491" s="31">
        <f ca="1">B491-D491</f>
        <v>0</v>
      </c>
    </row>
    <row r="492" spans="1:5" x14ac:dyDescent="0.25">
      <c r="A492" s="21">
        <v>491</v>
      </c>
      <c r="B492" s="5" cm="1">
        <f t="array" aca="1" ref="B492" ca="1">interpolexp(A492,serie_du,Taxas_DI)</f>
        <v>0.13442471818929658</v>
      </c>
      <c r="C492" s="32">
        <f ca="1">((((1+B492)^(A492/252))/((1+B491)^(A491/252)))^(252/1))-1</f>
        <v>0.13265399973046099</v>
      </c>
      <c r="D492" s="30">
        <v>0.13442471818929658</v>
      </c>
      <c r="E492" s="31">
        <f ca="1">B492-D492</f>
        <v>0</v>
      </c>
    </row>
    <row r="493" spans="1:5" x14ac:dyDescent="0.25">
      <c r="A493" s="21">
        <v>492</v>
      </c>
      <c r="B493" s="5" cm="1">
        <f t="array" aca="1" ref="B493" ca="1">interpolexp(A493,serie_du,Taxas_DI)</f>
        <v>0.13442111635064702</v>
      </c>
      <c r="C493" s="32">
        <f ca="1">((((1+B493)^(A493/252))/((1+B492)^(A492/252)))^(252/1))-1</f>
        <v>0.13265399416216583</v>
      </c>
      <c r="D493" s="30">
        <v>0.13442111635064702</v>
      </c>
      <c r="E493" s="31">
        <f ca="1">B493-D493</f>
        <v>0</v>
      </c>
    </row>
    <row r="494" spans="1:5" x14ac:dyDescent="0.25">
      <c r="A494" s="21">
        <v>493</v>
      </c>
      <c r="B494" s="5" cm="1">
        <f t="array" aca="1" ref="B494" ca="1">interpolexp(A494,serie_du,Taxas_DI)</f>
        <v>0.13441752912402016</v>
      </c>
      <c r="C494" s="32">
        <f ca="1">((((1+B494)^(A494/252))/((1+B493)^(A493/252)))^(252/1))-1</f>
        <v>0.13265398861701927</v>
      </c>
      <c r="D494" s="30">
        <v>0.13441752912402016</v>
      </c>
      <c r="E494" s="31">
        <f ca="1">B494-D494</f>
        <v>0</v>
      </c>
    </row>
    <row r="495" spans="1:5" x14ac:dyDescent="0.25">
      <c r="A495" s="21">
        <v>494</v>
      </c>
      <c r="B495" s="5" cm="1">
        <f t="array" aca="1" ref="B495" ca="1">interpolexp(A495,serie_du,Taxas_DI)</f>
        <v>0.1344139564207314</v>
      </c>
      <c r="C495" s="32">
        <f ca="1">((((1+B495)^(A495/252))/((1+B494)^(A494/252)))^(252/1))-1</f>
        <v>0.13265398313163024</v>
      </c>
      <c r="D495" s="30">
        <v>0.1344139564207314</v>
      </c>
      <c r="E495" s="31">
        <f ca="1">B495-D495</f>
        <v>0</v>
      </c>
    </row>
    <row r="496" spans="1:5" x14ac:dyDescent="0.25">
      <c r="A496" s="21">
        <v>495</v>
      </c>
      <c r="B496" s="5" cm="1">
        <f t="array" aca="1" ref="B496" ca="1">interpolexp(A496,serie_du,Taxas_DI)</f>
        <v>0.13441039815274003</v>
      </c>
      <c r="C496" s="32">
        <f ca="1">((((1+B496)^(A496/252))/((1+B495)^(A495/252)))^(252/1))-1</f>
        <v>0.13265397766983744</v>
      </c>
      <c r="D496" s="30">
        <v>0.13441039815274003</v>
      </c>
      <c r="E496" s="31">
        <f ca="1">B496-D496</f>
        <v>0</v>
      </c>
    </row>
    <row r="497" spans="1:5" x14ac:dyDescent="0.25">
      <c r="A497" s="21">
        <v>496</v>
      </c>
      <c r="B497" s="5" cm="1">
        <f t="array" aca="1" ref="B497" ca="1">interpolexp(A497,serie_du,Taxas_DI)</f>
        <v>0.13440685423271592</v>
      </c>
      <c r="C497" s="32">
        <f ca="1">((((1+B497)^(A497/252))/((1+B496)^(A496/252)))^(252/1))-1</f>
        <v>0.13265397223159026</v>
      </c>
      <c r="D497" s="30">
        <v>0.13440685423271592</v>
      </c>
      <c r="E497" s="31">
        <f ca="1">B497-D497</f>
        <v>0</v>
      </c>
    </row>
    <row r="498" spans="1:5" x14ac:dyDescent="0.25">
      <c r="A498" s="21">
        <v>497</v>
      </c>
      <c r="B498" s="5" cm="1">
        <f t="array" aca="1" ref="B498" ca="1">interpolexp(A498,serie_du,Taxas_DI)</f>
        <v>0.13440332457406168</v>
      </c>
      <c r="C498" s="32">
        <f ca="1">((((1+B498)^(A498/252))/((1+B497)^(A497/252)))^(252/1))-1</f>
        <v>0.13265396683148101</v>
      </c>
      <c r="D498" s="30">
        <v>0.13440332457406168</v>
      </c>
      <c r="E498" s="31">
        <f ca="1">B498-D498</f>
        <v>0</v>
      </c>
    </row>
    <row r="499" spans="1:5" x14ac:dyDescent="0.25">
      <c r="A499" s="21">
        <v>498</v>
      </c>
      <c r="B499" s="5" cm="1">
        <f t="array" aca="1" ref="B499" ca="1">interpolexp(A499,serie_du,Taxas_DI)</f>
        <v>0.13439980909086824</v>
      </c>
      <c r="C499" s="32">
        <f ca="1">((((1+B499)^(A499/252))/((1+B498)^(A498/252)))^(252/1))-1</f>
        <v>0.13265396146551511</v>
      </c>
      <c r="D499" s="30">
        <v>0.13439980909086824</v>
      </c>
      <c r="E499" s="31">
        <f ca="1">B499-D499</f>
        <v>0</v>
      </c>
    </row>
    <row r="500" spans="1:5" x14ac:dyDescent="0.25">
      <c r="A500" s="21">
        <v>499</v>
      </c>
      <c r="B500" s="5" cm="1">
        <f t="array" aca="1" ref="B500" ca="1">interpolexp(A500,serie_du,Taxas_DI)</f>
        <v>0.13439630769791489</v>
      </c>
      <c r="C500" s="32">
        <f ca="1">((((1+B500)^(A500/252))/((1+B499)^(A499/252)))^(252/1))-1</f>
        <v>0.13265395613357733</v>
      </c>
      <c r="D500" s="30">
        <v>0.13439630769791489</v>
      </c>
      <c r="E500" s="31">
        <f ca="1">B500-D500</f>
        <v>0</v>
      </c>
    </row>
    <row r="501" spans="1:5" x14ac:dyDescent="0.25">
      <c r="A501" s="21">
        <v>500</v>
      </c>
      <c r="B501" s="5" cm="1">
        <f t="array" aca="1" ref="B501" ca="1">interpolexp(A501,serie_du,Taxas_DI)</f>
        <v>0.13439282031064703</v>
      </c>
      <c r="C501" s="32">
        <f ca="1">((((1+B501)^(A501/252))/((1+B500)^(A500/252)))^(252/1))-1</f>
        <v>0.13265395082721243</v>
      </c>
      <c r="D501" s="30">
        <v>0.13439282031064703</v>
      </c>
      <c r="E501" s="31">
        <f ca="1">B501-D501</f>
        <v>0</v>
      </c>
    </row>
    <row r="502" spans="1:5" x14ac:dyDescent="0.25">
      <c r="A502" s="21">
        <v>501</v>
      </c>
      <c r="B502" s="5" cm="1">
        <f t="array" aca="1" ref="B502" ca="1">interpolexp(A502,serie_du,Taxas_DI)</f>
        <v>0.13438934684522064</v>
      </c>
      <c r="C502" s="32">
        <f ca="1">((((1+B502)^(A502/252))/((1+B501)^(A501/252)))^(252/1))-1</f>
        <v>0.13265394556426058</v>
      </c>
      <c r="D502" s="30">
        <v>0.13438934684522064</v>
      </c>
      <c r="E502" s="31">
        <f ca="1">B502-D502</f>
        <v>0</v>
      </c>
    </row>
    <row r="503" spans="1:5" x14ac:dyDescent="0.25">
      <c r="A503" s="21">
        <v>502</v>
      </c>
      <c r="B503" s="5" cm="1">
        <f t="array" aca="1" ref="B503" ca="1">interpolexp(A503,serie_du,Taxas_DI)</f>
        <v>0.13438588721841338</v>
      </c>
      <c r="C503" s="32">
        <f ca="1">((((1+B503)^(A503/252))/((1+B502)^(A502/252)))^(252/1))-1</f>
        <v>0.13265394032099498</v>
      </c>
      <c r="D503" s="30">
        <v>0.13438588721841338</v>
      </c>
      <c r="E503" s="31">
        <f ca="1">B503-D503</f>
        <v>0</v>
      </c>
    </row>
    <row r="504" spans="1:5" x14ac:dyDescent="0.25">
      <c r="A504" s="21">
        <v>503</v>
      </c>
      <c r="B504" s="5" cm="1">
        <f t="array" aca="1" ref="B504" ca="1">interpolexp(A504,serie_du,Taxas_DI)</f>
        <v>0.13438244134771349</v>
      </c>
      <c r="C504" s="32">
        <f ca="1">((((1+B504)^(A504/252))/((1+B503)^(A503/252)))^(252/1))-1</f>
        <v>0.13265393512175772</v>
      </c>
      <c r="D504" s="30">
        <v>0.13438244134771349</v>
      </c>
      <c r="E504" s="31">
        <f ca="1">B504-D504</f>
        <v>0</v>
      </c>
    </row>
    <row r="505" spans="1:5" x14ac:dyDescent="0.25">
      <c r="A505" s="21">
        <v>504</v>
      </c>
      <c r="B505" s="5" cm="1">
        <f t="array" aca="1" ref="B505" ca="1">interpolexp(A505,serie_du,Taxas_DI)</f>
        <v>0.1343790091511865</v>
      </c>
      <c r="C505" s="32">
        <f ca="1">((((1+B505)^(A505/252))/((1+B504)^(A504/252)))^(252/1))-1</f>
        <v>0.13265392992726976</v>
      </c>
      <c r="D505" s="30">
        <v>0.1343790091511865</v>
      </c>
      <c r="E505" s="31">
        <f ca="1">B505-D505</f>
        <v>0</v>
      </c>
    </row>
    <row r="506" spans="1:5" x14ac:dyDescent="0.25">
      <c r="A506" s="21">
        <v>505</v>
      </c>
      <c r="B506" s="5" cm="1">
        <f t="array" aca="1" ref="B506" ca="1">interpolexp(A506,serie_du,Taxas_DI)</f>
        <v>0.13437559054765291</v>
      </c>
      <c r="C506" s="32">
        <f ca="1">((((1+B506)^(A506/252))/((1+B505)^(A505/252)))^(252/1))-1</f>
        <v>0.13265392479059401</v>
      </c>
      <c r="D506" s="30">
        <v>0.13437559054765291</v>
      </c>
      <c r="E506" s="31">
        <f ca="1">B506-D506</f>
        <v>0</v>
      </c>
    </row>
    <row r="507" spans="1:5" x14ac:dyDescent="0.25">
      <c r="A507" s="21">
        <v>506</v>
      </c>
      <c r="B507" s="5" cm="1">
        <f t="array" aca="1" ref="B507" ca="1">interpolexp(A507,serie_du,Taxas_DI)</f>
        <v>0.13437218545651053</v>
      </c>
      <c r="C507" s="32">
        <f ca="1">((((1+B507)^(A507/252))/((1+B506)^(A506/252)))^(252/1))-1</f>
        <v>0.13265391967906215</v>
      </c>
      <c r="D507" s="30">
        <v>0.13437218545651053</v>
      </c>
      <c r="E507" s="31">
        <f ca="1">B507-D507</f>
        <v>0</v>
      </c>
    </row>
    <row r="508" spans="1:5" x14ac:dyDescent="0.25">
      <c r="A508" s="21">
        <v>507</v>
      </c>
      <c r="B508" s="5" cm="1">
        <f t="array" aca="1" ref="B508" ca="1">interpolexp(A508,serie_du,Taxas_DI)</f>
        <v>0.13436879379777888</v>
      </c>
      <c r="C508" s="32">
        <f ca="1">((((1+B508)^(A508/252))/((1+B507)^(A507/252)))^(252/1))-1</f>
        <v>0.13265391458522835</v>
      </c>
      <c r="D508" s="30">
        <v>0.13436879379777888</v>
      </c>
      <c r="E508" s="31">
        <f ca="1">B508-D508</f>
        <v>0</v>
      </c>
    </row>
    <row r="509" spans="1:5" x14ac:dyDescent="0.25">
      <c r="A509" s="21">
        <v>508</v>
      </c>
      <c r="B509" s="5" cm="1">
        <f t="array" aca="1" ref="B509" ca="1">interpolexp(A509,serie_du,Taxas_DI)</f>
        <v>0.13436541549216585</v>
      </c>
      <c r="C509" s="32">
        <f ca="1">((((1+B509)^(A509/252))/((1+B508)^(A508/252)))^(252/1))-1</f>
        <v>0.13265390953857881</v>
      </c>
      <c r="D509" s="30">
        <v>0.13436541549216585</v>
      </c>
      <c r="E509" s="31">
        <f ca="1">B509-D509</f>
        <v>0</v>
      </c>
    </row>
    <row r="510" spans="1:5" x14ac:dyDescent="0.25">
      <c r="A510" s="21">
        <v>509</v>
      </c>
      <c r="B510" s="5" cm="1">
        <f t="array" aca="1" ref="B510" ca="1">interpolexp(A510,serie_du,Taxas_DI)</f>
        <v>0.13436205046093441</v>
      </c>
      <c r="C510" s="32">
        <f ca="1">((((1+B510)^(A510/252))/((1+B509)^(A509/252)))^(252/1))-1</f>
        <v>0.13265390450419079</v>
      </c>
      <c r="D510" s="30">
        <v>0.13436205046093441</v>
      </c>
      <c r="E510" s="31">
        <f ca="1">B510-D510</f>
        <v>0</v>
      </c>
    </row>
    <row r="511" spans="1:5" x14ac:dyDescent="0.25">
      <c r="A511" s="21">
        <v>510</v>
      </c>
      <c r="B511" s="5" cm="1">
        <f t="array" aca="1" ref="B511" ca="1">interpolexp(A511,serie_du,Taxas_DI)</f>
        <v>0.13435869862601368</v>
      </c>
      <c r="C511" s="32">
        <f ca="1">((((1+B511)^(A511/252))/((1+B510)^(A510/252)))^(252/1))-1</f>
        <v>0.13265389950678497</v>
      </c>
      <c r="D511" s="30">
        <v>0.13435869862601368</v>
      </c>
      <c r="E511" s="31">
        <f ca="1">B511-D511</f>
        <v>0</v>
      </c>
    </row>
    <row r="512" spans="1:5" x14ac:dyDescent="0.25">
      <c r="A512" s="21">
        <v>511</v>
      </c>
      <c r="B512" s="5" cm="1">
        <f t="array" aca="1" ref="B512" ca="1">interpolexp(A512,serie_du,Taxas_DI)</f>
        <v>0.13435535990995451</v>
      </c>
      <c r="C512" s="32">
        <f ca="1">((((1+B512)^(A512/252))/((1+B511)^(A511/252)))^(252/1))-1</f>
        <v>0.13265389455128185</v>
      </c>
      <c r="D512" s="30">
        <v>0.13435535990995451</v>
      </c>
      <c r="E512" s="31">
        <f ca="1">B512-D512</f>
        <v>0</v>
      </c>
    </row>
    <row r="513" spans="1:5" x14ac:dyDescent="0.25">
      <c r="A513" s="21">
        <v>512</v>
      </c>
      <c r="B513" s="5" cm="1">
        <f t="array" aca="1" ref="B513" ca="1">interpolexp(A513,serie_du,Taxas_DI)</f>
        <v>0.13435203423586284</v>
      </c>
      <c r="C513" s="32">
        <f ca="1">((((1+B513)^(A513/252))/((1+B512)^(A512/252)))^(252/1))-1</f>
        <v>0.1326538896120848</v>
      </c>
      <c r="D513" s="30">
        <v>0.13435203423586284</v>
      </c>
      <c r="E513" s="31">
        <f ca="1">B513-D513</f>
        <v>0</v>
      </c>
    </row>
    <row r="514" spans="1:5" x14ac:dyDescent="0.25">
      <c r="A514" s="21">
        <v>513</v>
      </c>
      <c r="B514" s="5" cm="1">
        <f t="array" aca="1" ref="B514" ca="1">interpolexp(A514,serie_du,Taxas_DI)</f>
        <v>0.13434872152744415</v>
      </c>
      <c r="C514" s="32">
        <f ca="1">((((1+B514)^(A514/252))/((1+B513)^(A513/252)))^(252/1))-1</f>
        <v>0.1326538846888512</v>
      </c>
      <c r="D514" s="30">
        <v>0.13434872152744415</v>
      </c>
      <c r="E514" s="31">
        <f ca="1">B514-D514</f>
        <v>0</v>
      </c>
    </row>
    <row r="515" spans="1:5" x14ac:dyDescent="0.25">
      <c r="A515" s="21">
        <v>514</v>
      </c>
      <c r="B515" s="5" cm="1">
        <f t="array" aca="1" ref="B515" ca="1">interpolexp(A515,serie_du,Taxas_DI)</f>
        <v>0.13434542170907005</v>
      </c>
      <c r="C515" s="32">
        <f ca="1">((((1+B515)^(A515/252))/((1+B514)^(A514/252)))^(252/1))-1</f>
        <v>0.13265387981862853</v>
      </c>
      <c r="D515" s="30">
        <v>0.13434542170907005</v>
      </c>
      <c r="E515" s="31">
        <f ca="1">B515-D515</f>
        <v>0</v>
      </c>
    </row>
    <row r="516" spans="1:5" x14ac:dyDescent="0.25">
      <c r="A516" s="21">
        <v>515</v>
      </c>
      <c r="B516" s="5" cm="1">
        <f t="array" aca="1" ref="B516" ca="1">interpolexp(A516,serie_du,Taxas_DI)</f>
        <v>0.13434213470564504</v>
      </c>
      <c r="C516" s="32">
        <f ca="1">((((1+B516)^(A516/252))/((1+B515)^(A515/252)))^(252/1))-1</f>
        <v>0.13265387497315184</v>
      </c>
      <c r="D516" s="30">
        <v>0.13434213470564504</v>
      </c>
      <c r="E516" s="31">
        <f ca="1">B516-D516</f>
        <v>0</v>
      </c>
    </row>
    <row r="517" spans="1:5" x14ac:dyDescent="0.25">
      <c r="A517" s="21">
        <v>516</v>
      </c>
      <c r="B517" s="5" cm="1">
        <f t="array" aca="1" ref="B517" ca="1">interpolexp(A517,serie_du,Taxas_DI)</f>
        <v>0.13433886044262877</v>
      </c>
      <c r="C517" s="32">
        <f ca="1">((((1+B517)^(A517/252))/((1+B516)^(A516/252)))^(252/1))-1</f>
        <v>0.13265387013813035</v>
      </c>
      <c r="D517" s="30">
        <v>0.13433886044262877</v>
      </c>
      <c r="E517" s="31">
        <f ca="1">B517-D517</f>
        <v>0</v>
      </c>
    </row>
    <row r="518" spans="1:5" x14ac:dyDescent="0.25">
      <c r="A518" s="21">
        <v>517</v>
      </c>
      <c r="B518" s="5" cm="1">
        <f t="array" aca="1" ref="B518" ca="1">interpolexp(A518,serie_du,Taxas_DI)</f>
        <v>0.13433559884612478</v>
      </c>
      <c r="C518" s="32">
        <f ca="1">((((1+B518)^(A518/252))/((1+B517)^(A517/252)))^(252/1))-1</f>
        <v>0.13265386534814438</v>
      </c>
      <c r="D518" s="30">
        <v>0.13433559884612478</v>
      </c>
      <c r="E518" s="31">
        <f ca="1">B518-D518</f>
        <v>0</v>
      </c>
    </row>
    <row r="519" spans="1:5" x14ac:dyDescent="0.25">
      <c r="A519" s="21">
        <v>518</v>
      </c>
      <c r="B519" s="5" cm="1">
        <f t="array" aca="1" ref="B519" ca="1">interpolexp(A519,serie_du,Taxas_DI)</f>
        <v>0.13433234984276954</v>
      </c>
      <c r="C519" s="32">
        <f ca="1">((((1+B519)^(A519/252))/((1+B518)^(A518/252)))^(252/1))-1</f>
        <v>0.13265386058343887</v>
      </c>
      <c r="D519" s="30">
        <v>0.13433234984276954</v>
      </c>
      <c r="E519" s="31">
        <f ca="1">B519-D519</f>
        <v>0</v>
      </c>
    </row>
    <row r="520" spans="1:5" x14ac:dyDescent="0.25">
      <c r="A520" s="21">
        <v>519</v>
      </c>
      <c r="B520" s="5" cm="1">
        <f t="array" aca="1" ref="B520" ca="1">interpolexp(A520,serie_du,Taxas_DI)</f>
        <v>0.13432911335973241</v>
      </c>
      <c r="C520" s="32">
        <f ca="1">((((1+B520)^(A520/252))/((1+B519)^(A519/252)))^(252/1))-1</f>
        <v>0.13265385582701072</v>
      </c>
      <c r="D520" s="30">
        <v>0.13432911335973241</v>
      </c>
      <c r="E520" s="31">
        <f ca="1">B520-D520</f>
        <v>0</v>
      </c>
    </row>
    <row r="521" spans="1:5" x14ac:dyDescent="0.25">
      <c r="A521" s="21">
        <v>520</v>
      </c>
      <c r="B521" s="5" cm="1">
        <f t="array" aca="1" ref="B521" ca="1">interpolexp(A521,serie_du,Taxas_DI)</f>
        <v>0.1343258893248267</v>
      </c>
      <c r="C521" s="32">
        <f ca="1">((((1+B521)^(A521/252))/((1+B520)^(A520/252)))^(252/1))-1</f>
        <v>0.13265385112205363</v>
      </c>
      <c r="D521" s="30">
        <v>0.1343258893248267</v>
      </c>
      <c r="E521" s="31">
        <f ca="1">B521-D521</f>
        <v>0</v>
      </c>
    </row>
    <row r="522" spans="1:5" x14ac:dyDescent="0.25">
      <c r="A522" s="21">
        <v>521</v>
      </c>
      <c r="B522" s="5" cm="1">
        <f t="array" aca="1" ref="B522" ca="1">interpolexp(A522,serie_du,Taxas_DI)</f>
        <v>0.1343226776663764</v>
      </c>
      <c r="C522" s="32">
        <f ca="1">((((1+B522)^(A522/252))/((1+B521)^(A521/252)))^(252/1))-1</f>
        <v>0.13265384644561418</v>
      </c>
      <c r="D522" s="30">
        <v>0.1343226776663764</v>
      </c>
      <c r="E522" s="31">
        <f ca="1">B522-D522</f>
        <v>0</v>
      </c>
    </row>
    <row r="523" spans="1:5" x14ac:dyDescent="0.25">
      <c r="A523" s="21">
        <v>522</v>
      </c>
      <c r="B523" s="5" cm="1">
        <f t="array" aca="1" ref="B523" ca="1">interpolexp(A523,serie_du,Taxas_DI)</f>
        <v>0.13431947831321622</v>
      </c>
      <c r="C523" s="32">
        <f ca="1">((((1+B523)^(A523/252))/((1+B522)^(A522/252)))^(252/1))-1</f>
        <v>0.13265384177756601</v>
      </c>
      <c r="D523" s="30">
        <v>0.13431947831321622</v>
      </c>
      <c r="E523" s="31">
        <f ca="1">B523-D523</f>
        <v>0</v>
      </c>
    </row>
    <row r="524" spans="1:5" x14ac:dyDescent="0.25">
      <c r="A524" s="21">
        <v>523</v>
      </c>
      <c r="B524" s="5" cm="1">
        <f t="array" aca="1" ref="B524" ca="1">interpolexp(A524,serie_du,Taxas_DI)</f>
        <v>0.13431629119478039</v>
      </c>
      <c r="C524" s="32">
        <f ca="1">((((1+B524)^(A524/252))/((1+B523)^(A523/252)))^(252/1))-1</f>
        <v>0.13265383714647383</v>
      </c>
      <c r="D524" s="30">
        <v>0.13431629119478039</v>
      </c>
      <c r="E524" s="31">
        <f ca="1">B524-D524</f>
        <v>0</v>
      </c>
    </row>
    <row r="525" spans="1:5" x14ac:dyDescent="0.25">
      <c r="A525" s="21">
        <v>524</v>
      </c>
      <c r="B525" s="5" cm="1">
        <f t="array" aca="1" ref="B525" ca="1">interpolexp(A525,serie_du,Taxas_DI)</f>
        <v>0.13431311624103603</v>
      </c>
      <c r="C525" s="32">
        <f ca="1">((((1+B525)^(A525/252))/((1+B524)^(A524/252)))^(252/1))-1</f>
        <v>0.13265383254918373</v>
      </c>
      <c r="D525" s="30">
        <v>0.13431311624103603</v>
      </c>
      <c r="E525" s="31">
        <f ca="1">B525-D525</f>
        <v>0</v>
      </c>
    </row>
    <row r="526" spans="1:5" x14ac:dyDescent="0.25">
      <c r="A526" s="21">
        <v>525</v>
      </c>
      <c r="B526" s="5" cm="1">
        <f t="array" aca="1" ref="B526" ca="1">interpolexp(A526,serie_du,Taxas_DI)</f>
        <v>0.13430995338241658</v>
      </c>
      <c r="C526" s="32">
        <f ca="1">((((1+B526)^(A526/252))/((1+B525)^(A525/252)))^(252/1))-1</f>
        <v>0.13265382795014169</v>
      </c>
      <c r="D526" s="30">
        <v>0.13430995338241658</v>
      </c>
      <c r="E526" s="31">
        <f ca="1">B526-D526</f>
        <v>0</v>
      </c>
    </row>
    <row r="527" spans="1:5" x14ac:dyDescent="0.25">
      <c r="A527" s="21">
        <v>526</v>
      </c>
      <c r="B527" s="5" cm="1">
        <f t="array" aca="1" ref="B527" ca="1">interpolexp(A527,serie_du,Taxas_DI)</f>
        <v>0.13430680254999938</v>
      </c>
      <c r="C527" s="32">
        <f ca="1">((((1+B527)^(A527/252))/((1+B526)^(A526/252)))^(252/1))-1</f>
        <v>0.13265382340946208</v>
      </c>
      <c r="D527" s="30">
        <v>0.13430680254999938</v>
      </c>
      <c r="E527" s="31">
        <f ca="1">B527-D527</f>
        <v>0</v>
      </c>
    </row>
    <row r="528" spans="1:5" x14ac:dyDescent="0.25">
      <c r="A528" s="21">
        <v>527</v>
      </c>
      <c r="B528" s="5" cm="1">
        <f t="array" aca="1" ref="B528" ca="1">interpolexp(A528,serie_du,Taxas_DI)</f>
        <v>0.13430366367530588</v>
      </c>
      <c r="C528" s="32">
        <f ca="1">((((1+B528)^(A528/252))/((1+B527)^(A527/252)))^(252/1))-1</f>
        <v>0.13265381888535588</v>
      </c>
      <c r="D528" s="30">
        <v>0.13430366367530588</v>
      </c>
      <c r="E528" s="31">
        <f ca="1">B528-D528</f>
        <v>0</v>
      </c>
    </row>
    <row r="529" spans="1:5" x14ac:dyDescent="0.25">
      <c r="A529" s="21">
        <v>528</v>
      </c>
      <c r="B529" s="5" cm="1">
        <f t="array" aca="1" ref="B529" ca="1">interpolexp(A529,serie_du,Taxas_DI)</f>
        <v>0.13430053669036823</v>
      </c>
      <c r="C529" s="32">
        <f ca="1">((((1+B529)^(A529/252))/((1+B528)^(A528/252)))^(252/1))-1</f>
        <v>0.13265381437351009</v>
      </c>
      <c r="D529" s="30">
        <v>0.13430053669036823</v>
      </c>
      <c r="E529" s="31">
        <f ca="1">B529-D529</f>
        <v>0</v>
      </c>
    </row>
    <row r="530" spans="1:5" x14ac:dyDescent="0.25">
      <c r="A530" s="21">
        <v>529</v>
      </c>
      <c r="B530" s="5" cm="1">
        <f t="array" aca="1" ref="B530" ca="1">interpolexp(A530,serie_du,Taxas_DI)</f>
        <v>0.13429742152779589</v>
      </c>
      <c r="C530" s="32">
        <f ca="1">((((1+B530)^(A530/252))/((1+B529)^(A529/252)))^(252/1))-1</f>
        <v>0.13265380990699827</v>
      </c>
      <c r="D530" s="30">
        <v>0.13429742152779589</v>
      </c>
      <c r="E530" s="31">
        <f ca="1">B530-D530</f>
        <v>0</v>
      </c>
    </row>
    <row r="531" spans="1:5" x14ac:dyDescent="0.25">
      <c r="A531" s="21">
        <v>530</v>
      </c>
      <c r="B531" s="5" cm="1">
        <f t="array" aca="1" ref="B531" ca="1">interpolexp(A531,serie_du,Taxas_DI)</f>
        <v>0.13429431812064241</v>
      </c>
      <c r="C531" s="32">
        <f ca="1">((((1+B531)^(A531/252))/((1+B530)^(A530/252)))^(252/1))-1</f>
        <v>0.13265380545164995</v>
      </c>
      <c r="D531" s="30">
        <v>0.13429431812064241</v>
      </c>
      <c r="E531" s="31">
        <f ca="1">B531-D531</f>
        <v>0</v>
      </c>
    </row>
    <row r="532" spans="1:5" x14ac:dyDescent="0.25">
      <c r="A532" s="21">
        <v>531</v>
      </c>
      <c r="B532" s="5" cm="1">
        <f t="array" aca="1" ref="B532" ca="1">interpolexp(A532,serie_du,Taxas_DI)</f>
        <v>0.13429122640249425</v>
      </c>
      <c r="C532" s="32">
        <f ca="1">((((1+B532)^(A532/252))/((1+B531)^(A531/252)))^(252/1))-1</f>
        <v>0.13265380102237634</v>
      </c>
      <c r="D532" s="30">
        <v>0.13429122640249425</v>
      </c>
      <c r="E532" s="31">
        <f ca="1">B532-D532</f>
        <v>0</v>
      </c>
    </row>
    <row r="533" spans="1:5" x14ac:dyDescent="0.25">
      <c r="A533" s="21">
        <v>532</v>
      </c>
      <c r="B533" s="5" cm="1">
        <f t="array" aca="1" ref="B533" ca="1">interpolexp(A533,serie_du,Taxas_DI)</f>
        <v>0.13428814630745922</v>
      </c>
      <c r="C533" s="32">
        <f ca="1">((((1+B533)^(A533/252))/((1+B532)^(A532/252)))^(252/1))-1</f>
        <v>0.13265379663069377</v>
      </c>
      <c r="D533" s="30">
        <v>0.13428814630745922</v>
      </c>
      <c r="E533" s="31">
        <f ca="1">B533-D533</f>
        <v>0</v>
      </c>
    </row>
    <row r="534" spans="1:5" x14ac:dyDescent="0.25">
      <c r="A534" s="21">
        <v>533</v>
      </c>
      <c r="B534" s="5" cm="1">
        <f t="array" aca="1" ref="B534" ca="1">interpolexp(A534,serie_du,Taxas_DI)</f>
        <v>0.13428597300888523</v>
      </c>
      <c r="C534" s="32">
        <f ca="1">((((1+B534)^(A534/252))/((1+B533)^(A533/252)))^(252/1))-1</f>
        <v>0.13313036833731728</v>
      </c>
      <c r="D534" s="30">
        <v>0.13428597300888523</v>
      </c>
      <c r="E534" s="31">
        <f ca="1">B534-D534</f>
        <v>0</v>
      </c>
    </row>
    <row r="535" spans="1:5" x14ac:dyDescent="0.25">
      <c r="A535" s="21">
        <v>534</v>
      </c>
      <c r="B535" s="5" cm="1">
        <f t="array" aca="1" ref="B535" ca="1">interpolexp(A535,serie_du,Taxas_DI)</f>
        <v>0.13428380785003302</v>
      </c>
      <c r="C535" s="32">
        <f ca="1">((((1+B535)^(A535/252))/((1+B534)^(A534/252)))^(252/1))-1</f>
        <v>0.1331303661426797</v>
      </c>
      <c r="D535" s="30">
        <v>0.13428380785003302</v>
      </c>
      <c r="E535" s="31">
        <f ca="1">B535-D535</f>
        <v>0</v>
      </c>
    </row>
    <row r="536" spans="1:5" x14ac:dyDescent="0.25">
      <c r="A536" s="21">
        <v>535</v>
      </c>
      <c r="B536" s="5" cm="1">
        <f t="array" aca="1" ref="B536" ca="1">interpolexp(A536,serie_du,Taxas_DI)</f>
        <v>0.13428165078530618</v>
      </c>
      <c r="C536" s="32">
        <f ca="1">((((1+B536)^(A536/252))/((1+B535)^(A535/252)))^(252/1))-1</f>
        <v>0.13313036398552014</v>
      </c>
      <c r="D536" s="30">
        <v>0.13428165078530618</v>
      </c>
      <c r="E536" s="31">
        <f ca="1">B536-D536</f>
        <v>0</v>
      </c>
    </row>
    <row r="537" spans="1:5" x14ac:dyDescent="0.25">
      <c r="A537" s="21">
        <v>536</v>
      </c>
      <c r="B537" s="5" cm="1">
        <f t="array" aca="1" ref="B537" ca="1">interpolexp(A537,serie_du,Taxas_DI)</f>
        <v>0.13427950176936321</v>
      </c>
      <c r="C537" s="32">
        <f ca="1">((((1+B537)^(A537/252))/((1+B536)^(A536/252)))^(252/1))-1</f>
        <v>0.1331303618199553</v>
      </c>
      <c r="D537" s="30">
        <v>0.13427950176936321</v>
      </c>
      <c r="E537" s="31">
        <f ca="1">B537-D537</f>
        <v>0</v>
      </c>
    </row>
    <row r="538" spans="1:5" x14ac:dyDescent="0.25">
      <c r="A538" s="21">
        <v>537</v>
      </c>
      <c r="B538" s="5" cm="1">
        <f t="array" aca="1" ref="B538" ca="1">interpolexp(A538,serie_du,Taxas_DI)</f>
        <v>0.13427736075724006</v>
      </c>
      <c r="C538" s="32">
        <f ca="1">((((1+B538)^(A538/252))/((1+B537)^(A537/252)))^(252/1))-1</f>
        <v>0.13313035966736964</v>
      </c>
      <c r="D538" s="30">
        <v>0.13427736075724006</v>
      </c>
      <c r="E538" s="31">
        <f ca="1">B538-D538</f>
        <v>0</v>
      </c>
    </row>
    <row r="539" spans="1:5" x14ac:dyDescent="0.25">
      <c r="A539" s="21">
        <v>538</v>
      </c>
      <c r="B539" s="5" cm="1">
        <f t="array" aca="1" ref="B539" ca="1">interpolexp(A539,serie_du,Taxas_DI)</f>
        <v>0.13427522770432798</v>
      </c>
      <c r="C539" s="32">
        <f ca="1">((((1+B539)^(A539/252))/((1+B538)^(A538/252)))^(252/1))-1</f>
        <v>0.13313035753872637</v>
      </c>
      <c r="D539" s="30">
        <v>0.13427522770432798</v>
      </c>
      <c r="E539" s="31">
        <f ca="1">B539-D539</f>
        <v>0</v>
      </c>
    </row>
    <row r="540" spans="1:5" x14ac:dyDescent="0.25">
      <c r="A540" s="21">
        <v>539</v>
      </c>
      <c r="B540" s="5" cm="1">
        <f t="array" aca="1" ref="B540" ca="1">interpolexp(A540,serie_du,Taxas_DI)</f>
        <v>0.13427310256630687</v>
      </c>
      <c r="C540" s="32">
        <f ca="1">((((1+B540)^(A540/252))/((1+B539)^(A539/252)))^(252/1))-1</f>
        <v>0.13313035541114715</v>
      </c>
      <c r="D540" s="30">
        <v>0.13427310256630687</v>
      </c>
      <c r="E540" s="31">
        <f ca="1">B540-D540</f>
        <v>0</v>
      </c>
    </row>
    <row r="541" spans="1:5" x14ac:dyDescent="0.25">
      <c r="A541" s="21">
        <v>540</v>
      </c>
      <c r="B541" s="5" cm="1">
        <f t="array" aca="1" ref="B541" ca="1">interpolexp(A541,serie_du,Taxas_DI)</f>
        <v>0.13427098529923409</v>
      </c>
      <c r="C541" s="32">
        <f ca="1">((((1+B541)^(A541/252))/((1+B540)^(A540/252)))^(252/1))-1</f>
        <v>0.13313035331120648</v>
      </c>
      <c r="D541" s="30">
        <v>0.13427098529923409</v>
      </c>
      <c r="E541" s="31">
        <f ca="1">B541-D541</f>
        <v>0</v>
      </c>
    </row>
    <row r="542" spans="1:5" x14ac:dyDescent="0.25">
      <c r="A542" s="21">
        <v>541</v>
      </c>
      <c r="B542" s="5" cm="1">
        <f t="array" aca="1" ref="B542" ca="1">interpolexp(A542,serie_du,Taxas_DI)</f>
        <v>0.13426887585941127</v>
      </c>
      <c r="C542" s="32">
        <f ca="1">((((1+B542)^(A542/252))/((1+B541)^(A541/252)))^(252/1))-1</f>
        <v>0.13313035119512717</v>
      </c>
      <c r="D542" s="30">
        <v>0.13426887585941127</v>
      </c>
      <c r="E542" s="31">
        <f ca="1">B542-D542</f>
        <v>0</v>
      </c>
    </row>
    <row r="543" spans="1:5" x14ac:dyDescent="0.25">
      <c r="A543" s="21">
        <v>542</v>
      </c>
      <c r="B543" s="5" cm="1">
        <f t="array" aca="1" ref="B543" ca="1">interpolexp(A543,serie_du,Taxas_DI)</f>
        <v>0.13426677420356192</v>
      </c>
      <c r="C543" s="32">
        <f ca="1">((((1+B543)^(A543/252))/((1+B542)^(A542/252)))^(252/1))-1</f>
        <v>0.13313034911668309</v>
      </c>
      <c r="D543" s="30">
        <v>0.13426677420356192</v>
      </c>
      <c r="E543" s="31">
        <f ca="1">B543-D543</f>
        <v>0</v>
      </c>
    </row>
    <row r="544" spans="1:5" x14ac:dyDescent="0.25">
      <c r="A544" s="21">
        <v>543</v>
      </c>
      <c r="B544" s="5" cm="1">
        <f t="array" aca="1" ref="B544" ca="1">interpolexp(A544,serie_du,Taxas_DI)</f>
        <v>0.13426468028865379</v>
      </c>
      <c r="C544" s="32">
        <f ca="1">((((1+B544)^(A544/252))/((1+B543)^(A543/252)))^(252/1))-1</f>
        <v>0.13313034703537485</v>
      </c>
      <c r="D544" s="30">
        <v>0.13426468028865379</v>
      </c>
      <c r="E544" s="31">
        <f ca="1">B544-D544</f>
        <v>0</v>
      </c>
    </row>
    <row r="545" spans="1:5" x14ac:dyDescent="0.25">
      <c r="A545" s="21">
        <v>544</v>
      </c>
      <c r="B545" s="5" cm="1">
        <f t="array" aca="1" ref="B545" ca="1">interpolexp(A545,serie_du,Taxas_DI)</f>
        <v>0.13426259407200991</v>
      </c>
      <c r="C545" s="32">
        <f ca="1">((((1+B545)^(A545/252))/((1+B544)^(A544/252)))^(252/1))-1</f>
        <v>0.13313034497208265</v>
      </c>
      <c r="D545" s="30">
        <v>0.13426259407200991</v>
      </c>
      <c r="E545" s="31">
        <f ca="1">B545-D545</f>
        <v>0</v>
      </c>
    </row>
    <row r="546" spans="1:5" x14ac:dyDescent="0.25">
      <c r="A546" s="21">
        <v>545</v>
      </c>
      <c r="B546" s="5" cm="1">
        <f t="array" aca="1" ref="B546" ca="1">interpolexp(A546,serie_du,Taxas_DI)</f>
        <v>0.13426051551124196</v>
      </c>
      <c r="C546" s="32">
        <f ca="1">((((1+B546)^(A546/252))/((1+B545)^(A545/252)))^(252/1))-1</f>
        <v>0.13313034291354908</v>
      </c>
      <c r="D546" s="30">
        <v>0.13426051551124196</v>
      </c>
      <c r="E546" s="31">
        <f ca="1">B546-D546</f>
        <v>0</v>
      </c>
    </row>
    <row r="547" spans="1:5" x14ac:dyDescent="0.25">
      <c r="A547" s="21">
        <v>546</v>
      </c>
      <c r="B547" s="5" cm="1">
        <f t="array" aca="1" ref="B547" ca="1">interpolexp(A547,serie_du,Taxas_DI)</f>
        <v>0.1342584445642947</v>
      </c>
      <c r="C547" s="32">
        <f ca="1">((((1+B547)^(A547/252))/((1+B546)^(A546/252)))^(252/1))-1</f>
        <v>0.13313034087184894</v>
      </c>
      <c r="D547" s="30">
        <v>0.1342584445642947</v>
      </c>
      <c r="E547" s="31">
        <f ca="1">B547-D547</f>
        <v>0</v>
      </c>
    </row>
    <row r="548" spans="1:5" x14ac:dyDescent="0.25">
      <c r="A548" s="21">
        <v>547</v>
      </c>
      <c r="B548" s="5" cm="1">
        <f t="array" aca="1" ref="B548" ca="1">interpolexp(A548,serie_du,Taxas_DI)</f>
        <v>0.13425638118942373</v>
      </c>
      <c r="C548" s="32">
        <f ca="1">((((1+B548)^(A548/252))/((1+B547)^(A547/252)))^(252/1))-1</f>
        <v>0.13313033884871461</v>
      </c>
      <c r="D548" s="30">
        <v>0.13425638118942373</v>
      </c>
      <c r="E548" s="31">
        <f ca="1">B548-D548</f>
        <v>0</v>
      </c>
    </row>
    <row r="549" spans="1:5" x14ac:dyDescent="0.25">
      <c r="A549" s="21">
        <v>548</v>
      </c>
      <c r="B549" s="5" cm="1">
        <f t="array" aca="1" ref="B549" ca="1">interpolexp(A549,serie_du,Taxas_DI)</f>
        <v>0.13425432534515114</v>
      </c>
      <c r="C549" s="32">
        <f ca="1">((((1+B549)^(A549/252))/((1+B548)^(A548/252)))^(252/1))-1</f>
        <v>0.13313033682310271</v>
      </c>
      <c r="D549" s="30">
        <v>0.13425432534515114</v>
      </c>
      <c r="E549" s="31">
        <f ca="1">B549-D549</f>
        <v>0</v>
      </c>
    </row>
    <row r="550" spans="1:5" x14ac:dyDescent="0.25">
      <c r="A550" s="21">
        <v>549</v>
      </c>
      <c r="B550" s="5" cm="1">
        <f t="array" aca="1" ref="B550" ca="1">interpolexp(A550,serie_du,Taxas_DI)</f>
        <v>0.13425227699033204</v>
      </c>
      <c r="C550" s="32">
        <f ca="1">((((1+B550)^(A550/252))/((1+B549)^(A549/252)))^(252/1))-1</f>
        <v>0.13313033481210668</v>
      </c>
      <c r="D550" s="30">
        <v>0.13425227699033204</v>
      </c>
      <c r="E550" s="31">
        <f ca="1">B550-D550</f>
        <v>0</v>
      </c>
    </row>
    <row r="551" spans="1:5" x14ac:dyDescent="0.25">
      <c r="A551" s="21">
        <v>550</v>
      </c>
      <c r="B551" s="5" cm="1">
        <f t="array" aca="1" ref="B551" ca="1">interpolexp(A551,serie_du,Taxas_DI)</f>
        <v>0.13425023608411024</v>
      </c>
      <c r="C551" s="32">
        <f ca="1">((((1+B551)^(A551/252))/((1+B550)^(A550/252)))^(252/1))-1</f>
        <v>0.13313033280942244</v>
      </c>
      <c r="D551" s="30">
        <v>0.13425023608411024</v>
      </c>
      <c r="E551" s="31">
        <f ca="1">B551-D551</f>
        <v>0</v>
      </c>
    </row>
    <row r="552" spans="1:5" x14ac:dyDescent="0.25">
      <c r="A552" s="21">
        <v>551</v>
      </c>
      <c r="B552" s="5" cm="1">
        <f t="array" aca="1" ref="B552" ca="1">interpolexp(A552,serie_du,Taxas_DI)</f>
        <v>0.13424820258594039</v>
      </c>
      <c r="C552" s="32">
        <f ca="1">((((1+B552)^(A552/252))/((1+B551)^(A551/252)))^(252/1))-1</f>
        <v>0.13313033082318793</v>
      </c>
      <c r="D552" s="30">
        <v>0.13424820258594039</v>
      </c>
      <c r="E552" s="31">
        <f ca="1">B552-D552</f>
        <v>0</v>
      </c>
    </row>
    <row r="553" spans="1:5" x14ac:dyDescent="0.25">
      <c r="A553" s="21">
        <v>552</v>
      </c>
      <c r="B553" s="5" cm="1">
        <f t="array" aca="1" ref="B553" ca="1">interpolexp(A553,serie_du,Taxas_DI)</f>
        <v>0.13424617645558801</v>
      </c>
      <c r="C553" s="32">
        <f ca="1">((((1+B553)^(A553/252))/((1+B552)^(A552/252)))^(252/1))-1</f>
        <v>0.13313032886257137</v>
      </c>
      <c r="D553" s="30">
        <v>0.13424617645558801</v>
      </c>
      <c r="E553" s="31">
        <f ca="1">B553-D553</f>
        <v>0</v>
      </c>
    </row>
    <row r="554" spans="1:5" x14ac:dyDescent="0.25">
      <c r="A554" s="21">
        <v>553</v>
      </c>
      <c r="B554" s="5" cm="1">
        <f t="array" aca="1" ref="B554" ca="1">interpolexp(A554,serie_du,Taxas_DI)</f>
        <v>0.13424415765301845</v>
      </c>
      <c r="C554" s="32">
        <f ca="1">((((1+B554)^(A554/252))/((1+B553)^(A553/252)))^(252/1))-1</f>
        <v>0.13313032687701787</v>
      </c>
      <c r="D554" s="30">
        <v>0.13424415765301845</v>
      </c>
      <c r="E554" s="31">
        <f ca="1">B554-D554</f>
        <v>0</v>
      </c>
    </row>
    <row r="555" spans="1:5" x14ac:dyDescent="0.25">
      <c r="A555" s="21">
        <v>554</v>
      </c>
      <c r="B555" s="5" cm="1">
        <f t="array" aca="1" ref="B555" ca="1">interpolexp(A555,serie_du,Taxas_DI)</f>
        <v>0.13424214613859675</v>
      </c>
      <c r="C555" s="32">
        <f ca="1">((((1+B555)^(A555/252))/((1+B554)^(A554/252)))^(252/1))-1</f>
        <v>0.13313032492790322</v>
      </c>
      <c r="D555" s="30">
        <v>0.13424214613859675</v>
      </c>
      <c r="E555" s="31">
        <f ca="1">B555-D555</f>
        <v>0</v>
      </c>
    </row>
    <row r="556" spans="1:5" x14ac:dyDescent="0.25">
      <c r="A556" s="21">
        <v>555</v>
      </c>
      <c r="B556" s="5" cm="1">
        <f t="array" aca="1" ref="B556" ca="1">interpolexp(A556,serie_du,Taxas_DI)</f>
        <v>0.13424014187291</v>
      </c>
      <c r="C556" s="32">
        <f ca="1">((((1+B556)^(A556/252))/((1+B555)^(A555/252)))^(252/1))-1</f>
        <v>0.13313032297960992</v>
      </c>
      <c r="D556" s="30">
        <v>0.13424014187291</v>
      </c>
      <c r="E556" s="31">
        <f ca="1">B556-D556</f>
        <v>0</v>
      </c>
    </row>
    <row r="557" spans="1:5" x14ac:dyDescent="0.25">
      <c r="A557" s="21">
        <v>556</v>
      </c>
      <c r="B557" s="5" cm="1">
        <f t="array" aca="1" ref="B557" ca="1">interpolexp(A557,serie_du,Taxas_DI)</f>
        <v>0.13423814481685614</v>
      </c>
      <c r="C557" s="32">
        <f ca="1">((((1+B557)^(A557/252))/((1+B556)^(A556/252)))^(252/1))-1</f>
        <v>0.13313032104750167</v>
      </c>
      <c r="D557" s="30">
        <v>0.13423814481685614</v>
      </c>
      <c r="E557" s="31">
        <f ca="1">B557-D557</f>
        <v>0</v>
      </c>
    </row>
    <row r="558" spans="1:5" x14ac:dyDescent="0.25">
      <c r="A558" s="21">
        <v>557</v>
      </c>
      <c r="B558" s="5" cm="1">
        <f t="array" aca="1" ref="B558" ca="1">interpolexp(A558,serie_du,Taxas_DI)</f>
        <v>0.13423615493159957</v>
      </c>
      <c r="C558" s="32">
        <f ca="1">((((1+B558)^(A558/252))/((1+B557)^(A557/252)))^(252/1))-1</f>
        <v>0.13313031912337947</v>
      </c>
      <c r="D558" s="30">
        <v>0.13423615493159957</v>
      </c>
      <c r="E558" s="31">
        <f ca="1">B558-D558</f>
        <v>0</v>
      </c>
    </row>
    <row r="559" spans="1:5" x14ac:dyDescent="0.25">
      <c r="A559" s="21">
        <v>558</v>
      </c>
      <c r="B559" s="5" cm="1">
        <f t="array" aca="1" ref="B559" ca="1">interpolexp(A559,serie_du,Taxas_DI)</f>
        <v>0.13423417217859335</v>
      </c>
      <c r="C559" s="32">
        <f ca="1">((((1+B559)^(A559/252))/((1+B558)^(A558/252)))^(252/1))-1</f>
        <v>0.13313031721291968</v>
      </c>
      <c r="D559" s="30">
        <v>0.13423417217859335</v>
      </c>
      <c r="E559" s="31">
        <f ca="1">B559-D559</f>
        <v>0</v>
      </c>
    </row>
    <row r="560" spans="1:5" x14ac:dyDescent="0.25">
      <c r="A560" s="21">
        <v>559</v>
      </c>
      <c r="B560" s="5" cm="1">
        <f t="array" aca="1" ref="B560" ca="1">interpolexp(A560,serie_du,Taxas_DI)</f>
        <v>0.13423219651955698</v>
      </c>
      <c r="C560" s="32">
        <f ca="1">((((1+B560)^(A560/252))/((1+B559)^(A559/252)))^(252/1))-1</f>
        <v>0.13313031531071706</v>
      </c>
      <c r="D560" s="30">
        <v>0.13423219651955698</v>
      </c>
      <c r="E560" s="31">
        <f ca="1">B560-D560</f>
        <v>0</v>
      </c>
    </row>
    <row r="561" spans="1:5" x14ac:dyDescent="0.25">
      <c r="A561" s="21">
        <v>560</v>
      </c>
      <c r="B561" s="5" cm="1">
        <f t="array" aca="1" ref="B561" ca="1">interpolexp(A561,serie_du,Taxas_DI)</f>
        <v>0.13423022791647643</v>
      </c>
      <c r="C561" s="32">
        <f ca="1">((((1+B561)^(A561/252))/((1+B560)^(A560/252)))^(252/1))-1</f>
        <v>0.13313031341296044</v>
      </c>
      <c r="D561" s="30">
        <v>0.13423022791647643</v>
      </c>
      <c r="E561" s="31">
        <f ca="1">B561-D561</f>
        <v>0</v>
      </c>
    </row>
    <row r="562" spans="1:5" x14ac:dyDescent="0.25">
      <c r="A562" s="21">
        <v>561</v>
      </c>
      <c r="B562" s="5" cm="1">
        <f t="array" aca="1" ref="B562" ca="1">interpolexp(A562,serie_du,Taxas_DI)</f>
        <v>0.13422826633162632</v>
      </c>
      <c r="C562" s="32">
        <f ca="1">((((1+B562)^(A562/252))/((1+B561)^(A561/252)))^(252/1))-1</f>
        <v>0.13313031152936827</v>
      </c>
      <c r="D562" s="30">
        <v>0.13422826633162632</v>
      </c>
      <c r="E562" s="31">
        <f ca="1">B562-D562</f>
        <v>0</v>
      </c>
    </row>
    <row r="563" spans="1:5" x14ac:dyDescent="0.25">
      <c r="A563" s="21">
        <v>562</v>
      </c>
      <c r="B563" s="5" cm="1">
        <f t="array" aca="1" ref="B563" ca="1">interpolexp(A563,serie_du,Taxas_DI)</f>
        <v>0.13422631172754773</v>
      </c>
      <c r="C563" s="32">
        <f ca="1">((((1+B563)^(A563/252))/((1+B562)^(A562/252)))^(252/1))-1</f>
        <v>0.13313030965865957</v>
      </c>
      <c r="D563" s="30">
        <v>0.13422631172754773</v>
      </c>
      <c r="E563" s="31">
        <f ca="1">B563-D563</f>
        <v>0</v>
      </c>
    </row>
    <row r="564" spans="1:5" x14ac:dyDescent="0.25">
      <c r="A564" s="21">
        <v>563</v>
      </c>
      <c r="B564" s="5" cm="1">
        <f t="array" aca="1" ref="B564" ca="1">interpolexp(A564,serie_du,Taxas_DI)</f>
        <v>0.13422436406704819</v>
      </c>
      <c r="C564" s="32">
        <f ca="1">((((1+B564)^(A564/252))/((1+B563)^(A563/252)))^(252/1))-1</f>
        <v>0.13313030780100754</v>
      </c>
      <c r="D564" s="30">
        <v>0.13422436406704819</v>
      </c>
      <c r="E564" s="31">
        <f ca="1">B564-D564</f>
        <v>0</v>
      </c>
    </row>
    <row r="565" spans="1:5" x14ac:dyDescent="0.25">
      <c r="A565" s="21">
        <v>564</v>
      </c>
      <c r="B565" s="5" cm="1">
        <f t="array" aca="1" ref="B565" ca="1">interpolexp(A565,serie_du,Taxas_DI)</f>
        <v>0.13422242331315726</v>
      </c>
      <c r="C565" s="32">
        <f ca="1">((((1+B565)^(A565/252))/((1+B564)^(A564/252)))^(252/1))-1</f>
        <v>0.13313030593283837</v>
      </c>
      <c r="D565" s="30">
        <v>0.13422242331315726</v>
      </c>
      <c r="E565" s="31">
        <f ca="1">B565-D565</f>
        <v>0</v>
      </c>
    </row>
    <row r="566" spans="1:5" x14ac:dyDescent="0.25">
      <c r="A566" s="21">
        <v>565</v>
      </c>
      <c r="B566" s="5" cm="1">
        <f t="array" aca="1" ref="B566" ca="1">interpolexp(A566,serie_du,Taxas_DI)</f>
        <v>0.13422048942925979</v>
      </c>
      <c r="C566" s="32">
        <f ca="1">((((1+B566)^(A566/252))/((1+B565)^(A565/252)))^(252/1))-1</f>
        <v>0.13313030410678639</v>
      </c>
      <c r="D566" s="30">
        <v>0.13422048942925979</v>
      </c>
      <c r="E566" s="31">
        <f ca="1">B566-D566</f>
        <v>0</v>
      </c>
    </row>
    <row r="567" spans="1:5" x14ac:dyDescent="0.25">
      <c r="A567" s="21">
        <v>566</v>
      </c>
      <c r="B567" s="5" cm="1">
        <f t="array" aca="1" ref="B567" ca="1">interpolexp(A567,serie_du,Taxas_DI)</f>
        <v>0.13421856237887386</v>
      </c>
      <c r="C567" s="32">
        <f ca="1">((((1+B567)^(A567/252))/((1+B566)^(A566/252)))^(252/1))-1</f>
        <v>0.13313030225191969</v>
      </c>
      <c r="D567" s="30">
        <v>0.13421856237887386</v>
      </c>
      <c r="E567" s="31">
        <f ca="1">B567-D567</f>
        <v>0</v>
      </c>
    </row>
    <row r="568" spans="1:5" x14ac:dyDescent="0.25">
      <c r="A568" s="21">
        <v>567</v>
      </c>
      <c r="B568" s="5" cm="1">
        <f t="array" aca="1" ref="B568" ca="1">interpolexp(A568,serie_du,Taxas_DI)</f>
        <v>0.13421664212591722</v>
      </c>
      <c r="C568" s="32">
        <f ca="1">((((1+B568)^(A568/252))/((1+B567)^(A567/252)))^(252/1))-1</f>
        <v>0.13313030044864282</v>
      </c>
      <c r="D568" s="30">
        <v>0.13421664212591722</v>
      </c>
      <c r="E568" s="31">
        <f ca="1">B568-D568</f>
        <v>0</v>
      </c>
    </row>
    <row r="569" spans="1:5" x14ac:dyDescent="0.25">
      <c r="A569" s="21">
        <v>568</v>
      </c>
      <c r="B569" s="5" cm="1">
        <f t="array" aca="1" ref="B569" ca="1">interpolexp(A569,serie_du,Taxas_DI)</f>
        <v>0.13421472863444084</v>
      </c>
      <c r="C569" s="32">
        <f ca="1">((((1+B569)^(A569/252))/((1+B568)^(A568/252)))^(252/1))-1</f>
        <v>0.13313029862842618</v>
      </c>
      <c r="D569" s="30">
        <v>0.13421472863444084</v>
      </c>
      <c r="E569" s="31">
        <f ca="1">B569-D569</f>
        <v>0</v>
      </c>
    </row>
    <row r="570" spans="1:5" x14ac:dyDescent="0.25">
      <c r="A570" s="21">
        <v>569</v>
      </c>
      <c r="B570" s="5" cm="1">
        <f t="array" aca="1" ref="B570" ca="1">interpolexp(A570,serie_du,Taxas_DI)</f>
        <v>0.13421282186880656</v>
      </c>
      <c r="C570" s="32">
        <f ca="1">((((1+B570)^(A570/252))/((1+B569)^(A569/252)))^(252/1))-1</f>
        <v>0.13313029682426269</v>
      </c>
      <c r="D570" s="30">
        <v>0.13421282186880656</v>
      </c>
      <c r="E570" s="31">
        <f ca="1">B570-D570</f>
        <v>0</v>
      </c>
    </row>
    <row r="571" spans="1:5" x14ac:dyDescent="0.25">
      <c r="A571" s="21">
        <v>570</v>
      </c>
      <c r="B571" s="5" cm="1">
        <f t="array" aca="1" ref="B571" ca="1">interpolexp(A571,serie_du,Taxas_DI)</f>
        <v>0.13421092179359828</v>
      </c>
      <c r="C571" s="32">
        <f ca="1">((((1+B571)^(A571/252))/((1+B570)^(A570/252)))^(252/1))-1</f>
        <v>0.13313029501991269</v>
      </c>
      <c r="D571" s="30">
        <v>0.13421092179359828</v>
      </c>
      <c r="E571" s="31">
        <f ca="1">B571-D571</f>
        <v>0</v>
      </c>
    </row>
    <row r="572" spans="1:5" x14ac:dyDescent="0.25">
      <c r="A572" s="21">
        <v>571</v>
      </c>
      <c r="B572" s="5" cm="1">
        <f t="array" aca="1" ref="B572" ca="1">interpolexp(A572,serie_du,Taxas_DI)</f>
        <v>0.13420902837368853</v>
      </c>
      <c r="C572" s="32">
        <f ca="1">((((1+B572)^(A572/252))/((1+B571)^(A571/252)))^(252/1))-1</f>
        <v>0.13313029323867553</v>
      </c>
      <c r="D572" s="30">
        <v>0.13420902837368853</v>
      </c>
      <c r="E572" s="31">
        <f ca="1">B572-D572</f>
        <v>0</v>
      </c>
    </row>
    <row r="573" spans="1:5" x14ac:dyDescent="0.25">
      <c r="A573" s="21">
        <v>572</v>
      </c>
      <c r="B573" s="5" cm="1">
        <f t="array" aca="1" ref="B573" ca="1">interpolexp(A573,serie_du,Taxas_DI)</f>
        <v>0.13420714157417191</v>
      </c>
      <c r="C573" s="32">
        <f ca="1">((((1+B573)^(A573/252))/((1+B572)^(A572/252)))^(252/1))-1</f>
        <v>0.13313029146687927</v>
      </c>
      <c r="D573" s="30">
        <v>0.13420714157417191</v>
      </c>
      <c r="E573" s="31">
        <f ca="1">B573-D573</f>
        <v>0</v>
      </c>
    </row>
    <row r="574" spans="1:5" x14ac:dyDescent="0.25">
      <c r="A574" s="21">
        <v>573</v>
      </c>
      <c r="B574" s="5" cm="1">
        <f t="array" aca="1" ref="B574" ca="1">interpolexp(A574,serie_du,Taxas_DI)</f>
        <v>0.13420526136038724</v>
      </c>
      <c r="C574" s="32">
        <f ca="1">((((1+B574)^(A574/252))/((1+B573)^(A573/252)))^(252/1))-1</f>
        <v>0.13313028970488383</v>
      </c>
      <c r="D574" s="30">
        <v>0.13420526136038724</v>
      </c>
      <c r="E574" s="31">
        <f ca="1">B574-D574</f>
        <v>0</v>
      </c>
    </row>
    <row r="575" spans="1:5" x14ac:dyDescent="0.25">
      <c r="A575" s="21">
        <v>574</v>
      </c>
      <c r="B575" s="5" cm="1">
        <f t="array" aca="1" ref="B575" ca="1">interpolexp(A575,serie_du,Taxas_DI)</f>
        <v>0.13420338769787321</v>
      </c>
      <c r="C575" s="32">
        <f ca="1">((((1+B575)^(A575/252))/((1+B574)^(A574/252)))^(252/1))-1</f>
        <v>0.13313028792859383</v>
      </c>
      <c r="D575" s="30">
        <v>0.13420338769787321</v>
      </c>
      <c r="E575" s="31">
        <f ca="1">B575-D575</f>
        <v>0</v>
      </c>
    </row>
    <row r="576" spans="1:5" x14ac:dyDescent="0.25">
      <c r="A576" s="21">
        <v>575</v>
      </c>
      <c r="B576" s="5" cm="1">
        <f t="array" aca="1" ref="B576" ca="1">interpolexp(A576,serie_du,Taxas_DI)</f>
        <v>0.13420152055250156</v>
      </c>
      <c r="C576" s="32">
        <f ca="1">((((1+B576)^(A576/252))/((1+B575)^(A575/252)))^(252/1))-1</f>
        <v>0.13313028619160616</v>
      </c>
      <c r="D576" s="30">
        <v>0.13420152055250156</v>
      </c>
      <c r="E576" s="31">
        <f ca="1">B576-D576</f>
        <v>0</v>
      </c>
    </row>
    <row r="577" spans="1:5" x14ac:dyDescent="0.25">
      <c r="A577" s="21">
        <v>576</v>
      </c>
      <c r="B577" s="5" cm="1">
        <f t="array" aca="1" ref="B577" ca="1">interpolexp(A577,serie_du,Taxas_DI)</f>
        <v>0.13419965989029947</v>
      </c>
      <c r="C577" s="32">
        <f ca="1">((((1+B577)^(A577/252))/((1+B576)^(A576/252)))^(252/1))-1</f>
        <v>0.13313028444684893</v>
      </c>
      <c r="D577" s="30">
        <v>0.13419965989029947</v>
      </c>
      <c r="E577" s="31">
        <f ca="1">B577-D577</f>
        <v>0</v>
      </c>
    </row>
    <row r="578" spans="1:5" x14ac:dyDescent="0.25">
      <c r="A578" s="21">
        <v>577</v>
      </c>
      <c r="B578" s="5" cm="1">
        <f t="array" aca="1" ref="B578" ca="1">interpolexp(A578,serie_du,Taxas_DI)</f>
        <v>0.13419780567758277</v>
      </c>
      <c r="C578" s="32">
        <f ca="1">((((1+B578)^(A578/252))/((1+B577)^(A577/252)))^(252/1))-1</f>
        <v>0.13313028272506133</v>
      </c>
      <c r="D578" s="30">
        <v>0.13419780567758277</v>
      </c>
      <c r="E578" s="31">
        <f ca="1">B578-D578</f>
        <v>0</v>
      </c>
    </row>
    <row r="579" spans="1:5" x14ac:dyDescent="0.25">
      <c r="A579" s="21">
        <v>578</v>
      </c>
      <c r="B579" s="5" cm="1">
        <f t="array" aca="1" ref="B579" ca="1">interpolexp(A579,serie_du,Taxas_DI)</f>
        <v>0.13419595788084493</v>
      </c>
      <c r="C579" s="32">
        <f ca="1">((((1+B579)^(A579/252))/((1+B578)^(A578/252)))^(252/1))-1</f>
        <v>0.13313028099403357</v>
      </c>
      <c r="D579" s="30">
        <v>0.13419595788084493</v>
      </c>
      <c r="E579" s="31">
        <f ca="1">B579-D579</f>
        <v>0</v>
      </c>
    </row>
    <row r="580" spans="1:5" x14ac:dyDescent="0.25">
      <c r="A580" s="21">
        <v>579</v>
      </c>
      <c r="B580" s="5" cm="1">
        <f t="array" aca="1" ref="B580" ca="1">interpolexp(A580,serie_du,Taxas_DI)</f>
        <v>0.13419411646686807</v>
      </c>
      <c r="C580" s="32">
        <f ca="1">((((1+B580)^(A580/252))/((1+B579)^(A579/252)))^(252/1))-1</f>
        <v>0.13313027928674748</v>
      </c>
      <c r="D580" s="30">
        <v>0.13419411646686807</v>
      </c>
      <c r="E580" s="31">
        <f ca="1">B580-D580</f>
        <v>0</v>
      </c>
    </row>
    <row r="581" spans="1:5" x14ac:dyDescent="0.25">
      <c r="A581" s="21">
        <v>580</v>
      </c>
      <c r="B581" s="5" cm="1">
        <f t="array" aca="1" ref="B581" ca="1">interpolexp(A581,serie_du,Taxas_DI)</f>
        <v>0.13419228140263417</v>
      </c>
      <c r="C581" s="32">
        <f ca="1">((((1+B581)^(A581/252))/((1+B580)^(A580/252)))^(252/1))-1</f>
        <v>0.13313027758633966</v>
      </c>
      <c r="D581" s="30">
        <v>0.13419228140263417</v>
      </c>
      <c r="E581" s="31">
        <f ca="1">B581-D581</f>
        <v>0</v>
      </c>
    </row>
    <row r="582" spans="1:5" x14ac:dyDescent="0.25">
      <c r="A582" s="21">
        <v>581</v>
      </c>
      <c r="B582" s="5" cm="1">
        <f t="array" aca="1" ref="B582" ca="1">interpolexp(A582,serie_du,Taxas_DI)</f>
        <v>0.13419045265532503</v>
      </c>
      <c r="C582" s="32">
        <f ca="1">((((1+B582)^(A582/252))/((1+B581)^(A581/252)))^(252/1))-1</f>
        <v>0.13313027587664661</v>
      </c>
      <c r="D582" s="30">
        <v>0.13419045265532503</v>
      </c>
      <c r="E582" s="31">
        <f ca="1">B582-D582</f>
        <v>0</v>
      </c>
    </row>
    <row r="583" spans="1:5" x14ac:dyDescent="0.25">
      <c r="A583" s="21">
        <v>582</v>
      </c>
      <c r="B583" s="5" cm="1">
        <f t="array" aca="1" ref="B583" ca="1">interpolexp(A583,serie_du,Taxas_DI)</f>
        <v>0.13418863019243332</v>
      </c>
      <c r="C583" s="32">
        <f ca="1">((((1+B583)^(A583/252))/((1+B582)^(A582/252)))^(252/1))-1</f>
        <v>0.13313027420722534</v>
      </c>
      <c r="D583" s="30">
        <v>0.13418863019243332</v>
      </c>
      <c r="E583" s="31">
        <f ca="1">B583-D583</f>
        <v>0</v>
      </c>
    </row>
    <row r="584" spans="1:5" x14ac:dyDescent="0.25">
      <c r="A584" s="21">
        <v>583</v>
      </c>
      <c r="B584" s="5" cm="1">
        <f t="array" aca="1" ref="B584" ca="1">interpolexp(A584,serie_du,Taxas_DI)</f>
        <v>0.13418681398158494</v>
      </c>
      <c r="C584" s="32">
        <f ca="1">((((1+B584)^(A584/252))/((1+B583)^(A583/252)))^(252/1))-1</f>
        <v>0.133130272525811</v>
      </c>
      <c r="D584" s="30">
        <v>0.13418681398158494</v>
      </c>
      <c r="E584" s="31">
        <f ca="1">B584-D584</f>
        <v>0</v>
      </c>
    </row>
    <row r="585" spans="1:5" x14ac:dyDescent="0.25">
      <c r="A585" s="21">
        <v>584</v>
      </c>
      <c r="B585" s="5" cm="1">
        <f t="array" aca="1" ref="B585" ca="1">interpolexp(A585,serie_du,Taxas_DI)</f>
        <v>0.13418500399067224</v>
      </c>
      <c r="C585" s="32">
        <f ca="1">((((1+B585)^(A585/252))/((1+B584)^(A584/252)))^(252/1))-1</f>
        <v>0.13313027085831464</v>
      </c>
      <c r="D585" s="30">
        <v>0.13418500399067224</v>
      </c>
      <c r="E585" s="31">
        <f ca="1">B585-D585</f>
        <v>0</v>
      </c>
    </row>
    <row r="586" spans="1:5" x14ac:dyDescent="0.25">
      <c r="A586" s="21">
        <v>585</v>
      </c>
      <c r="B586" s="5" cm="1">
        <f t="array" aca="1" ref="B586" ca="1">interpolexp(A586,serie_du,Taxas_DI)</f>
        <v>0.13418320018776519</v>
      </c>
      <c r="C586" s="32">
        <f ca="1">((((1+B586)^(A586/252))/((1+B585)^(A585/252)))^(252/1))-1</f>
        <v>0.13313026918027093</v>
      </c>
      <c r="D586" s="30">
        <v>0.13418320018776519</v>
      </c>
      <c r="E586" s="31">
        <f ca="1">B586-D586</f>
        <v>0</v>
      </c>
    </row>
    <row r="587" spans="1:5" x14ac:dyDescent="0.25">
      <c r="A587" s="21">
        <v>586</v>
      </c>
      <c r="B587" s="5" cm="1">
        <f t="array" aca="1" ref="B587" ca="1">interpolexp(A587,serie_du,Taxas_DI)</f>
        <v>0.13418140254124467</v>
      </c>
      <c r="C587" s="32">
        <f ca="1">((((1+B587)^(A587/252))/((1+B586)^(A586/252)))^(252/1))-1</f>
        <v>0.13313026754594981</v>
      </c>
      <c r="D587" s="30">
        <v>0.13418140254124467</v>
      </c>
      <c r="E587" s="31">
        <f ca="1">B587-D587</f>
        <v>0</v>
      </c>
    </row>
    <row r="588" spans="1:5" x14ac:dyDescent="0.25">
      <c r="A588" s="21">
        <v>587</v>
      </c>
      <c r="B588" s="5" cm="1">
        <f t="array" aca="1" ref="B588" ca="1">interpolexp(A588,serie_du,Taxas_DI)</f>
        <v>0.13417961101960252</v>
      </c>
      <c r="C588" s="32">
        <f ca="1">((((1+B588)^(A588/252))/((1+B587)^(A587/252)))^(252/1))-1</f>
        <v>0.1331302658941349</v>
      </c>
      <c r="D588" s="30">
        <v>0.13417961101960252</v>
      </c>
      <c r="E588" s="31">
        <f ca="1">B588-D588</f>
        <v>0</v>
      </c>
    </row>
    <row r="589" spans="1:5" x14ac:dyDescent="0.25">
      <c r="A589" s="21">
        <v>588</v>
      </c>
      <c r="B589" s="5" cm="1">
        <f t="array" aca="1" ref="B589" ca="1">interpolexp(A589,serie_du,Taxas_DI)</f>
        <v>0.13417782559161928</v>
      </c>
      <c r="C589" s="32">
        <f ca="1">((((1+B589)^(A589/252))/((1+B588)^(A588/252)))^(252/1))-1</f>
        <v>0.13313026426827701</v>
      </c>
      <c r="D589" s="30">
        <v>0.13417782559161928</v>
      </c>
      <c r="E589" s="31">
        <f ca="1">B589-D589</f>
        <v>0</v>
      </c>
    </row>
    <row r="590" spans="1:5" x14ac:dyDescent="0.25">
      <c r="A590" s="21">
        <v>589</v>
      </c>
      <c r="B590" s="5" cm="1">
        <f t="array" aca="1" ref="B590" ca="1">interpolexp(A590,serie_du,Taxas_DI)</f>
        <v>0.13417604622623092</v>
      </c>
      <c r="C590" s="32">
        <f ca="1">((((1+B590)^(A590/252))/((1+B589)^(A589/252)))^(252/1))-1</f>
        <v>0.13313026263522132</v>
      </c>
      <c r="D590" s="30">
        <v>0.13417604622623092</v>
      </c>
      <c r="E590" s="31">
        <f ca="1">B590-D590</f>
        <v>0</v>
      </c>
    </row>
    <row r="591" spans="1:5" x14ac:dyDescent="0.25">
      <c r="A591" s="21">
        <v>590</v>
      </c>
      <c r="B591" s="5" cm="1">
        <f t="array" aca="1" ref="B591" ca="1">interpolexp(A591,serie_du,Taxas_DI)</f>
        <v>0.13417427289261763</v>
      </c>
      <c r="C591" s="32">
        <f ca="1">((((1+B591)^(A591/252))/((1+B590)^(A590/252)))^(252/1))-1</f>
        <v>0.13313026101457082</v>
      </c>
      <c r="D591" s="30">
        <v>0.13417427289261763</v>
      </c>
      <c r="E591" s="31">
        <f ca="1">B591-D591</f>
        <v>0</v>
      </c>
    </row>
    <row r="592" spans="1:5" x14ac:dyDescent="0.25">
      <c r="A592" s="21">
        <v>591</v>
      </c>
      <c r="B592" s="5" cm="1">
        <f t="array" aca="1" ref="B592" ca="1">interpolexp(A592,serie_du,Taxas_DI)</f>
        <v>0.13417250556015947</v>
      </c>
      <c r="C592" s="32">
        <f ca="1">((((1+B592)^(A592/252))/((1+B591)^(A591/252)))^(252/1))-1</f>
        <v>0.13313025940110057</v>
      </c>
      <c r="D592" s="30">
        <v>0.13417250556015947</v>
      </c>
      <c r="E592" s="31">
        <f ca="1">B592-D592</f>
        <v>0</v>
      </c>
    </row>
    <row r="593" spans="1:5" x14ac:dyDescent="0.25">
      <c r="A593" s="21">
        <v>592</v>
      </c>
      <c r="B593" s="5" cm="1">
        <f t="array" aca="1" ref="B593" ca="1">interpolexp(A593,serie_du,Taxas_DI)</f>
        <v>0.13417074419845365</v>
      </c>
      <c r="C593" s="32">
        <f ca="1">((((1+B593)^(A593/252))/((1+B592)^(A592/252)))^(252/1))-1</f>
        <v>0.13313025780097942</v>
      </c>
      <c r="D593" s="30">
        <v>0.13417074419845365</v>
      </c>
      <c r="E593" s="31">
        <f ca="1">B593-D593</f>
        <v>0</v>
      </c>
    </row>
    <row r="594" spans="1:5" x14ac:dyDescent="0.25">
      <c r="A594" s="21">
        <v>593</v>
      </c>
      <c r="B594" s="5" cm="1">
        <f t="array" aca="1" ref="B594" ca="1">interpolexp(A594,serie_du,Taxas_DI)</f>
        <v>0.13416875843075271</v>
      </c>
      <c r="C594" s="32">
        <f ca="1">((((1+B594)^(A594/252))/((1+B593)^(A593/252)))^(252/1))-1</f>
        <v>0.1329937940152992</v>
      </c>
      <c r="D594" s="30">
        <v>0.13416875843075271</v>
      </c>
      <c r="E594" s="31">
        <f ca="1">B594-D594</f>
        <v>0</v>
      </c>
    </row>
    <row r="595" spans="1:5" x14ac:dyDescent="0.25">
      <c r="A595" s="21">
        <v>594</v>
      </c>
      <c r="B595" s="5" cm="1">
        <f t="array" aca="1" ref="B595" ca="1">interpolexp(A595,serie_du,Taxas_DI)</f>
        <v>0.13416677934916521</v>
      </c>
      <c r="C595" s="32">
        <f ca="1">((((1+B595)^(A595/252))/((1+B594)^(A594/252)))^(252/1))-1</f>
        <v>0.13299379197866834</v>
      </c>
      <c r="D595" s="30">
        <v>0.13416677934916521</v>
      </c>
      <c r="E595" s="31">
        <f ca="1">B595-D595</f>
        <v>0</v>
      </c>
    </row>
    <row r="596" spans="1:5" x14ac:dyDescent="0.25">
      <c r="A596" s="21">
        <v>595</v>
      </c>
      <c r="B596" s="5" cm="1">
        <f t="array" aca="1" ref="B596" ca="1">interpolexp(A596,serie_du,Taxas_DI)</f>
        <v>0.13416480691998967</v>
      </c>
      <c r="C596" s="32">
        <f ca="1">((((1+B596)^(A596/252))/((1+B595)^(A595/252)))^(252/1))-1</f>
        <v>0.13299378995814393</v>
      </c>
      <c r="D596" s="30">
        <v>0.13416480691998967</v>
      </c>
      <c r="E596" s="31">
        <f ca="1">B596-D596</f>
        <v>0</v>
      </c>
    </row>
    <row r="597" spans="1:5" x14ac:dyDescent="0.25">
      <c r="A597" s="21">
        <v>596</v>
      </c>
      <c r="B597" s="5" cm="1">
        <f t="array" aca="1" ref="B597" ca="1">interpolexp(A597,serie_du,Taxas_DI)</f>
        <v>0.13416284110974175</v>
      </c>
      <c r="C597" s="32">
        <f ca="1">((((1+B597)^(A597/252))/((1+B596)^(A596/252)))^(252/1))-1</f>
        <v>0.13299378794869288</v>
      </c>
      <c r="D597" s="30">
        <v>0.13416284110974175</v>
      </c>
      <c r="E597" s="31">
        <f ca="1">B597-D597</f>
        <v>0</v>
      </c>
    </row>
    <row r="598" spans="1:5" x14ac:dyDescent="0.25">
      <c r="A598" s="21">
        <v>597</v>
      </c>
      <c r="B598" s="5" cm="1">
        <f t="array" aca="1" ref="B598" ca="1">interpolexp(A598,serie_du,Taxas_DI)</f>
        <v>0.13416088188515918</v>
      </c>
      <c r="C598" s="32">
        <f ca="1">((((1+B598)^(A598/252))/((1+B597)^(A597/252)))^(252/1))-1</f>
        <v>0.13299378594849154</v>
      </c>
      <c r="D598" s="30">
        <v>0.13416088188515918</v>
      </c>
      <c r="E598" s="31">
        <f ca="1">B598-D598</f>
        <v>0</v>
      </c>
    </row>
    <row r="599" spans="1:5" x14ac:dyDescent="0.25">
      <c r="A599" s="21">
        <v>598</v>
      </c>
      <c r="B599" s="5" cm="1">
        <f t="array" aca="1" ref="B599" ca="1">interpolexp(A599,serie_du,Taxas_DI)</f>
        <v>0.13415892921320172</v>
      </c>
      <c r="C599" s="32">
        <f ca="1">((((1+B599)^(A599/252))/((1+B598)^(A598/252)))^(252/1))-1</f>
        <v>0.13299378395743688</v>
      </c>
      <c r="D599" s="30">
        <v>0.13415892921320172</v>
      </c>
      <c r="E599" s="31">
        <f ca="1">B599-D599</f>
        <v>0</v>
      </c>
    </row>
    <row r="600" spans="1:5" x14ac:dyDescent="0.25">
      <c r="A600" s="21">
        <v>599</v>
      </c>
      <c r="B600" s="5" cm="1">
        <f t="array" aca="1" ref="B600" ca="1">interpolexp(A600,serie_du,Taxas_DI)</f>
        <v>0.13415698306107338</v>
      </c>
      <c r="C600" s="32">
        <f ca="1">((((1+B600)^(A600/252))/((1+B599)^(A599/252)))^(252/1))-1</f>
        <v>0.13299378198940803</v>
      </c>
      <c r="D600" s="30">
        <v>0.13415698306107338</v>
      </c>
      <c r="E600" s="31">
        <f ca="1">B600-D600</f>
        <v>0</v>
      </c>
    </row>
    <row r="601" spans="1:5" x14ac:dyDescent="0.25">
      <c r="A601" s="21">
        <v>600</v>
      </c>
      <c r="B601" s="5" cm="1">
        <f t="array" aca="1" ref="B601" ca="1">interpolexp(A601,serie_du,Taxas_DI)</f>
        <v>0.1341550433961336</v>
      </c>
      <c r="C601" s="32">
        <f ca="1">((((1+B601)^(A601/252))/((1+B600)^(A600/252)))^(252/1))-1</f>
        <v>0.13299378000670692</v>
      </c>
      <c r="D601" s="30">
        <v>0.1341550433961336</v>
      </c>
      <c r="E601" s="31">
        <f ca="1">B601-D601</f>
        <v>0</v>
      </c>
    </row>
    <row r="602" spans="1:5" x14ac:dyDescent="0.25">
      <c r="A602" s="21">
        <v>601</v>
      </c>
      <c r="B602" s="5" cm="1">
        <f t="array" aca="1" ref="B602" ca="1">interpolexp(A602,serie_du,Taxas_DI)</f>
        <v>0.13415311018605269</v>
      </c>
      <c r="C602" s="32">
        <f ca="1">((((1+B602)^(A602/252))/((1+B601)^(A601/252)))^(252/1))-1</f>
        <v>0.13299377806527013</v>
      </c>
      <c r="D602" s="30">
        <v>0.13415311018605269</v>
      </c>
      <c r="E602" s="31">
        <f ca="1">B602-D602</f>
        <v>0</v>
      </c>
    </row>
    <row r="603" spans="1:5" x14ac:dyDescent="0.25">
      <c r="A603" s="21">
        <v>602</v>
      </c>
      <c r="B603" s="5" cm="1">
        <f t="array" aca="1" ref="B603" ca="1">interpolexp(A603,serie_du,Taxas_DI)</f>
        <v>0.13415118339861198</v>
      </c>
      <c r="C603" s="32">
        <f ca="1">((((1+B603)^(A603/252))/((1+B602)^(A602/252)))^(252/1))-1</f>
        <v>0.13299377610263341</v>
      </c>
      <c r="D603" s="30">
        <v>0.13415118339861198</v>
      </c>
      <c r="E603" s="31">
        <f ca="1">B603-D603</f>
        <v>0</v>
      </c>
    </row>
    <row r="604" spans="1:5" x14ac:dyDescent="0.25">
      <c r="A604" s="21">
        <v>603</v>
      </c>
      <c r="B604" s="5" cm="1">
        <f t="array" aca="1" ref="B604" ca="1">interpolexp(A604,serie_du,Taxas_DI)</f>
        <v>0.13414926300188146</v>
      </c>
      <c r="C604" s="32">
        <f ca="1">((((1+B604)^(A604/252))/((1+B603)^(A603/252)))^(252/1))-1</f>
        <v>0.13299377416390468</v>
      </c>
      <c r="D604" s="30">
        <v>0.13414926300188146</v>
      </c>
      <c r="E604" s="31">
        <f ca="1">B604-D604</f>
        <v>0</v>
      </c>
    </row>
    <row r="605" spans="1:5" x14ac:dyDescent="0.25">
      <c r="A605" s="21">
        <v>604</v>
      </c>
      <c r="B605" s="5" cm="1">
        <f t="array" aca="1" ref="B605" ca="1">interpolexp(A605,serie_du,Taxas_DI)</f>
        <v>0.13414734896410874</v>
      </c>
      <c r="C605" s="32">
        <f ca="1">((((1+B605)^(A605/252))/((1+B604)^(A604/252)))^(252/1))-1</f>
        <v>0.13299377222864184</v>
      </c>
      <c r="D605" s="30">
        <v>0.13414734896410874</v>
      </c>
      <c r="E605" s="31">
        <f ca="1">B605-D605</f>
        <v>0</v>
      </c>
    </row>
    <row r="606" spans="1:5" x14ac:dyDescent="0.25">
      <c r="A606" s="21">
        <v>605</v>
      </c>
      <c r="B606" s="5" cm="1">
        <f t="array" aca="1" ref="B606" ca="1">interpolexp(A606,serie_du,Taxas_DI)</f>
        <v>0.13414544125378569</v>
      </c>
      <c r="C606" s="32">
        <f ca="1">((((1+B606)^(A606/252))/((1+B605)^(A605/252)))^(252/1))-1</f>
        <v>0.1329937703175561</v>
      </c>
      <c r="D606" s="30">
        <v>0.13414544125378569</v>
      </c>
      <c r="E606" s="31">
        <f ca="1">B606-D606</f>
        <v>0</v>
      </c>
    </row>
    <row r="607" spans="1:5" x14ac:dyDescent="0.25">
      <c r="A607" s="21">
        <v>606</v>
      </c>
      <c r="B607" s="5" cm="1">
        <f t="array" aca="1" ref="B607" ca="1">interpolexp(A607,serie_du,Taxas_DI)</f>
        <v>0.13414353983958183</v>
      </c>
      <c r="C607" s="32">
        <f ca="1">((((1+B607)^(A607/252))/((1+B606)^(A606/252)))^(252/1))-1</f>
        <v>0.13299376841209054</v>
      </c>
      <c r="D607" s="30">
        <v>0.13414353983958183</v>
      </c>
      <c r="E607" s="31">
        <f ca="1">B607-D607</f>
        <v>0</v>
      </c>
    </row>
    <row r="608" spans="1:5" x14ac:dyDescent="0.25">
      <c r="A608" s="21">
        <v>607</v>
      </c>
      <c r="B608" s="5" cm="1">
        <f t="array" aca="1" ref="B608" ca="1">interpolexp(A608,serie_du,Taxas_DI)</f>
        <v>0.13414164469036649</v>
      </c>
      <c r="C608" s="32">
        <f ca="1">((((1+B608)^(A608/252))/((1+B607)^(A607/252)))^(252/1))-1</f>
        <v>0.13299376650821282</v>
      </c>
      <c r="D608" s="30">
        <v>0.13414164469036649</v>
      </c>
      <c r="E608" s="31">
        <f ca="1">B608-D608</f>
        <v>0</v>
      </c>
    </row>
    <row r="609" spans="1:5" x14ac:dyDescent="0.25">
      <c r="A609" s="21">
        <v>608</v>
      </c>
      <c r="B609" s="5" cm="1">
        <f t="array" aca="1" ref="B609" ca="1">interpolexp(A609,serie_du,Taxas_DI)</f>
        <v>0.13413975577520887</v>
      </c>
      <c r="C609" s="32">
        <f ca="1">((((1+B609)^(A609/252))/((1+B608)^(A608/252)))^(252/1))-1</f>
        <v>0.13299376460287049</v>
      </c>
      <c r="D609" s="30">
        <v>0.13413975577520887</v>
      </c>
      <c r="E609" s="31">
        <f ca="1">B609-D609</f>
        <v>0</v>
      </c>
    </row>
    <row r="610" spans="1:5" x14ac:dyDescent="0.25">
      <c r="A610" s="21">
        <v>609</v>
      </c>
      <c r="B610" s="5" cm="1">
        <f t="array" aca="1" ref="B610" ca="1">interpolexp(A610,serie_du,Taxas_DI)</f>
        <v>0.1341378730634224</v>
      </c>
      <c r="C610" s="32">
        <f ca="1">((((1+B610)^(A610/252))/((1+B609)^(A609/252)))^(252/1))-1</f>
        <v>0.13299376272098784</v>
      </c>
      <c r="D610" s="30">
        <v>0.1341378730634224</v>
      </c>
      <c r="E610" s="31">
        <f ca="1">B610-D610</f>
        <v>0</v>
      </c>
    </row>
    <row r="611" spans="1:5" x14ac:dyDescent="0.25">
      <c r="A611" s="21">
        <v>610</v>
      </c>
      <c r="B611" s="5" cm="1">
        <f t="array" aca="1" ref="B611" ca="1">interpolexp(A611,serie_du,Taxas_DI)</f>
        <v>0.13413599652452035</v>
      </c>
      <c r="C611" s="32">
        <f ca="1">((((1+B611)^(A611/252))/((1+B610)^(A610/252)))^(252/1))-1</f>
        <v>0.132993760861706</v>
      </c>
      <c r="D611" s="30">
        <v>0.13413599652452035</v>
      </c>
      <c r="E611" s="31">
        <f ca="1">B611-D611</f>
        <v>0</v>
      </c>
    </row>
    <row r="612" spans="1:5" x14ac:dyDescent="0.25">
      <c r="A612" s="21">
        <v>611</v>
      </c>
      <c r="B612" s="5" cm="1">
        <f t="array" aca="1" ref="B612" ca="1">interpolexp(A612,serie_du,Taxas_DI)</f>
        <v>0.13413412612814923</v>
      </c>
      <c r="C612" s="32">
        <f ca="1">((((1+B612)^(A612/252))/((1+B611)^(A611/252)))^(252/1))-1</f>
        <v>0.13299375898442767</v>
      </c>
      <c r="D612" s="30">
        <v>0.13413412612814923</v>
      </c>
      <c r="E612" s="31">
        <f ca="1">B612-D612</f>
        <v>0</v>
      </c>
    </row>
    <row r="613" spans="1:5" x14ac:dyDescent="0.25">
      <c r="A613" s="21">
        <v>612</v>
      </c>
      <c r="B613" s="5" cm="1">
        <f t="array" aca="1" ref="B613" ca="1">interpolexp(A613,serie_du,Taxas_DI)</f>
        <v>0.134132261844222</v>
      </c>
      <c r="C613" s="32">
        <f ca="1">((((1+B613)^(A613/252))/((1+B612)^(A612/252)))^(252/1))-1</f>
        <v>0.13299375713060657</v>
      </c>
      <c r="D613" s="30">
        <v>0.134132261844222</v>
      </c>
      <c r="E613" s="31">
        <f ca="1">B613-D613</f>
        <v>0</v>
      </c>
    </row>
    <row r="614" spans="1:5" x14ac:dyDescent="0.25">
      <c r="A614" s="21">
        <v>613</v>
      </c>
      <c r="B614" s="5" cm="1">
        <f t="array" aca="1" ref="B614" ca="1">interpolexp(A614,serie_du,Taxas_DI)</f>
        <v>0.13413040364282924</v>
      </c>
      <c r="C614" s="32">
        <f ca="1">((((1+B614)^(A614/252))/((1+B613)^(A613/252)))^(252/1))-1</f>
        <v>0.13299375528887203</v>
      </c>
      <c r="D614" s="30">
        <v>0.13413040364282924</v>
      </c>
      <c r="E614" s="31">
        <f ca="1">B614-D614</f>
        <v>0</v>
      </c>
    </row>
    <row r="615" spans="1:5" x14ac:dyDescent="0.25">
      <c r="A615" s="21">
        <v>614</v>
      </c>
      <c r="B615" s="5" cm="1">
        <f t="array" aca="1" ref="B615" ca="1">interpolexp(A615,serie_du,Taxas_DI)</f>
        <v>0.13412855149423919</v>
      </c>
      <c r="C615" s="32">
        <f ca="1">((((1+B615)^(A615/252))/((1+B614)^(A614/252)))^(252/1))-1</f>
        <v>0.132993753448581</v>
      </c>
      <c r="D615" s="30">
        <v>0.13412855149423919</v>
      </c>
      <c r="E615" s="31">
        <f ca="1">B615-D615</f>
        <v>0</v>
      </c>
    </row>
    <row r="616" spans="1:5" x14ac:dyDescent="0.25">
      <c r="A616" s="21">
        <v>615</v>
      </c>
      <c r="B616" s="5" cm="1">
        <f t="array" aca="1" ref="B616" ca="1">interpolexp(A616,serie_du,Taxas_DI)</f>
        <v>0.13412670536894211</v>
      </c>
      <c r="C616" s="32">
        <f ca="1">((((1+B616)^(A616/252))/((1+B615)^(A615/252)))^(252/1))-1</f>
        <v>0.13299375162724791</v>
      </c>
      <c r="D616" s="30">
        <v>0.13412670536894211</v>
      </c>
      <c r="E616" s="31">
        <f ca="1">B616-D616</f>
        <v>0</v>
      </c>
    </row>
    <row r="617" spans="1:5" x14ac:dyDescent="0.25">
      <c r="A617" s="21">
        <v>616</v>
      </c>
      <c r="B617" s="5" cm="1">
        <f t="array" aca="1" ref="B617" ca="1">interpolexp(A617,serie_du,Taxas_DI)</f>
        <v>0.13412486523756151</v>
      </c>
      <c r="C617" s="32">
        <f ca="1">((((1+B617)^(A617/252))/((1+B616)^(A616/252)))^(252/1))-1</f>
        <v>0.13299374978888401</v>
      </c>
      <c r="D617" s="30">
        <v>0.13412486523756151</v>
      </c>
      <c r="E617" s="31">
        <f ca="1">B617-D617</f>
        <v>0</v>
      </c>
    </row>
    <row r="618" spans="1:5" x14ac:dyDescent="0.25">
      <c r="A618" s="21">
        <v>617</v>
      </c>
      <c r="B618" s="5" cm="1">
        <f t="array" aca="1" ref="B618" ca="1">interpolexp(A618,serie_du,Taxas_DI)</f>
        <v>0.13412303107103174</v>
      </c>
      <c r="C618" s="32">
        <f ca="1">((((1+B618)^(A618/252))/((1+B617)^(A617/252)))^(252/1))-1</f>
        <v>0.1329937480076957</v>
      </c>
      <c r="D618" s="30">
        <v>0.13412303107103174</v>
      </c>
      <c r="E618" s="31">
        <f ca="1">B618-D618</f>
        <v>0</v>
      </c>
    </row>
    <row r="619" spans="1:5" x14ac:dyDescent="0.25">
      <c r="A619" s="21">
        <v>618</v>
      </c>
      <c r="B619" s="5" cm="1">
        <f t="array" aca="1" ref="B619" ca="1">interpolexp(A619,serie_du,Taxas_DI)</f>
        <v>0.13412120284030937</v>
      </c>
      <c r="C619" s="32">
        <f ca="1">((((1+B619)^(A619/252))/((1+B618)^(A618/252)))^(252/1))-1</f>
        <v>0.13299374618111437</v>
      </c>
      <c r="D619" s="30">
        <v>0.13412120284030937</v>
      </c>
      <c r="E619" s="31">
        <f ca="1">B619-D619</f>
        <v>0</v>
      </c>
    </row>
    <row r="620" spans="1:5" x14ac:dyDescent="0.25">
      <c r="A620" s="21">
        <v>619</v>
      </c>
      <c r="B620" s="5" cm="1">
        <f t="array" aca="1" ref="B620" ca="1">interpolexp(A620,serie_du,Taxas_DI)</f>
        <v>0.13411938051668404</v>
      </c>
      <c r="C620" s="32">
        <f ca="1">((((1+B620)^(A620/252))/((1+B619)^(A619/252)))^(252/1))-1</f>
        <v>0.13299374439907385</v>
      </c>
      <c r="D620" s="30">
        <v>0.13411938051668404</v>
      </c>
      <c r="E620" s="31">
        <f ca="1">B620-D620</f>
        <v>0</v>
      </c>
    </row>
    <row r="621" spans="1:5" x14ac:dyDescent="0.25">
      <c r="A621" s="21">
        <v>620</v>
      </c>
      <c r="B621" s="5" cm="1">
        <f t="array" aca="1" ref="B621" ca="1">interpolexp(A621,serie_du,Taxas_DI)</f>
        <v>0.13411756407153419</v>
      </c>
      <c r="C621" s="32">
        <f ca="1">((((1+B621)^(A621/252))/((1+B620)^(A620/252)))^(252/1))-1</f>
        <v>0.13299374260172359</v>
      </c>
      <c r="D621" s="30">
        <v>0.13411756407153419</v>
      </c>
      <c r="E621" s="31">
        <f ca="1">B621-D621</f>
        <v>0</v>
      </c>
    </row>
    <row r="622" spans="1:5" x14ac:dyDescent="0.25">
      <c r="A622" s="21">
        <v>621</v>
      </c>
      <c r="B622" s="5" cm="1">
        <f t="array" aca="1" ref="B622" ca="1">interpolexp(A622,serie_du,Taxas_DI)</f>
        <v>0.13411575347650473</v>
      </c>
      <c r="C622" s="32">
        <f ca="1">((((1+B622)^(A622/252))/((1+B621)^(A621/252)))^(252/1))-1</f>
        <v>0.13299374083996351</v>
      </c>
      <c r="D622" s="30">
        <v>0.13411575347650473</v>
      </c>
      <c r="E622" s="31">
        <f ca="1">B622-D622</f>
        <v>0</v>
      </c>
    </row>
    <row r="623" spans="1:5" x14ac:dyDescent="0.25">
      <c r="A623" s="21">
        <v>622</v>
      </c>
      <c r="B623" s="5" cm="1">
        <f t="array" aca="1" ref="B623" ca="1">interpolexp(A623,serie_du,Taxas_DI)</f>
        <v>0.13411394870335158</v>
      </c>
      <c r="C623" s="32">
        <f ca="1">((((1+B623)^(A623/252))/((1+B622)^(A622/252)))^(252/1))-1</f>
        <v>0.13299373906948553</v>
      </c>
      <c r="D623" s="30">
        <v>0.13411394870335158</v>
      </c>
      <c r="E623" s="31">
        <f ca="1">B623-D623</f>
        <v>0</v>
      </c>
    </row>
    <row r="624" spans="1:5" x14ac:dyDescent="0.25">
      <c r="A624" s="21">
        <v>623</v>
      </c>
      <c r="B624" s="5" cm="1">
        <f t="array" aca="1" ref="B624" ca="1">interpolexp(A624,serie_du,Taxas_DI)</f>
        <v>0.13411214972403052</v>
      </c>
      <c r="C624" s="32">
        <f ca="1">((((1+B624)^(A624/252))/((1+B623)^(A623/252)))^(252/1))-1</f>
        <v>0.13299373730163166</v>
      </c>
      <c r="D624" s="30">
        <v>0.13411214972403052</v>
      </c>
      <c r="E624" s="31">
        <f ca="1">B624-D624</f>
        <v>0</v>
      </c>
    </row>
    <row r="625" spans="1:5" x14ac:dyDescent="0.25">
      <c r="A625" s="21">
        <v>624</v>
      </c>
      <c r="B625" s="5" cm="1">
        <f t="array" aca="1" ref="B625" ca="1">interpolexp(A625,serie_du,Taxas_DI)</f>
        <v>0.13411035651074155</v>
      </c>
      <c r="C625" s="32">
        <f ca="1">((((1+B625)^(A625/252))/((1+B624)^(A624/252)))^(252/1))-1</f>
        <v>0.13299373557663752</v>
      </c>
      <c r="D625" s="30">
        <v>0.13411035651074155</v>
      </c>
      <c r="E625" s="31">
        <f ca="1">B625-D625</f>
        <v>0</v>
      </c>
    </row>
    <row r="626" spans="1:5" x14ac:dyDescent="0.25">
      <c r="A626" s="21">
        <v>625</v>
      </c>
      <c r="B626" s="5" cm="1">
        <f t="array" aca="1" ref="B626" ca="1">interpolexp(A626,serie_du,Taxas_DI)</f>
        <v>0.1341085690357291</v>
      </c>
      <c r="C626" s="32">
        <f ca="1">((((1+B626)^(A626/252))/((1+B625)^(A625/252)))^(252/1))-1</f>
        <v>0.13299373381093704</v>
      </c>
      <c r="D626" s="30">
        <v>0.1341085690357291</v>
      </c>
      <c r="E626" s="31">
        <f ca="1">B626-D626</f>
        <v>0</v>
      </c>
    </row>
    <row r="627" spans="1:5" x14ac:dyDescent="0.25">
      <c r="A627" s="21">
        <v>626</v>
      </c>
      <c r="B627" s="5" cm="1">
        <f t="array" aca="1" ref="B627" ca="1">interpolexp(A627,serie_du,Taxas_DI)</f>
        <v>0.13410678727154846</v>
      </c>
      <c r="C627" s="32">
        <f ca="1">((((1+B627)^(A627/252))/((1+B626)^(A626/252)))^(252/1))-1</f>
        <v>0.13299373208823062</v>
      </c>
      <c r="D627" s="30">
        <v>0.13410678727154846</v>
      </c>
      <c r="E627" s="31">
        <f ca="1">B627-D627</f>
        <v>0</v>
      </c>
    </row>
    <row r="628" spans="1:5" x14ac:dyDescent="0.25">
      <c r="A628" s="21">
        <v>627</v>
      </c>
      <c r="B628" s="5" cm="1">
        <f t="array" aca="1" ref="B628" ca="1">interpolexp(A628,serie_du,Taxas_DI)</f>
        <v>0.13410501119084373</v>
      </c>
      <c r="C628" s="32">
        <f ca="1">((((1+B628)^(A628/252))/((1+B627)^(A627/252)))^(252/1))-1</f>
        <v>0.13299373035422968</v>
      </c>
      <c r="D628" s="30">
        <v>0.13410501119084373</v>
      </c>
      <c r="E628" s="31">
        <f ca="1">B628-D628</f>
        <v>0</v>
      </c>
    </row>
    <row r="629" spans="1:5" x14ac:dyDescent="0.25">
      <c r="A629" s="21">
        <v>628</v>
      </c>
      <c r="B629" s="5" cm="1">
        <f t="array" aca="1" ref="B629" ca="1">interpolexp(A629,serie_du,Taxas_DI)</f>
        <v>0.13410324076648106</v>
      </c>
      <c r="C629" s="32">
        <f ca="1">((((1+B629)^(A629/252))/((1+B628)^(A628/252)))^(252/1))-1</f>
        <v>0.1329937286388907</v>
      </c>
      <c r="D629" s="30">
        <v>0.13410324076648106</v>
      </c>
      <c r="E629" s="31">
        <f ca="1">B629-D629</f>
        <v>0</v>
      </c>
    </row>
    <row r="630" spans="1:5" x14ac:dyDescent="0.25">
      <c r="A630" s="21">
        <v>629</v>
      </c>
      <c r="B630" s="5" cm="1">
        <f t="array" aca="1" ref="B630" ca="1">interpolexp(A630,serie_du,Taxas_DI)</f>
        <v>0.13410147597148203</v>
      </c>
      <c r="C630" s="32">
        <f ca="1">((((1+B630)^(A630/252))/((1+B629)^(A629/252)))^(252/1))-1</f>
        <v>0.13299372693143474</v>
      </c>
      <c r="D630" s="30">
        <v>0.13410147597148203</v>
      </c>
      <c r="E630" s="31">
        <f ca="1">B630-D630</f>
        <v>0</v>
      </c>
    </row>
    <row r="631" spans="1:5" x14ac:dyDescent="0.25">
      <c r="A631" s="21">
        <v>630</v>
      </c>
      <c r="B631" s="5" cm="1">
        <f t="array" aca="1" ref="B631" ca="1">interpolexp(A631,serie_du,Taxas_DI)</f>
        <v>0.13409971677904586</v>
      </c>
      <c r="C631" s="32">
        <f ca="1">((((1+B631)^(A631/252))/((1+B630)^(A630/252)))^(252/1))-1</f>
        <v>0.13299372523576336</v>
      </c>
      <c r="D631" s="30">
        <v>0.13409971677904586</v>
      </c>
      <c r="E631" s="31">
        <f ca="1">B631-D631</f>
        <v>0</v>
      </c>
    </row>
    <row r="632" spans="1:5" x14ac:dyDescent="0.25">
      <c r="A632" s="21">
        <v>631</v>
      </c>
      <c r="B632" s="5" cm="1">
        <f t="array" aca="1" ref="B632" ca="1">interpolexp(A632,serie_du,Taxas_DI)</f>
        <v>0.1340979631625272</v>
      </c>
      <c r="C632" s="32">
        <f ca="1">((((1+B632)^(A632/252))/((1+B631)^(A631/252)))^(252/1))-1</f>
        <v>0.13299372354283689</v>
      </c>
      <c r="D632" s="30">
        <v>0.1340979631625272</v>
      </c>
      <c r="E632" s="31">
        <f ca="1">B632-D632</f>
        <v>0</v>
      </c>
    </row>
    <row r="633" spans="1:5" x14ac:dyDescent="0.25">
      <c r="A633" s="21">
        <v>632</v>
      </c>
      <c r="B633" s="5" cm="1">
        <f t="array" aca="1" ref="B633" ca="1">interpolexp(A633,serie_du,Taxas_DI)</f>
        <v>0.13409621509545833</v>
      </c>
      <c r="C633" s="32">
        <f ca="1">((((1+B633)^(A633/252))/((1+B632)^(A632/252)))^(252/1))-1</f>
        <v>0.13299372185804392</v>
      </c>
      <c r="D633" s="30">
        <v>0.13409621509545833</v>
      </c>
      <c r="E633" s="31">
        <f ca="1">B633-D633</f>
        <v>0</v>
      </c>
    </row>
    <row r="634" spans="1:5" x14ac:dyDescent="0.25">
      <c r="A634" s="21">
        <v>633</v>
      </c>
      <c r="B634" s="5" cm="1">
        <f t="array" aca="1" ref="B634" ca="1">interpolexp(A634,serie_du,Taxas_DI)</f>
        <v>0.13409447255152696</v>
      </c>
      <c r="C634" s="32">
        <f ca="1">((((1+B634)^(A634/252))/((1+B633)^(A633/252)))^(252/1))-1</f>
        <v>0.13299372017412514</v>
      </c>
      <c r="D634" s="30">
        <v>0.13409447255152696</v>
      </c>
      <c r="E634" s="31">
        <f ca="1">B634-D634</f>
        <v>0</v>
      </c>
    </row>
    <row r="635" spans="1:5" x14ac:dyDescent="0.25">
      <c r="A635" s="21">
        <v>634</v>
      </c>
      <c r="B635" s="5" cm="1">
        <f t="array" aca="1" ref="B635" ca="1">interpolexp(A635,serie_du,Taxas_DI)</f>
        <v>0.13409273550459844</v>
      </c>
      <c r="C635" s="32">
        <f ca="1">((((1+B635)^(A635/252))/((1+B634)^(A634/252)))^(252/1))-1</f>
        <v>0.13299371849824548</v>
      </c>
      <c r="D635" s="30">
        <v>0.13409273550459844</v>
      </c>
      <c r="E635" s="31">
        <f ca="1">B635-D635</f>
        <v>0</v>
      </c>
    </row>
    <row r="636" spans="1:5" x14ac:dyDescent="0.25">
      <c r="A636" s="21">
        <v>635</v>
      </c>
      <c r="B636" s="5" cm="1">
        <f t="array" aca="1" ref="B636" ca="1">interpolexp(A636,serie_du,Taxas_DI)</f>
        <v>0.13409100392873796</v>
      </c>
      <c r="C636" s="32">
        <f ca="1">((((1+B636)^(A636/252))/((1+B635)^(A635/252)))^(252/1))-1</f>
        <v>0.13299371685269623</v>
      </c>
      <c r="D636" s="30">
        <v>0.13409100392873796</v>
      </c>
      <c r="E636" s="31">
        <f ca="1">B636-D636</f>
        <v>0</v>
      </c>
    </row>
    <row r="637" spans="1:5" x14ac:dyDescent="0.25">
      <c r="A637" s="21">
        <v>636</v>
      </c>
      <c r="B637" s="5" cm="1">
        <f t="array" aca="1" ref="B637" ca="1">interpolexp(A637,serie_du,Taxas_DI)</f>
        <v>0.13408927779812174</v>
      </c>
      <c r="C637" s="32">
        <f ca="1">((((1+B637)^(A637/252))/((1+B636)^(A636/252)))^(252/1))-1</f>
        <v>0.13299371520440872</v>
      </c>
      <c r="D637" s="30">
        <v>0.13408927779812174</v>
      </c>
      <c r="E637" s="31">
        <f ca="1">B637-D637</f>
        <v>0</v>
      </c>
    </row>
    <row r="638" spans="1:5" x14ac:dyDescent="0.25">
      <c r="A638" s="21">
        <v>637</v>
      </c>
      <c r="B638" s="5" cm="1">
        <f t="array" aca="1" ref="B638" ca="1">interpolexp(A638,serie_du,Taxas_DI)</f>
        <v>0.13408755708705922</v>
      </c>
      <c r="C638" s="32">
        <f ca="1">((((1+B638)^(A638/252))/((1+B637)^(A637/252)))^(252/1))-1</f>
        <v>0.13299371353474232</v>
      </c>
      <c r="D638" s="30">
        <v>0.13408755708705922</v>
      </c>
      <c r="E638" s="31">
        <f ca="1">B638-D638</f>
        <v>0</v>
      </c>
    </row>
    <row r="639" spans="1:5" x14ac:dyDescent="0.25">
      <c r="A639" s="21">
        <v>638</v>
      </c>
      <c r="B639" s="5" cm="1">
        <f t="array" aca="1" ref="B639" ca="1">interpolexp(A639,serie_du,Taxas_DI)</f>
        <v>0.13408584177012628</v>
      </c>
      <c r="C639" s="32">
        <f ca="1">((((1+B639)^(A639/252))/((1+B638)^(A638/252)))^(252/1))-1</f>
        <v>0.13299371191106601</v>
      </c>
      <c r="D639" s="30">
        <v>0.13408584177012628</v>
      </c>
      <c r="E639" s="31">
        <f ca="1">B639-D639</f>
        <v>0</v>
      </c>
    </row>
    <row r="640" spans="1:5" x14ac:dyDescent="0.25">
      <c r="A640" s="21">
        <v>639</v>
      </c>
      <c r="B640" s="5" cm="1">
        <f t="array" aca="1" ref="B640" ca="1">interpolexp(A640,serie_du,Taxas_DI)</f>
        <v>0.13408413182200984</v>
      </c>
      <c r="C640" s="32">
        <f ca="1">((((1+B640)^(A640/252))/((1+B639)^(A639/252)))^(252/1))-1</f>
        <v>0.13299371030241414</v>
      </c>
      <c r="D640" s="30">
        <v>0.13408413182200984</v>
      </c>
      <c r="E640" s="31">
        <f ca="1">B640-D640</f>
        <v>0</v>
      </c>
    </row>
    <row r="641" spans="1:5" x14ac:dyDescent="0.25">
      <c r="A641" s="21">
        <v>640</v>
      </c>
      <c r="B641" s="5" cm="1">
        <f t="array" aca="1" ref="B641" ca="1">interpolexp(A641,serie_du,Taxas_DI)</f>
        <v>0.13408242721746344</v>
      </c>
      <c r="C641" s="32">
        <f ca="1">((((1+B641)^(A641/252))/((1+B640)^(A640/252)))^(252/1))-1</f>
        <v>0.13299370865028193</v>
      </c>
      <c r="D641" s="30">
        <v>0.13408242721746344</v>
      </c>
      <c r="E641" s="31">
        <f ca="1">B641-D641</f>
        <v>0</v>
      </c>
    </row>
    <row r="642" spans="1:5" x14ac:dyDescent="0.25">
      <c r="A642" s="21">
        <v>641</v>
      </c>
      <c r="B642" s="5" cm="1">
        <f t="array" aca="1" ref="B642" ca="1">interpolexp(A642,serie_du,Taxas_DI)</f>
        <v>0.13408072793155146</v>
      </c>
      <c r="C642" s="32">
        <f ca="1">((((1+B642)^(A642/252))/((1+B641)^(A641/252)))^(252/1))-1</f>
        <v>0.13299370705271407</v>
      </c>
      <c r="D642" s="30">
        <v>0.13408072793155146</v>
      </c>
      <c r="E642" s="31">
        <f ca="1">B642-D642</f>
        <v>0</v>
      </c>
    </row>
    <row r="643" spans="1:5" x14ac:dyDescent="0.25">
      <c r="A643" s="21">
        <v>642</v>
      </c>
      <c r="B643" s="5" cm="1">
        <f t="array" aca="1" ref="B643" ca="1">interpolexp(A643,serie_du,Taxas_DI)</f>
        <v>0.1340790339393827</v>
      </c>
      <c r="C643" s="32">
        <f ca="1">((((1+B643)^(A643/252))/((1+B642)^(A642/252)))^(252/1))-1</f>
        <v>0.13299370543861411</v>
      </c>
      <c r="D643" s="30">
        <v>0.1340790339393827</v>
      </c>
      <c r="E643" s="31">
        <f ca="1">B643-D643</f>
        <v>0</v>
      </c>
    </row>
    <row r="644" spans="1:5" x14ac:dyDescent="0.25">
      <c r="A644" s="21">
        <v>643</v>
      </c>
      <c r="B644" s="5" cm="1">
        <f t="array" aca="1" ref="B644" ca="1">interpolexp(A644,serie_du,Taxas_DI)</f>
        <v>0.1340773452162658</v>
      </c>
      <c r="C644" s="32">
        <f ca="1">((((1+B644)^(A644/252))/((1+B643)^(A643/252)))^(252/1))-1</f>
        <v>0.13299370383673881</v>
      </c>
      <c r="D644" s="30">
        <v>0.1340773452162658</v>
      </c>
      <c r="E644" s="31">
        <f ca="1">B644-D644</f>
        <v>0</v>
      </c>
    </row>
    <row r="645" spans="1:5" x14ac:dyDescent="0.25">
      <c r="A645" s="21">
        <v>644</v>
      </c>
      <c r="B645" s="5" cm="1">
        <f t="array" aca="1" ref="B645" ca="1">interpolexp(A645,serie_du,Taxas_DI)</f>
        <v>0.13407566173766483</v>
      </c>
      <c r="C645" s="32">
        <f ca="1">((((1+B645)^(A645/252))/((1+B644)^(A644/252)))^(252/1))-1</f>
        <v>0.13299370224833607</v>
      </c>
      <c r="D645" s="30">
        <v>0.13407566173766483</v>
      </c>
      <c r="E645" s="31">
        <f ca="1">B645-D645</f>
        <v>0</v>
      </c>
    </row>
    <row r="646" spans="1:5" x14ac:dyDescent="0.25">
      <c r="A646" s="21">
        <v>645</v>
      </c>
      <c r="B646" s="5" cm="1">
        <f t="array" aca="1" ref="B646" ca="1">interpolexp(A646,serie_du,Taxas_DI)</f>
        <v>0.13407398347917709</v>
      </c>
      <c r="C646" s="32">
        <f ca="1">((((1+B646)^(A646/252))/((1+B645)^(A645/252)))^(252/1))-1</f>
        <v>0.13299370066128513</v>
      </c>
      <c r="D646" s="30">
        <v>0.13407398347917709</v>
      </c>
      <c r="E646" s="31">
        <f ca="1">B646-D646</f>
        <v>0</v>
      </c>
    </row>
    <row r="647" spans="1:5" x14ac:dyDescent="0.25">
      <c r="A647" s="21">
        <v>646</v>
      </c>
      <c r="B647" s="5" cm="1">
        <f t="array" aca="1" ref="B647" ca="1">interpolexp(A647,serie_du,Taxas_DI)</f>
        <v>0.13407231041655532</v>
      </c>
      <c r="C647" s="32">
        <f ca="1">((((1+B647)^(A647/252))/((1+B646)^(A646/252)))^(252/1))-1</f>
        <v>0.13299369907828296</v>
      </c>
      <c r="D647" s="30">
        <v>0.13407231041655532</v>
      </c>
      <c r="E647" s="31">
        <f ca="1">B647-D647</f>
        <v>0</v>
      </c>
    </row>
    <row r="648" spans="1:5" x14ac:dyDescent="0.25">
      <c r="A648" s="21">
        <v>647</v>
      </c>
      <c r="B648" s="5" cm="1">
        <f t="array" aca="1" ref="B648" ca="1">interpolexp(A648,serie_du,Taxas_DI)</f>
        <v>0.13407064252575207</v>
      </c>
      <c r="C648" s="32">
        <f ca="1">((((1+B648)^(A648/252))/((1+B647)^(A647/252)))^(252/1))-1</f>
        <v>0.13299369753159485</v>
      </c>
      <c r="D648" s="30">
        <v>0.13407064252575207</v>
      </c>
      <c r="E648" s="31">
        <f ca="1">B648-D648</f>
        <v>0</v>
      </c>
    </row>
    <row r="649" spans="1:5" x14ac:dyDescent="0.25">
      <c r="A649" s="21">
        <v>648</v>
      </c>
      <c r="B649" s="5" cm="1">
        <f t="array" aca="1" ref="B649" ca="1">interpolexp(A649,serie_du,Taxas_DI)</f>
        <v>0.13406897978274213</v>
      </c>
      <c r="C649" s="32">
        <f ca="1">((((1+B649)^(A649/252))/((1+B648)^(A648/252)))^(252/1))-1</f>
        <v>0.13299369593934429</v>
      </c>
      <c r="D649" s="30">
        <v>0.13406897978274213</v>
      </c>
      <c r="E649" s="31">
        <f ca="1">B649-D649</f>
        <v>0</v>
      </c>
    </row>
    <row r="650" spans="1:5" x14ac:dyDescent="0.25">
      <c r="A650" s="21">
        <v>649</v>
      </c>
      <c r="B650" s="5" cm="1">
        <f t="array" aca="1" ref="B650" ca="1">interpolexp(A650,serie_du,Taxas_DI)</f>
        <v>0.13406732216381112</v>
      </c>
      <c r="C650" s="32">
        <f ca="1">((((1+B650)^(A650/252))/((1+B649)^(A649/252)))^(252/1))-1</f>
        <v>0.1329936944070953</v>
      </c>
      <c r="D650" s="30">
        <v>0.13406732216381112</v>
      </c>
      <c r="E650" s="31">
        <f ca="1">B650-D650</f>
        <v>0</v>
      </c>
    </row>
    <row r="651" spans="1:5" x14ac:dyDescent="0.25">
      <c r="A651" s="21">
        <v>650</v>
      </c>
      <c r="B651" s="5" cm="1">
        <f t="array" aca="1" ref="B651" ca="1">interpolexp(A651,serie_du,Taxas_DI)</f>
        <v>0.13406566964524469</v>
      </c>
      <c r="C651" s="32">
        <f ca="1">((((1+B651)^(A651/252))/((1+B650)^(A650/252)))^(252/1))-1</f>
        <v>0.13299369284021068</v>
      </c>
      <c r="D651" s="30">
        <v>0.13406566964524469</v>
      </c>
      <c r="E651" s="31">
        <f ca="1">B651-D651</f>
        <v>0</v>
      </c>
    </row>
    <row r="652" spans="1:5" x14ac:dyDescent="0.25">
      <c r="A652" s="21">
        <v>651</v>
      </c>
      <c r="B652" s="5" cm="1">
        <f t="array" aca="1" ref="B652" ca="1">interpolexp(A652,serie_du,Taxas_DI)</f>
        <v>0.13406402220359492</v>
      </c>
      <c r="C652" s="32">
        <f ca="1">((((1+B652)^(A652/252))/((1+B651)^(A651/252)))^(252/1))-1</f>
        <v>0.13299369131677752</v>
      </c>
      <c r="D652" s="30">
        <v>0.13406402220359492</v>
      </c>
      <c r="E652" s="31">
        <f ca="1">B652-D652</f>
        <v>0</v>
      </c>
    </row>
    <row r="653" spans="1:5" x14ac:dyDescent="0.25">
      <c r="A653" s="21">
        <v>652</v>
      </c>
      <c r="B653" s="5" cm="1">
        <f t="array" aca="1" ref="B653" ca="1">interpolexp(A653,serie_du,Taxas_DI)</f>
        <v>0.13406237981545832</v>
      </c>
      <c r="C653" s="32">
        <f ca="1">((((1+B653)^(A653/252))/((1+B652)^(A652/252)))^(252/1))-1</f>
        <v>0.1329936897723738</v>
      </c>
      <c r="D653" s="30">
        <v>0.13406237981545832</v>
      </c>
      <c r="E653" s="31">
        <f ca="1">B653-D653</f>
        <v>0</v>
      </c>
    </row>
    <row r="654" spans="1:5" x14ac:dyDescent="0.25">
      <c r="A654" s="21">
        <v>653</v>
      </c>
      <c r="B654" s="5" cm="1">
        <f t="array" aca="1" ref="B654" ca="1">interpolexp(A654,serie_du,Taxas_DI)</f>
        <v>0.13406074245763122</v>
      </c>
      <c r="C654" s="32">
        <f ca="1">((((1+B654)^(A654/252))/((1+B653)^(A653/252)))^(252/1))-1</f>
        <v>0.13299368824354185</v>
      </c>
      <c r="D654" s="30">
        <v>0.13406074245763122</v>
      </c>
      <c r="E654" s="31">
        <f ca="1">B654-D654</f>
        <v>0</v>
      </c>
    </row>
    <row r="655" spans="1:5" x14ac:dyDescent="0.25">
      <c r="A655" s="21">
        <v>654</v>
      </c>
      <c r="B655" s="5" cm="1">
        <f t="array" aca="1" ref="B655" ca="1">interpolexp(A655,serie_du,Taxas_DI)</f>
        <v>0.13405911010704319</v>
      </c>
      <c r="C655" s="32">
        <f ca="1">((((1+B655)^(A655/252))/((1+B654)^(A654/252)))^(252/1))-1</f>
        <v>0.13299368672473011</v>
      </c>
      <c r="D655" s="30">
        <v>0.13405911010704319</v>
      </c>
      <c r="E655" s="31">
        <f ca="1">B655-D655</f>
        <v>0</v>
      </c>
    </row>
    <row r="656" spans="1:5" x14ac:dyDescent="0.25">
      <c r="A656" s="21">
        <v>655</v>
      </c>
      <c r="B656" s="5" cm="1">
        <f t="array" aca="1" ref="B656" ca="1">interpolexp(A656,serie_du,Taxas_DI)</f>
        <v>0.13405748274075702</v>
      </c>
      <c r="C656" s="32">
        <f ca="1">((((1+B656)^(A656/252))/((1+B655)^(A655/252)))^(252/1))-1</f>
        <v>0.13299368521072852</v>
      </c>
      <c r="D656" s="30">
        <v>0.13405748274075702</v>
      </c>
      <c r="E656" s="31">
        <f ca="1">B656-D656</f>
        <v>0</v>
      </c>
    </row>
    <row r="657" spans="1:5" x14ac:dyDescent="0.25">
      <c r="A657" s="21">
        <v>656</v>
      </c>
      <c r="B657" s="5" cm="1">
        <f t="array" aca="1" ref="B657" ca="1">interpolexp(A657,serie_du,Taxas_DI)</f>
        <v>0.13405309156580003</v>
      </c>
      <c r="C657" s="32">
        <f ca="1">((((1+B657)^(A657/252))/((1+B656)^(A656/252)))^(252/1))-1</f>
        <v>0.1311805218191413</v>
      </c>
      <c r="D657" s="30">
        <v>0.13405309156580003</v>
      </c>
      <c r="E657" s="31">
        <f ca="1">B657-D657</f>
        <v>0</v>
      </c>
    </row>
    <row r="658" spans="1:5" x14ac:dyDescent="0.25">
      <c r="A658" s="21">
        <v>657</v>
      </c>
      <c r="B658" s="5" cm="1">
        <f t="array" aca="1" ref="B658" ca="1">interpolexp(A658,serie_du,Taxas_DI)</f>
        <v>0.13404871375835015</v>
      </c>
      <c r="C658" s="32">
        <f ca="1">((((1+B658)^(A658/252))/((1+B657)^(A657/252)))^(252/1))-1</f>
        <v>0.13118051082921744</v>
      </c>
      <c r="D658" s="30">
        <v>0.13404871375835015</v>
      </c>
      <c r="E658" s="31">
        <f ca="1">B658-D658</f>
        <v>0</v>
      </c>
    </row>
    <row r="659" spans="1:5" x14ac:dyDescent="0.25">
      <c r="A659" s="21">
        <v>658</v>
      </c>
      <c r="B659" s="5" cm="1">
        <f t="array" aca="1" ref="B659" ca="1">interpolexp(A659,serie_du,Taxas_DI)</f>
        <v>0.13404434925752273</v>
      </c>
      <c r="C659" s="32">
        <f ca="1">((((1+B659)^(A659/252))/((1+B658)^(A658/252)))^(252/1))-1</f>
        <v>0.13118049993014091</v>
      </c>
      <c r="D659" s="30">
        <v>0.13404434925752273</v>
      </c>
      <c r="E659" s="31">
        <f ca="1">B659-D659</f>
        <v>0</v>
      </c>
    </row>
    <row r="660" spans="1:5" x14ac:dyDescent="0.25">
      <c r="A660" s="21">
        <v>659</v>
      </c>
      <c r="B660" s="5" cm="1">
        <f t="array" aca="1" ref="B660" ca="1">interpolexp(A660,serie_du,Taxas_DI)</f>
        <v>0.13403999800272182</v>
      </c>
      <c r="C660" s="32">
        <f ca="1">((((1+B660)^(A660/252))/((1+B659)^(A659/252)))^(252/1))-1</f>
        <v>0.13118048906844493</v>
      </c>
      <c r="D660" s="30">
        <v>0.13403999800272182</v>
      </c>
      <c r="E660" s="31">
        <f ca="1">B660-D660</f>
        <v>0</v>
      </c>
    </row>
    <row r="661" spans="1:5" x14ac:dyDescent="0.25">
      <c r="A661" s="21">
        <v>660</v>
      </c>
      <c r="B661" s="5" cm="1">
        <f t="array" aca="1" ref="B661" ca="1">interpolexp(A661,serie_du,Taxas_DI)</f>
        <v>0.1340356599337067</v>
      </c>
      <c r="C661" s="32">
        <f ca="1">((((1+B661)^(A661/252))/((1+B660)^(A660/252)))^(252/1))-1</f>
        <v>0.13118047823577794</v>
      </c>
      <c r="D661" s="30">
        <v>0.1340356599337067</v>
      </c>
      <c r="E661" s="31">
        <f ca="1">B661-D661</f>
        <v>0</v>
      </c>
    </row>
    <row r="662" spans="1:5" x14ac:dyDescent="0.25">
      <c r="A662" s="21">
        <v>661</v>
      </c>
      <c r="B662" s="5" cm="1">
        <f t="array" aca="1" ref="B662" ca="1">interpolexp(A662,serie_du,Taxas_DI)</f>
        <v>0.13403133499065856</v>
      </c>
      <c r="C662" s="32">
        <f ca="1">((((1+B662)^(A662/252))/((1+B661)^(A661/252)))^(252/1))-1</f>
        <v>0.13118046746977985</v>
      </c>
      <c r="D662" s="30">
        <v>0.13403133499065856</v>
      </c>
      <c r="E662" s="31">
        <f ca="1">B662-D662</f>
        <v>0</v>
      </c>
    </row>
    <row r="663" spans="1:5" x14ac:dyDescent="0.25">
      <c r="A663" s="21">
        <v>662</v>
      </c>
      <c r="B663" s="5" cm="1">
        <f t="array" aca="1" ref="B663" ca="1">interpolexp(A663,serie_du,Taxas_DI)</f>
        <v>0.13402702311411385</v>
      </c>
      <c r="C663" s="32">
        <f ca="1">((((1+B663)^(A663/252))/((1+B662)^(A662/252)))^(252/1))-1</f>
        <v>0.13118045676613166</v>
      </c>
      <c r="D663" s="30">
        <v>0.13402702311411385</v>
      </c>
      <c r="E663" s="31">
        <f ca="1">B663-D663</f>
        <v>0</v>
      </c>
    </row>
    <row r="664" spans="1:5" x14ac:dyDescent="0.25">
      <c r="A664" s="21">
        <v>663</v>
      </c>
      <c r="B664" s="5" cm="1">
        <f t="array" aca="1" ref="B664" ca="1">interpolexp(A664,serie_du,Taxas_DI)</f>
        <v>0.1340227242448977</v>
      </c>
      <c r="C664" s="32">
        <f ca="1">((((1+B664)^(A664/252))/((1+B663)^(A663/252)))^(252/1))-1</f>
        <v>0.13118044607811363</v>
      </c>
      <c r="D664" s="30">
        <v>0.1340227242448977</v>
      </c>
      <c r="E664" s="31">
        <f ca="1">B664-D664</f>
        <v>0</v>
      </c>
    </row>
    <row r="665" spans="1:5" x14ac:dyDescent="0.25">
      <c r="A665" s="21">
        <v>664</v>
      </c>
      <c r="B665" s="5" cm="1">
        <f t="array" aca="1" ref="B665" ca="1">interpolexp(A665,serie_du,Taxas_DI)</f>
        <v>0.13401843832427929</v>
      </c>
      <c r="C665" s="32">
        <f ca="1">((((1+B665)^(A665/252))/((1+B664)^(A664/252)))^(252/1))-1</f>
        <v>0.13118043546330704</v>
      </c>
      <c r="D665" s="30">
        <v>0.13401843832427929</v>
      </c>
      <c r="E665" s="31">
        <f ca="1">B665-D665</f>
        <v>0</v>
      </c>
    </row>
    <row r="666" spans="1:5" x14ac:dyDescent="0.25">
      <c r="A666" s="21">
        <v>665</v>
      </c>
      <c r="B666" s="5" cm="1">
        <f t="array" aca="1" ref="B666" ca="1">interpolexp(A666,serie_du,Taxas_DI)</f>
        <v>0.13401416529383869</v>
      </c>
      <c r="C666" s="32">
        <f ca="1">((((1+B666)^(A666/252))/((1+B665)^(A665/252)))^(252/1))-1</f>
        <v>0.13118042489359394</v>
      </c>
      <c r="D666" s="30">
        <v>0.13401416529383869</v>
      </c>
      <c r="E666" s="31">
        <f ca="1">B666-D666</f>
        <v>0</v>
      </c>
    </row>
    <row r="667" spans="1:5" x14ac:dyDescent="0.25">
      <c r="A667" s="21">
        <v>666</v>
      </c>
      <c r="B667" s="5" cm="1">
        <f t="array" aca="1" ref="B667" ca="1">interpolexp(A667,serie_du,Taxas_DI)</f>
        <v>0.13400990509548905</v>
      </c>
      <c r="C667" s="32">
        <f ca="1">((((1+B667)^(A667/252))/((1+B666)^(A666/252)))^(252/1))-1</f>
        <v>0.13118041435664352</v>
      </c>
      <c r="D667" s="30">
        <v>0.13400990509548905</v>
      </c>
      <c r="E667" s="31">
        <f ca="1">B667-D667</f>
        <v>0</v>
      </c>
    </row>
    <row r="668" spans="1:5" x14ac:dyDescent="0.25">
      <c r="A668" s="21">
        <v>667</v>
      </c>
      <c r="B668" s="5" cm="1">
        <f t="array" aca="1" ref="B668" ca="1">interpolexp(A668,serie_du,Taxas_DI)</f>
        <v>0.13400565767152095</v>
      </c>
      <c r="C668" s="32">
        <f ca="1">((((1+B668)^(A668/252))/((1+B667)^(A667/252)))^(252/1))-1</f>
        <v>0.13118040387161312</v>
      </c>
      <c r="D668" s="30">
        <v>0.13400565767152095</v>
      </c>
      <c r="E668" s="31">
        <f ca="1">B668-D668</f>
        <v>0</v>
      </c>
    </row>
    <row r="669" spans="1:5" x14ac:dyDescent="0.25">
      <c r="A669" s="21">
        <v>668</v>
      </c>
      <c r="B669" s="5" cm="1">
        <f t="array" aca="1" ref="B669" ca="1">interpolexp(A669,serie_du,Taxas_DI)</f>
        <v>0.13400142296458029</v>
      </c>
      <c r="C669" s="32">
        <f ca="1">((((1+B669)^(A669/252))/((1+B668)^(A668/252)))^(252/1))-1</f>
        <v>0.13118039344468913</v>
      </c>
      <c r="D669" s="30">
        <v>0.13400142296458029</v>
      </c>
      <c r="E669" s="31">
        <f ca="1">B669-D669</f>
        <v>0</v>
      </c>
    </row>
    <row r="670" spans="1:5" x14ac:dyDescent="0.25">
      <c r="A670" s="21">
        <v>669</v>
      </c>
      <c r="B670" s="5" cm="1">
        <f t="array" aca="1" ref="B670" ca="1">interpolexp(A670,serie_du,Taxas_DI)</f>
        <v>0.13399720091762379</v>
      </c>
      <c r="C670" s="32">
        <f ca="1">((((1+B670)^(A670/252))/((1+B669)^(A669/252)))^(252/1))-1</f>
        <v>0.13118038305412205</v>
      </c>
      <c r="D670" s="30">
        <v>0.13399720091762379</v>
      </c>
      <c r="E670" s="31">
        <f ca="1">B670-D670</f>
        <v>0</v>
      </c>
    </row>
    <row r="671" spans="1:5" x14ac:dyDescent="0.25">
      <c r="A671" s="21">
        <v>670</v>
      </c>
      <c r="B671" s="5" cm="1">
        <f t="array" aca="1" ref="B671" ca="1">interpolexp(A671,serie_du,Taxas_DI)</f>
        <v>0.13399299147398569</v>
      </c>
      <c r="C671" s="32">
        <f ca="1">((((1+B671)^(A671/252))/((1+B670)^(A670/252)))^(252/1))-1</f>
        <v>0.13118037272446403</v>
      </c>
      <c r="D671" s="30">
        <v>0.13399299147398569</v>
      </c>
      <c r="E671" s="31">
        <f ca="1">B671-D671</f>
        <v>0</v>
      </c>
    </row>
    <row r="672" spans="1:5" x14ac:dyDescent="0.25">
      <c r="A672" s="21">
        <v>671</v>
      </c>
      <c r="B672" s="5" cm="1">
        <f t="array" aca="1" ref="B672" ca="1">interpolexp(A672,serie_du,Taxas_DI)</f>
        <v>0.13398879457728885</v>
      </c>
      <c r="C672" s="32">
        <f ca="1">((((1+B672)^(A672/252))/((1+B671)^(A671/252)))^(252/1))-1</f>
        <v>0.1311803624224146</v>
      </c>
      <c r="D672" s="30">
        <v>0.13398879457728885</v>
      </c>
      <c r="E672" s="31">
        <f ca="1">B672-D672</f>
        <v>0</v>
      </c>
    </row>
    <row r="673" spans="1:5" x14ac:dyDescent="0.25">
      <c r="A673" s="21">
        <v>672</v>
      </c>
      <c r="B673" s="5" cm="1">
        <f t="array" aca="1" ref="B673" ca="1">interpolexp(A673,serie_du,Taxas_DI)</f>
        <v>0.13398461017153362</v>
      </c>
      <c r="C673" s="32">
        <f ca="1">((((1+B673)^(A673/252))/((1+B672)^(A672/252)))^(252/1))-1</f>
        <v>0.13118035217570601</v>
      </c>
      <c r="D673" s="30">
        <v>0.13398461017153362</v>
      </c>
      <c r="E673" s="31">
        <f ca="1">B673-D673</f>
        <v>0</v>
      </c>
    </row>
    <row r="674" spans="1:5" x14ac:dyDescent="0.25">
      <c r="A674" s="21">
        <v>673</v>
      </c>
      <c r="B674" s="5" cm="1">
        <f t="array" aca="1" ref="B674" ca="1">interpolexp(A674,serie_du,Taxas_DI)</f>
        <v>0.13398043820103123</v>
      </c>
      <c r="C674" s="32">
        <f ca="1">((((1+B674)^(A674/252))/((1+B673)^(A673/252)))^(252/1))-1</f>
        <v>0.13118034196955408</v>
      </c>
      <c r="D674" s="30">
        <v>0.13398043820103123</v>
      </c>
      <c r="E674" s="31">
        <f ca="1">B674-D674</f>
        <v>0</v>
      </c>
    </row>
    <row r="675" spans="1:5" x14ac:dyDescent="0.25">
      <c r="A675" s="21">
        <v>674</v>
      </c>
      <c r="B675" s="5" cm="1">
        <f t="array" aca="1" ref="B675" ca="1">interpolexp(A675,serie_du,Taxas_DI)</f>
        <v>0.13397627861044814</v>
      </c>
      <c r="C675" s="32">
        <f ca="1">((((1+B675)^(A675/252))/((1+B674)^(A674/252)))^(252/1))-1</f>
        <v>0.13118033182009392</v>
      </c>
      <c r="D675" s="30">
        <v>0.13397627861044814</v>
      </c>
      <c r="E675" s="31">
        <f ca="1">B675-D675</f>
        <v>0</v>
      </c>
    </row>
    <row r="676" spans="1:5" x14ac:dyDescent="0.25">
      <c r="A676" s="21">
        <v>675</v>
      </c>
      <c r="B676" s="5" cm="1">
        <f t="array" aca="1" ref="B676" ca="1">interpolexp(A676,serie_du,Taxas_DI)</f>
        <v>0.1339721313447173</v>
      </c>
      <c r="C676" s="32">
        <f ca="1">((((1+B676)^(A676/252))/((1+B675)^(A675/252)))^(252/1))-1</f>
        <v>0.13118032168589289</v>
      </c>
      <c r="D676" s="30">
        <v>0.1339721313447173</v>
      </c>
      <c r="E676" s="31">
        <f ca="1">B676-D676</f>
        <v>0</v>
      </c>
    </row>
    <row r="677" spans="1:5" x14ac:dyDescent="0.25">
      <c r="A677" s="21">
        <v>676</v>
      </c>
      <c r="B677" s="5" cm="1">
        <f t="array" aca="1" ref="B677" ca="1">interpolexp(A677,serie_du,Taxas_DI)</f>
        <v>0.13396799634921575</v>
      </c>
      <c r="C677" s="32">
        <f ca="1">((((1+B677)^(A677/252))/((1+B676)^(A676/252)))^(252/1))-1</f>
        <v>0.13118031164618116</v>
      </c>
      <c r="D677" s="30">
        <v>0.13396799634921575</v>
      </c>
      <c r="E677" s="31">
        <f ca="1">B677-D677</f>
        <v>0</v>
      </c>
    </row>
    <row r="678" spans="1:5" x14ac:dyDescent="0.25">
      <c r="A678" s="21">
        <v>677</v>
      </c>
      <c r="B678" s="5" cm="1">
        <f t="array" aca="1" ref="B678" ca="1">interpolexp(A678,serie_du,Taxas_DI)</f>
        <v>0.13396387356949813</v>
      </c>
      <c r="C678" s="32">
        <f ca="1">((((1+B678)^(A678/252))/((1+B677)^(A677/252)))^(252/1))-1</f>
        <v>0.13118030160300886</v>
      </c>
      <c r="D678" s="30">
        <v>0.13396387356949813</v>
      </c>
      <c r="E678" s="31">
        <f ca="1">B678-D678</f>
        <v>0</v>
      </c>
    </row>
    <row r="679" spans="1:5" x14ac:dyDescent="0.25">
      <c r="A679" s="21">
        <v>678</v>
      </c>
      <c r="B679" s="5" cm="1">
        <f t="array" aca="1" ref="B679" ca="1">interpolexp(A679,serie_du,Taxas_DI)</f>
        <v>0.1339597629515632</v>
      </c>
      <c r="C679" s="32">
        <f ca="1">((((1+B679)^(A679/252))/((1+B678)^(A678/252)))^(252/1))-1</f>
        <v>0.13118029163891531</v>
      </c>
      <c r="D679" s="30">
        <v>0.1339597629515632</v>
      </c>
      <c r="E679" s="31">
        <f ca="1">B679-D679</f>
        <v>0</v>
      </c>
    </row>
    <row r="680" spans="1:5" x14ac:dyDescent="0.25">
      <c r="A680" s="21">
        <v>679</v>
      </c>
      <c r="B680" s="5" cm="1">
        <f t="array" aca="1" ref="B680" ca="1">interpolexp(A680,serie_du,Taxas_DI)</f>
        <v>0.13395566444163176</v>
      </c>
      <c r="C680" s="32">
        <f ca="1">((((1+B680)^(A680/252))/((1+B679)^(A679/252)))^(252/1))-1</f>
        <v>0.13118028168867113</v>
      </c>
      <c r="D680" s="30">
        <v>0.13395566444163176</v>
      </c>
      <c r="E680" s="31">
        <f ca="1">B680-D680</f>
        <v>0</v>
      </c>
    </row>
    <row r="681" spans="1:5" x14ac:dyDescent="0.25">
      <c r="A681" s="21">
        <v>680</v>
      </c>
      <c r="B681" s="5" cm="1">
        <f t="array" aca="1" ref="B681" ca="1">interpolexp(A681,serie_du,Taxas_DI)</f>
        <v>0.13395157798634649</v>
      </c>
      <c r="C681" s="32">
        <f ca="1">((((1+B681)^(A681/252))/((1+B680)^(A680/252)))^(252/1))-1</f>
        <v>0.13118027182369074</v>
      </c>
      <c r="D681" s="30">
        <v>0.13395157798634649</v>
      </c>
      <c r="E681" s="31">
        <f ca="1">B681-D681</f>
        <v>0</v>
      </c>
    </row>
    <row r="682" spans="1:5" x14ac:dyDescent="0.25">
      <c r="A682" s="21">
        <v>681</v>
      </c>
      <c r="B682" s="5" cm="1">
        <f t="array" aca="1" ref="B682" ca="1">interpolexp(A682,serie_du,Taxas_DI)</f>
        <v>0.13394750353252771</v>
      </c>
      <c r="C682" s="32">
        <f ca="1">((((1+B682)^(A682/252))/((1+B681)^(A681/252)))^(252/1))-1</f>
        <v>0.13118026195141863</v>
      </c>
      <c r="D682" s="30">
        <v>0.13394750353252771</v>
      </c>
      <c r="E682" s="31">
        <f ca="1">B682-D682</f>
        <v>0</v>
      </c>
    </row>
    <row r="683" spans="1:5" x14ac:dyDescent="0.25">
      <c r="A683" s="21">
        <v>682</v>
      </c>
      <c r="B683" s="5" cm="1">
        <f t="array" aca="1" ref="B683" ca="1">interpolexp(A683,serie_du,Taxas_DI)</f>
        <v>0.13394344102741762</v>
      </c>
      <c r="C683" s="32">
        <f ca="1">((((1+B683)^(A683/252))/((1+B682)^(A682/252)))^(252/1))-1</f>
        <v>0.13118025214635476</v>
      </c>
      <c r="D683" s="30">
        <v>0.13394344102741762</v>
      </c>
      <c r="E683" s="31">
        <f ca="1">B683-D683</f>
        <v>0</v>
      </c>
    </row>
    <row r="684" spans="1:5" x14ac:dyDescent="0.25">
      <c r="A684" s="21">
        <v>683</v>
      </c>
      <c r="B684" s="5" cm="1">
        <f t="array" aca="1" ref="B684" ca="1">interpolexp(A684,serie_du,Taxas_DI)</f>
        <v>0.13393939041856928</v>
      </c>
      <c r="C684" s="32">
        <f ca="1">((((1+B684)^(A684/252))/((1+B683)^(A683/252)))^(252/1))-1</f>
        <v>0.13118024240961534</v>
      </c>
      <c r="D684" s="30">
        <v>0.13393939041856928</v>
      </c>
      <c r="E684" s="31">
        <f ca="1">B684-D684</f>
        <v>0</v>
      </c>
    </row>
    <row r="685" spans="1:5" x14ac:dyDescent="0.25">
      <c r="A685" s="21">
        <v>684</v>
      </c>
      <c r="B685" s="5" cm="1">
        <f t="array" aca="1" ref="B685" ca="1">interpolexp(A685,serie_du,Taxas_DI)</f>
        <v>0.1339353516537356</v>
      </c>
      <c r="C685" s="32">
        <f ca="1">((((1+B685)^(A685/252))/((1+B684)^(A684/252)))^(252/1))-1</f>
        <v>0.13118023266797829</v>
      </c>
      <c r="D685" s="30">
        <v>0.1339353516537356</v>
      </c>
      <c r="E685" s="31">
        <f ca="1">B685-D685</f>
        <v>0</v>
      </c>
    </row>
    <row r="686" spans="1:5" x14ac:dyDescent="0.25">
      <c r="A686" s="21">
        <v>685</v>
      </c>
      <c r="B686" s="5" cm="1">
        <f t="array" aca="1" ref="B686" ca="1">interpolexp(A686,serie_du,Taxas_DI)</f>
        <v>0.13393132468109137</v>
      </c>
      <c r="C686" s="32">
        <f ca="1">((((1+B686)^(A686/252))/((1+B685)^(A685/252)))^(252/1))-1</f>
        <v>0.13118022300108101</v>
      </c>
      <c r="D686" s="30">
        <v>0.13393132468109137</v>
      </c>
      <c r="E686" s="31">
        <f ca="1">B686-D686</f>
        <v>0</v>
      </c>
    </row>
    <row r="687" spans="1:5" x14ac:dyDescent="0.25">
      <c r="A687" s="21">
        <v>686</v>
      </c>
      <c r="B687" s="5" cm="1">
        <f t="array" aca="1" ref="B687" ca="1">interpolexp(A687,serie_du,Taxas_DI)</f>
        <v>0.13392730944905562</v>
      </c>
      <c r="C687" s="32">
        <f ca="1">((((1+B687)^(A687/252))/((1+B686)^(A686/252)))^(252/1))-1</f>
        <v>0.13118021336887198</v>
      </c>
      <c r="D687" s="30">
        <v>0.13392730944905562</v>
      </c>
      <c r="E687" s="31">
        <f ca="1">B687-D687</f>
        <v>0</v>
      </c>
    </row>
    <row r="688" spans="1:5" x14ac:dyDescent="0.25">
      <c r="A688" s="21">
        <v>687</v>
      </c>
      <c r="B688" s="5" cm="1">
        <f t="array" aca="1" ref="B688" ca="1">interpolexp(A688,serie_du,Taxas_DI)</f>
        <v>0.13392330590635826</v>
      </c>
      <c r="C688" s="32">
        <f ca="1">((((1+B688)^(A688/252))/((1+B687)^(A687/252)))^(252/1))-1</f>
        <v>0.13118020377848438</v>
      </c>
      <c r="D688" s="30">
        <v>0.13392330590635826</v>
      </c>
      <c r="E688" s="31">
        <f ca="1">B688-D688</f>
        <v>0</v>
      </c>
    </row>
    <row r="689" spans="1:5" x14ac:dyDescent="0.25">
      <c r="A689" s="21">
        <v>688</v>
      </c>
      <c r="B689" s="5" cm="1">
        <f t="array" aca="1" ref="B689" ca="1">interpolexp(A689,serie_du,Taxas_DI)</f>
        <v>0.13391931400201784</v>
      </c>
      <c r="C689" s="32">
        <f ca="1">((((1+B689)^(A689/252))/((1+B688)^(A688/252)))^(252/1))-1</f>
        <v>0.13118019422306393</v>
      </c>
      <c r="D689" s="30">
        <v>0.13391931400201784</v>
      </c>
      <c r="E689" s="31">
        <f ca="1">B689-D689</f>
        <v>0</v>
      </c>
    </row>
    <row r="690" spans="1:5" x14ac:dyDescent="0.25">
      <c r="A690" s="21">
        <v>689</v>
      </c>
      <c r="B690" s="5" cm="1">
        <f t="array" aca="1" ref="B690" ca="1">interpolexp(A690,serie_du,Taxas_DI)</f>
        <v>0.13391533368536379</v>
      </c>
      <c r="C690" s="32">
        <f ca="1">((((1+B690)^(A690/252))/((1+B689)^(A689/252)))^(252/1))-1</f>
        <v>0.13118018471278359</v>
      </c>
      <c r="D690" s="30">
        <v>0.13391533368536379</v>
      </c>
      <c r="E690" s="31">
        <f ca="1">B690-D690</f>
        <v>0</v>
      </c>
    </row>
    <row r="691" spans="1:5" x14ac:dyDescent="0.25">
      <c r="A691" s="21">
        <v>690</v>
      </c>
      <c r="B691" s="5" cm="1">
        <f t="array" aca="1" ref="B691" ca="1">interpolexp(A691,serie_du,Taxas_DI)</f>
        <v>0.13391136490603639</v>
      </c>
      <c r="C691" s="32">
        <f ca="1">((((1+B691)^(A691/252))/((1+B690)^(A690/252)))^(252/1))-1</f>
        <v>0.13118017525897319</v>
      </c>
      <c r="D691" s="30">
        <v>0.13391136490603639</v>
      </c>
      <c r="E691" s="31">
        <f ca="1">B691-D691</f>
        <v>0</v>
      </c>
    </row>
    <row r="692" spans="1:5" x14ac:dyDescent="0.25">
      <c r="A692" s="21">
        <v>691</v>
      </c>
      <c r="B692" s="5" cm="1">
        <f t="array" aca="1" ref="B692" ca="1">interpolexp(A692,serie_du,Taxas_DI)</f>
        <v>0.13390740761392017</v>
      </c>
      <c r="C692" s="32">
        <f ca="1">((((1+B692)^(A692/252))/((1+B691)^(A691/252)))^(252/1))-1</f>
        <v>0.13118016582896197</v>
      </c>
      <c r="D692" s="30">
        <v>0.13390740761392017</v>
      </c>
      <c r="E692" s="31">
        <f ca="1">B692-D692</f>
        <v>0</v>
      </c>
    </row>
    <row r="693" spans="1:5" x14ac:dyDescent="0.25">
      <c r="A693" s="21">
        <v>692</v>
      </c>
      <c r="B693" s="5" cm="1">
        <f t="array" aca="1" ref="B693" ca="1">interpolexp(A693,serie_du,Taxas_DI)</f>
        <v>0.13390346175918832</v>
      </c>
      <c r="C693" s="32">
        <f ca="1">((((1+B693)^(A693/252))/((1+B692)^(A692/252)))^(252/1))-1</f>
        <v>0.13118015642169589</v>
      </c>
      <c r="D693" s="30">
        <v>0.13390346175918832</v>
      </c>
      <c r="E693" s="31">
        <f ca="1">B693-D693</f>
        <v>0</v>
      </c>
    </row>
    <row r="694" spans="1:5" x14ac:dyDescent="0.25">
      <c r="A694" s="21">
        <v>693</v>
      </c>
      <c r="B694" s="5" cm="1">
        <f t="array" aca="1" ref="B694" ca="1">interpolexp(A694,serie_du,Taxas_DI)</f>
        <v>0.13389952729239152</v>
      </c>
      <c r="C694" s="32">
        <f ca="1">((((1+B694)^(A694/252))/((1+B693)^(A693/252)))^(252/1))-1</f>
        <v>0.13118014709917469</v>
      </c>
      <c r="D694" s="30">
        <v>0.13389952729239152</v>
      </c>
      <c r="E694" s="31">
        <f ca="1">B694-D694</f>
        <v>0</v>
      </c>
    </row>
    <row r="695" spans="1:5" x14ac:dyDescent="0.25">
      <c r="A695" s="21">
        <v>694</v>
      </c>
      <c r="B695" s="5" cm="1">
        <f t="array" aca="1" ref="B695" ca="1">interpolexp(A695,serie_du,Taxas_DI)</f>
        <v>0.13389560416425805</v>
      </c>
      <c r="C695" s="32">
        <f ca="1">((((1+B695)^(A695/252))/((1+B694)^(A694/252)))^(252/1))-1</f>
        <v>0.13118013778669524</v>
      </c>
      <c r="D695" s="30">
        <v>0.13389560416425805</v>
      </c>
      <c r="E695" s="31">
        <f ca="1">B695-D695</f>
        <v>0</v>
      </c>
    </row>
    <row r="696" spans="1:5" x14ac:dyDescent="0.25">
      <c r="A696" s="21">
        <v>695</v>
      </c>
      <c r="B696" s="5" cm="1">
        <f t="array" aca="1" ref="B696" ca="1">interpolexp(A696,serie_du,Taxas_DI)</f>
        <v>0.1338916923258715</v>
      </c>
      <c r="C696" s="32">
        <f ca="1">((((1+B696)^(A696/252))/((1+B695)^(A695/252)))^(252/1))-1</f>
        <v>0.13118012853388006</v>
      </c>
      <c r="D696" s="30">
        <v>0.1338916923258715</v>
      </c>
      <c r="E696" s="31">
        <f ca="1">B696-D696</f>
        <v>0</v>
      </c>
    </row>
    <row r="697" spans="1:5" x14ac:dyDescent="0.25">
      <c r="A697" s="21">
        <v>696</v>
      </c>
      <c r="B697" s="5" cm="1">
        <f t="array" aca="1" ref="B697" ca="1">interpolexp(A697,serie_du,Taxas_DI)</f>
        <v>0.13388779172851528</v>
      </c>
      <c r="C697" s="32">
        <f ca="1">((((1+B697)^(A697/252))/((1+B696)^(A696/252)))^(252/1))-1</f>
        <v>0.13118011928392947</v>
      </c>
      <c r="D697" s="30">
        <v>0.13388779172851528</v>
      </c>
      <c r="E697" s="31">
        <f ca="1">B697-D697</f>
        <v>0</v>
      </c>
    </row>
    <row r="698" spans="1:5" x14ac:dyDescent="0.25">
      <c r="A698" s="21">
        <v>697</v>
      </c>
      <c r="B698" s="5" cm="1">
        <f t="array" aca="1" ref="B698" ca="1">interpolexp(A698,serie_du,Taxas_DI)</f>
        <v>0.13388390232387248</v>
      </c>
      <c r="C698" s="32">
        <f ca="1">((((1+B698)^(A698/252))/((1+B697)^(A697/252)))^(252/1))-1</f>
        <v>0.13118011012017261</v>
      </c>
      <c r="D698" s="30">
        <v>0.13388390232387248</v>
      </c>
      <c r="E698" s="31">
        <f ca="1">B698-D698</f>
        <v>0</v>
      </c>
    </row>
    <row r="699" spans="1:5" x14ac:dyDescent="0.25">
      <c r="A699" s="21">
        <v>698</v>
      </c>
      <c r="B699" s="5" cm="1">
        <f t="array" aca="1" ref="B699" ca="1">interpolexp(A699,serie_du,Taxas_DI)</f>
        <v>0.13388002406380384</v>
      </c>
      <c r="C699" s="32">
        <f ca="1">((((1+B699)^(A699/252))/((1+B698)^(A698/252)))^(252/1))-1</f>
        <v>0.13118010097335131</v>
      </c>
      <c r="D699" s="30">
        <v>0.13388002406380384</v>
      </c>
      <c r="E699" s="31">
        <f ca="1">B699-D699</f>
        <v>0</v>
      </c>
    </row>
    <row r="700" spans="1:5" x14ac:dyDescent="0.25">
      <c r="A700" s="21">
        <v>699</v>
      </c>
      <c r="B700" s="5" cm="1">
        <f t="array" aca="1" ref="B700" ca="1">interpolexp(A700,serie_du,Taxas_DI)</f>
        <v>0.13387615690045873</v>
      </c>
      <c r="C700" s="32">
        <f ca="1">((((1+B700)^(A700/252))/((1+B699)^(A699/252)))^(252/1))-1</f>
        <v>0.13118009185219237</v>
      </c>
      <c r="D700" s="30">
        <v>0.13387615690045873</v>
      </c>
      <c r="E700" s="31">
        <f ca="1">B700-D700</f>
        <v>0</v>
      </c>
    </row>
    <row r="701" spans="1:5" x14ac:dyDescent="0.25">
      <c r="A701" s="21">
        <v>700</v>
      </c>
      <c r="B701" s="5" cm="1">
        <f t="array" aca="1" ref="B701" ca="1">interpolexp(A701,serie_du,Taxas_DI)</f>
        <v>0.13387230078634182</v>
      </c>
      <c r="C701" s="32">
        <f ca="1">((((1+B701)^(A701/252))/((1+B700)^(A700/252)))^(252/1))-1</f>
        <v>0.13118008281390758</v>
      </c>
      <c r="D701" s="30">
        <v>0.13387230078634182</v>
      </c>
      <c r="E701" s="31">
        <f ca="1">B701-D701</f>
        <v>0</v>
      </c>
    </row>
    <row r="702" spans="1:5" x14ac:dyDescent="0.25">
      <c r="A702" s="21">
        <v>701</v>
      </c>
      <c r="B702" s="5" cm="1">
        <f t="array" aca="1" ref="B702" ca="1">interpolexp(A702,serie_du,Taxas_DI)</f>
        <v>0.133868455674091</v>
      </c>
      <c r="C702" s="32">
        <f ca="1">((((1+B702)^(A702/252))/((1+B701)^(A701/252)))^(252/1))-1</f>
        <v>0.13118007376163643</v>
      </c>
      <c r="D702" s="30">
        <v>0.133868455674091</v>
      </c>
      <c r="E702" s="31">
        <f ca="1">B702-D702</f>
        <v>0</v>
      </c>
    </row>
    <row r="703" spans="1:5" x14ac:dyDescent="0.25">
      <c r="A703" s="21">
        <v>702</v>
      </c>
      <c r="B703" s="5" cm="1">
        <f t="array" aca="1" ref="B703" ca="1">interpolexp(A703,serie_du,Taxas_DI)</f>
        <v>0.13386462151674383</v>
      </c>
      <c r="C703" s="32">
        <f ca="1">((((1+B703)^(A703/252))/((1+B702)^(A702/252)))^(252/1))-1</f>
        <v>0.13118006478637079</v>
      </c>
      <c r="D703" s="30">
        <v>0.13386462151674383</v>
      </c>
      <c r="E703" s="31">
        <f ca="1">B703-D703</f>
        <v>0</v>
      </c>
    </row>
    <row r="704" spans="1:5" x14ac:dyDescent="0.25">
      <c r="A704" s="21">
        <v>703</v>
      </c>
      <c r="B704" s="5" cm="1">
        <f t="array" aca="1" ref="B704" ca="1">interpolexp(A704,serie_du,Taxas_DI)</f>
        <v>0.13386079826749331</v>
      </c>
      <c r="C704" s="32">
        <f ca="1">((((1+B704)^(A704/252))/((1+B703)^(A703/252)))^(252/1))-1</f>
        <v>0.13118005580918912</v>
      </c>
      <c r="D704" s="30">
        <v>0.13386079826749331</v>
      </c>
      <c r="E704" s="31">
        <f ca="1">B704-D704</f>
        <v>0</v>
      </c>
    </row>
    <row r="705" spans="1:5" x14ac:dyDescent="0.25">
      <c r="A705" s="21">
        <v>704</v>
      </c>
      <c r="B705" s="5" cm="1">
        <f t="array" aca="1" ref="B705" ca="1">interpolexp(A705,serie_du,Taxas_DI)</f>
        <v>0.13385698587993211</v>
      </c>
      <c r="C705" s="32">
        <f ca="1">((((1+B705)^(A705/252))/((1+B704)^(A704/252)))^(252/1))-1</f>
        <v>0.13118004692408891</v>
      </c>
      <c r="D705" s="30">
        <v>0.13385698587993211</v>
      </c>
      <c r="E705" s="31">
        <f ca="1">B705-D705</f>
        <v>0</v>
      </c>
    </row>
    <row r="706" spans="1:5" x14ac:dyDescent="0.25">
      <c r="A706" s="21">
        <v>705</v>
      </c>
      <c r="B706" s="5" cm="1">
        <f t="array" aca="1" ref="B706" ca="1">interpolexp(A706,serie_du,Taxas_DI)</f>
        <v>0.13385318430778614</v>
      </c>
      <c r="C706" s="32">
        <f ca="1">((((1+B706)^(A706/252))/((1+B705)^(A705/252)))^(252/1))-1</f>
        <v>0.1311800380390773</v>
      </c>
      <c r="D706" s="30">
        <v>0.13385318430778614</v>
      </c>
      <c r="E706" s="31">
        <f ca="1">B706-D706</f>
        <v>0</v>
      </c>
    </row>
    <row r="707" spans="1:5" x14ac:dyDescent="0.25">
      <c r="A707" s="21">
        <v>706</v>
      </c>
      <c r="B707" s="5" cm="1">
        <f t="array" aca="1" ref="B707" ca="1">interpolexp(A707,serie_du,Taxas_DI)</f>
        <v>0.13384939350509217</v>
      </c>
      <c r="C707" s="32">
        <f ca="1">((((1+B707)^(A707/252))/((1+B706)^(A706/252)))^(252/1))-1</f>
        <v>0.13118002918846572</v>
      </c>
      <c r="D707" s="30">
        <v>0.13384939350509217</v>
      </c>
      <c r="E707" s="31">
        <f ca="1">B707-D707</f>
        <v>0</v>
      </c>
    </row>
    <row r="708" spans="1:5" x14ac:dyDescent="0.25">
      <c r="A708" s="21">
        <v>707</v>
      </c>
      <c r="B708" s="5" cm="1">
        <f t="array" aca="1" ref="B708" ca="1">interpolexp(A708,serie_du,Taxas_DI)</f>
        <v>0.13384561342619783</v>
      </c>
      <c r="C708" s="32">
        <f ca="1">((((1+B708)^(A708/252))/((1+B707)^(A707/252)))^(252/1))-1</f>
        <v>0.1311800204077187</v>
      </c>
      <c r="D708" s="30">
        <v>0.13384561342619783</v>
      </c>
      <c r="E708" s="31">
        <f ca="1">B708-D708</f>
        <v>0</v>
      </c>
    </row>
    <row r="709" spans="1:5" x14ac:dyDescent="0.25">
      <c r="A709" s="21">
        <v>708</v>
      </c>
      <c r="B709" s="5" cm="1">
        <f t="array" aca="1" ref="B709" ca="1">interpolexp(A709,serie_du,Taxas_DI)</f>
        <v>0.13384184402562838</v>
      </c>
      <c r="C709" s="32">
        <f ca="1">((((1+B709)^(A709/252))/((1+B708)^(A708/252)))^(252/1))-1</f>
        <v>0.1311800116400057</v>
      </c>
      <c r="D709" s="30">
        <v>0.13384184402562838</v>
      </c>
      <c r="E709" s="31">
        <f ca="1">B709-D709</f>
        <v>0</v>
      </c>
    </row>
    <row r="710" spans="1:5" x14ac:dyDescent="0.25">
      <c r="A710" s="21">
        <v>709</v>
      </c>
      <c r="B710" s="5" cm="1">
        <f t="array" aca="1" ref="B710" ca="1">interpolexp(A710,serie_du,Taxas_DI)</f>
        <v>0.13383808525819774</v>
      </c>
      <c r="C710" s="32">
        <f ca="1">((((1+B710)^(A710/252))/((1+B709)^(A709/252)))^(252/1))-1</f>
        <v>0.13118000290774523</v>
      </c>
      <c r="D710" s="30">
        <v>0.13383808525819774</v>
      </c>
      <c r="E710" s="31">
        <f ca="1">B710-D710</f>
        <v>0</v>
      </c>
    </row>
    <row r="711" spans="1:5" x14ac:dyDescent="0.25">
      <c r="A711" s="21">
        <v>710</v>
      </c>
      <c r="B711" s="5" cm="1">
        <f t="array" aca="1" ref="B711" ca="1">interpolexp(A711,serie_du,Taxas_DI)</f>
        <v>0.13383433707898629</v>
      </c>
      <c r="C711" s="32">
        <f ca="1">((((1+B711)^(A711/252))/((1+B710)^(A710/252)))^(252/1))-1</f>
        <v>0.13117999421932414</v>
      </c>
      <c r="D711" s="30">
        <v>0.13383433707898629</v>
      </c>
      <c r="E711" s="31">
        <f ca="1">B711-D711</f>
        <v>0</v>
      </c>
    </row>
    <row r="712" spans="1:5" x14ac:dyDescent="0.25">
      <c r="A712" s="21">
        <v>711</v>
      </c>
      <c r="B712" s="5" cm="1">
        <f t="array" aca="1" ref="B712" ca="1">interpolexp(A712,serie_du,Taxas_DI)</f>
        <v>0.13383059944329645</v>
      </c>
      <c r="C712" s="32">
        <f ca="1">((((1+B712)^(A712/252))/((1+B711)^(A711/252)))^(252/1))-1</f>
        <v>0.13117998555253174</v>
      </c>
      <c r="D712" s="30">
        <v>0.13383059944329645</v>
      </c>
      <c r="E712" s="31">
        <f ca="1">B712-D712</f>
        <v>0</v>
      </c>
    </row>
    <row r="713" spans="1:5" x14ac:dyDescent="0.25">
      <c r="A713" s="21">
        <v>712</v>
      </c>
      <c r="B713" s="5" cm="1">
        <f t="array" aca="1" ref="B713" ca="1">interpolexp(A713,serie_du,Taxas_DI)</f>
        <v>0.13382687230674151</v>
      </c>
      <c r="C713" s="32">
        <f ca="1">((((1+B713)^(A713/252))/((1+B712)^(A712/252)))^(252/1))-1</f>
        <v>0.13117997694969064</v>
      </c>
      <c r="D713" s="30">
        <v>0.13382687230674151</v>
      </c>
      <c r="E713" s="31">
        <f ca="1">B713-D713</f>
        <v>0</v>
      </c>
    </row>
    <row r="714" spans="1:5" x14ac:dyDescent="0.25">
      <c r="A714" s="21">
        <v>713</v>
      </c>
      <c r="B714" s="5" cm="1">
        <f t="array" aca="1" ref="B714" ca="1">interpolexp(A714,serie_du,Taxas_DI)</f>
        <v>0.13382315562513458</v>
      </c>
      <c r="C714" s="32">
        <f ca="1">((((1+B714)^(A714/252))/((1+B713)^(A713/252)))^(252/1))-1</f>
        <v>0.13117996837571022</v>
      </c>
      <c r="D714" s="30">
        <v>0.13382315562513458</v>
      </c>
      <c r="E714" s="31">
        <f ca="1">B714-D714</f>
        <v>0</v>
      </c>
    </row>
    <row r="715" spans="1:5" x14ac:dyDescent="0.25">
      <c r="A715" s="21">
        <v>714</v>
      </c>
      <c r="B715" s="5" cm="1">
        <f t="array" aca="1" ref="B715" ca="1">interpolexp(A715,serie_du,Taxas_DI)</f>
        <v>0.13381944935453305</v>
      </c>
      <c r="C715" s="32">
        <f ca="1">((((1+B715)^(A715/252))/((1+B714)^(A714/252)))^(252/1))-1</f>
        <v>0.13117995982797925</v>
      </c>
      <c r="D715" s="30">
        <v>0.13381944935453305</v>
      </c>
      <c r="E715" s="31">
        <f ca="1">B715-D715</f>
        <v>0</v>
      </c>
    </row>
    <row r="716" spans="1:5" x14ac:dyDescent="0.25">
      <c r="A716" s="21">
        <v>715</v>
      </c>
      <c r="B716" s="5" cm="1">
        <f t="array" aca="1" ref="B716" ca="1">interpolexp(A716,serie_du,Taxas_DI)</f>
        <v>0.13381575345126073</v>
      </c>
      <c r="C716" s="32">
        <f ca="1">((((1+B716)^(A716/252))/((1+B715)^(A715/252)))^(252/1))-1</f>
        <v>0.1311799513209233</v>
      </c>
      <c r="D716" s="30">
        <v>0.13381575345126073</v>
      </c>
      <c r="E716" s="31">
        <f ca="1">B716-D716</f>
        <v>0</v>
      </c>
    </row>
    <row r="717" spans="1:5" x14ac:dyDescent="0.25">
      <c r="A717" s="21">
        <v>716</v>
      </c>
      <c r="B717" s="5" cm="1">
        <f t="array" aca="1" ref="B717" ca="1">interpolexp(A717,serie_du,Taxas_DI)</f>
        <v>0.1338120678718635</v>
      </c>
      <c r="C717" s="32">
        <f ca="1">((((1+B717)^(A717/252))/((1+B716)^(A716/252)))^(252/1))-1</f>
        <v>0.13117994283874435</v>
      </c>
      <c r="D717" s="30">
        <v>0.1338120678718635</v>
      </c>
      <c r="E717" s="31">
        <f ca="1">B717-D717</f>
        <v>0</v>
      </c>
    </row>
    <row r="718" spans="1:5" x14ac:dyDescent="0.25">
      <c r="A718" s="21">
        <v>717</v>
      </c>
      <c r="B718" s="5" cm="1">
        <f t="array" aca="1" ref="B718" ca="1">interpolexp(A718,serie_du,Taxas_DI)</f>
        <v>0.13380839257317589</v>
      </c>
      <c r="C718" s="32">
        <f ca="1">((((1+B718)^(A718/252))/((1+B717)^(A717/252)))^(252/1))-1</f>
        <v>0.13117993441438824</v>
      </c>
      <c r="D718" s="30">
        <v>0.13380839257317589</v>
      </c>
      <c r="E718" s="31">
        <f ca="1">B718-D718</f>
        <v>0</v>
      </c>
    </row>
    <row r="719" spans="1:5" x14ac:dyDescent="0.25">
      <c r="A719" s="21">
        <v>718</v>
      </c>
      <c r="B719" s="5" cm="1">
        <f t="array" aca="1" ref="B719" ca="1">interpolexp(A719,serie_du,Taxas_DI)</f>
        <v>0.13380472751221006</v>
      </c>
      <c r="C719" s="32">
        <f ca="1">((((1+B719)^(A719/252))/((1+B718)^(A718/252)))^(252/1))-1</f>
        <v>0.13117992600248085</v>
      </c>
      <c r="D719" s="30">
        <v>0.13380472751221006</v>
      </c>
      <c r="E719" s="31">
        <f ca="1">B719-D719</f>
        <v>0</v>
      </c>
    </row>
    <row r="720" spans="1:5" x14ac:dyDescent="0.25">
      <c r="A720" s="21">
        <v>719</v>
      </c>
      <c r="B720" s="5" cm="1">
        <f t="array" aca="1" ref="B720" ca="1">interpolexp(A720,serie_du,Taxas_DI)</f>
        <v>0.13380107264626684</v>
      </c>
      <c r="C720" s="32">
        <f ca="1">((((1+B720)^(A720/252))/((1+B719)^(A719/252)))^(252/1))-1</f>
        <v>0.13117991763838899</v>
      </c>
      <c r="D720" s="30">
        <v>0.13380107264626684</v>
      </c>
      <c r="E720" s="31">
        <f ca="1">B720-D720</f>
        <v>0</v>
      </c>
    </row>
    <row r="721" spans="1:5" x14ac:dyDescent="0.25">
      <c r="A721" s="21">
        <v>720</v>
      </c>
      <c r="B721" s="5" cm="1">
        <f t="array" aca="1" ref="B721" ca="1">interpolexp(A721,serie_du,Taxas_DI)</f>
        <v>0.13379742793284688</v>
      </c>
      <c r="C721" s="32">
        <f ca="1">((((1+B721)^(A721/252))/((1+B720)^(A720/252)))^(252/1))-1</f>
        <v>0.13117990929508183</v>
      </c>
      <c r="D721" s="30">
        <v>0.13379742793284688</v>
      </c>
      <c r="E721" s="31">
        <f ca="1">B721-D721</f>
        <v>0</v>
      </c>
    </row>
    <row r="722" spans="1:5" x14ac:dyDescent="0.25">
      <c r="A722" s="21">
        <v>721</v>
      </c>
      <c r="B722" s="5" cm="1">
        <f t="array" aca="1" ref="B722" ca="1">interpolexp(A722,serie_du,Taxas_DI)</f>
        <v>0.13379024895763258</v>
      </c>
      <c r="C722" s="32">
        <f ca="1">((((1+B722)^(A722/252))/((1+B721)^(A721/252)))^(252/1))-1</f>
        <v>0.12863316743032471</v>
      </c>
      <c r="D722" s="30">
        <v>0.13379024895763258</v>
      </c>
      <c r="E722" s="31">
        <f ca="1">B722-D722</f>
        <v>0</v>
      </c>
    </row>
    <row r="723" spans="1:5" x14ac:dyDescent="0.25">
      <c r="A723" s="21">
        <v>722</v>
      </c>
      <c r="B723" s="5" cm="1">
        <f t="array" aca="1" ref="B723" ca="1">interpolexp(A723,serie_du,Taxas_DI)</f>
        <v>0.13378308986926601</v>
      </c>
      <c r="C723" s="32">
        <f ca="1">((((1+B723)^(A723/252))/((1+B722)^(A722/252)))^(252/1))-1</f>
        <v>0.12863313524790665</v>
      </c>
      <c r="D723" s="30">
        <v>0.13378308986926601</v>
      </c>
      <c r="E723" s="31">
        <f ca="1">B723-D723</f>
        <v>0</v>
      </c>
    </row>
    <row r="724" spans="1:5" x14ac:dyDescent="0.25">
      <c r="A724" s="21">
        <v>723</v>
      </c>
      <c r="B724" s="5" cm="1">
        <f t="array" aca="1" ref="B724" ca="1">interpolexp(A724,serie_du,Taxas_DI)</f>
        <v>0.1337759505852576</v>
      </c>
      <c r="C724" s="32">
        <f ca="1">((((1+B724)^(A724/252))/((1+B723)^(A723/252)))^(252/1))-1</f>
        <v>0.12863310322060739</v>
      </c>
      <c r="D724" s="30">
        <v>0.1337759505852576</v>
      </c>
      <c r="E724" s="31">
        <f ca="1">B724-D724</f>
        <v>0</v>
      </c>
    </row>
    <row r="725" spans="1:5" x14ac:dyDescent="0.25">
      <c r="A725" s="21">
        <v>724</v>
      </c>
      <c r="B725" s="5" cm="1">
        <f t="array" aca="1" ref="B725" ca="1">interpolexp(A725,serie_du,Taxas_DI)</f>
        <v>0.13376883102353965</v>
      </c>
      <c r="C725" s="32">
        <f ca="1">((((1+B725)^(A725/252))/((1+B724)^(A724/252)))^(252/1))-1</f>
        <v>0.12863307132330437</v>
      </c>
      <c r="D725" s="30">
        <v>0.13376883102353965</v>
      </c>
      <c r="E725" s="31">
        <f ca="1">B725-D725</f>
        <v>0</v>
      </c>
    </row>
    <row r="726" spans="1:5" x14ac:dyDescent="0.25">
      <c r="A726" s="21">
        <v>725</v>
      </c>
      <c r="B726" s="5" cm="1">
        <f t="array" aca="1" ref="B726" ca="1">interpolexp(A726,serie_du,Taxas_DI)</f>
        <v>0.13376173110248857</v>
      </c>
      <c r="C726" s="32">
        <f ca="1">((((1+B726)^(A726/252))/((1+B725)^(A725/252)))^(252/1))-1</f>
        <v>0.12863303954883176</v>
      </c>
      <c r="D726" s="30">
        <v>0.13376173110248857</v>
      </c>
      <c r="E726" s="31">
        <f ca="1">B726-D726</f>
        <v>0</v>
      </c>
    </row>
    <row r="727" spans="1:5" x14ac:dyDescent="0.25">
      <c r="A727" s="21">
        <v>726</v>
      </c>
      <c r="B727" s="5" cm="1">
        <f t="array" aca="1" ref="B727" ca="1">interpolexp(A727,serie_du,Taxas_DI)</f>
        <v>0.13375465074096926</v>
      </c>
      <c r="C727" s="32">
        <f ca="1">((((1+B727)^(A727/252))/((1+B726)^(A726/252)))^(252/1))-1</f>
        <v>0.12863300792464938</v>
      </c>
      <c r="D727" s="30">
        <v>0.13375465074096926</v>
      </c>
      <c r="E727" s="31">
        <f ca="1">B727-D727</f>
        <v>0</v>
      </c>
    </row>
    <row r="728" spans="1:5" x14ac:dyDescent="0.25">
      <c r="A728" s="21">
        <v>727</v>
      </c>
      <c r="B728" s="5" cm="1">
        <f t="array" aca="1" ref="B728" ca="1">interpolexp(A728,serie_du,Taxas_DI)</f>
        <v>0.1337475898582241</v>
      </c>
      <c r="C728" s="32">
        <f ca="1">((((1+B728)^(A728/252))/((1+B727)^(A727/252)))^(252/1))-1</f>
        <v>0.1286329764000107</v>
      </c>
      <c r="D728" s="30">
        <v>0.1337475898582241</v>
      </c>
      <c r="E728" s="31">
        <f ca="1">B728-D728</f>
        <v>0</v>
      </c>
    </row>
    <row r="729" spans="1:5" x14ac:dyDescent="0.25">
      <c r="A729" s="21">
        <v>728</v>
      </c>
      <c r="B729" s="5" cm="1">
        <f t="array" aca="1" ref="B729" ca="1">interpolexp(A729,serie_du,Taxas_DI)</f>
        <v>0.13374054837400617</v>
      </c>
      <c r="C729" s="32">
        <f ca="1">((((1+B729)^(A729/252))/((1+B728)^(A728/252)))^(252/1))-1</f>
        <v>0.12863294502292622</v>
      </c>
      <c r="D729" s="30">
        <v>0.13374054837400617</v>
      </c>
      <c r="E729" s="31">
        <f ca="1">B729-D729</f>
        <v>0</v>
      </c>
    </row>
    <row r="730" spans="1:5" x14ac:dyDescent="0.25">
      <c r="A730" s="21">
        <v>729</v>
      </c>
      <c r="B730" s="5" cm="1">
        <f t="array" aca="1" ref="B730" ca="1">interpolexp(A730,serie_du,Taxas_DI)</f>
        <v>0.13373352620849044</v>
      </c>
      <c r="C730" s="32">
        <f ca="1">((((1+B730)^(A730/252))/((1+B729)^(A729/252)))^(252/1))-1</f>
        <v>0.12863291377909958</v>
      </c>
      <c r="D730" s="30">
        <v>0.13373352620849044</v>
      </c>
      <c r="E730" s="31">
        <f ca="1">B730-D730</f>
        <v>0</v>
      </c>
    </row>
    <row r="731" spans="1:5" x14ac:dyDescent="0.25">
      <c r="A731" s="21">
        <v>730</v>
      </c>
      <c r="B731" s="5" cm="1">
        <f t="array" aca="1" ref="B731" ca="1">interpolexp(A731,serie_du,Taxas_DI)</f>
        <v>0.13372652328227375</v>
      </c>
      <c r="C731" s="32">
        <f ca="1">((((1+B731)^(A731/252))/((1+B730)^(A730/252)))^(252/1))-1</f>
        <v>0.12863288265665074</v>
      </c>
      <c r="D731" s="30">
        <v>0.13372652328227375</v>
      </c>
      <c r="E731" s="31">
        <f ca="1">B731-D731</f>
        <v>0</v>
      </c>
    </row>
    <row r="732" spans="1:5" x14ac:dyDescent="0.25">
      <c r="A732" s="21">
        <v>731</v>
      </c>
      <c r="B732" s="5" cm="1">
        <f t="array" aca="1" ref="B732" ca="1">interpolexp(A732,serie_du,Taxas_DI)</f>
        <v>0.13371953951639703</v>
      </c>
      <c r="C732" s="32">
        <f ca="1">((((1+B732)^(A732/252))/((1+B731)^(A731/252)))^(252/1))-1</f>
        <v>0.12863285166178984</v>
      </c>
      <c r="D732" s="30">
        <v>0.13371953951639703</v>
      </c>
      <c r="E732" s="31">
        <f ca="1">B732-D732</f>
        <v>0</v>
      </c>
    </row>
    <row r="733" spans="1:5" x14ac:dyDescent="0.25">
      <c r="A733" s="21">
        <v>732</v>
      </c>
      <c r="B733" s="5" cm="1">
        <f t="array" aca="1" ref="B733" ca="1">interpolexp(A733,serie_du,Taxas_DI)</f>
        <v>0.13371257483234533</v>
      </c>
      <c r="C733" s="32">
        <f ca="1">((((1+B733)^(A733/252))/((1+B732)^(A732/252)))^(252/1))-1</f>
        <v>0.12863282080310601</v>
      </c>
      <c r="D733" s="30">
        <v>0.13371257483234533</v>
      </c>
      <c r="E733" s="31">
        <f ca="1">B733-D733</f>
        <v>0</v>
      </c>
    </row>
    <row r="734" spans="1:5" x14ac:dyDescent="0.25">
      <c r="A734" s="21">
        <v>733</v>
      </c>
      <c r="B734" s="5" cm="1">
        <f t="array" aca="1" ref="B734" ca="1">interpolexp(A734,serie_du,Taxas_DI)</f>
        <v>0.13370562915198114</v>
      </c>
      <c r="C734" s="32">
        <f ca="1">((((1+B734)^(A734/252))/((1+B733)^(A733/252)))^(252/1))-1</f>
        <v>0.12863279004257788</v>
      </c>
      <c r="D734" s="30">
        <v>0.13370562915198114</v>
      </c>
      <c r="E734" s="31">
        <f ca="1">B734-D734</f>
        <v>0</v>
      </c>
    </row>
    <row r="735" spans="1:5" x14ac:dyDescent="0.25">
      <c r="A735" s="21">
        <v>734</v>
      </c>
      <c r="B735" s="5" cm="1">
        <f t="array" aca="1" ref="B735" ca="1">interpolexp(A735,serie_du,Taxas_DI)</f>
        <v>0.13369870239767767</v>
      </c>
      <c r="C735" s="32">
        <f ca="1">((((1+B735)^(A735/252))/((1+B734)^(A734/252)))^(252/1))-1</f>
        <v>0.12863275944171049</v>
      </c>
      <c r="D735" s="30">
        <v>0.13369870239767767</v>
      </c>
      <c r="E735" s="31">
        <f ca="1">B735-D735</f>
        <v>0</v>
      </c>
    </row>
    <row r="736" spans="1:5" x14ac:dyDescent="0.25">
      <c r="A736" s="21">
        <v>735</v>
      </c>
      <c r="B736" s="5" cm="1">
        <f t="array" aca="1" ref="B736" ca="1">interpolexp(A736,serie_du,Taxas_DI)</f>
        <v>0.1336917944921634</v>
      </c>
      <c r="C736" s="32">
        <f ca="1">((((1+B736)^(A736/252))/((1+B735)^(A735/252)))^(252/1))-1</f>
        <v>0.12863272895052269</v>
      </c>
      <c r="D736" s="30">
        <v>0.1336917944921634</v>
      </c>
      <c r="E736" s="31">
        <f ca="1">B736-D736</f>
        <v>0</v>
      </c>
    </row>
    <row r="737" spans="1:5" x14ac:dyDescent="0.25">
      <c r="A737" s="21">
        <v>736</v>
      </c>
      <c r="B737" s="5" cm="1">
        <f t="array" aca="1" ref="B737" ca="1">interpolexp(A737,serie_du,Taxas_DI)</f>
        <v>0.13368490535858868</v>
      </c>
      <c r="C737" s="32">
        <f ca="1">((((1+B737)^(A737/252))/((1+B736)^(A736/252)))^(252/1))-1</f>
        <v>0.12863269856972881</v>
      </c>
      <c r="D737" s="30">
        <v>0.13368490535858868</v>
      </c>
      <c r="E737" s="31">
        <f ca="1">B737-D737</f>
        <v>0</v>
      </c>
    </row>
    <row r="738" spans="1:5" x14ac:dyDescent="0.25">
      <c r="A738" s="21">
        <v>737</v>
      </c>
      <c r="B738" s="5" cm="1">
        <f t="array" aca="1" ref="B738" ca="1">interpolexp(A738,serie_du,Taxas_DI)</f>
        <v>0.13367803492057018</v>
      </c>
      <c r="C738" s="32">
        <f ca="1">((((1+B738)^(A738/252))/((1+B737)^(A737/252)))^(252/1))-1</f>
        <v>0.12863266833489728</v>
      </c>
      <c r="D738" s="30">
        <v>0.13367803492057018</v>
      </c>
      <c r="E738" s="31">
        <f ca="1">B738-D738</f>
        <v>0</v>
      </c>
    </row>
    <row r="739" spans="1:5" x14ac:dyDescent="0.25">
      <c r="A739" s="21">
        <v>738</v>
      </c>
      <c r="B739" s="5" cm="1">
        <f t="array" aca="1" ref="B739" ca="1">interpolexp(A739,serie_du,Taxas_DI)</f>
        <v>0.13367118310210202</v>
      </c>
      <c r="C739" s="32">
        <f ca="1">((((1+B739)^(A739/252))/((1+B738)^(A738/252)))^(252/1))-1</f>
        <v>0.12863263821834914</v>
      </c>
      <c r="D739" s="30">
        <v>0.13367118310210202</v>
      </c>
      <c r="E739" s="31">
        <f ca="1">B739-D739</f>
        <v>0</v>
      </c>
    </row>
    <row r="740" spans="1:5" x14ac:dyDescent="0.25">
      <c r="A740" s="21">
        <v>739</v>
      </c>
      <c r="B740" s="5" cm="1">
        <f t="array" aca="1" ref="B740" ca="1">interpolexp(A740,serie_du,Taxas_DI)</f>
        <v>0.13366434982755582</v>
      </c>
      <c r="C740" s="32">
        <f ca="1">((((1+B740)^(A740/252))/((1+B739)^(A739/252)))^(252/1))-1</f>
        <v>0.12863260819452393</v>
      </c>
      <c r="D740" s="30">
        <v>0.13366434982755582</v>
      </c>
      <c r="E740" s="31">
        <f ca="1">B740-D740</f>
        <v>0</v>
      </c>
    </row>
    <row r="741" spans="1:5" x14ac:dyDescent="0.25">
      <c r="A741" s="21">
        <v>740</v>
      </c>
      <c r="B741" s="5" cm="1">
        <f t="array" aca="1" ref="B741" ca="1">interpolexp(A741,serie_du,Taxas_DI)</f>
        <v>0.13365753502181388</v>
      </c>
      <c r="C741" s="32">
        <f ca="1">((((1+B741)^(A741/252))/((1+B740)^(A740/252)))^(252/1))-1</f>
        <v>0.12863257833788055</v>
      </c>
      <c r="D741" s="30">
        <v>0.13365753502181388</v>
      </c>
      <c r="E741" s="31">
        <f ca="1">B741-D741</f>
        <v>0</v>
      </c>
    </row>
    <row r="742" spans="1:5" x14ac:dyDescent="0.25">
      <c r="A742" s="21">
        <v>741</v>
      </c>
      <c r="B742" s="5" cm="1">
        <f t="array" aca="1" ref="B742" ca="1">interpolexp(A742,serie_du,Taxas_DI)</f>
        <v>0.13365073861004717</v>
      </c>
      <c r="C742" s="32">
        <f ca="1">((((1+B742)^(A742/252))/((1+B741)^(A741/252)))^(252/1))-1</f>
        <v>0.12863254856147122</v>
      </c>
      <c r="D742" s="30">
        <v>0.13365073861004717</v>
      </c>
      <c r="E742" s="31">
        <f ca="1">B742-D742</f>
        <v>0</v>
      </c>
    </row>
    <row r="743" spans="1:5" x14ac:dyDescent="0.25">
      <c r="A743" s="21">
        <v>742</v>
      </c>
      <c r="B743" s="5" cm="1">
        <f t="array" aca="1" ref="B743" ca="1">interpolexp(A743,serie_du,Taxas_DI)</f>
        <v>0.13364396051793737</v>
      </c>
      <c r="C743" s="32">
        <f ca="1">((((1+B743)^(A743/252))/((1+B742)^(A742/252)))^(252/1))-1</f>
        <v>0.12863251894393812</v>
      </c>
      <c r="D743" s="30">
        <v>0.13364396051793737</v>
      </c>
      <c r="E743" s="31">
        <f ca="1">B743-D743</f>
        <v>0</v>
      </c>
    </row>
    <row r="744" spans="1:5" x14ac:dyDescent="0.25">
      <c r="A744" s="21">
        <v>743</v>
      </c>
      <c r="B744" s="5" cm="1">
        <f t="array" aca="1" ref="B744" ca="1">interpolexp(A744,serie_du,Taxas_DI)</f>
        <v>0.13363720067145479</v>
      </c>
      <c r="C744" s="32">
        <f ca="1">((((1+B744)^(A744/252))/((1+B743)^(A743/252)))^(252/1))-1</f>
        <v>0.12863248940229521</v>
      </c>
      <c r="D744" s="30">
        <v>0.13363720067145479</v>
      </c>
      <c r="E744" s="31">
        <f ca="1">B744-D744</f>
        <v>0</v>
      </c>
    </row>
    <row r="745" spans="1:5" x14ac:dyDescent="0.25">
      <c r="A745" s="21">
        <v>744</v>
      </c>
      <c r="B745" s="5" cm="1">
        <f t="array" aca="1" ref="B745" ca="1">interpolexp(A745,serie_du,Taxas_DI)</f>
        <v>0.13363045899708048</v>
      </c>
      <c r="C745" s="32">
        <f ca="1">((((1+B745)^(A745/252))/((1+B744)^(A744/252)))^(252/1))-1</f>
        <v>0.12863246001930162</v>
      </c>
      <c r="D745" s="30">
        <v>0.13363045899708048</v>
      </c>
      <c r="E745" s="31">
        <f ca="1">B745-D745</f>
        <v>0</v>
      </c>
    </row>
    <row r="746" spans="1:5" x14ac:dyDescent="0.25">
      <c r="A746" s="21">
        <v>745</v>
      </c>
      <c r="B746" s="5" cm="1">
        <f t="array" aca="1" ref="B746" ca="1">interpolexp(A746,serie_du,Taxas_DI)</f>
        <v>0.13362373542160633</v>
      </c>
      <c r="C746" s="32">
        <f ca="1">((((1+B746)^(A746/252))/((1+B745)^(A745/252)))^(252/1))-1</f>
        <v>0.12863243073199904</v>
      </c>
      <c r="D746" s="30">
        <v>0.13362373542160633</v>
      </c>
      <c r="E746" s="31">
        <f ca="1">B746-D746</f>
        <v>0</v>
      </c>
    </row>
    <row r="747" spans="1:5" x14ac:dyDescent="0.25">
      <c r="A747" s="21">
        <v>746</v>
      </c>
      <c r="B747" s="5" cm="1">
        <f t="array" aca="1" ref="B747" ca="1">interpolexp(A747,serie_du,Taxas_DI)</f>
        <v>0.13361702987224611</v>
      </c>
      <c r="C747" s="32">
        <f ca="1">((((1+B747)^(A747/252))/((1+B746)^(A746/252)))^(252/1))-1</f>
        <v>0.12863240156172129</v>
      </c>
      <c r="D747" s="30">
        <v>0.13361702987224611</v>
      </c>
      <c r="E747" s="31">
        <f ca="1">B747-D747</f>
        <v>0</v>
      </c>
    </row>
    <row r="748" spans="1:5" x14ac:dyDescent="0.25">
      <c r="A748" s="21">
        <v>747</v>
      </c>
      <c r="B748" s="5" cm="1">
        <f t="array" aca="1" ref="B748" ca="1">interpolexp(A748,serie_du,Taxas_DI)</f>
        <v>0.13361034227663549</v>
      </c>
      <c r="C748" s="32">
        <f ca="1">((((1+B748)^(A748/252))/((1+B747)^(A747/252)))^(252/1))-1</f>
        <v>0.12863237253167981</v>
      </c>
      <c r="D748" s="30">
        <v>0.13361034227663549</v>
      </c>
      <c r="E748" s="31">
        <f ca="1">B748-D748</f>
        <v>0</v>
      </c>
    </row>
    <row r="749" spans="1:5" x14ac:dyDescent="0.25">
      <c r="A749" s="21">
        <v>748</v>
      </c>
      <c r="B749" s="5" cm="1">
        <f t="array" aca="1" ref="B749" ca="1">interpolexp(A749,serie_du,Taxas_DI)</f>
        <v>0.13360367256272099</v>
      </c>
      <c r="C749" s="32">
        <f ca="1">((((1+B749)^(A749/252))/((1+B748)^(A748/252)))^(252/1))-1</f>
        <v>0.12863234358451936</v>
      </c>
      <c r="D749" s="30">
        <v>0.13360367256272099</v>
      </c>
      <c r="E749" s="31">
        <f ca="1">B749-D749</f>
        <v>0</v>
      </c>
    </row>
    <row r="750" spans="1:5" x14ac:dyDescent="0.25">
      <c r="A750" s="21">
        <v>749</v>
      </c>
      <c r="B750" s="5" cm="1">
        <f t="array" aca="1" ref="B750" ca="1">interpolexp(A750,serie_du,Taxas_DI)</f>
        <v>0.13359702065891543</v>
      </c>
      <c r="C750" s="32">
        <f ca="1">((((1+B750)^(A750/252))/((1+B749)^(A749/252)))^(252/1))-1</f>
        <v>0.12863231478038673</v>
      </c>
      <c r="D750" s="30">
        <v>0.13359702065891543</v>
      </c>
      <c r="E750" s="31">
        <f ca="1">B750-D750</f>
        <v>0</v>
      </c>
    </row>
    <row r="751" spans="1:5" x14ac:dyDescent="0.25">
      <c r="A751" s="21">
        <v>750</v>
      </c>
      <c r="B751" s="5" cm="1">
        <f t="array" aca="1" ref="B751" ca="1">interpolexp(A751,serie_du,Taxas_DI)</f>
        <v>0.1335903864939203</v>
      </c>
      <c r="C751" s="32">
        <f ca="1">((((1+B751)^(A751/252))/((1+B750)^(A750/252)))^(252/1))-1</f>
        <v>0.12863228604914712</v>
      </c>
      <c r="D751" s="30">
        <v>0.1335903864939203</v>
      </c>
      <c r="E751" s="31">
        <f ca="1">B751-D751</f>
        <v>0</v>
      </c>
    </row>
    <row r="752" spans="1:5" x14ac:dyDescent="0.25">
      <c r="A752" s="21">
        <v>751</v>
      </c>
      <c r="B752" s="5" cm="1">
        <f t="array" aca="1" ref="B752" ca="1">interpolexp(A752,serie_du,Taxas_DI)</f>
        <v>0.13358376999694777</v>
      </c>
      <c r="C752" s="32">
        <f ca="1">((((1+B752)^(A752/252))/((1+B751)^(A751/252)))^(252/1))-1</f>
        <v>0.12863225748806517</v>
      </c>
      <c r="D752" s="30">
        <v>0.13358376999694777</v>
      </c>
      <c r="E752" s="31">
        <f ca="1">B752-D752</f>
        <v>0</v>
      </c>
    </row>
    <row r="753" spans="1:5" x14ac:dyDescent="0.25">
      <c r="A753" s="21">
        <v>752</v>
      </c>
      <c r="B753" s="5" cm="1">
        <f t="array" aca="1" ref="B753" ca="1">interpolexp(A753,serie_du,Taxas_DI)</f>
        <v>0.13357717109747647</v>
      </c>
      <c r="C753" s="32">
        <f ca="1">((((1+B753)^(A753/252))/((1+B752)^(A752/252)))^(252/1))-1</f>
        <v>0.12863222901410976</v>
      </c>
      <c r="D753" s="30">
        <v>0.13357717109747647</v>
      </c>
      <c r="E753" s="31">
        <f ca="1">B753-D753</f>
        <v>0</v>
      </c>
    </row>
    <row r="754" spans="1:5" x14ac:dyDescent="0.25">
      <c r="A754" s="21">
        <v>753</v>
      </c>
      <c r="B754" s="5" cm="1">
        <f t="array" aca="1" ref="B754" ca="1">interpolexp(A754,serie_du,Taxas_DI)</f>
        <v>0.13357058972538471</v>
      </c>
      <c r="C754" s="32">
        <f ca="1">((((1+B754)^(A754/252))/((1+B753)^(A753/252)))^(252/1))-1</f>
        <v>0.12863220064548608</v>
      </c>
      <c r="D754" s="30">
        <v>0.13357058972538471</v>
      </c>
      <c r="E754" s="31">
        <f ca="1">B754-D754</f>
        <v>0</v>
      </c>
    </row>
    <row r="755" spans="1:5" x14ac:dyDescent="0.25">
      <c r="A755" s="21">
        <v>754</v>
      </c>
      <c r="B755" s="5" cm="1">
        <f t="array" aca="1" ref="B755" ca="1">interpolexp(A755,serie_du,Taxas_DI)</f>
        <v>0.1335640258109505</v>
      </c>
      <c r="C755" s="32">
        <f ca="1">((((1+B755)^(A755/252))/((1+B754)^(A754/252)))^(252/1))-1</f>
        <v>0.12863217240243774</v>
      </c>
      <c r="D755" s="30">
        <v>0.1335640258109505</v>
      </c>
      <c r="E755" s="31">
        <f ca="1">B755-D755</f>
        <v>0</v>
      </c>
    </row>
    <row r="756" spans="1:5" x14ac:dyDescent="0.25">
      <c r="A756" s="21">
        <v>755</v>
      </c>
      <c r="B756" s="5" cm="1">
        <f t="array" aca="1" ref="B756" ca="1">interpolexp(A756,serie_du,Taxas_DI)</f>
        <v>0.1335574792847849</v>
      </c>
      <c r="C756" s="32">
        <f ca="1">((((1+B756)^(A756/252))/((1+B755)^(A755/252)))^(252/1))-1</f>
        <v>0.12863214425690761</v>
      </c>
      <c r="D756" s="30">
        <v>0.1335574792847849</v>
      </c>
      <c r="E756" s="31">
        <f ca="1">B756-D756</f>
        <v>0</v>
      </c>
    </row>
    <row r="757" spans="1:5" x14ac:dyDescent="0.25">
      <c r="A757" s="21">
        <v>756</v>
      </c>
      <c r="B757" s="5" cm="1">
        <f t="array" aca="1" ref="B757" ca="1">interpolexp(A757,serie_du,Taxas_DI)</f>
        <v>0.13355095007789863</v>
      </c>
      <c r="C757" s="32">
        <f ca="1">((((1+B757)^(A757/252))/((1+B756)^(A756/252)))^(252/1))-1</f>
        <v>0.12863211623286785</v>
      </c>
      <c r="D757" s="30">
        <v>0.13355095007789863</v>
      </c>
      <c r="E757" s="31">
        <f ca="1">B757-D757</f>
        <v>0</v>
      </c>
    </row>
    <row r="758" spans="1:5" x14ac:dyDescent="0.25">
      <c r="A758" s="21">
        <v>757</v>
      </c>
      <c r="B758" s="5" cm="1">
        <f t="array" aca="1" ref="B758" ca="1">interpolexp(A758,serie_du,Taxas_DI)</f>
        <v>0.13354443812165773</v>
      </c>
      <c r="C758" s="32">
        <f ca="1">((((1+B758)^(A758/252))/((1+B757)^(A757/252)))^(252/1))-1</f>
        <v>0.12863208832281137</v>
      </c>
      <c r="D758" s="30">
        <v>0.13354443812165773</v>
      </c>
      <c r="E758" s="31">
        <f ca="1">B758-D758</f>
        <v>0</v>
      </c>
    </row>
    <row r="759" spans="1:5" x14ac:dyDescent="0.25">
      <c r="A759" s="21">
        <v>758</v>
      </c>
      <c r="B759" s="5" cm="1">
        <f t="array" aca="1" ref="B759" ca="1">interpolexp(A759,serie_du,Taxas_DI)</f>
        <v>0.13353794334780567</v>
      </c>
      <c r="C759" s="32">
        <f ca="1">((((1+B759)^(A759/252))/((1+B758)^(A758/252)))^(252/1))-1</f>
        <v>0.12863206053751175</v>
      </c>
      <c r="D759" s="30">
        <v>0.13353794334780567</v>
      </c>
      <c r="E759" s="31">
        <f ca="1">B759-D759</f>
        <v>0</v>
      </c>
    </row>
    <row r="760" spans="1:5" x14ac:dyDescent="0.25">
      <c r="A760" s="21">
        <v>759</v>
      </c>
      <c r="B760" s="5" cm="1">
        <f t="array" aca="1" ref="B760" ca="1">interpolexp(A760,serie_du,Taxas_DI)</f>
        <v>0.1335314656883746</v>
      </c>
      <c r="C760" s="32">
        <f ca="1">((((1+B760)^(A760/252))/((1+B759)^(A759/252)))^(252/1))-1</f>
        <v>0.12863203282291535</v>
      </c>
      <c r="D760" s="30">
        <v>0.1335314656883746</v>
      </c>
      <c r="E760" s="31">
        <f ca="1">B760-D760</f>
        <v>0</v>
      </c>
    </row>
    <row r="761" spans="1:5" x14ac:dyDescent="0.25">
      <c r="A761" s="21">
        <v>760</v>
      </c>
      <c r="B761" s="5" cm="1">
        <f t="array" aca="1" ref="B761" ca="1">interpolexp(A761,serie_du,Taxas_DI)</f>
        <v>0.13352500507584075</v>
      </c>
      <c r="C761" s="32">
        <f ca="1">((((1+B761)^(A761/252))/((1+B760)^(A760/252)))^(252/1))-1</f>
        <v>0.12863200524358476</v>
      </c>
      <c r="D761" s="30">
        <v>0.13352500507584075</v>
      </c>
      <c r="E761" s="31">
        <f ca="1">B761-D761</f>
        <v>0</v>
      </c>
    </row>
    <row r="762" spans="1:5" x14ac:dyDescent="0.25">
      <c r="A762" s="21">
        <v>761</v>
      </c>
      <c r="B762" s="5" cm="1">
        <f t="array" aca="1" ref="B762" ca="1">interpolexp(A762,serie_du,Taxas_DI)</f>
        <v>0.13351856144299123</v>
      </c>
      <c r="C762" s="32">
        <f ca="1">((((1+B762)^(A762/252))/((1+B761)^(A761/252)))^(252/1))-1</f>
        <v>0.12863197776564506</v>
      </c>
      <c r="D762" s="30">
        <v>0.13351856144299123</v>
      </c>
      <c r="E762" s="31">
        <f ca="1">B762-D762</f>
        <v>0</v>
      </c>
    </row>
    <row r="763" spans="1:5" x14ac:dyDescent="0.25">
      <c r="A763" s="21">
        <v>762</v>
      </c>
      <c r="B763" s="5" cm="1">
        <f t="array" aca="1" ref="B763" ca="1">interpolexp(A763,serie_du,Taxas_DI)</f>
        <v>0.13351213472296841</v>
      </c>
      <c r="C763" s="32">
        <f ca="1">((((1+B763)^(A763/252))/((1+B762)^(A762/252)))^(252/1))-1</f>
        <v>0.12863195039039943</v>
      </c>
      <c r="D763" s="30">
        <v>0.13351213472296841</v>
      </c>
      <c r="E763" s="31">
        <f ca="1">B763-D763</f>
        <v>0</v>
      </c>
    </row>
    <row r="764" spans="1:5" x14ac:dyDescent="0.25">
      <c r="A764" s="21">
        <v>763</v>
      </c>
      <c r="B764" s="5" cm="1">
        <f t="array" aca="1" ref="B764" ca="1">interpolexp(A764,serie_du,Taxas_DI)</f>
        <v>0.13350572484929213</v>
      </c>
      <c r="C764" s="32">
        <f ca="1">((((1+B764)^(A764/252))/((1+B763)^(A763/252)))^(252/1))-1</f>
        <v>0.12863192313776706</v>
      </c>
      <c r="D764" s="30">
        <v>0.13350572484929213</v>
      </c>
      <c r="E764" s="31">
        <f ca="1">B764-D764</f>
        <v>0</v>
      </c>
    </row>
    <row r="765" spans="1:5" x14ac:dyDescent="0.25">
      <c r="A765" s="21">
        <v>764</v>
      </c>
      <c r="B765" s="5" cm="1">
        <f t="array" aca="1" ref="B765" ca="1">interpolexp(A765,serie_du,Taxas_DI)</f>
        <v>0.13349933175579309</v>
      </c>
      <c r="C765" s="32">
        <f ca="1">((((1+B765)^(A765/252))/((1+B764)^(A764/252)))^(252/1))-1</f>
        <v>0.12863189597887925</v>
      </c>
      <c r="D765" s="30">
        <v>0.13349933175579309</v>
      </c>
      <c r="E765" s="31">
        <f ca="1">B765-D765</f>
        <v>0</v>
      </c>
    </row>
    <row r="766" spans="1:5" x14ac:dyDescent="0.25">
      <c r="A766" s="21">
        <v>765</v>
      </c>
      <c r="B766" s="5" cm="1">
        <f t="array" aca="1" ref="B766" ca="1">interpolexp(A766,serie_du,Taxas_DI)</f>
        <v>0.13349295537667949</v>
      </c>
      <c r="C766" s="32">
        <f ca="1">((((1+B766)^(A766/252))/((1+B765)^(A765/252)))^(252/1))-1</f>
        <v>0.12863186893713996</v>
      </c>
      <c r="D766" s="30">
        <v>0.13349295537667949</v>
      </c>
      <c r="E766" s="31">
        <f ca="1">B766-D766</f>
        <v>0</v>
      </c>
    </row>
    <row r="767" spans="1:5" x14ac:dyDescent="0.25">
      <c r="A767" s="21">
        <v>766</v>
      </c>
      <c r="B767" s="5" cm="1">
        <f t="array" aca="1" ref="B767" ca="1">interpolexp(A767,serie_du,Taxas_DI)</f>
        <v>0.13348659564647036</v>
      </c>
      <c r="C767" s="32">
        <f ca="1">((((1+B767)^(A767/252))/((1+B766)^(A766/252)))^(252/1))-1</f>
        <v>0.12863184198702671</v>
      </c>
      <c r="D767" s="30">
        <v>0.13348659564647036</v>
      </c>
      <c r="E767" s="31">
        <f ca="1">B767-D767</f>
        <v>0</v>
      </c>
    </row>
    <row r="768" spans="1:5" x14ac:dyDescent="0.25">
      <c r="A768" s="21">
        <v>767</v>
      </c>
      <c r="B768" s="5" cm="1">
        <f t="array" aca="1" ref="B768" ca="1">interpolexp(A768,serie_du,Taxas_DI)</f>
        <v>0.13348025250006224</v>
      </c>
      <c r="C768" s="32">
        <f ca="1">((((1+B768)^(A768/252))/((1+B767)^(A767/252)))^(252/1))-1</f>
        <v>0.12863181515551148</v>
      </c>
      <c r="D768" s="30">
        <v>0.13348025250006224</v>
      </c>
      <c r="E768" s="31">
        <f ca="1">B768-D768</f>
        <v>0</v>
      </c>
    </row>
    <row r="769" spans="1:5" x14ac:dyDescent="0.25">
      <c r="A769" s="21">
        <v>768</v>
      </c>
      <c r="B769" s="5" cm="1">
        <f t="array" aca="1" ref="B769" ca="1">interpolexp(A769,serie_du,Taxas_DI)</f>
        <v>0.13347392587266249</v>
      </c>
      <c r="C769" s="32">
        <f ca="1">((((1+B769)^(A769/252))/((1+B768)^(A768/252)))^(252/1))-1</f>
        <v>0.12863178842041734</v>
      </c>
      <c r="D769" s="30">
        <v>0.13347392587266249</v>
      </c>
      <c r="E769" s="31">
        <f ca="1">B769-D769</f>
        <v>0</v>
      </c>
    </row>
    <row r="770" spans="1:5" x14ac:dyDescent="0.25">
      <c r="A770" s="21">
        <v>769</v>
      </c>
      <c r="B770" s="5" cm="1">
        <f t="array" aca="1" ref="B770" ca="1">interpolexp(A770,serie_du,Taxas_DI)</f>
        <v>0.13346761569983379</v>
      </c>
      <c r="C770" s="32">
        <f ca="1">((((1+B770)^(A770/252))/((1+B769)^(A769/252)))^(252/1))-1</f>
        <v>0.12863176179523572</v>
      </c>
      <c r="D770" s="30">
        <v>0.13346761569983379</v>
      </c>
      <c r="E770" s="31">
        <f ca="1">B770-D770</f>
        <v>0</v>
      </c>
    </row>
    <row r="771" spans="1:5" x14ac:dyDescent="0.25">
      <c r="A771" s="21">
        <v>770</v>
      </c>
      <c r="B771" s="5" cm="1">
        <f t="array" aca="1" ref="B771" ca="1">interpolexp(A771,serie_du,Taxas_DI)</f>
        <v>0.13346132191744964</v>
      </c>
      <c r="C771" s="32">
        <f ca="1">((((1+B771)^(A771/252))/((1+B770)^(A770/252)))^(252/1))-1</f>
        <v>0.12863173526108085</v>
      </c>
      <c r="D771" s="30">
        <v>0.13346132191744964</v>
      </c>
      <c r="E771" s="31">
        <f ca="1">B771-D771</f>
        <v>0</v>
      </c>
    </row>
    <row r="772" spans="1:5" x14ac:dyDescent="0.25">
      <c r="A772" s="21">
        <v>771</v>
      </c>
      <c r="B772" s="5" cm="1">
        <f t="array" aca="1" ref="B772" ca="1">interpolexp(A772,serie_du,Taxas_DI)</f>
        <v>0.13345504446173884</v>
      </c>
      <c r="C772" s="32">
        <f ca="1">((((1+B772)^(A772/252))/((1+B771)^(A771/252)))^(252/1))-1</f>
        <v>0.12863170883469732</v>
      </c>
      <c r="D772" s="30">
        <v>0.13345504446173884</v>
      </c>
      <c r="E772" s="31">
        <f ca="1">B772-D772</f>
        <v>0</v>
      </c>
    </row>
    <row r="773" spans="1:5" x14ac:dyDescent="0.25">
      <c r="A773" s="21">
        <v>772</v>
      </c>
      <c r="B773" s="5" cm="1">
        <f t="array" aca="1" ref="B773" ca="1">interpolexp(A773,serie_du,Taxas_DI)</f>
        <v>0.13344878326926324</v>
      </c>
      <c r="C773" s="32">
        <f ca="1">((((1+B773)^(A773/252))/((1+B772)^(A772/252)))^(252/1))-1</f>
        <v>0.12863168251776869</v>
      </c>
      <c r="D773" s="30">
        <v>0.13344878326926324</v>
      </c>
      <c r="E773" s="31">
        <f ca="1">B773-D773</f>
        <v>0</v>
      </c>
    </row>
    <row r="774" spans="1:5" x14ac:dyDescent="0.25">
      <c r="A774" s="21">
        <v>773</v>
      </c>
      <c r="B774" s="5" cm="1">
        <f t="array" aca="1" ref="B774" ca="1">interpolexp(A774,serie_du,Taxas_DI)</f>
        <v>0.13344253827689556</v>
      </c>
      <c r="C774" s="32">
        <f ca="1">((((1+B774)^(A774/252))/((1+B773)^(A773/252)))^(252/1))-1</f>
        <v>0.12863165629609719</v>
      </c>
      <c r="D774" s="30">
        <v>0.13344253827689556</v>
      </c>
      <c r="E774" s="31">
        <f ca="1">B774-D774</f>
        <v>0</v>
      </c>
    </row>
    <row r="775" spans="1:5" x14ac:dyDescent="0.25">
      <c r="A775" s="21">
        <v>774</v>
      </c>
      <c r="B775" s="5" cm="1">
        <f t="array" aca="1" ref="B775" ca="1">interpolexp(A775,serie_du,Taxas_DI)</f>
        <v>0.1334363094218638</v>
      </c>
      <c r="C775" s="32">
        <f ca="1">((((1+B775)^(A775/252))/((1+B774)^(A774/252)))^(252/1))-1</f>
        <v>0.12863163019164037</v>
      </c>
      <c r="D775" s="30">
        <v>0.1334363094218638</v>
      </c>
      <c r="E775" s="31">
        <f ca="1">B775-D775</f>
        <v>0</v>
      </c>
    </row>
    <row r="776" spans="1:5" x14ac:dyDescent="0.25">
      <c r="A776" s="21">
        <v>775</v>
      </c>
      <c r="B776" s="5" cm="1">
        <f t="array" aca="1" ref="B776" ca="1">interpolexp(A776,serie_du,Taxas_DI)</f>
        <v>0.13343009664168459</v>
      </c>
      <c r="C776" s="32">
        <f ca="1">((((1+B776)^(A776/252))/((1+B775)^(A775/252)))^(252/1))-1</f>
        <v>0.12863160417664421</v>
      </c>
      <c r="D776" s="30">
        <v>0.13343009664168459</v>
      </c>
      <c r="E776" s="31">
        <f ca="1">B776-D776</f>
        <v>0</v>
      </c>
    </row>
    <row r="777" spans="1:5" x14ac:dyDescent="0.25">
      <c r="A777" s="21">
        <v>776</v>
      </c>
      <c r="B777" s="5" cm="1">
        <f t="array" aca="1" ref="B777" ca="1">interpolexp(A777,serie_du,Taxas_DI)</f>
        <v>0.13342389987418546</v>
      </c>
      <c r="C777" s="32">
        <f ca="1">((((1+B777)^(A777/252))/((1+B776)^(A776/252)))^(252/1))-1</f>
        <v>0.12863157824191762</v>
      </c>
      <c r="D777" s="30">
        <v>0.13342389987418546</v>
      </c>
      <c r="E777" s="31">
        <f ca="1">B777-D777</f>
        <v>0</v>
      </c>
    </row>
    <row r="778" spans="1:5" x14ac:dyDescent="0.25">
      <c r="A778" s="21">
        <v>777</v>
      </c>
      <c r="B778" s="5" cm="1">
        <f t="array" aca="1" ref="B778" ca="1">interpolexp(A778,serie_du,Taxas_DI)</f>
        <v>0.13341771905757138</v>
      </c>
      <c r="C778" s="32">
        <f ca="1">((((1+B778)^(A778/252))/((1+B777)^(A777/252)))^(252/1))-1</f>
        <v>0.12863155243130375</v>
      </c>
      <c r="D778" s="30">
        <v>0.13341771905757138</v>
      </c>
      <c r="E778" s="31">
        <f ca="1">B778-D778</f>
        <v>0</v>
      </c>
    </row>
    <row r="779" spans="1:5" x14ac:dyDescent="0.25">
      <c r="A779" s="21">
        <v>778</v>
      </c>
      <c r="B779" s="5" cm="1">
        <f t="array" aca="1" ref="B779" ca="1">interpolexp(A779,serie_du,Taxas_DI)</f>
        <v>0.13341155413033601</v>
      </c>
      <c r="C779" s="32">
        <f ca="1">((((1+B779)^(A779/252))/((1+B778)^(A778/252)))^(252/1))-1</f>
        <v>0.12863152672187761</v>
      </c>
      <c r="D779" s="30">
        <v>0.13341155413033601</v>
      </c>
      <c r="E779" s="31">
        <f ca="1">B779-D779</f>
        <v>0</v>
      </c>
    </row>
    <row r="780" spans="1:5" x14ac:dyDescent="0.25">
      <c r="A780" s="21">
        <v>779</v>
      </c>
      <c r="B780" s="5" cm="1">
        <f t="array" aca="1" ref="B780" ca="1">interpolexp(A780,serie_du,Taxas_DI)</f>
        <v>0.13340540503128384</v>
      </c>
      <c r="C780" s="32">
        <f ca="1">((((1+B780)^(A780/252))/((1+B779)^(A779/252)))^(252/1))-1</f>
        <v>0.12863150110907284</v>
      </c>
      <c r="D780" s="30">
        <v>0.13340540503128384</v>
      </c>
      <c r="E780" s="31">
        <f ca="1">B780-D780</f>
        <v>0</v>
      </c>
    </row>
    <row r="781" spans="1:5" x14ac:dyDescent="0.25">
      <c r="A781" s="21">
        <v>780</v>
      </c>
      <c r="B781" s="5" cm="1">
        <f t="array" aca="1" ref="B781" ca="1">interpolexp(A781,serie_du,Taxas_DI)</f>
        <v>0.13339927169950805</v>
      </c>
      <c r="C781" s="32">
        <f ca="1">((((1+B781)^(A781/252))/((1+B780)^(A780/252)))^(252/1))-1</f>
        <v>0.12863147557313326</v>
      </c>
      <c r="D781" s="30">
        <v>0.13339927169950805</v>
      </c>
      <c r="E781" s="31">
        <f ca="1">B781-D781</f>
        <v>0</v>
      </c>
    </row>
    <row r="782" spans="1:5" x14ac:dyDescent="0.25">
      <c r="A782" s="21">
        <v>781</v>
      </c>
      <c r="B782" s="5" cm="1">
        <f t="array" aca="1" ref="B782" ca="1">interpolexp(A782,serie_du,Taxas_DI)</f>
        <v>0.13339315407445707</v>
      </c>
      <c r="C782" s="32">
        <f ca="1">((((1+B782)^(A782/252))/((1+B781)^(A781/252)))^(252/1))-1</f>
        <v>0.12863145014699628</v>
      </c>
      <c r="D782" s="30">
        <v>0.13339315407445707</v>
      </c>
      <c r="E782" s="31">
        <f ca="1">B782-D782</f>
        <v>0</v>
      </c>
    </row>
    <row r="783" spans="1:5" x14ac:dyDescent="0.25">
      <c r="A783" s="21">
        <v>782</v>
      </c>
      <c r="B783" s="5" cm="1">
        <f t="array" aca="1" ref="B783" ca="1">interpolexp(A783,serie_du,Taxas_DI)</f>
        <v>0.13338705209589019</v>
      </c>
      <c r="C783" s="32">
        <f ca="1">((((1+B783)^(A783/252))/((1+B782)^(A782/252)))^(252/1))-1</f>
        <v>0.12863142483109002</v>
      </c>
      <c r="D783" s="30">
        <v>0.13338705209589019</v>
      </c>
      <c r="E783" s="31">
        <f ca="1">B783-D783</f>
        <v>0</v>
      </c>
    </row>
    <row r="784" spans="1:5" x14ac:dyDescent="0.25">
      <c r="A784" s="21">
        <v>783</v>
      </c>
      <c r="B784" s="5" cm="1">
        <f t="array" aca="1" ref="B784" ca="1">interpolexp(A784,serie_du,Taxas_DI)</f>
        <v>0.13338096570385538</v>
      </c>
      <c r="C784" s="32">
        <f ca="1">((((1+B784)^(A784/252))/((1+B783)^(A783/252)))^(252/1))-1</f>
        <v>0.12863139961014758</v>
      </c>
      <c r="D784" s="30">
        <v>0.13338096570385538</v>
      </c>
      <c r="E784" s="31">
        <f ca="1">B784-D784</f>
        <v>0</v>
      </c>
    </row>
    <row r="785" spans="1:5" x14ac:dyDescent="0.25">
      <c r="A785" s="21">
        <v>784</v>
      </c>
      <c r="B785" s="5" cm="1">
        <f t="array" aca="1" ref="B785" ca="1">interpolexp(A785,serie_du,Taxas_DI)</f>
        <v>0.13337644770692325</v>
      </c>
      <c r="C785" s="32">
        <f ca="1">((((1+B785)^(A785/252))/((1+B784)^(A784/252)))^(252/1))-1</f>
        <v>0.12984437831529183</v>
      </c>
      <c r="D785" s="30">
        <v>0.13337644770692325</v>
      </c>
      <c r="E785" s="31">
        <f ca="1">B785-D785</f>
        <v>0</v>
      </c>
    </row>
    <row r="786" spans="1:5" x14ac:dyDescent="0.25">
      <c r="A786" s="21">
        <v>785</v>
      </c>
      <c r="B786" s="5" cm="1">
        <f t="array" aca="1" ref="B786" ca="1">interpolexp(A786,serie_du,Taxas_DI)</f>
        <v>0.13337194122100549</v>
      </c>
      <c r="C786" s="32">
        <f ca="1">((((1+B786)^(A786/252))/((1+B785)^(A785/252)))^(252/1))-1</f>
        <v>0.1298443644271734</v>
      </c>
      <c r="D786" s="30">
        <v>0.13337194122100549</v>
      </c>
      <c r="E786" s="31">
        <f ca="1">B786-D786</f>
        <v>0</v>
      </c>
    </row>
    <row r="787" spans="1:5" x14ac:dyDescent="0.25">
      <c r="A787" s="21">
        <v>786</v>
      </c>
      <c r="B787" s="5" cm="1">
        <f t="array" aca="1" ref="B787" ca="1">interpolexp(A787,serie_du,Taxas_DI)</f>
        <v>0.13336744620218166</v>
      </c>
      <c r="C787" s="32">
        <f ca="1">((((1+B787)^(A787/252))/((1+B786)^(A786/252)))^(252/1))-1</f>
        <v>0.12984435060401966</v>
      </c>
      <c r="D787" s="30">
        <v>0.13336744620218166</v>
      </c>
      <c r="E787" s="31">
        <f ca="1">B787-D787</f>
        <v>0</v>
      </c>
    </row>
    <row r="788" spans="1:5" x14ac:dyDescent="0.25">
      <c r="A788" s="21">
        <v>787</v>
      </c>
      <c r="B788" s="5" cm="1">
        <f t="array" aca="1" ref="B788" ca="1">interpolexp(A788,serie_du,Taxas_DI)</f>
        <v>0.13336296260673119</v>
      </c>
      <c r="C788" s="32">
        <f ca="1">((((1+B788)^(A788/252))/((1+B787)^(A787/252)))^(252/1))-1</f>
        <v>0.12984433682724372</v>
      </c>
      <c r="D788" s="30">
        <v>0.13336296260673119</v>
      </c>
      <c r="E788" s="31">
        <f ca="1">B788-D788</f>
        <v>0</v>
      </c>
    </row>
    <row r="789" spans="1:5" x14ac:dyDescent="0.25">
      <c r="A789" s="21">
        <v>788</v>
      </c>
      <c r="B789" s="5" cm="1">
        <f t="array" aca="1" ref="B789" ca="1">interpolexp(A789,serie_du,Taxas_DI)</f>
        <v>0.13335849039117775</v>
      </c>
      <c r="C789" s="32">
        <f ca="1">((((1+B789)^(A789/252))/((1+B788)^(A788/252)))^(252/1))-1</f>
        <v>0.12984432311424343</v>
      </c>
      <c r="D789" s="30">
        <v>0.13335849039117775</v>
      </c>
      <c r="E789" s="31">
        <f ca="1">B789-D789</f>
        <v>0</v>
      </c>
    </row>
    <row r="790" spans="1:5" x14ac:dyDescent="0.25">
      <c r="A790" s="21">
        <v>789</v>
      </c>
      <c r="B790" s="5" cm="1">
        <f t="array" aca="1" ref="B790" ca="1">interpolexp(A790,serie_du,Taxas_DI)</f>
        <v>0.13335402951220043</v>
      </c>
      <c r="C790" s="32">
        <f ca="1">((((1+B790)^(A790/252))/((1+B789)^(A789/252)))^(252/1))-1</f>
        <v>0.1298443094134345</v>
      </c>
      <c r="D790" s="30">
        <v>0.13335402951220043</v>
      </c>
      <c r="E790" s="31">
        <f ca="1">B790-D790</f>
        <v>0</v>
      </c>
    </row>
    <row r="791" spans="1:5" x14ac:dyDescent="0.25">
      <c r="A791" s="21">
        <v>790</v>
      </c>
      <c r="B791" s="5" cm="1">
        <f t="array" aca="1" ref="B791" ca="1">interpolexp(A791,serie_du,Taxas_DI)</f>
        <v>0.1333495799268114</v>
      </c>
      <c r="C791" s="32">
        <f ca="1">((((1+B791)^(A791/252))/((1+B790)^(A790/252)))^(252/1))-1</f>
        <v>0.12984429581434465</v>
      </c>
      <c r="D791" s="30">
        <v>0.1333495799268114</v>
      </c>
      <c r="E791" s="31">
        <f ca="1">B791-D791</f>
        <v>0</v>
      </c>
    </row>
    <row r="792" spans="1:5" x14ac:dyDescent="0.25">
      <c r="A792" s="21">
        <v>791</v>
      </c>
      <c r="B792" s="5" cm="1">
        <f t="array" aca="1" ref="B792" ca="1">interpolexp(A792,serie_du,Taxas_DI)</f>
        <v>0.13334514159215605</v>
      </c>
      <c r="C792" s="32">
        <f ca="1">((((1+B792)^(A792/252))/((1+B791)^(A791/252)))^(252/1))-1</f>
        <v>0.12984428225008116</v>
      </c>
      <c r="D792" s="30">
        <v>0.13334514159215605</v>
      </c>
      <c r="E792" s="31">
        <f ca="1">B792-D792</f>
        <v>0</v>
      </c>
    </row>
    <row r="793" spans="1:5" x14ac:dyDescent="0.25">
      <c r="A793" s="21">
        <v>792</v>
      </c>
      <c r="B793" s="5" cm="1">
        <f t="array" aca="1" ref="B793" ca="1">interpolexp(A793,serie_du,Taxas_DI)</f>
        <v>0.13334071446560181</v>
      </c>
      <c r="C793" s="32">
        <f ca="1">((((1+B793)^(A793/252))/((1+B792)^(A792/252)))^(252/1))-1</f>
        <v>0.12984426872502075</v>
      </c>
      <c r="D793" s="30">
        <v>0.13334071446560181</v>
      </c>
      <c r="E793" s="31">
        <f ca="1">B793-D793</f>
        <v>0</v>
      </c>
    </row>
    <row r="794" spans="1:5" x14ac:dyDescent="0.25">
      <c r="A794" s="21">
        <v>793</v>
      </c>
      <c r="B794" s="5" cm="1">
        <f t="array" aca="1" ref="B794" ca="1">interpolexp(A794,serie_du,Taxas_DI)</f>
        <v>0.13333629850476036</v>
      </c>
      <c r="C794" s="32">
        <f ca="1">((((1+B794)^(A794/252))/((1+B793)^(A793/252)))^(252/1))-1</f>
        <v>0.12984425526190524</v>
      </c>
      <c r="D794" s="30">
        <v>0.13333629850476036</v>
      </c>
      <c r="E794" s="31">
        <f ca="1">B794-D794</f>
        <v>0</v>
      </c>
    </row>
    <row r="795" spans="1:5" x14ac:dyDescent="0.25">
      <c r="A795" s="21">
        <v>794</v>
      </c>
      <c r="B795" s="5" cm="1">
        <f t="array" aca="1" ref="B795" ca="1">interpolexp(A795,serie_du,Taxas_DI)</f>
        <v>0.13333189366744325</v>
      </c>
      <c r="C795" s="32">
        <f ca="1">((((1+B795)^(A795/252))/((1+B794)^(A794/252)))^(252/1))-1</f>
        <v>0.12984424184965082</v>
      </c>
      <c r="D795" s="30">
        <v>0.13333189366744325</v>
      </c>
      <c r="E795" s="31">
        <f ca="1">B795-D795</f>
        <v>0</v>
      </c>
    </row>
    <row r="796" spans="1:5" x14ac:dyDescent="0.25">
      <c r="A796" s="21">
        <v>795</v>
      </c>
      <c r="B796" s="5" cm="1">
        <f t="array" aca="1" ref="B796" ca="1">interpolexp(A796,serie_du,Taxas_DI)</f>
        <v>0.13332749991168402</v>
      </c>
      <c r="C796" s="32">
        <f ca="1">((((1+B796)^(A796/252))/((1+B795)^(A795/252)))^(252/1))-1</f>
        <v>0.12984422849573996</v>
      </c>
      <c r="D796" s="30">
        <v>0.13332749991168402</v>
      </c>
      <c r="E796" s="31">
        <f ca="1">B796-D796</f>
        <v>0</v>
      </c>
    </row>
    <row r="797" spans="1:5" x14ac:dyDescent="0.25">
      <c r="A797" s="21">
        <v>796</v>
      </c>
      <c r="B797" s="5" cm="1">
        <f t="array" aca="1" ref="B797" ca="1">interpolexp(A797,serie_du,Taxas_DI)</f>
        <v>0.13332311719567169</v>
      </c>
      <c r="C797" s="32">
        <f ca="1">((((1+B797)^(A797/252))/((1+B796)^(A796/252)))^(252/1))-1</f>
        <v>0.12984421515585476</v>
      </c>
      <c r="D797" s="30">
        <v>0.13332311719567169</v>
      </c>
      <c r="E797" s="31">
        <f ca="1">B797-D797</f>
        <v>0</v>
      </c>
    </row>
    <row r="798" spans="1:5" x14ac:dyDescent="0.25">
      <c r="A798" s="21">
        <v>797</v>
      </c>
      <c r="B798" s="5" cm="1">
        <f t="array" aca="1" ref="B798" ca="1">interpolexp(A798,serie_du,Taxas_DI)</f>
        <v>0.13331874547790612</v>
      </c>
      <c r="C798" s="32">
        <f ca="1">((((1+B798)^(A798/252))/((1+B797)^(A797/252)))^(252/1))-1</f>
        <v>0.12984420191008494</v>
      </c>
      <c r="D798" s="30">
        <v>0.13331874547790612</v>
      </c>
      <c r="E798" s="31">
        <f ca="1">B798-D798</f>
        <v>0</v>
      </c>
    </row>
    <row r="799" spans="1:5" x14ac:dyDescent="0.25">
      <c r="A799" s="21">
        <v>798</v>
      </c>
      <c r="B799" s="5" cm="1">
        <f t="array" aca="1" ref="B799" ca="1">interpolexp(A799,serie_du,Taxas_DI)</f>
        <v>0.1333143847170204</v>
      </c>
      <c r="C799" s="32">
        <f ca="1">((((1+B799)^(A799/252))/((1+B798)^(A798/252)))^(252/1))-1</f>
        <v>0.12984418869864101</v>
      </c>
      <c r="D799" s="30">
        <v>0.1333143847170204</v>
      </c>
      <c r="E799" s="31">
        <f ca="1">B799-D799</f>
        <v>0</v>
      </c>
    </row>
    <row r="800" spans="1:5" x14ac:dyDescent="0.25">
      <c r="A800" s="21">
        <v>799</v>
      </c>
      <c r="B800" s="5" cm="1">
        <f t="array" aca="1" ref="B800" ca="1">interpolexp(A800,serie_du,Taxas_DI)</f>
        <v>0.13331003487184745</v>
      </c>
      <c r="C800" s="32">
        <f ca="1">((((1+B800)^(A800/252))/((1+B799)^(A799/252)))^(252/1))-1</f>
        <v>0.12984417551551042</v>
      </c>
      <c r="D800" s="30">
        <v>0.13331003487184745</v>
      </c>
      <c r="E800" s="31">
        <f ca="1">B800-D800</f>
        <v>0</v>
      </c>
    </row>
    <row r="801" spans="1:5" x14ac:dyDescent="0.25">
      <c r="A801" s="21">
        <v>800</v>
      </c>
      <c r="B801" s="5" cm="1">
        <f t="array" aca="1" ref="B801" ca="1">interpolexp(A801,serie_du,Taxas_DI)</f>
        <v>0.13330569590150887</v>
      </c>
      <c r="C801" s="32">
        <f ca="1">((((1+B801)^(A801/252))/((1+B800)^(A800/252)))^(252/1))-1</f>
        <v>0.12984416242641084</v>
      </c>
      <c r="D801" s="30">
        <v>0.13330569590150887</v>
      </c>
      <c r="E801" s="31">
        <f ca="1">B801-D801</f>
        <v>0</v>
      </c>
    </row>
    <row r="802" spans="1:5" x14ac:dyDescent="0.25">
      <c r="A802" s="21">
        <v>801</v>
      </c>
      <c r="B802" s="5" cm="1">
        <f t="array" aca="1" ref="B802" ca="1">interpolexp(A802,serie_du,Taxas_DI)</f>
        <v>0.13330136776521506</v>
      </c>
      <c r="C802" s="32">
        <f ca="1">((((1+B802)^(A802/252))/((1+B801)^(A801/252)))^(252/1))-1</f>
        <v>0.12984414933922417</v>
      </c>
      <c r="D802" s="30">
        <v>0.13330136776521506</v>
      </c>
      <c r="E802" s="31">
        <f ca="1">B802-D802</f>
        <v>0</v>
      </c>
    </row>
    <row r="803" spans="1:5" x14ac:dyDescent="0.25">
      <c r="A803" s="21">
        <v>802</v>
      </c>
      <c r="B803" s="5" cm="1">
        <f t="array" aca="1" ref="B803" ca="1">interpolexp(A803,serie_du,Taxas_DI)</f>
        <v>0.13329705042246509</v>
      </c>
      <c r="C803" s="32">
        <f ca="1">((((1+B803)^(A803/252))/((1+B802)^(A802/252)))^(252/1))-1</f>
        <v>0.12984413632154679</v>
      </c>
      <c r="D803" s="30">
        <v>0.13329705042246509</v>
      </c>
      <c r="E803" s="31">
        <f ca="1">B803-D803</f>
        <v>0</v>
      </c>
    </row>
    <row r="804" spans="1:5" x14ac:dyDescent="0.25">
      <c r="A804" s="21">
        <v>803</v>
      </c>
      <c r="B804" s="5" cm="1">
        <f t="array" aca="1" ref="B804" ca="1">interpolexp(A804,serie_du,Taxas_DI)</f>
        <v>0.13329274383293566</v>
      </c>
      <c r="C804" s="32">
        <f ca="1">((((1+B804)^(A804/252))/((1+B803)^(A803/252)))^(252/1))-1</f>
        <v>0.12984412335405637</v>
      </c>
      <c r="D804" s="30">
        <v>0.13329274383293566</v>
      </c>
      <c r="E804" s="31">
        <f ca="1">B804-D804</f>
        <v>0</v>
      </c>
    </row>
    <row r="805" spans="1:5" x14ac:dyDescent="0.25">
      <c r="A805" s="21">
        <v>804</v>
      </c>
      <c r="B805" s="5" cm="1">
        <f t="array" aca="1" ref="B805" ca="1">interpolexp(A805,serie_du,Taxas_DI)</f>
        <v>0.1332884479565033</v>
      </c>
      <c r="C805" s="32">
        <f ca="1">((((1+B805)^(A805/252))/((1+B804)^(A804/252)))^(252/1))-1</f>
        <v>0.12984411043586097</v>
      </c>
      <c r="D805" s="30">
        <v>0.1332884479565033</v>
      </c>
      <c r="E805" s="31">
        <f ca="1">B805-D805</f>
        <v>0</v>
      </c>
    </row>
    <row r="806" spans="1:5" x14ac:dyDescent="0.25">
      <c r="A806" s="21">
        <v>805</v>
      </c>
      <c r="B806" s="5" cm="1">
        <f t="array" aca="1" ref="B806" ca="1">interpolexp(A806,serie_du,Taxas_DI)</f>
        <v>0.1332841627532444</v>
      </c>
      <c r="C806" s="32">
        <f ca="1">((((1+B806)^(A806/252))/((1+B805)^(A805/252)))^(252/1))-1</f>
        <v>0.12984409756696458</v>
      </c>
      <c r="D806" s="30">
        <v>0.1332841627532444</v>
      </c>
      <c r="E806" s="31">
        <f ca="1">B806-D806</f>
        <v>0</v>
      </c>
    </row>
    <row r="807" spans="1:5" x14ac:dyDescent="0.25">
      <c r="A807" s="21">
        <v>806</v>
      </c>
      <c r="B807" s="5" cm="1">
        <f t="array" aca="1" ref="B807" ca="1">interpolexp(A807,serie_du,Taxas_DI)</f>
        <v>0.13327988818343517</v>
      </c>
      <c r="C807" s="32">
        <f ca="1">((((1+B807)^(A807/252))/((1+B806)^(A806/252)))^(252/1))-1</f>
        <v>0.12984408474858644</v>
      </c>
      <c r="D807" s="30">
        <v>0.13327988818343517</v>
      </c>
      <c r="E807" s="31">
        <f ca="1">B807-D807</f>
        <v>0</v>
      </c>
    </row>
    <row r="808" spans="1:5" x14ac:dyDescent="0.25">
      <c r="A808" s="21">
        <v>807</v>
      </c>
      <c r="B808" s="5" cm="1">
        <f t="array" aca="1" ref="B808" ca="1">interpolexp(A808,serie_du,Taxas_DI)</f>
        <v>0.13327562420750727</v>
      </c>
      <c r="C808" s="32">
        <f ca="1">((((1+B808)^(A808/252))/((1+B807)^(A807/252)))^(252/1))-1</f>
        <v>0.12984407194717096</v>
      </c>
      <c r="D808" s="30">
        <v>0.13327562420750727</v>
      </c>
      <c r="E808" s="31">
        <f ca="1">B808-D808</f>
        <v>0</v>
      </c>
    </row>
    <row r="809" spans="1:5" x14ac:dyDescent="0.25">
      <c r="A809" s="21">
        <v>808</v>
      </c>
      <c r="B809" s="5" cm="1">
        <f t="array" aca="1" ref="B809" ca="1">interpolexp(A809,serie_du,Taxas_DI)</f>
        <v>0.13327137078618101</v>
      </c>
      <c r="C809" s="32">
        <f ca="1">((((1+B809)^(A809/252))/((1+B808)^(A808/252)))^(252/1))-1</f>
        <v>0.12984405923712594</v>
      </c>
      <c r="D809" s="30">
        <v>0.13327137078618101</v>
      </c>
      <c r="E809" s="31">
        <f ca="1">B809-D809</f>
        <v>0</v>
      </c>
    </row>
    <row r="810" spans="1:5" x14ac:dyDescent="0.25">
      <c r="A810" s="21">
        <v>809</v>
      </c>
      <c r="B810" s="5" cm="1">
        <f t="array" aca="1" ref="B810" ca="1">interpolexp(A810,serie_du,Taxas_DI)</f>
        <v>0.13326712788028772</v>
      </c>
      <c r="C810" s="32">
        <f ca="1">((((1+B810)^(A810/252))/((1+B809)^(A809/252)))^(252/1))-1</f>
        <v>0.12984404655112902</v>
      </c>
      <c r="D810" s="30">
        <v>0.13326712788028772</v>
      </c>
      <c r="E810" s="31">
        <f ca="1">B810-D810</f>
        <v>0</v>
      </c>
    </row>
    <row r="811" spans="1:5" x14ac:dyDescent="0.25">
      <c r="A811" s="21">
        <v>810</v>
      </c>
      <c r="B811" s="5" cm="1">
        <f t="array" aca="1" ref="B811" ca="1">interpolexp(A811,serie_du,Taxas_DI)</f>
        <v>0.13326289545088077</v>
      </c>
      <c r="C811" s="32">
        <f ca="1">((((1+B811)^(A811/252))/((1+B810)^(A810/252)))^(252/1))-1</f>
        <v>0.12984403391219135</v>
      </c>
      <c r="D811" s="30">
        <v>0.13326289545088077</v>
      </c>
      <c r="E811" s="31">
        <f ca="1">B811-D811</f>
        <v>0</v>
      </c>
    </row>
    <row r="812" spans="1:5" x14ac:dyDescent="0.25">
      <c r="A812" s="21">
        <v>811</v>
      </c>
      <c r="B812" s="5" cm="1">
        <f t="array" aca="1" ref="B812" ca="1">interpolexp(A812,serie_du,Taxas_DI)</f>
        <v>0.13325867345921338</v>
      </c>
      <c r="C812" s="32">
        <f ca="1">((((1+B812)^(A812/252))/((1+B811)^(A811/252)))^(252/1))-1</f>
        <v>0.12984402132618977</v>
      </c>
      <c r="D812" s="30">
        <v>0.13325867345921338</v>
      </c>
      <c r="E812" s="31">
        <f ca="1">B812-D812</f>
        <v>0</v>
      </c>
    </row>
    <row r="813" spans="1:5" x14ac:dyDescent="0.25">
      <c r="A813" s="21">
        <v>812</v>
      </c>
      <c r="B813" s="5" cm="1">
        <f t="array" aca="1" ref="B813" ca="1">interpolexp(A813,serie_du,Taxas_DI)</f>
        <v>0.13325446186671641</v>
      </c>
      <c r="C813" s="32">
        <f ca="1">((((1+B813)^(A813/252))/((1+B812)^(A812/252)))^(252/1))-1</f>
        <v>0.1298440087821715</v>
      </c>
      <c r="D813" s="30">
        <v>0.13325446186671641</v>
      </c>
      <c r="E813" s="31">
        <f ca="1">B813-D813</f>
        <v>0</v>
      </c>
    </row>
    <row r="814" spans="1:5" x14ac:dyDescent="0.25">
      <c r="A814" s="21">
        <v>813</v>
      </c>
      <c r="B814" s="5" cm="1">
        <f t="array" aca="1" ref="B814" ca="1">interpolexp(A814,serie_du,Taxas_DI)</f>
        <v>0.13325026063499834</v>
      </c>
      <c r="C814" s="32">
        <f ca="1">((((1+B814)^(A814/252))/((1+B813)^(A813/252)))^(252/1))-1</f>
        <v>0.12984399627009635</v>
      </c>
      <c r="D814" s="30">
        <v>0.13325026063499834</v>
      </c>
      <c r="E814" s="31">
        <f ca="1">B814-D814</f>
        <v>0</v>
      </c>
    </row>
    <row r="815" spans="1:5" x14ac:dyDescent="0.25">
      <c r="A815" s="21">
        <v>814</v>
      </c>
      <c r="B815" s="5" cm="1">
        <f t="array" aca="1" ref="B815" ca="1">interpolexp(A815,serie_du,Taxas_DI)</f>
        <v>0.13324606972591191</v>
      </c>
      <c r="C815" s="32">
        <f ca="1">((((1+B815)^(A815/252))/((1+B814)^(A814/252)))^(252/1))-1</f>
        <v>0.12984398383507667</v>
      </c>
      <c r="D815" s="30">
        <v>0.13324606972591191</v>
      </c>
      <c r="E815" s="31">
        <f ca="1">B815-D815</f>
        <v>0</v>
      </c>
    </row>
    <row r="816" spans="1:5" x14ac:dyDescent="0.25">
      <c r="A816" s="21">
        <v>815</v>
      </c>
      <c r="B816" s="5" cm="1">
        <f t="array" aca="1" ref="B816" ca="1">interpolexp(A816,serie_du,Taxas_DI)</f>
        <v>0.13324188910144308</v>
      </c>
      <c r="C816" s="32">
        <f ca="1">((((1+B816)^(A816/252))/((1+B815)^(A815/252)))^(252/1))-1</f>
        <v>0.12984397143261495</v>
      </c>
      <c r="D816" s="30">
        <v>0.13324188910144308</v>
      </c>
      <c r="E816" s="31">
        <f ca="1">B816-D816</f>
        <v>0</v>
      </c>
    </row>
    <row r="817" spans="1:5" x14ac:dyDescent="0.25">
      <c r="A817" s="21">
        <v>816</v>
      </c>
      <c r="B817" s="5" cm="1">
        <f t="array" aca="1" ref="B817" ca="1">interpolexp(A817,serie_du,Taxas_DI)</f>
        <v>0.13323771872375545</v>
      </c>
      <c r="C817" s="32">
        <f ca="1">((((1+B817)^(A817/252))/((1+B816)^(A816/252)))^(252/1))-1</f>
        <v>0.12984395905572521</v>
      </c>
      <c r="D817" s="30">
        <v>0.13323771872375545</v>
      </c>
      <c r="E817" s="31">
        <f ca="1">B817-D817</f>
        <v>0</v>
      </c>
    </row>
    <row r="818" spans="1:5" x14ac:dyDescent="0.25">
      <c r="A818" s="21">
        <v>817</v>
      </c>
      <c r="B818" s="5" cm="1">
        <f t="array" aca="1" ref="B818" ca="1">interpolexp(A818,serie_du,Taxas_DI)</f>
        <v>0.13323355855527907</v>
      </c>
      <c r="C818" s="32">
        <f ca="1">((((1+B818)^(A818/252))/((1+B817)^(A817/252)))^(252/1))-1</f>
        <v>0.1298439467701733</v>
      </c>
      <c r="D818" s="30">
        <v>0.13323355855527907</v>
      </c>
      <c r="E818" s="31">
        <f ca="1">B818-D818</f>
        <v>0</v>
      </c>
    </row>
    <row r="819" spans="1:5" x14ac:dyDescent="0.25">
      <c r="A819" s="21">
        <v>818</v>
      </c>
      <c r="B819" s="5" cm="1">
        <f t="array" aca="1" ref="B819" ca="1">interpolexp(A819,serie_du,Taxas_DI)</f>
        <v>0.13322940855851062</v>
      </c>
      <c r="C819" s="32">
        <f ca="1">((((1+B819)^(A819/252))/((1+B818)^(A818/252)))^(252/1))-1</f>
        <v>0.1298439344802742</v>
      </c>
      <c r="D819" s="30">
        <v>0.13322940855851062</v>
      </c>
      <c r="E819" s="31">
        <f ca="1">B819-D819</f>
        <v>0</v>
      </c>
    </row>
    <row r="820" spans="1:5" x14ac:dyDescent="0.25">
      <c r="A820" s="21">
        <v>819</v>
      </c>
      <c r="B820" s="5" cm="1">
        <f t="array" aca="1" ref="B820" ca="1">interpolexp(A820,serie_du,Taxas_DI)</f>
        <v>0.13322526869621321</v>
      </c>
      <c r="C820" s="32">
        <f ca="1">((((1+B820)^(A820/252))/((1+B819)^(A819/252)))^(252/1))-1</f>
        <v>0.1298439222537302</v>
      </c>
      <c r="D820" s="30">
        <v>0.13322526869621321</v>
      </c>
      <c r="E820" s="31">
        <f ca="1">B820-D820</f>
        <v>0</v>
      </c>
    </row>
    <row r="821" spans="1:5" x14ac:dyDescent="0.25">
      <c r="A821" s="21">
        <v>820</v>
      </c>
      <c r="B821" s="5" cm="1">
        <f t="array" aca="1" ref="B821" ca="1">interpolexp(A821,serie_du,Taxas_DI)</f>
        <v>0.13322113893132759</v>
      </c>
      <c r="C821" s="32">
        <f ca="1">((((1+B821)^(A821/252))/((1+B820)^(A820/252)))^(252/1))-1</f>
        <v>0.12984391008727325</v>
      </c>
      <c r="D821" s="30">
        <v>0.13322113893132759</v>
      </c>
      <c r="E821" s="31">
        <f ca="1">B821-D821</f>
        <v>0</v>
      </c>
    </row>
    <row r="822" spans="1:5" x14ac:dyDescent="0.25">
      <c r="A822" s="21">
        <v>821</v>
      </c>
      <c r="B822" s="5" cm="1">
        <f t="array" aca="1" ref="B822" ca="1">interpolexp(A822,serie_du,Taxas_DI)</f>
        <v>0.13321701922692775</v>
      </c>
      <c r="C822" s="32">
        <f ca="1">((((1+B822)^(A822/252))/((1+B821)^(A821/252)))^(252/1))-1</f>
        <v>0.12984389794174134</v>
      </c>
      <c r="D822" s="30">
        <v>0.13321701922692775</v>
      </c>
      <c r="E822" s="31">
        <f ca="1">B822-D822</f>
        <v>0</v>
      </c>
    </row>
    <row r="823" spans="1:5" x14ac:dyDescent="0.25">
      <c r="A823" s="21">
        <v>822</v>
      </c>
      <c r="B823" s="5" cm="1">
        <f t="array" aca="1" ref="B823" ca="1">interpolexp(A823,serie_du,Taxas_DI)</f>
        <v>0.13321290954630971</v>
      </c>
      <c r="C823" s="32">
        <f ca="1">((((1+B823)^(A823/252))/((1+B822)^(A822/252)))^(252/1))-1</f>
        <v>0.12984388585159801</v>
      </c>
      <c r="D823" s="30">
        <v>0.13321290954630971</v>
      </c>
      <c r="E823" s="31">
        <f ca="1">B823-D823</f>
        <v>0</v>
      </c>
    </row>
    <row r="824" spans="1:5" x14ac:dyDescent="0.25">
      <c r="A824" s="21">
        <v>823</v>
      </c>
      <c r="B824" s="5" cm="1">
        <f t="array" aca="1" ref="B824" ca="1">interpolexp(A824,serie_du,Taxas_DI)</f>
        <v>0.13320880985292494</v>
      </c>
      <c r="C824" s="32">
        <f ca="1">((((1+B824)^(A824/252))/((1+B823)^(A823/252)))^(252/1))-1</f>
        <v>0.12984387379789863</v>
      </c>
      <c r="D824" s="30">
        <v>0.13320880985292494</v>
      </c>
      <c r="E824" s="31">
        <f ca="1">B824-D824</f>
        <v>0</v>
      </c>
    </row>
    <row r="825" spans="1:5" x14ac:dyDescent="0.25">
      <c r="A825" s="21">
        <v>824</v>
      </c>
      <c r="B825" s="5" cm="1">
        <f t="array" aca="1" ref="B825" ca="1">interpolexp(A825,serie_du,Taxas_DI)</f>
        <v>0.13320472011044693</v>
      </c>
      <c r="C825" s="32">
        <f ca="1">((((1+B825)^(A825/252))/((1+B824)^(A824/252)))^(252/1))-1</f>
        <v>0.12984386181711072</v>
      </c>
      <c r="D825" s="30">
        <v>0.13320472011044693</v>
      </c>
      <c r="E825" s="31">
        <f ca="1">B825-D825</f>
        <v>0</v>
      </c>
    </row>
    <row r="826" spans="1:5" x14ac:dyDescent="0.25">
      <c r="A826" s="21">
        <v>825</v>
      </c>
      <c r="B826" s="5" cm="1">
        <f t="array" aca="1" ref="B826" ca="1">interpolexp(A826,serie_du,Taxas_DI)</f>
        <v>0.13320064028263801</v>
      </c>
      <c r="C826" s="32">
        <f ca="1">((((1+B826)^(A826/252))/((1+B825)^(A825/252)))^(252/1))-1</f>
        <v>0.12984384983706776</v>
      </c>
      <c r="D826" s="30">
        <v>0.13320064028263801</v>
      </c>
      <c r="E826" s="31">
        <f ca="1">B826-D826</f>
        <v>0</v>
      </c>
    </row>
    <row r="827" spans="1:5" x14ac:dyDescent="0.25">
      <c r="A827" s="21">
        <v>826</v>
      </c>
      <c r="B827" s="5" cm="1">
        <f t="array" aca="1" ref="B827" ca="1">interpolexp(A827,serie_du,Taxas_DI)</f>
        <v>0.13319657033352694</v>
      </c>
      <c r="C827" s="32">
        <f ca="1">((((1+B827)^(A827/252))/((1+B826)^(A826/252)))^(252/1))-1</f>
        <v>0.12984383793260479</v>
      </c>
      <c r="D827" s="30">
        <v>0.13319657033352694</v>
      </c>
      <c r="E827" s="31">
        <f ca="1">B827-D827</f>
        <v>0</v>
      </c>
    </row>
    <row r="828" spans="1:5" x14ac:dyDescent="0.25">
      <c r="A828" s="21">
        <v>827</v>
      </c>
      <c r="B828" s="5" cm="1">
        <f t="array" aca="1" ref="B828" ca="1">interpolexp(A828,serie_du,Taxas_DI)</f>
        <v>0.13319251022725354</v>
      </c>
      <c r="C828" s="32">
        <f ca="1">((((1+B828)^(A828/252))/((1+B827)^(A827/252)))^(252/1))-1</f>
        <v>0.12984382605154288</v>
      </c>
      <c r="D828" s="30">
        <v>0.13319251022725354</v>
      </c>
      <c r="E828" s="31">
        <f ca="1">B828-D828</f>
        <v>0</v>
      </c>
    </row>
    <row r="829" spans="1:5" x14ac:dyDescent="0.25">
      <c r="A829" s="21">
        <v>828</v>
      </c>
      <c r="B829" s="5" cm="1">
        <f t="array" aca="1" ref="B829" ca="1">interpolexp(A829,serie_du,Taxas_DI)</f>
        <v>0.13318845992815742</v>
      </c>
      <c r="C829" s="32">
        <f ca="1">((((1+B829)^(A829/252))/((1+B828)^(A828/252)))^(252/1))-1</f>
        <v>0.12984381421560109</v>
      </c>
      <c r="D829" s="30">
        <v>0.13318845992815742</v>
      </c>
      <c r="E829" s="31">
        <f ca="1">B829-D829</f>
        <v>0</v>
      </c>
    </row>
    <row r="830" spans="1:5" x14ac:dyDescent="0.25">
      <c r="A830" s="21">
        <v>829</v>
      </c>
      <c r="B830" s="5" cm="1">
        <f t="array" aca="1" ref="B830" ca="1">interpolexp(A830,serie_du,Taxas_DI)</f>
        <v>0.13318441940077808</v>
      </c>
      <c r="C830" s="32">
        <f ca="1">((((1+B830)^(A830/252))/((1+B829)^(A829/252)))^(252/1))-1</f>
        <v>0.12984380244759719</v>
      </c>
      <c r="D830" s="30">
        <v>0.13318441940077808</v>
      </c>
      <c r="E830" s="31">
        <f ca="1">B830-D830</f>
        <v>0</v>
      </c>
    </row>
    <row r="831" spans="1:5" x14ac:dyDescent="0.25">
      <c r="A831" s="21">
        <v>830</v>
      </c>
      <c r="B831" s="5" cm="1">
        <f t="array" aca="1" ref="B831" ca="1">interpolexp(A831,serie_du,Taxas_DI)</f>
        <v>0.13318038860974379</v>
      </c>
      <c r="C831" s="32">
        <f ca="1">((((1+B831)^(A831/252))/((1+B830)^(A830/252)))^(252/1))-1</f>
        <v>0.12984379067932572</v>
      </c>
      <c r="D831" s="30">
        <v>0.13318038860974379</v>
      </c>
      <c r="E831" s="31">
        <f ca="1">B831-D831</f>
        <v>0</v>
      </c>
    </row>
    <row r="832" spans="1:5" x14ac:dyDescent="0.25">
      <c r="A832" s="21">
        <v>831</v>
      </c>
      <c r="B832" s="5" cm="1">
        <f t="array" aca="1" ref="B832" ca="1">interpolexp(A832,serie_du,Taxas_DI)</f>
        <v>0.13317636751994932</v>
      </c>
      <c r="C832" s="32">
        <f ca="1">((((1+B832)^(A832/252))/((1+B831)^(A831/252)))^(252/1))-1</f>
        <v>0.12984377899042432</v>
      </c>
      <c r="D832" s="30">
        <v>0.13317636751994932</v>
      </c>
      <c r="E832" s="31">
        <f ca="1">B832-D832</f>
        <v>0</v>
      </c>
    </row>
    <row r="833" spans="1:5" x14ac:dyDescent="0.25">
      <c r="A833" s="21">
        <v>832</v>
      </c>
      <c r="B833" s="5" cm="1">
        <f t="array" aca="1" ref="B833" ca="1">interpolexp(A833,serie_du,Taxas_DI)</f>
        <v>0.13317235609637823</v>
      </c>
      <c r="C833" s="32">
        <f ca="1">((((1+B833)^(A833/252))/((1+B832)^(A832/252)))^(252/1))-1</f>
        <v>0.12984376731412106</v>
      </c>
      <c r="D833" s="30">
        <v>0.13317235609637823</v>
      </c>
      <c r="E833" s="31">
        <f ca="1">B833-D833</f>
        <v>0</v>
      </c>
    </row>
    <row r="834" spans="1:5" x14ac:dyDescent="0.25">
      <c r="A834" s="21">
        <v>833</v>
      </c>
      <c r="B834" s="5" cm="1">
        <f t="array" aca="1" ref="B834" ca="1">interpolexp(A834,serie_du,Taxas_DI)</f>
        <v>0.13316835430425833</v>
      </c>
      <c r="C834" s="32">
        <f ca="1">((((1+B834)^(A834/252))/((1+B833)^(A833/252)))^(252/1))-1</f>
        <v>0.12984375571367024</v>
      </c>
      <c r="D834" s="30">
        <v>0.13316835430425833</v>
      </c>
      <c r="E834" s="31">
        <f ca="1">B834-D834</f>
        <v>0</v>
      </c>
    </row>
    <row r="835" spans="1:5" x14ac:dyDescent="0.25">
      <c r="A835" s="21">
        <v>834</v>
      </c>
      <c r="B835" s="5" cm="1">
        <f t="array" aca="1" ref="B835" ca="1">interpolexp(A835,serie_du,Taxas_DI)</f>
        <v>0.13316436210892846</v>
      </c>
      <c r="C835" s="32">
        <f ca="1">((((1+B835)^(A835/252))/((1+B834)^(A834/252)))^(252/1))-1</f>
        <v>0.1298437441423268</v>
      </c>
      <c r="D835" s="30">
        <v>0.13316436210892846</v>
      </c>
      <c r="E835" s="31">
        <f ca="1">B835-D835</f>
        <v>0</v>
      </c>
    </row>
    <row r="836" spans="1:5" x14ac:dyDescent="0.25">
      <c r="A836" s="21">
        <v>835</v>
      </c>
      <c r="B836" s="5" cm="1">
        <f t="array" aca="1" ref="B836" ca="1">interpolexp(A836,serie_du,Taxas_DI)</f>
        <v>0.13316037947588288</v>
      </c>
      <c r="C836" s="32">
        <f ca="1">((((1+B836)^(A836/252))/((1+B835)^(A835/252)))^(252/1))-1</f>
        <v>0.12984373259115634</v>
      </c>
      <c r="D836" s="30">
        <v>0.13316037947588288</v>
      </c>
      <c r="E836" s="31">
        <f ca="1">B836-D836</f>
        <v>0</v>
      </c>
    </row>
    <row r="837" spans="1:5" x14ac:dyDescent="0.25">
      <c r="A837" s="21">
        <v>836</v>
      </c>
      <c r="B837" s="5" cm="1">
        <f t="array" aca="1" ref="B837" ca="1">interpolexp(A837,serie_du,Taxas_DI)</f>
        <v>0.13315640637083792</v>
      </c>
      <c r="C837" s="32">
        <f ca="1">((((1+B837)^(A837/252))/((1+B836)^(A836/252)))^(252/1))-1</f>
        <v>0.12984372110731623</v>
      </c>
      <c r="D837" s="30">
        <v>0.13315640637083792</v>
      </c>
      <c r="E837" s="31">
        <f ca="1">B837-D837</f>
        <v>0</v>
      </c>
    </row>
    <row r="838" spans="1:5" x14ac:dyDescent="0.25">
      <c r="A838" s="21">
        <v>837</v>
      </c>
      <c r="B838" s="5" cm="1">
        <f t="array" aca="1" ref="B838" ca="1">interpolexp(A838,serie_du,Taxas_DI)</f>
        <v>0.1331524427596209</v>
      </c>
      <c r="C838" s="32">
        <f ca="1">((((1+B838)^(A838/252))/((1+B837)^(A837/252)))^(252/1))-1</f>
        <v>0.12984370964674374</v>
      </c>
      <c r="D838" s="30">
        <v>0.1331524427596209</v>
      </c>
      <c r="E838" s="31">
        <f ca="1">B838-D838</f>
        <v>0</v>
      </c>
    </row>
    <row r="839" spans="1:5" x14ac:dyDescent="0.25">
      <c r="A839" s="21">
        <v>838</v>
      </c>
      <c r="B839" s="5" cm="1">
        <f t="array" aca="1" ref="B839" ca="1">interpolexp(A839,serie_du,Taxas_DI)</f>
        <v>0.1331484886082368</v>
      </c>
      <c r="C839" s="32">
        <f ca="1">((((1+B839)^(A839/252))/((1+B838)^(A838/252)))^(252/1))-1</f>
        <v>0.12984369822107755</v>
      </c>
      <c r="D839" s="30">
        <v>0.1331484886082368</v>
      </c>
      <c r="E839" s="31">
        <f ca="1">B839-D839</f>
        <v>0</v>
      </c>
    </row>
    <row r="840" spans="1:5" x14ac:dyDescent="0.25">
      <c r="A840" s="21">
        <v>839</v>
      </c>
      <c r="B840" s="5" cm="1">
        <f t="array" aca="1" ref="B840" ca="1">interpolexp(A840,serie_du,Taxas_DI)</f>
        <v>0.13314454388289043</v>
      </c>
      <c r="C840" s="32">
        <f ca="1">((((1+B840)^(A840/252))/((1+B839)^(A839/252)))^(252/1))-1</f>
        <v>0.12984368686192416</v>
      </c>
      <c r="D840" s="30">
        <v>0.13314454388289043</v>
      </c>
      <c r="E840" s="31">
        <f ca="1">B840-D840</f>
        <v>0</v>
      </c>
    </row>
    <row r="841" spans="1:5" x14ac:dyDescent="0.25">
      <c r="A841" s="21">
        <v>840</v>
      </c>
      <c r="B841" s="5" cm="1">
        <f t="array" aca="1" ref="B841" ca="1">interpolexp(A841,serie_du,Taxas_DI)</f>
        <v>0.13314060854991983</v>
      </c>
      <c r="C841" s="32">
        <f ca="1">((((1+B841)^(A841/252))/((1+B840)^(A840/252)))^(252/1))-1</f>
        <v>0.1298436755458594</v>
      </c>
      <c r="D841" s="30">
        <v>0.13314060854991983</v>
      </c>
      <c r="E841" s="31">
        <f ca="1">B841-D841</f>
        <v>0</v>
      </c>
    </row>
    <row r="842" spans="1:5" x14ac:dyDescent="0.25">
      <c r="A842" s="21">
        <v>841</v>
      </c>
      <c r="B842" s="5" cm="1">
        <f t="array" aca="1" ref="B842" ca="1">interpolexp(A842,serie_du,Taxas_DI)</f>
        <v>0.13313668257577405</v>
      </c>
      <c r="C842" s="32">
        <f ca="1">((((1+B842)^(A842/252))/((1+B841)^(A841/252)))^(252/1))-1</f>
        <v>0.12984366423152838</v>
      </c>
      <c r="D842" s="30">
        <v>0.13313668257577405</v>
      </c>
      <c r="E842" s="31">
        <f ca="1">B842-D842</f>
        <v>0</v>
      </c>
    </row>
    <row r="843" spans="1:5" x14ac:dyDescent="0.25">
      <c r="A843" s="21">
        <v>842</v>
      </c>
      <c r="B843" s="5" cm="1">
        <f t="array" aca="1" ref="B843" ca="1">interpolexp(A843,serie_du,Taxas_DI)</f>
        <v>0.13313276592716861</v>
      </c>
      <c r="C843" s="32">
        <f ca="1">((((1+B843)^(A843/252))/((1+B842)^(A842/252)))^(252/1))-1</f>
        <v>0.12984365300847411</v>
      </c>
      <c r="D843" s="30">
        <v>0.13313276592716861</v>
      </c>
      <c r="E843" s="31">
        <f ca="1">B843-D843</f>
        <v>0</v>
      </c>
    </row>
    <row r="844" spans="1:5" x14ac:dyDescent="0.25">
      <c r="A844" s="21">
        <v>843</v>
      </c>
      <c r="B844" s="5" cm="1">
        <f t="array" aca="1" ref="B844" ca="1">interpolexp(A844,serie_du,Taxas_DI)</f>
        <v>0.13312885857086343</v>
      </c>
      <c r="C844" s="32">
        <f ca="1">((((1+B844)^(A844/252))/((1+B843)^(A843/252)))^(252/1))-1</f>
        <v>0.12984364178131669</v>
      </c>
      <c r="D844" s="30">
        <v>0.13312885857086343</v>
      </c>
      <c r="E844" s="31">
        <f ca="1">B844-D844</f>
        <v>0</v>
      </c>
    </row>
    <row r="845" spans="1:5" x14ac:dyDescent="0.25">
      <c r="A845" s="21">
        <v>844</v>
      </c>
      <c r="B845" s="5" cm="1">
        <f t="array" aca="1" ref="B845" ca="1">interpolexp(A845,serie_du,Taxas_DI)</f>
        <v>0.13312496047384048</v>
      </c>
      <c r="C845" s="32">
        <f ca="1">((((1+B845)^(A845/252))/((1+B844)^(A844/252)))^(252/1))-1</f>
        <v>0.12984363060399762</v>
      </c>
      <c r="D845" s="30">
        <v>0.13312496047384048</v>
      </c>
      <c r="E845" s="31">
        <f ca="1">B845-D845</f>
        <v>0</v>
      </c>
    </row>
    <row r="846" spans="1:5" x14ac:dyDescent="0.25">
      <c r="A846" s="21">
        <v>845</v>
      </c>
      <c r="B846" s="5" cm="1">
        <f t="array" aca="1" ref="B846" ca="1">interpolexp(A846,serie_du,Taxas_DI)</f>
        <v>0.13312107160323716</v>
      </c>
      <c r="C846" s="32">
        <f ca="1">((((1+B846)^(A846/252))/((1+B845)^(A845/252)))^(252/1))-1</f>
        <v>0.12984361947561673</v>
      </c>
      <c r="D846" s="30">
        <v>0.13312107160323716</v>
      </c>
      <c r="E846" s="31">
        <f ca="1">B846-D846</f>
        <v>0</v>
      </c>
    </row>
    <row r="847" spans="1:5" x14ac:dyDescent="0.25">
      <c r="A847" s="21">
        <v>846</v>
      </c>
      <c r="B847" s="5" cm="1">
        <f t="array" aca="1" ref="B847" ca="1">interpolexp(A847,serie_du,Taxas_DI)</f>
        <v>0.1331171919263463</v>
      </c>
      <c r="C847" s="32">
        <f ca="1">((((1+B847)^(A847/252))/((1+B846)^(A846/252)))^(252/1))-1</f>
        <v>0.12984360839611009</v>
      </c>
      <c r="D847" s="30">
        <v>0.1331171919263463</v>
      </c>
      <c r="E847" s="31">
        <f ca="1">B847-D847</f>
        <v>0</v>
      </c>
    </row>
    <row r="848" spans="1:5" x14ac:dyDescent="0.25">
      <c r="A848" s="21">
        <v>847</v>
      </c>
      <c r="B848" s="5" cm="1">
        <f t="array" aca="1" ref="B848" ca="1">interpolexp(A848,serie_du,Taxas_DI)</f>
        <v>0.13311453350988156</v>
      </c>
      <c r="C848" s="32">
        <f ca="1">((((1+B848)^(A848/252))/((1+B847)^(A847/252)))^(252/1))-1</f>
        <v>0.13086774628005649</v>
      </c>
      <c r="D848" s="30">
        <v>0.13311453350988156</v>
      </c>
      <c r="E848" s="31">
        <f ca="1">B848-D848</f>
        <v>0</v>
      </c>
    </row>
    <row r="849" spans="1:5" x14ac:dyDescent="0.25">
      <c r="A849" s="21">
        <v>848</v>
      </c>
      <c r="B849" s="5" cm="1">
        <f t="array" aca="1" ref="B849" ca="1">interpolexp(A849,serie_du,Taxas_DI)</f>
        <v>0.13311188136333474</v>
      </c>
      <c r="C849" s="32">
        <f ca="1">((((1+B849)^(A849/252))/((1+B848)^(A848/252)))^(252/1))-1</f>
        <v>0.13086774107759158</v>
      </c>
      <c r="D849" s="30">
        <v>0.13311188136333474</v>
      </c>
      <c r="E849" s="31">
        <f ca="1">B849-D849</f>
        <v>0</v>
      </c>
    </row>
    <row r="850" spans="1:5" x14ac:dyDescent="0.25">
      <c r="A850" s="21">
        <v>849</v>
      </c>
      <c r="B850" s="5" cm="1">
        <f t="array" aca="1" ref="B850" ca="1">interpolexp(A850,serie_du,Taxas_DI)</f>
        <v>0.13310923546454578</v>
      </c>
      <c r="C850" s="32">
        <f ca="1">((((1+B850)^(A850/252))/((1+B849)^(A849/252)))^(252/1))-1</f>
        <v>0.13086773588955003</v>
      </c>
      <c r="D850" s="30">
        <v>0.13310923546454578</v>
      </c>
      <c r="E850" s="31">
        <f ca="1">B850-D850</f>
        <v>0</v>
      </c>
    </row>
    <row r="851" spans="1:5" x14ac:dyDescent="0.25">
      <c r="A851" s="21">
        <v>850</v>
      </c>
      <c r="B851" s="5" cm="1">
        <f t="array" aca="1" ref="B851" ca="1">interpolexp(A851,serie_du,Taxas_DI)</f>
        <v>0.13310659579148787</v>
      </c>
      <c r="C851" s="32">
        <f ca="1">((((1+B851)^(A851/252))/((1+B850)^(A850/252)))^(252/1))-1</f>
        <v>0.13086773074056168</v>
      </c>
      <c r="D851" s="30">
        <v>0.13310659579148787</v>
      </c>
      <c r="E851" s="31">
        <f ca="1">B851-D851</f>
        <v>0</v>
      </c>
    </row>
    <row r="852" spans="1:5" x14ac:dyDescent="0.25">
      <c r="A852" s="21">
        <v>851</v>
      </c>
      <c r="B852" s="5" cm="1">
        <f t="array" aca="1" ref="B852" ca="1">interpolexp(A852,serie_du,Taxas_DI)</f>
        <v>0.13310396232217858</v>
      </c>
      <c r="C852" s="32">
        <f ca="1">((((1+B852)^(A852/252))/((1+B851)^(A851/252)))^(252/1))-1</f>
        <v>0.13086772558002235</v>
      </c>
      <c r="D852" s="30">
        <v>0.13310396232217858</v>
      </c>
      <c r="E852" s="31">
        <f ca="1">B852-D852</f>
        <v>0</v>
      </c>
    </row>
    <row r="853" spans="1:5" x14ac:dyDescent="0.25">
      <c r="A853" s="21">
        <v>852</v>
      </c>
      <c r="B853" s="5" cm="1">
        <f t="array" aca="1" ref="B853" ca="1">interpolexp(A853,serie_du,Taxas_DI)</f>
        <v>0.13310133503481314</v>
      </c>
      <c r="C853" s="32">
        <f ca="1">((((1+B853)^(A853/252))/((1+B852)^(A852/252)))^(252/1))-1</f>
        <v>0.13086772047137352</v>
      </c>
      <c r="D853" s="30">
        <v>0.13310133503481314</v>
      </c>
      <c r="E853" s="31">
        <f ca="1">B853-D853</f>
        <v>0</v>
      </c>
    </row>
    <row r="854" spans="1:5" x14ac:dyDescent="0.25">
      <c r="A854" s="21">
        <v>853</v>
      </c>
      <c r="B854" s="5" cm="1">
        <f t="array" aca="1" ref="B854" ca="1">interpolexp(A854,serie_du,Taxas_DI)</f>
        <v>0.13309871390760897</v>
      </c>
      <c r="C854" s="32">
        <f ca="1">((((1+B854)^(A854/252))/((1+B853)^(A853/252)))^(252/1))-1</f>
        <v>0.13086771534620567</v>
      </c>
      <c r="D854" s="30">
        <v>0.13309871390760897</v>
      </c>
      <c r="E854" s="31">
        <f ca="1">B854-D854</f>
        <v>0</v>
      </c>
    </row>
    <row r="855" spans="1:5" x14ac:dyDescent="0.25">
      <c r="A855" s="21">
        <v>854</v>
      </c>
      <c r="B855" s="5" cm="1">
        <f t="array" aca="1" ref="B855" ca="1">interpolexp(A855,serie_du,Taxas_DI)</f>
        <v>0.13309609891893892</v>
      </c>
      <c r="C855" s="32">
        <f ca="1">((((1+B855)^(A855/252))/((1+B854)^(A854/252)))^(252/1))-1</f>
        <v>0.13086771025019006</v>
      </c>
      <c r="D855" s="30">
        <v>0.13309609891893892</v>
      </c>
      <c r="E855" s="31">
        <f ca="1">B855-D855</f>
        <v>0</v>
      </c>
    </row>
    <row r="856" spans="1:5" x14ac:dyDescent="0.25">
      <c r="A856" s="21">
        <v>855</v>
      </c>
      <c r="B856" s="5" cm="1">
        <f t="array" aca="1" ref="B856" ca="1">interpolexp(A856,serie_du,Taxas_DI)</f>
        <v>0.13309349004728688</v>
      </c>
      <c r="C856" s="32">
        <f ca="1">((((1+B856)^(A856/252))/((1+B855)^(A855/252)))^(252/1))-1</f>
        <v>0.13086770519142865</v>
      </c>
      <c r="D856" s="30">
        <v>0.13309349004728688</v>
      </c>
      <c r="E856" s="31">
        <f ca="1">B856-D856</f>
        <v>0</v>
      </c>
    </row>
    <row r="857" spans="1:5" x14ac:dyDescent="0.25">
      <c r="A857" s="21">
        <v>856</v>
      </c>
      <c r="B857" s="5" cm="1">
        <f t="array" aca="1" ref="B857" ca="1">interpolexp(A857,serie_du,Taxas_DI)</f>
        <v>0.13309088727118112</v>
      </c>
      <c r="C857" s="32">
        <f ca="1">((((1+B857)^(A857/252))/((1+B856)^(A856/252)))^(252/1))-1</f>
        <v>0.13086770012193072</v>
      </c>
      <c r="D857" s="30">
        <v>0.13309088727118112</v>
      </c>
      <c r="E857" s="31">
        <f ca="1">B857-D857</f>
        <v>0</v>
      </c>
    </row>
    <row r="858" spans="1:5" x14ac:dyDescent="0.25">
      <c r="A858" s="21">
        <v>857</v>
      </c>
      <c r="B858" s="5" cm="1">
        <f t="array" aca="1" ref="B858" ca="1">interpolexp(A858,serie_du,Taxas_DI)</f>
        <v>0.13308829056930538</v>
      </c>
      <c r="C858" s="32">
        <f ca="1">((((1+B858)^(A858/252))/((1+B857)^(A857/252)))^(252/1))-1</f>
        <v>0.1308676950889045</v>
      </c>
      <c r="D858" s="30">
        <v>0.13308829056930538</v>
      </c>
      <c r="E858" s="31">
        <f ca="1">B858-D858</f>
        <v>0</v>
      </c>
    </row>
    <row r="859" spans="1:5" x14ac:dyDescent="0.25">
      <c r="A859" s="21">
        <v>858</v>
      </c>
      <c r="B859" s="5" cm="1">
        <f t="array" aca="1" ref="B859" ca="1">interpolexp(A859,serie_du,Taxas_DI)</f>
        <v>0.13308569992043218</v>
      </c>
      <c r="C859" s="32">
        <f ca="1">((((1+B859)^(A859/252))/((1+B858)^(A858/252)))^(252/1))-1</f>
        <v>0.13086769008316335</v>
      </c>
      <c r="D859" s="30">
        <v>0.13308569992043218</v>
      </c>
      <c r="E859" s="31">
        <f ca="1">B859-D859</f>
        <v>0</v>
      </c>
    </row>
    <row r="860" spans="1:5" x14ac:dyDescent="0.25">
      <c r="A860" s="21">
        <v>859</v>
      </c>
      <c r="B860" s="5" cm="1">
        <f t="array" aca="1" ref="B860" ca="1">interpolexp(A860,serie_du,Taxas_DI)</f>
        <v>0.13308311530337846</v>
      </c>
      <c r="C860" s="32">
        <f ca="1">((((1+B860)^(A860/252))/((1+B859)^(A859/252)))^(252/1))-1</f>
        <v>0.13086768505790647</v>
      </c>
      <c r="D860" s="30">
        <v>0.13308311530337846</v>
      </c>
      <c r="E860" s="31">
        <f ca="1">B860-D860</f>
        <v>0</v>
      </c>
    </row>
    <row r="861" spans="1:5" x14ac:dyDescent="0.25">
      <c r="A861" s="21">
        <v>860</v>
      </c>
      <c r="B861" s="5" cm="1">
        <f t="array" aca="1" ref="B861" ca="1">interpolexp(A861,serie_du,Taxas_DI)</f>
        <v>0.13308053669713882</v>
      </c>
      <c r="C861" s="32">
        <f ca="1">((((1+B861)^(A861/252))/((1+B860)^(A860/252)))^(252/1))-1</f>
        <v>0.13086768008115257</v>
      </c>
      <c r="D861" s="30">
        <v>0.13308053669713882</v>
      </c>
      <c r="E861" s="31">
        <f ca="1">B861-D861</f>
        <v>0</v>
      </c>
    </row>
    <row r="862" spans="1:5" x14ac:dyDescent="0.25">
      <c r="A862" s="21">
        <v>861</v>
      </c>
      <c r="B862" s="5" cm="1">
        <f t="array" aca="1" ref="B862" ca="1">interpolexp(A862,serie_du,Taxas_DI)</f>
        <v>0.13307796408077444</v>
      </c>
      <c r="C862" s="32">
        <f ca="1">((((1+B862)^(A862/252))/((1+B861)^(A861/252)))^(252/1))-1</f>
        <v>0.13086767512592523</v>
      </c>
      <c r="D862" s="30">
        <v>0.13307796408077444</v>
      </c>
      <c r="E862" s="31">
        <f ca="1">B862-D862</f>
        <v>0</v>
      </c>
    </row>
    <row r="863" spans="1:5" x14ac:dyDescent="0.25">
      <c r="A863" s="21">
        <v>862</v>
      </c>
      <c r="B863" s="5" cm="1">
        <f t="array" aca="1" ref="B863" ca="1">interpolexp(A863,serie_du,Taxas_DI)</f>
        <v>0.13307539743339092</v>
      </c>
      <c r="C863" s="32">
        <f ca="1">((((1+B863)^(A863/252))/((1+B862)^(A862/252)))^(252/1))-1</f>
        <v>0.13086767014697287</v>
      </c>
      <c r="D863" s="30">
        <v>0.13307539743339092</v>
      </c>
      <c r="E863" s="31">
        <f ca="1">B863-D863</f>
        <v>0</v>
      </c>
    </row>
    <row r="864" spans="1:5" x14ac:dyDescent="0.25">
      <c r="A864" s="21">
        <v>863</v>
      </c>
      <c r="B864" s="5" cm="1">
        <f t="array" aca="1" ref="B864" ca="1">interpolexp(A864,serie_du,Taxas_DI)</f>
        <v>0.13307283673429371</v>
      </c>
      <c r="C864" s="32">
        <f ca="1">((((1+B864)^(A864/252))/((1+B863)^(A863/252)))^(252/1))-1</f>
        <v>0.13086766523279225</v>
      </c>
      <c r="D864" s="30">
        <v>0.13307283673429371</v>
      </c>
      <c r="E864" s="31">
        <f ca="1">B864-D864</f>
        <v>0</v>
      </c>
    </row>
    <row r="865" spans="1:5" x14ac:dyDescent="0.25">
      <c r="A865" s="21">
        <v>864</v>
      </c>
      <c r="B865" s="5" cm="1">
        <f t="array" aca="1" ref="B865" ca="1">interpolexp(A865,serie_du,Taxas_DI)</f>
        <v>0.13307028196281045</v>
      </c>
      <c r="C865" s="32">
        <f ca="1">((((1+B865)^(A865/252))/((1+B864)^(A864/252)))^(252/1))-1</f>
        <v>0.13086766032004449</v>
      </c>
      <c r="D865" s="30">
        <v>0.13307028196281045</v>
      </c>
      <c r="E865" s="31">
        <f ca="1">B865-D865</f>
        <v>0</v>
      </c>
    </row>
    <row r="866" spans="1:5" x14ac:dyDescent="0.25">
      <c r="A866" s="21">
        <v>865</v>
      </c>
      <c r="B866" s="5" cm="1">
        <f t="array" aca="1" ref="B866" ca="1">interpolexp(A866,serie_du,Taxas_DI)</f>
        <v>0.13306773309837983</v>
      </c>
      <c r="C866" s="32">
        <f ca="1">((((1+B866)^(A866/252))/((1+B865)^(A865/252)))^(252/1))-1</f>
        <v>0.13086765542172429</v>
      </c>
      <c r="D866" s="30">
        <v>0.13306773309837983</v>
      </c>
      <c r="E866" s="31">
        <f ca="1">B866-D866</f>
        <v>0</v>
      </c>
    </row>
    <row r="867" spans="1:5" x14ac:dyDescent="0.25">
      <c r="A867" s="21">
        <v>866</v>
      </c>
      <c r="B867" s="5" cm="1">
        <f t="array" aca="1" ref="B867" ca="1">interpolexp(A867,serie_du,Taxas_DI)</f>
        <v>0.1330651901205071</v>
      </c>
      <c r="C867" s="32">
        <f ca="1">((((1+B867)^(A867/252))/((1+B866)^(A866/252)))^(252/1))-1</f>
        <v>0.13086765051324223</v>
      </c>
      <c r="D867" s="30">
        <v>0.1330651901205071</v>
      </c>
      <c r="E867" s="31">
        <f ca="1">B867-D867</f>
        <v>0</v>
      </c>
    </row>
    <row r="868" spans="1:5" x14ac:dyDescent="0.25">
      <c r="A868" s="21">
        <v>867</v>
      </c>
      <c r="B868" s="5" cm="1">
        <f t="array" aca="1" ref="B868" ca="1">interpolexp(A868,serie_du,Taxas_DI)</f>
        <v>0.13306265300887521</v>
      </c>
      <c r="C868" s="32">
        <f ca="1">((((1+B868)^(A868/252))/((1+B867)^(A867/252)))^(252/1))-1</f>
        <v>0.13086764566666909</v>
      </c>
      <c r="D868" s="30">
        <v>0.13306265300887521</v>
      </c>
      <c r="E868" s="31">
        <f ca="1">B868-D868</f>
        <v>0</v>
      </c>
    </row>
    <row r="869" spans="1:5" x14ac:dyDescent="0.25">
      <c r="A869" s="21">
        <v>868</v>
      </c>
      <c r="B869" s="5" cm="1">
        <f t="array" aca="1" ref="B869" ca="1">interpolexp(A869,serie_du,Taxas_DI)</f>
        <v>0.13306012174318926</v>
      </c>
      <c r="C869" s="32">
        <f ca="1">((((1+B869)^(A869/252))/((1+B868)^(A868/252)))^(252/1))-1</f>
        <v>0.13086764081982638</v>
      </c>
      <c r="D869" s="30">
        <v>0.13306012174318926</v>
      </c>
      <c r="E869" s="31">
        <f ca="1">B869-D869</f>
        <v>0</v>
      </c>
    </row>
    <row r="870" spans="1:5" x14ac:dyDescent="0.25">
      <c r="A870" s="21">
        <v>869</v>
      </c>
      <c r="B870" s="5" cm="1">
        <f t="array" aca="1" ref="B870" ca="1">interpolexp(A870,serie_du,Taxas_DI)</f>
        <v>0.13305759630326541</v>
      </c>
      <c r="C870" s="32">
        <f ca="1">((((1+B870)^(A870/252))/((1+B869)^(A869/252)))^(252/1))-1</f>
        <v>0.13086763598797835</v>
      </c>
      <c r="D870" s="30">
        <v>0.13305759630326541</v>
      </c>
      <c r="E870" s="31">
        <f ca="1">B870-D870</f>
        <v>0</v>
      </c>
    </row>
    <row r="871" spans="1:5" x14ac:dyDescent="0.25">
      <c r="A871" s="21">
        <v>870</v>
      </c>
      <c r="B871" s="5" cm="1">
        <f t="array" aca="1" ref="B871" ca="1">interpolexp(A871,serie_du,Taxas_DI)</f>
        <v>0.13305507666900862</v>
      </c>
      <c r="C871" s="32">
        <f ca="1">((((1+B871)^(A871/252))/((1+B870)^(A870/252)))^(252/1))-1</f>
        <v>0.13086763116748923</v>
      </c>
      <c r="D871" s="30">
        <v>0.13305507666900862</v>
      </c>
      <c r="E871" s="31">
        <f ca="1">B871-D871</f>
        <v>0</v>
      </c>
    </row>
    <row r="872" spans="1:5" x14ac:dyDescent="0.25">
      <c r="A872" s="21">
        <v>871</v>
      </c>
      <c r="B872" s="5" cm="1">
        <f t="array" aca="1" ref="B872" ca="1">interpolexp(A872,serie_du,Taxas_DI)</f>
        <v>0.13305256282041267</v>
      </c>
      <c r="C872" s="32">
        <f ca="1">((((1+B872)^(A872/252))/((1+B871)^(A871/252)))^(252/1))-1</f>
        <v>0.1308676263554418</v>
      </c>
      <c r="D872" s="30">
        <v>0.13305256282041267</v>
      </c>
      <c r="E872" s="31">
        <f ca="1">B872-D872</f>
        <v>0</v>
      </c>
    </row>
    <row r="873" spans="1:5" x14ac:dyDescent="0.25">
      <c r="A873" s="21">
        <v>872</v>
      </c>
      <c r="B873" s="5" cm="1">
        <f t="array" aca="1" ref="B873" ca="1">interpolexp(A873,serie_du,Taxas_DI)</f>
        <v>0.13305005473760456</v>
      </c>
      <c r="C873" s="32">
        <f ca="1">((((1+B873)^(A873/252))/((1+B872)^(A872/252)))^(252/1))-1</f>
        <v>0.13086762158770293</v>
      </c>
      <c r="D873" s="30">
        <v>0.13305005473760456</v>
      </c>
      <c r="E873" s="31">
        <f ca="1">B873-D873</f>
        <v>0</v>
      </c>
    </row>
    <row r="874" spans="1:5" x14ac:dyDescent="0.25">
      <c r="A874" s="21">
        <v>873</v>
      </c>
      <c r="B874" s="5" cm="1">
        <f t="array" aca="1" ref="B874" ca="1">interpolexp(A874,serie_du,Taxas_DI)</f>
        <v>0.13304755240075572</v>
      </c>
      <c r="C874" s="32">
        <f ca="1">((((1+B874)^(A874/252))/((1+B873)^(A873/252)))^(252/1))-1</f>
        <v>0.13086761682366177</v>
      </c>
      <c r="D874" s="30">
        <v>0.13304755240075572</v>
      </c>
      <c r="E874" s="31">
        <f ca="1">B874-D874</f>
        <v>0</v>
      </c>
    </row>
    <row r="875" spans="1:5" x14ac:dyDescent="0.25">
      <c r="A875" s="21">
        <v>874</v>
      </c>
      <c r="B875" s="5" cm="1">
        <f t="array" aca="1" ref="B875" ca="1">interpolexp(A875,serie_du,Taxas_DI)</f>
        <v>0.13304505579012638</v>
      </c>
      <c r="C875" s="32">
        <f ca="1">((((1+B875)^(A875/252))/((1+B874)^(A874/252)))^(252/1))-1</f>
        <v>0.13086761206149822</v>
      </c>
      <c r="D875" s="30">
        <v>0.13304505579012638</v>
      </c>
      <c r="E875" s="31">
        <f ca="1">B875-D875</f>
        <v>0</v>
      </c>
    </row>
    <row r="876" spans="1:5" x14ac:dyDescent="0.25">
      <c r="A876" s="21">
        <v>875</v>
      </c>
      <c r="B876" s="5" cm="1">
        <f t="array" aca="1" ref="B876" ca="1">interpolexp(A876,serie_du,Taxas_DI)</f>
        <v>0.13304256488610999</v>
      </c>
      <c r="C876" s="32">
        <f ca="1">((((1+B876)^(A876/252))/((1+B875)^(A875/252)))^(252/1))-1</f>
        <v>0.13086760733864122</v>
      </c>
      <c r="D876" s="30">
        <v>0.13304256488610999</v>
      </c>
      <c r="E876" s="31">
        <f ca="1">B876-D876</f>
        <v>0</v>
      </c>
    </row>
    <row r="877" spans="1:5" x14ac:dyDescent="0.25">
      <c r="A877" s="21">
        <v>876</v>
      </c>
      <c r="B877" s="5" cm="1">
        <f t="array" aca="1" ref="B877" ca="1">interpolexp(A877,serie_du,Taxas_DI)</f>
        <v>0.13304007966914444</v>
      </c>
      <c r="C877" s="32">
        <f ca="1">((((1+B877)^(A877/252))/((1+B876)^(A876/252)))^(252/1))-1</f>
        <v>0.1308676026155966</v>
      </c>
      <c r="D877" s="30">
        <v>0.13304007966914444</v>
      </c>
      <c r="E877" s="31">
        <f ca="1">B877-D877</f>
        <v>0</v>
      </c>
    </row>
    <row r="878" spans="1:5" x14ac:dyDescent="0.25">
      <c r="A878" s="21">
        <v>877</v>
      </c>
      <c r="B878" s="5" cm="1">
        <f t="array" aca="1" ref="B878" ca="1">interpolexp(A878,serie_du,Taxas_DI)</f>
        <v>0.13303760011980081</v>
      </c>
      <c r="C878" s="32">
        <f ca="1">((((1+B878)^(A878/252))/((1+B877)^(A877/252)))^(252/1))-1</f>
        <v>0.13086759793083647</v>
      </c>
      <c r="D878" s="30">
        <v>0.13303760011980081</v>
      </c>
      <c r="E878" s="31">
        <f ca="1">B878-D878</f>
        <v>0</v>
      </c>
    </row>
    <row r="879" spans="1:5" x14ac:dyDescent="0.25">
      <c r="A879" s="21">
        <v>878</v>
      </c>
      <c r="B879" s="5" cm="1">
        <f t="array" aca="1" ref="B879" ca="1">interpolexp(A879,serie_du,Taxas_DI)</f>
        <v>0.13303512621867242</v>
      </c>
      <c r="C879" s="32">
        <f ca="1">((((1+B879)^(A879/252))/((1+B878)^(A878/252)))^(252/1))-1</f>
        <v>0.13086759322611918</v>
      </c>
      <c r="D879" s="30">
        <v>0.13303512621867242</v>
      </c>
      <c r="E879" s="31">
        <f ca="1">B879-D879</f>
        <v>0</v>
      </c>
    </row>
    <row r="880" spans="1:5" x14ac:dyDescent="0.25">
      <c r="A880" s="21">
        <v>879</v>
      </c>
      <c r="B880" s="5" cm="1">
        <f t="array" aca="1" ref="B880" ca="1">interpolexp(A880,serie_du,Taxas_DI)</f>
        <v>0.13303265794650798</v>
      </c>
      <c r="C880" s="32">
        <f ca="1">((((1+B880)^(A880/252))/((1+B879)^(A879/252)))^(252/1))-1</f>
        <v>0.13086758856032099</v>
      </c>
      <c r="D880" s="30">
        <v>0.13303265794650798</v>
      </c>
      <c r="E880" s="31">
        <f ca="1">B880-D880</f>
        <v>0</v>
      </c>
    </row>
    <row r="881" spans="1:5" x14ac:dyDescent="0.25">
      <c r="A881" s="21">
        <v>880</v>
      </c>
      <c r="B881" s="5" cm="1">
        <f t="array" aca="1" ref="B881" ca="1">interpolexp(A881,serie_du,Taxas_DI)</f>
        <v>0.13303019528410065</v>
      </c>
      <c r="C881" s="32">
        <f ca="1">((((1+B881)^(A881/252))/((1+B880)^(A880/252)))^(252/1))-1</f>
        <v>0.13086758389552533</v>
      </c>
      <c r="D881" s="30">
        <v>0.13303019528410065</v>
      </c>
      <c r="E881" s="31">
        <f ca="1">B881-D881</f>
        <v>0</v>
      </c>
    </row>
    <row r="882" spans="1:5" x14ac:dyDescent="0.25">
      <c r="A882" s="21">
        <v>881</v>
      </c>
      <c r="B882" s="5" cm="1">
        <f t="array" aca="1" ref="B882" ca="1">interpolexp(A882,serie_du,Taxas_DI)</f>
        <v>0.13302773821237679</v>
      </c>
      <c r="C882" s="32">
        <f ca="1">((((1+B882)^(A882/252))/((1+B881)^(A881/252)))^(252/1))-1</f>
        <v>0.13086757927205506</v>
      </c>
      <c r="D882" s="30">
        <v>0.13302773821237679</v>
      </c>
      <c r="E882" s="31">
        <f ca="1">B882-D882</f>
        <v>0</v>
      </c>
    </row>
    <row r="883" spans="1:5" x14ac:dyDescent="0.25">
      <c r="A883" s="21">
        <v>882</v>
      </c>
      <c r="B883" s="5" cm="1">
        <f t="array" aca="1" ref="B883" ca="1">interpolexp(A883,serie_du,Taxas_DI)</f>
        <v>0.13302528671230718</v>
      </c>
      <c r="C883" s="32">
        <f ca="1">((((1+B883)^(A883/252))/((1+B882)^(A882/252)))^(252/1))-1</f>
        <v>0.13086757465277565</v>
      </c>
      <c r="D883" s="30">
        <v>0.13302528671230718</v>
      </c>
      <c r="E883" s="31">
        <f ca="1">B883-D883</f>
        <v>0</v>
      </c>
    </row>
    <row r="884" spans="1:5" x14ac:dyDescent="0.25">
      <c r="A884" s="21">
        <v>883</v>
      </c>
      <c r="B884" s="5" cm="1">
        <f t="array" aca="1" ref="B884" ca="1">interpolexp(A884,serie_du,Taxas_DI)</f>
        <v>0.13302284076495141</v>
      </c>
      <c r="C884" s="32">
        <f ca="1">((((1+B884)^(A884/252))/((1+B883)^(A883/252)))^(252/1))-1</f>
        <v>0.13086757004004501</v>
      </c>
      <c r="D884" s="30">
        <v>0.13302284076495141</v>
      </c>
      <c r="E884" s="31">
        <f ca="1">B884-D884</f>
        <v>0</v>
      </c>
    </row>
    <row r="885" spans="1:5" x14ac:dyDescent="0.25">
      <c r="A885" s="21">
        <v>884</v>
      </c>
      <c r="B885" s="5" cm="1">
        <f t="array" aca="1" ref="B885" ca="1">interpolexp(A885,serie_du,Taxas_DI)</f>
        <v>0.13302040035148011</v>
      </c>
      <c r="C885" s="32">
        <f ca="1">((((1+B885)^(A885/252))/((1+B884)^(A884/252)))^(252/1))-1</f>
        <v>0.13086756545602563</v>
      </c>
      <c r="D885" s="30">
        <v>0.13302040035148011</v>
      </c>
      <c r="E885" s="31">
        <f ca="1">B885-D885</f>
        <v>0</v>
      </c>
    </row>
    <row r="886" spans="1:5" x14ac:dyDescent="0.25">
      <c r="A886" s="21">
        <v>885</v>
      </c>
      <c r="B886" s="5" cm="1">
        <f t="array" aca="1" ref="B886" ca="1">interpolexp(A886,serie_du,Taxas_DI)</f>
        <v>0.13301796545313049</v>
      </c>
      <c r="C886" s="32">
        <f ca="1">((((1+B886)^(A886/252))/((1+B885)^(A885/252)))^(252/1))-1</f>
        <v>0.13086756088429397</v>
      </c>
      <c r="D886" s="30">
        <v>0.13301796545313049</v>
      </c>
      <c r="E886" s="31">
        <f ca="1">B886-D886</f>
        <v>0</v>
      </c>
    </row>
    <row r="887" spans="1:5" x14ac:dyDescent="0.25">
      <c r="A887" s="21">
        <v>886</v>
      </c>
      <c r="B887" s="5" cm="1">
        <f t="array" aca="1" ref="B887" ca="1">interpolexp(A887,serie_du,Taxas_DI)</f>
        <v>0.13301553605120642</v>
      </c>
      <c r="C887" s="32">
        <f ca="1">((((1+B887)^(A887/252))/((1+B886)^(A886/252)))^(252/1))-1</f>
        <v>0.13086755630885061</v>
      </c>
      <c r="D887" s="30">
        <v>0.13301553605120642</v>
      </c>
      <c r="E887" s="31">
        <f ca="1">B887-D887</f>
        <v>0</v>
      </c>
    </row>
    <row r="888" spans="1:5" x14ac:dyDescent="0.25">
      <c r="A888" s="21">
        <v>887</v>
      </c>
      <c r="B888" s="5" cm="1">
        <f t="array" aca="1" ref="B888" ca="1">interpolexp(A888,serie_du,Taxas_DI)</f>
        <v>0.13301311212714495</v>
      </c>
      <c r="C888" s="32">
        <f ca="1">((((1+B888)^(A888/252))/((1+B887)^(A887/252)))^(252/1))-1</f>
        <v>0.13086755177290721</v>
      </c>
      <c r="D888" s="30">
        <v>0.13301311212714495</v>
      </c>
      <c r="E888" s="31">
        <f ca="1">B888-D888</f>
        <v>0</v>
      </c>
    </row>
    <row r="889" spans="1:5" x14ac:dyDescent="0.25">
      <c r="A889" s="21">
        <v>888</v>
      </c>
      <c r="B889" s="5" cm="1">
        <f t="array" aca="1" ref="B889" ca="1">interpolexp(A889,serie_du,Taxas_DI)</f>
        <v>0.13301069366244977</v>
      </c>
      <c r="C889" s="32">
        <f ca="1">((((1+B889)^(A889/252))/((1+B888)^(A888/252)))^(252/1))-1</f>
        <v>0.13086754726128658</v>
      </c>
      <c r="D889" s="30">
        <v>0.13301069366244977</v>
      </c>
      <c r="E889" s="31">
        <f ca="1">B889-D889</f>
        <v>0</v>
      </c>
    </row>
    <row r="890" spans="1:5" x14ac:dyDescent="0.25">
      <c r="A890" s="21">
        <v>889</v>
      </c>
      <c r="B890" s="5" cm="1">
        <f t="array" aca="1" ref="B890" ca="1">interpolexp(A890,serie_du,Taxas_DI)</f>
        <v>0.13300828063864678</v>
      </c>
      <c r="C890" s="32">
        <f ca="1">((((1+B890)^(A890/252))/((1+B889)^(A889/252)))^(252/1))-1</f>
        <v>0.13086754271982604</v>
      </c>
      <c r="D890" s="30">
        <v>0.13300828063864678</v>
      </c>
      <c r="E890" s="31">
        <f ca="1">B890-D890</f>
        <v>0</v>
      </c>
    </row>
    <row r="891" spans="1:5" x14ac:dyDescent="0.25">
      <c r="A891" s="21">
        <v>890</v>
      </c>
      <c r="B891" s="5" cm="1">
        <f t="array" aca="1" ref="B891" ca="1">interpolexp(A891,serie_du,Taxas_DI)</f>
        <v>0.13300587303743949</v>
      </c>
      <c r="C891" s="32">
        <f ca="1">((((1+B891)^(A891/252))/((1+B890)^(A890/252)))^(252/1))-1</f>
        <v>0.13086753823245578</v>
      </c>
      <c r="D891" s="30">
        <v>0.13300587303743949</v>
      </c>
      <c r="E891" s="31">
        <f ca="1">B891-D891</f>
        <v>0</v>
      </c>
    </row>
    <row r="892" spans="1:5" x14ac:dyDescent="0.25">
      <c r="A892" s="21">
        <v>891</v>
      </c>
      <c r="B892" s="5" cm="1">
        <f t="array" aca="1" ref="B892" ca="1">interpolexp(A892,serie_du,Taxas_DI)</f>
        <v>0.13300347084055364</v>
      </c>
      <c r="C892" s="32">
        <f ca="1">((((1+B892)^(A892/252))/((1+B891)^(A891/252)))^(252/1))-1</f>
        <v>0.13086753374590621</v>
      </c>
      <c r="D892" s="30">
        <v>0.13300347084055364</v>
      </c>
      <c r="E892" s="31">
        <f ca="1">B892-D892</f>
        <v>0</v>
      </c>
    </row>
    <row r="893" spans="1:5" x14ac:dyDescent="0.25">
      <c r="A893" s="21">
        <v>892</v>
      </c>
      <c r="B893" s="5" cm="1">
        <f t="array" aca="1" ref="B893" ca="1">interpolexp(A893,serie_du,Taxas_DI)</f>
        <v>0.13300107402982597</v>
      </c>
      <c r="C893" s="32">
        <f ca="1">((((1+B893)^(A893/252))/((1+B892)^(A892/252)))^(252/1))-1</f>
        <v>0.13086752928577305</v>
      </c>
      <c r="D893" s="30">
        <v>0.13300107402982597</v>
      </c>
      <c r="E893" s="31">
        <f ca="1">B893-D893</f>
        <v>0</v>
      </c>
    </row>
    <row r="894" spans="1:5" x14ac:dyDescent="0.25">
      <c r="A894" s="21">
        <v>893</v>
      </c>
      <c r="B894" s="5" cm="1">
        <f t="array" aca="1" ref="B894" ca="1">interpolexp(A894,serie_du,Taxas_DI)</f>
        <v>0.13299868258713765</v>
      </c>
      <c r="C894" s="32">
        <f ca="1">((((1+B894)^(A894/252))/((1+B893)^(A893/252)))^(252/1))-1</f>
        <v>0.13086752481926833</v>
      </c>
      <c r="D894" s="30">
        <v>0.13299868258713765</v>
      </c>
      <c r="E894" s="31">
        <f ca="1">B894-D894</f>
        <v>0</v>
      </c>
    </row>
    <row r="895" spans="1:5" x14ac:dyDescent="0.25">
      <c r="A895" s="21">
        <v>894</v>
      </c>
      <c r="B895" s="5" cm="1">
        <f t="array" aca="1" ref="B895" ca="1">interpolexp(A895,serie_du,Taxas_DI)</f>
        <v>0.13299629649452527</v>
      </c>
      <c r="C895" s="32">
        <f ca="1">((((1+B895)^(A895/252))/((1+B894)^(A894/252)))^(252/1))-1</f>
        <v>0.13086752041259242</v>
      </c>
      <c r="D895" s="30">
        <v>0.13299629649452527</v>
      </c>
      <c r="E895" s="31">
        <f ca="1">B895-D895</f>
        <v>0</v>
      </c>
    </row>
    <row r="896" spans="1:5" x14ac:dyDescent="0.25">
      <c r="A896" s="21">
        <v>895</v>
      </c>
      <c r="B896" s="5" cm="1">
        <f t="array" aca="1" ref="B896" ca="1">interpolexp(A896,serie_du,Taxas_DI)</f>
        <v>0.13299391573398101</v>
      </c>
      <c r="C896" s="32">
        <f ca="1">((((1+B896)^(A896/252))/((1+B895)^(A895/252)))^(252/1))-1</f>
        <v>0.13086751595435953</v>
      </c>
      <c r="D896" s="30">
        <v>0.13299391573398101</v>
      </c>
      <c r="E896" s="31">
        <f ca="1">B896-D896</f>
        <v>0</v>
      </c>
    </row>
    <row r="897" spans="1:5" x14ac:dyDescent="0.25">
      <c r="A897" s="21">
        <v>896</v>
      </c>
      <c r="B897" s="5" cm="1">
        <f t="array" aca="1" ref="B897" ca="1">interpolexp(A897,serie_du,Taxas_DI)</f>
        <v>0.13299154028771909</v>
      </c>
      <c r="C897" s="32">
        <f ca="1">((((1+B897)^(A897/252))/((1+B896)^(A896/252)))^(252/1))-1</f>
        <v>0.1308675115710054</v>
      </c>
      <c r="D897" s="30">
        <v>0.13299154028771909</v>
      </c>
      <c r="E897" s="31">
        <f ca="1">B897-D897</f>
        <v>0</v>
      </c>
    </row>
    <row r="898" spans="1:5" x14ac:dyDescent="0.25">
      <c r="A898" s="21">
        <v>897</v>
      </c>
      <c r="B898" s="5" cm="1">
        <f t="array" aca="1" ref="B898" ca="1">interpolexp(A898,serie_du,Taxas_DI)</f>
        <v>0.13298917013790934</v>
      </c>
      <c r="C898" s="32">
        <f ca="1">((((1+B898)^(A898/252))/((1+B897)^(A897/252)))^(252/1))-1</f>
        <v>0.13086750715193785</v>
      </c>
      <c r="D898" s="30">
        <v>0.13298917013790934</v>
      </c>
      <c r="E898" s="31">
        <f ca="1">B898-D898</f>
        <v>0</v>
      </c>
    </row>
    <row r="899" spans="1:5" x14ac:dyDescent="0.25">
      <c r="A899" s="21">
        <v>898</v>
      </c>
      <c r="B899" s="5" cm="1">
        <f t="array" aca="1" ref="B899" ca="1">interpolexp(A899,serie_du,Taxas_DI)</f>
        <v>0.13298680526689921</v>
      </c>
      <c r="C899" s="32">
        <f ca="1">((((1+B899)^(A899/252))/((1+B898)^(A898/252)))^(252/1))-1</f>
        <v>0.13086750278500769</v>
      </c>
      <c r="D899" s="30">
        <v>0.13298680526689921</v>
      </c>
      <c r="E899" s="31">
        <f ca="1">B899-D899</f>
        <v>0</v>
      </c>
    </row>
    <row r="900" spans="1:5" x14ac:dyDescent="0.25">
      <c r="A900" s="21">
        <v>899</v>
      </c>
      <c r="B900" s="5" cm="1">
        <f t="array" aca="1" ref="B900" ca="1">interpolexp(A900,serie_du,Taxas_DI)</f>
        <v>0.13298444565705836</v>
      </c>
      <c r="C900" s="32">
        <f ca="1">((((1+B900)^(A900/252))/((1+B899)^(A899/252)))^(252/1))-1</f>
        <v>0.13086749841947709</v>
      </c>
      <c r="D900" s="30">
        <v>0.13298444565705836</v>
      </c>
      <c r="E900" s="31">
        <f ca="1">B900-D900</f>
        <v>0</v>
      </c>
    </row>
    <row r="901" spans="1:5" x14ac:dyDescent="0.25">
      <c r="A901" s="21">
        <v>900</v>
      </c>
      <c r="B901" s="5" cm="1">
        <f t="array" aca="1" ref="B901" ca="1">interpolexp(A901,serie_du,Taxas_DI)</f>
        <v>0.13298209129086747</v>
      </c>
      <c r="C901" s="32">
        <f ca="1">((((1+B901)^(A901/252))/((1+B900)^(A900/252)))^(252/1))-1</f>
        <v>0.13086749408479803</v>
      </c>
      <c r="D901" s="30">
        <v>0.13298209129086747</v>
      </c>
      <c r="E901" s="31">
        <f ca="1">B901-D901</f>
        <v>0</v>
      </c>
    </row>
    <row r="902" spans="1:5" x14ac:dyDescent="0.25">
      <c r="A902" s="21">
        <v>901</v>
      </c>
      <c r="B902" s="5" cm="1">
        <f t="array" aca="1" ref="B902" ca="1">interpolexp(A902,serie_du,Taxas_DI)</f>
        <v>0.13297974215082942</v>
      </c>
      <c r="C902" s="32">
        <f ca="1">((((1+B902)^(A902/252))/((1+B901)^(A901/252)))^(252/1))-1</f>
        <v>0.13086748973085083</v>
      </c>
      <c r="D902" s="30">
        <v>0.13297974215082942</v>
      </c>
      <c r="E902" s="31">
        <f ca="1">B902-D902</f>
        <v>0</v>
      </c>
    </row>
    <row r="903" spans="1:5" x14ac:dyDescent="0.25">
      <c r="A903" s="21">
        <v>902</v>
      </c>
      <c r="B903" s="5" cm="1">
        <f t="array" aca="1" ref="B903" ca="1">interpolexp(A903,serie_du,Taxas_DI)</f>
        <v>0.13297739821958032</v>
      </c>
      <c r="C903" s="32">
        <f ca="1">((((1+B903)^(A903/252))/((1+B902)^(A902/252)))^(252/1))-1</f>
        <v>0.13086748540767856</v>
      </c>
      <c r="D903" s="30">
        <v>0.13297739821958032</v>
      </c>
      <c r="E903" s="31">
        <f ca="1">B903-D903</f>
        <v>0</v>
      </c>
    </row>
    <row r="904" spans="1:5" x14ac:dyDescent="0.25">
      <c r="A904" s="21">
        <v>903</v>
      </c>
      <c r="B904" s="5" cm="1">
        <f t="array" aca="1" ref="B904" ca="1">interpolexp(A904,serie_du,Taxas_DI)</f>
        <v>0.13297505947982291</v>
      </c>
      <c r="C904" s="32">
        <f ca="1">((((1+B904)^(A904/252))/((1+B903)^(A903/252)))^(252/1))-1</f>
        <v>0.13086748110590984</v>
      </c>
      <c r="D904" s="30">
        <v>0.13297505947982291</v>
      </c>
      <c r="E904" s="31">
        <f ca="1">B904-D904</f>
        <v>0</v>
      </c>
    </row>
    <row r="905" spans="1:5" x14ac:dyDescent="0.25">
      <c r="A905" s="21">
        <v>904</v>
      </c>
      <c r="B905" s="5" cm="1">
        <f t="array" aca="1" ref="B905" ca="1">interpolexp(A905,serie_du,Taxas_DI)</f>
        <v>0.13297272591432652</v>
      </c>
      <c r="C905" s="32">
        <f ca="1">((((1+B905)^(A905/252))/((1+B904)^(A904/252)))^(252/1))-1</f>
        <v>0.13086747681656274</v>
      </c>
      <c r="D905" s="30">
        <v>0.13297272591432652</v>
      </c>
      <c r="E905" s="31">
        <f ca="1">B905-D905</f>
        <v>0</v>
      </c>
    </row>
    <row r="906" spans="1:5" x14ac:dyDescent="0.25">
      <c r="A906" s="21">
        <v>905</v>
      </c>
      <c r="B906" s="5" cm="1">
        <f t="array" aca="1" ref="B906" ca="1">interpolexp(A906,serie_du,Taxas_DI)</f>
        <v>0.1329703975059271</v>
      </c>
      <c r="C906" s="32">
        <f ca="1">((((1+B906)^(A906/252))/((1+B905)^(A905/252)))^(252/1))-1</f>
        <v>0.13086747253087627</v>
      </c>
      <c r="D906" s="30">
        <v>0.1329703975059271</v>
      </c>
      <c r="E906" s="31">
        <f ca="1">B906-D906</f>
        <v>0</v>
      </c>
    </row>
    <row r="907" spans="1:5" x14ac:dyDescent="0.25">
      <c r="A907" s="21">
        <v>906</v>
      </c>
      <c r="B907" s="5" cm="1">
        <f t="array" aca="1" ref="B907" ca="1">interpolexp(A907,serie_du,Taxas_DI)</f>
        <v>0.13296807423757162</v>
      </c>
      <c r="C907" s="32">
        <f ca="1">((((1+B907)^(A907/252))/((1+B906)^(A906/252)))^(252/1))-1</f>
        <v>0.13086746828078133</v>
      </c>
      <c r="D907" s="30">
        <v>0.13296807423757162</v>
      </c>
      <c r="E907" s="31">
        <f ca="1">B907-D907</f>
        <v>0</v>
      </c>
    </row>
    <row r="908" spans="1:5" x14ac:dyDescent="0.25">
      <c r="A908" s="21">
        <v>907</v>
      </c>
      <c r="B908" s="5" cm="1">
        <f t="array" aca="1" ref="B908" ca="1">interpolexp(A908,serie_du,Taxas_DI)</f>
        <v>0.13296575609222927</v>
      </c>
      <c r="C908" s="32">
        <f ca="1">((((1+B908)^(A908/252))/((1+B907)^(A907/252)))^(252/1))-1</f>
        <v>0.13086746401811777</v>
      </c>
      <c r="D908" s="30">
        <v>0.13296575609222927</v>
      </c>
      <c r="E908" s="31">
        <f ca="1">B908-D908</f>
        <v>0</v>
      </c>
    </row>
    <row r="909" spans="1:5" x14ac:dyDescent="0.25">
      <c r="A909" s="21">
        <v>908</v>
      </c>
      <c r="B909" s="5" cm="1">
        <f t="array" aca="1" ref="B909" ca="1">interpolexp(A909,serie_du,Taxas_DI)</f>
        <v>0.1329622385858098</v>
      </c>
      <c r="C909" s="32">
        <f ca="1">((((1+B909)^(A909/252))/((1+B908)^(A908/252)))^(252/1))-1</f>
        <v>0.12977635298017831</v>
      </c>
      <c r="D909" s="30">
        <v>0.1329622385858098</v>
      </c>
      <c r="E909" s="31">
        <f ca="1">B909-D909</f>
        <v>0</v>
      </c>
    </row>
    <row r="910" spans="1:5" x14ac:dyDescent="0.25">
      <c r="A910" s="21">
        <v>909</v>
      </c>
      <c r="B910" s="5" cm="1">
        <f t="array" aca="1" ref="B910" ca="1">interpolexp(A910,serie_du,Taxas_DI)</f>
        <v>0.13295872881882165</v>
      </c>
      <c r="C910" s="32">
        <f ca="1">((((1+B910)^(A910/252))/((1+B909)^(A909/252)))^(252/1))-1</f>
        <v>0.12977634324357634</v>
      </c>
      <c r="D910" s="30">
        <v>0.13295872881882165</v>
      </c>
      <c r="E910" s="31">
        <f ca="1">B910-D910</f>
        <v>0</v>
      </c>
    </row>
    <row r="911" spans="1:5" x14ac:dyDescent="0.25">
      <c r="A911" s="21">
        <v>910</v>
      </c>
      <c r="B911" s="5" cm="1">
        <f t="array" aca="1" ref="B911" ca="1">interpolexp(A911,serie_du,Taxas_DI)</f>
        <v>0.13295522676572968</v>
      </c>
      <c r="C911" s="32">
        <f ca="1">((((1+B911)^(A911/252))/((1+B910)^(A910/252)))^(252/1))-1</f>
        <v>0.1297763335208586</v>
      </c>
      <c r="D911" s="30">
        <v>0.13295522676572968</v>
      </c>
      <c r="E911" s="31">
        <f ca="1">B911-D911</f>
        <v>0</v>
      </c>
    </row>
    <row r="912" spans="1:5" x14ac:dyDescent="0.25">
      <c r="A912" s="21">
        <v>911</v>
      </c>
      <c r="B912" s="5" cm="1">
        <f t="array" aca="1" ref="B912" ca="1">interpolexp(A912,serie_du,Taxas_DI)</f>
        <v>0.1329517324011098</v>
      </c>
      <c r="C912" s="32">
        <f ca="1">((((1+B912)^(A912/252))/((1+B911)^(A911/252)))^(252/1))-1</f>
        <v>0.12977632381082138</v>
      </c>
      <c r="D912" s="30">
        <v>0.1329517324011098</v>
      </c>
      <c r="E912" s="31">
        <f ca="1">B912-D912</f>
        <v>0</v>
      </c>
    </row>
    <row r="913" spans="1:5" x14ac:dyDescent="0.25">
      <c r="A913" s="21">
        <v>912</v>
      </c>
      <c r="B913" s="5" cm="1">
        <f t="array" aca="1" ref="B913" ca="1">interpolexp(A913,serie_du,Taxas_DI)</f>
        <v>0.13294824569971553</v>
      </c>
      <c r="C913" s="32">
        <f ca="1">((((1+B913)^(A913/252))/((1+B912)^(A912/252)))^(252/1))-1</f>
        <v>0.12977631417354907</v>
      </c>
      <c r="D913" s="30">
        <v>0.13294824569971553</v>
      </c>
      <c r="E913" s="31">
        <f ca="1">B913-D913</f>
        <v>0</v>
      </c>
    </row>
    <row r="914" spans="1:5" x14ac:dyDescent="0.25">
      <c r="A914" s="21">
        <v>913</v>
      </c>
      <c r="B914" s="5" cm="1">
        <f t="array" aca="1" ref="B914" ca="1">interpolexp(A914,serie_du,Taxas_DI)</f>
        <v>0.1329447666363226</v>
      </c>
      <c r="C914" s="32">
        <f ca="1">((((1+B914)^(A914/252))/((1+B913)^(A913/252)))^(252/1))-1</f>
        <v>0.1297763045282796</v>
      </c>
      <c r="D914" s="30">
        <v>0.1329447666363226</v>
      </c>
      <c r="E914" s="31">
        <f ca="1">B914-D914</f>
        <v>0</v>
      </c>
    </row>
    <row r="915" spans="1:5" x14ac:dyDescent="0.25">
      <c r="A915" s="21">
        <v>914</v>
      </c>
      <c r="B915" s="5" cm="1">
        <f t="array" aca="1" ref="B915" ca="1">interpolexp(A915,serie_du,Taxas_DI)</f>
        <v>0.13294129518588438</v>
      </c>
      <c r="C915" s="32">
        <f ca="1">((((1+B915)^(A915/252))/((1+B914)^(A914/252)))^(252/1))-1</f>
        <v>0.12977629493622245</v>
      </c>
      <c r="D915" s="30">
        <v>0.13294129518588438</v>
      </c>
      <c r="E915" s="31">
        <f ca="1">B915-D915</f>
        <v>0</v>
      </c>
    </row>
    <row r="916" spans="1:5" x14ac:dyDescent="0.25">
      <c r="A916" s="21">
        <v>915</v>
      </c>
      <c r="B916" s="5" cm="1">
        <f t="array" aca="1" ref="B916" ca="1">interpolexp(A916,serie_du,Taxas_DI)</f>
        <v>0.13293783132346526</v>
      </c>
      <c r="C916" s="32">
        <f ca="1">((((1+B916)^(A916/252))/((1+B915)^(A915/252)))^(252/1))-1</f>
        <v>0.12977628539869923</v>
      </c>
      <c r="D916" s="30">
        <v>0.13293783132346526</v>
      </c>
      <c r="E916" s="31">
        <f ca="1">B916-D916</f>
        <v>0</v>
      </c>
    </row>
    <row r="917" spans="1:5" x14ac:dyDescent="0.25">
      <c r="A917" s="21">
        <v>916</v>
      </c>
      <c r="B917" s="5" cm="1">
        <f t="array" aca="1" ref="B917" ca="1">interpolexp(A917,serie_du,Taxas_DI)</f>
        <v>0.13293437502415184</v>
      </c>
      <c r="C917" s="32">
        <f ca="1">((((1+B917)^(A917/252))/((1+B916)^(A916/252)))^(252/1))-1</f>
        <v>0.12977627583637963</v>
      </c>
      <c r="D917" s="30">
        <v>0.13293437502415184</v>
      </c>
      <c r="E917" s="31">
        <f ca="1">B917-D917</f>
        <v>0</v>
      </c>
    </row>
    <row r="918" spans="1:5" x14ac:dyDescent="0.25">
      <c r="A918" s="21">
        <v>917</v>
      </c>
      <c r="B918" s="5" cm="1">
        <f t="array" aca="1" ref="B918" ca="1">interpolexp(A918,serie_du,Taxas_DI)</f>
        <v>0.13293092626323055</v>
      </c>
      <c r="C918" s="32">
        <f ca="1">((((1+B918)^(A918/252))/((1+B917)^(A917/252)))^(252/1))-1</f>
        <v>0.12977626633233497</v>
      </c>
      <c r="D918" s="30">
        <v>0.13293092626323055</v>
      </c>
      <c r="E918" s="31">
        <f ca="1">B918-D918</f>
        <v>0</v>
      </c>
    </row>
    <row r="919" spans="1:5" x14ac:dyDescent="0.25">
      <c r="A919" s="21">
        <v>918</v>
      </c>
      <c r="B919" s="5" cm="1">
        <f t="array" aca="1" ref="B919" ca="1">interpolexp(A919,serie_du,Taxas_DI)</f>
        <v>0.13292748501607665</v>
      </c>
      <c r="C919" s="32">
        <f ca="1">((((1+B919)^(A919/252))/((1+B918)^(A918/252)))^(252/1))-1</f>
        <v>0.1297762568692995</v>
      </c>
      <c r="D919" s="30">
        <v>0.13292748501607665</v>
      </c>
      <c r="E919" s="31">
        <f ca="1">B919-D919</f>
        <v>0</v>
      </c>
    </row>
    <row r="920" spans="1:5" x14ac:dyDescent="0.25">
      <c r="A920" s="21">
        <v>919</v>
      </c>
      <c r="B920" s="5" cm="1">
        <f t="array" aca="1" ref="B920" ca="1">interpolexp(A920,serie_du,Taxas_DI)</f>
        <v>0.13292405125815421</v>
      </c>
      <c r="C920" s="32">
        <f ca="1">((((1+B920)^(A920/252))/((1+B919)^(A919/252)))^(252/1))-1</f>
        <v>0.12977624743033922</v>
      </c>
      <c r="D920" s="30">
        <v>0.13292405125815421</v>
      </c>
      <c r="E920" s="31">
        <f ca="1">B920-D920</f>
        <v>0</v>
      </c>
    </row>
    <row r="921" spans="1:5" x14ac:dyDescent="0.25">
      <c r="A921" s="21">
        <v>920</v>
      </c>
      <c r="B921" s="5" cm="1">
        <f t="array" aca="1" ref="B921" ca="1">interpolexp(A921,serie_du,Taxas_DI)</f>
        <v>0.13292062496503831</v>
      </c>
      <c r="C921" s="32">
        <f ca="1">((((1+B921)^(A921/252))/((1+B920)^(A920/252)))^(252/1))-1</f>
        <v>0.12977623801917648</v>
      </c>
      <c r="D921" s="30">
        <v>0.13292062496503831</v>
      </c>
      <c r="E921" s="31">
        <f ca="1">B921-D921</f>
        <v>0</v>
      </c>
    </row>
    <row r="922" spans="1:5" x14ac:dyDescent="0.25">
      <c r="A922" s="21">
        <v>921</v>
      </c>
      <c r="B922" s="5" cm="1">
        <f t="array" aca="1" ref="B922" ca="1">interpolexp(A922,serie_du,Taxas_DI)</f>
        <v>0.13291720611241509</v>
      </c>
      <c r="C922" s="32">
        <f ca="1">((((1+B922)^(A922/252))/((1+B921)^(A921/252)))^(252/1))-1</f>
        <v>0.12977622864031191</v>
      </c>
      <c r="D922" s="30">
        <v>0.13291720611241509</v>
      </c>
      <c r="E922" s="31">
        <f ca="1">B922-D922</f>
        <v>0</v>
      </c>
    </row>
    <row r="923" spans="1:5" x14ac:dyDescent="0.25">
      <c r="A923" s="21">
        <v>922</v>
      </c>
      <c r="B923" s="5" cm="1">
        <f t="array" aca="1" ref="B923" ca="1">interpolexp(A923,serie_du,Taxas_DI)</f>
        <v>0.13291379467608166</v>
      </c>
      <c r="C923" s="32">
        <f ca="1">((((1+B923)^(A923/252))/((1+B922)^(A922/252)))^(252/1))-1</f>
        <v>0.12977621929873662</v>
      </c>
      <c r="D923" s="30">
        <v>0.13291379467608166</v>
      </c>
      <c r="E923" s="31">
        <f ca="1">B923-D923</f>
        <v>0</v>
      </c>
    </row>
    <row r="924" spans="1:5" x14ac:dyDescent="0.25">
      <c r="A924" s="21">
        <v>923</v>
      </c>
      <c r="B924" s="5" cm="1">
        <f t="array" aca="1" ref="B924" ca="1">interpolexp(A924,serie_du,Taxas_DI)</f>
        <v>0.132910390631924</v>
      </c>
      <c r="C924" s="32">
        <f ca="1">((((1+B924)^(A924/252))/((1+B923)^(A923/252)))^(252/1))-1</f>
        <v>0.12977620997944483</v>
      </c>
      <c r="D924" s="30">
        <v>0.132910390631924</v>
      </c>
      <c r="E924" s="31">
        <f ca="1">B924-D924</f>
        <v>0</v>
      </c>
    </row>
    <row r="925" spans="1:5" x14ac:dyDescent="0.25">
      <c r="A925" s="21">
        <v>924</v>
      </c>
      <c r="B925" s="5" cm="1">
        <f t="array" aca="1" ref="B925" ca="1">interpolexp(A925,serie_du,Taxas_DI)</f>
        <v>0.13290699395593908</v>
      </c>
      <c r="C925" s="32">
        <f ca="1">((((1+B925)^(A925/252))/((1+B924)^(A924/252)))^(252/1))-1</f>
        <v>0.12977620068842</v>
      </c>
      <c r="D925" s="30">
        <v>0.13290699395593908</v>
      </c>
      <c r="E925" s="31">
        <f ca="1">B925-D925</f>
        <v>0</v>
      </c>
    </row>
    <row r="926" spans="1:5" x14ac:dyDescent="0.25">
      <c r="A926" s="21">
        <v>925</v>
      </c>
      <c r="B926" s="5" cm="1">
        <f t="array" aca="1" ref="B926" ca="1">interpolexp(A926,serie_du,Taxas_DI)</f>
        <v>0.13290360462423489</v>
      </c>
      <c r="C926" s="32">
        <f ca="1">((((1+B926)^(A926/252))/((1+B925)^(A925/252)))^(252/1))-1</f>
        <v>0.12977619143219754</v>
      </c>
      <c r="D926" s="30">
        <v>0.13290360462423489</v>
      </c>
      <c r="E926" s="31">
        <f ca="1">B926-D926</f>
        <v>0</v>
      </c>
    </row>
    <row r="927" spans="1:5" x14ac:dyDescent="0.25">
      <c r="A927" s="21">
        <v>926</v>
      </c>
      <c r="B927" s="5" cm="1">
        <f t="array" aca="1" ref="B927" ca="1">interpolexp(A927,serie_du,Taxas_DI)</f>
        <v>0.13290022261300827</v>
      </c>
      <c r="C927" s="32">
        <f ca="1">((((1+B927)^(A927/252))/((1+B926)^(A926/252)))^(252/1))-1</f>
        <v>0.12977618219737486</v>
      </c>
      <c r="D927" s="30">
        <v>0.13290022261300827</v>
      </c>
      <c r="E927" s="31">
        <f ca="1">B927-D927</f>
        <v>0</v>
      </c>
    </row>
    <row r="928" spans="1:5" x14ac:dyDescent="0.25">
      <c r="A928" s="21">
        <v>927</v>
      </c>
      <c r="B928" s="5" cm="1">
        <f t="array" aca="1" ref="B928" ca="1">interpolexp(A928,serie_du,Taxas_DI)</f>
        <v>0.13289684789858924</v>
      </c>
      <c r="C928" s="32">
        <f ca="1">((((1+B928)^(A928/252))/((1+B927)^(A927/252)))^(252/1))-1</f>
        <v>0.12977617301206545</v>
      </c>
      <c r="D928" s="30">
        <v>0.13289684789858924</v>
      </c>
      <c r="E928" s="31">
        <f ca="1">B928-D928</f>
        <v>0</v>
      </c>
    </row>
    <row r="929" spans="1:5" x14ac:dyDescent="0.25">
      <c r="A929" s="21">
        <v>928</v>
      </c>
      <c r="B929" s="5" cm="1">
        <f t="array" aca="1" ref="B929" ca="1">interpolexp(A929,serie_du,Taxas_DI)</f>
        <v>0.13289348045737448</v>
      </c>
      <c r="C929" s="32">
        <f ca="1">((((1+B929)^(A929/252))/((1+B928)^(A928/252)))^(252/1))-1</f>
        <v>0.12977616384328838</v>
      </c>
      <c r="D929" s="30">
        <v>0.13289348045737448</v>
      </c>
      <c r="E929" s="31">
        <f ca="1">B929-D929</f>
        <v>0</v>
      </c>
    </row>
    <row r="930" spans="1:5" x14ac:dyDescent="0.25">
      <c r="A930" s="21">
        <v>929</v>
      </c>
      <c r="B930" s="5" cm="1">
        <f t="array" aca="1" ref="B930" ca="1">interpolexp(A930,serie_du,Taxas_DI)</f>
        <v>0.13289012026584945</v>
      </c>
      <c r="C930" s="32">
        <f ca="1">((((1+B930)^(A930/252))/((1+B929)^(A929/252)))^(252/1))-1</f>
        <v>0.12977615467912873</v>
      </c>
      <c r="D930" s="30">
        <v>0.13289012026584945</v>
      </c>
      <c r="E930" s="31">
        <f ca="1">B930-D930</f>
        <v>0</v>
      </c>
    </row>
    <row r="931" spans="1:5" x14ac:dyDescent="0.25">
      <c r="A931" s="21">
        <v>930</v>
      </c>
      <c r="B931" s="5" cm="1">
        <f t="array" aca="1" ref="B931" ca="1">interpolexp(A931,serie_du,Taxas_DI)</f>
        <v>0.13288676730067728</v>
      </c>
      <c r="C931" s="32">
        <f ca="1">((((1+B931)^(A931/252))/((1+B930)^(A930/252)))^(252/1))-1</f>
        <v>0.12977614559034012</v>
      </c>
      <c r="D931" s="30">
        <v>0.13288676730067728</v>
      </c>
      <c r="E931" s="31">
        <f ca="1">B931-D931</f>
        <v>0</v>
      </c>
    </row>
    <row r="932" spans="1:5" x14ac:dyDescent="0.25">
      <c r="A932" s="21">
        <v>931</v>
      </c>
      <c r="B932" s="5" cm="1">
        <f t="array" aca="1" ref="B932" ca="1">interpolexp(A932,serie_du,Taxas_DI)</f>
        <v>0.13288342153856547</v>
      </c>
      <c r="C932" s="32">
        <f ca="1">((((1+B932)^(A932/252))/((1+B931)^(A931/252)))^(252/1))-1</f>
        <v>0.12977613652505848</v>
      </c>
      <c r="D932" s="30">
        <v>0.13288342153856547</v>
      </c>
      <c r="E932" s="31">
        <f ca="1">B932-D932</f>
        <v>0</v>
      </c>
    </row>
    <row r="933" spans="1:5" x14ac:dyDescent="0.25">
      <c r="A933" s="21">
        <v>932</v>
      </c>
      <c r="B933" s="5" cm="1">
        <f t="array" aca="1" ref="B933" ca="1">interpolexp(A933,serie_du,Taxas_DI)</f>
        <v>0.13288008295628817</v>
      </c>
      <c r="C933" s="32">
        <f ca="1">((((1+B933)^(A933/252))/((1+B932)^(A932/252)))^(252/1))-1</f>
        <v>0.12977612745194267</v>
      </c>
      <c r="D933" s="30">
        <v>0.13288008295628817</v>
      </c>
      <c r="E933" s="31">
        <f ca="1">B933-D933</f>
        <v>0</v>
      </c>
    </row>
    <row r="934" spans="1:5" x14ac:dyDescent="0.25">
      <c r="A934" s="21">
        <v>933</v>
      </c>
      <c r="B934" s="5" cm="1">
        <f t="array" aca="1" ref="B934" ca="1">interpolexp(A934,serie_du,Taxas_DI)</f>
        <v>0.13287675153079714</v>
      </c>
      <c r="C934" s="32">
        <f ca="1">((((1+B934)^(A934/252))/((1+B933)^(A933/252)))^(252/1))-1</f>
        <v>0.12977611844367787</v>
      </c>
      <c r="D934" s="30">
        <v>0.13287675153079714</v>
      </c>
      <c r="E934" s="31">
        <f ca="1">B934-D934</f>
        <v>0</v>
      </c>
    </row>
    <row r="935" spans="1:5" x14ac:dyDescent="0.25">
      <c r="A935" s="21">
        <v>934</v>
      </c>
      <c r="B935" s="5" cm="1">
        <f t="array" aca="1" ref="B935" ca="1">interpolexp(A935,serie_du,Taxas_DI)</f>
        <v>0.13287342723906637</v>
      </c>
      <c r="C935" s="32">
        <f ca="1">((((1+B935)^(A935/252))/((1+B934)^(A934/252)))^(252/1))-1</f>
        <v>0.12977610942883788</v>
      </c>
      <c r="D935" s="30">
        <v>0.13287342723906637</v>
      </c>
      <c r="E935" s="31">
        <f ca="1">B935-D935</f>
        <v>0</v>
      </c>
    </row>
    <row r="936" spans="1:5" x14ac:dyDescent="0.25">
      <c r="A936" s="21">
        <v>935</v>
      </c>
      <c r="B936" s="5" cm="1">
        <f t="array" aca="1" ref="B936" ca="1">interpolexp(A936,serie_du,Taxas_DI)</f>
        <v>0.13287011005824745</v>
      </c>
      <c r="C936" s="32">
        <f ca="1">((((1+B936)^(A936/252))/((1+B935)^(A935/252)))^(252/1))-1</f>
        <v>0.12977610048102073</v>
      </c>
      <c r="D936" s="30">
        <v>0.13287011005824745</v>
      </c>
      <c r="E936" s="31">
        <f ca="1">B936-D936</f>
        <v>0</v>
      </c>
    </row>
    <row r="937" spans="1:5" x14ac:dyDescent="0.25">
      <c r="A937" s="21">
        <v>936</v>
      </c>
      <c r="B937" s="5" cm="1">
        <f t="array" aca="1" ref="B937" ca="1">interpolexp(A937,serie_du,Taxas_DI)</f>
        <v>0.13286679996553641</v>
      </c>
      <c r="C937" s="32">
        <f ca="1">((((1+B937)^(A937/252))/((1+B936)^(A936/252)))^(252/1))-1</f>
        <v>0.12977609155044978</v>
      </c>
      <c r="D937" s="30">
        <v>0.13286679996553641</v>
      </c>
      <c r="E937" s="31">
        <f ca="1">B937-D937</f>
        <v>0</v>
      </c>
    </row>
    <row r="938" spans="1:5" x14ac:dyDescent="0.25">
      <c r="A938" s="21">
        <v>937</v>
      </c>
      <c r="B938" s="5" cm="1">
        <f t="array" aca="1" ref="B938" ca="1">interpolexp(A938,serie_du,Taxas_DI)</f>
        <v>0.13286349693821808</v>
      </c>
      <c r="C938" s="32">
        <f ca="1">((((1+B938)^(A938/252))/((1+B937)^(A937/252)))^(252/1))-1</f>
        <v>0.12977608262899065</v>
      </c>
      <c r="D938" s="30">
        <v>0.13286349693821808</v>
      </c>
      <c r="E938" s="31">
        <f ca="1">B938-D938</f>
        <v>0</v>
      </c>
    </row>
    <row r="939" spans="1:5" x14ac:dyDescent="0.25">
      <c r="A939" s="21">
        <v>938</v>
      </c>
      <c r="B939" s="5" cm="1">
        <f t="array" aca="1" ref="B939" ca="1">interpolexp(A939,serie_du,Taxas_DI)</f>
        <v>0.13286020095373274</v>
      </c>
      <c r="C939" s="32">
        <f ca="1">((((1+B939)^(A939/252))/((1+B938)^(A938/252)))^(252/1))-1</f>
        <v>0.12977607377145994</v>
      </c>
      <c r="D939" s="30">
        <v>0.13286020095373274</v>
      </c>
      <c r="E939" s="31">
        <f ca="1">B939-D939</f>
        <v>0</v>
      </c>
    </row>
    <row r="940" spans="1:5" x14ac:dyDescent="0.25">
      <c r="A940" s="21">
        <v>939</v>
      </c>
      <c r="B940" s="5" cm="1">
        <f t="array" aca="1" ref="B940" ca="1">interpolexp(A940,serie_du,Taxas_DI)</f>
        <v>0.13285691198954286</v>
      </c>
      <c r="C940" s="32">
        <f ca="1">((((1+B940)^(A940/252))/((1+B939)^(A939/252)))^(252/1))-1</f>
        <v>0.12977606490838967</v>
      </c>
      <c r="D940" s="30">
        <v>0.13285691198954286</v>
      </c>
      <c r="E940" s="31">
        <f ca="1">B940-D940</f>
        <v>0</v>
      </c>
    </row>
    <row r="941" spans="1:5" x14ac:dyDescent="0.25">
      <c r="A941" s="21">
        <v>940</v>
      </c>
      <c r="B941" s="5" cm="1">
        <f t="array" aca="1" ref="B941" ca="1">interpolexp(A941,serie_du,Taxas_DI)</f>
        <v>0.13285363002324413</v>
      </c>
      <c r="C941" s="32">
        <f ca="1">((((1+B941)^(A941/252))/((1+B940)^(A940/252)))^(252/1))-1</f>
        <v>0.12977605607463349</v>
      </c>
      <c r="D941" s="30">
        <v>0.13285363002324413</v>
      </c>
      <c r="E941" s="31">
        <f ca="1">B941-D941</f>
        <v>0</v>
      </c>
    </row>
    <row r="942" spans="1:5" x14ac:dyDescent="0.25">
      <c r="A942" s="21">
        <v>941</v>
      </c>
      <c r="B942" s="5" cm="1">
        <f t="array" aca="1" ref="B942" ca="1">interpolexp(A942,serie_du,Taxas_DI)</f>
        <v>0.13285035503256548</v>
      </c>
      <c r="C942" s="32">
        <f ca="1">((((1+B942)^(A942/252))/((1+B941)^(A941/252)))^(252/1))-1</f>
        <v>0.1297760473057783</v>
      </c>
      <c r="D942" s="30">
        <v>0.13285035503256548</v>
      </c>
      <c r="E942" s="31">
        <f ca="1">B942-D942</f>
        <v>0</v>
      </c>
    </row>
    <row r="943" spans="1:5" x14ac:dyDescent="0.25">
      <c r="A943" s="21">
        <v>942</v>
      </c>
      <c r="B943" s="5" cm="1">
        <f t="array" aca="1" ref="B943" ca="1">interpolexp(A943,serie_du,Taxas_DI)</f>
        <v>0.13284708699523584</v>
      </c>
      <c r="C943" s="32">
        <f ca="1">((((1+B943)^(A943/252))/((1+B942)^(A942/252)))^(252/1))-1</f>
        <v>0.12977603851284258</v>
      </c>
      <c r="D943" s="30">
        <v>0.13284708699523584</v>
      </c>
      <c r="E943" s="31">
        <f ca="1">B943-D943</f>
        <v>0</v>
      </c>
    </row>
    <row r="944" spans="1:5" x14ac:dyDescent="0.25">
      <c r="A944" s="21">
        <v>943</v>
      </c>
      <c r="B944" s="5" cm="1">
        <f t="array" aca="1" ref="B944" ca="1">interpolexp(A944,serie_du,Taxas_DI)</f>
        <v>0.13284382588918398</v>
      </c>
      <c r="C944" s="32">
        <f ca="1">((((1+B944)^(A944/252))/((1+B943)^(A943/252)))^(252/1))-1</f>
        <v>0.12977602979483027</v>
      </c>
      <c r="D944" s="30">
        <v>0.13284382588918398</v>
      </c>
      <c r="E944" s="31">
        <f ca="1">B944-D944</f>
        <v>0</v>
      </c>
    </row>
    <row r="945" spans="1:5" x14ac:dyDescent="0.25">
      <c r="A945" s="21">
        <v>944</v>
      </c>
      <c r="B945" s="5" cm="1">
        <f t="array" aca="1" ref="B945" ca="1">interpolexp(A945,serie_du,Taxas_DI)</f>
        <v>0.13284057169236085</v>
      </c>
      <c r="C945" s="32">
        <f ca="1">((((1+B945)^(A945/252))/((1+B944)^(A944/252)))^(252/1))-1</f>
        <v>0.12977602108448538</v>
      </c>
      <c r="D945" s="30">
        <v>0.13284057169236085</v>
      </c>
      <c r="E945" s="31">
        <f ca="1">B945-D945</f>
        <v>0</v>
      </c>
    </row>
    <row r="946" spans="1:5" x14ac:dyDescent="0.25">
      <c r="A946" s="21">
        <v>945</v>
      </c>
      <c r="B946" s="5" cm="1">
        <f t="array" aca="1" ref="B946" ca="1">interpolexp(A946,serie_du,Taxas_DI)</f>
        <v>0.13283732438282847</v>
      </c>
      <c r="C946" s="32">
        <f ca="1">((((1+B946)^(A946/252))/((1+B945)^(A945/252)))^(252/1))-1</f>
        <v>0.12977601239830427</v>
      </c>
      <c r="D946" s="30">
        <v>0.13283732438282847</v>
      </c>
      <c r="E946" s="31">
        <f ca="1">B946-D946</f>
        <v>0</v>
      </c>
    </row>
    <row r="947" spans="1:5" x14ac:dyDescent="0.25">
      <c r="A947" s="21">
        <v>946</v>
      </c>
      <c r="B947" s="5" cm="1">
        <f t="array" aca="1" ref="B947" ca="1">interpolexp(A947,serie_du,Taxas_DI)</f>
        <v>0.13283408393873763</v>
      </c>
      <c r="C947" s="32">
        <f ca="1">((((1+B947)^(A947/252))/((1+B946)^(A946/252)))^(252/1))-1</f>
        <v>0.12977600373246467</v>
      </c>
      <c r="D947" s="30">
        <v>0.13283408393873763</v>
      </c>
      <c r="E947" s="31">
        <f ca="1">B947-D947</f>
        <v>0</v>
      </c>
    </row>
    <row r="948" spans="1:5" x14ac:dyDescent="0.25">
      <c r="A948" s="21">
        <v>947</v>
      </c>
      <c r="B948" s="5" cm="1">
        <f t="array" aca="1" ref="B948" ca="1">interpolexp(A948,serie_du,Taxas_DI)</f>
        <v>0.13283085033837239</v>
      </c>
      <c r="C948" s="32">
        <f ca="1">((((1+B948)^(A948/252))/((1+B947)^(A947/252)))^(252/1))-1</f>
        <v>0.12977599512559701</v>
      </c>
      <c r="D948" s="30">
        <v>0.13283085033837239</v>
      </c>
      <c r="E948" s="31">
        <f ca="1">B948-D948</f>
        <v>0</v>
      </c>
    </row>
    <row r="949" spans="1:5" x14ac:dyDescent="0.25">
      <c r="A949" s="21">
        <v>948</v>
      </c>
      <c r="B949" s="5" cm="1">
        <f t="array" aca="1" ref="B949" ca="1">interpolexp(A949,serie_du,Taxas_DI)</f>
        <v>0.13282762356003897</v>
      </c>
      <c r="C949" s="32">
        <f ca="1">((((1+B949)^(A949/252))/((1+B948)^(A948/252)))^(252/1))-1</f>
        <v>0.12977598651179667</v>
      </c>
      <c r="D949" s="30">
        <v>0.13282762356003897</v>
      </c>
      <c r="E949" s="31">
        <f ca="1">B949-D949</f>
        <v>0</v>
      </c>
    </row>
    <row r="950" spans="1:5" x14ac:dyDescent="0.25">
      <c r="A950" s="21">
        <v>949</v>
      </c>
      <c r="B950" s="5" cm="1">
        <f t="array" aca="1" ref="B950" ca="1">interpolexp(A950,serie_du,Taxas_DI)</f>
        <v>0.13282440358217684</v>
      </c>
      <c r="C950" s="32">
        <f ca="1">((((1+B950)^(A950/252))/((1+B949)^(A949/252)))^(252/1))-1</f>
        <v>0.12977597793063822</v>
      </c>
      <c r="D950" s="30">
        <v>0.13282440358217684</v>
      </c>
      <c r="E950" s="31">
        <f ca="1">B950-D950</f>
        <v>0</v>
      </c>
    </row>
    <row r="951" spans="1:5" x14ac:dyDescent="0.25">
      <c r="A951" s="21">
        <v>950</v>
      </c>
      <c r="B951" s="5" cm="1">
        <f t="array" aca="1" ref="B951" ca="1">interpolexp(A951,serie_du,Taxas_DI)</f>
        <v>0.13282119038333651</v>
      </c>
      <c r="C951" s="32">
        <f ca="1">((((1+B951)^(A951/252))/((1+B950)^(A950/252)))^(252/1))-1</f>
        <v>0.12977596940111935</v>
      </c>
      <c r="D951" s="30">
        <v>0.13282119038333651</v>
      </c>
      <c r="E951" s="31">
        <f ca="1">B951-D951</f>
        <v>0</v>
      </c>
    </row>
    <row r="952" spans="1:5" x14ac:dyDescent="0.25">
      <c r="A952" s="21">
        <v>951</v>
      </c>
      <c r="B952" s="5" cm="1">
        <f t="array" aca="1" ref="B952" ca="1">interpolexp(A952,serie_du,Taxas_DI)</f>
        <v>0.13281798394209066</v>
      </c>
      <c r="C952" s="32">
        <f ca="1">((((1+B952)^(A952/252))/((1+B951)^(A951/252)))^(252/1))-1</f>
        <v>0.12977596085865017</v>
      </c>
      <c r="D952" s="30">
        <v>0.13281798394209066</v>
      </c>
      <c r="E952" s="31">
        <f ca="1">B952-D952</f>
        <v>0</v>
      </c>
    </row>
    <row r="953" spans="1:5" x14ac:dyDescent="0.25">
      <c r="A953" s="21">
        <v>952</v>
      </c>
      <c r="B953" s="5" cm="1">
        <f t="array" aca="1" ref="B953" ca="1">interpolexp(A953,serie_du,Taxas_DI)</f>
        <v>0.13281478423718962</v>
      </c>
      <c r="C953" s="32">
        <f ca="1">((((1+B953)^(A953/252))/((1+B952)^(A952/252)))^(252/1))-1</f>
        <v>0.12977595238625295</v>
      </c>
      <c r="D953" s="30">
        <v>0.13281478423718962</v>
      </c>
      <c r="E953" s="31">
        <f ca="1">B953-D953</f>
        <v>0</v>
      </c>
    </row>
    <row r="954" spans="1:5" x14ac:dyDescent="0.25">
      <c r="A954" s="21">
        <v>953</v>
      </c>
      <c r="B954" s="5" cm="1">
        <f t="array" aca="1" ref="B954" ca="1">interpolexp(A954,serie_du,Taxas_DI)</f>
        <v>0.13281159124740594</v>
      </c>
      <c r="C954" s="32">
        <f ca="1">((((1+B954)^(A954/252))/((1+B953)^(A953/252)))^(252/1))-1</f>
        <v>0.12977594392019487</v>
      </c>
      <c r="D954" s="30">
        <v>0.13281159124740594</v>
      </c>
      <c r="E954" s="31">
        <f ca="1">B954-D954</f>
        <v>0</v>
      </c>
    </row>
    <row r="955" spans="1:5" x14ac:dyDescent="0.25">
      <c r="A955" s="21">
        <v>954</v>
      </c>
      <c r="B955" s="5" cm="1">
        <f t="array" aca="1" ref="B955" ca="1">interpolexp(A955,serie_du,Taxas_DI)</f>
        <v>0.13280840495162316</v>
      </c>
      <c r="C955" s="32">
        <f ca="1">((((1+B955)^(A955/252))/((1+B954)^(A954/252)))^(252/1))-1</f>
        <v>0.12977593548119803</v>
      </c>
      <c r="D955" s="30">
        <v>0.13280840495162316</v>
      </c>
      <c r="E955" s="31">
        <f ca="1">B955-D955</f>
        <v>0</v>
      </c>
    </row>
    <row r="956" spans="1:5" x14ac:dyDescent="0.25">
      <c r="A956" s="21">
        <v>955</v>
      </c>
      <c r="B956" s="5" cm="1">
        <f t="array" aca="1" ref="B956" ca="1">interpolexp(A956,serie_du,Taxas_DI)</f>
        <v>0.13280522532879147</v>
      </c>
      <c r="C956" s="32">
        <f ca="1">((((1+B956)^(A956/252))/((1+B955)^(A955/252)))^(252/1))-1</f>
        <v>0.1297759270484955</v>
      </c>
      <c r="D956" s="30">
        <v>0.13280522532879147</v>
      </c>
      <c r="E956" s="31">
        <f ca="1">B956-D956</f>
        <v>0</v>
      </c>
    </row>
    <row r="957" spans="1:5" x14ac:dyDescent="0.25">
      <c r="A957" s="21">
        <v>956</v>
      </c>
      <c r="B957" s="5" cm="1">
        <f t="array" aca="1" ref="B957" ca="1">interpolexp(A957,serie_du,Taxas_DI)</f>
        <v>0.13280205235801645</v>
      </c>
      <c r="C957" s="32">
        <f ca="1">((((1+B957)^(A957/252))/((1+B956)^(A956/252)))^(252/1))-1</f>
        <v>0.12977591868618465</v>
      </c>
      <c r="D957" s="30">
        <v>0.13280205235801645</v>
      </c>
      <c r="E957" s="31">
        <f ca="1">B957-D957</f>
        <v>0</v>
      </c>
    </row>
    <row r="958" spans="1:5" x14ac:dyDescent="0.25">
      <c r="A958" s="21">
        <v>957</v>
      </c>
      <c r="B958" s="5" cm="1">
        <f t="array" aca="1" ref="B958" ca="1">interpolexp(A958,serie_du,Taxas_DI)</f>
        <v>0.13279888601840373</v>
      </c>
      <c r="C958" s="32">
        <f ca="1">((((1+B958)^(A958/252))/((1+B957)^(A957/252)))^(252/1))-1</f>
        <v>0.12977591031069724</v>
      </c>
      <c r="D958" s="30">
        <v>0.13279888601840373</v>
      </c>
      <c r="E958" s="31">
        <f ca="1">B958-D958</f>
        <v>0</v>
      </c>
    </row>
    <row r="959" spans="1:5" x14ac:dyDescent="0.25">
      <c r="A959" s="21">
        <v>958</v>
      </c>
      <c r="B959" s="5" cm="1">
        <f t="array" aca="1" ref="B959" ca="1">interpolexp(A959,serie_du,Taxas_DI)</f>
        <v>0.13279572628921432</v>
      </c>
      <c r="C959" s="32">
        <f ca="1">((((1+B959)^(A959/252))/((1+B958)^(A958/252)))^(252/1))-1</f>
        <v>0.12977590198712052</v>
      </c>
      <c r="D959" s="30">
        <v>0.13279572628921432</v>
      </c>
      <c r="E959" s="31">
        <f ca="1">B959-D959</f>
        <v>0</v>
      </c>
    </row>
    <row r="960" spans="1:5" x14ac:dyDescent="0.25">
      <c r="A960" s="21">
        <v>959</v>
      </c>
      <c r="B960" s="5" cm="1">
        <f t="array" aca="1" ref="B960" ca="1">interpolexp(A960,serie_du,Taxas_DI)</f>
        <v>0.13279257314975368</v>
      </c>
      <c r="C960" s="32">
        <f ca="1">((((1+B960)^(A960/252))/((1+B959)^(A959/252)))^(252/1))-1</f>
        <v>0.12977589367513809</v>
      </c>
      <c r="D960" s="30">
        <v>0.13279257314975368</v>
      </c>
      <c r="E960" s="31">
        <f ca="1">B960-D960</f>
        <v>0</v>
      </c>
    </row>
    <row r="961" spans="1:5" x14ac:dyDescent="0.25">
      <c r="A961" s="21">
        <v>960</v>
      </c>
      <c r="B961" s="5" cm="1">
        <f t="array" aca="1" ref="B961" ca="1">interpolexp(A961,serie_du,Taxas_DI)</f>
        <v>0.13278942657941606</v>
      </c>
      <c r="C961" s="32">
        <f ca="1">((((1+B961)^(A961/252))/((1+B960)^(A960/252)))^(252/1))-1</f>
        <v>0.12977588537708185</v>
      </c>
      <c r="D961" s="30">
        <v>0.13278942657941606</v>
      </c>
      <c r="E961" s="31">
        <f ca="1">B961-D961</f>
        <v>0</v>
      </c>
    </row>
    <row r="962" spans="1:5" x14ac:dyDescent="0.25">
      <c r="A962" s="21">
        <v>961</v>
      </c>
      <c r="B962" s="5" cm="1">
        <f t="array" aca="1" ref="B962" ca="1">interpolexp(A962,serie_du,Taxas_DI)</f>
        <v>0.13278628655772895</v>
      </c>
      <c r="C962" s="32">
        <f ca="1">((((1+B962)^(A962/252))/((1+B961)^(A961/252)))^(252/1))-1</f>
        <v>0.12977587713835415</v>
      </c>
      <c r="D962" s="30">
        <v>0.13278628655772895</v>
      </c>
      <c r="E962" s="31">
        <f ca="1">B962-D962</f>
        <v>0</v>
      </c>
    </row>
    <row r="963" spans="1:5" x14ac:dyDescent="0.25">
      <c r="A963" s="21">
        <v>962</v>
      </c>
      <c r="B963" s="5" cm="1">
        <f t="array" aca="1" ref="B963" ca="1">interpolexp(A963,serie_du,Taxas_DI)</f>
        <v>0.13278315306424204</v>
      </c>
      <c r="C963" s="32">
        <f ca="1">((((1+B963)^(A963/252))/((1+B962)^(A962/252)))^(252/1))-1</f>
        <v>0.129775868898373</v>
      </c>
      <c r="D963" s="30">
        <v>0.13278315306424204</v>
      </c>
      <c r="E963" s="31">
        <f ca="1">B963-D963</f>
        <v>0</v>
      </c>
    </row>
    <row r="964" spans="1:5" x14ac:dyDescent="0.25">
      <c r="A964" s="21">
        <v>963</v>
      </c>
      <c r="B964" s="5" cm="1">
        <f t="array" aca="1" ref="B964" ca="1">interpolexp(A964,serie_du,Taxas_DI)</f>
        <v>0.13278002607863826</v>
      </c>
      <c r="C964" s="32">
        <f ca="1">((((1+B964)^(A964/252))/((1+B963)^(A963/252)))^(252/1))-1</f>
        <v>0.12977586070348135</v>
      </c>
      <c r="D964" s="30">
        <v>0.13278002607863826</v>
      </c>
      <c r="E964" s="31">
        <f ca="1">B964-D964</f>
        <v>0</v>
      </c>
    </row>
    <row r="965" spans="1:5" x14ac:dyDescent="0.25">
      <c r="A965" s="21">
        <v>964</v>
      </c>
      <c r="B965" s="5" cm="1">
        <f t="array" aca="1" ref="B965" ca="1">interpolexp(A965,serie_du,Taxas_DI)</f>
        <v>0.13277690558064492</v>
      </c>
      <c r="C965" s="32">
        <f ca="1">((((1+B965)^(A965/252))/((1+B964)^(A964/252)))^(252/1))-1</f>
        <v>0.12977585251527501</v>
      </c>
      <c r="D965" s="30">
        <v>0.13277690558064492</v>
      </c>
      <c r="E965" s="31">
        <f ca="1">B965-D965</f>
        <v>0</v>
      </c>
    </row>
    <row r="966" spans="1:5" x14ac:dyDescent="0.25">
      <c r="A966" s="21">
        <v>965</v>
      </c>
      <c r="B966" s="5" cm="1">
        <f t="array" aca="1" ref="B966" ca="1">interpolexp(A966,serie_du,Taxas_DI)</f>
        <v>0.13277379155012259</v>
      </c>
      <c r="C966" s="32">
        <f ca="1">((((1+B966)^(A966/252))/((1+B965)^(A965/252)))^(252/1))-1</f>
        <v>0.12977584438089029</v>
      </c>
      <c r="D966" s="30">
        <v>0.13277379155012259</v>
      </c>
      <c r="E966" s="31">
        <f ca="1">B966-D966</f>
        <v>0</v>
      </c>
    </row>
    <row r="967" spans="1:5" x14ac:dyDescent="0.25">
      <c r="A967" s="21">
        <v>966</v>
      </c>
      <c r="B967" s="5" cm="1">
        <f t="array" aca="1" ref="B967" ca="1">interpolexp(A967,serie_du,Taxas_DI)</f>
        <v>0.13277068396693181</v>
      </c>
      <c r="C967" s="32">
        <f ca="1">((((1+B967)^(A967/252))/((1+B966)^(A966/252)))^(252/1))-1</f>
        <v>0.1297758362200061</v>
      </c>
      <c r="D967" s="30">
        <v>0.13277068396693181</v>
      </c>
      <c r="E967" s="31">
        <f ca="1">B967-D967</f>
        <v>0</v>
      </c>
    </row>
    <row r="968" spans="1:5" x14ac:dyDescent="0.25">
      <c r="A968" s="21">
        <v>967</v>
      </c>
      <c r="B968" s="5" cm="1">
        <f t="array" aca="1" ref="B968" ca="1">interpolexp(A968,serie_du,Taxas_DI)</f>
        <v>0.13276758281113299</v>
      </c>
      <c r="C968" s="32">
        <f ca="1">((((1+B968)^(A968/252))/((1+B967)^(A967/252)))^(252/1))-1</f>
        <v>0.12977582814472699</v>
      </c>
      <c r="D968" s="30">
        <v>0.13276758281113299</v>
      </c>
      <c r="E968" s="31">
        <f ca="1">B968-D968</f>
        <v>0</v>
      </c>
    </row>
    <row r="969" spans="1:5" x14ac:dyDescent="0.25">
      <c r="A969" s="21">
        <v>968</v>
      </c>
      <c r="B969" s="5" cm="1">
        <f t="array" aca="1" ref="B969" ca="1">interpolexp(A969,serie_du,Taxas_DI)</f>
        <v>0.13276448806276431</v>
      </c>
      <c r="C969" s="32">
        <f ca="1">((((1+B969)^(A969/252))/((1+B968)^(A968/252)))^(252/1))-1</f>
        <v>0.12977582005410349</v>
      </c>
      <c r="D969" s="30">
        <v>0.13276448806276431</v>
      </c>
      <c r="E969" s="31">
        <f ca="1">B969-D969</f>
        <v>0</v>
      </c>
    </row>
    <row r="970" spans="1:5" x14ac:dyDescent="0.25">
      <c r="A970" s="21">
        <v>969</v>
      </c>
      <c r="B970" s="5" cm="1">
        <f t="array" aca="1" ref="B970" ca="1">interpolexp(A970,serie_du,Taxas_DI)</f>
        <v>0.13276139970199718</v>
      </c>
      <c r="C970" s="32">
        <f ca="1">((((1+B970)^(A970/252))/((1+B969)^(A969/252)))^(252/1))-1</f>
        <v>0.12977581199702093</v>
      </c>
      <c r="D970" s="30">
        <v>0.13276139970199718</v>
      </c>
      <c r="E970" s="31">
        <f ca="1">B970-D970</f>
        <v>0</v>
      </c>
    </row>
    <row r="971" spans="1:5" x14ac:dyDescent="0.25">
      <c r="A971" s="21">
        <v>970</v>
      </c>
      <c r="B971" s="5" cm="1">
        <f t="array" aca="1" ref="B971" ca="1">interpolexp(A971,serie_du,Taxas_DI)</f>
        <v>0.13275831770906965</v>
      </c>
      <c r="C971" s="32">
        <f ca="1">((((1+B971)^(A971/252))/((1+B970)^(A970/252)))^(252/1))-1</f>
        <v>0.12977580395897603</v>
      </c>
      <c r="D971" s="30">
        <v>0.13275831770906965</v>
      </c>
      <c r="E971" s="31">
        <f ca="1">B971-D971</f>
        <v>0</v>
      </c>
    </row>
    <row r="972" spans="1:5" x14ac:dyDescent="0.25">
      <c r="A972" s="21">
        <v>971</v>
      </c>
      <c r="B972" s="5" cm="1">
        <f t="array" aca="1" ref="B972" ca="1">interpolexp(A972,serie_du,Taxas_DI)</f>
        <v>0.13275524206433431</v>
      </c>
      <c r="C972" s="32">
        <f ca="1">((((1+B972)^(A972/252))/((1+B971)^(A971/252)))^(252/1))-1</f>
        <v>0.12977579597160571</v>
      </c>
      <c r="D972" s="30">
        <v>0.13275524206433431</v>
      </c>
      <c r="E972" s="31">
        <f ca="1">B972-D972</f>
        <v>0</v>
      </c>
    </row>
    <row r="973" spans="1:5" x14ac:dyDescent="0.25">
      <c r="A973" s="21">
        <v>972</v>
      </c>
      <c r="B973" s="5" cm="1">
        <f t="array" aca="1" ref="B973" ca="1">interpolexp(A973,serie_du,Taxas_DI)</f>
        <v>0.13274801409774994</v>
      </c>
      <c r="C973" s="32">
        <f ca="1">((((1+B973)^(A973/252))/((1+B972)^(A972/252)))^(252/1))-1</f>
        <v>0.12575137836012518</v>
      </c>
      <c r="D973" s="30">
        <v>0.13274801409774994</v>
      </c>
      <c r="E973" s="31">
        <f ca="1">B973-D973</f>
        <v>0</v>
      </c>
    </row>
    <row r="974" spans="1:5" x14ac:dyDescent="0.25">
      <c r="A974" s="21">
        <v>973</v>
      </c>
      <c r="B974" s="5" cm="1">
        <f t="array" aca="1" ref="B974" ca="1">interpolexp(A974,serie_du,Taxas_DI)</f>
        <v>0.13274080098875096</v>
      </c>
      <c r="C974" s="32">
        <f ca="1">((((1+B974)^(A974/252))/((1+B973)^(A973/252)))^(252/1))-1</f>
        <v>0.12575133439324193</v>
      </c>
      <c r="D974" s="30">
        <v>0.13274080098875096</v>
      </c>
      <c r="E974" s="31">
        <f ca="1">B974-D974</f>
        <v>0</v>
      </c>
    </row>
    <row r="975" spans="1:5" x14ac:dyDescent="0.25">
      <c r="A975" s="21">
        <v>974</v>
      </c>
      <c r="B975" s="5" cm="1">
        <f t="array" aca="1" ref="B975" ca="1">interpolexp(A975,serie_du,Taxas_DI)</f>
        <v>0.13273360269157042</v>
      </c>
      <c r="C975" s="32">
        <f ca="1">((((1+B975)^(A975/252))/((1+B974)^(A974/252)))^(252/1))-1</f>
        <v>0.12575129055862266</v>
      </c>
      <c r="D975" s="30">
        <v>0.13273360269157042</v>
      </c>
      <c r="E975" s="31">
        <f ca="1">B975-D975</f>
        <v>0</v>
      </c>
    </row>
    <row r="976" spans="1:5" x14ac:dyDescent="0.25">
      <c r="A976" s="21">
        <v>975</v>
      </c>
      <c r="B976" s="5" cm="1">
        <f t="array" aca="1" ref="B976" ca="1">interpolexp(A976,serie_du,Taxas_DI)</f>
        <v>0.13272641916066696</v>
      </c>
      <c r="C976" s="32">
        <f ca="1">((((1+B976)^(A976/252))/((1+B975)^(A975/252)))^(252/1))-1</f>
        <v>0.12575124689228945</v>
      </c>
      <c r="D976" s="30">
        <v>0.13272641916066696</v>
      </c>
      <c r="E976" s="31">
        <f ca="1">B976-D976</f>
        <v>0</v>
      </c>
    </row>
    <row r="977" spans="1:5" x14ac:dyDescent="0.25">
      <c r="A977" s="21">
        <v>976</v>
      </c>
      <c r="B977" s="5" cm="1">
        <f t="array" aca="1" ref="B977" ca="1">interpolexp(A977,serie_du,Taxas_DI)</f>
        <v>0.13271925035061027</v>
      </c>
      <c r="C977" s="32">
        <f ca="1">((((1+B977)^(A977/252))/((1+B976)^(A976/252)))^(252/1))-1</f>
        <v>0.12575120332024747</v>
      </c>
      <c r="D977" s="30">
        <v>0.13271925035061027</v>
      </c>
      <c r="E977" s="31">
        <f ca="1">B977-D977</f>
        <v>0</v>
      </c>
    </row>
    <row r="978" spans="1:5" x14ac:dyDescent="0.25">
      <c r="A978" s="21">
        <v>977</v>
      </c>
      <c r="B978" s="5" cm="1">
        <f t="array" aca="1" ref="B978" ca="1">interpolexp(A978,serie_du,Taxas_DI)</f>
        <v>0.13271209621623647</v>
      </c>
      <c r="C978" s="32">
        <f ca="1">((((1+B978)^(A978/252))/((1+B977)^(A977/252)))^(252/1))-1</f>
        <v>0.12575115992017416</v>
      </c>
      <c r="D978" s="30">
        <v>0.13271209621623647</v>
      </c>
      <c r="E978" s="31">
        <f ca="1">B978-D978</f>
        <v>0</v>
      </c>
    </row>
    <row r="979" spans="1:5" x14ac:dyDescent="0.25">
      <c r="A979" s="21">
        <v>978</v>
      </c>
      <c r="B979" s="5" cm="1">
        <f t="array" aca="1" ref="B979" ca="1">interpolexp(A979,serie_du,Taxas_DI)</f>
        <v>0.13270495671247051</v>
      </c>
      <c r="C979" s="32">
        <f ca="1">((((1+B979)^(A979/252))/((1+B978)^(A978/252)))^(252/1))-1</f>
        <v>0.12575111659824922</v>
      </c>
      <c r="D979" s="30">
        <v>0.13270495671247051</v>
      </c>
      <c r="E979" s="31">
        <f ca="1">B979-D979</f>
        <v>0</v>
      </c>
    </row>
    <row r="980" spans="1:5" x14ac:dyDescent="0.25">
      <c r="A980" s="21">
        <v>979</v>
      </c>
      <c r="B980" s="5" cm="1">
        <f t="array" aca="1" ref="B980" ca="1">interpolexp(A980,serie_du,Taxas_DI)</f>
        <v>0.13269783179454819</v>
      </c>
      <c r="C980" s="32">
        <f ca="1">((((1+B980)^(A980/252))/((1+B979)^(A979/252)))^(252/1))-1</f>
        <v>0.12575107347722714</v>
      </c>
      <c r="D980" s="30">
        <v>0.13269783179454819</v>
      </c>
      <c r="E980" s="31">
        <f ca="1">B980-D980</f>
        <v>0</v>
      </c>
    </row>
    <row r="981" spans="1:5" x14ac:dyDescent="0.25">
      <c r="A981" s="21">
        <v>980</v>
      </c>
      <c r="B981" s="5" cm="1">
        <f t="array" aca="1" ref="B981" ca="1">interpolexp(A981,serie_du,Taxas_DI)</f>
        <v>0.13269072141774974</v>
      </c>
      <c r="C981" s="32">
        <f ca="1">((((1+B981)^(A981/252))/((1+B980)^(A980/252)))^(252/1))-1</f>
        <v>0.12575103042187408</v>
      </c>
      <c r="D981" s="30">
        <v>0.13269072141774974</v>
      </c>
      <c r="E981" s="31">
        <f ca="1">B981-D981</f>
        <v>0</v>
      </c>
    </row>
    <row r="982" spans="1:5" x14ac:dyDescent="0.25">
      <c r="A982" s="21">
        <v>981</v>
      </c>
      <c r="B982" s="5" cm="1">
        <f t="array" aca="1" ref="B982" ca="1">interpolexp(A982,serie_du,Taxas_DI)</f>
        <v>0.13268362553764401</v>
      </c>
      <c r="C982" s="32">
        <f ca="1">((((1+B982)^(A982/252))/((1+B981)^(A981/252)))^(252/1))-1</f>
        <v>0.12575098753530023</v>
      </c>
      <c r="D982" s="30">
        <v>0.13268362553764401</v>
      </c>
      <c r="E982" s="31">
        <f ca="1">B982-D982</f>
        <v>0</v>
      </c>
    </row>
    <row r="983" spans="1:5" x14ac:dyDescent="0.25">
      <c r="A983" s="21">
        <v>982</v>
      </c>
      <c r="B983" s="5" cm="1">
        <f t="array" aca="1" ref="B983" ca="1">interpolexp(A983,serie_du,Taxas_DI)</f>
        <v>0.13267654410993313</v>
      </c>
      <c r="C983" s="32">
        <f ca="1">((((1+B983)^(A983/252))/((1+B982)^(A982/252)))^(252/1))-1</f>
        <v>0.12575094477030002</v>
      </c>
      <c r="D983" s="30">
        <v>0.13267654410993313</v>
      </c>
      <c r="E983" s="31">
        <f ca="1">B983-D983</f>
        <v>0</v>
      </c>
    </row>
    <row r="984" spans="1:5" x14ac:dyDescent="0.25">
      <c r="A984" s="21">
        <v>983</v>
      </c>
      <c r="B984" s="5" cm="1">
        <f t="array" aca="1" ref="B984" ca="1">interpolexp(A984,serie_du,Taxas_DI)</f>
        <v>0.13266947709051902</v>
      </c>
      <c r="C984" s="32">
        <f ca="1">((((1+B984)^(A984/252))/((1+B983)^(A983/252)))^(252/1))-1</f>
        <v>0.1257509021454768</v>
      </c>
      <c r="D984" s="30">
        <v>0.13266947709051902</v>
      </c>
      <c r="E984" s="31">
        <f ca="1">B984-D984</f>
        <v>0</v>
      </c>
    </row>
    <row r="985" spans="1:5" x14ac:dyDescent="0.25">
      <c r="A985" s="21">
        <v>984</v>
      </c>
      <c r="B985" s="5" cm="1">
        <f t="array" aca="1" ref="B985" ca="1">interpolexp(A985,serie_du,Taxas_DI)</f>
        <v>0.13266242443545906</v>
      </c>
      <c r="C985" s="32">
        <f ca="1">((((1+B985)^(A985/252))/((1+B984)^(A984/252)))^(252/1))-1</f>
        <v>0.12575085963714083</v>
      </c>
      <c r="D985" s="30">
        <v>0.13266242443545906</v>
      </c>
      <c r="E985" s="31">
        <f ca="1">B985-D985</f>
        <v>0</v>
      </c>
    </row>
    <row r="986" spans="1:5" x14ac:dyDescent="0.25">
      <c r="A986" s="21">
        <v>985</v>
      </c>
      <c r="B986" s="5" cm="1">
        <f t="array" aca="1" ref="B986" ca="1">interpolexp(A986,serie_du,Taxas_DI)</f>
        <v>0.13265538610101046</v>
      </c>
      <c r="C986" s="32">
        <f ca="1">((((1+B986)^(A986/252))/((1+B985)^(A985/252)))^(252/1))-1</f>
        <v>0.12575081726556037</v>
      </c>
      <c r="D986" s="30">
        <v>0.13265538610101046</v>
      </c>
      <c r="E986" s="31">
        <f ca="1">B986-D986</f>
        <v>0</v>
      </c>
    </row>
    <row r="987" spans="1:5" x14ac:dyDescent="0.25">
      <c r="A987" s="21">
        <v>986</v>
      </c>
      <c r="B987" s="5" cm="1">
        <f t="array" aca="1" ref="B987" ca="1">interpolexp(A987,serie_du,Taxas_DI)</f>
        <v>0.13264836204358588</v>
      </c>
      <c r="C987" s="32">
        <f ca="1">((((1+B987)^(A987/252))/((1+B986)^(A986/252)))^(252/1))-1</f>
        <v>0.12575077500864307</v>
      </c>
      <c r="D987" s="30">
        <v>0.13264836204358588</v>
      </c>
      <c r="E987" s="31">
        <f ca="1">B987-D987</f>
        <v>0</v>
      </c>
    </row>
    <row r="988" spans="1:5" x14ac:dyDescent="0.25">
      <c r="A988" s="21">
        <v>987</v>
      </c>
      <c r="B988" s="5" cm="1">
        <f t="array" aca="1" ref="B988" ca="1">interpolexp(A988,serie_du,Taxas_DI)</f>
        <v>0.13264135221979778</v>
      </c>
      <c r="C988" s="32">
        <f ca="1">((((1+B988)^(A988/252))/((1+B987)^(A987/252)))^(252/1))-1</f>
        <v>0.12575073288860139</v>
      </c>
      <c r="D988" s="30">
        <v>0.13264135221979778</v>
      </c>
      <c r="E988" s="31">
        <f ca="1">B988-D988</f>
        <v>0</v>
      </c>
    </row>
    <row r="989" spans="1:5" x14ac:dyDescent="0.25">
      <c r="A989" s="21">
        <v>988</v>
      </c>
      <c r="B989" s="5" cm="1">
        <f t="array" aca="1" ref="B989" ca="1">interpolexp(A989,serie_du,Taxas_DI)</f>
        <v>0.1326343565864363</v>
      </c>
      <c r="C989" s="32">
        <f ca="1">((((1+B989)^(A989/252))/((1+B988)^(A988/252)))^(252/1))-1</f>
        <v>0.12575069090689217</v>
      </c>
      <c r="D989" s="30">
        <v>0.1326343565864363</v>
      </c>
      <c r="E989" s="31">
        <f ca="1">B989-D989</f>
        <v>0</v>
      </c>
    </row>
    <row r="990" spans="1:5" x14ac:dyDescent="0.25">
      <c r="A990" s="21">
        <v>989</v>
      </c>
      <c r="B990" s="5" cm="1">
        <f t="array" aca="1" ref="B990" ca="1">interpolexp(A990,serie_du,Taxas_DI)</f>
        <v>0.13262737510042477</v>
      </c>
      <c r="C990" s="32">
        <f ca="1">((((1+B990)^(A990/252))/((1+B989)^(A989/252)))^(252/1))-1</f>
        <v>0.12575064902228261</v>
      </c>
      <c r="D990" s="30">
        <v>0.13262737510042477</v>
      </c>
      <c r="E990" s="31">
        <f ca="1">B990-D990</f>
        <v>0</v>
      </c>
    </row>
    <row r="991" spans="1:5" x14ac:dyDescent="0.25">
      <c r="A991" s="21">
        <v>990</v>
      </c>
      <c r="B991" s="5" cm="1">
        <f t="array" aca="1" ref="B991" ca="1">interpolexp(A991,serie_du,Taxas_DI)</f>
        <v>0.1326204077189308</v>
      </c>
      <c r="C991" s="32">
        <f ca="1">((((1+B991)^(A991/252))/((1+B990)^(A990/252)))^(252/1))-1</f>
        <v>0.12575060730312648</v>
      </c>
      <c r="D991" s="30">
        <v>0.1326204077189308</v>
      </c>
      <c r="E991" s="31">
        <f ca="1">B991-D991</f>
        <v>0</v>
      </c>
    </row>
    <row r="992" spans="1:5" x14ac:dyDescent="0.25">
      <c r="A992" s="21">
        <v>991</v>
      </c>
      <c r="B992" s="5" cm="1">
        <f t="array" aca="1" ref="B992" ca="1">interpolexp(A992,serie_du,Taxas_DI)</f>
        <v>0.132613454399233</v>
      </c>
      <c r="C992" s="32">
        <f ca="1">((((1+B992)^(A992/252))/((1+B991)^(A991/252)))^(252/1))-1</f>
        <v>0.12575056568803178</v>
      </c>
      <c r="D992" s="30">
        <v>0.132613454399233</v>
      </c>
      <c r="E992" s="31">
        <f ca="1">B992-D992</f>
        <v>0</v>
      </c>
    </row>
    <row r="993" spans="1:5" x14ac:dyDescent="0.25">
      <c r="A993" s="21">
        <v>992</v>
      </c>
      <c r="B993" s="5" cm="1">
        <f t="array" aca="1" ref="B993" ca="1">interpolexp(A993,serie_du,Taxas_DI)</f>
        <v>0.13260651509880983</v>
      </c>
      <c r="C993" s="32">
        <f ca="1">((((1+B993)^(A993/252))/((1+B992)^(A992/252)))^(252/1))-1</f>
        <v>0.12575052420374067</v>
      </c>
      <c r="D993" s="30">
        <v>0.13260651509880983</v>
      </c>
      <c r="E993" s="31">
        <f ca="1">B993-D993</f>
        <v>0</v>
      </c>
    </row>
    <row r="994" spans="1:5" x14ac:dyDescent="0.25">
      <c r="A994" s="21">
        <v>993</v>
      </c>
      <c r="B994" s="5" cm="1">
        <f t="array" aca="1" ref="B994" ca="1">interpolexp(A994,serie_du,Taxas_DI)</f>
        <v>0.13259958977529518</v>
      </c>
      <c r="C994" s="32">
        <f ca="1">((((1+B994)^(A994/252))/((1+B993)^(A993/252)))^(252/1))-1</f>
        <v>0.12575048283421442</v>
      </c>
      <c r="D994" s="30">
        <v>0.13259958977529518</v>
      </c>
      <c r="E994" s="31">
        <f ca="1">B994-D994</f>
        <v>0</v>
      </c>
    </row>
    <row r="995" spans="1:5" x14ac:dyDescent="0.25">
      <c r="A995" s="21">
        <v>994</v>
      </c>
      <c r="B995" s="5" cm="1">
        <f t="array" aca="1" ref="B995" ca="1">interpolexp(A995,serie_du,Taxas_DI)</f>
        <v>0.13259267838650057</v>
      </c>
      <c r="C995" s="32">
        <f ca="1">((((1+B995)^(A995/252))/((1+B994)^(A994/252)))^(252/1))-1</f>
        <v>0.12575044158565651</v>
      </c>
      <c r="D995" s="30">
        <v>0.13259267838650057</v>
      </c>
      <c r="E995" s="31">
        <f ca="1">B995-D995</f>
        <v>0</v>
      </c>
    </row>
    <row r="996" spans="1:5" x14ac:dyDescent="0.25">
      <c r="A996" s="21">
        <v>995</v>
      </c>
      <c r="B996" s="5" cm="1">
        <f t="array" aca="1" ref="B996" ca="1">interpolexp(A996,serie_du,Taxas_DI)</f>
        <v>0.13258578089041517</v>
      </c>
      <c r="C996" s="32">
        <f ca="1">((((1+B996)^(A996/252))/((1+B995)^(A995/252)))^(252/1))-1</f>
        <v>0.12575040046577857</v>
      </c>
      <c r="D996" s="30">
        <v>0.13258578089041517</v>
      </c>
      <c r="E996" s="31">
        <f ca="1">B996-D996</f>
        <v>0</v>
      </c>
    </row>
    <row r="997" spans="1:5" x14ac:dyDescent="0.25">
      <c r="A997" s="21">
        <v>996</v>
      </c>
      <c r="B997" s="5" cm="1">
        <f t="array" aca="1" ref="B997" ca="1">interpolexp(A997,serie_du,Taxas_DI)</f>
        <v>0.13257889724522798</v>
      </c>
      <c r="C997" s="32">
        <f ca="1">((((1+B997)^(A997/252))/((1+B996)^(A996/252)))^(252/1))-1</f>
        <v>0.12575035950481595</v>
      </c>
      <c r="D997" s="30">
        <v>0.13257889724522798</v>
      </c>
      <c r="E997" s="31">
        <f ca="1">B997-D997</f>
        <v>0</v>
      </c>
    </row>
    <row r="998" spans="1:5" x14ac:dyDescent="0.25">
      <c r="A998" s="21">
        <v>997</v>
      </c>
      <c r="B998" s="5" cm="1">
        <f t="array" aca="1" ref="B998" ca="1">interpolexp(A998,serie_du,Taxas_DI)</f>
        <v>0.1325720274091946</v>
      </c>
      <c r="C998" s="32">
        <f ca="1">((((1+B998)^(A998/252))/((1+B997)^(A997/252)))^(252/1))-1</f>
        <v>0.1257503186021649</v>
      </c>
      <c r="D998" s="30">
        <v>0.1325720274091946</v>
      </c>
      <c r="E998" s="31">
        <f ca="1">B998-D998</f>
        <v>0</v>
      </c>
    </row>
    <row r="999" spans="1:5" x14ac:dyDescent="0.25">
      <c r="A999" s="21">
        <v>998</v>
      </c>
      <c r="B999" s="5" cm="1">
        <f t="array" aca="1" ref="B999" ca="1">interpolexp(A999,serie_du,Taxas_DI)</f>
        <v>0.13256517134085932</v>
      </c>
      <c r="C999" s="32">
        <f ca="1">((((1+B999)^(A999/252))/((1+B998)^(A998/252)))^(252/1))-1</f>
        <v>0.12575027787750326</v>
      </c>
      <c r="D999" s="30">
        <v>0.13256517134085932</v>
      </c>
      <c r="E999" s="31">
        <f ca="1">B999-D999</f>
        <v>0</v>
      </c>
    </row>
    <row r="1000" spans="1:5" x14ac:dyDescent="0.25">
      <c r="A1000" s="21">
        <v>999</v>
      </c>
      <c r="B1000" s="5" cm="1">
        <f t="array" aca="1" ref="B1000" ca="1">interpolexp(A1000,serie_du,Taxas_DI)</f>
        <v>0.13255832899885522</v>
      </c>
      <c r="C1000" s="32">
        <f ca="1">((((1+B1000)^(A1000/252))/((1+B999)^(A999/252)))^(252/1))-1</f>
        <v>0.1257502372538406</v>
      </c>
      <c r="D1000" s="30">
        <v>0.13255832899885522</v>
      </c>
      <c r="E1000" s="31">
        <f ca="1">B1000-D1000</f>
        <v>0</v>
      </c>
    </row>
    <row r="1001" spans="1:5" x14ac:dyDescent="0.25">
      <c r="A1001" s="21">
        <v>1000</v>
      </c>
      <c r="B1001" s="5" cm="1">
        <f t="array" aca="1" ref="B1001" ca="1">interpolexp(A1001,serie_du,Taxas_DI)</f>
        <v>0.13255150034199303</v>
      </c>
      <c r="C1001" s="32">
        <f ca="1">((((1+B1001)^(A1001/252))/((1+B1000)^(A1000/252)))^(252/1))-1</f>
        <v>0.12575019674268439</v>
      </c>
      <c r="D1001" s="30">
        <v>0.13255150034199303</v>
      </c>
      <c r="E1001" s="31">
        <f ca="1">B1001-D1001</f>
        <v>0</v>
      </c>
    </row>
    <row r="1002" spans="1:5" x14ac:dyDescent="0.25">
      <c r="A1002" s="21">
        <v>1001</v>
      </c>
      <c r="B1002" s="5" cm="1">
        <f t="array" aca="1" ref="B1002" ca="1">interpolexp(A1002,serie_du,Taxas_DI)</f>
        <v>0.13254468532926111</v>
      </c>
      <c r="C1002" s="32">
        <f ca="1">((((1+B1002)^(A1002/252))/((1+B1001)^(A1001/252)))^(252/1))-1</f>
        <v>0.12575015635664766</v>
      </c>
      <c r="D1002" s="30">
        <v>0.13254468532926111</v>
      </c>
      <c r="E1002" s="31">
        <f ca="1">B1002-D1002</f>
        <v>0</v>
      </c>
    </row>
    <row r="1003" spans="1:5" x14ac:dyDescent="0.25">
      <c r="A1003" s="21">
        <v>1002</v>
      </c>
      <c r="B1003" s="5" cm="1">
        <f t="array" aca="1" ref="B1003" ca="1">interpolexp(A1003,serie_du,Taxas_DI)</f>
        <v>0.13253788391982546</v>
      </c>
      <c r="C1003" s="32">
        <f ca="1">((((1+B1003)^(A1003/252))/((1+B1002)^(A1002/252)))^(252/1))-1</f>
        <v>0.12575011610893827</v>
      </c>
      <c r="D1003" s="30">
        <v>0.13253788391982546</v>
      </c>
      <c r="E1003" s="31">
        <f ca="1">B1003-D1003</f>
        <v>0</v>
      </c>
    </row>
    <row r="1004" spans="1:5" x14ac:dyDescent="0.25">
      <c r="A1004" s="21">
        <v>1003</v>
      </c>
      <c r="B1004" s="5" cm="1">
        <f t="array" aca="1" ref="B1004" ca="1">interpolexp(A1004,serie_du,Taxas_DI)</f>
        <v>0.1325310960729853</v>
      </c>
      <c r="C1004" s="32">
        <f ca="1">((((1+B1004)^(A1004/252))/((1+B1003)^(A1003/252)))^(252/1))-1</f>
        <v>0.12575007596977561</v>
      </c>
      <c r="D1004" s="30">
        <v>0.1325310960729853</v>
      </c>
      <c r="E1004" s="31">
        <f ca="1">B1004-D1004</f>
        <v>0</v>
      </c>
    </row>
    <row r="1005" spans="1:5" x14ac:dyDescent="0.25">
      <c r="A1005" s="21">
        <v>1004</v>
      </c>
      <c r="B1005" s="5" cm="1">
        <f t="array" aca="1" ref="B1005" ca="1">interpolexp(A1005,serie_du,Taxas_DI)</f>
        <v>0.13252432174819528</v>
      </c>
      <c r="C1005" s="32">
        <f ca="1">((((1+B1005)^(A1005/252))/((1+B1004)^(A1004/252)))^(252/1))-1</f>
        <v>0.12575003593173362</v>
      </c>
      <c r="D1005" s="30">
        <v>0.13252432174819528</v>
      </c>
      <c r="E1005" s="31">
        <f ca="1">B1005-D1005</f>
        <v>0</v>
      </c>
    </row>
    <row r="1006" spans="1:5" x14ac:dyDescent="0.25">
      <c r="A1006" s="21">
        <v>1005</v>
      </c>
      <c r="B1006" s="5" cm="1">
        <f t="array" aca="1" ref="B1006" ca="1">interpolexp(A1006,serie_du,Taxas_DI)</f>
        <v>0.13251756090510991</v>
      </c>
      <c r="C1006" s="32">
        <f ca="1">((((1+B1006)^(A1006/252))/((1+B1005)^(A1005/252)))^(252/1))-1</f>
        <v>0.12574999603289228</v>
      </c>
      <c r="D1006" s="30">
        <v>0.13251756090510991</v>
      </c>
      <c r="E1006" s="31">
        <f ca="1">B1006-D1006</f>
        <v>0</v>
      </c>
    </row>
    <row r="1007" spans="1:5" x14ac:dyDescent="0.25">
      <c r="A1007" s="21">
        <v>1006</v>
      </c>
      <c r="B1007" s="5" cm="1">
        <f t="array" aca="1" ref="B1007" ca="1">interpolexp(A1007,serie_du,Taxas_DI)</f>
        <v>0.1325108135035169</v>
      </c>
      <c r="C1007" s="32">
        <f ca="1">((((1+B1007)^(A1007/252))/((1+B1006)^(A1006/252)))^(252/1))-1</f>
        <v>0.12574995624555352</v>
      </c>
      <c r="D1007" s="30">
        <v>0.1325108135035169</v>
      </c>
      <c r="E1007" s="31">
        <f ca="1">B1007-D1007</f>
        <v>0</v>
      </c>
    </row>
    <row r="1008" spans="1:5" x14ac:dyDescent="0.25">
      <c r="A1008" s="21">
        <v>1007</v>
      </c>
      <c r="B1008" s="5" cm="1">
        <f t="array" aca="1" ref="B1008" ca="1">interpolexp(A1008,serie_du,Taxas_DI)</f>
        <v>0.13250407950338161</v>
      </c>
      <c r="C1008" s="32">
        <f ca="1">((((1+B1008)^(A1008/252))/((1+B1007)^(A1007/252)))^(252/1))-1</f>
        <v>0.12574991658708523</v>
      </c>
      <c r="D1008" s="30">
        <v>0.13250407950338161</v>
      </c>
      <c r="E1008" s="31">
        <f ca="1">B1008-D1008</f>
        <v>0</v>
      </c>
    </row>
    <row r="1009" spans="1:5" x14ac:dyDescent="0.25">
      <c r="A1009" s="21">
        <v>1008</v>
      </c>
      <c r="B1009" s="5" cm="1">
        <f t="array" aca="1" ref="B1009" ca="1">interpolexp(A1009,serie_du,Taxas_DI)</f>
        <v>0.13249735886480263</v>
      </c>
      <c r="C1009" s="32">
        <f ca="1">((((1+B1009)^(A1009/252))/((1+B1008)^(A1008/252)))^(252/1))-1</f>
        <v>0.12574987703155127</v>
      </c>
      <c r="D1009" s="30">
        <v>0.13249735886480263</v>
      </c>
      <c r="E1009" s="31">
        <f ca="1">B1009-D1009</f>
        <v>0</v>
      </c>
    </row>
    <row r="1010" spans="1:5" x14ac:dyDescent="0.25">
      <c r="A1010" s="21">
        <v>1009</v>
      </c>
      <c r="B1010" s="5" cm="1">
        <f t="array" aca="1" ref="B1010" ca="1">interpolexp(A1010,serie_du,Taxas_DI)</f>
        <v>0.13249065154805617</v>
      </c>
      <c r="C1010" s="32">
        <f ca="1">((((1+B1010)^(A1010/252))/((1+B1009)^(A1009/252)))^(252/1))-1</f>
        <v>0.1257498375976871</v>
      </c>
      <c r="D1010" s="30">
        <v>0.13249065154805617</v>
      </c>
      <c r="E1010" s="31">
        <f ca="1">B1010-D1010</f>
        <v>0</v>
      </c>
    </row>
    <row r="1011" spans="1:5" x14ac:dyDescent="0.25">
      <c r="A1011" s="21">
        <v>1010</v>
      </c>
      <c r="B1011" s="5" cm="1">
        <f t="array" aca="1" ref="B1011" ca="1">interpolexp(A1011,serie_du,Taxas_DI)</f>
        <v>0.1324839575135961</v>
      </c>
      <c r="C1011" s="32">
        <f ca="1">((((1+B1011)^(A1011/252))/((1+B1010)^(A1010/252)))^(252/1))-1</f>
        <v>0.125749798305689</v>
      </c>
      <c r="D1011" s="30">
        <v>0.1324839575135961</v>
      </c>
      <c r="E1011" s="31">
        <f ca="1">B1011-D1011</f>
        <v>0</v>
      </c>
    </row>
    <row r="1012" spans="1:5" x14ac:dyDescent="0.25">
      <c r="A1012" s="21">
        <v>1011</v>
      </c>
      <c r="B1012" s="5" cm="1">
        <f t="array" aca="1" ref="B1012" ca="1">interpolexp(A1012,serie_du,Taxas_DI)</f>
        <v>0.13247727672196508</v>
      </c>
      <c r="C1012" s="32">
        <f ca="1">((((1+B1012)^(A1012/252))/((1+B1011)^(A1011/252)))^(252/1))-1</f>
        <v>0.12574975908689479</v>
      </c>
      <c r="D1012" s="30">
        <v>0.13247727672196508</v>
      </c>
      <c r="E1012" s="31">
        <f ca="1">B1012-D1012</f>
        <v>0</v>
      </c>
    </row>
    <row r="1013" spans="1:5" x14ac:dyDescent="0.25">
      <c r="A1013" s="21">
        <v>1012</v>
      </c>
      <c r="B1013" s="5" cm="1">
        <f t="array" aca="1" ref="B1013" ca="1">interpolexp(A1013,serie_du,Taxas_DI)</f>
        <v>0.13247060913392783</v>
      </c>
      <c r="C1013" s="32">
        <f ca="1">((((1+B1013)^(A1013/252))/((1+B1012)^(A1012/252)))^(252/1))-1</f>
        <v>0.12574972000753903</v>
      </c>
      <c r="D1013" s="30">
        <v>0.13247060913392783</v>
      </c>
      <c r="E1013" s="31">
        <f ca="1">B1013-D1013</f>
        <v>0</v>
      </c>
    </row>
    <row r="1014" spans="1:5" x14ac:dyDescent="0.25">
      <c r="A1014" s="21">
        <v>1013</v>
      </c>
      <c r="B1014" s="5" cm="1">
        <f t="array" aca="1" ref="B1014" ca="1">interpolexp(A1014,serie_du,Taxas_DI)</f>
        <v>0.1324639547103601</v>
      </c>
      <c r="C1014" s="32">
        <f ca="1">((((1+B1014)^(A1014/252))/((1+B1013)^(A1013/252)))^(252/1))-1</f>
        <v>0.12574968102269968</v>
      </c>
      <c r="D1014" s="30">
        <v>0.1324639547103601</v>
      </c>
      <c r="E1014" s="31">
        <f ca="1">B1014-D1014</f>
        <v>0</v>
      </c>
    </row>
    <row r="1015" spans="1:5" x14ac:dyDescent="0.25">
      <c r="A1015" s="21">
        <v>1014</v>
      </c>
      <c r="B1015" s="5" cm="1">
        <f t="array" aca="1" ref="B1015" ca="1">interpolexp(A1015,serie_du,Taxas_DI)</f>
        <v>0.13245731341233746</v>
      </c>
      <c r="C1015" s="32">
        <f ca="1">((((1+B1015)^(A1015/252))/((1+B1014)^(A1014/252)))^(252/1))-1</f>
        <v>0.12574964217804729</v>
      </c>
      <c r="D1015" s="30">
        <v>0.13245731341233746</v>
      </c>
      <c r="E1015" s="31">
        <f ca="1">B1015-D1015</f>
        <v>0</v>
      </c>
    </row>
    <row r="1016" spans="1:5" x14ac:dyDescent="0.25">
      <c r="A1016" s="21">
        <v>1015</v>
      </c>
      <c r="B1016" s="5" cm="1">
        <f t="array" aca="1" ref="B1016" ca="1">interpolexp(A1016,serie_du,Taxas_DI)</f>
        <v>0.13245068520106873</v>
      </c>
      <c r="C1016" s="32">
        <f ca="1">((((1+B1016)^(A1016/252))/((1+B1015)^(A1015/252)))^(252/1))-1</f>
        <v>0.1257496034526584</v>
      </c>
      <c r="D1016" s="30">
        <v>0.13245068520106873</v>
      </c>
      <c r="E1016" s="31">
        <f ca="1">B1016-D1016</f>
        <v>0</v>
      </c>
    </row>
    <row r="1017" spans="1:5" x14ac:dyDescent="0.25">
      <c r="A1017" s="21">
        <v>1016</v>
      </c>
      <c r="B1017" s="5" cm="1">
        <f t="array" aca="1" ref="B1017" ca="1">interpolexp(A1017,serie_du,Taxas_DI)</f>
        <v>0.13244407003789593</v>
      </c>
      <c r="C1017" s="32">
        <f ca="1">((((1+B1017)^(A1017/252))/((1+B1016)^(A1016/252)))^(252/1))-1</f>
        <v>0.12574956482629474</v>
      </c>
      <c r="D1017" s="30">
        <v>0.13244407003789593</v>
      </c>
      <c r="E1017" s="31">
        <f ca="1">B1017-D1017</f>
        <v>0</v>
      </c>
    </row>
    <row r="1018" spans="1:5" x14ac:dyDescent="0.25">
      <c r="A1018" s="21">
        <v>1017</v>
      </c>
      <c r="B1018" s="5" cm="1">
        <f t="array" aca="1" ref="B1018" ca="1">interpolexp(A1018,serie_du,Taxas_DI)</f>
        <v>0.13243746788431654</v>
      </c>
      <c r="C1018" s="32">
        <f ca="1">((((1+B1018)^(A1018/252))/((1+B1017)^(A1017/252)))^(252/1))-1</f>
        <v>0.12574952630207004</v>
      </c>
      <c r="D1018" s="30">
        <v>0.13243746788431654</v>
      </c>
      <c r="E1018" s="31">
        <f ca="1">B1018-D1018</f>
        <v>0</v>
      </c>
    </row>
    <row r="1019" spans="1:5" x14ac:dyDescent="0.25">
      <c r="A1019" s="21">
        <v>1018</v>
      </c>
      <c r="B1019" s="5" cm="1">
        <f t="array" aca="1" ref="B1019" ca="1">interpolexp(A1019,serie_du,Taxas_DI)</f>
        <v>0.13243087870200565</v>
      </c>
      <c r="C1019" s="32">
        <f ca="1">((((1+B1019)^(A1019/252))/((1+B1018)^(A1018/252)))^(252/1))-1</f>
        <v>0.12574948790607388</v>
      </c>
      <c r="D1019" s="30">
        <v>0.13243087870200565</v>
      </c>
      <c r="E1019" s="31">
        <f ca="1">B1019-D1019</f>
        <v>0</v>
      </c>
    </row>
    <row r="1020" spans="1:5" x14ac:dyDescent="0.25">
      <c r="A1020" s="21">
        <v>1019</v>
      </c>
      <c r="B1020" s="5" cm="1">
        <f t="array" aca="1" ref="B1020" ca="1">interpolexp(A1020,serie_du,Taxas_DI)</f>
        <v>0.1324243024527938</v>
      </c>
      <c r="C1020" s="32">
        <f ca="1">((((1+B1020)^(A1020/252))/((1+B1019)^(A1019/252)))^(252/1))-1</f>
        <v>0.12574944964303048</v>
      </c>
      <c r="D1020" s="30">
        <v>0.1324243024527938</v>
      </c>
      <c r="E1020" s="31">
        <f ca="1">B1020-D1020</f>
        <v>0</v>
      </c>
    </row>
    <row r="1021" spans="1:5" x14ac:dyDescent="0.25">
      <c r="A1021" s="21">
        <v>1020</v>
      </c>
      <c r="B1021" s="5" cm="1">
        <f t="array" aca="1" ref="B1021" ca="1">interpolexp(A1021,serie_du,Taxas_DI)</f>
        <v>0.13241773909860033</v>
      </c>
      <c r="C1021" s="32">
        <f ca="1">((((1+B1021)^(A1021/252))/((1+B1020)^(A1020/252)))^(252/1))-1</f>
        <v>0.12574941145071805</v>
      </c>
      <c r="D1021" s="30">
        <v>0.13241773909860033</v>
      </c>
      <c r="E1021" s="31">
        <f ca="1">B1021-D1021</f>
        <v>0</v>
      </c>
    </row>
    <row r="1022" spans="1:5" x14ac:dyDescent="0.25">
      <c r="A1022" s="21">
        <v>1021</v>
      </c>
      <c r="B1022" s="5" cm="1">
        <f t="array" aca="1" ref="B1022" ca="1">interpolexp(A1022,serie_du,Taxas_DI)</f>
        <v>0.13241118860154444</v>
      </c>
      <c r="C1022" s="32">
        <f ca="1">((((1+B1022)^(A1022/252))/((1+B1021)^(A1021/252)))^(252/1))-1</f>
        <v>0.12574937338013559</v>
      </c>
      <c r="D1022" s="30">
        <v>0.13241118860154444</v>
      </c>
      <c r="E1022" s="31">
        <f ca="1">B1022-D1022</f>
        <v>0</v>
      </c>
    </row>
    <row r="1023" spans="1:5" x14ac:dyDescent="0.25">
      <c r="A1023" s="21">
        <v>1022</v>
      </c>
      <c r="B1023" s="5" cm="1">
        <f t="array" aca="1" ref="B1023" ca="1">interpolexp(A1023,serie_du,Taxas_DI)</f>
        <v>0.13240465092390075</v>
      </c>
      <c r="C1023" s="32">
        <f ca="1">((((1+B1023)^(A1023/252))/((1+B1022)^(A1022/252)))^(252/1))-1</f>
        <v>0.12574933543804989</v>
      </c>
      <c r="D1023" s="30">
        <v>0.13240465092390075</v>
      </c>
      <c r="E1023" s="31">
        <f ca="1">B1023-D1023</f>
        <v>0</v>
      </c>
    </row>
    <row r="1024" spans="1:5" x14ac:dyDescent="0.25">
      <c r="A1024" s="21">
        <v>1023</v>
      </c>
      <c r="B1024" s="5" cm="1">
        <f t="array" aca="1" ref="B1024" ca="1">interpolexp(A1024,serie_du,Taxas_DI)</f>
        <v>0.1323981260280771</v>
      </c>
      <c r="C1024" s="32">
        <f ca="1">((((1+B1024)^(A1024/252))/((1+B1023)^(A1023/252)))^(252/1))-1</f>
        <v>0.12574929760954245</v>
      </c>
      <c r="D1024" s="30">
        <v>0.1323981260280771</v>
      </c>
      <c r="E1024" s="31">
        <f ca="1">B1024-D1024</f>
        <v>0</v>
      </c>
    </row>
    <row r="1025" spans="1:5" x14ac:dyDescent="0.25">
      <c r="A1025" s="21">
        <v>1024</v>
      </c>
      <c r="B1025" s="5" cm="1">
        <f t="array" aca="1" ref="B1025" ca="1">interpolexp(A1025,serie_du,Taxas_DI)</f>
        <v>0.13239161387659237</v>
      </c>
      <c r="C1025" s="32">
        <f ca="1">((((1+B1025)^(A1025/252))/((1+B1024)^(A1024/252)))^(252/1))-1</f>
        <v>0.12574925985783292</v>
      </c>
      <c r="D1025" s="30">
        <v>0.13239161387659237</v>
      </c>
      <c r="E1025" s="31">
        <f ca="1">B1025-D1025</f>
        <v>0</v>
      </c>
    </row>
    <row r="1026" spans="1:5" x14ac:dyDescent="0.25">
      <c r="A1026" s="21">
        <v>1025</v>
      </c>
      <c r="B1026" s="5" cm="1">
        <f t="array" aca="1" ref="B1026" ca="1">interpolexp(A1026,serie_du,Taxas_DI)</f>
        <v>0.13238511443218748</v>
      </c>
      <c r="C1026" s="32">
        <f ca="1">((((1+B1026)^(A1026/252))/((1+B1025)^(A1025/252)))^(252/1))-1</f>
        <v>0.12574922225950624</v>
      </c>
      <c r="D1026" s="30">
        <v>0.13238511443218748</v>
      </c>
      <c r="E1026" s="31">
        <f ca="1">B1026-D1026</f>
        <v>0</v>
      </c>
    </row>
    <row r="1027" spans="1:5" x14ac:dyDescent="0.25">
      <c r="A1027" s="21">
        <v>1026</v>
      </c>
      <c r="B1027" s="5" cm="1">
        <f t="array" aca="1" ref="B1027" ca="1">interpolexp(A1027,serie_du,Taxas_DI)</f>
        <v>0.13237862765766994</v>
      </c>
      <c r="C1027" s="32">
        <f ca="1">((((1+B1027)^(A1027/252))/((1+B1026)^(A1026/252)))^(252/1))-1</f>
        <v>0.12574918473400021</v>
      </c>
      <c r="D1027" s="30">
        <v>0.13237862765766994</v>
      </c>
      <c r="E1027" s="31">
        <f ca="1">B1027-D1027</f>
        <v>0</v>
      </c>
    </row>
    <row r="1028" spans="1:5" x14ac:dyDescent="0.25">
      <c r="A1028" s="21">
        <v>1027</v>
      </c>
      <c r="B1028" s="5" cm="1">
        <f t="array" aca="1" ref="B1028" ca="1">interpolexp(A1028,serie_du,Taxas_DI)</f>
        <v>0.13237215351604714</v>
      </c>
      <c r="C1028" s="32">
        <f ca="1">((((1+B1028)^(A1028/252))/((1+B1027)^(A1027/252)))^(252/1))-1</f>
        <v>0.12574914733703024</v>
      </c>
      <c r="D1028" s="30">
        <v>0.13237215351604714</v>
      </c>
      <c r="E1028" s="31">
        <f ca="1">B1028-D1028</f>
        <v>0</v>
      </c>
    </row>
    <row r="1029" spans="1:5" x14ac:dyDescent="0.25">
      <c r="A1029" s="21">
        <v>1028</v>
      </c>
      <c r="B1029" s="5" cm="1">
        <f t="array" aca="1" ref="B1029" ca="1">interpolexp(A1029,serie_du,Taxas_DI)</f>
        <v>0.13236569197045966</v>
      </c>
      <c r="C1029" s="32">
        <f ca="1">((((1+B1029)^(A1029/252))/((1+B1028)^(A1028/252)))^(252/1))-1</f>
        <v>0.12574911005719058</v>
      </c>
      <c r="D1029" s="30">
        <v>0.13236569197045966</v>
      </c>
      <c r="E1029" s="31">
        <f ca="1">B1029-D1029</f>
        <v>0</v>
      </c>
    </row>
    <row r="1030" spans="1:5" x14ac:dyDescent="0.25">
      <c r="A1030" s="21">
        <v>1029</v>
      </c>
      <c r="B1030" s="5" cm="1">
        <f t="array" aca="1" ref="B1030" ca="1">interpolexp(A1030,serie_du,Taxas_DI)</f>
        <v>0.13235924298415913</v>
      </c>
      <c r="C1030" s="32">
        <f ca="1">((((1+B1030)^(A1030/252))/((1+B1029)^(A1029/252)))^(252/1))-1</f>
        <v>0.12574907286109505</v>
      </c>
      <c r="D1030" s="30">
        <v>0.13235924298415913</v>
      </c>
      <c r="E1030" s="31">
        <f ca="1">B1030-D1030</f>
        <v>0</v>
      </c>
    </row>
    <row r="1031" spans="1:5" x14ac:dyDescent="0.25">
      <c r="A1031" s="21">
        <v>1030</v>
      </c>
      <c r="B1031" s="5" cm="1">
        <f t="array" aca="1" ref="B1031" ca="1">interpolexp(A1031,serie_du,Taxas_DI)</f>
        <v>0.132352806520597</v>
      </c>
      <c r="C1031" s="32">
        <f ca="1">((((1+B1031)^(A1031/252))/((1+B1030)^(A1030/252)))^(252/1))-1</f>
        <v>0.12574903580676944</v>
      </c>
      <c r="D1031" s="30">
        <v>0.132352806520597</v>
      </c>
      <c r="E1031" s="31">
        <f ca="1">B1031-D1031</f>
        <v>0</v>
      </c>
    </row>
    <row r="1032" spans="1:5" x14ac:dyDescent="0.25">
      <c r="A1032" s="21">
        <v>1031</v>
      </c>
      <c r="B1032" s="5" cm="1">
        <f t="array" aca="1" ref="B1032" ca="1">interpolexp(A1032,serie_du,Taxas_DI)</f>
        <v>0.13234638254328579</v>
      </c>
      <c r="C1032" s="32">
        <f ca="1">((((1+B1032)^(A1032/252))/((1+B1031)^(A1031/252)))^(252/1))-1</f>
        <v>0.12574899881108692</v>
      </c>
      <c r="D1032" s="30">
        <v>0.13234638254328579</v>
      </c>
      <c r="E1032" s="31">
        <f ca="1">B1032-D1032</f>
        <v>0</v>
      </c>
    </row>
    <row r="1033" spans="1:5" x14ac:dyDescent="0.25">
      <c r="A1033" s="21">
        <v>1032</v>
      </c>
      <c r="B1033" s="5" cm="1">
        <f t="array" aca="1" ref="B1033" ca="1">interpolexp(A1033,serie_du,Taxas_DI)</f>
        <v>0.13234121410465871</v>
      </c>
      <c r="C1033" s="32">
        <f ca="1">((((1+B1033)^(A1033/252))/((1+B1032)^(A1032/252)))^(252/1))-1</f>
        <v>0.12702508435359827</v>
      </c>
      <c r="D1033" s="30">
        <v>0.13234121410465871</v>
      </c>
      <c r="E1033" s="31">
        <f ca="1">B1033-D1033</f>
        <v>0</v>
      </c>
    </row>
    <row r="1034" spans="1:5" x14ac:dyDescent="0.25">
      <c r="A1034" s="21">
        <v>1033</v>
      </c>
      <c r="B1034" s="5" cm="1">
        <f t="array" aca="1" ref="B1034" ca="1">interpolexp(A1034,serie_du,Taxas_DI)</f>
        <v>0.1323360556729325</v>
      </c>
      <c r="C1034" s="32">
        <f ca="1">((((1+B1034)^(A1034/252))/((1+B1033)^(A1033/252)))^(252/1))-1</f>
        <v>0.12702506041932726</v>
      </c>
      <c r="D1034" s="30">
        <v>0.1323360556729325</v>
      </c>
      <c r="E1034" s="31">
        <f ca="1">B1034-D1034</f>
        <v>0</v>
      </c>
    </row>
    <row r="1035" spans="1:5" x14ac:dyDescent="0.25">
      <c r="A1035" s="21">
        <v>1034</v>
      </c>
      <c r="B1035" s="5" cm="1">
        <f t="array" aca="1" ref="B1035" ca="1">interpolexp(A1035,serie_du,Taxas_DI)</f>
        <v>0.13233090721911367</v>
      </c>
      <c r="C1035" s="32">
        <f ca="1">((((1+B1035)^(A1035/252))/((1+B1034)^(A1034/252)))^(252/1))-1</f>
        <v>0.12702503659630016</v>
      </c>
      <c r="D1035" s="30">
        <v>0.13233090721911367</v>
      </c>
      <c r="E1035" s="31">
        <f ca="1">B1035-D1035</f>
        <v>0</v>
      </c>
    </row>
    <row r="1036" spans="1:5" x14ac:dyDescent="0.25">
      <c r="A1036" s="21">
        <v>1035</v>
      </c>
      <c r="B1036" s="5" cm="1">
        <f t="array" aca="1" ref="B1036" ca="1">interpolexp(A1036,serie_du,Taxas_DI)</f>
        <v>0.13232576871424762</v>
      </c>
      <c r="C1036" s="32">
        <f ca="1">((((1+B1036)^(A1036/252))/((1+B1035)^(A1035/252)))^(252/1))-1</f>
        <v>0.12702501280877443</v>
      </c>
      <c r="D1036" s="30">
        <v>0.13232576871424762</v>
      </c>
      <c r="E1036" s="31">
        <f ca="1">B1036-D1036</f>
        <v>0</v>
      </c>
    </row>
    <row r="1037" spans="1:5" x14ac:dyDescent="0.25">
      <c r="A1037" s="21">
        <v>1036</v>
      </c>
      <c r="B1037" s="5" cm="1">
        <f t="array" aca="1" ref="B1037" ca="1">interpolexp(A1037,serie_du,Taxas_DI)</f>
        <v>0.13232064012955735</v>
      </c>
      <c r="C1037" s="32">
        <f ca="1">((((1+B1037)^(A1037/252))/((1+B1036)^(A1036/252)))^(252/1))-1</f>
        <v>0.12702498912447813</v>
      </c>
      <c r="D1037" s="30">
        <v>0.13232064012955735</v>
      </c>
      <c r="E1037" s="31">
        <f ca="1">B1037-D1037</f>
        <v>0</v>
      </c>
    </row>
    <row r="1038" spans="1:5" x14ac:dyDescent="0.25">
      <c r="A1038" s="21">
        <v>1037</v>
      </c>
      <c r="B1038" s="5" cm="1">
        <f t="array" aca="1" ref="B1038" ca="1">interpolexp(A1038,serie_du,Taxas_DI)</f>
        <v>0.13231552143631031</v>
      </c>
      <c r="C1038" s="32">
        <f ca="1">((((1+B1038)^(A1038/252))/((1+B1037)^(A1037/252)))^(252/1))-1</f>
        <v>0.12702496547423214</v>
      </c>
      <c r="D1038" s="30">
        <v>0.13231552143631031</v>
      </c>
      <c r="E1038" s="31">
        <f ca="1">B1038-D1038</f>
        <v>0</v>
      </c>
    </row>
    <row r="1039" spans="1:5" x14ac:dyDescent="0.25">
      <c r="A1039" s="21">
        <v>1038</v>
      </c>
      <c r="B1039" s="5" cm="1">
        <f t="array" aca="1" ref="B1039" ca="1">interpolexp(A1039,serie_du,Taxas_DI)</f>
        <v>0.13231041260592935</v>
      </c>
      <c r="C1039" s="32">
        <f ca="1">((((1+B1039)^(A1039/252))/((1+B1038)^(A1038/252)))^(252/1))-1</f>
        <v>0.12702494190409275</v>
      </c>
      <c r="D1039" s="30">
        <v>0.13231041260592935</v>
      </c>
      <c r="E1039" s="31">
        <f ca="1">B1039-D1039</f>
        <v>0</v>
      </c>
    </row>
    <row r="1040" spans="1:5" x14ac:dyDescent="0.25">
      <c r="A1040" s="21">
        <v>1039</v>
      </c>
      <c r="B1040" s="5" cm="1">
        <f t="array" aca="1" ref="B1040" ca="1">interpolexp(A1040,serie_du,Taxas_DI)</f>
        <v>0.13230531360994835</v>
      </c>
      <c r="C1040" s="32">
        <f ca="1">((((1+B1040)^(A1040/252))/((1+B1039)^(A1039/252)))^(252/1))-1</f>
        <v>0.12702491841482777</v>
      </c>
      <c r="D1040" s="30">
        <v>0.13230531360994835</v>
      </c>
      <c r="E1040" s="31">
        <f ca="1">B1040-D1040</f>
        <v>0</v>
      </c>
    </row>
    <row r="1041" spans="1:5" x14ac:dyDescent="0.25">
      <c r="A1041" s="21">
        <v>1040</v>
      </c>
      <c r="B1041" s="5" cm="1">
        <f t="array" aca="1" ref="B1041" ca="1">interpolexp(A1041,serie_du,Taxas_DI)</f>
        <v>0.1323002244199678</v>
      </c>
      <c r="C1041" s="32">
        <f ca="1">((((1+B1041)^(A1041/252))/((1+B1040)^(A1040/252)))^(252/1))-1</f>
        <v>0.12702489496189617</v>
      </c>
      <c r="D1041" s="30">
        <v>0.1323002244199678</v>
      </c>
      <c r="E1041" s="31">
        <f ca="1">B1041-D1041</f>
        <v>0</v>
      </c>
    </row>
    <row r="1042" spans="1:5" x14ac:dyDescent="0.25">
      <c r="A1042" s="21">
        <v>1041</v>
      </c>
      <c r="B1042" s="5" cm="1">
        <f t="array" aca="1" ref="B1042" ca="1">interpolexp(A1042,serie_du,Taxas_DI)</f>
        <v>0.13229514500776585</v>
      </c>
      <c r="C1042" s="32">
        <f ca="1">((((1+B1042)^(A1042/252))/((1+B1041)^(A1041/252)))^(252/1))-1</f>
        <v>0.12702487161576093</v>
      </c>
      <c r="D1042" s="30">
        <v>0.13229514500776585</v>
      </c>
      <c r="E1042" s="31">
        <f ca="1">B1042-D1042</f>
        <v>0</v>
      </c>
    </row>
    <row r="1043" spans="1:5" x14ac:dyDescent="0.25">
      <c r="A1043" s="21">
        <v>1042</v>
      </c>
      <c r="B1043" s="5" cm="1">
        <f t="array" aca="1" ref="B1043" ca="1">interpolexp(A1043,serie_du,Taxas_DI)</f>
        <v>0.13229007534516501</v>
      </c>
      <c r="C1043" s="32">
        <f ca="1">((((1+B1043)^(A1043/252))/((1+B1042)^(A1042/252)))^(252/1))-1</f>
        <v>0.12702484831005756</v>
      </c>
      <c r="D1043" s="30">
        <v>0.13229007534516501</v>
      </c>
      <c r="E1043" s="31">
        <f ca="1">B1043-D1043</f>
        <v>0</v>
      </c>
    </row>
    <row r="1044" spans="1:5" x14ac:dyDescent="0.25">
      <c r="A1044" s="21">
        <v>1043</v>
      </c>
      <c r="B1044" s="5" cm="1">
        <f t="array" aca="1" ref="B1044" ca="1">interpolexp(A1044,serie_du,Taxas_DI)</f>
        <v>0.13228501540414328</v>
      </c>
      <c r="C1044" s="32">
        <f ca="1">((((1+B1044)^(A1044/252))/((1+B1043)^(A1043/252)))^(252/1))-1</f>
        <v>0.12702482509369539</v>
      </c>
      <c r="D1044" s="30">
        <v>0.13228501540414328</v>
      </c>
      <c r="E1044" s="31">
        <f ca="1">B1044-D1044</f>
        <v>0</v>
      </c>
    </row>
    <row r="1045" spans="1:5" x14ac:dyDescent="0.25">
      <c r="A1045" s="21">
        <v>1044</v>
      </c>
      <c r="B1045" s="5" cm="1">
        <f t="array" aca="1" ref="B1045" ca="1">interpolexp(A1045,serie_du,Taxas_DI)</f>
        <v>0.13227996515672302</v>
      </c>
      <c r="C1045" s="32">
        <f ca="1">((((1+B1045)^(A1045/252))/((1+B1044)^(A1044/252)))^(252/1))-1</f>
        <v>0.12702480190086596</v>
      </c>
      <c r="D1045" s="30">
        <v>0.13227996515672302</v>
      </c>
      <c r="E1045" s="31">
        <f ca="1">B1045-D1045</f>
        <v>0</v>
      </c>
    </row>
    <row r="1046" spans="1:5" x14ac:dyDescent="0.25">
      <c r="A1046" s="21">
        <v>1045</v>
      </c>
      <c r="B1046" s="5" cm="1">
        <f t="array" aca="1" ref="B1046" ca="1">interpolexp(A1046,serie_du,Taxas_DI)</f>
        <v>0.13227492457512646</v>
      </c>
      <c r="C1046" s="32">
        <f ca="1">((((1+B1046)^(A1046/252))/((1+B1045)^(A1045/252)))^(252/1))-1</f>
        <v>0.12702477882795238</v>
      </c>
      <c r="D1046" s="30">
        <v>0.13227492457512646</v>
      </c>
      <c r="E1046" s="31">
        <f ca="1">B1046-D1046</f>
        <v>0</v>
      </c>
    </row>
    <row r="1047" spans="1:5" x14ac:dyDescent="0.25">
      <c r="A1047" s="21">
        <v>1046</v>
      </c>
      <c r="B1047" s="5" cm="1">
        <f t="array" aca="1" ref="B1047" ca="1">interpolexp(A1047,serie_du,Taxas_DI)</f>
        <v>0.13226989363159802</v>
      </c>
      <c r="C1047" s="32">
        <f ca="1">((((1+B1047)^(A1047/252))/((1+B1046)^(A1046/252)))^(252/1))-1</f>
        <v>0.12702475578705519</v>
      </c>
      <c r="D1047" s="30">
        <v>0.13226989363159802</v>
      </c>
      <c r="E1047" s="31">
        <f ca="1">B1047-D1047</f>
        <v>0</v>
      </c>
    </row>
    <row r="1048" spans="1:5" x14ac:dyDescent="0.25">
      <c r="A1048" s="21">
        <v>1047</v>
      </c>
      <c r="B1048" s="5" cm="1">
        <f t="array" aca="1" ref="B1048" ca="1">interpolexp(A1048,serie_du,Taxas_DI)</f>
        <v>0.13226487229853756</v>
      </c>
      <c r="C1048" s="32">
        <f ca="1">((((1+B1048)^(A1048/252))/((1+B1047)^(A1047/252)))^(252/1))-1</f>
        <v>0.12702473282959792</v>
      </c>
      <c r="D1048" s="30">
        <v>0.13226487229853756</v>
      </c>
      <c r="E1048" s="31">
        <f ca="1">B1048-D1048</f>
        <v>0</v>
      </c>
    </row>
    <row r="1049" spans="1:5" x14ac:dyDescent="0.25">
      <c r="A1049" s="21">
        <v>1048</v>
      </c>
      <c r="B1049" s="5" cm="1">
        <f t="array" aca="1" ref="B1049" ca="1">interpolexp(A1049,serie_du,Taxas_DI)</f>
        <v>0.13225986054841155</v>
      </c>
      <c r="C1049" s="32">
        <f ca="1">((((1+B1049)^(A1049/252))/((1+B1048)^(A1048/252)))^(252/1))-1</f>
        <v>0.12702470991468728</v>
      </c>
      <c r="D1049" s="30">
        <v>0.13225986054841155</v>
      </c>
      <c r="E1049" s="31">
        <f ca="1">B1049-D1049</f>
        <v>0</v>
      </c>
    </row>
    <row r="1050" spans="1:5" x14ac:dyDescent="0.25">
      <c r="A1050" s="21">
        <v>1049</v>
      </c>
      <c r="B1050" s="5" cm="1">
        <f t="array" aca="1" ref="B1050" ca="1">interpolexp(A1050,serie_du,Taxas_DI)</f>
        <v>0.13225485835381967</v>
      </c>
      <c r="C1050" s="32">
        <f ca="1">((((1+B1050)^(A1050/252))/((1+B1049)^(A1049/252)))^(252/1))-1</f>
        <v>0.12702468707177395</v>
      </c>
      <c r="D1050" s="30">
        <v>0.13225485835381967</v>
      </c>
      <c r="E1050" s="31">
        <f ca="1">B1050-D1050</f>
        <v>0</v>
      </c>
    </row>
    <row r="1051" spans="1:5" x14ac:dyDescent="0.25">
      <c r="A1051" s="21">
        <v>1050</v>
      </c>
      <c r="B1051" s="5" cm="1">
        <f t="array" aca="1" ref="B1051" ca="1">interpolexp(A1051,serie_du,Taxas_DI)</f>
        <v>0.13224986568747266</v>
      </c>
      <c r="C1051" s="32">
        <f ca="1">((((1+B1051)^(A1051/252))/((1+B1050)^(A1050/252)))^(252/1))-1</f>
        <v>0.12702466430739845</v>
      </c>
      <c r="D1051" s="30">
        <v>0.13224986568747266</v>
      </c>
      <c r="E1051" s="31">
        <f ca="1">B1051-D1051</f>
        <v>0</v>
      </c>
    </row>
    <row r="1052" spans="1:5" x14ac:dyDescent="0.25">
      <c r="A1052" s="21">
        <v>1051</v>
      </c>
      <c r="B1052" s="5" cm="1">
        <f t="array" aca="1" ref="B1052" ca="1">interpolexp(A1052,serie_du,Taxas_DI)</f>
        <v>0.13224488252217004</v>
      </c>
      <c r="C1052" s="32">
        <f ca="1">((((1+B1052)^(A1052/252))/((1+B1051)^(A1051/252)))^(252/1))-1</f>
        <v>0.12702464160560711</v>
      </c>
      <c r="D1052" s="30">
        <v>0.13224488252217004</v>
      </c>
      <c r="E1052" s="31">
        <f ca="1">B1052-D1052</f>
        <v>0</v>
      </c>
    </row>
    <row r="1053" spans="1:5" x14ac:dyDescent="0.25">
      <c r="A1053" s="21">
        <v>1052</v>
      </c>
      <c r="B1053" s="5" cm="1">
        <f t="array" aca="1" ref="B1053" ca="1">interpolexp(A1053,serie_du,Taxas_DI)</f>
        <v>0.13223990883082237</v>
      </c>
      <c r="C1053" s="32">
        <f ca="1">((((1+B1053)^(A1053/252))/((1+B1052)^(A1052/252)))^(252/1))-1</f>
        <v>0.12702461897417661</v>
      </c>
      <c r="D1053" s="30">
        <v>0.13223990883082237</v>
      </c>
      <c r="E1053" s="31">
        <f ca="1">B1053-D1053</f>
        <v>0</v>
      </c>
    </row>
    <row r="1054" spans="1:5" x14ac:dyDescent="0.25">
      <c r="A1054" s="21">
        <v>1053</v>
      </c>
      <c r="B1054" s="5" cm="1">
        <f t="array" aca="1" ref="B1054" ca="1">interpolexp(A1054,serie_du,Taxas_DI)</f>
        <v>0.13223494458642904</v>
      </c>
      <c r="C1054" s="32">
        <f ca="1">((((1+B1054)^(A1054/252))/((1+B1053)^(A1053/252)))^(252/1))-1</f>
        <v>0.12702459639807651</v>
      </c>
      <c r="D1054" s="30">
        <v>0.13223494458642904</v>
      </c>
      <c r="E1054" s="31">
        <f ca="1">B1054-D1054</f>
        <v>0</v>
      </c>
    </row>
    <row r="1055" spans="1:5" x14ac:dyDescent="0.25">
      <c r="A1055" s="21">
        <v>1054</v>
      </c>
      <c r="B1055" s="5" cm="1">
        <f t="array" aca="1" ref="B1055" ca="1">interpolexp(A1055,serie_du,Taxas_DI)</f>
        <v>0.13222998976207823</v>
      </c>
      <c r="C1055" s="32">
        <f ca="1">((((1+B1055)^(A1055/252))/((1+B1054)^(A1054/252)))^(252/1))-1</f>
        <v>0.1270245738625968</v>
      </c>
      <c r="D1055" s="30">
        <v>0.13222998976207823</v>
      </c>
      <c r="E1055" s="31">
        <f ca="1">B1055-D1055</f>
        <v>0</v>
      </c>
    </row>
    <row r="1056" spans="1:5" x14ac:dyDescent="0.25">
      <c r="A1056" s="21">
        <v>1055</v>
      </c>
      <c r="B1056" s="5" cm="1">
        <f t="array" aca="1" ref="B1056" ca="1">interpolexp(A1056,serie_du,Taxas_DI)</f>
        <v>0.13222504433101356</v>
      </c>
      <c r="C1056" s="32">
        <f ca="1">((((1+B1056)^(A1056/252))/((1+B1055)^(A1055/252)))^(252/1))-1</f>
        <v>0.12702455142372582</v>
      </c>
      <c r="D1056" s="30">
        <v>0.13222504433101356</v>
      </c>
      <c r="E1056" s="31">
        <f ca="1">B1056-D1056</f>
        <v>0</v>
      </c>
    </row>
    <row r="1057" spans="1:5" x14ac:dyDescent="0.25">
      <c r="A1057" s="21">
        <v>1056</v>
      </c>
      <c r="B1057" s="5" cm="1">
        <f t="array" aca="1" ref="B1057" ca="1">interpolexp(A1057,serie_du,Taxas_DI)</f>
        <v>0.13222010826654529</v>
      </c>
      <c r="C1057" s="32">
        <f ca="1">((((1+B1057)^(A1057/252))/((1+B1056)^(A1056/252)))^(252/1))-1</f>
        <v>0.12702452904473716</v>
      </c>
      <c r="D1057" s="30">
        <v>0.13222010826654529</v>
      </c>
      <c r="E1057" s="31">
        <f ca="1">B1057-D1057</f>
        <v>0</v>
      </c>
    </row>
    <row r="1058" spans="1:5" x14ac:dyDescent="0.25">
      <c r="A1058" s="21">
        <v>1057</v>
      </c>
      <c r="B1058" s="5" cm="1">
        <f t="array" aca="1" ref="B1058" ca="1">interpolexp(A1058,serie_du,Taxas_DI)</f>
        <v>0.13221518154207246</v>
      </c>
      <c r="C1058" s="32">
        <f ca="1">((((1+B1058)^(A1058/252))/((1+B1057)^(A1057/252)))^(252/1))-1</f>
        <v>0.12702450671240784</v>
      </c>
      <c r="D1058" s="30">
        <v>0.13221518154207246</v>
      </c>
      <c r="E1058" s="31">
        <f ca="1">B1058-D1058</f>
        <v>0</v>
      </c>
    </row>
    <row r="1059" spans="1:5" x14ac:dyDescent="0.25">
      <c r="A1059" s="21">
        <v>1058</v>
      </c>
      <c r="B1059" s="5" cm="1">
        <f t="array" aca="1" ref="B1059" ca="1">interpolexp(A1059,serie_du,Taxas_DI)</f>
        <v>0.13221026413114956</v>
      </c>
      <c r="C1059" s="32">
        <f ca="1">((((1+B1059)^(A1059/252))/((1+B1058)^(A1058/252)))^(252/1))-1</f>
        <v>0.12702448448430737</v>
      </c>
      <c r="D1059" s="30">
        <v>0.13221026413114956</v>
      </c>
      <c r="E1059" s="31">
        <f ca="1">B1059-D1059</f>
        <v>0</v>
      </c>
    </row>
    <row r="1060" spans="1:5" x14ac:dyDescent="0.25">
      <c r="A1060" s="21">
        <v>1059</v>
      </c>
      <c r="B1060" s="5" cm="1">
        <f t="array" aca="1" ref="B1060" ca="1">interpolexp(A1060,serie_du,Taxas_DI)</f>
        <v>0.13220535600733108</v>
      </c>
      <c r="C1060" s="32">
        <f ca="1">((((1+B1060)^(A1060/252))/((1+B1059)^(A1059/252)))^(252/1))-1</f>
        <v>0.12702446225508957</v>
      </c>
      <c r="D1060" s="30">
        <v>0.13220535600733108</v>
      </c>
      <c r="E1060" s="31">
        <f ca="1">B1060-D1060</f>
        <v>0</v>
      </c>
    </row>
    <row r="1061" spans="1:5" x14ac:dyDescent="0.25">
      <c r="A1061" s="21">
        <v>1060</v>
      </c>
      <c r="B1061" s="5" cm="1">
        <f t="array" aca="1" ref="B1061" ca="1">interpolexp(A1061,serie_du,Taxas_DI)</f>
        <v>0.13220045714437134</v>
      </c>
      <c r="C1061" s="32">
        <f ca="1">((((1+B1061)^(A1061/252))/((1+B1060)^(A1060/252)))^(252/1))-1</f>
        <v>0.12702444012974845</v>
      </c>
      <c r="D1061" s="30">
        <v>0.13220045714437134</v>
      </c>
      <c r="E1061" s="31">
        <f ca="1">B1061-D1061</f>
        <v>0</v>
      </c>
    </row>
    <row r="1062" spans="1:5" x14ac:dyDescent="0.25">
      <c r="A1062" s="21">
        <v>1061</v>
      </c>
      <c r="B1062" s="5" cm="1">
        <f t="array" aca="1" ref="B1062" ca="1">interpolexp(A1062,serie_du,Taxas_DI)</f>
        <v>0.13219556751606909</v>
      </c>
      <c r="C1062" s="32">
        <f ca="1">((((1+B1062)^(A1062/252))/((1+B1061)^(A1061/252)))^(252/1))-1</f>
        <v>0.12702441805071807</v>
      </c>
      <c r="D1062" s="30">
        <v>0.13219556751606909</v>
      </c>
      <c r="E1062" s="31">
        <f ca="1">B1062-D1062</f>
        <v>0</v>
      </c>
    </row>
    <row r="1063" spans="1:5" x14ac:dyDescent="0.25">
      <c r="A1063" s="21">
        <v>1062</v>
      </c>
      <c r="B1063" s="5" cm="1">
        <f t="array" aca="1" ref="B1063" ca="1">interpolexp(A1063,serie_du,Taxas_DI)</f>
        <v>0.13219068709635629</v>
      </c>
      <c r="C1063" s="32">
        <f ca="1">((((1+B1063)^(A1063/252))/((1+B1062)^(A1062/252)))^(252/1))-1</f>
        <v>0.12702439605423077</v>
      </c>
      <c r="D1063" s="30">
        <v>0.13219068709635629</v>
      </c>
      <c r="E1063" s="31">
        <f ca="1">B1063-D1063</f>
        <v>0</v>
      </c>
    </row>
    <row r="1064" spans="1:5" x14ac:dyDescent="0.25">
      <c r="A1064" s="21">
        <v>1063</v>
      </c>
      <c r="B1064" s="5" cm="1">
        <f t="array" aca="1" ref="B1064" ca="1">interpolexp(A1064,serie_du,Taxas_DI)</f>
        <v>0.1321858158592315</v>
      </c>
      <c r="C1064" s="32">
        <f ca="1">((((1+B1064)^(A1064/252))/((1+B1063)^(A1063/252)))^(252/1))-1</f>
        <v>0.12702437410665968</v>
      </c>
      <c r="D1064" s="30">
        <v>0.1321858158592315</v>
      </c>
      <c r="E1064" s="31">
        <f ca="1">B1064-D1064</f>
        <v>0</v>
      </c>
    </row>
    <row r="1065" spans="1:5" x14ac:dyDescent="0.25">
      <c r="A1065" s="21">
        <v>1064</v>
      </c>
      <c r="B1065" s="5" cm="1">
        <f t="array" aca="1" ref="B1065" ca="1">interpolexp(A1065,serie_du,Taxas_DI)</f>
        <v>0.13218095377880434</v>
      </c>
      <c r="C1065" s="32">
        <f ca="1">((((1+B1065)^(A1065/252))/((1+B1064)^(A1064/252)))^(252/1))-1</f>
        <v>0.12702435222188857</v>
      </c>
      <c r="D1065" s="30">
        <v>0.13218095377880434</v>
      </c>
      <c r="E1065" s="31">
        <f ca="1">B1065-D1065</f>
        <v>0</v>
      </c>
    </row>
    <row r="1066" spans="1:5" x14ac:dyDescent="0.25">
      <c r="A1066" s="21">
        <v>1065</v>
      </c>
      <c r="B1066" s="5" cm="1">
        <f t="array" aca="1" ref="B1066" ca="1">interpolexp(A1066,serie_du,Taxas_DI)</f>
        <v>0.13217610082927322</v>
      </c>
      <c r="C1066" s="32">
        <f ca="1">((((1+B1066)^(A1066/252))/((1+B1065)^(A1065/252)))^(252/1))-1</f>
        <v>0.12702433039066108</v>
      </c>
      <c r="D1066" s="30">
        <v>0.13217610082927322</v>
      </c>
      <c r="E1066" s="31">
        <f ca="1">B1066-D1066</f>
        <v>0</v>
      </c>
    </row>
    <row r="1067" spans="1:5" x14ac:dyDescent="0.25">
      <c r="A1067" s="21">
        <v>1066</v>
      </c>
      <c r="B1067" s="5" cm="1">
        <f t="array" aca="1" ref="B1067" ca="1">interpolexp(A1067,serie_du,Taxas_DI)</f>
        <v>0.13217125698494758</v>
      </c>
      <c r="C1067" s="32">
        <f ca="1">((((1+B1067)^(A1067/252))/((1+B1066)^(A1066/252)))^(252/1))-1</f>
        <v>0.12702430862798453</v>
      </c>
      <c r="D1067" s="30">
        <v>0.13217125698494758</v>
      </c>
      <c r="E1067" s="31">
        <f ca="1">B1067-D1067</f>
        <v>0</v>
      </c>
    </row>
    <row r="1068" spans="1:5" x14ac:dyDescent="0.25">
      <c r="A1068" s="21">
        <v>1067</v>
      </c>
      <c r="B1068" s="5" cm="1">
        <f t="array" aca="1" ref="B1068" ca="1">interpolexp(A1068,serie_du,Taxas_DI)</f>
        <v>0.13216642222022568</v>
      </c>
      <c r="C1068" s="32">
        <f ca="1">((((1+B1068)^(A1068/252))/((1+B1067)^(A1067/252)))^(252/1))-1</f>
        <v>0.12702428692551848</v>
      </c>
      <c r="D1068" s="30">
        <v>0.13216642222022568</v>
      </c>
      <c r="E1068" s="31">
        <f ca="1">B1068-D1068</f>
        <v>0</v>
      </c>
    </row>
    <row r="1069" spans="1:5" x14ac:dyDescent="0.25">
      <c r="A1069" s="21">
        <v>1068</v>
      </c>
      <c r="B1069" s="5" cm="1">
        <f t="array" aca="1" ref="B1069" ca="1">interpolexp(A1069,serie_du,Taxas_DI)</f>
        <v>0.13216159650961679</v>
      </c>
      <c r="C1069" s="32">
        <f ca="1">((((1+B1069)^(A1069/252))/((1+B1068)^(A1068/252)))^(252/1))-1</f>
        <v>0.12702426529921818</v>
      </c>
      <c r="D1069" s="30">
        <v>0.13216159650961679</v>
      </c>
      <c r="E1069" s="31">
        <f ca="1">B1069-D1069</f>
        <v>0</v>
      </c>
    </row>
    <row r="1070" spans="1:5" x14ac:dyDescent="0.25">
      <c r="A1070" s="21">
        <v>1069</v>
      </c>
      <c r="B1070" s="5" cm="1">
        <f t="array" aca="1" ref="B1070" ca="1">interpolexp(A1070,serie_du,Taxas_DI)</f>
        <v>0.1321567798276746</v>
      </c>
      <c r="C1070" s="32">
        <f ca="1">((((1+B1070)^(A1070/252))/((1+B1069)^(A1069/252)))^(252/1))-1</f>
        <v>0.12702424369453236</v>
      </c>
      <c r="D1070" s="30">
        <v>0.1321567798276746</v>
      </c>
      <c r="E1070" s="31">
        <f ca="1">B1070-D1070</f>
        <v>0</v>
      </c>
    </row>
    <row r="1071" spans="1:5" x14ac:dyDescent="0.25">
      <c r="A1071" s="21">
        <v>1070</v>
      </c>
      <c r="B1071" s="5" cm="1">
        <f t="array" aca="1" ref="B1071" ca="1">interpolexp(A1071,serie_du,Taxas_DI)</f>
        <v>0.13215197214913044</v>
      </c>
      <c r="C1071" s="32">
        <f ca="1">((((1+B1071)^(A1071/252))/((1+B1070)^(A1070/252)))^(252/1))-1</f>
        <v>0.12702422219913556</v>
      </c>
      <c r="D1071" s="30">
        <v>0.13215197214913044</v>
      </c>
      <c r="E1071" s="31">
        <f ca="1">B1071-D1071</f>
        <v>0</v>
      </c>
    </row>
    <row r="1072" spans="1:5" x14ac:dyDescent="0.25">
      <c r="A1072" s="21">
        <v>1071</v>
      </c>
      <c r="B1072" s="5" cm="1">
        <f t="array" aca="1" ref="B1072" ca="1">interpolexp(A1072,serie_du,Taxas_DI)</f>
        <v>0.13214717344873783</v>
      </c>
      <c r="C1072" s="32">
        <f ca="1">((((1+B1072)^(A1072/252))/((1+B1071)^(A1071/252)))^(252/1))-1</f>
        <v>0.12702420073589926</v>
      </c>
      <c r="D1072" s="30">
        <v>0.13214717344873783</v>
      </c>
      <c r="E1072" s="31">
        <f ca="1">B1072-D1072</f>
        <v>0</v>
      </c>
    </row>
    <row r="1073" spans="1:5" x14ac:dyDescent="0.25">
      <c r="A1073" s="21">
        <v>1072</v>
      </c>
      <c r="B1073" s="5" cm="1">
        <f t="array" aca="1" ref="B1073" ca="1">interpolexp(A1073,serie_du,Taxas_DI)</f>
        <v>0.13214238370136133</v>
      </c>
      <c r="C1073" s="32">
        <f ca="1">((((1+B1073)^(A1073/252))/((1+B1072)^(A1072/252)))^(252/1))-1</f>
        <v>0.12702417932257859</v>
      </c>
      <c r="D1073" s="30">
        <v>0.13214238370136133</v>
      </c>
      <c r="E1073" s="31">
        <f ca="1">B1073-D1073</f>
        <v>0</v>
      </c>
    </row>
    <row r="1074" spans="1:5" x14ac:dyDescent="0.25">
      <c r="A1074" s="21">
        <v>1073</v>
      </c>
      <c r="B1074" s="5" cm="1">
        <f t="array" aca="1" ref="B1074" ca="1">interpolexp(A1074,serie_du,Taxas_DI)</f>
        <v>0.13213760288197651</v>
      </c>
      <c r="C1074" s="32">
        <f ca="1">((((1+B1074)^(A1074/252))/((1+B1073)^(A1073/252)))^(252/1))-1</f>
        <v>0.12702415797741518</v>
      </c>
      <c r="D1074" s="30">
        <v>0.13213760288197651</v>
      </c>
      <c r="E1074" s="31">
        <f ca="1">B1074-D1074</f>
        <v>0</v>
      </c>
    </row>
    <row r="1075" spans="1:5" x14ac:dyDescent="0.25">
      <c r="A1075" s="21">
        <v>1074</v>
      </c>
      <c r="B1075" s="5" cm="1">
        <f t="array" aca="1" ref="B1075" ca="1">interpolexp(A1075,serie_du,Taxas_DI)</f>
        <v>0.13213283096566997</v>
      </c>
      <c r="C1075" s="32">
        <f ca="1">((((1+B1075)^(A1075/252))/((1+B1074)^(A1074/252)))^(252/1))-1</f>
        <v>0.12702413671916202</v>
      </c>
      <c r="D1075" s="30">
        <v>0.13213283096566997</v>
      </c>
      <c r="E1075" s="31">
        <f ca="1">B1075-D1075</f>
        <v>0</v>
      </c>
    </row>
    <row r="1076" spans="1:5" x14ac:dyDescent="0.25">
      <c r="A1076" s="21">
        <v>1075</v>
      </c>
      <c r="B1076" s="5" cm="1">
        <f t="array" aca="1" ref="B1076" ca="1">interpolexp(A1076,serie_du,Taxas_DI)</f>
        <v>0.1321280679275505</v>
      </c>
      <c r="C1076" s="32">
        <f ca="1">((((1+B1076)^(A1076/252))/((1+B1075)^(A1075/252)))^(252/1))-1</f>
        <v>0.12702411547218584</v>
      </c>
      <c r="D1076" s="30">
        <v>0.1321280679275505</v>
      </c>
      <c r="E1076" s="31">
        <f ca="1">B1076-D1076</f>
        <v>0</v>
      </c>
    </row>
    <row r="1077" spans="1:5" x14ac:dyDescent="0.25">
      <c r="A1077" s="21">
        <v>1076</v>
      </c>
      <c r="B1077" s="5" cm="1">
        <f t="array" aca="1" ref="B1077" ca="1">interpolexp(A1077,serie_du,Taxas_DI)</f>
        <v>0.13212331374290454</v>
      </c>
      <c r="C1077" s="32">
        <f ca="1">((((1+B1077)^(A1077/252))/((1+B1076)^(A1076/252)))^(252/1))-1</f>
        <v>0.12702409432750961</v>
      </c>
      <c r="D1077" s="30">
        <v>0.13212331374290454</v>
      </c>
      <c r="E1077" s="31">
        <f ca="1">B1077-D1077</f>
        <v>0</v>
      </c>
    </row>
    <row r="1078" spans="1:5" x14ac:dyDescent="0.25">
      <c r="A1078" s="21">
        <v>1077</v>
      </c>
      <c r="B1078" s="5" cm="1">
        <f t="array" aca="1" ref="B1078" ca="1">interpolexp(A1078,serie_du,Taxas_DI)</f>
        <v>0.13211856838704072</v>
      </c>
      <c r="C1078" s="32">
        <f ca="1">((((1+B1078)^(A1078/252))/((1+B1077)^(A1077/252)))^(252/1))-1</f>
        <v>0.12702407321020348</v>
      </c>
      <c r="D1078" s="30">
        <v>0.13211856838704072</v>
      </c>
      <c r="E1078" s="31">
        <f ca="1">B1078-D1078</f>
        <v>0</v>
      </c>
    </row>
    <row r="1079" spans="1:5" x14ac:dyDescent="0.25">
      <c r="A1079" s="21">
        <v>1078</v>
      </c>
      <c r="B1079" s="5" cm="1">
        <f t="array" aca="1" ref="B1079" ca="1">interpolexp(A1079,serie_du,Taxas_DI)</f>
        <v>0.13211383183542313</v>
      </c>
      <c r="C1079" s="32">
        <f ca="1">((((1+B1079)^(A1079/252))/((1+B1078)^(A1078/252)))^(252/1))-1</f>
        <v>0.12702405218866208</v>
      </c>
      <c r="D1079" s="30">
        <v>0.13211383183542313</v>
      </c>
      <c r="E1079" s="31">
        <f ca="1">B1079-D1079</f>
        <v>0</v>
      </c>
    </row>
    <row r="1080" spans="1:5" x14ac:dyDescent="0.25">
      <c r="A1080" s="21">
        <v>1079</v>
      </c>
      <c r="B1080" s="5" cm="1">
        <f t="array" aca="1" ref="B1080" ca="1">interpolexp(A1080,serie_du,Taxas_DI)</f>
        <v>0.13210910406351584</v>
      </c>
      <c r="C1080" s="32">
        <f ca="1">((((1+B1080)^(A1080/252))/((1+B1079)^(A1079/252)))^(252/1))-1</f>
        <v>0.12702403116480721</v>
      </c>
      <c r="D1080" s="30">
        <v>0.13210910406351584</v>
      </c>
      <c r="E1080" s="31">
        <f ca="1">B1080-D1080</f>
        <v>0</v>
      </c>
    </row>
    <row r="1081" spans="1:5" x14ac:dyDescent="0.25">
      <c r="A1081" s="21">
        <v>1080</v>
      </c>
      <c r="B1081" s="5" cm="1">
        <f t="array" aca="1" ref="B1081" ca="1">interpolexp(A1081,serie_du,Taxas_DI)</f>
        <v>0.13210438504700495</v>
      </c>
      <c r="C1081" s="32">
        <f ca="1">((((1+B1081)^(A1081/252))/((1+B1080)^(A1080/252)))^(252/1))-1</f>
        <v>0.12702401027950794</v>
      </c>
      <c r="D1081" s="30">
        <v>0.13210438504700495</v>
      </c>
      <c r="E1081" s="31">
        <f ca="1">B1081-D1081</f>
        <v>0</v>
      </c>
    </row>
    <row r="1082" spans="1:5" x14ac:dyDescent="0.25">
      <c r="A1082" s="21">
        <v>1081</v>
      </c>
      <c r="B1082" s="5" cm="1">
        <f t="array" aca="1" ref="B1082" ca="1">interpolexp(A1082,serie_du,Taxas_DI)</f>
        <v>0.13209967476150997</v>
      </c>
      <c r="C1082" s="32">
        <f ca="1">((((1+B1082)^(A1082/252))/((1+B1081)^(A1081/252)))^(252/1))-1</f>
        <v>0.12702398936408943</v>
      </c>
      <c r="D1082" s="30">
        <v>0.13209967476150997</v>
      </c>
      <c r="E1082" s="31">
        <f ca="1">B1082-D1082</f>
        <v>0</v>
      </c>
    </row>
    <row r="1083" spans="1:5" x14ac:dyDescent="0.25">
      <c r="A1083" s="21">
        <v>1082</v>
      </c>
      <c r="B1083" s="5" cm="1">
        <f t="array" aca="1" ref="B1083" ca="1">interpolexp(A1083,serie_du,Taxas_DI)</f>
        <v>0.13209497318289465</v>
      </c>
      <c r="C1083" s="32">
        <f ca="1">((((1+B1083)^(A1083/252))/((1+B1082)^(A1082/252)))^(252/1))-1</f>
        <v>0.12702396858426557</v>
      </c>
      <c r="D1083" s="30">
        <v>0.13209497318289465</v>
      </c>
      <c r="E1083" s="31">
        <f ca="1">B1083-D1083</f>
        <v>0</v>
      </c>
    </row>
    <row r="1084" spans="1:5" x14ac:dyDescent="0.25">
      <c r="A1084" s="21">
        <v>1083</v>
      </c>
      <c r="B1084" s="5" cm="1">
        <f t="array" aca="1" ref="B1084" ca="1">interpolexp(A1084,serie_du,Taxas_DI)</f>
        <v>0.13209028028700054</v>
      </c>
      <c r="C1084" s="32">
        <f ca="1">((((1+B1084)^(A1084/252))/((1+B1083)^(A1083/252)))^(252/1))-1</f>
        <v>0.12702394781989867</v>
      </c>
      <c r="D1084" s="30">
        <v>0.13209028028700054</v>
      </c>
      <c r="E1084" s="31">
        <f ca="1">B1084-D1084</f>
        <v>0</v>
      </c>
    </row>
    <row r="1085" spans="1:5" x14ac:dyDescent="0.25">
      <c r="A1085" s="21">
        <v>1084</v>
      </c>
      <c r="B1085" s="5" cm="1">
        <f t="array" aca="1" ref="B1085" ca="1">interpolexp(A1085,serie_du,Taxas_DI)</f>
        <v>0.13208559604980241</v>
      </c>
      <c r="C1085" s="32">
        <f ca="1">((((1+B1085)^(A1085/252))/((1+B1084)^(A1084/252)))^(252/1))-1</f>
        <v>0.12702392711815791</v>
      </c>
      <c r="D1085" s="30">
        <v>0.13208559604980241</v>
      </c>
      <c r="E1085" s="31">
        <f ca="1">B1085-D1085</f>
        <v>0</v>
      </c>
    </row>
    <row r="1086" spans="1:5" x14ac:dyDescent="0.25">
      <c r="A1086" s="21">
        <v>1085</v>
      </c>
      <c r="B1086" s="5" cm="1">
        <f t="array" aca="1" ref="B1086" ca="1">interpolexp(A1086,serie_du,Taxas_DI)</f>
        <v>0.13208092044736386</v>
      </c>
      <c r="C1086" s="32">
        <f ca="1">((((1+B1086)^(A1086/252))/((1+B1085)^(A1085/252)))^(252/1))-1</f>
        <v>0.1270239064792662</v>
      </c>
      <c r="D1086" s="30">
        <v>0.13208092044736386</v>
      </c>
      <c r="E1086" s="31">
        <f ca="1">B1086-D1086</f>
        <v>0</v>
      </c>
    </row>
    <row r="1087" spans="1:5" x14ac:dyDescent="0.25">
      <c r="A1087" s="21">
        <v>1086</v>
      </c>
      <c r="B1087" s="5" cm="1">
        <f t="array" aca="1" ref="B1087" ca="1">interpolexp(A1087,serie_du,Taxas_DI)</f>
        <v>0.13207625345581508</v>
      </c>
      <c r="C1087" s="32">
        <f ca="1">((((1+B1087)^(A1087/252))/((1+B1086)^(A1086/252)))^(252/1))-1</f>
        <v>0.12702388587959201</v>
      </c>
      <c r="D1087" s="30">
        <v>0.13207625345581508</v>
      </c>
      <c r="E1087" s="31">
        <f ca="1">B1087-D1087</f>
        <v>0</v>
      </c>
    </row>
    <row r="1088" spans="1:5" x14ac:dyDescent="0.25">
      <c r="A1088" s="21">
        <v>1087</v>
      </c>
      <c r="B1088" s="5" cm="1">
        <f t="array" aca="1" ref="B1088" ca="1">interpolexp(A1088,serie_du,Taxas_DI)</f>
        <v>0.13207159505141952</v>
      </c>
      <c r="C1088" s="32">
        <f ca="1">((((1+B1088)^(A1088/252))/((1+B1087)^(A1087/252)))^(252/1))-1</f>
        <v>0.12702386536814503</v>
      </c>
      <c r="D1088" s="30">
        <v>0.13207159505141952</v>
      </c>
      <c r="E1088" s="31">
        <f ca="1">B1088-D1088</f>
        <v>0</v>
      </c>
    </row>
    <row r="1089" spans="1:5" x14ac:dyDescent="0.25">
      <c r="A1089" s="21">
        <v>1088</v>
      </c>
      <c r="B1089" s="5" cm="1">
        <f t="array" aca="1" ref="B1089" ca="1">interpolexp(A1089,serie_du,Taxas_DI)</f>
        <v>0.13206694521048501</v>
      </c>
      <c r="C1089" s="32">
        <f ca="1">((((1+B1089)^(A1089/252))/((1+B1088)^(A1088/252)))^(252/1))-1</f>
        <v>0.12702384489821261</v>
      </c>
      <c r="D1089" s="30">
        <v>0.13206694521048501</v>
      </c>
      <c r="E1089" s="31">
        <f ca="1">B1089-D1089</f>
        <v>0</v>
      </c>
    </row>
    <row r="1090" spans="1:5" x14ac:dyDescent="0.25">
      <c r="A1090" s="21">
        <v>1089</v>
      </c>
      <c r="B1090" s="5" cm="1">
        <f t="array" aca="1" ref="B1090" ca="1">interpolexp(A1090,serie_du,Taxas_DI)</f>
        <v>0.13206230390940821</v>
      </c>
      <c r="C1090" s="32">
        <f ca="1">((((1+B1090)^(A1090/252))/((1+B1089)^(A1089/252)))^(252/1))-1</f>
        <v>0.12702382447154204</v>
      </c>
      <c r="D1090" s="30">
        <v>0.13206230390940821</v>
      </c>
      <c r="E1090" s="31">
        <f ca="1">B1090-D1090</f>
        <v>0</v>
      </c>
    </row>
    <row r="1091" spans="1:5" x14ac:dyDescent="0.25">
      <c r="A1091" s="21">
        <v>1090</v>
      </c>
      <c r="B1091" s="5" cm="1">
        <f t="array" aca="1" ref="B1091" ca="1">interpolexp(A1091,serie_du,Taxas_DI)</f>
        <v>0.1320576711246968</v>
      </c>
      <c r="C1091" s="32">
        <f ca="1">((((1+B1091)^(A1091/252))/((1+B1090)^(A1090/252)))^(252/1))-1</f>
        <v>0.12702380411449599</v>
      </c>
      <c r="D1091" s="30">
        <v>0.1320576711246968</v>
      </c>
      <c r="E1091" s="31">
        <f ca="1">B1091-D1091</f>
        <v>0</v>
      </c>
    </row>
    <row r="1092" spans="1:5" x14ac:dyDescent="0.25">
      <c r="A1092" s="21">
        <v>1091</v>
      </c>
      <c r="B1092" s="5" cm="1">
        <f t="array" aca="1" ref="B1092" ca="1">interpolexp(A1092,serie_du,Taxas_DI)</f>
        <v>0.13205304683292507</v>
      </c>
      <c r="C1092" s="32">
        <f ca="1">((((1+B1092)^(A1092/252))/((1+B1091)^(A1091/252)))^(252/1))-1</f>
        <v>0.12702378380546109</v>
      </c>
      <c r="D1092" s="30">
        <v>0.13205304683292507</v>
      </c>
      <c r="E1092" s="31">
        <f ca="1">B1092-D1092</f>
        <v>0</v>
      </c>
    </row>
    <row r="1093" spans="1:5" x14ac:dyDescent="0.25">
      <c r="A1093" s="21">
        <v>1092</v>
      </c>
      <c r="B1093" s="5" cm="1">
        <f t="array" aca="1" ref="B1093" ca="1">interpolexp(A1093,serie_du,Taxas_DI)</f>
        <v>0.13204843101078523</v>
      </c>
      <c r="C1093" s="32">
        <f ca="1">((((1+B1093)^(A1093/252))/((1+B1092)^(A1092/252)))^(252/1))-1</f>
        <v>0.1270237635793563</v>
      </c>
      <c r="D1093" s="30">
        <v>0.13204843101078523</v>
      </c>
      <c r="E1093" s="31">
        <f ca="1">B1093-D1093</f>
        <v>0</v>
      </c>
    </row>
    <row r="1094" spans="1:5" x14ac:dyDescent="0.25">
      <c r="A1094" s="21">
        <v>1093</v>
      </c>
      <c r="B1094" s="5" cm="1">
        <f t="array" aca="1" ref="B1094" ca="1">interpolexp(A1094,serie_du,Taxas_DI)</f>
        <v>0.13204462004825501</v>
      </c>
      <c r="C1094" s="32">
        <f ca="1">((((1+B1094)^(A1094/252))/((1+B1093)^(A1093/252)))^(252/1))-1</f>
        <v>0.12789069586908375</v>
      </c>
      <c r="D1094" s="30">
        <v>0.13204462004825501</v>
      </c>
      <c r="E1094" s="31">
        <f ca="1">B1094-D1094</f>
        <v>0</v>
      </c>
    </row>
    <row r="1095" spans="1:5" x14ac:dyDescent="0.25">
      <c r="A1095" s="21">
        <v>1094</v>
      </c>
      <c r="B1095" s="5" cm="1">
        <f t="array" aca="1" ref="B1095" ca="1">interpolexp(A1095,serie_du,Taxas_DI)</f>
        <v>0.13204081605291407</v>
      </c>
      <c r="C1095" s="32">
        <f ca="1">((((1+B1095)^(A1095/252))/((1+B1094)^(A1094/252)))^(252/1))-1</f>
        <v>0.12789068210293086</v>
      </c>
      <c r="D1095" s="30">
        <v>0.13204081605291407</v>
      </c>
      <c r="E1095" s="31">
        <f ca="1">B1095-D1095</f>
        <v>0</v>
      </c>
    </row>
    <row r="1096" spans="1:5" x14ac:dyDescent="0.25">
      <c r="A1096" s="21">
        <v>1095</v>
      </c>
      <c r="B1096" s="5" cm="1">
        <f t="array" aca="1" ref="B1096" ca="1">interpolexp(A1096,serie_du,Taxas_DI)</f>
        <v>0.13203701900563747</v>
      </c>
      <c r="C1096" s="32">
        <f ca="1">((((1+B1096)^(A1096/252))/((1+B1095)^(A1095/252)))^(252/1))-1</f>
        <v>0.12789066833473872</v>
      </c>
      <c r="D1096" s="30">
        <v>0.13203701900563747</v>
      </c>
      <c r="E1096" s="31">
        <f ca="1">B1096-D1096</f>
        <v>0</v>
      </c>
    </row>
    <row r="1097" spans="1:5" x14ac:dyDescent="0.25">
      <c r="A1097" s="21">
        <v>1096</v>
      </c>
      <c r="B1097" s="5" cm="1">
        <f t="array" aca="1" ref="B1097" ca="1">interpolexp(A1097,serie_du,Taxas_DI)</f>
        <v>0.1320332288874404</v>
      </c>
      <c r="C1097" s="32">
        <f ca="1">((((1+B1097)^(A1097/252))/((1+B1096)^(A1096/252)))^(252/1))-1</f>
        <v>0.12789065464131899</v>
      </c>
      <c r="D1097" s="30">
        <v>0.1320332288874404</v>
      </c>
      <c r="E1097" s="31">
        <f ca="1">B1097-D1097</f>
        <v>0</v>
      </c>
    </row>
    <row r="1098" spans="1:5" x14ac:dyDescent="0.25">
      <c r="A1098" s="21">
        <v>1097</v>
      </c>
      <c r="B1098" s="5" cm="1">
        <f t="array" aca="1" ref="B1098" ca="1">interpolexp(A1098,serie_du,Taxas_DI)</f>
        <v>0.13202944567933805</v>
      </c>
      <c r="C1098" s="32">
        <f ca="1">((((1+B1098)^(A1098/252))/((1+B1097)^(A1097/252)))^(252/1))-1</f>
        <v>0.12789064094674529</v>
      </c>
      <c r="D1098" s="30">
        <v>0.13202944567933805</v>
      </c>
      <c r="E1098" s="31">
        <f ca="1">B1098-D1098</f>
        <v>0</v>
      </c>
    </row>
    <row r="1099" spans="1:5" x14ac:dyDescent="0.25">
      <c r="A1099" s="21">
        <v>1098</v>
      </c>
      <c r="B1099" s="5" cm="1">
        <f t="array" aca="1" ref="B1099" ca="1">interpolexp(A1099,serie_du,Taxas_DI)</f>
        <v>0.13202566936247884</v>
      </c>
      <c r="C1099" s="32">
        <f ca="1">((((1+B1099)^(A1099/252))/((1+B1098)^(A1098/252)))^(252/1))-1</f>
        <v>0.12789062732095724</v>
      </c>
      <c r="D1099" s="30">
        <v>0.13202566936247884</v>
      </c>
      <c r="E1099" s="31">
        <f ca="1">B1099-D1099</f>
        <v>0</v>
      </c>
    </row>
    <row r="1100" spans="1:5" x14ac:dyDescent="0.25">
      <c r="A1100" s="21">
        <v>1099</v>
      </c>
      <c r="B1100" s="5" cm="1">
        <f t="array" aca="1" ref="B1100" ca="1">interpolexp(A1100,serie_du,Taxas_DI)</f>
        <v>0.13202189991805557</v>
      </c>
      <c r="C1100" s="32">
        <f ca="1">((((1+B1100)^(A1100/252))/((1+B1099)^(A1099/252)))^(252/1))-1</f>
        <v>0.12789061373739785</v>
      </c>
      <c r="D1100" s="30">
        <v>0.13202189991805557</v>
      </c>
      <c r="E1100" s="31">
        <f ca="1">B1100-D1100</f>
        <v>0</v>
      </c>
    </row>
    <row r="1101" spans="1:5" x14ac:dyDescent="0.25">
      <c r="A1101" s="21">
        <v>1100</v>
      </c>
      <c r="B1101" s="5" cm="1">
        <f t="array" aca="1" ref="B1101" ca="1">interpolexp(A1101,serie_du,Taxas_DI)</f>
        <v>0.13201813732728329</v>
      </c>
      <c r="C1101" s="32">
        <f ca="1">((((1+B1101)^(A1101/252))/((1+B1100)^(A1100/252)))^(252/1))-1</f>
        <v>0.12789060014530329</v>
      </c>
      <c r="D1101" s="30">
        <v>0.13201813732728329</v>
      </c>
      <c r="E1101" s="31">
        <f ca="1">B1101-D1101</f>
        <v>0</v>
      </c>
    </row>
    <row r="1102" spans="1:5" x14ac:dyDescent="0.25">
      <c r="A1102" s="21">
        <v>1101</v>
      </c>
      <c r="B1102" s="5" cm="1">
        <f t="array" aca="1" ref="B1102" ca="1">interpolexp(A1102,serie_du,Taxas_DI)</f>
        <v>0.13201438157153245</v>
      </c>
      <c r="C1102" s="32">
        <f ca="1">((((1+B1102)^(A1102/252))/((1+B1101)^(A1101/252)))^(252/1))-1</f>
        <v>0.12789058664004926</v>
      </c>
      <c r="D1102" s="30">
        <v>0.13201438157153245</v>
      </c>
      <c r="E1102" s="31">
        <f ca="1">B1102-D1102</f>
        <v>0</v>
      </c>
    </row>
    <row r="1103" spans="1:5" x14ac:dyDescent="0.25">
      <c r="A1103" s="21">
        <v>1102</v>
      </c>
      <c r="B1103" s="5" cm="1">
        <f t="array" aca="1" ref="B1103" ca="1">interpolexp(A1103,serie_du,Taxas_DI)</f>
        <v>0.13201063263215129</v>
      </c>
      <c r="C1103" s="32">
        <f ca="1">((((1+B1103)^(A1103/252))/((1+B1102)^(A1102/252)))^(252/1))-1</f>
        <v>0.12789057312304308</v>
      </c>
      <c r="D1103" s="30">
        <v>0.13201063263215129</v>
      </c>
      <c r="E1103" s="31">
        <f ca="1">B1103-D1103</f>
        <v>0</v>
      </c>
    </row>
    <row r="1104" spans="1:5" x14ac:dyDescent="0.25">
      <c r="A1104" s="21">
        <v>1103</v>
      </c>
      <c r="B1104" s="5" cm="1">
        <f t="array" aca="1" ref="B1104" ca="1">interpolexp(A1104,serie_du,Taxas_DI)</f>
        <v>0.13200689049064351</v>
      </c>
      <c r="C1104" s="32">
        <f ca="1">((((1+B1104)^(A1104/252))/((1+B1103)^(A1103/252)))^(252/1))-1</f>
        <v>0.12789055969060037</v>
      </c>
      <c r="D1104" s="30">
        <v>0.13200689049064351</v>
      </c>
      <c r="E1104" s="31">
        <f ca="1">B1104-D1104</f>
        <v>0</v>
      </c>
    </row>
    <row r="1105" spans="1:5" x14ac:dyDescent="0.25">
      <c r="A1105" s="21">
        <v>1104</v>
      </c>
      <c r="B1105" s="5" cm="1">
        <f t="array" aca="1" ref="B1105" ca="1">interpolexp(A1105,serie_du,Taxas_DI)</f>
        <v>0.13200315512851279</v>
      </c>
      <c r="C1105" s="32">
        <f ca="1">((((1+B1105)^(A1105/252))/((1+B1104)^(A1104/252)))^(252/1))-1</f>
        <v>0.12789054626874696</v>
      </c>
      <c r="D1105" s="30">
        <v>0.13200315512851279</v>
      </c>
      <c r="E1105" s="31">
        <f ca="1">B1105-D1105</f>
        <v>0</v>
      </c>
    </row>
    <row r="1106" spans="1:5" x14ac:dyDescent="0.25">
      <c r="A1106" s="21">
        <v>1105</v>
      </c>
      <c r="B1106" s="5" cm="1">
        <f t="array" aca="1" ref="B1106" ca="1">interpolexp(A1106,serie_du,Taxas_DI)</f>
        <v>0.13199942652735164</v>
      </c>
      <c r="C1106" s="32">
        <f ca="1">((((1+B1106)^(A1106/252))/((1+B1105)^(A1105/252)))^(252/1))-1</f>
        <v>0.12789053288150409</v>
      </c>
      <c r="D1106" s="30">
        <v>0.13199942652735164</v>
      </c>
      <c r="E1106" s="31">
        <f ca="1">B1106-D1106</f>
        <v>0</v>
      </c>
    </row>
    <row r="1107" spans="1:5" x14ac:dyDescent="0.25">
      <c r="A1107" s="21">
        <v>1106</v>
      </c>
      <c r="B1107" s="5" cm="1">
        <f t="array" aca="1" ref="B1107" ca="1">interpolexp(A1107,serie_du,Taxas_DI)</f>
        <v>0.13199570466881916</v>
      </c>
      <c r="C1107" s="32">
        <f ca="1">((((1+B1107)^(A1107/252))/((1+B1106)^(A1106/252)))^(252/1))-1</f>
        <v>0.12789051952879182</v>
      </c>
      <c r="D1107" s="30">
        <v>0.13199570466881916</v>
      </c>
      <c r="E1107" s="31">
        <f ca="1">B1107-D1107</f>
        <v>0</v>
      </c>
    </row>
    <row r="1108" spans="1:5" x14ac:dyDescent="0.25">
      <c r="A1108" s="21">
        <v>1107</v>
      </c>
      <c r="B1108" s="5" cm="1">
        <f t="array" aca="1" ref="B1108" ca="1">interpolexp(A1108,serie_du,Taxas_DI)</f>
        <v>0.13199198953466329</v>
      </c>
      <c r="C1108" s="32">
        <f ca="1">((((1+B1108)^(A1108/252))/((1+B1107)^(A1107/252)))^(252/1))-1</f>
        <v>0.1278905062353437</v>
      </c>
      <c r="D1108" s="30">
        <v>0.13199198953466329</v>
      </c>
      <c r="E1108" s="31">
        <f ca="1">B1108-D1108</f>
        <v>0</v>
      </c>
    </row>
    <row r="1109" spans="1:5" x14ac:dyDescent="0.25">
      <c r="A1109" s="21">
        <v>1108</v>
      </c>
      <c r="B1109" s="5" cm="1">
        <f t="array" aca="1" ref="B1109" ca="1">interpolexp(A1109,serie_du,Taxas_DI)</f>
        <v>0.13198828110667638</v>
      </c>
      <c r="C1109" s="32">
        <f ca="1">((((1+B1109)^(A1109/252))/((1+B1108)^(A1108/252)))^(252/1))-1</f>
        <v>0.12789049297729127</v>
      </c>
      <c r="D1109" s="30">
        <v>0.13198828110667638</v>
      </c>
      <c r="E1109" s="31">
        <f ca="1">B1109-D1109</f>
        <v>0</v>
      </c>
    </row>
    <row r="1110" spans="1:5" x14ac:dyDescent="0.25">
      <c r="A1110" s="21">
        <v>1109</v>
      </c>
      <c r="B1110" s="5" cm="1">
        <f t="array" aca="1" ref="B1110" ca="1">interpolexp(A1110,serie_du,Taxas_DI)</f>
        <v>0.13198457936667296</v>
      </c>
      <c r="C1110" s="32">
        <f ca="1">((((1+B1110)^(A1110/252))/((1+B1109)^(A1109/252)))^(252/1))-1</f>
        <v>0.12789047970651635</v>
      </c>
      <c r="D1110" s="30">
        <v>0.13198457936667296</v>
      </c>
      <c r="E1110" s="31">
        <f ca="1">B1110-D1110</f>
        <v>0</v>
      </c>
    </row>
    <row r="1111" spans="1:5" x14ac:dyDescent="0.25">
      <c r="A1111" s="21">
        <v>1110</v>
      </c>
      <c r="B1111" s="5" cm="1">
        <f t="array" aca="1" ref="B1111" ca="1">interpolexp(A1111,serie_du,Taxas_DI)</f>
        <v>0.13198088429662302</v>
      </c>
      <c r="C1111" s="32">
        <f ca="1">((((1+B1111)^(A1111/252))/((1+B1110)^(A1110/252)))^(252/1))-1</f>
        <v>0.12789046652231595</v>
      </c>
      <c r="D1111" s="30">
        <v>0.13198088429662302</v>
      </c>
      <c r="E1111" s="31">
        <f ca="1">B1111-D1111</f>
        <v>0</v>
      </c>
    </row>
    <row r="1112" spans="1:5" x14ac:dyDescent="0.25">
      <c r="A1112" s="21">
        <v>1111</v>
      </c>
      <c r="B1112" s="5" cm="1">
        <f t="array" aca="1" ref="B1112" ca="1">interpolexp(A1112,serie_du,Taxas_DI)</f>
        <v>0.13197719587851875</v>
      </c>
      <c r="C1112" s="32">
        <f ca="1">((((1+B1112)^(A1112/252))/((1+B1111)^(A1111/252)))^(252/1))-1</f>
        <v>0.12789045337718608</v>
      </c>
      <c r="D1112" s="30">
        <v>0.13197719587851875</v>
      </c>
      <c r="E1112" s="31">
        <f ca="1">B1112-D1112</f>
        <v>0</v>
      </c>
    </row>
    <row r="1113" spans="1:5" x14ac:dyDescent="0.25">
      <c r="A1113" s="21">
        <v>1112</v>
      </c>
      <c r="B1113" s="5" cm="1">
        <f t="array" aca="1" ref="B1113" ca="1">interpolexp(A1113,serie_du,Taxas_DI)</f>
        <v>0.13197351409437452</v>
      </c>
      <c r="C1113" s="32">
        <f ca="1">((((1+B1113)^(A1113/252))/((1+B1112)^(A1112/252)))^(252/1))-1</f>
        <v>0.12789044022389473</v>
      </c>
      <c r="D1113" s="30">
        <v>0.13197351409437452</v>
      </c>
      <c r="E1113" s="31">
        <f ca="1">B1113-D1113</f>
        <v>0</v>
      </c>
    </row>
    <row r="1114" spans="1:5" x14ac:dyDescent="0.25">
      <c r="A1114" s="21">
        <v>1113</v>
      </c>
      <c r="B1114" s="5" cm="1">
        <f t="array" aca="1" ref="B1114" ca="1">interpolexp(A1114,serie_du,Taxas_DI)</f>
        <v>0.13196983892631575</v>
      </c>
      <c r="C1114" s="32">
        <f ca="1">((((1+B1114)^(A1114/252))/((1+B1113)^(A1113/252)))^(252/1))-1</f>
        <v>0.12789042711373066</v>
      </c>
      <c r="D1114" s="30">
        <v>0.13196983892631575</v>
      </c>
      <c r="E1114" s="31">
        <f ca="1">B1114-D1114</f>
        <v>0</v>
      </c>
    </row>
    <row r="1115" spans="1:5" x14ac:dyDescent="0.25">
      <c r="A1115" s="21">
        <v>1114</v>
      </c>
      <c r="B1115" s="5" cm="1">
        <f t="array" aca="1" ref="B1115" ca="1">interpolexp(A1115,serie_du,Taxas_DI)</f>
        <v>0.13196617035655667</v>
      </c>
      <c r="C1115" s="32">
        <f ca="1">((((1+B1115)^(A1115/252))/((1+B1114)^(A1114/252)))^(252/1))-1</f>
        <v>0.12789041407401314</v>
      </c>
      <c r="D1115" s="30">
        <v>0.13196617035655667</v>
      </c>
      <c r="E1115" s="31">
        <f ca="1">B1115-D1115</f>
        <v>0</v>
      </c>
    </row>
    <row r="1116" spans="1:5" x14ac:dyDescent="0.25">
      <c r="A1116" s="21">
        <v>1115</v>
      </c>
      <c r="B1116" s="5" cm="1">
        <f t="array" aca="1" ref="B1116" ca="1">interpolexp(A1116,serie_du,Taxas_DI)</f>
        <v>0.1319625083673337</v>
      </c>
      <c r="C1116" s="32">
        <f ca="1">((((1+B1116)^(A1116/252))/((1+B1115)^(A1115/252)))^(252/1))-1</f>
        <v>0.12789040105827709</v>
      </c>
      <c r="D1116" s="30">
        <v>0.1319625083673337</v>
      </c>
      <c r="E1116" s="31">
        <f ca="1">B1116-D1116</f>
        <v>0</v>
      </c>
    </row>
    <row r="1117" spans="1:5" x14ac:dyDescent="0.25">
      <c r="A1117" s="21">
        <v>1116</v>
      </c>
      <c r="B1117" s="5" cm="1">
        <f t="array" aca="1" ref="B1117" ca="1">interpolexp(A1117,serie_du,Taxas_DI)</f>
        <v>0.13195885294092768</v>
      </c>
      <c r="C1117" s="32">
        <f ca="1">((((1+B1117)^(A1117/252))/((1+B1116)^(A1116/252)))^(252/1))-1</f>
        <v>0.12789038804499775</v>
      </c>
      <c r="D1117" s="30">
        <v>0.13195885294092768</v>
      </c>
      <c r="E1117" s="31">
        <f ca="1">B1117-D1117</f>
        <v>0</v>
      </c>
    </row>
    <row r="1118" spans="1:5" x14ac:dyDescent="0.25">
      <c r="A1118" s="21">
        <v>1117</v>
      </c>
      <c r="B1118" s="5" cm="1">
        <f t="array" aca="1" ref="B1118" ca="1">interpolexp(A1118,serie_du,Taxas_DI)</f>
        <v>0.1319552040597527</v>
      </c>
      <c r="C1118" s="32">
        <f ca="1">((((1+B1118)^(A1118/252))/((1+B1117)^(A1117/252)))^(252/1))-1</f>
        <v>0.12789037511163182</v>
      </c>
      <c r="D1118" s="30">
        <v>0.1319552040597527</v>
      </c>
      <c r="E1118" s="31">
        <f ca="1">B1118-D1118</f>
        <v>0</v>
      </c>
    </row>
    <row r="1119" spans="1:5" x14ac:dyDescent="0.25">
      <c r="A1119" s="21">
        <v>1118</v>
      </c>
      <c r="B1119" s="5" cm="1">
        <f t="array" aca="1" ref="B1119" ca="1">interpolexp(A1119,serie_du,Taxas_DI)</f>
        <v>0.1319515617062228</v>
      </c>
      <c r="C1119" s="32">
        <f ca="1">((((1+B1119)^(A1119/252))/((1+B1118)^(A1118/252)))^(252/1))-1</f>
        <v>0.12789036218819727</v>
      </c>
      <c r="D1119" s="30">
        <v>0.1319515617062228</v>
      </c>
      <c r="E1119" s="31">
        <f ca="1">B1119-D1119</f>
        <v>0</v>
      </c>
    </row>
    <row r="1120" spans="1:5" x14ac:dyDescent="0.25">
      <c r="A1120" s="21">
        <v>1119</v>
      </c>
      <c r="B1120" s="5" cm="1">
        <f t="array" aca="1" ref="B1120" ca="1">interpolexp(A1120,serie_du,Taxas_DI)</f>
        <v>0.13194792586284088</v>
      </c>
      <c r="C1120" s="32">
        <f ca="1">((((1+B1120)^(A1120/252))/((1+B1119)^(A1119/252)))^(252/1))-1</f>
        <v>0.12789034930332366</v>
      </c>
      <c r="D1120" s="30">
        <v>0.13194792586284088</v>
      </c>
      <c r="E1120" s="31">
        <f ca="1">B1120-D1120</f>
        <v>0</v>
      </c>
    </row>
    <row r="1121" spans="1:5" x14ac:dyDescent="0.25">
      <c r="A1121" s="21">
        <v>1120</v>
      </c>
      <c r="B1121" s="5" cm="1">
        <f t="array" aca="1" ref="B1121" ca="1">interpolexp(A1121,serie_du,Taxas_DI)</f>
        <v>0.13194429651215422</v>
      </c>
      <c r="C1121" s="32">
        <f ca="1">((((1+B1121)^(A1121/252))/((1+B1120)^(A1120/252)))^(252/1))-1</f>
        <v>0.12789033643679493</v>
      </c>
      <c r="D1121" s="30">
        <v>0.13194429651215422</v>
      </c>
      <c r="E1121" s="31">
        <f ca="1">B1121-D1121</f>
        <v>0</v>
      </c>
    </row>
    <row r="1122" spans="1:5" x14ac:dyDescent="0.25">
      <c r="A1122" s="21">
        <v>1121</v>
      </c>
      <c r="B1122" s="5" cm="1">
        <f t="array" aca="1" ref="B1122" ca="1">interpolexp(A1122,serie_du,Taxas_DI)</f>
        <v>0.13194067363682116</v>
      </c>
      <c r="C1122" s="32">
        <f ca="1">((((1+B1122)^(A1122/252))/((1+B1121)^(A1121/252)))^(252/1))-1</f>
        <v>0.1278903236427833</v>
      </c>
      <c r="D1122" s="30">
        <v>0.13194067363682116</v>
      </c>
      <c r="E1122" s="31">
        <f ca="1">B1122-D1122</f>
        <v>0</v>
      </c>
    </row>
    <row r="1123" spans="1:5" x14ac:dyDescent="0.25">
      <c r="A1123" s="21">
        <v>1122</v>
      </c>
      <c r="B1123" s="5" cm="1">
        <f t="array" aca="1" ref="B1123" ca="1">interpolexp(A1123,serie_du,Taxas_DI)</f>
        <v>0.13193705721947779</v>
      </c>
      <c r="C1123" s="32">
        <f ca="1">((((1+B1123)^(A1123/252))/((1+B1122)^(A1122/252)))^(252/1))-1</f>
        <v>0.12789031082739277</v>
      </c>
      <c r="D1123" s="30">
        <v>0.13193705721947779</v>
      </c>
      <c r="E1123" s="31">
        <f ca="1">B1123-D1123</f>
        <v>0</v>
      </c>
    </row>
    <row r="1124" spans="1:5" x14ac:dyDescent="0.25">
      <c r="A1124" s="21">
        <v>1123</v>
      </c>
      <c r="B1124" s="5" cm="1">
        <f t="array" aca="1" ref="B1124" ca="1">interpolexp(A1124,serie_du,Taxas_DI)</f>
        <v>0.13193344724293787</v>
      </c>
      <c r="C1124" s="32">
        <f ca="1">((((1+B1124)^(A1124/252))/((1+B1123)^(A1123/252)))^(252/1))-1</f>
        <v>0.12789029811996366</v>
      </c>
      <c r="D1124" s="30">
        <v>0.13193344724293787</v>
      </c>
      <c r="E1124" s="31">
        <f ca="1">B1124-D1124</f>
        <v>0</v>
      </c>
    </row>
    <row r="1125" spans="1:5" x14ac:dyDescent="0.25">
      <c r="A1125" s="21">
        <v>1124</v>
      </c>
      <c r="B1125" s="5" cm="1">
        <f t="array" aca="1" ref="B1125" ca="1">interpolexp(A1125,serie_du,Taxas_DI)</f>
        <v>0.13192984368994853</v>
      </c>
      <c r="C1125" s="32">
        <f ca="1">((((1+B1125)^(A1125/252))/((1+B1124)^(A1124/252)))^(252/1))-1</f>
        <v>0.12789028537736646</v>
      </c>
      <c r="D1125" s="30">
        <v>0.13192984368994853</v>
      </c>
      <c r="E1125" s="31">
        <f ca="1">B1125-D1125</f>
        <v>0</v>
      </c>
    </row>
    <row r="1126" spans="1:5" x14ac:dyDescent="0.25">
      <c r="A1126" s="21">
        <v>1125</v>
      </c>
      <c r="B1126" s="5" cm="1">
        <f t="array" aca="1" ref="B1126" ca="1">interpolexp(A1126,serie_du,Taxas_DI)</f>
        <v>0.13192624654341234</v>
      </c>
      <c r="C1126" s="32">
        <f ca="1">((((1+B1126)^(A1126/252))/((1+B1125)^(A1125/252)))^(252/1))-1</f>
        <v>0.12789027270484099</v>
      </c>
      <c r="D1126" s="30">
        <v>0.13192624654341234</v>
      </c>
      <c r="E1126" s="31">
        <f ca="1">B1126-D1126</f>
        <v>0</v>
      </c>
    </row>
    <row r="1127" spans="1:5" x14ac:dyDescent="0.25">
      <c r="A1127" s="21">
        <v>1126</v>
      </c>
      <c r="B1127" s="5" cm="1">
        <f t="array" aca="1" ref="B1127" ca="1">interpolexp(A1127,serie_du,Taxas_DI)</f>
        <v>0.13192265578625406</v>
      </c>
      <c r="C1127" s="32">
        <f ca="1">((((1+B1127)^(A1127/252))/((1+B1126)^(A1126/252)))^(252/1))-1</f>
        <v>0.12789026005909654</v>
      </c>
      <c r="D1127" s="30">
        <v>0.13192265578625406</v>
      </c>
      <c r="E1127" s="31">
        <f ca="1">B1127-D1127</f>
        <v>0</v>
      </c>
    </row>
    <row r="1128" spans="1:5" x14ac:dyDescent="0.25">
      <c r="A1128" s="21">
        <v>1127</v>
      </c>
      <c r="B1128" s="5" cm="1">
        <f t="array" aca="1" ref="B1128" ca="1">interpolexp(A1128,serie_du,Taxas_DI)</f>
        <v>0.13191907140146508</v>
      </c>
      <c r="C1128" s="32">
        <f ca="1">((((1+B1128)^(A1128/252))/((1+B1127)^(A1127/252)))^(252/1))-1</f>
        <v>0.12789024744681843</v>
      </c>
      <c r="D1128" s="30">
        <v>0.13191907140146508</v>
      </c>
      <c r="E1128" s="31">
        <f ca="1">B1128-D1128</f>
        <v>0</v>
      </c>
    </row>
    <row r="1129" spans="1:5" x14ac:dyDescent="0.25">
      <c r="A1129" s="21">
        <v>1128</v>
      </c>
      <c r="B1129" s="5" cm="1">
        <f t="array" aca="1" ref="B1129" ca="1">interpolexp(A1129,serie_du,Taxas_DI)</f>
        <v>0.13191549337208119</v>
      </c>
      <c r="C1129" s="32">
        <f ca="1">((((1+B1129)^(A1129/252))/((1+B1128)^(A1128/252)))^(252/1))-1</f>
        <v>0.12789023484981299</v>
      </c>
      <c r="D1129" s="30">
        <v>0.13191549337208119</v>
      </c>
      <c r="E1129" s="31">
        <f ca="1">B1129-D1129</f>
        <v>0</v>
      </c>
    </row>
    <row r="1130" spans="1:5" x14ac:dyDescent="0.25">
      <c r="A1130" s="21">
        <v>1129</v>
      </c>
      <c r="B1130" s="5" cm="1">
        <f t="array" aca="1" ref="B1130" ca="1">interpolexp(A1130,serie_du,Taxas_DI)</f>
        <v>0.13191192168124921</v>
      </c>
      <c r="C1130" s="32">
        <f ca="1">((((1+B1130)^(A1130/252))/((1+B1129)^(A1129/252)))^(252/1))-1</f>
        <v>0.12789022232545921</v>
      </c>
      <c r="D1130" s="30">
        <v>0.13191192168124921</v>
      </c>
      <c r="E1130" s="31">
        <f ca="1">B1130-D1130</f>
        <v>0</v>
      </c>
    </row>
    <row r="1131" spans="1:5" x14ac:dyDescent="0.25">
      <c r="A1131" s="21">
        <v>1130</v>
      </c>
      <c r="B1131" s="5" cm="1">
        <f t="array" aca="1" ref="B1131" ca="1">interpolexp(A1131,serie_du,Taxas_DI)</f>
        <v>0.13190835631211595</v>
      </c>
      <c r="C1131" s="32">
        <f ca="1">((((1+B1131)^(A1131/252))/((1+B1130)^(A1130/252)))^(252/1))-1</f>
        <v>0.12789020980636989</v>
      </c>
      <c r="D1131" s="30">
        <v>0.13190835631211595</v>
      </c>
      <c r="E1131" s="31">
        <f ca="1">B1131-D1131</f>
        <v>0</v>
      </c>
    </row>
    <row r="1132" spans="1:5" x14ac:dyDescent="0.25">
      <c r="A1132" s="21">
        <v>1131</v>
      </c>
      <c r="B1132" s="5" cm="1">
        <f t="array" aca="1" ref="B1132" ca="1">interpolexp(A1132,serie_du,Taxas_DI)</f>
        <v>0.13190479724789483</v>
      </c>
      <c r="C1132" s="32">
        <f ca="1">((((1+B1132)^(A1132/252))/((1+B1131)^(A1131/252)))^(252/1))-1</f>
        <v>0.12789019730031059</v>
      </c>
      <c r="D1132" s="30">
        <v>0.13190479724789483</v>
      </c>
      <c r="E1132" s="31">
        <f ca="1">B1132-D1132</f>
        <v>0</v>
      </c>
    </row>
    <row r="1133" spans="1:5" x14ac:dyDescent="0.25">
      <c r="A1133" s="21">
        <v>1132</v>
      </c>
      <c r="B1133" s="5" cm="1">
        <f t="array" aca="1" ref="B1133" ca="1">interpolexp(A1133,serie_du,Taxas_DI)</f>
        <v>0.13190124447193252</v>
      </c>
      <c r="C1133" s="32">
        <f ca="1">((((1+B1133)^(A1133/252))/((1+B1132)^(A1132/252)))^(252/1))-1</f>
        <v>0.12789018489053539</v>
      </c>
      <c r="D1133" s="30">
        <v>0.13190124447193252</v>
      </c>
      <c r="E1133" s="31">
        <f ca="1">B1133-D1133</f>
        <v>0</v>
      </c>
    </row>
    <row r="1134" spans="1:5" x14ac:dyDescent="0.25">
      <c r="A1134" s="21">
        <v>1133</v>
      </c>
      <c r="B1134" s="5" cm="1">
        <f t="array" aca="1" ref="B1134" ca="1">interpolexp(A1134,serie_du,Taxas_DI)</f>
        <v>0.13189769796753126</v>
      </c>
      <c r="C1134" s="32">
        <f ca="1">((((1+B1134)^(A1134/252))/((1+B1133)^(A1133/252)))^(252/1))-1</f>
        <v>0.12789017246043821</v>
      </c>
      <c r="D1134" s="30">
        <v>0.13189769796753126</v>
      </c>
      <c r="E1134" s="31">
        <f ca="1">B1134-D1134</f>
        <v>0</v>
      </c>
    </row>
    <row r="1135" spans="1:5" x14ac:dyDescent="0.25">
      <c r="A1135" s="21">
        <v>1134</v>
      </c>
      <c r="B1135" s="5" cm="1">
        <f t="array" aca="1" ref="B1135" ca="1">interpolexp(A1135,serie_du,Taxas_DI)</f>
        <v>0.13189415771810431</v>
      </c>
      <c r="C1135" s="32">
        <f ca="1">((((1+B1135)^(A1135/252))/((1+B1134)^(A1134/252)))^(252/1))-1</f>
        <v>0.12789016006882181</v>
      </c>
      <c r="D1135" s="30">
        <v>0.13189415771810431</v>
      </c>
      <c r="E1135" s="31">
        <f ca="1">B1135-D1135</f>
        <v>0</v>
      </c>
    </row>
    <row r="1136" spans="1:5" x14ac:dyDescent="0.25">
      <c r="A1136" s="21">
        <v>1135</v>
      </c>
      <c r="B1136" s="5" cm="1">
        <f t="array" aca="1" ref="B1136" ca="1">interpolexp(A1136,serie_du,Taxas_DI)</f>
        <v>0.13189062370715376</v>
      </c>
      <c r="C1136" s="32">
        <f ca="1">((((1+B1136)^(A1136/252))/((1+B1135)^(A1135/252)))^(252/1))-1</f>
        <v>0.12789014774982488</v>
      </c>
      <c r="D1136" s="30">
        <v>0.13189062370715376</v>
      </c>
      <c r="E1136" s="31">
        <f ca="1">B1136-D1136</f>
        <v>0</v>
      </c>
    </row>
    <row r="1137" spans="1:5" x14ac:dyDescent="0.25">
      <c r="A1137" s="21">
        <v>1136</v>
      </c>
      <c r="B1137" s="5" cm="1">
        <f t="array" aca="1" ref="B1137" ca="1">interpolexp(A1137,serie_du,Taxas_DI)</f>
        <v>0.1318870959181595</v>
      </c>
      <c r="C1137" s="32">
        <f ca="1">((((1+B1137)^(A1137/252))/((1+B1136)^(A1136/252)))^(252/1))-1</f>
        <v>0.12789013541258321</v>
      </c>
      <c r="D1137" s="30">
        <v>0.1318870959181595</v>
      </c>
      <c r="E1137" s="31">
        <f ca="1">B1137-D1137</f>
        <v>0</v>
      </c>
    </row>
    <row r="1138" spans="1:5" x14ac:dyDescent="0.25">
      <c r="A1138" s="21">
        <v>1137</v>
      </c>
      <c r="B1138" s="5" cm="1">
        <f t="array" aca="1" ref="B1138" ca="1">interpolexp(A1138,serie_du,Taxas_DI)</f>
        <v>0.13188357433471243</v>
      </c>
      <c r="C1138" s="32">
        <f ca="1">((((1+B1138)^(A1138/252))/((1+B1137)^(A1137/252)))^(252/1))-1</f>
        <v>0.12789012311674108</v>
      </c>
      <c r="D1138" s="30">
        <v>0.13188357433471243</v>
      </c>
      <c r="E1138" s="31">
        <f ca="1">B1138-D1138</f>
        <v>0</v>
      </c>
    </row>
    <row r="1139" spans="1:5" x14ac:dyDescent="0.25">
      <c r="A1139" s="21">
        <v>1138</v>
      </c>
      <c r="B1139" s="5" cm="1">
        <f t="array" aca="1" ref="B1139" ca="1">interpolexp(A1139,serie_du,Taxas_DI)</f>
        <v>0.13188005894047006</v>
      </c>
      <c r="C1139" s="32">
        <f ca="1">((((1+B1139)^(A1139/252))/((1+B1138)^(A1138/252)))^(252/1))-1</f>
        <v>0.12789011087247526</v>
      </c>
      <c r="D1139" s="30">
        <v>0.13188005894047006</v>
      </c>
      <c r="E1139" s="31">
        <f ca="1">B1139-D1139</f>
        <v>0</v>
      </c>
    </row>
    <row r="1140" spans="1:5" x14ac:dyDescent="0.25">
      <c r="A1140" s="21">
        <v>1139</v>
      </c>
      <c r="B1140" s="5" cm="1">
        <f t="array" aca="1" ref="B1140" ca="1">interpolexp(A1140,serie_du,Taxas_DI)</f>
        <v>0.13187654971913432</v>
      </c>
      <c r="C1140" s="32">
        <f ca="1">((((1+B1140)^(A1140/252))/((1+B1139)^(A1139/252)))^(252/1))-1</f>
        <v>0.12789009866481504</v>
      </c>
      <c r="D1140" s="30">
        <v>0.13187654971913432</v>
      </c>
      <c r="E1140" s="31">
        <f ca="1">B1140-D1140</f>
        <v>0</v>
      </c>
    </row>
    <row r="1141" spans="1:5" x14ac:dyDescent="0.25">
      <c r="A1141" s="21">
        <v>1140</v>
      </c>
      <c r="B1141" s="5" cm="1">
        <f t="array" aca="1" ref="B1141" ca="1">interpolexp(A1141,serie_du,Taxas_DI)</f>
        <v>0.13187304665445154</v>
      </c>
      <c r="C1141" s="32">
        <f ca="1">((((1+B1141)^(A1141/252))/((1+B1140)^(A1140/252)))^(252/1))-1</f>
        <v>0.12789008647916011</v>
      </c>
      <c r="D1141" s="30">
        <v>0.13187304665445154</v>
      </c>
      <c r="E1141" s="31">
        <f ca="1">B1141-D1141</f>
        <v>0</v>
      </c>
    </row>
    <row r="1142" spans="1:5" x14ac:dyDescent="0.25">
      <c r="A1142" s="21">
        <v>1141</v>
      </c>
      <c r="B1142" s="5" cm="1">
        <f t="array" aca="1" ref="B1142" ca="1">interpolexp(A1142,serie_du,Taxas_DI)</f>
        <v>0.13186954973021248</v>
      </c>
      <c r="C1142" s="32">
        <f ca="1">((((1+B1142)^(A1142/252))/((1+B1141)^(A1141/252)))^(252/1))-1</f>
        <v>0.12789007430127119</v>
      </c>
      <c r="D1142" s="30">
        <v>0.13186954973021248</v>
      </c>
      <c r="E1142" s="31">
        <f ca="1">B1142-D1142</f>
        <v>0</v>
      </c>
    </row>
    <row r="1143" spans="1:5" x14ac:dyDescent="0.25">
      <c r="A1143" s="21">
        <v>1142</v>
      </c>
      <c r="B1143" s="5" cm="1">
        <f t="array" aca="1" ref="B1143" ca="1">interpolexp(A1143,serie_du,Taxas_DI)</f>
        <v>0.13186605893031889</v>
      </c>
      <c r="C1143" s="32">
        <f ca="1">((((1+B1143)^(A1143/252))/((1+B1142)^(A1142/252)))^(252/1))-1</f>
        <v>0.12789006219243038</v>
      </c>
      <c r="D1143" s="30">
        <v>0.13186605893031889</v>
      </c>
      <c r="E1143" s="31">
        <f ca="1">B1143-D1143</f>
        <v>0</v>
      </c>
    </row>
    <row r="1144" spans="1:5" x14ac:dyDescent="0.25">
      <c r="A1144" s="21">
        <v>1143</v>
      </c>
      <c r="B1144" s="5" cm="1">
        <f t="array" aca="1" ref="B1144" ca="1">interpolexp(A1144,serie_du,Taxas_DI)</f>
        <v>0.13186257423869474</v>
      </c>
      <c r="C1144" s="32">
        <f ca="1">((((1+B1144)^(A1144/252))/((1+B1143)^(A1143/252)))^(252/1))-1</f>
        <v>0.12789005011395815</v>
      </c>
      <c r="D1144" s="30">
        <v>0.13186257423869474</v>
      </c>
      <c r="E1144" s="31">
        <f ca="1">B1144-D1144</f>
        <v>0</v>
      </c>
    </row>
    <row r="1145" spans="1:5" x14ac:dyDescent="0.25">
      <c r="A1145" s="21">
        <v>1144</v>
      </c>
      <c r="B1145" s="5" cm="1">
        <f t="array" aca="1" ref="B1145" ca="1">interpolexp(A1145,serie_du,Taxas_DI)</f>
        <v>0.13185909563928622</v>
      </c>
      <c r="C1145" s="32">
        <f ca="1">((((1+B1145)^(A1145/252))/((1+B1144)^(A1144/252)))^(252/1))-1</f>
        <v>0.12789003802683863</v>
      </c>
      <c r="D1145" s="30">
        <v>0.13185909563928622</v>
      </c>
      <c r="E1145" s="31">
        <f ca="1">B1145-D1145</f>
        <v>0</v>
      </c>
    </row>
    <row r="1146" spans="1:5" x14ac:dyDescent="0.25">
      <c r="A1146" s="21">
        <v>1145</v>
      </c>
      <c r="B1146" s="5" cm="1">
        <f t="array" aca="1" ref="B1146" ca="1">interpolexp(A1146,serie_du,Taxas_DI)</f>
        <v>0.13185562311617272</v>
      </c>
      <c r="C1146" s="32">
        <f ca="1">((((1+B1146)^(A1146/252))/((1+B1145)^(A1145/252)))^(252/1))-1</f>
        <v>0.12789002601894284</v>
      </c>
      <c r="D1146" s="30">
        <v>0.13185562311617272</v>
      </c>
      <c r="E1146" s="31">
        <f ca="1">B1146-D1146</f>
        <v>0</v>
      </c>
    </row>
    <row r="1147" spans="1:5" x14ac:dyDescent="0.25">
      <c r="A1147" s="21">
        <v>1146</v>
      </c>
      <c r="B1147" s="5" cm="1">
        <f t="array" aca="1" ref="B1147" ca="1">interpolexp(A1147,serie_du,Taxas_DI)</f>
        <v>0.13185215665341143</v>
      </c>
      <c r="C1147" s="32">
        <f ca="1">((((1+B1147)^(A1147/252))/((1+B1146)^(A1146/252)))^(252/1))-1</f>
        <v>0.12789001400146915</v>
      </c>
      <c r="D1147" s="30">
        <v>0.13185215665341143</v>
      </c>
      <c r="E1147" s="31">
        <f ca="1">B1147-D1147</f>
        <v>0</v>
      </c>
    </row>
    <row r="1148" spans="1:5" x14ac:dyDescent="0.25">
      <c r="A1148" s="21">
        <v>1147</v>
      </c>
      <c r="B1148" s="5" cm="1">
        <f t="array" aca="1" ref="B1148" ca="1">interpolexp(A1148,serie_du,Taxas_DI)</f>
        <v>0.1318486962351928</v>
      </c>
      <c r="C1148" s="32">
        <f ca="1">((((1+B1148)^(A1148/252))/((1+B1147)^(A1147/252)))^(252/1))-1</f>
        <v>0.12789000206296031</v>
      </c>
      <c r="D1148" s="30">
        <v>0.1318486962351928</v>
      </c>
      <c r="E1148" s="31">
        <f ca="1">B1148-D1148</f>
        <v>0</v>
      </c>
    </row>
    <row r="1149" spans="1:5" x14ac:dyDescent="0.25">
      <c r="A1149" s="21">
        <v>1148</v>
      </c>
      <c r="B1149" s="5" cm="1">
        <f t="array" aca="1" ref="B1149" ca="1">interpolexp(A1149,serie_du,Taxas_DI)</f>
        <v>0.13184524184566282</v>
      </c>
      <c r="C1149" s="32">
        <f ca="1">((((1+B1149)^(A1149/252))/((1+B1148)^(A1148/252)))^(252/1))-1</f>
        <v>0.127889990089465</v>
      </c>
      <c r="D1149" s="30">
        <v>0.13184524184566282</v>
      </c>
      <c r="E1149" s="31">
        <f ca="1">B1149-D1149</f>
        <v>0</v>
      </c>
    </row>
    <row r="1150" spans="1:5" x14ac:dyDescent="0.25">
      <c r="A1150" s="21">
        <v>1149</v>
      </c>
      <c r="B1150" s="5" cm="1">
        <f t="array" aca="1" ref="B1150" ca="1">interpolexp(A1150,serie_du,Taxas_DI)</f>
        <v>0.13184179346914515</v>
      </c>
      <c r="C1150" s="32">
        <f ca="1">((((1+B1150)^(A1150/252))/((1+B1149)^(A1149/252)))^(252/1))-1</f>
        <v>0.12788997822110382</v>
      </c>
      <c r="D1150" s="30">
        <v>0.13184179346914515</v>
      </c>
      <c r="E1150" s="31">
        <f ca="1">B1150-D1150</f>
        <v>0</v>
      </c>
    </row>
    <row r="1151" spans="1:5" x14ac:dyDescent="0.25">
      <c r="A1151" s="21">
        <v>1150</v>
      </c>
      <c r="B1151" s="5" cm="1">
        <f t="array" aca="1" ref="B1151" ca="1">interpolexp(A1151,serie_du,Taxas_DI)</f>
        <v>0.13183835108991904</v>
      </c>
      <c r="C1151" s="32">
        <f ca="1">((((1+B1151)^(A1151/252))/((1+B1150)^(A1150/252)))^(252/1))-1</f>
        <v>0.12788996634435956</v>
      </c>
      <c r="D1151" s="30">
        <v>0.13183835108991904</v>
      </c>
      <c r="E1151" s="31">
        <f ca="1">B1151-D1151</f>
        <v>0</v>
      </c>
    </row>
    <row r="1152" spans="1:5" x14ac:dyDescent="0.25">
      <c r="A1152" s="21">
        <v>1151</v>
      </c>
      <c r="B1152" s="5" cm="1">
        <f t="array" aca="1" ref="B1152" ca="1">interpolexp(A1152,serie_du,Taxas_DI)</f>
        <v>0.13183491469235253</v>
      </c>
      <c r="C1152" s="32">
        <f ca="1">((((1+B1152)^(A1152/252))/((1+B1151)^(A1151/252)))^(252/1))-1</f>
        <v>0.12788995449846352</v>
      </c>
      <c r="D1152" s="30">
        <v>0.13183491469235253</v>
      </c>
      <c r="E1152" s="31">
        <f ca="1">B1152-D1152</f>
        <v>0</v>
      </c>
    </row>
    <row r="1153" spans="1:5" x14ac:dyDescent="0.25">
      <c r="A1153" s="21">
        <v>1152</v>
      </c>
      <c r="B1153" s="5" cm="1">
        <f t="array" aca="1" ref="B1153" ca="1">interpolexp(A1153,serie_du,Taxas_DI)</f>
        <v>0.13183148426085811</v>
      </c>
      <c r="C1153" s="32">
        <f ca="1">((((1+B1153)^(A1153/252))/((1+B1152)^(A1152/252)))^(252/1))-1</f>
        <v>0.12788994267174369</v>
      </c>
      <c r="D1153" s="30">
        <v>0.13183148426085811</v>
      </c>
      <c r="E1153" s="31">
        <f ca="1">B1153-D1153</f>
        <v>0</v>
      </c>
    </row>
    <row r="1154" spans="1:5" x14ac:dyDescent="0.25">
      <c r="A1154" s="21">
        <v>1153</v>
      </c>
      <c r="B1154" s="5" cm="1">
        <f t="array" aca="1" ref="B1154" ca="1">interpolexp(A1154,serie_du,Taxas_DI)</f>
        <v>0.13182805977993706</v>
      </c>
      <c r="C1154" s="32">
        <f ca="1">((((1+B1154)^(A1154/252))/((1+B1153)^(A1153/252)))^(252/1))-1</f>
        <v>0.12788993090421541</v>
      </c>
      <c r="D1154" s="30">
        <v>0.13182805977993706</v>
      </c>
      <c r="E1154" s="31">
        <f ca="1">B1154-D1154</f>
        <v>0</v>
      </c>
    </row>
    <row r="1155" spans="1:5" x14ac:dyDescent="0.25">
      <c r="A1155" s="21">
        <v>1154</v>
      </c>
      <c r="B1155" s="5" cm="1">
        <f t="array" aca="1" ref="B1155" ca="1">interpolexp(A1155,serie_du,Taxas_DI)</f>
        <v>0.13182464123411286</v>
      </c>
      <c r="C1155" s="32">
        <f ca="1">((((1+B1155)^(A1155/252))/((1+B1154)^(A1154/252)))^(252/1))-1</f>
        <v>0.12788991915943715</v>
      </c>
      <c r="D1155" s="30">
        <v>0.13182464123411286</v>
      </c>
      <c r="E1155" s="31">
        <f ca="1">B1155-D1155</f>
        <v>0</v>
      </c>
    </row>
    <row r="1156" spans="1:5" x14ac:dyDescent="0.25">
      <c r="A1156" s="21">
        <v>1155</v>
      </c>
      <c r="B1156" s="5" cm="1">
        <f t="array" aca="1" ref="B1156" ca="1">interpolexp(A1156,serie_du,Taxas_DI)</f>
        <v>0.13182122860794276</v>
      </c>
      <c r="C1156" s="32">
        <f ca="1">((((1+B1156)^(A1156/252))/((1+B1155)^(A1155/252)))^(252/1))-1</f>
        <v>0.12788990741446038</v>
      </c>
      <c r="D1156" s="30">
        <v>0.13182122860794276</v>
      </c>
      <c r="E1156" s="31">
        <f ca="1">B1156-D1156</f>
        <v>0</v>
      </c>
    </row>
    <row r="1157" spans="1:5" x14ac:dyDescent="0.25">
      <c r="A1157" s="21">
        <v>1156</v>
      </c>
      <c r="B1157" s="5" cm="1">
        <f t="array" aca="1" ref="B1157" ca="1">interpolexp(A1157,serie_du,Taxas_DI)</f>
        <v>0.13181733100375848</v>
      </c>
      <c r="C1157" s="32">
        <f ca="1">((((1+B1157)^(A1157/252))/((1+B1156)^(A1156/252)))^(252/1))-1</f>
        <v>0.12732454671433002</v>
      </c>
      <c r="D1157" s="30">
        <v>0.13181733100375848</v>
      </c>
      <c r="E1157" s="31">
        <f ca="1">B1157-D1157</f>
        <v>0</v>
      </c>
    </row>
    <row r="1158" spans="1:5" x14ac:dyDescent="0.25">
      <c r="A1158" s="21">
        <v>1157</v>
      </c>
      <c r="B1158" s="5" cm="1">
        <f t="array" aca="1" ref="B1158" ca="1">interpolexp(A1158,serie_du,Taxas_DI)</f>
        <v>0.13181344013712959</v>
      </c>
      <c r="C1158" s="32">
        <f ca="1">((((1+B1158)^(A1158/252))/((1+B1157)^(A1157/252)))^(252/1))-1</f>
        <v>0.12732453142943156</v>
      </c>
      <c r="D1158" s="30">
        <v>0.13181344013712959</v>
      </c>
      <c r="E1158" s="31">
        <f ca="1">B1158-D1158</f>
        <v>0</v>
      </c>
    </row>
    <row r="1159" spans="1:5" x14ac:dyDescent="0.25">
      <c r="A1159" s="21">
        <v>1158</v>
      </c>
      <c r="B1159" s="5" cm="1">
        <f t="array" aca="1" ref="B1159" ca="1">interpolexp(A1159,serie_du,Taxas_DI)</f>
        <v>0.13180955599063626</v>
      </c>
      <c r="C1159" s="32">
        <f ca="1">((((1+B1159)^(A1159/252))/((1+B1158)^(A1158/252)))^(252/1))-1</f>
        <v>0.12732451622466345</v>
      </c>
      <c r="D1159" s="30">
        <v>0.13180955599063626</v>
      </c>
      <c r="E1159" s="31">
        <f ca="1">B1159-D1159</f>
        <v>0</v>
      </c>
    </row>
    <row r="1160" spans="1:5" x14ac:dyDescent="0.25">
      <c r="A1160" s="21">
        <v>1159</v>
      </c>
      <c r="B1160" s="5" cm="1">
        <f t="array" aca="1" ref="B1160" ca="1">interpolexp(A1160,serie_du,Taxas_DI)</f>
        <v>0.1318056785468702</v>
      </c>
      <c r="C1160" s="32">
        <f ca="1">((((1+B1160)^(A1160/252))/((1+B1159)^(A1159/252)))^(252/1))-1</f>
        <v>0.12732450104393123</v>
      </c>
      <c r="D1160" s="30">
        <v>0.1318056785468702</v>
      </c>
      <c r="E1160" s="31">
        <f ca="1">B1160-D1160</f>
        <v>0</v>
      </c>
    </row>
    <row r="1161" spans="1:5" x14ac:dyDescent="0.25">
      <c r="A1161" s="21">
        <v>1160</v>
      </c>
      <c r="B1161" s="5" cm="1">
        <f t="array" aca="1" ref="B1161" ca="1">interpolexp(A1161,serie_du,Taxas_DI)</f>
        <v>0.13180180778848971</v>
      </c>
      <c r="C1161" s="32">
        <f ca="1">((((1+B1161)^(A1161/252))/((1+B1160)^(A1160/252)))^(252/1))-1</f>
        <v>0.12732448589461742</v>
      </c>
      <c r="D1161" s="30">
        <v>0.13180180778848971</v>
      </c>
      <c r="E1161" s="31">
        <f ca="1">B1161-D1161</f>
        <v>0</v>
      </c>
    </row>
    <row r="1162" spans="1:5" x14ac:dyDescent="0.25">
      <c r="A1162" s="21">
        <v>1161</v>
      </c>
      <c r="B1162" s="5" cm="1">
        <f t="array" aca="1" ref="B1162" ca="1">interpolexp(A1162,serie_du,Taxas_DI)</f>
        <v>0.13179794369826414</v>
      </c>
      <c r="C1162" s="32">
        <f ca="1">((((1+B1162)^(A1162/252))/((1+B1161)^(A1161/252)))^(252/1))-1</f>
        <v>0.12732447083594578</v>
      </c>
      <c r="D1162" s="30">
        <v>0.13179794369826414</v>
      </c>
      <c r="E1162" s="31">
        <f ca="1">B1162-D1162</f>
        <v>0</v>
      </c>
    </row>
    <row r="1163" spans="1:5" x14ac:dyDescent="0.25">
      <c r="A1163" s="21">
        <v>1162</v>
      </c>
      <c r="B1163" s="5" cm="1">
        <f t="array" aca="1" ref="B1163" ca="1">interpolexp(A1163,serie_du,Taxas_DI)</f>
        <v>0.13179408625891842</v>
      </c>
      <c r="C1163" s="32">
        <f ca="1">((((1+B1163)^(A1163/252))/((1+B1162)^(A1162/252)))^(252/1))-1</f>
        <v>0.1273244557476414</v>
      </c>
      <c r="D1163" s="30">
        <v>0.13179408625891842</v>
      </c>
      <c r="E1163" s="31">
        <f ca="1">B1163-D1163</f>
        <v>0</v>
      </c>
    </row>
    <row r="1164" spans="1:5" x14ac:dyDescent="0.25">
      <c r="A1164" s="21">
        <v>1163</v>
      </c>
      <c r="B1164" s="5" cm="1">
        <f t="array" aca="1" ref="B1164" ca="1">interpolexp(A1164,serie_du,Taxas_DI)</f>
        <v>0.1317902354533329</v>
      </c>
      <c r="C1164" s="32">
        <f ca="1">((((1+B1164)^(A1164/252))/((1+B1163)^(A1163/252)))^(252/1))-1</f>
        <v>0.12732444074083649</v>
      </c>
      <c r="D1164" s="30">
        <v>0.1317902354533329</v>
      </c>
      <c r="E1164" s="31">
        <f ca="1">B1164-D1164</f>
        <v>0</v>
      </c>
    </row>
    <row r="1165" spans="1:5" x14ac:dyDescent="0.25">
      <c r="A1165" s="21">
        <v>1164</v>
      </c>
      <c r="B1165" s="5" cm="1">
        <f t="array" aca="1" ref="B1165" ca="1">interpolexp(A1165,serie_du,Taxas_DI)</f>
        <v>0.13178639126438796</v>
      </c>
      <c r="C1165" s="32">
        <f ca="1">((((1+B1165)^(A1165/252))/((1+B1164)^(A1164/252)))^(252/1))-1</f>
        <v>0.12732442574725034</v>
      </c>
      <c r="D1165" s="30">
        <v>0.13178639126438796</v>
      </c>
      <c r="E1165" s="31">
        <f ca="1">B1165-D1165</f>
        <v>0</v>
      </c>
    </row>
    <row r="1166" spans="1:5" x14ac:dyDescent="0.25">
      <c r="A1166" s="21">
        <v>1165</v>
      </c>
      <c r="B1166" s="5" cm="1">
        <f t="array" aca="1" ref="B1166" ca="1">interpolexp(A1166,serie_du,Taxas_DI)</f>
        <v>0.13178255367507496</v>
      </c>
      <c r="C1166" s="32">
        <f ca="1">((((1+B1166)^(A1166/252))/((1+B1165)^(A1165/252)))^(252/1))-1</f>
        <v>0.12732441082734614</v>
      </c>
      <c r="D1166" s="30">
        <v>0.13178255367507496</v>
      </c>
      <c r="E1166" s="31">
        <f ca="1">B1166-D1166</f>
        <v>0</v>
      </c>
    </row>
    <row r="1167" spans="1:5" x14ac:dyDescent="0.25">
      <c r="A1167" s="21">
        <v>1166</v>
      </c>
      <c r="B1167" s="5" cm="1">
        <f t="array" aca="1" ref="B1167" ca="1">interpolexp(A1167,serie_du,Taxas_DI)</f>
        <v>0.13177872266838531</v>
      </c>
      <c r="C1167" s="32">
        <f ca="1">((((1+B1167)^(A1167/252))/((1+B1166)^(A1166/252)))^(252/1))-1</f>
        <v>0.12732439591326927</v>
      </c>
      <c r="D1167" s="30">
        <v>0.13177872266838531</v>
      </c>
      <c r="E1167" s="31">
        <f ca="1">B1167-D1167</f>
        <v>0</v>
      </c>
    </row>
    <row r="1168" spans="1:5" x14ac:dyDescent="0.25">
      <c r="A1168" s="21">
        <v>1167</v>
      </c>
      <c r="B1168" s="5" cm="1">
        <f t="array" aca="1" ref="B1168" ca="1">interpolexp(A1168,serie_du,Taxas_DI)</f>
        <v>0.13177489822739918</v>
      </c>
      <c r="C1168" s="32">
        <f ca="1">((((1+B1168)^(A1168/252))/((1+B1167)^(A1167/252)))^(252/1))-1</f>
        <v>0.12732438104015853</v>
      </c>
      <c r="D1168" s="30">
        <v>0.13177489822739918</v>
      </c>
      <c r="E1168" s="31">
        <f ca="1">B1168-D1168</f>
        <v>0</v>
      </c>
    </row>
    <row r="1169" spans="1:5" x14ac:dyDescent="0.25">
      <c r="A1169" s="21">
        <v>1168</v>
      </c>
      <c r="B1169" s="5" cm="1">
        <f t="array" aca="1" ref="B1169" ca="1">interpolexp(A1169,serie_du,Taxas_DI)</f>
        <v>0.13177108033526341</v>
      </c>
      <c r="C1169" s="32">
        <f ca="1">((((1+B1169)^(A1169/252))/((1+B1168)^(A1168/252)))^(252/1))-1</f>
        <v>0.12732436621817222</v>
      </c>
      <c r="D1169" s="30">
        <v>0.13177108033526341</v>
      </c>
      <c r="E1169" s="31">
        <f ca="1">B1169-D1169</f>
        <v>0</v>
      </c>
    </row>
    <row r="1170" spans="1:5" x14ac:dyDescent="0.25">
      <c r="A1170" s="21">
        <v>1169</v>
      </c>
      <c r="B1170" s="5" cm="1">
        <f t="array" aca="1" ref="B1170" ca="1">interpolexp(A1170,serie_du,Taxas_DI)</f>
        <v>0.13176726897519142</v>
      </c>
      <c r="C1170" s="32">
        <f ca="1">((((1+B1170)^(A1170/252))/((1+B1169)^(A1169/252)))^(252/1))-1</f>
        <v>0.12732435145746668</v>
      </c>
      <c r="D1170" s="30">
        <v>0.13176726897519142</v>
      </c>
      <c r="E1170" s="31">
        <f ca="1">B1170-D1170</f>
        <v>0</v>
      </c>
    </row>
    <row r="1171" spans="1:5" x14ac:dyDescent="0.25">
      <c r="A1171" s="21">
        <v>1170</v>
      </c>
      <c r="B1171" s="5" cm="1">
        <f t="array" aca="1" ref="B1171" ca="1">interpolexp(A1171,serie_du,Taxas_DI)</f>
        <v>0.13176346413037443</v>
      </c>
      <c r="C1171" s="32">
        <f ca="1">((((1+B1171)^(A1171/252))/((1+B1170)^(A1170/252)))^(252/1))-1</f>
        <v>0.12732433666532317</v>
      </c>
      <c r="D1171" s="30">
        <v>0.13176346413037443</v>
      </c>
      <c r="E1171" s="31">
        <f ca="1">B1171-D1171</f>
        <v>0</v>
      </c>
    </row>
    <row r="1172" spans="1:5" x14ac:dyDescent="0.25">
      <c r="A1172" s="21">
        <v>1171</v>
      </c>
      <c r="B1172" s="5" cm="1">
        <f t="array" aca="1" ref="B1172" ca="1">interpolexp(A1172,serie_du,Taxas_DI)</f>
        <v>0.1317596657841813</v>
      </c>
      <c r="C1172" s="32">
        <f ca="1">((((1+B1172)^(A1172/252))/((1+B1171)^(A1171/252)))^(252/1))-1</f>
        <v>0.12732432198159516</v>
      </c>
      <c r="D1172" s="30">
        <v>0.1317596657841813</v>
      </c>
      <c r="E1172" s="31">
        <f ca="1">B1172-D1172</f>
        <v>0</v>
      </c>
    </row>
    <row r="1173" spans="1:5" x14ac:dyDescent="0.25">
      <c r="A1173" s="21">
        <v>1172</v>
      </c>
      <c r="B1173" s="5" cm="1">
        <f t="array" aca="1" ref="B1173" ca="1">interpolexp(A1173,serie_du,Taxas_DI)</f>
        <v>0.13175587391993648</v>
      </c>
      <c r="C1173" s="32">
        <f ca="1">((((1+B1173)^(A1173/252))/((1+B1172)^(A1172/252)))^(252/1))-1</f>
        <v>0.1273243072883341</v>
      </c>
      <c r="D1173" s="30">
        <v>0.13175587391993648</v>
      </c>
      <c r="E1173" s="31">
        <f ca="1">B1173-D1173</f>
        <v>0</v>
      </c>
    </row>
    <row r="1174" spans="1:5" x14ac:dyDescent="0.25">
      <c r="A1174" s="21">
        <v>1173</v>
      </c>
      <c r="B1174" s="5" cm="1">
        <f t="array" aca="1" ref="B1174" ca="1">interpolexp(A1174,serie_du,Taxas_DI)</f>
        <v>0.13175208852107545</v>
      </c>
      <c r="C1174" s="32">
        <f ca="1">((((1+B1174)^(A1174/252))/((1+B1173)^(A1173/252)))^(252/1))-1</f>
        <v>0.12732429264836753</v>
      </c>
      <c r="D1174" s="30">
        <v>0.13175208852107545</v>
      </c>
      <c r="E1174" s="31">
        <f ca="1">B1174-D1174</f>
        <v>0</v>
      </c>
    </row>
    <row r="1175" spans="1:5" x14ac:dyDescent="0.25">
      <c r="A1175" s="21">
        <v>1174</v>
      </c>
      <c r="B1175" s="5" cm="1">
        <f t="array" aca="1" ref="B1175" ca="1">interpolexp(A1175,serie_du,Taxas_DI)</f>
        <v>0.13174830957107808</v>
      </c>
      <c r="C1175" s="32">
        <f ca="1">((((1+B1175)^(A1175/252))/((1+B1174)^(A1174/252)))^(252/1))-1</f>
        <v>0.127324278047793</v>
      </c>
      <c r="D1175" s="30">
        <v>0.13174830957107808</v>
      </c>
      <c r="E1175" s="31">
        <f ca="1">B1175-D1175</f>
        <v>0</v>
      </c>
    </row>
    <row r="1176" spans="1:5" x14ac:dyDescent="0.25">
      <c r="A1176" s="21">
        <v>1175</v>
      </c>
      <c r="B1176" s="5" cm="1">
        <f t="array" aca="1" ref="B1176" ca="1">interpolexp(A1176,serie_du,Taxas_DI)</f>
        <v>0.13174453705349087</v>
      </c>
      <c r="C1176" s="32">
        <f ca="1">((((1+B1176)^(A1176/252))/((1+B1175)^(A1175/252)))^(252/1))-1</f>
        <v>0.12732426349847525</v>
      </c>
      <c r="D1176" s="30">
        <v>0.13174453705349087</v>
      </c>
      <c r="E1176" s="31">
        <f ca="1">B1176-D1176</f>
        <v>0</v>
      </c>
    </row>
    <row r="1177" spans="1:5" x14ac:dyDescent="0.25">
      <c r="A1177" s="21">
        <v>1176</v>
      </c>
      <c r="B1177" s="5" cm="1">
        <f t="array" aca="1" ref="B1177" ca="1">interpolexp(A1177,serie_du,Taxas_DI)</f>
        <v>0.13174077095188252</v>
      </c>
      <c r="C1177" s="32">
        <f ca="1">((((1+B1177)^(A1177/252))/((1+B1176)^(A1176/252)))^(252/1))-1</f>
        <v>0.12732424896072536</v>
      </c>
      <c r="D1177" s="30">
        <v>0.13174077095188252</v>
      </c>
      <c r="E1177" s="31">
        <f ca="1">B1177-D1177</f>
        <v>0</v>
      </c>
    </row>
    <row r="1178" spans="1:5" x14ac:dyDescent="0.25">
      <c r="A1178" s="21">
        <v>1177</v>
      </c>
      <c r="B1178" s="5" cm="1">
        <f t="array" aca="1" ref="B1178" ca="1">interpolexp(A1178,serie_du,Taxas_DI)</f>
        <v>0.13173701124988835</v>
      </c>
      <c r="C1178" s="32">
        <f ca="1">((((1+B1178)^(A1178/252))/((1+B1177)^(A1177/252)))^(252/1))-1</f>
        <v>0.12732423444712948</v>
      </c>
      <c r="D1178" s="30">
        <v>0.13173701124988835</v>
      </c>
      <c r="E1178" s="31">
        <f ca="1">B1178-D1178</f>
        <v>0</v>
      </c>
    </row>
    <row r="1179" spans="1:5" x14ac:dyDescent="0.25">
      <c r="A1179" s="21">
        <v>1178</v>
      </c>
      <c r="B1179" s="5" cm="1">
        <f t="array" aca="1" ref="B1179" ca="1">interpolexp(A1179,serie_du,Taxas_DI)</f>
        <v>0.13173325793125468</v>
      </c>
      <c r="C1179" s="32">
        <f ca="1">((((1+B1179)^(A1179/252))/((1+B1178)^(A1178/252)))^(252/1))-1</f>
        <v>0.12732422002248578</v>
      </c>
      <c r="D1179" s="30">
        <v>0.13173325793125468</v>
      </c>
      <c r="E1179" s="31">
        <f ca="1">B1179-D1179</f>
        <v>0</v>
      </c>
    </row>
    <row r="1180" spans="1:5" x14ac:dyDescent="0.25">
      <c r="A1180" s="21">
        <v>1179</v>
      </c>
      <c r="B1180" s="5" cm="1">
        <f t="array" aca="1" ref="B1180" ca="1">interpolexp(A1180,serie_du,Taxas_DI)</f>
        <v>0.13172951097972785</v>
      </c>
      <c r="C1180" s="32">
        <f ca="1">((((1+B1180)^(A1180/252))/((1+B1179)^(A1179/252)))^(252/1))-1</f>
        <v>0.12732420562213176</v>
      </c>
      <c r="D1180" s="30">
        <v>0.13172951097972785</v>
      </c>
      <c r="E1180" s="31">
        <f ca="1">B1180-D1180</f>
        <v>0</v>
      </c>
    </row>
    <row r="1181" spans="1:5" x14ac:dyDescent="0.25">
      <c r="A1181" s="21">
        <v>1180</v>
      </c>
      <c r="B1181" s="5" cm="1">
        <f t="array" aca="1" ref="B1181" ca="1">interpolexp(A1181,serie_du,Taxas_DI)</f>
        <v>0.1317257703790764</v>
      </c>
      <c r="C1181" s="32">
        <f ca="1">((((1+B1181)^(A1181/252))/((1+B1180)^(A1180/252)))^(252/1))-1</f>
        <v>0.12732419120705396</v>
      </c>
      <c r="D1181" s="30">
        <v>0.1317257703790764</v>
      </c>
      <c r="E1181" s="31">
        <f ca="1">B1181-D1181</f>
        <v>0</v>
      </c>
    </row>
    <row r="1182" spans="1:5" x14ac:dyDescent="0.25">
      <c r="A1182" s="21">
        <v>1181</v>
      </c>
      <c r="B1182" s="5" cm="1">
        <f t="array" aca="1" ref="B1182" ca="1">interpolexp(A1182,serie_du,Taxas_DI)</f>
        <v>0.1317220361132021</v>
      </c>
      <c r="C1182" s="32">
        <f ca="1">((((1+B1182)^(A1182/252))/((1+B1181)^(A1181/252)))^(252/1))-1</f>
        <v>0.12732417686931052</v>
      </c>
      <c r="D1182" s="30">
        <v>0.1317220361132021</v>
      </c>
      <c r="E1182" s="31">
        <f ca="1">B1182-D1182</f>
        <v>0</v>
      </c>
    </row>
    <row r="1183" spans="1:5" x14ac:dyDescent="0.25">
      <c r="A1183" s="21">
        <v>1182</v>
      </c>
      <c r="B1183" s="5" cm="1">
        <f t="array" aca="1" ref="B1183" ca="1">interpolexp(A1183,serie_du,Taxas_DI)</f>
        <v>0.13171830816602892</v>
      </c>
      <c r="C1183" s="32">
        <f ca="1">((((1+B1183)^(A1183/252))/((1+B1182)^(A1182/252)))^(252/1))-1</f>
        <v>0.12732416257076618</v>
      </c>
      <c r="D1183" s="30">
        <v>0.13171830816602892</v>
      </c>
      <c r="E1183" s="31">
        <f ca="1">B1183-D1183</f>
        <v>0</v>
      </c>
    </row>
    <row r="1184" spans="1:5" x14ac:dyDescent="0.25">
      <c r="A1184" s="21">
        <v>1183</v>
      </c>
      <c r="B1184" s="5" cm="1">
        <f t="array" aca="1" ref="B1184" ca="1">interpolexp(A1184,serie_du,Taxas_DI)</f>
        <v>0.13171458652152523</v>
      </c>
      <c r="C1184" s="32">
        <f ca="1">((((1+B1184)^(A1184/252))/((1+B1183)^(A1183/252)))^(252/1))-1</f>
        <v>0.1273241482995362</v>
      </c>
      <c r="D1184" s="30">
        <v>0.13171458652152523</v>
      </c>
      <c r="E1184" s="31">
        <f ca="1">B1184-D1184</f>
        <v>0</v>
      </c>
    </row>
    <row r="1185" spans="1:5" x14ac:dyDescent="0.25">
      <c r="A1185" s="21">
        <v>1184</v>
      </c>
      <c r="B1185" s="5" cm="1">
        <f t="array" aca="1" ref="B1185" ca="1">interpolexp(A1185,serie_du,Taxas_DI)</f>
        <v>0.13171087116372604</v>
      </c>
      <c r="C1185" s="32">
        <f ca="1">((((1+B1185)^(A1185/252))/((1+B1184)^(A1184/252)))^(252/1))-1</f>
        <v>0.12732413407022625</v>
      </c>
      <c r="D1185" s="30">
        <v>0.13171087116372604</v>
      </c>
      <c r="E1185" s="31">
        <f ca="1">B1185-D1185</f>
        <v>0</v>
      </c>
    </row>
    <row r="1186" spans="1:5" x14ac:dyDescent="0.25">
      <c r="A1186" s="21">
        <v>1185</v>
      </c>
      <c r="B1186" s="5" cm="1">
        <f t="array" aca="1" ref="B1186" ca="1">interpolexp(A1186,serie_du,Taxas_DI)</f>
        <v>0.13170716207671074</v>
      </c>
      <c r="C1186" s="32">
        <f ca="1">((((1+B1186)^(A1186/252))/((1+B1185)^(A1185/252)))^(252/1))-1</f>
        <v>0.12732411987149317</v>
      </c>
      <c r="D1186" s="30">
        <v>0.13170716207671074</v>
      </c>
      <c r="E1186" s="31">
        <f ca="1">B1186-D1186</f>
        <v>0</v>
      </c>
    </row>
    <row r="1187" spans="1:5" x14ac:dyDescent="0.25">
      <c r="A1187" s="21">
        <v>1186</v>
      </c>
      <c r="B1187" s="5" cm="1">
        <f t="array" aca="1" ref="B1187" ca="1">interpolexp(A1187,serie_du,Taxas_DI)</f>
        <v>0.13170345924460314</v>
      </c>
      <c r="C1187" s="32">
        <f ca="1">((((1+B1187)^(A1187/252))/((1+B1186)^(A1186/252)))^(252/1))-1</f>
        <v>0.12732410569225672</v>
      </c>
      <c r="D1187" s="30">
        <v>0.13170345924460314</v>
      </c>
      <c r="E1187" s="31">
        <f ca="1">B1187-D1187</f>
        <v>0</v>
      </c>
    </row>
    <row r="1188" spans="1:5" x14ac:dyDescent="0.25">
      <c r="A1188" s="21">
        <v>1187</v>
      </c>
      <c r="B1188" s="5" cm="1">
        <f t="array" aca="1" ref="B1188" ca="1">interpolexp(A1188,serie_du,Taxas_DI)</f>
        <v>0.13169976265161587</v>
      </c>
      <c r="C1188" s="32">
        <f ca="1">((((1+B1188)^(A1188/252))/((1+B1187)^(A1187/252)))^(252/1))-1</f>
        <v>0.12732409157416735</v>
      </c>
      <c r="D1188" s="30">
        <v>0.13169976265161587</v>
      </c>
      <c r="E1188" s="31">
        <f ca="1">B1188-D1188</f>
        <v>0</v>
      </c>
    </row>
    <row r="1189" spans="1:5" x14ac:dyDescent="0.25">
      <c r="A1189" s="21">
        <v>1188</v>
      </c>
      <c r="B1189" s="5" cm="1">
        <f t="array" aca="1" ref="B1189" ca="1">interpolexp(A1189,serie_du,Taxas_DI)</f>
        <v>0.13169607228198377</v>
      </c>
      <c r="C1189" s="32">
        <f ca="1">((((1+B1189)^(A1189/252))/((1+B1188)^(A1188/252)))^(252/1))-1</f>
        <v>0.12732407748040941</v>
      </c>
      <c r="D1189" s="30">
        <v>0.13169607228198377</v>
      </c>
      <c r="E1189" s="31">
        <f ca="1">B1189-D1189</f>
        <v>0</v>
      </c>
    </row>
    <row r="1190" spans="1:5" x14ac:dyDescent="0.25">
      <c r="A1190" s="21">
        <v>1189</v>
      </c>
      <c r="B1190" s="5" cm="1">
        <f t="array" aca="1" ref="B1190" ca="1">interpolexp(A1190,serie_du,Taxas_DI)</f>
        <v>0.13169238812000827</v>
      </c>
      <c r="C1190" s="32">
        <f ca="1">((((1+B1190)^(A1190/252))/((1+B1189)^(A1189/252)))^(252/1))-1</f>
        <v>0.12732406342701008</v>
      </c>
      <c r="D1190" s="30">
        <v>0.13169238812000827</v>
      </c>
      <c r="E1190" s="31">
        <f ca="1">B1190-D1190</f>
        <v>0</v>
      </c>
    </row>
    <row r="1191" spans="1:5" x14ac:dyDescent="0.25">
      <c r="A1191" s="21">
        <v>1190</v>
      </c>
      <c r="B1191" s="5" cm="1">
        <f t="array" aca="1" ref="B1191" ca="1">interpolexp(A1191,serie_du,Taxas_DI)</f>
        <v>0.13168871015003525</v>
      </c>
      <c r="C1191" s="32">
        <f ca="1">((((1+B1191)^(A1191/252))/((1+B1190)^(A1190/252)))^(252/1))-1</f>
        <v>0.12732404940392539</v>
      </c>
      <c r="D1191" s="30">
        <v>0.13168871015003525</v>
      </c>
      <c r="E1191" s="31">
        <f ca="1">B1191-D1191</f>
        <v>0</v>
      </c>
    </row>
    <row r="1192" spans="1:5" x14ac:dyDescent="0.25">
      <c r="A1192" s="21">
        <v>1191</v>
      </c>
      <c r="B1192" s="5" cm="1">
        <f t="array" aca="1" ref="B1192" ca="1">interpolexp(A1192,serie_du,Taxas_DI)</f>
        <v>0.13168503835647716</v>
      </c>
      <c r="C1192" s="32">
        <f ca="1">((((1+B1192)^(A1192/252))/((1+B1191)^(A1191/252)))^(252/1))-1</f>
        <v>0.12732403542769521</v>
      </c>
      <c r="D1192" s="30">
        <v>0.13168503835647716</v>
      </c>
      <c r="E1192" s="31">
        <f ca="1">B1192-D1192</f>
        <v>0</v>
      </c>
    </row>
    <row r="1193" spans="1:5" x14ac:dyDescent="0.25">
      <c r="A1193" s="21">
        <v>1192</v>
      </c>
      <c r="B1193" s="5" cm="1">
        <f t="array" aca="1" ref="B1193" ca="1">interpolexp(A1193,serie_du,Taxas_DI)</f>
        <v>0.13168137272376867</v>
      </c>
      <c r="C1193" s="32">
        <f ca="1">((((1+B1193)^(A1193/252))/((1+B1192)^(A1192/252)))^(252/1))-1</f>
        <v>0.12732402146245558</v>
      </c>
      <c r="D1193" s="30">
        <v>0.13168137272376867</v>
      </c>
      <c r="E1193" s="31">
        <f ca="1">B1193-D1193</f>
        <v>0</v>
      </c>
    </row>
    <row r="1194" spans="1:5" x14ac:dyDescent="0.25">
      <c r="A1194" s="21">
        <v>1193</v>
      </c>
      <c r="B1194" s="5" cm="1">
        <f t="array" aca="1" ref="B1194" ca="1">interpolexp(A1194,serie_du,Taxas_DI)</f>
        <v>0.13167771323643329</v>
      </c>
      <c r="C1194" s="32">
        <f ca="1">((((1+B1194)^(A1194/252))/((1+B1193)^(A1193/252)))^(252/1))-1</f>
        <v>0.12732400755161555</v>
      </c>
      <c r="D1194" s="30">
        <v>0.13167771323643329</v>
      </c>
      <c r="E1194" s="31">
        <f ca="1">B1194-D1194</f>
        <v>0</v>
      </c>
    </row>
    <row r="1195" spans="1:5" x14ac:dyDescent="0.25">
      <c r="A1195" s="21">
        <v>1194</v>
      </c>
      <c r="B1195" s="5" cm="1">
        <f t="array" aca="1" ref="B1195" ca="1">interpolexp(A1195,serie_du,Taxas_DI)</f>
        <v>0.1316740598790167</v>
      </c>
      <c r="C1195" s="32">
        <f ca="1">((((1+B1195)^(A1195/252))/((1+B1194)^(A1194/252)))^(252/1))-1</f>
        <v>0.12732399365974234</v>
      </c>
      <c r="D1195" s="30">
        <v>0.1316740598790167</v>
      </c>
      <c r="E1195" s="31">
        <f ca="1">B1195-D1195</f>
        <v>0</v>
      </c>
    </row>
    <row r="1196" spans="1:5" x14ac:dyDescent="0.25">
      <c r="A1196" s="21">
        <v>1195</v>
      </c>
      <c r="B1196" s="5" cm="1">
        <f t="array" aca="1" ref="B1196" ca="1">interpolexp(A1196,serie_du,Taxas_DI)</f>
        <v>0.13167041263615342</v>
      </c>
      <c r="C1196" s="32">
        <f ca="1">((((1+B1196)^(A1196/252))/((1+B1195)^(A1195/252)))^(252/1))-1</f>
        <v>0.12732397983092181</v>
      </c>
      <c r="D1196" s="30">
        <v>0.13167041263615342</v>
      </c>
      <c r="E1196" s="31">
        <f ca="1">B1196-D1196</f>
        <v>0</v>
      </c>
    </row>
    <row r="1197" spans="1:5" x14ac:dyDescent="0.25">
      <c r="A1197" s="21">
        <v>1196</v>
      </c>
      <c r="B1197" s="5" cm="1">
        <f t="array" aca="1" ref="B1197" ca="1">interpolexp(A1197,serie_du,Taxas_DI)</f>
        <v>0.13166677149247796</v>
      </c>
      <c r="C1197" s="32">
        <f ca="1">((((1+B1197)^(A1197/252))/((1+B1196)^(A1196/252)))^(252/1))-1</f>
        <v>0.12732396600389206</v>
      </c>
      <c r="D1197" s="30">
        <v>0.13166677149247796</v>
      </c>
      <c r="E1197" s="31">
        <f ca="1">B1197-D1197</f>
        <v>0</v>
      </c>
    </row>
    <row r="1198" spans="1:5" x14ac:dyDescent="0.25">
      <c r="A1198" s="21">
        <v>1197</v>
      </c>
      <c r="B1198" s="5" cm="1">
        <f t="array" aca="1" ref="B1198" ca="1">interpolexp(A1198,serie_du,Taxas_DI)</f>
        <v>0.13166313643273586</v>
      </c>
      <c r="C1198" s="32">
        <f ca="1">((((1+B1198)^(A1198/252))/((1+B1197)^(A1197/252)))^(252/1))-1</f>
        <v>0.12732395224945559</v>
      </c>
      <c r="D1198" s="30">
        <v>0.13166313643273586</v>
      </c>
      <c r="E1198" s="31">
        <f ca="1">B1198-D1198</f>
        <v>0</v>
      </c>
    </row>
    <row r="1199" spans="1:5" x14ac:dyDescent="0.25">
      <c r="A1199" s="21">
        <v>1198</v>
      </c>
      <c r="B1199" s="5" cm="1">
        <f t="array" aca="1" ref="B1199" ca="1">interpolexp(A1199,serie_du,Taxas_DI)</f>
        <v>0.13165950744165045</v>
      </c>
      <c r="C1199" s="32">
        <f ca="1">((((1+B1199)^(A1199/252))/((1+B1198)^(A1198/252)))^(252/1))-1</f>
        <v>0.12732393848049517</v>
      </c>
      <c r="D1199" s="30">
        <v>0.13165950744165045</v>
      </c>
      <c r="E1199" s="31">
        <f ca="1">B1199-D1199</f>
        <v>0</v>
      </c>
    </row>
    <row r="1200" spans="1:5" x14ac:dyDescent="0.25">
      <c r="A1200" s="21">
        <v>1199</v>
      </c>
      <c r="B1200" s="5" cm="1">
        <f t="array" aca="1" ref="B1200" ca="1">interpolexp(A1200,serie_du,Taxas_DI)</f>
        <v>0.13165588450407828</v>
      </c>
      <c r="C1200" s="32">
        <f ca="1">((((1+B1200)^(A1200/252))/((1+B1199)^(A1199/252)))^(252/1))-1</f>
        <v>0.12732392479503885</v>
      </c>
      <c r="D1200" s="30">
        <v>0.13165588450407828</v>
      </c>
      <c r="E1200" s="31">
        <f ca="1">B1200-D1200</f>
        <v>0</v>
      </c>
    </row>
    <row r="1201" spans="1:5" x14ac:dyDescent="0.25">
      <c r="A1201" s="21">
        <v>1200</v>
      </c>
      <c r="B1201" s="5" cm="1">
        <f t="array" aca="1" ref="B1201" ca="1">interpolexp(A1201,serie_du,Taxas_DI)</f>
        <v>0.13165226760485371</v>
      </c>
      <c r="C1201" s="32">
        <f ca="1">((((1+B1201)^(A1201/252))/((1+B1200)^(A1200/252)))^(252/1))-1</f>
        <v>0.12732391110594343</v>
      </c>
      <c r="D1201" s="30">
        <v>0.13165226760485371</v>
      </c>
      <c r="E1201" s="31">
        <f ca="1">B1201-D1201</f>
        <v>0</v>
      </c>
    </row>
    <row r="1202" spans="1:5" x14ac:dyDescent="0.25">
      <c r="A1202" s="21">
        <v>1201</v>
      </c>
      <c r="B1202" s="5" cm="1">
        <f t="array" aca="1" ref="B1202" ca="1">interpolexp(A1202,serie_du,Taxas_DI)</f>
        <v>0.13164865672889992</v>
      </c>
      <c r="C1202" s="32">
        <f ca="1">((((1+B1202)^(A1202/252))/((1+B1201)^(A1201/252)))^(252/1))-1</f>
        <v>0.12732389745923189</v>
      </c>
      <c r="D1202" s="30">
        <v>0.13164865672889992</v>
      </c>
      <c r="E1202" s="31">
        <f ca="1">B1202-D1202</f>
        <v>0</v>
      </c>
    </row>
    <row r="1203" spans="1:5" x14ac:dyDescent="0.25">
      <c r="A1203" s="21">
        <v>1202</v>
      </c>
      <c r="B1203" s="5" cm="1">
        <f t="array" aca="1" ref="B1203" ca="1">interpolexp(A1203,serie_du,Taxas_DI)</f>
        <v>0.13164505186120667</v>
      </c>
      <c r="C1203" s="32">
        <f ca="1">((((1+B1203)^(A1203/252))/((1+B1202)^(A1202/252)))^(252/1))-1</f>
        <v>0.1273238838741102</v>
      </c>
      <c r="D1203" s="30">
        <v>0.13164505186120667</v>
      </c>
      <c r="E1203" s="31">
        <f ca="1">B1203-D1203</f>
        <v>0</v>
      </c>
    </row>
    <row r="1204" spans="1:5" x14ac:dyDescent="0.25">
      <c r="A1204" s="21">
        <v>1203</v>
      </c>
      <c r="B1204" s="5" cm="1">
        <f t="array" aca="1" ref="B1204" ca="1">interpolexp(A1204,serie_du,Taxas_DI)</f>
        <v>0.13164145298676377</v>
      </c>
      <c r="C1204" s="32">
        <f ca="1">((((1+B1204)^(A1204/252))/((1+B1203)^(A1203/252)))^(252/1))-1</f>
        <v>0.12732387029092584</v>
      </c>
      <c r="D1204" s="30">
        <v>0.13164145298676377</v>
      </c>
      <c r="E1204" s="31">
        <f ca="1">B1204-D1204</f>
        <v>0</v>
      </c>
    </row>
    <row r="1205" spans="1:5" x14ac:dyDescent="0.25">
      <c r="A1205" s="21">
        <v>1204</v>
      </c>
      <c r="B1205" s="5" cm="1">
        <f t="array" aca="1" ref="B1205" ca="1">interpolexp(A1205,serie_du,Taxas_DI)</f>
        <v>0.13163786009064982</v>
      </c>
      <c r="C1205" s="32">
        <f ca="1">((((1+B1205)^(A1205/252))/((1+B1204)^(A1204/252)))^(252/1))-1</f>
        <v>0.12732385675616742</v>
      </c>
      <c r="D1205" s="30">
        <v>0.13163786009064982</v>
      </c>
      <c r="E1205" s="31">
        <f ca="1">B1205-D1205</f>
        <v>0</v>
      </c>
    </row>
    <row r="1206" spans="1:5" x14ac:dyDescent="0.25">
      <c r="A1206" s="21">
        <v>1205</v>
      </c>
      <c r="B1206" s="5" cm="1">
        <f t="array" aca="1" ref="B1206" ca="1">interpolexp(A1206,serie_du,Taxas_DI)</f>
        <v>0.13163427315796561</v>
      </c>
      <c r="C1206" s="32">
        <f ca="1">((((1+B1206)^(A1206/252))/((1+B1205)^(A1205/252)))^(252/1))-1</f>
        <v>0.12732384323697943</v>
      </c>
      <c r="D1206" s="30">
        <v>0.13163427315796561</v>
      </c>
      <c r="E1206" s="31">
        <f ca="1">B1206-D1206</f>
        <v>0</v>
      </c>
    </row>
    <row r="1207" spans="1:5" x14ac:dyDescent="0.25">
      <c r="A1207" s="21">
        <v>1206</v>
      </c>
      <c r="B1207" s="5" cm="1">
        <f t="array" aca="1" ref="B1207" ca="1">interpolexp(A1207,serie_du,Taxas_DI)</f>
        <v>0.13163069217390078</v>
      </c>
      <c r="C1207" s="32">
        <f ca="1">((((1+B1207)^(A1207/252))/((1+B1206)^(A1206/252)))^(252/1))-1</f>
        <v>0.12732382978053636</v>
      </c>
      <c r="D1207" s="30">
        <v>0.13163069217390078</v>
      </c>
      <c r="E1207" s="31">
        <f ca="1">B1207-D1207</f>
        <v>0</v>
      </c>
    </row>
    <row r="1208" spans="1:5" x14ac:dyDescent="0.25">
      <c r="A1208" s="21">
        <v>1207</v>
      </c>
      <c r="B1208" s="5" cm="1">
        <f t="array" aca="1" ref="B1208" ca="1">interpolexp(A1208,serie_du,Taxas_DI)</f>
        <v>0.13162711712366715</v>
      </c>
      <c r="C1208" s="32">
        <f ca="1">((((1+B1208)^(A1208/252))/((1+B1207)^(A1207/252)))^(252/1))-1</f>
        <v>0.12732381635445744</v>
      </c>
      <c r="D1208" s="30">
        <v>0.13162711712366715</v>
      </c>
      <c r="E1208" s="31">
        <f ca="1">B1208-D1208</f>
        <v>0</v>
      </c>
    </row>
    <row r="1209" spans="1:5" x14ac:dyDescent="0.25">
      <c r="A1209" s="21">
        <v>1208</v>
      </c>
      <c r="B1209" s="5" cm="1">
        <f t="array" aca="1" ref="B1209" ca="1">interpolexp(A1209,serie_du,Taxas_DI)</f>
        <v>0.13162354799249876</v>
      </c>
      <c r="C1209" s="32">
        <f ca="1">((((1+B1209)^(A1209/252))/((1+B1208)^(A1208/252)))^(252/1))-1</f>
        <v>0.12732380292629819</v>
      </c>
      <c r="D1209" s="30">
        <v>0.13162354799249876</v>
      </c>
      <c r="E1209" s="31">
        <f ca="1">B1209-D1209</f>
        <v>0</v>
      </c>
    </row>
    <row r="1210" spans="1:5" x14ac:dyDescent="0.25">
      <c r="A1210" s="21">
        <v>1209</v>
      </c>
      <c r="B1210" s="5" cm="1">
        <f t="array" aca="1" ref="B1210" ca="1">interpolexp(A1210,serie_du,Taxas_DI)</f>
        <v>0.13161998476574066</v>
      </c>
      <c r="C1210" s="32">
        <f ca="1">((((1+B1210)^(A1210/252))/((1+B1209)^(A1209/252)))^(252/1))-1</f>
        <v>0.1273237895710122</v>
      </c>
      <c r="D1210" s="30">
        <v>0.13161998476574066</v>
      </c>
      <c r="E1210" s="31">
        <f ca="1">B1210-D1210</f>
        <v>0</v>
      </c>
    </row>
    <row r="1211" spans="1:5" x14ac:dyDescent="0.25">
      <c r="A1211" s="21">
        <v>1210</v>
      </c>
      <c r="B1211" s="5" cm="1">
        <f t="array" aca="1" ref="B1211" ca="1">interpolexp(A1211,serie_du,Taxas_DI)</f>
        <v>0.13161642742871571</v>
      </c>
      <c r="C1211" s="32">
        <f ca="1">((((1+B1211)^(A1211/252))/((1+B1210)^(A1210/252)))^(252/1))-1</f>
        <v>0.12732377620320312</v>
      </c>
      <c r="D1211" s="30">
        <v>0.13161642742871571</v>
      </c>
      <c r="E1211" s="31">
        <f ca="1">B1211-D1211</f>
        <v>0</v>
      </c>
    </row>
    <row r="1212" spans="1:5" x14ac:dyDescent="0.25">
      <c r="A1212" s="21">
        <v>1211</v>
      </c>
      <c r="B1212" s="5" cm="1">
        <f t="array" aca="1" ref="B1212" ca="1">interpolexp(A1212,serie_du,Taxas_DI)</f>
        <v>0.13161287596687998</v>
      </c>
      <c r="C1212" s="32">
        <f ca="1">((((1+B1212)^(A1212/252))/((1+B1211)^(A1211/252)))^(252/1))-1</f>
        <v>0.12732376292497993</v>
      </c>
      <c r="D1212" s="30">
        <v>0.13161287596687998</v>
      </c>
      <c r="E1212" s="31">
        <f ca="1">B1212-D1212</f>
        <v>0</v>
      </c>
    </row>
    <row r="1213" spans="1:5" x14ac:dyDescent="0.25">
      <c r="A1213" s="21">
        <v>1212</v>
      </c>
      <c r="B1213" s="5" cm="1">
        <f t="array" aca="1" ref="B1213" ca="1">interpolexp(A1213,serie_du,Taxas_DI)</f>
        <v>0.13160933036566735</v>
      </c>
      <c r="C1213" s="32">
        <f ca="1">((((1+B1213)^(A1213/252))/((1+B1212)^(A1212/252)))^(252/1))-1</f>
        <v>0.12732374965153648</v>
      </c>
      <c r="D1213" s="30">
        <v>0.13160933036566735</v>
      </c>
      <c r="E1213" s="31">
        <f ca="1">B1213-D1213</f>
        <v>0</v>
      </c>
    </row>
    <row r="1214" spans="1:5" x14ac:dyDescent="0.25">
      <c r="A1214" s="21">
        <v>1213</v>
      </c>
      <c r="B1214" s="5" cm="1">
        <f t="array" aca="1" ref="B1214" ca="1">interpolexp(A1214,serie_du,Taxas_DI)</f>
        <v>0.13160579061057831</v>
      </c>
      <c r="C1214" s="32">
        <f ca="1">((((1+B1214)^(A1214/252))/((1+B1213)^(A1213/252)))^(252/1))-1</f>
        <v>0.12732373640529704</v>
      </c>
      <c r="D1214" s="30">
        <v>0.13160579061057831</v>
      </c>
      <c r="E1214" s="31">
        <f ca="1">B1214-D1214</f>
        <v>0</v>
      </c>
    </row>
    <row r="1215" spans="1:5" x14ac:dyDescent="0.25">
      <c r="A1215" s="21">
        <v>1214</v>
      </c>
      <c r="B1215" s="5" cm="1">
        <f t="array" aca="1" ref="B1215" ca="1">interpolexp(A1215,serie_du,Taxas_DI)</f>
        <v>0.13160225668717995</v>
      </c>
      <c r="C1215" s="32">
        <f ca="1">((((1+B1215)^(A1215/252))/((1+B1214)^(A1214/252)))^(252/1))-1</f>
        <v>0.12732372320867347</v>
      </c>
      <c r="D1215" s="30">
        <v>0.13160225668717995</v>
      </c>
      <c r="E1215" s="31">
        <f ca="1">B1215-D1215</f>
        <v>0</v>
      </c>
    </row>
    <row r="1216" spans="1:5" x14ac:dyDescent="0.25">
      <c r="A1216" s="21">
        <v>1215</v>
      </c>
      <c r="B1216" s="5" cm="1">
        <f t="array" aca="1" ref="B1216" ca="1">interpolexp(A1216,serie_du,Taxas_DI)</f>
        <v>0.13159872858103938</v>
      </c>
      <c r="C1216" s="32">
        <f ca="1">((((1+B1216)^(A1216/252))/((1+B1215)^(A1215/252)))^(252/1))-1</f>
        <v>0.12732371000432297</v>
      </c>
      <c r="D1216" s="30">
        <v>0.13159872858103938</v>
      </c>
      <c r="E1216" s="31">
        <f ca="1">B1216-D1216</f>
        <v>0</v>
      </c>
    </row>
    <row r="1217" spans="1:5" x14ac:dyDescent="0.25">
      <c r="A1217" s="21">
        <v>1216</v>
      </c>
      <c r="B1217" s="5" cm="1">
        <f t="array" aca="1" ref="B1217" ca="1">interpolexp(A1217,serie_du,Taxas_DI)</f>
        <v>0.13159520627785692</v>
      </c>
      <c r="C1217" s="32">
        <f ca="1">((((1+B1217)^(A1217/252))/((1+B1216)^(A1216/252)))^(252/1))-1</f>
        <v>0.12732369689584688</v>
      </c>
      <c r="D1217" s="30">
        <v>0.13159520627785692</v>
      </c>
      <c r="E1217" s="31">
        <f ca="1">B1217-D1217</f>
        <v>0</v>
      </c>
    </row>
    <row r="1218" spans="1:5" x14ac:dyDescent="0.25">
      <c r="A1218" s="21">
        <v>1217</v>
      </c>
      <c r="B1218" s="5" cm="1">
        <f t="array" aca="1" ref="B1218" ca="1">interpolexp(A1218,serie_du,Taxas_DI)</f>
        <v>0.1315916897632885</v>
      </c>
      <c r="C1218" s="32">
        <f ca="1">((((1+B1218)^(A1218/252))/((1+B1217)^(A1217/252)))^(252/1))-1</f>
        <v>0.12732368377236325</v>
      </c>
      <c r="D1218" s="30">
        <v>0.1315916897632885</v>
      </c>
      <c r="E1218" s="31">
        <f ca="1">B1218-D1218</f>
        <v>0</v>
      </c>
    </row>
    <row r="1219" spans="1:5" x14ac:dyDescent="0.25">
      <c r="A1219" s="21">
        <v>1218</v>
      </c>
      <c r="B1219" s="5" cm="1">
        <f t="array" aca="1" ref="B1219" ca="1">interpolexp(A1219,serie_du,Taxas_DI)</f>
        <v>0.13158817902307884</v>
      </c>
      <c r="C1219" s="32">
        <f ca="1">((((1+B1219)^(A1219/252))/((1+B1218)^(A1218/252)))^(252/1))-1</f>
        <v>0.12732367068441186</v>
      </c>
      <c r="D1219" s="30">
        <v>0.13158817902307884</v>
      </c>
      <c r="E1219" s="31">
        <f ca="1">B1219-D1219</f>
        <v>0</v>
      </c>
    </row>
    <row r="1220" spans="1:5" x14ac:dyDescent="0.25">
      <c r="A1220" s="21">
        <v>1219</v>
      </c>
      <c r="B1220" s="5" cm="1">
        <f t="array" aca="1" ref="B1220" ca="1">interpolexp(A1220,serie_du,Taxas_DI)</f>
        <v>0.13158467404303931</v>
      </c>
      <c r="C1220" s="32">
        <f ca="1">((((1+B1220)^(A1220/252))/((1+B1219)^(A1219/252)))^(252/1))-1</f>
        <v>0.12732365765587939</v>
      </c>
      <c r="D1220" s="30">
        <v>0.13158467404303931</v>
      </c>
      <c r="E1220" s="31">
        <f ca="1">B1220-D1220</f>
        <v>0</v>
      </c>
    </row>
    <row r="1221" spans="1:5" x14ac:dyDescent="0.25">
      <c r="A1221" s="21">
        <v>1220</v>
      </c>
      <c r="B1221" s="5" cm="1">
        <f t="array" aca="1" ref="B1221" ca="1">interpolexp(A1221,serie_du,Taxas_DI)</f>
        <v>0.13158337448981872</v>
      </c>
      <c r="C1221" s="32">
        <f ca="1">((((1+B1221)^(A1221/252))/((1+B1220)^(A1220/252)))^(252/1))-1</f>
        <v>0.13000032837080955</v>
      </c>
      <c r="D1221" s="30">
        <v>0.13158337448981872</v>
      </c>
      <c r="E1221" s="31">
        <f ca="1">B1221-D1221</f>
        <v>0</v>
      </c>
    </row>
    <row r="1222" spans="1:5" x14ac:dyDescent="0.25">
      <c r="A1222" s="21">
        <v>1221</v>
      </c>
      <c r="B1222" s="5" cm="1">
        <f t="array" aca="1" ref="B1222" ca="1">interpolexp(A1222,serie_du,Taxas_DI)</f>
        <v>0.13158207706527314</v>
      </c>
      <c r="C1222" s="32">
        <f ca="1">((((1+B1222)^(A1222/252))/((1+B1221)^(A1221/252)))^(252/1))-1</f>
        <v>0.13000032656130078</v>
      </c>
      <c r="D1222" s="30">
        <v>0.13158207706527314</v>
      </c>
      <c r="E1222" s="31">
        <f ca="1">B1222-D1222</f>
        <v>0</v>
      </c>
    </row>
    <row r="1223" spans="1:5" x14ac:dyDescent="0.25">
      <c r="A1223" s="21">
        <v>1222</v>
      </c>
      <c r="B1223" s="5" cm="1">
        <f t="array" aca="1" ref="B1223" ca="1">interpolexp(A1223,serie_du,Taxas_DI)</f>
        <v>0.13158078176420673</v>
      </c>
      <c r="C1223" s="32">
        <f ca="1">((((1+B1223)^(A1223/252))/((1+B1222)^(A1222/252)))^(252/1))-1</f>
        <v>0.13000032479293155</v>
      </c>
      <c r="D1223" s="30">
        <v>0.13158078176420673</v>
      </c>
      <c r="E1223" s="31">
        <f ca="1">B1223-D1223</f>
        <v>0</v>
      </c>
    </row>
    <row r="1224" spans="1:5" x14ac:dyDescent="0.25">
      <c r="A1224" s="21">
        <v>1223</v>
      </c>
      <c r="B1224" s="5" cm="1">
        <f t="array" aca="1" ref="B1224" ca="1">interpolexp(A1224,serie_du,Taxas_DI)</f>
        <v>0.13157948858137924</v>
      </c>
      <c r="C1224" s="32">
        <f ca="1">((((1+B1224)^(A1224/252))/((1+B1223)^(A1223/252)))^(252/1))-1</f>
        <v>0.13000032299058817</v>
      </c>
      <c r="D1224" s="30">
        <v>0.13157948858137924</v>
      </c>
      <c r="E1224" s="31">
        <f ca="1">B1224-D1224</f>
        <v>0</v>
      </c>
    </row>
    <row r="1225" spans="1:5" x14ac:dyDescent="0.25">
      <c r="A1225" s="21">
        <v>1224</v>
      </c>
      <c r="B1225" s="5" cm="1">
        <f t="array" aca="1" ref="B1225" ca="1">interpolexp(A1225,serie_du,Taxas_DI)</f>
        <v>0.13157819751161703</v>
      </c>
      <c r="C1225" s="32">
        <f ca="1">((((1+B1225)^(A1225/252))/((1+B1224)^(A1224/252)))^(252/1))-1</f>
        <v>0.13000032121480376</v>
      </c>
      <c r="D1225" s="30">
        <v>0.13157819751161703</v>
      </c>
      <c r="E1225" s="31">
        <f ca="1">B1225-D1225</f>
        <v>0</v>
      </c>
    </row>
    <row r="1226" spans="1:5" x14ac:dyDescent="0.25">
      <c r="A1226" s="21">
        <v>1225</v>
      </c>
      <c r="B1226" s="5" cm="1">
        <f t="array" aca="1" ref="B1226" ca="1">interpolexp(A1226,serie_du,Taxas_DI)</f>
        <v>0.13157690854972426</v>
      </c>
      <c r="C1226" s="32">
        <f ca="1">((((1+B1226)^(A1226/252))/((1+B1225)^(A1225/252)))^(252/1))-1</f>
        <v>0.13000031941783496</v>
      </c>
      <c r="D1226" s="30">
        <v>0.13157690854972426</v>
      </c>
      <c r="E1226" s="31">
        <f ca="1">B1226-D1226</f>
        <v>0</v>
      </c>
    </row>
    <row r="1227" spans="1:5" x14ac:dyDescent="0.25">
      <c r="A1227" s="21">
        <v>1226</v>
      </c>
      <c r="B1227" s="5" cm="1">
        <f t="array" aca="1" ref="B1227" ca="1">interpolexp(A1227,serie_du,Taxas_DI)</f>
        <v>0.13157562169057169</v>
      </c>
      <c r="C1227" s="32">
        <f ca="1">((((1+B1227)^(A1227/252))/((1+B1226)^(A1226/252)))^(252/1))-1</f>
        <v>0.13000031766034348</v>
      </c>
      <c r="D1227" s="30">
        <v>0.13157562169057169</v>
      </c>
      <c r="E1227" s="31">
        <f ca="1">B1227-D1227</f>
        <v>0</v>
      </c>
    </row>
    <row r="1228" spans="1:5" x14ac:dyDescent="0.25">
      <c r="A1228" s="21">
        <v>1227</v>
      </c>
      <c r="B1228" s="5" cm="1">
        <f t="array" aca="1" ref="B1228" ca="1">interpolexp(A1228,serie_du,Taxas_DI)</f>
        <v>0.13157433692900788</v>
      </c>
      <c r="C1228" s="32">
        <f ca="1">((((1+B1228)^(A1228/252))/((1+B1227)^(A1227/252)))^(252/1))-1</f>
        <v>0.13000031589462724</v>
      </c>
      <c r="D1228" s="30">
        <v>0.13157433692900788</v>
      </c>
      <c r="E1228" s="31">
        <f ca="1">B1228-D1228</f>
        <v>0</v>
      </c>
    </row>
    <row r="1229" spans="1:5" x14ac:dyDescent="0.25">
      <c r="A1229" s="21">
        <v>1228</v>
      </c>
      <c r="B1229" s="5" cm="1">
        <f t="array" aca="1" ref="B1229" ca="1">interpolexp(A1229,serie_du,Taxas_DI)</f>
        <v>0.13157305425992583</v>
      </c>
      <c r="C1229" s="32">
        <f ca="1">((((1+B1229)^(A1229/252))/((1+B1228)^(A1228/252)))^(252/1))-1</f>
        <v>0.1300003141545587</v>
      </c>
      <c r="D1229" s="30">
        <v>0.13157305425992583</v>
      </c>
      <c r="E1229" s="31">
        <f ca="1">B1229-D1229</f>
        <v>0</v>
      </c>
    </row>
    <row r="1230" spans="1:5" x14ac:dyDescent="0.25">
      <c r="A1230" s="21">
        <v>1229</v>
      </c>
      <c r="B1230" s="5" cm="1">
        <f t="array" aca="1" ref="B1230" ca="1">interpolexp(A1230,serie_du,Taxas_DI)</f>
        <v>0.13157177367817408</v>
      </c>
      <c r="C1230" s="32">
        <f ca="1">((((1+B1230)^(A1230/252))/((1+B1229)^(A1229/252)))^(252/1))-1</f>
        <v>0.13000031236538612</v>
      </c>
      <c r="D1230" s="30">
        <v>0.13157177367817408</v>
      </c>
      <c r="E1230" s="31">
        <f ca="1">B1230-D1230</f>
        <v>0</v>
      </c>
    </row>
    <row r="1231" spans="1:5" x14ac:dyDescent="0.25">
      <c r="A1231" s="21">
        <v>1230</v>
      </c>
      <c r="B1231" s="5" cm="1">
        <f t="array" aca="1" ref="B1231" ca="1">interpolexp(A1231,serie_du,Taxas_DI)</f>
        <v>0.13157049517869002</v>
      </c>
      <c r="C1231" s="32">
        <f ca="1">((((1+B1231)^(A1231/252))/((1+B1230)^(A1230/252)))^(252/1))-1</f>
        <v>0.13000031061538397</v>
      </c>
      <c r="D1231" s="30">
        <v>0.13157049517869002</v>
      </c>
      <c r="E1231" s="31">
        <f ca="1">B1231-D1231</f>
        <v>0</v>
      </c>
    </row>
    <row r="1232" spans="1:5" x14ac:dyDescent="0.25">
      <c r="A1232" s="21">
        <v>1231</v>
      </c>
      <c r="B1232" s="5" cm="1">
        <f t="array" aca="1" ref="B1232" ca="1">interpolexp(A1232,serie_du,Taxas_DI)</f>
        <v>0.13156921875638883</v>
      </c>
      <c r="C1232" s="32">
        <f ca="1">((((1+B1232)^(A1232/252))/((1+B1231)^(A1231/252)))^(252/1))-1</f>
        <v>0.1300003088570687</v>
      </c>
      <c r="D1232" s="30">
        <v>0.13156921875638883</v>
      </c>
      <c r="E1232" s="31">
        <f ca="1">B1232-D1232</f>
        <v>0</v>
      </c>
    </row>
    <row r="1233" spans="1:5" x14ac:dyDescent="0.25">
      <c r="A1233" s="21">
        <v>1232</v>
      </c>
      <c r="B1233" s="5" cm="1">
        <f t="array" aca="1" ref="B1233" ca="1">interpolexp(A1233,serie_du,Taxas_DI)</f>
        <v>0.1315679444062301</v>
      </c>
      <c r="C1233" s="32">
        <f ca="1">((((1+B1233)^(A1233/252))/((1+B1232)^(A1232/252)))^(252/1))-1</f>
        <v>0.13000030712489496</v>
      </c>
      <c r="D1233" s="30">
        <v>0.1315679444062301</v>
      </c>
      <c r="E1233" s="31">
        <f ca="1">B1233-D1233</f>
        <v>0</v>
      </c>
    </row>
    <row r="1234" spans="1:5" x14ac:dyDescent="0.25">
      <c r="A1234" s="21">
        <v>1233</v>
      </c>
      <c r="B1234" s="5" cm="1">
        <f t="array" aca="1" ref="B1234" ca="1">interpolexp(A1234,serie_du,Taxas_DI)</f>
        <v>0.13156667212315121</v>
      </c>
      <c r="C1234" s="32">
        <f ca="1">((((1+B1234)^(A1234/252))/((1+B1233)^(A1233/252)))^(252/1))-1</f>
        <v>0.13000030537113605</v>
      </c>
      <c r="D1234" s="30">
        <v>0.13156667212315121</v>
      </c>
      <c r="E1234" s="31">
        <f ca="1">B1234-D1234</f>
        <v>0</v>
      </c>
    </row>
    <row r="1235" spans="1:5" x14ac:dyDescent="0.25">
      <c r="A1235" s="21">
        <v>1234</v>
      </c>
      <c r="B1235" s="5" cm="1">
        <f t="array" aca="1" ref="B1235" ca="1">interpolexp(A1235,serie_du,Taxas_DI)</f>
        <v>0.13156540190213395</v>
      </c>
      <c r="C1235" s="32">
        <f ca="1">((((1+B1235)^(A1235/252))/((1+B1234)^(A1234/252)))^(252/1))-1</f>
        <v>0.13000030363057724</v>
      </c>
      <c r="D1235" s="30">
        <v>0.13156540190213395</v>
      </c>
      <c r="E1235" s="31">
        <f ca="1">B1235-D1235</f>
        <v>0</v>
      </c>
    </row>
    <row r="1236" spans="1:5" x14ac:dyDescent="0.25">
      <c r="A1236" s="21">
        <v>1235</v>
      </c>
      <c r="B1236" s="5" cm="1">
        <f t="array" aca="1" ref="B1236" ca="1">interpolexp(A1236,serie_du,Taxas_DI)</f>
        <v>0.13156413373818232</v>
      </c>
      <c r="C1236" s="32">
        <f ca="1">((((1+B1236)^(A1236/252))/((1+B1235)^(A1235/252)))^(252/1))-1</f>
        <v>0.13000030191024781</v>
      </c>
      <c r="D1236" s="30">
        <v>0.13156413373818232</v>
      </c>
      <c r="E1236" s="31">
        <f ca="1">B1236-D1236</f>
        <v>0</v>
      </c>
    </row>
    <row r="1237" spans="1:5" x14ac:dyDescent="0.25">
      <c r="A1237" s="21">
        <v>1236</v>
      </c>
      <c r="B1237" s="5" cm="1">
        <f t="array" aca="1" ref="B1237" ca="1">interpolexp(A1237,serie_du,Taxas_DI)</f>
        <v>0.13156286762627811</v>
      </c>
      <c r="C1237" s="32">
        <f ca="1">((((1+B1237)^(A1237/252))/((1+B1236)^(A1236/252)))^(252/1))-1</f>
        <v>0.13000030016298814</v>
      </c>
      <c r="D1237" s="30">
        <v>0.13156286762627811</v>
      </c>
      <c r="E1237" s="31">
        <f ca="1">B1237-D1237</f>
        <v>0</v>
      </c>
    </row>
    <row r="1238" spans="1:5" x14ac:dyDescent="0.25">
      <c r="A1238" s="21">
        <v>1237</v>
      </c>
      <c r="B1238" s="5" cm="1">
        <f t="array" aca="1" ref="B1238" ca="1">interpolexp(A1238,serie_du,Taxas_DI)</f>
        <v>0.13156160356144753</v>
      </c>
      <c r="C1238" s="32">
        <f ca="1">((((1+B1238)^(A1238/252))/((1+B1237)^(A1237/252)))^(252/1))-1</f>
        <v>0.13000029842349603</v>
      </c>
      <c r="D1238" s="30">
        <v>0.13156160356144753</v>
      </c>
      <c r="E1238" s="31">
        <f ca="1">B1238-D1238</f>
        <v>0</v>
      </c>
    </row>
    <row r="1239" spans="1:5" x14ac:dyDescent="0.25">
      <c r="A1239" s="21">
        <v>1238</v>
      </c>
      <c r="B1239" s="5" cm="1">
        <f t="array" aca="1" ref="B1239" ca="1">interpolexp(A1239,serie_du,Taxas_DI)</f>
        <v>0.13156034153876117</v>
      </c>
      <c r="C1239" s="32">
        <f ca="1">((((1+B1239)^(A1239/252))/((1+B1238)^(A1238/252)))^(252/1))-1</f>
        <v>0.13000029672678881</v>
      </c>
      <c r="D1239" s="30">
        <v>0.13156034153876117</v>
      </c>
      <c r="E1239" s="31">
        <f ca="1">B1239-D1239</f>
        <v>0</v>
      </c>
    </row>
    <row r="1240" spans="1:5" x14ac:dyDescent="0.25">
      <c r="A1240" s="21">
        <v>1239</v>
      </c>
      <c r="B1240" s="5" cm="1">
        <f t="array" aca="1" ref="B1240" ca="1">interpolexp(A1240,serie_du,Taxas_DI)</f>
        <v>0.13155908155324525</v>
      </c>
      <c r="C1240" s="32">
        <f ca="1">((((1+B1240)^(A1240/252))/((1+B1239)^(A1239/252)))^(252/1))-1</f>
        <v>0.13000029499826282</v>
      </c>
      <c r="D1240" s="30">
        <v>0.13155908155324525</v>
      </c>
      <c r="E1240" s="31">
        <f ca="1">B1240-D1240</f>
        <v>0</v>
      </c>
    </row>
    <row r="1241" spans="1:5" x14ac:dyDescent="0.25">
      <c r="A1241" s="21">
        <v>1240</v>
      </c>
      <c r="B1241" s="5" cm="1">
        <f t="array" aca="1" ref="B1241" ca="1">interpolexp(A1241,serie_du,Taxas_DI)</f>
        <v>0.13155782359999257</v>
      </c>
      <c r="C1241" s="32">
        <f ca="1">((((1+B1241)^(A1241/252))/((1+B1240)^(A1240/252)))^(252/1))-1</f>
        <v>0.1300002933004949</v>
      </c>
      <c r="D1241" s="30">
        <v>0.13155782359999257</v>
      </c>
      <c r="E1241" s="31">
        <f ca="1">B1241-D1241</f>
        <v>0</v>
      </c>
    </row>
    <row r="1242" spans="1:5" x14ac:dyDescent="0.25">
      <c r="A1242" s="21">
        <v>1241</v>
      </c>
      <c r="B1242" s="5" cm="1">
        <f t="array" aca="1" ref="B1242" ca="1">interpolexp(A1242,serie_du,Taxas_DI)</f>
        <v>0.13155656767407375</v>
      </c>
      <c r="C1242" s="32">
        <f ca="1">((((1+B1242)^(A1242/252))/((1+B1241)^(A1241/252)))^(252/1))-1</f>
        <v>0.13000029158638493</v>
      </c>
      <c r="D1242" s="30">
        <v>0.13155656767407375</v>
      </c>
      <c r="E1242" s="31">
        <f ca="1">B1242-D1242</f>
        <v>0</v>
      </c>
    </row>
    <row r="1243" spans="1:5" x14ac:dyDescent="0.25">
      <c r="A1243" s="21">
        <v>1242</v>
      </c>
      <c r="B1243" s="5" cm="1">
        <f t="array" aca="1" ref="B1243" ca="1">interpolexp(A1243,serie_du,Taxas_DI)</f>
        <v>0.13155531377060381</v>
      </c>
      <c r="C1243" s="32">
        <f ca="1">((((1+B1243)^(A1243/252))/((1+B1242)^(A1242/252)))^(252/1))-1</f>
        <v>0.13000028989120871</v>
      </c>
      <c r="D1243" s="30">
        <v>0.13155531377060381</v>
      </c>
      <c r="E1243" s="31">
        <f ca="1">B1243-D1243</f>
        <v>0</v>
      </c>
    </row>
    <row r="1244" spans="1:5" x14ac:dyDescent="0.25">
      <c r="A1244" s="21">
        <v>1243</v>
      </c>
      <c r="B1244" s="5" cm="1">
        <f t="array" aca="1" ref="B1244" ca="1">interpolexp(A1244,serie_du,Taxas_DI)</f>
        <v>0.13155406188467555</v>
      </c>
      <c r="C1244" s="32">
        <f ca="1">((((1+B1244)^(A1244/252))/((1+B1243)^(A1243/252)))^(252/1))-1</f>
        <v>0.13000028816804066</v>
      </c>
      <c r="D1244" s="30">
        <v>0.13155406188467555</v>
      </c>
      <c r="E1244" s="31">
        <f ca="1">B1244-D1244</f>
        <v>0</v>
      </c>
    </row>
    <row r="1245" spans="1:5" x14ac:dyDescent="0.25">
      <c r="A1245" s="21">
        <v>1244</v>
      </c>
      <c r="B1245" s="5" cm="1">
        <f t="array" aca="1" ref="B1245" ca="1">interpolexp(A1245,serie_du,Taxas_DI)</f>
        <v>0.13155281201144842</v>
      </c>
      <c r="C1245" s="32">
        <f ca="1">((((1+B1245)^(A1245/252))/((1+B1244)^(A1244/252)))^(252/1))-1</f>
        <v>0.13000028647988993</v>
      </c>
      <c r="D1245" s="30">
        <v>0.13155281201144842</v>
      </c>
      <c r="E1245" s="31">
        <f ca="1">B1245-D1245</f>
        <v>0</v>
      </c>
    </row>
    <row r="1246" spans="1:5" x14ac:dyDescent="0.25">
      <c r="A1246" s="21">
        <v>1245</v>
      </c>
      <c r="B1246" s="5" cm="1">
        <f t="array" aca="1" ref="B1246" ca="1">interpolexp(A1246,serie_du,Taxas_DI)</f>
        <v>0.13155156414605962</v>
      </c>
      <c r="C1246" s="32">
        <f ca="1">((((1+B1246)^(A1246/252))/((1+B1245)^(A1245/252)))^(252/1))-1</f>
        <v>0.13000028477983183</v>
      </c>
      <c r="D1246" s="30">
        <v>0.13155156414605962</v>
      </c>
      <c r="E1246" s="31">
        <f ca="1">B1246-D1246</f>
        <v>0</v>
      </c>
    </row>
    <row r="1247" spans="1:5" x14ac:dyDescent="0.25">
      <c r="A1247" s="21">
        <v>1246</v>
      </c>
      <c r="B1247" s="5" cm="1">
        <f t="array" aca="1" ref="B1247" ca="1">interpolexp(A1247,serie_du,Taxas_DI)</f>
        <v>0.13155031828369079</v>
      </c>
      <c r="C1247" s="32">
        <f ca="1">((((1+B1247)^(A1247/252))/((1+B1246)^(A1246/252)))^(252/1))-1</f>
        <v>0.13000028310373324</v>
      </c>
      <c r="D1247" s="30">
        <v>0.13155031828369079</v>
      </c>
      <c r="E1247" s="31">
        <f ca="1">B1247-D1247</f>
        <v>0</v>
      </c>
    </row>
    <row r="1248" spans="1:5" x14ac:dyDescent="0.25">
      <c r="A1248" s="21">
        <v>1247</v>
      </c>
      <c r="B1248" s="5" cm="1">
        <f t="array" aca="1" ref="B1248" ca="1">interpolexp(A1248,serie_du,Taxas_DI)</f>
        <v>0.13154907441950137</v>
      </c>
      <c r="C1248" s="32">
        <f ca="1">((((1+B1248)^(A1248/252))/((1+B1247)^(A1247/252)))^(252/1))-1</f>
        <v>0.13000028140464681</v>
      </c>
      <c r="D1248" s="30">
        <v>0.13154907441950137</v>
      </c>
      <c r="E1248" s="31">
        <f ca="1">B1248-D1248</f>
        <v>0</v>
      </c>
    </row>
    <row r="1249" spans="1:5" x14ac:dyDescent="0.25">
      <c r="A1249" s="21">
        <v>1248</v>
      </c>
      <c r="B1249" s="5" cm="1">
        <f t="array" aca="1" ref="B1249" ca="1">interpolexp(A1249,serie_du,Taxas_DI)</f>
        <v>0.13154783254869518</v>
      </c>
      <c r="C1249" s="32">
        <f ca="1">((((1+B1249)^(A1249/252))/((1+B1248)^(A1248/252)))^(252/1))-1</f>
        <v>0.13000027971848249</v>
      </c>
      <c r="D1249" s="30">
        <v>0.13154783254869518</v>
      </c>
      <c r="E1249" s="31">
        <f ca="1">B1249-D1249</f>
        <v>0</v>
      </c>
    </row>
    <row r="1250" spans="1:5" x14ac:dyDescent="0.25">
      <c r="A1250" s="21">
        <v>1249</v>
      </c>
      <c r="B1250" s="5" cm="1">
        <f t="array" aca="1" ref="B1250" ca="1">interpolexp(A1250,serie_du,Taxas_DI)</f>
        <v>0.13154659266649826</v>
      </c>
      <c r="C1250" s="32">
        <f ca="1">((((1+B1250)^(A1250/252))/((1+B1249)^(A1249/252)))^(252/1))-1</f>
        <v>0.13000027805391956</v>
      </c>
      <c r="D1250" s="30">
        <v>0.13154659266649826</v>
      </c>
      <c r="E1250" s="31">
        <f ca="1">B1250-D1250</f>
        <v>0</v>
      </c>
    </row>
    <row r="1251" spans="1:5" x14ac:dyDescent="0.25">
      <c r="A1251" s="21">
        <v>1250</v>
      </c>
      <c r="B1251" s="5" cm="1">
        <f t="array" aca="1" ref="B1251" ca="1">interpolexp(A1251,serie_du,Taxas_DI)</f>
        <v>0.13154535476813667</v>
      </c>
      <c r="C1251" s="32">
        <f ca="1">((((1+B1251)^(A1251/252))/((1+B1250)^(A1250/252)))^(252/1))-1</f>
        <v>0.13000027639177825</v>
      </c>
      <c r="D1251" s="30">
        <v>0.13154535476813667</v>
      </c>
      <c r="E1251" s="31">
        <f ca="1">B1251-D1251</f>
        <v>0</v>
      </c>
    </row>
    <row r="1252" spans="1:5" x14ac:dyDescent="0.25">
      <c r="A1252" s="21">
        <v>1251</v>
      </c>
      <c r="B1252" s="5" cm="1">
        <f t="array" aca="1" ref="B1252" ca="1">interpolexp(A1252,serie_du,Taxas_DI)</f>
        <v>0.13154411884883643</v>
      </c>
      <c r="C1252" s="32">
        <f ca="1">((((1+B1252)^(A1252/252))/((1+B1251)^(A1251/252)))^(252/1))-1</f>
        <v>0.13000027471295583</v>
      </c>
      <c r="D1252" s="30">
        <v>0.13154411884883643</v>
      </c>
      <c r="E1252" s="31">
        <f ca="1">B1252-D1252</f>
        <v>0</v>
      </c>
    </row>
    <row r="1253" spans="1:5" x14ac:dyDescent="0.25">
      <c r="A1253" s="21">
        <v>1252</v>
      </c>
      <c r="B1253" s="5" cm="1">
        <f t="array" aca="1" ref="B1253" ca="1">interpolexp(A1253,serie_du,Taxas_DI)</f>
        <v>0.1315428849038458</v>
      </c>
      <c r="C1253" s="32">
        <f ca="1">((((1+B1253)^(A1253/252))/((1+B1252)^(A1252/252)))^(252/1))-1</f>
        <v>0.13000027302627171</v>
      </c>
      <c r="D1253" s="30">
        <v>0.1315428849038458</v>
      </c>
      <c r="E1253" s="31">
        <f ca="1">B1253-D1253</f>
        <v>0</v>
      </c>
    </row>
    <row r="1254" spans="1:5" x14ac:dyDescent="0.25">
      <c r="A1254" s="21">
        <v>1253</v>
      </c>
      <c r="B1254" s="5" cm="1">
        <f t="array" aca="1" ref="B1254" ca="1">interpolexp(A1254,serie_du,Taxas_DI)</f>
        <v>0.13154165292847964</v>
      </c>
      <c r="C1254" s="32">
        <f ca="1">((((1+B1254)^(A1254/252))/((1+B1253)^(A1253/252)))^(252/1))-1</f>
        <v>0.1300002713960009</v>
      </c>
      <c r="D1254" s="30">
        <v>0.13154165292847964</v>
      </c>
      <c r="E1254" s="31">
        <f ca="1">B1254-D1254</f>
        <v>0</v>
      </c>
    </row>
    <row r="1255" spans="1:5" x14ac:dyDescent="0.25">
      <c r="A1255" s="21">
        <v>1254</v>
      </c>
      <c r="B1255" s="5" cm="1">
        <f t="array" aca="1" ref="B1255" ca="1">interpolexp(A1255,serie_du,Taxas_DI)</f>
        <v>0.13154042291800838</v>
      </c>
      <c r="C1255" s="32">
        <f ca="1">((((1+B1255)^(A1255/252))/((1+B1254)^(A1254/252)))^(252/1))-1</f>
        <v>0.13000026974767787</v>
      </c>
      <c r="D1255" s="30">
        <v>0.13154042291800838</v>
      </c>
      <c r="E1255" s="31">
        <f ca="1">B1255-D1255</f>
        <v>0</v>
      </c>
    </row>
    <row r="1256" spans="1:5" x14ac:dyDescent="0.25">
      <c r="A1256" s="21">
        <v>1255</v>
      </c>
      <c r="B1256" s="5" cm="1">
        <f t="array" aca="1" ref="B1256" ca="1">interpolexp(A1256,serie_du,Taxas_DI)</f>
        <v>0.13153919486770249</v>
      </c>
      <c r="C1256" s="32">
        <f ca="1">((((1+B1256)^(A1256/252))/((1+B1255)^(A1255/252)))^(252/1))-1</f>
        <v>0.13000026806261245</v>
      </c>
      <c r="D1256" s="30">
        <v>0.13153919486770249</v>
      </c>
      <c r="E1256" s="31">
        <f ca="1">B1256-D1256</f>
        <v>0</v>
      </c>
    </row>
    <row r="1257" spans="1:5" x14ac:dyDescent="0.25">
      <c r="A1257" s="21">
        <v>1256</v>
      </c>
      <c r="B1257" s="5" cm="1">
        <f t="array" aca="1" ref="B1257" ca="1">interpolexp(A1257,serie_du,Taxas_DI)</f>
        <v>0.13153796877292123</v>
      </c>
      <c r="C1257" s="32">
        <f ca="1">((((1+B1257)^(A1257/252))/((1+B1256)^(A1256/252)))^(252/1))-1</f>
        <v>0.13000026643316209</v>
      </c>
      <c r="D1257" s="30">
        <v>0.13153796877292123</v>
      </c>
      <c r="E1257" s="31">
        <f ca="1">B1257-D1257</f>
        <v>0</v>
      </c>
    </row>
    <row r="1258" spans="1:5" x14ac:dyDescent="0.25">
      <c r="A1258" s="21">
        <v>1257</v>
      </c>
      <c r="B1258" s="5" cm="1">
        <f t="array" aca="1" ref="B1258" ca="1">interpolexp(A1258,serie_du,Taxas_DI)</f>
        <v>0.13153674462897946</v>
      </c>
      <c r="C1258" s="32">
        <f ca="1">((((1+B1258)^(A1258/252))/((1+B1257)^(A1257/252)))^(252/1))-1</f>
        <v>0.13000026478499516</v>
      </c>
      <c r="D1258" s="30">
        <v>0.13153674462897946</v>
      </c>
      <c r="E1258" s="31">
        <f ca="1">B1258-D1258</f>
        <v>0</v>
      </c>
    </row>
    <row r="1259" spans="1:5" x14ac:dyDescent="0.25">
      <c r="A1259" s="21">
        <v>1258</v>
      </c>
      <c r="B1259" s="5" cm="1">
        <f t="array" aca="1" ref="B1259" ca="1">interpolexp(A1259,serie_du,Taxas_DI)</f>
        <v>0.13153552243121425</v>
      </c>
      <c r="C1259" s="32">
        <f ca="1">((((1+B1259)^(A1259/252))/((1+B1258)^(A1258/252)))^(252/1))-1</f>
        <v>0.13000026312750856</v>
      </c>
      <c r="D1259" s="30">
        <v>0.13153552243121425</v>
      </c>
      <c r="E1259" s="31">
        <f ca="1">B1259-D1259</f>
        <v>0</v>
      </c>
    </row>
    <row r="1260" spans="1:5" x14ac:dyDescent="0.25">
      <c r="A1260" s="21">
        <v>1259</v>
      </c>
      <c r="B1260" s="5" cm="1">
        <f t="array" aca="1" ref="B1260" ca="1">interpolexp(A1260,serie_du,Taxas_DI)</f>
        <v>0.13153430217502926</v>
      </c>
      <c r="C1260" s="32">
        <f ca="1">((((1+B1260)^(A1260/252))/((1+B1259)^(A1259/252)))^(252/1))-1</f>
        <v>0.13000026152552735</v>
      </c>
      <c r="D1260" s="30">
        <v>0.13153430217502926</v>
      </c>
      <c r="E1260" s="31">
        <f ca="1">B1260-D1260</f>
        <v>0</v>
      </c>
    </row>
    <row r="1261" spans="1:5" x14ac:dyDescent="0.25">
      <c r="A1261" s="21">
        <v>1260</v>
      </c>
      <c r="B1261" s="5" cm="1">
        <f t="array" aca="1" ref="B1261" ca="1">interpolexp(A1261,serie_du,Taxas_DI)</f>
        <v>0.13153308385573936</v>
      </c>
      <c r="C1261" s="32">
        <f ca="1">((((1+B1261)^(A1261/252))/((1+B1260)^(A1260/252)))^(252/1))-1</f>
        <v>0.13000025984916985</v>
      </c>
      <c r="D1261" s="30">
        <v>0.13153308385573936</v>
      </c>
      <c r="E1261" s="31">
        <f ca="1">B1261-D1261</f>
        <v>0</v>
      </c>
    </row>
    <row r="1262" spans="1:5" x14ac:dyDescent="0.25">
      <c r="A1262" s="21">
        <v>1261</v>
      </c>
      <c r="B1262" s="5" cm="1">
        <f t="array" aca="1" ref="B1262" ca="1">interpolexp(A1262,serie_du,Taxas_DI)</f>
        <v>0.13153186746879264</v>
      </c>
      <c r="C1262" s="32">
        <f ca="1">((((1+B1262)^(A1262/252))/((1+B1261)^(A1261/252)))^(252/1))-1</f>
        <v>0.13000025824729922</v>
      </c>
      <c r="D1262" s="30">
        <v>0.13153186746879264</v>
      </c>
      <c r="E1262" s="31">
        <f ca="1">B1262-D1262</f>
        <v>0</v>
      </c>
    </row>
    <row r="1263" spans="1:5" x14ac:dyDescent="0.25">
      <c r="A1263" s="21">
        <v>1262</v>
      </c>
      <c r="B1263" s="5" cm="1">
        <f t="array" aca="1" ref="B1263" ca="1">interpolexp(A1263,serie_du,Taxas_DI)</f>
        <v>0.13153065300957056</v>
      </c>
      <c r="C1263" s="32">
        <f ca="1">((((1+B1263)^(A1263/252))/((1+B1262)^(A1262/252)))^(252/1))-1</f>
        <v>0.13000025661784975</v>
      </c>
      <c r="D1263" s="30">
        <v>0.13153065300957056</v>
      </c>
      <c r="E1263" s="31">
        <f ca="1">B1263-D1263</f>
        <v>0</v>
      </c>
    </row>
    <row r="1264" spans="1:5" x14ac:dyDescent="0.25">
      <c r="A1264" s="21">
        <v>1263</v>
      </c>
      <c r="B1264" s="5" cm="1">
        <f t="array" aca="1" ref="B1264" ca="1">interpolexp(A1264,serie_du,Taxas_DI)</f>
        <v>0.13152944047349902</v>
      </c>
      <c r="C1264" s="32">
        <f ca="1">((((1+B1264)^(A1264/252))/((1+B1263)^(A1263/252)))^(252/1))-1</f>
        <v>0.13000025499836676</v>
      </c>
      <c r="D1264" s="30">
        <v>0.13152944047349902</v>
      </c>
      <c r="E1264" s="31">
        <f ca="1">B1264-D1264</f>
        <v>0</v>
      </c>
    </row>
    <row r="1265" spans="1:5" x14ac:dyDescent="0.25">
      <c r="A1265" s="21">
        <v>1264</v>
      </c>
      <c r="B1265" s="5" cm="1">
        <f t="array" aca="1" ref="B1265" ca="1">interpolexp(A1265,serie_du,Taxas_DI)</f>
        <v>0.13152822985600388</v>
      </c>
      <c r="C1265" s="32">
        <f ca="1">((((1+B1265)^(A1265/252))/((1+B1264)^(A1264/252)))^(252/1))-1</f>
        <v>0.13000025337049625</v>
      </c>
      <c r="D1265" s="30">
        <v>0.13152822985600388</v>
      </c>
      <c r="E1265" s="31">
        <f ca="1">B1265-D1265</f>
        <v>0</v>
      </c>
    </row>
    <row r="1266" spans="1:5" x14ac:dyDescent="0.25">
      <c r="A1266" s="21">
        <v>1265</v>
      </c>
      <c r="B1266" s="5" cm="1">
        <f t="array" aca="1" ref="B1266" ca="1">interpolexp(A1266,serie_du,Taxas_DI)</f>
        <v>0.13152702115255543</v>
      </c>
      <c r="C1266" s="32">
        <f ca="1">((((1+B1266)^(A1266/252))/((1+B1265)^(A1265/252)))^(252/1))-1</f>
        <v>0.13000025177218633</v>
      </c>
      <c r="D1266" s="30">
        <v>0.13152702115255543</v>
      </c>
      <c r="E1266" s="31">
        <f ca="1">B1266-D1266</f>
        <v>0</v>
      </c>
    </row>
    <row r="1267" spans="1:5" x14ac:dyDescent="0.25">
      <c r="A1267" s="21">
        <v>1266</v>
      </c>
      <c r="B1267" s="5" cm="1">
        <f t="array" aca="1" ref="B1267" ca="1">interpolexp(A1267,serie_du,Taxas_DI)</f>
        <v>0.13152581435860178</v>
      </c>
      <c r="C1267" s="32">
        <f ca="1">((((1+B1267)^(A1267/252))/((1+B1266)^(A1266/252)))^(252/1))-1</f>
        <v>0.13000025015707317</v>
      </c>
      <c r="D1267" s="30">
        <v>0.13152581435860178</v>
      </c>
      <c r="E1267" s="31">
        <f ca="1">B1267-D1267</f>
        <v>0</v>
      </c>
    </row>
    <row r="1268" spans="1:5" x14ac:dyDescent="0.25">
      <c r="A1268" s="21">
        <v>1267</v>
      </c>
      <c r="B1268" s="5" cm="1">
        <f t="array" aca="1" ref="B1268" ca="1">interpolexp(A1268,serie_du,Taxas_DI)</f>
        <v>0.1315246094696354</v>
      </c>
      <c r="C1268" s="32">
        <f ca="1">((((1+B1268)^(A1268/252))/((1+B1267)^(A1267/252)))^(252/1))-1</f>
        <v>0.13000024856340486</v>
      </c>
      <c r="D1268" s="30">
        <v>0.1315246094696354</v>
      </c>
      <c r="E1268" s="31">
        <f ca="1">B1268-D1268</f>
        <v>0</v>
      </c>
    </row>
    <row r="1269" spans="1:5" x14ac:dyDescent="0.25">
      <c r="A1269" s="21">
        <v>1268</v>
      </c>
      <c r="B1269" s="5" cm="1">
        <f t="array" aca="1" ref="B1269" ca="1">interpolexp(A1269,serie_du,Taxas_DI)</f>
        <v>0.13152340648110439</v>
      </c>
      <c r="C1269" s="32">
        <f ca="1">((((1+B1269)^(A1269/252))/((1+B1268)^(A1268/252)))^(252/1))-1</f>
        <v>0.13000024691669676</v>
      </c>
      <c r="D1269" s="30">
        <v>0.13152340648110439</v>
      </c>
      <c r="E1269" s="31">
        <f ca="1">B1269-D1269</f>
        <v>0</v>
      </c>
    </row>
    <row r="1270" spans="1:5" x14ac:dyDescent="0.25">
      <c r="A1270" s="21">
        <v>1269</v>
      </c>
      <c r="B1270" s="5" cm="1">
        <f t="array" aca="1" ref="B1270" ca="1">interpolexp(A1270,serie_du,Taxas_DI)</f>
        <v>0.13152220538859005</v>
      </c>
      <c r="C1270" s="32">
        <f ca="1">((((1+B1270)^(A1270/252))/((1+B1269)^(A1269/252)))^(252/1))-1</f>
        <v>0.13000024536774712</v>
      </c>
      <c r="D1270" s="30">
        <v>0.13152220538859005</v>
      </c>
      <c r="E1270" s="31">
        <f ca="1">B1270-D1270</f>
        <v>0</v>
      </c>
    </row>
    <row r="1271" spans="1:5" x14ac:dyDescent="0.25">
      <c r="A1271" s="21">
        <v>1270</v>
      </c>
      <c r="B1271" s="5" cm="1">
        <f t="array" aca="1" ref="B1271" ca="1">interpolexp(A1271,serie_du,Taxas_DI)</f>
        <v>0.13152100618756268</v>
      </c>
      <c r="C1271" s="32">
        <f ca="1">((((1+B1271)^(A1271/252))/((1+B1270)^(A1270/252)))^(252/1))-1</f>
        <v>0.13000024375793906</v>
      </c>
      <c r="D1271" s="30">
        <v>0.13152100618756268</v>
      </c>
      <c r="E1271" s="31">
        <f ca="1">B1271-D1271</f>
        <v>0</v>
      </c>
    </row>
    <row r="1272" spans="1:5" x14ac:dyDescent="0.25">
      <c r="A1272" s="21">
        <v>1271</v>
      </c>
      <c r="B1272" s="5" cm="1">
        <f t="array" aca="1" ref="B1272" ca="1">interpolexp(A1272,serie_du,Taxas_DI)</f>
        <v>0.13151980887355919</v>
      </c>
      <c r="C1272" s="32">
        <f ca="1">((((1+B1272)^(A1272/252))/((1+B1271)^(A1271/252)))^(252/1))-1</f>
        <v>0.13000024215391726</v>
      </c>
      <c r="D1272" s="30">
        <v>0.13151980887355919</v>
      </c>
      <c r="E1272" s="31">
        <f ca="1">B1272-D1272</f>
        <v>0</v>
      </c>
    </row>
    <row r="1273" spans="1:5" x14ac:dyDescent="0.25">
      <c r="A1273" s="21">
        <v>1272</v>
      </c>
      <c r="B1273" s="5" cm="1">
        <f t="array" aca="1" ref="B1273" ca="1">interpolexp(A1273,serie_du,Taxas_DI)</f>
        <v>0.13151861344213867</v>
      </c>
      <c r="C1273" s="32">
        <f ca="1">((((1+B1273)^(A1273/252))/((1+B1272)^(A1272/252)))^(252/1))-1</f>
        <v>0.13000024056576986</v>
      </c>
      <c r="D1273" s="30">
        <v>0.13151861344213867</v>
      </c>
      <c r="E1273" s="31">
        <f ca="1">B1273-D1273</f>
        <v>0</v>
      </c>
    </row>
    <row r="1274" spans="1:5" x14ac:dyDescent="0.25">
      <c r="A1274" s="21">
        <v>1273</v>
      </c>
      <c r="B1274" s="5" cm="1">
        <f t="array" aca="1" ref="B1274" ca="1">interpolexp(A1274,serie_du,Taxas_DI)</f>
        <v>0.13151741988886023</v>
      </c>
      <c r="C1274" s="32">
        <f ca="1">((((1+B1274)^(A1274/252))/((1+B1273)^(A1273/252)))^(252/1))-1</f>
        <v>0.13000023897601598</v>
      </c>
      <c r="D1274" s="30">
        <v>0.13151741988886023</v>
      </c>
      <c r="E1274" s="31">
        <f ca="1">B1274-D1274</f>
        <v>0</v>
      </c>
    </row>
    <row r="1275" spans="1:5" x14ac:dyDescent="0.25">
      <c r="A1275" s="21">
        <v>1274</v>
      </c>
      <c r="B1275" s="5" cm="1">
        <f t="array" aca="1" ref="B1275" ca="1">interpolexp(A1275,serie_du,Taxas_DI)</f>
        <v>0.1315162282093274</v>
      </c>
      <c r="C1275" s="32">
        <f ca="1">((((1+B1275)^(A1275/252))/((1+B1274)^(A1274/252)))^(252/1))-1</f>
        <v>0.13000023742328648</v>
      </c>
      <c r="D1275" s="30">
        <v>0.1315162282093274</v>
      </c>
      <c r="E1275" s="31">
        <f ca="1">B1275-D1275</f>
        <v>0</v>
      </c>
    </row>
    <row r="1276" spans="1:5" x14ac:dyDescent="0.25">
      <c r="A1276" s="21">
        <v>1275</v>
      </c>
      <c r="B1276" s="5" cm="1">
        <f t="array" aca="1" ref="B1276" ca="1">interpolexp(A1276,serie_du,Taxas_DI)</f>
        <v>0.13151503839909928</v>
      </c>
      <c r="C1276" s="32">
        <f ca="1">((((1+B1276)^(A1276/252))/((1+B1275)^(A1275/252)))^(252/1))-1</f>
        <v>0.13000023583346065</v>
      </c>
      <c r="D1276" s="30">
        <v>0.13151503839909928</v>
      </c>
      <c r="E1276" s="31">
        <f ca="1">B1276-D1276</f>
        <v>0</v>
      </c>
    </row>
    <row r="1277" spans="1:5" x14ac:dyDescent="0.25">
      <c r="A1277" s="21">
        <v>1276</v>
      </c>
      <c r="B1277" s="5" cm="1">
        <f t="array" aca="1" ref="B1277" ca="1">interpolexp(A1277,serie_du,Taxas_DI)</f>
        <v>0.13151385045377939</v>
      </c>
      <c r="C1277" s="32">
        <f ca="1">((((1+B1277)^(A1277/252))/((1+B1276)^(A1276/252)))^(252/1))-1</f>
        <v>0.13000023424533724</v>
      </c>
      <c r="D1277" s="30">
        <v>0.13151385045377939</v>
      </c>
      <c r="E1277" s="31">
        <f ca="1">B1277-D1277</f>
        <v>0</v>
      </c>
    </row>
    <row r="1278" spans="1:5" x14ac:dyDescent="0.25">
      <c r="A1278" s="21">
        <v>1277</v>
      </c>
      <c r="B1278" s="5" cm="1">
        <f t="array" aca="1" ref="B1278" ca="1">interpolexp(A1278,serie_du,Taxas_DI)</f>
        <v>0.13151266436901565</v>
      </c>
      <c r="C1278" s="32">
        <f ca="1">((((1+B1278)^(A1278/252))/((1+B1277)^(A1277/252)))^(252/1))-1</f>
        <v>0.13000023269803429</v>
      </c>
      <c r="D1278" s="30">
        <v>0.13151266436901565</v>
      </c>
      <c r="E1278" s="31">
        <f ca="1">B1278-D1278</f>
        <v>0</v>
      </c>
    </row>
    <row r="1279" spans="1:5" x14ac:dyDescent="0.25">
      <c r="A1279" s="21">
        <v>1278</v>
      </c>
      <c r="B1279" s="5" cm="1">
        <f t="array" aca="1" ref="B1279" ca="1">interpolexp(A1279,serie_du,Taxas_DI)</f>
        <v>0.13151148014041159</v>
      </c>
      <c r="C1279" s="32">
        <f ca="1">((((1+B1279)^(A1279/252))/((1+B1278)^(A1278/252)))^(252/1))-1</f>
        <v>0.13000023111750703</v>
      </c>
      <c r="D1279" s="30">
        <v>0.13151148014041159</v>
      </c>
      <c r="E1279" s="31">
        <f ca="1">B1279-D1279</f>
        <v>0</v>
      </c>
    </row>
    <row r="1280" spans="1:5" x14ac:dyDescent="0.25">
      <c r="A1280" s="21">
        <v>1279</v>
      </c>
      <c r="B1280" s="5" cm="1">
        <f t="array" aca="1" ref="B1280" ca="1">interpolexp(A1280,serie_du,Taxas_DI)</f>
        <v>0.13151029776363732</v>
      </c>
      <c r="C1280" s="32">
        <f ca="1">((((1+B1280)^(A1280/252))/((1+B1279)^(A1279/252)))^(252/1))-1</f>
        <v>0.13000022957119617</v>
      </c>
      <c r="D1280" s="30">
        <v>0.13151029776363732</v>
      </c>
      <c r="E1280" s="31">
        <f ca="1">B1280-D1280</f>
        <v>0</v>
      </c>
    </row>
    <row r="1281" spans="1:5" x14ac:dyDescent="0.25">
      <c r="A1281" s="21">
        <v>1280</v>
      </c>
      <c r="B1281" s="5" cm="1">
        <f t="array" aca="1" ref="B1281" ca="1">interpolexp(A1281,serie_du,Taxas_DI)</f>
        <v>0.13150911723434078</v>
      </c>
      <c r="C1281" s="32">
        <f ca="1">((((1+B1281)^(A1281/252))/((1+B1280)^(A1280/252)))^(252/1))-1</f>
        <v>0.13000022801350952</v>
      </c>
      <c r="D1281" s="30">
        <v>0.13150911723434078</v>
      </c>
      <c r="E1281" s="31">
        <f ca="1">B1281-D1281</f>
        <v>0</v>
      </c>
    </row>
    <row r="1282" spans="1:5" x14ac:dyDescent="0.25">
      <c r="A1282" s="21">
        <v>1281</v>
      </c>
      <c r="B1282" s="5" cm="1">
        <f t="array" aca="1" ref="B1282" ca="1">interpolexp(A1282,serie_du,Taxas_DI)</f>
        <v>0.1315044252117703</v>
      </c>
      <c r="C1282" s="32">
        <f ca="1">((((1+B1282)^(A1282/252))/((1+B1281)^(A1281/252)))^(252/1))-1</f>
        <v>0.12551455928109134</v>
      </c>
      <c r="D1282" s="30">
        <v>0.1315044252117703</v>
      </c>
      <c r="E1282" s="31">
        <f ca="1">B1282-D1282</f>
        <v>0</v>
      </c>
    </row>
    <row r="1283" spans="1:5" x14ac:dyDescent="0.25">
      <c r="A1283" s="21">
        <v>1282</v>
      </c>
      <c r="B1283" s="5" cm="1">
        <f t="array" aca="1" ref="B1283" ca="1">interpolexp(A1283,serie_du,Taxas_DI)</f>
        <v>0.13149974050927771</v>
      </c>
      <c r="C1283" s="32">
        <f ca="1">((((1+B1283)^(A1283/252))/((1+B1282)^(A1282/252)))^(252/1))-1</f>
        <v>0.12551453482109109</v>
      </c>
      <c r="D1283" s="30">
        <v>0.13149974050927771</v>
      </c>
      <c r="E1283" s="31">
        <f ca="1">B1283-D1283</f>
        <v>0</v>
      </c>
    </row>
    <row r="1284" spans="1:5" x14ac:dyDescent="0.25">
      <c r="A1284" s="21">
        <v>1283</v>
      </c>
      <c r="B1284" s="5" cm="1">
        <f t="array" aca="1" ref="B1284" ca="1">interpolexp(A1284,serie_du,Taxas_DI)</f>
        <v>0.13149506310972114</v>
      </c>
      <c r="C1284" s="32">
        <f ca="1">((((1+B1284)^(A1284/252))/((1+B1283)^(A1283/252)))^(252/1))-1</f>
        <v>0.12551451038623407</v>
      </c>
      <c r="D1284" s="30">
        <v>0.13149506310972114</v>
      </c>
      <c r="E1284" s="31">
        <f ca="1">B1284-D1284</f>
        <v>0</v>
      </c>
    </row>
    <row r="1285" spans="1:5" x14ac:dyDescent="0.25">
      <c r="A1285" s="21">
        <v>1284</v>
      </c>
      <c r="B1285" s="5" cm="1">
        <f t="array" aca="1" ref="B1285" ca="1">interpolexp(A1285,serie_du,Taxas_DI)</f>
        <v>0.13149039299604759</v>
      </c>
      <c r="C1285" s="32">
        <f ca="1">((((1+B1285)^(A1285/252))/((1+B1284)^(A1284/252)))^(252/1))-1</f>
        <v>0.12551448602155046</v>
      </c>
      <c r="D1285" s="30">
        <v>0.13149039299604759</v>
      </c>
      <c r="E1285" s="31">
        <f ca="1">B1285-D1285</f>
        <v>0</v>
      </c>
    </row>
    <row r="1286" spans="1:5" x14ac:dyDescent="0.25">
      <c r="A1286" s="21">
        <v>1285</v>
      </c>
      <c r="B1286" s="5" cm="1">
        <f t="array" aca="1" ref="B1286" ca="1">interpolexp(A1286,serie_du,Taxas_DI)</f>
        <v>0.13148573015127063</v>
      </c>
      <c r="C1286" s="32">
        <f ca="1">((((1+B1286)^(A1286/252))/((1+B1285)^(A1285/252)))^(252/1))-1</f>
        <v>0.1255144617441204</v>
      </c>
      <c r="D1286" s="30">
        <v>0.13148573015127063</v>
      </c>
      <c r="E1286" s="31">
        <f ca="1">B1286-D1286</f>
        <v>0</v>
      </c>
    </row>
    <row r="1287" spans="1:5" x14ac:dyDescent="0.25">
      <c r="A1287" s="21">
        <v>1286</v>
      </c>
      <c r="B1287" s="5" cm="1">
        <f t="array" aca="1" ref="B1287" ca="1">interpolexp(A1287,serie_du,Taxas_DI)</f>
        <v>0.13148107455840385</v>
      </c>
      <c r="C1287" s="32">
        <f ca="1">((((1+B1287)^(A1287/252))/((1+B1286)^(A1286/252)))^(252/1))-1</f>
        <v>0.12551443748613855</v>
      </c>
      <c r="D1287" s="30">
        <v>0.13148107455840385</v>
      </c>
      <c r="E1287" s="31">
        <f ca="1">B1287-D1287</f>
        <v>0</v>
      </c>
    </row>
    <row r="1288" spans="1:5" x14ac:dyDescent="0.25">
      <c r="A1288" s="21">
        <v>1287</v>
      </c>
      <c r="B1288" s="5" cm="1">
        <f t="array" aca="1" ref="B1288" ca="1">interpolexp(A1288,serie_du,Taxas_DI)</f>
        <v>0.13147642620054967</v>
      </c>
      <c r="C1288" s="32">
        <f ca="1">((((1+B1288)^(A1288/252))/((1+B1287)^(A1287/252)))^(252/1))-1</f>
        <v>0.12551441329367563</v>
      </c>
      <c r="D1288" s="30">
        <v>0.13147642620054967</v>
      </c>
      <c r="E1288" s="31">
        <f ca="1">B1288-D1288</f>
        <v>0</v>
      </c>
    </row>
    <row r="1289" spans="1:5" x14ac:dyDescent="0.25">
      <c r="A1289" s="21">
        <v>1288</v>
      </c>
      <c r="B1289" s="5" cm="1">
        <f t="array" aca="1" ref="B1289" ca="1">interpolexp(A1289,serie_du,Taxas_DI)</f>
        <v>0.13147178506085488</v>
      </c>
      <c r="C1289" s="32">
        <f ca="1">((((1+B1289)^(A1289/252))/((1+B1288)^(A1288/252)))^(252/1))-1</f>
        <v>0.12551438915604041</v>
      </c>
      <c r="D1289" s="30">
        <v>0.13147178506085488</v>
      </c>
      <c r="E1289" s="31">
        <f ca="1">B1289-D1289</f>
        <v>0</v>
      </c>
    </row>
    <row r="1290" spans="1:5" x14ac:dyDescent="0.25">
      <c r="A1290" s="21">
        <v>1289</v>
      </c>
      <c r="B1290" s="5" cm="1">
        <f t="array" aca="1" ref="B1290" ca="1">interpolexp(A1290,serie_du,Taxas_DI)</f>
        <v>0.13146715112253293</v>
      </c>
      <c r="C1290" s="32">
        <f ca="1">((((1+B1290)^(A1290/252))/((1+B1289)^(A1289/252)))^(252/1))-1</f>
        <v>0.12551436509162994</v>
      </c>
      <c r="D1290" s="30">
        <v>0.13146715112253293</v>
      </c>
      <c r="E1290" s="31">
        <f ca="1">B1290-D1290</f>
        <v>0</v>
      </c>
    </row>
    <row r="1291" spans="1:5" x14ac:dyDescent="0.25">
      <c r="A1291" s="21">
        <v>1290</v>
      </c>
      <c r="B1291" s="5" cm="1">
        <f t="array" aca="1" ref="B1291" ca="1">interpolexp(A1291,serie_du,Taxas_DI)</f>
        <v>0.13146252436881944</v>
      </c>
      <c r="C1291" s="32">
        <f ca="1">((((1+B1291)^(A1291/252))/((1+B1290)^(A1290/252)))^(252/1))-1</f>
        <v>0.12551434106183712</v>
      </c>
      <c r="D1291" s="30">
        <v>0.13146252436881944</v>
      </c>
      <c r="E1291" s="31">
        <f ca="1">B1291-D1291</f>
        <v>0</v>
      </c>
    </row>
    <row r="1292" spans="1:5" x14ac:dyDescent="0.25">
      <c r="A1292" s="21">
        <v>1291</v>
      </c>
      <c r="B1292" s="5" cm="1">
        <f t="array" aca="1" ref="B1292" ca="1">interpolexp(A1292,serie_du,Taxas_DI)</f>
        <v>0.13145790478301667</v>
      </c>
      <c r="C1292" s="32">
        <f ca="1">((((1+B1292)^(A1292/252))/((1+B1291)^(A1291/252)))^(252/1))-1</f>
        <v>0.12551431708537475</v>
      </c>
      <c r="D1292" s="30">
        <v>0.13145790478301667</v>
      </c>
      <c r="E1292" s="31">
        <f ca="1">B1292-D1292</f>
        <v>0</v>
      </c>
    </row>
    <row r="1293" spans="1:5" x14ac:dyDescent="0.25">
      <c r="A1293" s="21">
        <v>1292</v>
      </c>
      <c r="B1293" s="5" cm="1">
        <f t="array" aca="1" ref="B1293" ca="1">interpolexp(A1293,serie_du,Taxas_DI)</f>
        <v>0.13145329234849346</v>
      </c>
      <c r="C1293" s="32">
        <f ca="1">((((1+B1293)^(A1293/252))/((1+B1292)^(A1292/252)))^(252/1))-1</f>
        <v>0.1255142931811597</v>
      </c>
      <c r="D1293" s="30">
        <v>0.13145329234849346</v>
      </c>
      <c r="E1293" s="31">
        <f ca="1">B1293-D1293</f>
        <v>0</v>
      </c>
    </row>
    <row r="1294" spans="1:5" x14ac:dyDescent="0.25">
      <c r="A1294" s="21">
        <v>1293</v>
      </c>
      <c r="B1294" s="5" cm="1">
        <f t="array" aca="1" ref="B1294" ca="1">interpolexp(A1294,serie_du,Taxas_DI)</f>
        <v>0.13144868704866308</v>
      </c>
      <c r="C1294" s="32">
        <f ca="1">((((1+B1294)^(A1294/252))/((1+B1293)^(A1293/252)))^(252/1))-1</f>
        <v>0.12551426934004239</v>
      </c>
      <c r="D1294" s="30">
        <v>0.13144868704866308</v>
      </c>
      <c r="E1294" s="31">
        <f ca="1">B1294-D1294</f>
        <v>0</v>
      </c>
    </row>
    <row r="1295" spans="1:5" x14ac:dyDescent="0.25">
      <c r="A1295" s="21">
        <v>1294</v>
      </c>
      <c r="B1295" s="5" cm="1">
        <f t="array" aca="1" ref="B1295" ca="1">interpolexp(A1295,serie_du,Taxas_DI)</f>
        <v>0.13144408886696102</v>
      </c>
      <c r="C1295" s="32">
        <f ca="1">((((1+B1295)^(A1295/252))/((1+B1294)^(A1294/252)))^(252/1))-1</f>
        <v>0.12551424552439694</v>
      </c>
      <c r="D1295" s="30">
        <v>0.13144408886696102</v>
      </c>
      <c r="E1295" s="31">
        <f ca="1">B1295-D1295</f>
        <v>0</v>
      </c>
    </row>
    <row r="1296" spans="1:5" x14ac:dyDescent="0.25">
      <c r="A1296" s="21">
        <v>1295</v>
      </c>
      <c r="B1296" s="5" cm="1">
        <f t="array" aca="1" ref="B1296" ca="1">interpolexp(A1296,serie_du,Taxas_DI)</f>
        <v>0.13143949778691155</v>
      </c>
      <c r="C1296" s="32">
        <f ca="1">((((1+B1296)^(A1296/252))/((1+B1295)^(A1295/252)))^(252/1))-1</f>
        <v>0.12551422178266791</v>
      </c>
      <c r="D1296" s="30">
        <v>0.13143949778691155</v>
      </c>
      <c r="E1296" s="31">
        <f ca="1">B1296-D1296</f>
        <v>0</v>
      </c>
    </row>
    <row r="1297" spans="1:5" x14ac:dyDescent="0.25">
      <c r="A1297" s="21">
        <v>1296</v>
      </c>
      <c r="B1297" s="5" cm="1">
        <f t="array" aca="1" ref="B1297" ca="1">interpolexp(A1297,serie_du,Taxas_DI)</f>
        <v>0.13143491379206118</v>
      </c>
      <c r="C1297" s="32">
        <f ca="1">((((1+B1297)^(A1297/252))/((1+B1296)^(A1296/252)))^(252/1))-1</f>
        <v>0.12551419807748987</v>
      </c>
      <c r="D1297" s="30">
        <v>0.13143491379206118</v>
      </c>
      <c r="E1297" s="31">
        <f ca="1">B1297-D1297</f>
        <v>0</v>
      </c>
    </row>
    <row r="1298" spans="1:5" x14ac:dyDescent="0.25">
      <c r="A1298" s="21">
        <v>1297</v>
      </c>
      <c r="B1298" s="5" cm="1">
        <f t="array" aca="1" ref="B1298" ca="1">interpolexp(A1298,serie_du,Taxas_DI)</f>
        <v>0.13143033686604522</v>
      </c>
      <c r="C1298" s="32">
        <f ca="1">((((1+B1298)^(A1298/252))/((1+B1297)^(A1297/252)))^(252/1))-1</f>
        <v>0.12551417445806634</v>
      </c>
      <c r="D1298" s="30">
        <v>0.13143033686604522</v>
      </c>
      <c r="E1298" s="31">
        <f ca="1">B1298-D1298</f>
        <v>0</v>
      </c>
    </row>
    <row r="1299" spans="1:5" x14ac:dyDescent="0.25">
      <c r="A1299" s="21">
        <v>1298</v>
      </c>
      <c r="B1299" s="5" cm="1">
        <f t="array" aca="1" ref="B1299" ca="1">interpolexp(A1299,serie_du,Taxas_DI)</f>
        <v>0.13142576699252118</v>
      </c>
      <c r="C1299" s="32">
        <f ca="1">((((1+B1299)^(A1299/252))/((1+B1298)^(A1298/252)))^(252/1))-1</f>
        <v>0.12551415088767759</v>
      </c>
      <c r="D1299" s="30">
        <v>0.13142576699252118</v>
      </c>
      <c r="E1299" s="31">
        <f ca="1">B1299-D1299</f>
        <v>0</v>
      </c>
    </row>
    <row r="1300" spans="1:5" x14ac:dyDescent="0.25">
      <c r="A1300" s="21">
        <v>1299</v>
      </c>
      <c r="B1300" s="5" cm="1">
        <f t="array" aca="1" ref="B1300" ca="1">interpolexp(A1300,serie_du,Taxas_DI)</f>
        <v>0.13142120415519098</v>
      </c>
      <c r="C1300" s="32">
        <f ca="1">((((1+B1300)^(A1300/252))/((1+B1299)^(A1299/252)))^(252/1))-1</f>
        <v>0.12551412735865908</v>
      </c>
      <c r="D1300" s="30">
        <v>0.13142120415519098</v>
      </c>
      <c r="E1300" s="31">
        <f ca="1">B1300-D1300</f>
        <v>0</v>
      </c>
    </row>
    <row r="1301" spans="1:5" x14ac:dyDescent="0.25">
      <c r="A1301" s="21">
        <v>1300</v>
      </c>
      <c r="B1301" s="5" cm="1">
        <f t="array" aca="1" ref="B1301" ca="1">interpolexp(A1301,serie_du,Taxas_DI)</f>
        <v>0.13141664833780098</v>
      </c>
      <c r="C1301" s="32">
        <f ca="1">((((1+B1301)^(A1301/252))/((1+B1300)^(A1300/252)))^(252/1))-1</f>
        <v>0.12551410386310491</v>
      </c>
      <c r="D1301" s="30">
        <v>0.13141664833780098</v>
      </c>
      <c r="E1301" s="31">
        <f ca="1">B1301-D1301</f>
        <v>0</v>
      </c>
    </row>
    <row r="1302" spans="1:5" x14ac:dyDescent="0.25">
      <c r="A1302" s="21">
        <v>1301</v>
      </c>
      <c r="B1302" s="5" cm="1">
        <f t="array" aca="1" ref="B1302" ca="1">interpolexp(A1302,serie_du,Taxas_DI)</f>
        <v>0.13141209952418631</v>
      </c>
      <c r="C1302" s="32">
        <f ca="1">((((1+B1302)^(A1302/252))/((1+B1301)^(A1301/252)))^(252/1))-1</f>
        <v>0.12551408045141055</v>
      </c>
      <c r="D1302" s="30">
        <v>0.13141209952418631</v>
      </c>
      <c r="E1302" s="31">
        <f ca="1">B1302-D1302</f>
        <v>0</v>
      </c>
    </row>
    <row r="1303" spans="1:5" x14ac:dyDescent="0.25">
      <c r="A1303" s="21">
        <v>1302</v>
      </c>
      <c r="B1303" s="5" cm="1">
        <f t="array" aca="1" ref="B1303" ca="1">interpolexp(A1303,serie_du,Taxas_DI)</f>
        <v>0.13140755769820434</v>
      </c>
      <c r="C1303" s="32">
        <f ca="1">((((1+B1303)^(A1303/252))/((1+B1302)^(A1302/252)))^(252/1))-1</f>
        <v>0.12551405708776753</v>
      </c>
      <c r="D1303" s="30">
        <v>0.13140755769820434</v>
      </c>
      <c r="E1303" s="31">
        <f ca="1">B1303-D1303</f>
        <v>0</v>
      </c>
    </row>
    <row r="1304" spans="1:5" x14ac:dyDescent="0.25">
      <c r="A1304" s="21">
        <v>1303</v>
      </c>
      <c r="B1304" s="5" cm="1">
        <f t="array" aca="1" ref="B1304" ca="1">interpolexp(A1304,serie_du,Taxas_DI)</f>
        <v>0.13140302284375682</v>
      </c>
      <c r="C1304" s="32">
        <f ca="1">((((1+B1304)^(A1304/252))/((1+B1303)^(A1303/252)))^(252/1))-1</f>
        <v>0.1255140337652676</v>
      </c>
      <c r="D1304" s="30">
        <v>0.13140302284375682</v>
      </c>
      <c r="E1304" s="31">
        <f ca="1">B1304-D1304</f>
        <v>0</v>
      </c>
    </row>
    <row r="1305" spans="1:5" x14ac:dyDescent="0.25">
      <c r="A1305" s="21">
        <v>1304</v>
      </c>
      <c r="B1305" s="5" cm="1">
        <f t="array" aca="1" ref="B1305" ca="1">interpolexp(A1305,serie_du,Taxas_DI)</f>
        <v>0.13139849494483435</v>
      </c>
      <c r="C1305" s="32">
        <f ca="1">((((1+B1305)^(A1305/252))/((1+B1304)^(A1304/252)))^(252/1))-1</f>
        <v>0.12551401053500055</v>
      </c>
      <c r="D1305" s="30">
        <v>0.13139849494483435</v>
      </c>
      <c r="E1305" s="31">
        <f ca="1">B1305-D1305</f>
        <v>0</v>
      </c>
    </row>
    <row r="1306" spans="1:5" x14ac:dyDescent="0.25">
      <c r="A1306" s="21">
        <v>1305</v>
      </c>
      <c r="B1306" s="5" cm="1">
        <f t="array" aca="1" ref="B1306" ca="1">interpolexp(A1306,serie_du,Taxas_DI)</f>
        <v>0.13139397398540531</v>
      </c>
      <c r="C1306" s="32">
        <f ca="1">((((1+B1306)^(A1306/252))/((1+B1305)^(A1305/252)))^(252/1))-1</f>
        <v>0.12551398730421504</v>
      </c>
      <c r="D1306" s="30">
        <v>0.13139397398540531</v>
      </c>
      <c r="E1306" s="31">
        <f ca="1">B1306-D1306</f>
        <v>0</v>
      </c>
    </row>
    <row r="1307" spans="1:5" x14ac:dyDescent="0.25">
      <c r="A1307" s="21">
        <v>1306</v>
      </c>
      <c r="B1307" s="5" cm="1">
        <f t="array" aca="1" ref="B1307" ca="1">interpolexp(A1307,serie_du,Taxas_DI)</f>
        <v>0.13138945994954909</v>
      </c>
      <c r="C1307" s="32">
        <f ca="1">((((1+B1307)^(A1307/252))/((1+B1306)^(A1306/252)))^(252/1))-1</f>
        <v>0.1255139641532006</v>
      </c>
      <c r="D1307" s="30">
        <v>0.13138945994954909</v>
      </c>
      <c r="E1307" s="31">
        <f ca="1">B1307-D1307</f>
        <v>0</v>
      </c>
    </row>
    <row r="1308" spans="1:5" x14ac:dyDescent="0.25">
      <c r="A1308" s="21">
        <v>1307</v>
      </c>
      <c r="B1308" s="5" cm="1">
        <f t="array" aca="1" ref="B1308" ca="1">interpolexp(A1308,serie_du,Taxas_DI)</f>
        <v>0.13138495282136731</v>
      </c>
      <c r="C1308" s="32">
        <f ca="1">((((1+B1308)^(A1308/252))/((1+B1307)^(A1307/252)))^(252/1))-1</f>
        <v>0.12551394104727542</v>
      </c>
      <c r="D1308" s="30">
        <v>0.13138495282136731</v>
      </c>
      <c r="E1308" s="31">
        <f ca="1">B1308-D1308</f>
        <v>0</v>
      </c>
    </row>
    <row r="1309" spans="1:5" x14ac:dyDescent="0.25">
      <c r="A1309" s="21">
        <v>1308</v>
      </c>
      <c r="B1309" s="5" cm="1">
        <f t="array" aca="1" ref="B1309" ca="1">interpolexp(A1309,serie_du,Taxas_DI)</f>
        <v>0.13138045258502817</v>
      </c>
      <c r="C1309" s="32">
        <f ca="1">((((1+B1309)^(A1309/252))/((1+B1308)^(A1308/252)))^(252/1))-1</f>
        <v>0.12551391800973977</v>
      </c>
      <c r="D1309" s="30">
        <v>0.13138045258502817</v>
      </c>
      <c r="E1309" s="31">
        <f ca="1">B1309-D1309</f>
        <v>0</v>
      </c>
    </row>
    <row r="1310" spans="1:5" x14ac:dyDescent="0.25">
      <c r="A1310" s="21">
        <v>1309</v>
      </c>
      <c r="B1310" s="5" cm="1">
        <f t="array" aca="1" ref="B1310" ca="1">interpolexp(A1310,serie_du,Taxas_DI)</f>
        <v>0.13137595922474432</v>
      </c>
      <c r="C1310" s="32">
        <f ca="1">((((1+B1310)^(A1310/252))/((1+B1309)^(A1309/252)))^(252/1))-1</f>
        <v>0.12551389503522059</v>
      </c>
      <c r="D1310" s="30">
        <v>0.13137595922474432</v>
      </c>
      <c r="E1310" s="31">
        <f ca="1">B1310-D1310</f>
        <v>0</v>
      </c>
    </row>
    <row r="1311" spans="1:5" x14ac:dyDescent="0.25">
      <c r="A1311" s="21">
        <v>1310</v>
      </c>
      <c r="B1311" s="5" cm="1">
        <f t="array" aca="1" ref="B1311" ca="1">interpolexp(A1311,serie_du,Taxas_DI)</f>
        <v>0.13137147272472838</v>
      </c>
      <c r="C1311" s="32">
        <f ca="1">((((1+B1311)^(A1311/252))/((1+B1310)^(A1310/252)))^(252/1))-1</f>
        <v>0.12551387206084974</v>
      </c>
      <c r="D1311" s="30">
        <v>0.13137147272472838</v>
      </c>
      <c r="E1311" s="31">
        <f ca="1">B1311-D1311</f>
        <v>0</v>
      </c>
    </row>
    <row r="1312" spans="1:5" x14ac:dyDescent="0.25">
      <c r="A1312" s="21">
        <v>1311</v>
      </c>
      <c r="B1312" s="5" cm="1">
        <f t="array" aca="1" ref="B1312" ca="1">interpolexp(A1312,serie_du,Taxas_DI)</f>
        <v>0.1313669930693262</v>
      </c>
      <c r="C1312" s="32">
        <f ca="1">((((1+B1312)^(A1312/252))/((1+B1311)^(A1311/252)))^(252/1))-1</f>
        <v>0.12551384919725939</v>
      </c>
      <c r="D1312" s="30">
        <v>0.1313669930693262</v>
      </c>
      <c r="E1312" s="31">
        <f ca="1">B1312-D1312</f>
        <v>0</v>
      </c>
    </row>
    <row r="1313" spans="1:5" x14ac:dyDescent="0.25">
      <c r="A1313" s="21">
        <v>1312</v>
      </c>
      <c r="B1313" s="5" cm="1">
        <f t="array" aca="1" ref="B1313" ca="1">interpolexp(A1313,serie_du,Taxas_DI)</f>
        <v>0.13136252024286144</v>
      </c>
      <c r="C1313" s="32">
        <f ca="1">((((1+B1313)^(A1313/252))/((1+B1312)^(A1312/252)))^(252/1))-1</f>
        <v>0.12551382635310526</v>
      </c>
      <c r="D1313" s="30">
        <v>0.13136252024286144</v>
      </c>
      <c r="E1313" s="31">
        <f ca="1">B1313-D1313</f>
        <v>0</v>
      </c>
    </row>
    <row r="1314" spans="1:5" x14ac:dyDescent="0.25">
      <c r="A1314" s="21">
        <v>1313</v>
      </c>
      <c r="B1314" s="5" cm="1">
        <f t="array" aca="1" ref="B1314" ca="1">interpolexp(A1314,serie_du,Taxas_DI)</f>
        <v>0.13135805422972435</v>
      </c>
      <c r="C1314" s="32">
        <f ca="1">((((1+B1314)^(A1314/252))/((1+B1313)^(A1313/252)))^(252/1))-1</f>
        <v>0.12551380355279163</v>
      </c>
      <c r="D1314" s="30">
        <v>0.13135805422972435</v>
      </c>
      <c r="E1314" s="31">
        <f ca="1">B1314-D1314</f>
        <v>0</v>
      </c>
    </row>
    <row r="1315" spans="1:5" x14ac:dyDescent="0.25">
      <c r="A1315" s="21">
        <v>1314</v>
      </c>
      <c r="B1315" s="5" cm="1">
        <f t="array" aca="1" ref="B1315" ca="1">interpolexp(A1315,serie_du,Taxas_DI)</f>
        <v>0.13135359501439403</v>
      </c>
      <c r="C1315" s="32">
        <f ca="1">((((1+B1315)^(A1315/252))/((1+B1314)^(A1314/252)))^(252/1))-1</f>
        <v>0.1255137808501614</v>
      </c>
      <c r="D1315" s="30">
        <v>0.13135359501439403</v>
      </c>
      <c r="E1315" s="31">
        <f ca="1">B1315-D1315</f>
        <v>0</v>
      </c>
    </row>
    <row r="1316" spans="1:5" x14ac:dyDescent="0.25">
      <c r="A1316" s="21">
        <v>1315</v>
      </c>
      <c r="B1316" s="5" cm="1">
        <f t="array" aca="1" ref="B1316" ca="1">interpolexp(A1316,serie_du,Taxas_DI)</f>
        <v>0.13134914258130514</v>
      </c>
      <c r="C1316" s="32">
        <f ca="1">((((1+B1316)^(A1316/252))/((1+B1315)^(A1315/252)))^(252/1))-1</f>
        <v>0.12551375812531584</v>
      </c>
      <c r="D1316" s="30">
        <v>0.13134914258130514</v>
      </c>
      <c r="E1316" s="31">
        <f ca="1">B1316-D1316</f>
        <v>0</v>
      </c>
    </row>
    <row r="1317" spans="1:5" x14ac:dyDescent="0.25">
      <c r="A1317" s="21">
        <v>1316</v>
      </c>
      <c r="B1317" s="5" cm="1">
        <f t="array" aca="1" ref="B1317" ca="1">interpolexp(A1317,serie_du,Taxas_DI)</f>
        <v>0.13134469691507</v>
      </c>
      <c r="C1317" s="32">
        <f ca="1">((((1+B1317)^(A1317/252))/((1+B1316)^(A1316/252)))^(252/1))-1</f>
        <v>0.12551373554851564</v>
      </c>
      <c r="D1317" s="30">
        <v>0.13134469691507</v>
      </c>
      <c r="E1317" s="31">
        <f ca="1">B1317-D1317</f>
        <v>0</v>
      </c>
    </row>
    <row r="1318" spans="1:5" x14ac:dyDescent="0.25">
      <c r="A1318" s="21">
        <v>1317</v>
      </c>
      <c r="B1318" s="5" cm="1">
        <f t="array" aca="1" ref="B1318" ca="1">interpolexp(A1318,serie_du,Taxas_DI)</f>
        <v>0.13134025800018989</v>
      </c>
      <c r="C1318" s="32">
        <f ca="1">((((1+B1318)^(A1318/252))/((1+B1317)^(A1317/252)))^(252/1))-1</f>
        <v>0.12551371291306634</v>
      </c>
      <c r="D1318" s="30">
        <v>0.13134025800018989</v>
      </c>
      <c r="E1318" s="31">
        <f ca="1">B1318-D1318</f>
        <v>0</v>
      </c>
    </row>
    <row r="1319" spans="1:5" x14ac:dyDescent="0.25">
      <c r="A1319" s="21">
        <v>1318</v>
      </c>
      <c r="B1319" s="5" cm="1">
        <f t="array" aca="1" ref="B1319" ca="1">interpolexp(A1319,serie_du,Taxas_DI)</f>
        <v>0.13133582582136594</v>
      </c>
      <c r="C1319" s="32">
        <f ca="1">((((1+B1319)^(A1319/252))/((1+B1318)^(A1318/252)))^(252/1))-1</f>
        <v>0.1255136904190326</v>
      </c>
      <c r="D1319" s="30">
        <v>0.13133582582136594</v>
      </c>
      <c r="E1319" s="31">
        <f ca="1">B1319-D1319</f>
        <v>0</v>
      </c>
    </row>
    <row r="1320" spans="1:5" x14ac:dyDescent="0.25">
      <c r="A1320" s="21">
        <v>1319</v>
      </c>
      <c r="B1320" s="5" cm="1">
        <f t="array" aca="1" ref="B1320" ca="1">interpolexp(A1320,serie_du,Taxas_DI)</f>
        <v>0.13133140036325486</v>
      </c>
      <c r="C1320" s="32">
        <f ca="1">((((1+B1320)^(A1320/252))/((1+B1319)^(A1319/252)))^(252/1))-1</f>
        <v>0.12551366794717955</v>
      </c>
      <c r="D1320" s="30">
        <v>0.13133140036325486</v>
      </c>
      <c r="E1320" s="31">
        <f ca="1">B1320-D1320</f>
        <v>0</v>
      </c>
    </row>
    <row r="1321" spans="1:5" x14ac:dyDescent="0.25">
      <c r="A1321" s="21">
        <v>1320</v>
      </c>
      <c r="B1321" s="5" cm="1">
        <f t="array" aca="1" ref="B1321" ca="1">interpolexp(A1321,serie_du,Taxas_DI)</f>
        <v>0.13132698161057998</v>
      </c>
      <c r="C1321" s="32">
        <f ca="1">((((1+B1321)^(A1321/252))/((1+B1320)^(A1320/252)))^(252/1))-1</f>
        <v>0.12551364552385769</v>
      </c>
      <c r="D1321" s="30">
        <v>0.13132698161057998</v>
      </c>
      <c r="E1321" s="31">
        <f ca="1">B1321-D1321</f>
        <v>0</v>
      </c>
    </row>
    <row r="1322" spans="1:5" x14ac:dyDescent="0.25">
      <c r="A1322" s="21">
        <v>1321</v>
      </c>
      <c r="B1322" s="5" cm="1">
        <f t="array" aca="1" ref="B1322" ca="1">interpolexp(A1322,serie_du,Taxas_DI)</f>
        <v>0.13132256954808685</v>
      </c>
      <c r="C1322" s="32">
        <f ca="1">((((1+B1322)^(A1322/252))/((1+B1321)^(A1321/252)))^(252/1))-1</f>
        <v>0.12551362311716097</v>
      </c>
      <c r="D1322" s="30">
        <v>0.13132256954808685</v>
      </c>
      <c r="E1322" s="31">
        <f ca="1">B1322-D1322</f>
        <v>0</v>
      </c>
    </row>
    <row r="1323" spans="1:5" x14ac:dyDescent="0.25">
      <c r="A1323" s="21">
        <v>1322</v>
      </c>
      <c r="B1323" s="5" cm="1">
        <f t="array" aca="1" ref="B1323" ca="1">interpolexp(A1323,serie_du,Taxas_DI)</f>
        <v>0.13131816416065423</v>
      </c>
      <c r="C1323" s="32">
        <f ca="1">((((1+B1323)^(A1323/252))/((1+B1322)^(A1322/252)))^(252/1))-1</f>
        <v>0.12551360084145324</v>
      </c>
      <c r="D1323" s="30">
        <v>0.13131816416065423</v>
      </c>
      <c r="E1323" s="31">
        <f ca="1">B1323-D1323</f>
        <v>0</v>
      </c>
    </row>
    <row r="1324" spans="1:5" x14ac:dyDescent="0.25">
      <c r="A1324" s="21">
        <v>1323</v>
      </c>
      <c r="B1324" s="5" cm="1">
        <f t="array" aca="1" ref="B1324" ca="1">interpolexp(A1324,serie_du,Taxas_DI)</f>
        <v>0.13131376543309425</v>
      </c>
      <c r="C1324" s="32">
        <f ca="1">((((1+B1324)^(A1324/252))/((1+B1323)^(A1323/252)))^(252/1))-1</f>
        <v>0.12551357854887168</v>
      </c>
      <c r="D1324" s="30">
        <v>0.13131376543309425</v>
      </c>
      <c r="E1324" s="31">
        <f ca="1">B1324-D1324</f>
        <v>0</v>
      </c>
    </row>
    <row r="1325" spans="1:5" x14ac:dyDescent="0.25">
      <c r="A1325" s="21">
        <v>1324</v>
      </c>
      <c r="B1325" s="5" cm="1">
        <f t="array" aca="1" ref="B1325" ca="1">interpolexp(A1325,serie_du,Taxas_DI)</f>
        <v>0.1313093733503079</v>
      </c>
      <c r="C1325" s="32">
        <f ca="1">((((1+B1325)^(A1325/252))/((1+B1324)^(A1324/252)))^(252/1))-1</f>
        <v>0.12551355629572414</v>
      </c>
      <c r="D1325" s="30">
        <v>0.1313093733503079</v>
      </c>
      <c r="E1325" s="31">
        <f ca="1">B1325-D1325</f>
        <v>0</v>
      </c>
    </row>
    <row r="1326" spans="1:5" x14ac:dyDescent="0.25">
      <c r="A1326" s="21">
        <v>1325</v>
      </c>
      <c r="B1326" s="5" cm="1">
        <f t="array" aca="1" ref="B1326" ca="1">interpolexp(A1326,serie_du,Taxas_DI)</f>
        <v>0.13130498789728495</v>
      </c>
      <c r="C1326" s="32">
        <f ca="1">((((1+B1326)^(A1326/252))/((1+B1325)^(A1325/252)))^(252/1))-1</f>
        <v>0.12551353413871613</v>
      </c>
      <c r="D1326" s="30">
        <v>0.13130498789728495</v>
      </c>
      <c r="E1326" s="31">
        <f ca="1">B1326-D1326</f>
        <v>0</v>
      </c>
    </row>
    <row r="1327" spans="1:5" x14ac:dyDescent="0.25">
      <c r="A1327" s="21">
        <v>1326</v>
      </c>
      <c r="B1327" s="5" cm="1">
        <f t="array" aca="1" ref="B1327" ca="1">interpolexp(A1327,serie_du,Taxas_DI)</f>
        <v>0.1313006090590374</v>
      </c>
      <c r="C1327" s="32">
        <f ca="1">((((1+B1327)^(A1327/252))/((1+B1326)^(A1326/252)))^(252/1))-1</f>
        <v>0.12551351204760031</v>
      </c>
      <c r="D1327" s="30">
        <v>0.1313006090590374</v>
      </c>
      <c r="E1327" s="31">
        <f ca="1">B1327-D1327</f>
        <v>0</v>
      </c>
    </row>
    <row r="1328" spans="1:5" x14ac:dyDescent="0.25">
      <c r="A1328" s="21">
        <v>1327</v>
      </c>
      <c r="B1328" s="5" cm="1">
        <f t="array" aca="1" ref="B1328" ca="1">interpolexp(A1328,serie_du,Taxas_DI)</f>
        <v>0.13129623682055502</v>
      </c>
      <c r="C1328" s="32">
        <f ca="1">((((1+B1328)^(A1328/252))/((1+B1327)^(A1327/252)))^(252/1))-1</f>
        <v>0.12551348993284206</v>
      </c>
      <c r="D1328" s="30">
        <v>0.13129623682055502</v>
      </c>
      <c r="E1328" s="31">
        <f ca="1">B1328-D1328</f>
        <v>0</v>
      </c>
    </row>
    <row r="1329" spans="1:5" x14ac:dyDescent="0.25">
      <c r="A1329" s="21">
        <v>1328</v>
      </c>
      <c r="B1329" s="5" cm="1">
        <f t="array" aca="1" ref="B1329" ca="1">interpolexp(A1329,serie_du,Taxas_DI)</f>
        <v>0.13129187116696084</v>
      </c>
      <c r="C1329" s="32">
        <f ca="1">((((1+B1329)^(A1329/252))/((1+B1328)^(A1328/252)))^(252/1))-1</f>
        <v>0.12551346791088536</v>
      </c>
      <c r="D1329" s="30">
        <v>0.13129187116696084</v>
      </c>
      <c r="E1329" s="31">
        <f ca="1">B1329-D1329</f>
        <v>0</v>
      </c>
    </row>
    <row r="1330" spans="1:5" x14ac:dyDescent="0.25">
      <c r="A1330" s="21">
        <v>1329</v>
      </c>
      <c r="B1330" s="5" cm="1">
        <f t="array" aca="1" ref="B1330" ca="1">interpolexp(A1330,serie_du,Taxas_DI)</f>
        <v>0.13128751208342226</v>
      </c>
      <c r="C1330" s="32">
        <f ca="1">((((1+B1330)^(A1330/252))/((1+B1329)^(A1329/252)))^(252/1))-1</f>
        <v>0.12551344598103542</v>
      </c>
      <c r="D1330" s="30">
        <v>0.13128751208342226</v>
      </c>
      <c r="E1330" s="31">
        <f ca="1">B1330-D1330</f>
        <v>0</v>
      </c>
    </row>
    <row r="1331" spans="1:5" x14ac:dyDescent="0.25">
      <c r="A1331" s="21">
        <v>1330</v>
      </c>
      <c r="B1331" s="5" cm="1">
        <f t="array" aca="1" ref="B1331" ca="1">interpolexp(A1331,serie_du,Taxas_DI)</f>
        <v>0.13128315955506231</v>
      </c>
      <c r="C1331" s="32">
        <f ca="1">((((1+B1331)^(A1331/252))/((1+B1330)^(A1330/252)))^(252/1))-1</f>
        <v>0.1255134240251492</v>
      </c>
      <c r="D1331" s="30">
        <v>0.13128315955506231</v>
      </c>
      <c r="E1331" s="31">
        <f ca="1">B1331-D1331</f>
        <v>0</v>
      </c>
    </row>
    <row r="1332" spans="1:5" x14ac:dyDescent="0.25">
      <c r="A1332" s="21">
        <v>1331</v>
      </c>
      <c r="B1332" s="5" cm="1">
        <f t="array" aca="1" ref="B1332" ca="1">interpolexp(A1332,serie_du,Taxas_DI)</f>
        <v>0.13127881356711502</v>
      </c>
      <c r="C1332" s="32">
        <f ca="1">((((1+B1332)^(A1332/252))/((1+B1331)^(A1331/252)))^(252/1))-1</f>
        <v>0.12551340213118412</v>
      </c>
      <c r="D1332" s="30">
        <v>0.13127881356711502</v>
      </c>
      <c r="E1332" s="31">
        <f ca="1">B1332-D1332</f>
        <v>0</v>
      </c>
    </row>
    <row r="1333" spans="1:5" x14ac:dyDescent="0.25">
      <c r="A1333" s="21">
        <v>1332</v>
      </c>
      <c r="B1333" s="5" cm="1">
        <f t="array" aca="1" ref="B1333" ca="1">interpolexp(A1333,serie_du,Taxas_DI)</f>
        <v>0.13127447410488102</v>
      </c>
      <c r="C1333" s="32">
        <f ca="1">((((1+B1333)^(A1333/252))/((1+B1332)^(A1332/252)))^(252/1))-1</f>
        <v>0.12551338032841786</v>
      </c>
      <c r="D1333" s="30">
        <v>0.13127447410488102</v>
      </c>
      <c r="E1333" s="31">
        <f ca="1">B1333-D1333</f>
        <v>0</v>
      </c>
    </row>
    <row r="1334" spans="1:5" x14ac:dyDescent="0.25">
      <c r="A1334" s="21">
        <v>1333</v>
      </c>
      <c r="B1334" s="5" cm="1">
        <f t="array" aca="1" ref="B1334" ca="1">interpolexp(A1334,serie_du,Taxas_DI)</f>
        <v>0.13127014115366098</v>
      </c>
      <c r="C1334" s="32">
        <f ca="1">((((1+B1334)^(A1334/252))/((1+B1333)^(A1333/252)))^(252/1))-1</f>
        <v>0.12551335855806234</v>
      </c>
      <c r="D1334" s="30">
        <v>0.13127014115366098</v>
      </c>
      <c r="E1334" s="31">
        <f ca="1">B1334-D1334</f>
        <v>0</v>
      </c>
    </row>
    <row r="1335" spans="1:5" x14ac:dyDescent="0.25">
      <c r="A1335" s="21">
        <v>1334</v>
      </c>
      <c r="B1335" s="5" cm="1">
        <f t="array" aca="1" ref="B1335" ca="1">interpolexp(A1335,serie_du,Taxas_DI)</f>
        <v>0.13126581469879994</v>
      </c>
      <c r="C1335" s="32">
        <f ca="1">((((1+B1335)^(A1335/252))/((1+B1334)^(A1334/252)))^(252/1))-1</f>
        <v>0.12551333682044663</v>
      </c>
      <c r="D1335" s="30">
        <v>0.13126581469879994</v>
      </c>
      <c r="E1335" s="31">
        <f ca="1">B1335-D1335</f>
        <v>0</v>
      </c>
    </row>
    <row r="1336" spans="1:5" x14ac:dyDescent="0.25">
      <c r="A1336" s="21">
        <v>1335</v>
      </c>
      <c r="B1336" s="5" cm="1">
        <f t="array" aca="1" ref="B1336" ca="1">interpolexp(A1336,serie_du,Taxas_DI)</f>
        <v>0.13126149472570958</v>
      </c>
      <c r="C1336" s="32">
        <f ca="1">((((1+B1336)^(A1336/252))/((1+B1335)^(A1335/252)))^(252/1))-1</f>
        <v>0.12551331514579434</v>
      </c>
      <c r="D1336" s="30">
        <v>0.13126149472570958</v>
      </c>
      <c r="E1336" s="31">
        <f ca="1">B1336-D1336</f>
        <v>0</v>
      </c>
    </row>
    <row r="1337" spans="1:5" x14ac:dyDescent="0.25">
      <c r="A1337" s="21">
        <v>1336</v>
      </c>
      <c r="B1337" s="5" cm="1">
        <f t="array" aca="1" ref="B1337" ca="1">interpolexp(A1337,serie_du,Taxas_DI)</f>
        <v>0.13125718121982377</v>
      </c>
      <c r="C1337" s="32">
        <f ca="1">((((1+B1337)^(A1337/252))/((1+B1336)^(A1336/252)))^(252/1))-1</f>
        <v>0.12551329350517682</v>
      </c>
      <c r="D1337" s="30">
        <v>0.13125718121982377</v>
      </c>
      <c r="E1337" s="31">
        <f ca="1">B1337-D1337</f>
        <v>0</v>
      </c>
    </row>
    <row r="1338" spans="1:5" x14ac:dyDescent="0.25">
      <c r="A1338" s="21">
        <v>1337</v>
      </c>
      <c r="B1338" s="5" cm="1">
        <f t="array" aca="1" ref="B1338" ca="1">interpolexp(A1338,serie_du,Taxas_DI)</f>
        <v>0.131252874166643</v>
      </c>
      <c r="C1338" s="32">
        <f ca="1">((((1+B1338)^(A1338/252))/((1+B1337)^(A1337/252)))^(252/1))-1</f>
        <v>0.1255132719291352</v>
      </c>
      <c r="D1338" s="30">
        <v>0.131252874166643</v>
      </c>
      <c r="E1338" s="31">
        <f ca="1">B1338-D1338</f>
        <v>0</v>
      </c>
    </row>
    <row r="1339" spans="1:5" x14ac:dyDescent="0.25">
      <c r="A1339" s="21">
        <v>1338</v>
      </c>
      <c r="B1339" s="5" cm="1">
        <f t="array" aca="1" ref="B1339" ca="1">interpolexp(A1339,serie_du,Taxas_DI)</f>
        <v>0.13124857355168995</v>
      </c>
      <c r="C1339" s="32">
        <f ca="1">((((1+B1339)^(A1339/252))/((1+B1338)^(A1338/252)))^(252/1))-1</f>
        <v>0.12551325038949268</v>
      </c>
      <c r="D1339" s="30">
        <v>0.13124857355168995</v>
      </c>
      <c r="E1339" s="31">
        <f ca="1">B1339-D1339</f>
        <v>0</v>
      </c>
    </row>
    <row r="1340" spans="1:5" x14ac:dyDescent="0.25">
      <c r="A1340" s="21">
        <v>1339</v>
      </c>
      <c r="B1340" s="5" cm="1">
        <f t="array" aca="1" ref="B1340" ca="1">interpolexp(A1340,serie_du,Taxas_DI)</f>
        <v>0.13124427936053173</v>
      </c>
      <c r="C1340" s="32">
        <f ca="1">((((1+B1340)^(A1340/252))/((1+B1339)^(A1339/252)))^(252/1))-1</f>
        <v>0.12551322888758887</v>
      </c>
      <c r="D1340" s="30">
        <v>0.13124427936053173</v>
      </c>
      <c r="E1340" s="31">
        <f ca="1">B1340-D1340</f>
        <v>0</v>
      </c>
    </row>
    <row r="1341" spans="1:5" x14ac:dyDescent="0.25">
      <c r="A1341" s="21">
        <v>1340</v>
      </c>
      <c r="B1341" s="5" cm="1">
        <f t="array" aca="1" ref="B1341" ca="1">interpolexp(A1341,serie_du,Taxas_DI)</f>
        <v>0.13123999157882427</v>
      </c>
      <c r="C1341" s="32">
        <f ca="1">((((1+B1341)^(A1341/252))/((1+B1340)^(A1340/252)))^(252/1))-1</f>
        <v>0.1255132074841534</v>
      </c>
      <c r="D1341" s="30">
        <v>0.13123999157882427</v>
      </c>
      <c r="E1341" s="31">
        <f ca="1">B1341-D1341</f>
        <v>0</v>
      </c>
    </row>
    <row r="1342" spans="1:5" x14ac:dyDescent="0.25">
      <c r="A1342" s="21">
        <v>1341</v>
      </c>
      <c r="B1342" s="5" cm="1">
        <f t="array" aca="1" ref="B1342" ca="1">interpolexp(A1342,serie_du,Taxas_DI)</f>
        <v>0.13123571019217906</v>
      </c>
      <c r="C1342" s="32">
        <f ca="1">((((1+B1342)^(A1342/252))/((1+B1341)^(A1341/252)))^(252/1))-1</f>
        <v>0.12551318606286199</v>
      </c>
      <c r="D1342" s="30">
        <v>0.13123571019217906</v>
      </c>
      <c r="E1342" s="31">
        <f ca="1">B1342-D1342</f>
        <v>0</v>
      </c>
    </row>
    <row r="1343" spans="1:5" x14ac:dyDescent="0.25">
      <c r="A1343" s="21">
        <v>1342</v>
      </c>
      <c r="B1343" s="5" cm="1">
        <f t="array" aca="1" ref="B1343" ca="1">interpolexp(A1343,serie_du,Taxas_DI)</f>
        <v>0.13123143518631863</v>
      </c>
      <c r="C1343" s="32">
        <f ca="1">((((1+B1343)^(A1343/252))/((1+B1342)^(A1342/252)))^(252/1))-1</f>
        <v>0.12551316471440943</v>
      </c>
      <c r="D1343" s="30">
        <v>0.13123143518631863</v>
      </c>
      <c r="E1343" s="31">
        <f ca="1">B1343-D1343</f>
        <v>0</v>
      </c>
    </row>
    <row r="1344" spans="1:5" x14ac:dyDescent="0.25">
      <c r="A1344" s="21">
        <v>1343</v>
      </c>
      <c r="B1344" s="5" cm="1">
        <f t="array" aca="1" ref="B1344" ca="1">interpolexp(A1344,serie_du,Taxas_DI)</f>
        <v>0.13122716654700994</v>
      </c>
      <c r="C1344" s="32">
        <f ca="1">((((1+B1344)^(A1344/252))/((1+B1343)^(A1343/252)))^(252/1))-1</f>
        <v>0.12551314344126951</v>
      </c>
      <c r="D1344" s="30">
        <v>0.13122716654700994</v>
      </c>
      <c r="E1344" s="31">
        <f ca="1">B1344-D1344</f>
        <v>0</v>
      </c>
    </row>
    <row r="1345" spans="1:5" x14ac:dyDescent="0.25">
      <c r="A1345" s="21">
        <v>1344</v>
      </c>
      <c r="B1345" s="5" cm="1">
        <f t="array" aca="1" ref="B1345" ca="1">interpolexp(A1345,serie_du,Taxas_DI)</f>
        <v>0.13122290426001992</v>
      </c>
      <c r="C1345" s="32">
        <f ca="1">((((1+B1345)^(A1345/252))/((1+B1344)^(A1344/252)))^(252/1))-1</f>
        <v>0.12551312218664634</v>
      </c>
      <c r="D1345" s="30">
        <v>0.13122290426001992</v>
      </c>
      <c r="E1345" s="31">
        <f ca="1">B1345-D1345</f>
        <v>0</v>
      </c>
    </row>
    <row r="1346" spans="1:5" x14ac:dyDescent="0.25">
      <c r="A1346" s="21">
        <v>1345</v>
      </c>
      <c r="B1346" s="5" cm="1">
        <f t="array" aca="1" ref="B1346" ca="1">interpolexp(A1346,serie_du,Taxas_DI)</f>
        <v>0.13121864831118213</v>
      </c>
      <c r="C1346" s="32">
        <f ca="1">((((1+B1346)^(A1346/252))/((1+B1345)^(A1345/252)))^(252/1))-1</f>
        <v>0.12551310098286628</v>
      </c>
      <c r="D1346" s="30">
        <v>0.13121864831118213</v>
      </c>
      <c r="E1346" s="31">
        <f ca="1">B1346-D1346</f>
        <v>0</v>
      </c>
    </row>
    <row r="1347" spans="1:5" x14ac:dyDescent="0.25">
      <c r="A1347" s="21">
        <v>1346</v>
      </c>
      <c r="B1347" s="5" cm="1">
        <f t="array" aca="1" ref="B1347" ca="1">interpolexp(A1347,serie_du,Taxas_DI)</f>
        <v>0.13121439868637452</v>
      </c>
      <c r="C1347" s="32">
        <f ca="1">((((1+B1347)^(A1347/252))/((1+B1346)^(A1346/252)))^(252/1))-1</f>
        <v>0.12551307983284166</v>
      </c>
      <c r="D1347" s="30">
        <v>0.13121439868637452</v>
      </c>
      <c r="E1347" s="31">
        <f ca="1">B1347-D1347</f>
        <v>0</v>
      </c>
    </row>
    <row r="1348" spans="1:5" x14ac:dyDescent="0.25">
      <c r="A1348" s="21">
        <v>1347</v>
      </c>
      <c r="B1348" s="5" cm="1">
        <f t="array" aca="1" ref="B1348" ca="1">interpolexp(A1348,serie_du,Taxas_DI)</f>
        <v>0.13121015537151948</v>
      </c>
      <c r="C1348" s="32">
        <f ca="1">((((1+B1348)^(A1348/252))/((1+B1347)^(A1347/252)))^(252/1))-1</f>
        <v>0.12551305873980856</v>
      </c>
      <c r="D1348" s="30">
        <v>0.13121015537151948</v>
      </c>
      <c r="E1348" s="31">
        <f ca="1">B1348-D1348</f>
        <v>0</v>
      </c>
    </row>
    <row r="1349" spans="1:5" x14ac:dyDescent="0.25">
      <c r="A1349" s="21">
        <v>1348</v>
      </c>
      <c r="B1349" s="5" cm="1">
        <f t="array" aca="1" ref="B1349" ca="1">interpolexp(A1349,serie_du,Taxas_DI)</f>
        <v>0.13120591835253936</v>
      </c>
      <c r="C1349" s="32">
        <f ca="1">((((1+B1349)^(A1349/252))/((1+B1348)^(A1348/252)))^(252/1))-1</f>
        <v>0.12551303764762967</v>
      </c>
      <c r="D1349" s="30">
        <v>0.13120591835253936</v>
      </c>
      <c r="E1349" s="31">
        <f ca="1">B1349-D1349</f>
        <v>0</v>
      </c>
    </row>
    <row r="1350" spans="1:5" x14ac:dyDescent="0.25">
      <c r="A1350" s="21">
        <v>1349</v>
      </c>
      <c r="B1350" s="5" cm="1">
        <f t="array" aca="1" ref="B1350" ca="1">interpolexp(A1350,serie_du,Taxas_DI)</f>
        <v>0.13120168761548978</v>
      </c>
      <c r="C1350" s="32">
        <f ca="1">((((1+B1350)^(A1350/252))/((1+B1349)^(A1349/252)))^(252/1))-1</f>
        <v>0.12551301667879589</v>
      </c>
      <c r="D1350" s="30">
        <v>0.13120168761548978</v>
      </c>
      <c r="E1350" s="31">
        <f ca="1">B1350-D1350</f>
        <v>0</v>
      </c>
    </row>
    <row r="1351" spans="1:5" x14ac:dyDescent="0.25">
      <c r="A1351" s="21">
        <v>1350</v>
      </c>
      <c r="B1351" s="5" cm="1">
        <f t="array" aca="1" ref="B1351" ca="1">interpolexp(A1351,serie_du,Taxas_DI)</f>
        <v>0.13119746314633751</v>
      </c>
      <c r="C1351" s="32">
        <f ca="1">((((1+B1351)^(A1351/252))/((1+B1350)^(A1350/252)))^(252/1))-1</f>
        <v>0.12551299565858098</v>
      </c>
      <c r="D1351" s="30">
        <v>0.13119746314633751</v>
      </c>
      <c r="E1351" s="31">
        <f ca="1">B1351-D1351</f>
        <v>0</v>
      </c>
    </row>
    <row r="1352" spans="1:5" x14ac:dyDescent="0.25">
      <c r="A1352" s="21">
        <v>1351</v>
      </c>
      <c r="B1352" s="5" cm="1">
        <f t="array" aca="1" ref="B1352" ca="1">interpolexp(A1352,serie_du,Taxas_DI)</f>
        <v>0.13119324493122697</v>
      </c>
      <c r="C1352" s="32">
        <f ca="1">((((1+B1352)^(A1352/252))/((1+B1351)^(A1351/252)))^(252/1))-1</f>
        <v>0.12551297476969014</v>
      </c>
      <c r="D1352" s="30">
        <v>0.13119324493122697</v>
      </c>
      <c r="E1352" s="31">
        <f ca="1">B1352-D1352</f>
        <v>0</v>
      </c>
    </row>
    <row r="1353" spans="1:5" x14ac:dyDescent="0.25">
      <c r="A1353" s="21">
        <v>1352</v>
      </c>
      <c r="B1353" s="5" cm="1">
        <f t="array" aca="1" ref="B1353" ca="1">interpolexp(A1353,serie_du,Taxas_DI)</f>
        <v>0.13118903295625817</v>
      </c>
      <c r="C1353" s="32">
        <f ca="1">((((1+B1353)^(A1353/252))/((1+B1352)^(A1352/252)))^(252/1))-1</f>
        <v>0.12551295389699946</v>
      </c>
      <c r="D1353" s="30">
        <v>0.13118903295625817</v>
      </c>
      <c r="E1353" s="31">
        <f ca="1">B1353-D1353</f>
        <v>0</v>
      </c>
    </row>
    <row r="1354" spans="1:5" x14ac:dyDescent="0.25">
      <c r="A1354" s="21">
        <v>1353</v>
      </c>
      <c r="B1354" s="5" cm="1">
        <f t="array" aca="1" ref="B1354" ca="1">interpolexp(A1354,serie_du,Taxas_DI)</f>
        <v>0.13118482720757552</v>
      </c>
      <c r="C1354" s="32">
        <f ca="1">((((1+B1354)^(A1354/252))/((1+B1353)^(A1353/252)))^(252/1))-1</f>
        <v>0.12551293304496469</v>
      </c>
      <c r="D1354" s="30">
        <v>0.13118482720757552</v>
      </c>
      <c r="E1354" s="31">
        <f ca="1">B1354-D1354</f>
        <v>0</v>
      </c>
    </row>
    <row r="1355" spans="1:5" x14ac:dyDescent="0.25">
      <c r="A1355" s="21">
        <v>1354</v>
      </c>
      <c r="B1355" s="5" cm="1">
        <f t="array" aca="1" ref="B1355" ca="1">interpolexp(A1355,serie_du,Taxas_DI)</f>
        <v>0.13118062767141225</v>
      </c>
      <c r="C1355" s="32">
        <f ca="1">((((1+B1355)^(A1355/252))/((1+B1354)^(A1354/252)))^(252/1))-1</f>
        <v>0.1255129122779155</v>
      </c>
      <c r="D1355" s="30">
        <v>0.13118062767141225</v>
      </c>
      <c r="E1355" s="31">
        <f ca="1">B1355-D1355</f>
        <v>0</v>
      </c>
    </row>
    <row r="1356" spans="1:5" x14ac:dyDescent="0.25">
      <c r="A1356" s="21">
        <v>1355</v>
      </c>
      <c r="B1356" s="5" cm="1">
        <f t="array" aca="1" ref="B1356" ca="1">interpolexp(A1356,serie_du,Taxas_DI)</f>
        <v>0.13117643433402382</v>
      </c>
      <c r="C1356" s="32">
        <f ca="1">((((1+B1356)^(A1356/252))/((1+B1355)^(A1355/252)))^(252/1))-1</f>
        <v>0.12551289157089163</v>
      </c>
      <c r="D1356" s="30">
        <v>0.13117643433402382</v>
      </c>
      <c r="E1356" s="31">
        <f ca="1">B1356-D1356</f>
        <v>0</v>
      </c>
    </row>
    <row r="1357" spans="1:5" x14ac:dyDescent="0.25">
      <c r="A1357" s="21">
        <v>1356</v>
      </c>
      <c r="B1357" s="5" cm="1">
        <f t="array" aca="1" ref="B1357" ca="1">interpolexp(A1357,serie_du,Taxas_DI)</f>
        <v>0.13117224718164344</v>
      </c>
      <c r="C1357" s="32">
        <f ca="1">((((1+B1357)^(A1357/252))/((1+B1356)^(A1356/252)))^(252/1))-1</f>
        <v>0.12551287083897078</v>
      </c>
      <c r="D1357" s="30">
        <v>0.13117224718164344</v>
      </c>
      <c r="E1357" s="31">
        <f ca="1">B1357-D1357</f>
        <v>0</v>
      </c>
    </row>
    <row r="1358" spans="1:5" x14ac:dyDescent="0.25">
      <c r="A1358" s="21">
        <v>1357</v>
      </c>
      <c r="B1358" s="5" cm="1">
        <f t="array" aca="1" ref="B1358" ca="1">interpolexp(A1358,serie_du,Taxas_DI)</f>
        <v>0.13116806620063759</v>
      </c>
      <c r="C1358" s="32">
        <f ca="1">((((1+B1358)^(A1358/252))/((1+B1357)^(A1357/252)))^(252/1))-1</f>
        <v>0.12551285020735281</v>
      </c>
      <c r="D1358" s="30">
        <v>0.13116806620063759</v>
      </c>
      <c r="E1358" s="31">
        <f ca="1">B1358-D1358</f>
        <v>0</v>
      </c>
    </row>
    <row r="1359" spans="1:5" x14ac:dyDescent="0.25">
      <c r="A1359" s="21">
        <v>1358</v>
      </c>
      <c r="B1359" s="5" cm="1">
        <f t="array" aca="1" ref="B1359" ca="1">interpolexp(A1359,serie_du,Taxas_DI)</f>
        <v>0.13116389137737272</v>
      </c>
      <c r="C1359" s="32">
        <f ca="1">((((1+B1359)^(A1359/252))/((1+B1358)^(A1358/252)))^(252/1))-1</f>
        <v>0.12551282962128618</v>
      </c>
      <c r="D1359" s="30">
        <v>0.13116389137737272</v>
      </c>
      <c r="E1359" s="31">
        <f ca="1">B1359-D1359</f>
        <v>0</v>
      </c>
    </row>
    <row r="1360" spans="1:5" x14ac:dyDescent="0.25">
      <c r="A1360" s="21">
        <v>1359</v>
      </c>
      <c r="B1360" s="5" cm="1">
        <f t="array" aca="1" ref="B1360" ca="1">interpolexp(A1360,serie_du,Taxas_DI)</f>
        <v>0.1311597226982153</v>
      </c>
      <c r="C1360" s="32">
        <f ca="1">((((1+B1360)^(A1360/252))/((1+B1359)^(A1359/252)))^(252/1))-1</f>
        <v>0.12551280902675743</v>
      </c>
      <c r="D1360" s="30">
        <v>0.1311597226982153</v>
      </c>
      <c r="E1360" s="31">
        <f ca="1">B1360-D1360</f>
        <v>0</v>
      </c>
    </row>
    <row r="1361" spans="1:5" x14ac:dyDescent="0.25">
      <c r="A1361" s="21">
        <v>1360</v>
      </c>
      <c r="B1361" s="5" cm="1">
        <f t="array" aca="1" ref="B1361" ca="1">interpolexp(A1361,serie_du,Taxas_DI)</f>
        <v>0.13115556014966501</v>
      </c>
      <c r="C1361" s="32">
        <f ca="1">((((1+B1361)^(A1361/252))/((1+B1360)^(A1360/252)))^(252/1))-1</f>
        <v>0.12551278854946069</v>
      </c>
      <c r="D1361" s="30">
        <v>0.13115556014966501</v>
      </c>
      <c r="E1361" s="31">
        <f ca="1">B1361-D1361</f>
        <v>0</v>
      </c>
    </row>
    <row r="1362" spans="1:5" x14ac:dyDescent="0.25">
      <c r="A1362" s="21">
        <v>1361</v>
      </c>
      <c r="B1362" s="5" cm="1">
        <f t="array" aca="1" ref="B1362" ca="1">interpolexp(A1362,serie_du,Taxas_DI)</f>
        <v>0.13115140371817713</v>
      </c>
      <c r="C1362" s="32">
        <f ca="1">((((1+B1362)^(A1362/252))/((1+B1361)^(A1361/252)))^(252/1))-1</f>
        <v>0.12551276807527989</v>
      </c>
      <c r="D1362" s="30">
        <v>0.13115140371817713</v>
      </c>
      <c r="E1362" s="31">
        <f ca="1">B1362-D1362</f>
        <v>0</v>
      </c>
    </row>
    <row r="1363" spans="1:5" x14ac:dyDescent="0.25">
      <c r="A1363" s="21">
        <v>1362</v>
      </c>
      <c r="B1363" s="5" cm="1">
        <f t="array" aca="1" ref="B1363" ca="1">interpolexp(A1363,serie_du,Taxas_DI)</f>
        <v>0.13114725339029576</v>
      </c>
      <c r="C1363" s="32">
        <f ca="1">((((1+B1363)^(A1363/252))/((1+B1362)^(A1362/252)))^(252/1))-1</f>
        <v>0.12551274767075138</v>
      </c>
      <c r="D1363" s="30">
        <v>0.13114725339029576</v>
      </c>
      <c r="E1363" s="31">
        <f ca="1">B1363-D1363</f>
        <v>0</v>
      </c>
    </row>
    <row r="1364" spans="1:5" x14ac:dyDescent="0.25">
      <c r="A1364" s="21">
        <v>1363</v>
      </c>
      <c r="B1364" s="5" cm="1">
        <f t="array" aca="1" ref="B1364" ca="1">interpolexp(A1364,serie_du,Taxas_DI)</f>
        <v>0.131143109152565</v>
      </c>
      <c r="C1364" s="32">
        <f ca="1">((((1+B1364)^(A1364/252))/((1+B1363)^(A1363/252)))^(252/1))-1</f>
        <v>0.1255127272821428</v>
      </c>
      <c r="D1364" s="30">
        <v>0.131143109152565</v>
      </c>
      <c r="E1364" s="31">
        <f ca="1">B1364-D1364</f>
        <v>0</v>
      </c>
    </row>
    <row r="1365" spans="1:5" x14ac:dyDescent="0.25">
      <c r="A1365" s="21">
        <v>1364</v>
      </c>
      <c r="B1365" s="5" cm="1">
        <f t="array" aca="1" ref="B1365" ca="1">interpolexp(A1365,serie_du,Taxas_DI)</f>
        <v>0.13113897099161775</v>
      </c>
      <c r="C1365" s="32">
        <f ca="1">((((1+B1365)^(A1365/252))/((1+B1364)^(A1364/252)))^(252/1))-1</f>
        <v>0.12551270697625228</v>
      </c>
      <c r="D1365" s="30">
        <v>0.13113897099161775</v>
      </c>
      <c r="E1365" s="31">
        <f ca="1">B1365-D1365</f>
        <v>0</v>
      </c>
    </row>
    <row r="1366" spans="1:5" x14ac:dyDescent="0.25">
      <c r="A1366" s="21">
        <v>1365</v>
      </c>
      <c r="B1366" s="5" cm="1">
        <f t="array" aca="1" ref="B1366" ca="1">interpolexp(A1366,serie_du,Taxas_DI)</f>
        <v>0.13113483889406474</v>
      </c>
      <c r="C1366" s="32">
        <f ca="1">((((1+B1366)^(A1366/252))/((1+B1365)^(A1365/252)))^(252/1))-1</f>
        <v>0.12551268666954796</v>
      </c>
      <c r="D1366" s="30">
        <v>0.13113483889406474</v>
      </c>
      <c r="E1366" s="31">
        <f ca="1">B1366-D1366</f>
        <v>0</v>
      </c>
    </row>
    <row r="1367" spans="1:5" x14ac:dyDescent="0.25">
      <c r="A1367" s="21">
        <v>1366</v>
      </c>
      <c r="B1367" s="5" cm="1">
        <f t="array" aca="1" ref="B1367" ca="1">interpolexp(A1367,serie_du,Taxas_DI)</f>
        <v>0.13113071284660549</v>
      </c>
      <c r="C1367" s="32">
        <f ca="1">((((1+B1367)^(A1367/252))/((1+B1366)^(A1366/252)))^(252/1))-1</f>
        <v>0.12551266642936554</v>
      </c>
      <c r="D1367" s="30">
        <v>0.13113071284660549</v>
      </c>
      <c r="E1367" s="31">
        <f ca="1">B1367-D1367</f>
        <v>0</v>
      </c>
    </row>
    <row r="1368" spans="1:5" x14ac:dyDescent="0.25">
      <c r="A1368" s="21">
        <v>1367</v>
      </c>
      <c r="B1368" s="5" cm="1">
        <f t="array" aca="1" ref="B1368" ca="1">interpolexp(A1368,serie_du,Taxas_DI)</f>
        <v>0.13112659283596173</v>
      </c>
      <c r="C1368" s="32">
        <f ca="1">((((1+B1368)^(A1368/252))/((1+B1367)^(A1367/252)))^(252/1))-1</f>
        <v>0.12551264623294811</v>
      </c>
      <c r="D1368" s="30">
        <v>0.13112659283596173</v>
      </c>
      <c r="E1368" s="31">
        <f ca="1">B1368-D1368</f>
        <v>0</v>
      </c>
    </row>
    <row r="1369" spans="1:5" x14ac:dyDescent="0.25">
      <c r="A1369" s="21">
        <v>1368</v>
      </c>
      <c r="B1369" s="5" cm="1">
        <f t="array" aca="1" ref="B1369" ca="1">interpolexp(A1369,serie_du,Taxas_DI)</f>
        <v>0.1311224788488996</v>
      </c>
      <c r="C1369" s="32">
        <f ca="1">((((1+B1369)^(A1369/252))/((1+B1368)^(A1368/252)))^(252/1))-1</f>
        <v>0.12551262608762404</v>
      </c>
      <c r="D1369" s="30">
        <v>0.1311224788488996</v>
      </c>
      <c r="E1369" s="31">
        <f ca="1">B1369-D1369</f>
        <v>0</v>
      </c>
    </row>
    <row r="1370" spans="1:5" x14ac:dyDescent="0.25">
      <c r="A1370" s="21">
        <v>1369</v>
      </c>
      <c r="B1370" s="5" cm="1">
        <f t="array" aca="1" ref="B1370" ca="1">interpolexp(A1370,serie_du,Taxas_DI)</f>
        <v>0.13111837087220746</v>
      </c>
      <c r="C1370" s="32">
        <f ca="1">((((1+B1370)^(A1370/252))/((1+B1369)^(A1369/252)))^(252/1))-1</f>
        <v>0.12551260597088976</v>
      </c>
      <c r="D1370" s="30">
        <v>0.13111837087220746</v>
      </c>
      <c r="E1370" s="31">
        <f ca="1">B1370-D1370</f>
        <v>0</v>
      </c>
    </row>
    <row r="1371" spans="1:5" x14ac:dyDescent="0.25">
      <c r="A1371" s="21">
        <v>1370</v>
      </c>
      <c r="B1371" s="5" cm="1">
        <f t="array" aca="1" ref="B1371" ca="1">interpolexp(A1371,serie_du,Taxas_DI)</f>
        <v>0.13111426889271804</v>
      </c>
      <c r="C1371" s="32">
        <f ca="1">((((1+B1371)^(A1371/252))/((1+B1370)^(A1370/252)))^(252/1))-1</f>
        <v>0.12551258589060876</v>
      </c>
      <c r="D1371" s="30">
        <v>0.13111426889271804</v>
      </c>
      <c r="E1371" s="31">
        <f ca="1">B1371-D1371</f>
        <v>0</v>
      </c>
    </row>
    <row r="1372" spans="1:5" x14ac:dyDescent="0.25">
      <c r="A1372" s="21">
        <v>1371</v>
      </c>
      <c r="B1372" s="5" cm="1">
        <f t="array" aca="1" ref="B1372" ca="1">interpolexp(A1372,serie_du,Taxas_DI)</f>
        <v>0.13111017289733073</v>
      </c>
      <c r="C1372" s="32">
        <f ca="1">((((1+B1372)^(A1372/252))/((1+B1371)^(A1371/252)))^(252/1))-1</f>
        <v>0.12551256588505089</v>
      </c>
      <c r="D1372" s="30">
        <v>0.13111017289733073</v>
      </c>
      <c r="E1372" s="31">
        <f ca="1">B1372-D1372</f>
        <v>0</v>
      </c>
    </row>
    <row r="1373" spans="1:5" x14ac:dyDescent="0.25">
      <c r="A1373" s="21">
        <v>1372</v>
      </c>
      <c r="B1373" s="5" cm="1">
        <f t="array" aca="1" ref="B1373" ca="1">interpolexp(A1373,serie_du,Taxas_DI)</f>
        <v>0.1311060828729671</v>
      </c>
      <c r="C1373" s="32">
        <f ca="1">((((1+B1373)^(A1373/252))/((1+B1372)^(A1372/252)))^(252/1))-1</f>
        <v>0.12551254593236494</v>
      </c>
      <c r="D1373" s="30">
        <v>0.1311060828729671</v>
      </c>
      <c r="E1373" s="31">
        <f ca="1">B1373-D1373</f>
        <v>0</v>
      </c>
    </row>
    <row r="1374" spans="1:5" x14ac:dyDescent="0.25">
      <c r="A1374" s="21">
        <v>1373</v>
      </c>
      <c r="B1374" s="5" cm="1">
        <f t="array" aca="1" ref="B1374" ca="1">interpolexp(A1374,serie_du,Taxas_DI)</f>
        <v>0.13110199880654871</v>
      </c>
      <c r="C1374" s="32">
        <f ca="1">((((1+B1374)^(A1374/252))/((1+B1373)^(A1373/252)))^(252/1))-1</f>
        <v>0.12551252598019724</v>
      </c>
      <c r="D1374" s="30">
        <v>0.13110199880654871</v>
      </c>
      <c r="E1374" s="31">
        <f ca="1">B1374-D1374</f>
        <v>0</v>
      </c>
    </row>
    <row r="1375" spans="1:5" x14ac:dyDescent="0.25">
      <c r="A1375" s="21">
        <v>1374</v>
      </c>
      <c r="B1375" s="5" cm="1">
        <f t="array" aca="1" ref="B1375" ca="1">interpolexp(A1375,serie_du,Taxas_DI)</f>
        <v>0.13109792068506376</v>
      </c>
      <c r="C1375" s="32">
        <f ca="1">((((1+B1375)^(A1375/252))/((1+B1374)^(A1374/252)))^(252/1))-1</f>
        <v>0.1255125060675355</v>
      </c>
      <c r="D1375" s="30">
        <v>0.13109792068506376</v>
      </c>
      <c r="E1375" s="31">
        <f ca="1">B1375-D1375</f>
        <v>0</v>
      </c>
    </row>
    <row r="1376" spans="1:5" x14ac:dyDescent="0.25">
      <c r="A1376" s="21">
        <v>1375</v>
      </c>
      <c r="B1376" s="5" cm="1">
        <f t="array" aca="1" ref="B1376" ca="1">interpolexp(A1376,serie_du,Taxas_DI)</f>
        <v>0.13109384849558925</v>
      </c>
      <c r="C1376" s="32">
        <f ca="1">((((1+B1376)^(A1376/252))/((1+B1375)^(A1375/252)))^(252/1))-1</f>
        <v>0.12551248626394851</v>
      </c>
      <c r="D1376" s="30">
        <v>0.13109384849558925</v>
      </c>
      <c r="E1376" s="31">
        <f ca="1">B1376-D1376</f>
        <v>0</v>
      </c>
    </row>
    <row r="1377" spans="1:5" x14ac:dyDescent="0.25">
      <c r="A1377" s="21">
        <v>1376</v>
      </c>
      <c r="B1377" s="5" cm="1">
        <f t="array" aca="1" ref="B1377" ca="1">interpolexp(A1377,serie_du,Taxas_DI)</f>
        <v>0.13108978222513556</v>
      </c>
      <c r="C1377" s="32">
        <f ca="1">((((1+B1377)^(A1377/252))/((1+B1376)^(A1376/252)))^(252/1))-1</f>
        <v>0.12551246642686587</v>
      </c>
      <c r="D1377" s="30">
        <v>0.13108978222513556</v>
      </c>
      <c r="E1377" s="31">
        <f ca="1">B1377-D1377</f>
        <v>0</v>
      </c>
    </row>
    <row r="1378" spans="1:5" x14ac:dyDescent="0.25">
      <c r="A1378" s="21">
        <v>1377</v>
      </c>
      <c r="B1378" s="5" cm="1">
        <f t="array" aca="1" ref="B1378" ca="1">interpolexp(A1378,serie_du,Taxas_DI)</f>
        <v>0.13108572186084633</v>
      </c>
      <c r="C1378" s="32">
        <f ca="1">((((1+B1378)^(A1378/252))/((1+B1377)^(A1377/252)))^(252/1))-1</f>
        <v>0.1255124466866111</v>
      </c>
      <c r="D1378" s="30">
        <v>0.13108572186084633</v>
      </c>
      <c r="E1378" s="31">
        <f ca="1">B1378-D1378</f>
        <v>0</v>
      </c>
    </row>
    <row r="1379" spans="1:5" x14ac:dyDescent="0.25">
      <c r="A1379" s="21">
        <v>1378</v>
      </c>
      <c r="B1379" s="5" cm="1">
        <f t="array" aca="1" ref="B1379" ca="1">interpolexp(A1379,serie_du,Taxas_DI)</f>
        <v>0.13108166738984295</v>
      </c>
      <c r="C1379" s="32">
        <f ca="1">((((1+B1379)^(A1379/252))/((1+B1378)^(A1378/252)))^(252/1))-1</f>
        <v>0.12551242696180887</v>
      </c>
      <c r="D1379" s="30">
        <v>0.13108166738984295</v>
      </c>
      <c r="E1379" s="31">
        <f ca="1">B1379-D1379</f>
        <v>0</v>
      </c>
    </row>
    <row r="1380" spans="1:5" x14ac:dyDescent="0.25">
      <c r="A1380" s="21">
        <v>1379</v>
      </c>
      <c r="B1380" s="5" cm="1">
        <f t="array" aca="1" ref="B1380" ca="1">interpolexp(A1380,serie_du,Taxas_DI)</f>
        <v>0.13107761879931346</v>
      </c>
      <c r="C1380" s="32">
        <f ca="1">((((1+B1380)^(A1380/252))/((1+B1379)^(A1379/252)))^(252/1))-1</f>
        <v>0.12551240729227819</v>
      </c>
      <c r="D1380" s="30">
        <v>0.13107761879931346</v>
      </c>
      <c r="E1380" s="31">
        <f ca="1">B1380-D1380</f>
        <v>0</v>
      </c>
    </row>
    <row r="1381" spans="1:5" x14ac:dyDescent="0.25">
      <c r="A1381" s="21">
        <v>1380</v>
      </c>
      <c r="B1381" s="5" cm="1">
        <f t="array" aca="1" ref="B1381" ca="1">interpolexp(A1381,serie_du,Taxas_DI)</f>
        <v>0.13107357607644587</v>
      </c>
      <c r="C1381" s="32">
        <f ca="1">((((1+B1381)^(A1381/252))/((1+B1380)^(A1380/252)))^(252/1))-1</f>
        <v>0.12551238762701789</v>
      </c>
      <c r="D1381" s="30">
        <v>0.13107357607644587</v>
      </c>
      <c r="E1381" s="31">
        <f ca="1">B1381-D1381</f>
        <v>0</v>
      </c>
    </row>
    <row r="1382" spans="1:5" x14ac:dyDescent="0.25">
      <c r="A1382" s="21">
        <v>1381</v>
      </c>
      <c r="B1382" s="5" cm="1">
        <f t="array" aca="1" ref="B1382" ca="1">interpolexp(A1382,serie_du,Taxas_DI)</f>
        <v>0.13106953920853925</v>
      </c>
      <c r="C1382" s="32">
        <f ca="1">((((1+B1382)^(A1382/252))/((1+B1381)^(A1381/252)))^(252/1))-1</f>
        <v>0.1255123680674457</v>
      </c>
      <c r="D1382" s="30">
        <v>0.13106953920853925</v>
      </c>
      <c r="E1382" s="31">
        <f ca="1">B1382-D1382</f>
        <v>0</v>
      </c>
    </row>
    <row r="1383" spans="1:5" x14ac:dyDescent="0.25">
      <c r="A1383" s="21">
        <v>1382</v>
      </c>
      <c r="B1383" s="5" cm="1">
        <f t="array" aca="1" ref="B1383" ca="1">interpolexp(A1383,serie_du,Taxas_DI)</f>
        <v>0.13106550818287044</v>
      </c>
      <c r="C1383" s="32">
        <f ca="1">((((1+B1383)^(A1383/252))/((1+B1382)^(A1382/252)))^(252/1))-1</f>
        <v>0.12551234853218962</v>
      </c>
      <c r="D1383" s="30">
        <v>0.13106550818287044</v>
      </c>
      <c r="E1383" s="31">
        <f ca="1">B1383-D1383</f>
        <v>0</v>
      </c>
    </row>
    <row r="1384" spans="1:5" x14ac:dyDescent="0.25">
      <c r="A1384" s="21">
        <v>1383</v>
      </c>
      <c r="B1384" s="5" cm="1">
        <f t="array" aca="1" ref="B1384" ca="1">interpolexp(A1384,serie_du,Taxas_DI)</f>
        <v>0.13106148298673848</v>
      </c>
      <c r="C1384" s="32">
        <f ca="1">((((1+B1384)^(A1384/252))/((1+B1383)^(A1383/252)))^(252/1))-1</f>
        <v>0.12551232900123055</v>
      </c>
      <c r="D1384" s="30">
        <v>0.13106148298673848</v>
      </c>
      <c r="E1384" s="31">
        <f ca="1">B1384-D1384</f>
        <v>0</v>
      </c>
    </row>
    <row r="1385" spans="1:5" x14ac:dyDescent="0.25">
      <c r="A1385" s="21">
        <v>1384</v>
      </c>
      <c r="B1385" s="5" cm="1">
        <f t="array" aca="1" ref="B1385" ca="1">interpolexp(A1385,serie_du,Taxas_DI)</f>
        <v>0.13105746360753123</v>
      </c>
      <c r="C1385" s="32">
        <f ca="1">((((1+B1385)^(A1385/252))/((1+B1384)^(A1384/252)))^(252/1))-1</f>
        <v>0.12551230954622761</v>
      </c>
      <c r="D1385" s="30">
        <v>0.13105746360753123</v>
      </c>
      <c r="E1385" s="31">
        <f ca="1">B1385-D1385</f>
        <v>0</v>
      </c>
    </row>
    <row r="1386" spans="1:5" x14ac:dyDescent="0.25">
      <c r="A1386" s="21">
        <v>1385</v>
      </c>
      <c r="B1386" s="5" cm="1">
        <f t="array" aca="1" ref="B1386" ca="1">interpolexp(A1386,serie_du,Taxas_DI)</f>
        <v>0.13105345003263658</v>
      </c>
      <c r="C1386" s="32">
        <f ca="1">((((1+B1386)^(A1386/252))/((1+B1385)^(A1385/252)))^(252/1))-1</f>
        <v>0.12551229011673093</v>
      </c>
      <c r="D1386" s="30">
        <v>0.13105345003263658</v>
      </c>
      <c r="E1386" s="31">
        <f ca="1">B1386-D1386</f>
        <v>0</v>
      </c>
    </row>
    <row r="1387" spans="1:5" x14ac:dyDescent="0.25">
      <c r="A1387" s="21">
        <v>1386</v>
      </c>
      <c r="B1387" s="5" cm="1">
        <f t="array" aca="1" ref="B1387" ca="1">interpolexp(A1387,serie_du,Taxas_DI)</f>
        <v>0.13104944224950899</v>
      </c>
      <c r="C1387" s="32">
        <f ca="1">((((1+B1387)^(A1387/252))/((1+B1386)^(A1386/252)))^(252/1))-1</f>
        <v>0.12551227075424132</v>
      </c>
      <c r="D1387" s="30">
        <v>0.13104944224950899</v>
      </c>
      <c r="E1387" s="31">
        <f ca="1">B1387-D1387</f>
        <v>0</v>
      </c>
    </row>
    <row r="1388" spans="1:5" x14ac:dyDescent="0.25">
      <c r="A1388" s="21">
        <v>1387</v>
      </c>
      <c r="B1388" s="5" cm="1">
        <f t="array" aca="1" ref="B1388" ca="1">interpolexp(A1388,serie_du,Taxas_DI)</f>
        <v>0.13104544024560294</v>
      </c>
      <c r="C1388" s="32">
        <f ca="1">((((1+B1388)^(A1388/252))/((1+B1387)^(A1387/252)))^(252/1))-1</f>
        <v>0.12551225140894684</v>
      </c>
      <c r="D1388" s="30">
        <v>0.13104544024560294</v>
      </c>
      <c r="E1388" s="31">
        <f ca="1">B1388-D1388</f>
        <v>0</v>
      </c>
    </row>
    <row r="1389" spans="1:5" x14ac:dyDescent="0.25">
      <c r="A1389" s="21">
        <v>1388</v>
      </c>
      <c r="B1389" s="5" cm="1">
        <f t="array" aca="1" ref="B1389" ca="1">interpolexp(A1389,serie_du,Taxas_DI)</f>
        <v>0.13104144400843953</v>
      </c>
      <c r="C1389" s="32">
        <f ca="1">((((1+B1389)^(A1389/252))/((1+B1388)^(A1388/252)))^(252/1))-1</f>
        <v>0.12551223212253393</v>
      </c>
      <c r="D1389" s="30">
        <v>0.13104144400843953</v>
      </c>
      <c r="E1389" s="31">
        <f ca="1">B1389-D1389</f>
        <v>0</v>
      </c>
    </row>
    <row r="1390" spans="1:5" x14ac:dyDescent="0.25">
      <c r="A1390" s="21">
        <v>1389</v>
      </c>
      <c r="B1390" s="5" cm="1">
        <f t="array" aca="1" ref="B1390" ca="1">interpolexp(A1390,serie_du,Taxas_DI)</f>
        <v>0.13103745352553986</v>
      </c>
      <c r="C1390" s="32">
        <f ca="1">((((1+B1390)^(A1390/252))/((1+B1389)^(A1389/252)))^(252/1))-1</f>
        <v>0.12551221284532876</v>
      </c>
      <c r="D1390" s="30">
        <v>0.13103745352553986</v>
      </c>
      <c r="E1390" s="31">
        <f ca="1">B1390-D1390</f>
        <v>0</v>
      </c>
    </row>
    <row r="1391" spans="1:5" x14ac:dyDescent="0.25">
      <c r="A1391" s="21">
        <v>1390</v>
      </c>
      <c r="B1391" s="5" cm="1">
        <f t="array" aca="1" ref="B1391" ca="1">interpolexp(A1391,serie_du,Taxas_DI)</f>
        <v>0.13103346878451383</v>
      </c>
      <c r="C1391" s="32">
        <f ca="1">((((1+B1391)^(A1391/252))/((1+B1390)^(A1390/252)))^(252/1))-1</f>
        <v>0.12551219365049016</v>
      </c>
      <c r="D1391" s="30">
        <v>0.13103346878451383</v>
      </c>
      <c r="E1391" s="31">
        <f ca="1">B1391-D1391</f>
        <v>0</v>
      </c>
    </row>
    <row r="1392" spans="1:5" x14ac:dyDescent="0.25">
      <c r="A1392" s="21">
        <v>1391</v>
      </c>
      <c r="B1392" s="5" cm="1">
        <f t="array" aca="1" ref="B1392" ca="1">interpolexp(A1392,serie_du,Taxas_DI)</f>
        <v>0.13102948977294915</v>
      </c>
      <c r="C1392" s="32">
        <f ca="1">((((1+B1392)^(A1392/252))/((1+B1391)^(A1391/252)))^(252/1))-1</f>
        <v>0.12551217445767504</v>
      </c>
      <c r="D1392" s="30">
        <v>0.13102948977294915</v>
      </c>
      <c r="E1392" s="31">
        <f ca="1">B1392-D1392</f>
        <v>0</v>
      </c>
    </row>
    <row r="1393" spans="1:5" x14ac:dyDescent="0.25">
      <c r="A1393" s="21">
        <v>1392</v>
      </c>
      <c r="B1393" s="5" cm="1">
        <f t="array" aca="1" ref="B1393" ca="1">interpolexp(A1393,serie_du,Taxas_DI)</f>
        <v>0.13102551647854455</v>
      </c>
      <c r="C1393" s="32">
        <f ca="1">((((1+B1393)^(A1393/252))/((1+B1392)^(A1392/252)))^(252/1))-1</f>
        <v>0.12551215537122529</v>
      </c>
      <c r="D1393" s="30">
        <v>0.13102551647854455</v>
      </c>
      <c r="E1393" s="31">
        <f ca="1">B1393-D1393</f>
        <v>0</v>
      </c>
    </row>
    <row r="1394" spans="1:5" x14ac:dyDescent="0.25">
      <c r="A1394" s="21">
        <v>1393</v>
      </c>
      <c r="B1394" s="5" cm="1">
        <f t="array" aca="1" ref="B1394" ca="1">interpolexp(A1394,serie_du,Taxas_DI)</f>
        <v>0.13102154888893214</v>
      </c>
      <c r="C1394" s="32">
        <f ca="1">((((1+B1394)^(A1394/252))/((1+B1393)^(A1393/252)))^(252/1))-1</f>
        <v>0.12551213624972024</v>
      </c>
      <c r="D1394" s="30">
        <v>0.13102154888893214</v>
      </c>
      <c r="E1394" s="31">
        <f ca="1">B1394-D1394</f>
        <v>0</v>
      </c>
    </row>
    <row r="1395" spans="1:5" x14ac:dyDescent="0.25">
      <c r="A1395" s="21">
        <v>1394</v>
      </c>
      <c r="B1395" s="5" cm="1">
        <f t="array" aca="1" ref="B1395" ca="1">interpolexp(A1395,serie_du,Taxas_DI)</f>
        <v>0.13101758699185506</v>
      </c>
      <c r="C1395" s="32">
        <f ca="1">((((1+B1395)^(A1395/252))/((1+B1394)^(A1394/252)))^(252/1))-1</f>
        <v>0.12551211719783861</v>
      </c>
      <c r="D1395" s="30">
        <v>0.13101758699185506</v>
      </c>
      <c r="E1395" s="31">
        <f ca="1">B1395-D1395</f>
        <v>0</v>
      </c>
    </row>
    <row r="1396" spans="1:5" x14ac:dyDescent="0.25">
      <c r="A1396" s="21">
        <v>1395</v>
      </c>
      <c r="B1396" s="5" cm="1">
        <f t="array" aca="1" ref="B1396" ca="1">interpolexp(A1396,serie_du,Taxas_DI)</f>
        <v>0.13101363077507866</v>
      </c>
      <c r="C1396" s="32">
        <f ca="1">((((1+B1396)^(A1396/252))/((1+B1395)^(A1395/252)))^(252/1))-1</f>
        <v>0.12551209819739118</v>
      </c>
      <c r="D1396" s="30">
        <v>0.13101363077507866</v>
      </c>
      <c r="E1396" s="31">
        <f ca="1">B1396-D1396</f>
        <v>0</v>
      </c>
    </row>
    <row r="1397" spans="1:5" x14ac:dyDescent="0.25">
      <c r="A1397" s="21">
        <v>1396</v>
      </c>
      <c r="B1397" s="5" cm="1">
        <f t="array" aca="1" ref="B1397" ca="1">interpolexp(A1397,serie_du,Taxas_DI)</f>
        <v>0.13100968022639048</v>
      </c>
      <c r="C1397" s="32">
        <f ca="1">((((1+B1397)^(A1397/252))/((1+B1396)^(A1396/252)))^(252/1))-1</f>
        <v>0.12551207923049135</v>
      </c>
      <c r="D1397" s="30">
        <v>0.13100968022639048</v>
      </c>
      <c r="E1397" s="31">
        <f ca="1">B1397-D1397</f>
        <v>0</v>
      </c>
    </row>
    <row r="1398" spans="1:5" x14ac:dyDescent="0.25">
      <c r="A1398" s="21">
        <v>1397</v>
      </c>
      <c r="B1398" s="5" cm="1">
        <f t="array" aca="1" ref="B1398" ca="1">interpolexp(A1398,serie_du,Taxas_DI)</f>
        <v>0.13100573533362248</v>
      </c>
      <c r="C1398" s="32">
        <f ca="1">((((1+B1398)^(A1398/252))/((1+B1397)^(A1397/252)))^(252/1))-1</f>
        <v>0.12551206031017426</v>
      </c>
      <c r="D1398" s="30">
        <v>0.13100573533362248</v>
      </c>
      <c r="E1398" s="31">
        <f ca="1">B1398-D1398</f>
        <v>0</v>
      </c>
    </row>
    <row r="1399" spans="1:5" x14ac:dyDescent="0.25">
      <c r="A1399" s="21">
        <v>1398</v>
      </c>
      <c r="B1399" s="5" cm="1">
        <f t="array" aca="1" ref="B1399" ca="1">interpolexp(A1399,serie_du,Taxas_DI)</f>
        <v>0.13100179608462881</v>
      </c>
      <c r="C1399" s="32">
        <f ca="1">((((1+B1399)^(A1399/252))/((1+B1398)^(A1398/252)))^(252/1))-1</f>
        <v>0.12551204141873651</v>
      </c>
      <c r="D1399" s="30">
        <v>0.13100179608462881</v>
      </c>
      <c r="E1399" s="31">
        <f ca="1">B1399-D1399</f>
        <v>0</v>
      </c>
    </row>
    <row r="1400" spans="1:5" x14ac:dyDescent="0.25">
      <c r="A1400" s="21">
        <v>1399</v>
      </c>
      <c r="B1400" s="5" cm="1">
        <f t="array" aca="1" ref="B1400" ca="1">interpolexp(A1400,serie_du,Taxas_DI)</f>
        <v>0.13099786246730805</v>
      </c>
      <c r="C1400" s="32">
        <f ca="1">((((1+B1400)^(A1400/252))/((1+B1399)^(A1399/252)))^(252/1))-1</f>
        <v>0.12551202256948324</v>
      </c>
      <c r="D1400" s="30">
        <v>0.13099786246730805</v>
      </c>
      <c r="E1400" s="31">
        <f ca="1">B1400-D1400</f>
        <v>0</v>
      </c>
    </row>
    <row r="1401" spans="1:5" x14ac:dyDescent="0.25">
      <c r="A1401" s="21">
        <v>1400</v>
      </c>
      <c r="B1401" s="5" cm="1">
        <f t="array" aca="1" ref="B1401" ca="1">interpolexp(A1401,serie_du,Taxas_DI)</f>
        <v>0.13099393446960317</v>
      </c>
      <c r="C1401" s="32">
        <f ca="1">((((1+B1401)^(A1401/252))/((1+B1400)^(A1400/252)))^(252/1))-1</f>
        <v>0.12551200377615634</v>
      </c>
      <c r="D1401" s="30">
        <v>0.13099393446960317</v>
      </c>
      <c r="E1401" s="31">
        <f ca="1">B1401-D1401</f>
        <v>0</v>
      </c>
    </row>
    <row r="1402" spans="1:5" x14ac:dyDescent="0.25">
      <c r="A1402" s="21">
        <v>1401</v>
      </c>
      <c r="B1402" s="5" cm="1">
        <f t="array" aca="1" ref="B1402" ca="1">interpolexp(A1402,serie_du,Taxas_DI)</f>
        <v>0.13099001207947936</v>
      </c>
      <c r="C1402" s="32">
        <f ca="1">((((1+B1402)^(A1402/252))/((1+B1401)^(A1401/252)))^(252/1))-1</f>
        <v>0.1255119850213704</v>
      </c>
      <c r="D1402" s="30">
        <v>0.13099001207947936</v>
      </c>
      <c r="E1402" s="31">
        <f ca="1">B1402-D1402</f>
        <v>0</v>
      </c>
    </row>
    <row r="1403" spans="1:5" x14ac:dyDescent="0.25">
      <c r="A1403" s="21">
        <v>1402</v>
      </c>
      <c r="B1403" s="5" cm="1">
        <f t="array" aca="1" ref="B1403" ca="1">interpolexp(A1403,serie_du,Taxas_DI)</f>
        <v>0.13098609528490179</v>
      </c>
      <c r="C1403" s="32">
        <f ca="1">((((1+B1403)^(A1403/252))/((1+B1402)^(A1402/252)))^(252/1))-1</f>
        <v>0.1255119662574411</v>
      </c>
      <c r="D1403" s="30">
        <v>0.13098609528490179</v>
      </c>
      <c r="E1403" s="31">
        <f ca="1">B1403-D1403</f>
        <v>0</v>
      </c>
    </row>
    <row r="1404" spans="1:5" x14ac:dyDescent="0.25">
      <c r="A1404" s="21">
        <v>1403</v>
      </c>
      <c r="B1404" s="5" cm="1">
        <f t="array" aca="1" ref="B1404" ca="1">interpolexp(A1404,serie_du,Taxas_DI)</f>
        <v>0.13098218407396889</v>
      </c>
      <c r="C1404" s="32">
        <f ca="1">((((1+B1404)^(A1404/252))/((1+B1403)^(A1403/252)))^(252/1))-1</f>
        <v>0.12551194762196793</v>
      </c>
      <c r="D1404" s="30">
        <v>0.13098218407396889</v>
      </c>
      <c r="E1404" s="31">
        <f ca="1">B1404-D1404</f>
        <v>0</v>
      </c>
    </row>
    <row r="1405" spans="1:5" x14ac:dyDescent="0.25">
      <c r="A1405" s="21">
        <v>1404</v>
      </c>
      <c r="B1405" s="5" cm="1">
        <f t="array" aca="1" ref="B1405" ca="1">interpolexp(A1405,serie_du,Taxas_DI)</f>
        <v>0.13097827843469023</v>
      </c>
      <c r="C1405" s="32">
        <f ca="1">((((1+B1405)^(A1405/252))/((1+B1404)^(A1404/252)))^(252/1))-1</f>
        <v>0.1255119289436073</v>
      </c>
      <c r="D1405" s="30">
        <v>0.13097827843469023</v>
      </c>
      <c r="E1405" s="31">
        <f ca="1">B1405-D1405</f>
        <v>0</v>
      </c>
    </row>
    <row r="1406" spans="1:5" x14ac:dyDescent="0.25">
      <c r="A1406" s="21">
        <v>1405</v>
      </c>
      <c r="B1406" s="5" cm="1">
        <f t="array" aca="1" ref="B1406" ca="1">interpolexp(A1406,serie_du,Taxas_DI)</f>
        <v>0.13097437835518644</v>
      </c>
      <c r="C1406" s="32">
        <f ca="1">((((1+B1406)^(A1406/252))/((1+B1405)^(A1405/252)))^(252/1))-1</f>
        <v>0.12551191032968045</v>
      </c>
      <c r="D1406" s="30">
        <v>0.13097437835518644</v>
      </c>
      <c r="E1406" s="31">
        <f ca="1">B1406-D1406</f>
        <v>0</v>
      </c>
    </row>
    <row r="1407" spans="1:5" x14ac:dyDescent="0.25">
      <c r="A1407" s="21">
        <v>1406</v>
      </c>
      <c r="B1407" s="5" cm="1">
        <f t="array" aca="1" ref="B1407" ca="1">interpolexp(A1407,serie_du,Taxas_DI)</f>
        <v>0.13097048382362253</v>
      </c>
      <c r="C1407" s="32">
        <f ca="1">((((1+B1407)^(A1407/252))/((1+B1406)^(A1406/252)))^(252/1))-1</f>
        <v>0.12551189179497335</v>
      </c>
      <c r="D1407" s="30">
        <v>0.13097048382362253</v>
      </c>
      <c r="E1407" s="31">
        <f ca="1">B1407-D1407</f>
        <v>0</v>
      </c>
    </row>
    <row r="1408" spans="1:5" x14ac:dyDescent="0.25">
      <c r="A1408" s="21">
        <v>1407</v>
      </c>
      <c r="B1408" s="5" cm="1">
        <f t="array" aca="1" ref="B1408" ca="1">interpolexp(A1408,serie_du,Taxas_DI)</f>
        <v>0.13096659482814133</v>
      </c>
      <c r="C1408" s="32">
        <f ca="1">((((1+B1408)^(A1408/252))/((1+B1407)^(A1407/252)))^(252/1))-1</f>
        <v>0.12551187326117819</v>
      </c>
      <c r="D1408" s="30">
        <v>0.13096659482814133</v>
      </c>
      <c r="E1408" s="31">
        <f ca="1">B1408-D1408</f>
        <v>0</v>
      </c>
    </row>
    <row r="1409" spans="1:5" x14ac:dyDescent="0.25">
      <c r="A1409" s="21">
        <v>1408</v>
      </c>
      <c r="B1409" s="5" cm="1">
        <f t="array" aca="1" ref="B1409" ca="1">interpolexp(A1409,serie_du,Taxas_DI)</f>
        <v>0.13096271135693005</v>
      </c>
      <c r="C1409" s="32">
        <f ca="1">((((1+B1409)^(A1409/252))/((1+B1408)^(A1408/252)))^(252/1))-1</f>
        <v>0.12551185474305115</v>
      </c>
      <c r="D1409" s="30">
        <v>0.13096271135693005</v>
      </c>
      <c r="E1409" s="31">
        <f ca="1">B1409-D1409</f>
        <v>0</v>
      </c>
    </row>
    <row r="1410" spans="1:5" x14ac:dyDescent="0.25">
      <c r="A1410" s="21">
        <v>1409</v>
      </c>
      <c r="B1410" s="5" cm="1">
        <f t="array" aca="1" ref="B1410" ca="1">interpolexp(A1410,serie_du,Taxas_DI)</f>
        <v>0.13095883339826475</v>
      </c>
      <c r="C1410" s="32">
        <f ca="1">((((1+B1410)^(A1410/252))/((1+B1409)^(A1409/252)))^(252/1))-1</f>
        <v>0.12551183631812823</v>
      </c>
      <c r="D1410" s="30">
        <v>0.13095883339826475</v>
      </c>
      <c r="E1410" s="31">
        <f ca="1">B1410-D1410</f>
        <v>0</v>
      </c>
    </row>
    <row r="1411" spans="1:5" x14ac:dyDescent="0.25">
      <c r="A1411" s="21">
        <v>1410</v>
      </c>
      <c r="B1411" s="5" cm="1">
        <f t="array" aca="1" ref="B1411" ca="1">interpolexp(A1411,serie_du,Taxas_DI)</f>
        <v>0.13095496094039927</v>
      </c>
      <c r="C1411" s="32">
        <f ca="1">((((1+B1411)^(A1411/252))/((1+B1410)^(A1410/252)))^(252/1))-1</f>
        <v>0.12551181790852284</v>
      </c>
      <c r="D1411" s="30">
        <v>0.13095496094039927</v>
      </c>
      <c r="E1411" s="31">
        <f ca="1">B1411-D1411</f>
        <v>0</v>
      </c>
    </row>
    <row r="1412" spans="1:5" x14ac:dyDescent="0.25">
      <c r="A1412" s="21">
        <v>1411</v>
      </c>
      <c r="B1412" s="5" cm="1">
        <f t="array" aca="1" ref="B1412" ca="1">interpolexp(A1412,serie_du,Taxas_DI)</f>
        <v>0.13095109397165405</v>
      </c>
      <c r="C1412" s="32">
        <f ca="1">((((1+B1412)^(A1412/252))/((1+B1411)^(A1411/252)))^(252/1))-1</f>
        <v>0.12551179956078573</v>
      </c>
      <c r="D1412" s="30">
        <v>0.13095109397165405</v>
      </c>
      <c r="E1412" s="31">
        <f ca="1">B1412-D1412</f>
        <v>0</v>
      </c>
    </row>
    <row r="1413" spans="1:5" x14ac:dyDescent="0.25">
      <c r="A1413" s="21">
        <v>1412</v>
      </c>
      <c r="B1413" s="5" cm="1">
        <f t="array" aca="1" ref="B1413" ca="1">interpolexp(A1413,serie_du,Taxas_DI)</f>
        <v>0.13094723248032736</v>
      </c>
      <c r="C1413" s="32">
        <f ca="1">((((1+B1413)^(A1413/252))/((1+B1412)^(A1412/252)))^(252/1))-1</f>
        <v>0.12551178119718642</v>
      </c>
      <c r="D1413" s="30">
        <v>0.13094723248032736</v>
      </c>
      <c r="E1413" s="31">
        <f ca="1">B1413-D1413</f>
        <v>0</v>
      </c>
    </row>
    <row r="1414" spans="1:5" x14ac:dyDescent="0.25">
      <c r="A1414" s="21">
        <v>1413</v>
      </c>
      <c r="B1414" s="5" cm="1">
        <f t="array" aca="1" ref="B1414" ca="1">interpolexp(A1414,serie_du,Taxas_DI)</f>
        <v>0.13094337645482845</v>
      </c>
      <c r="C1414" s="32">
        <f ca="1">((((1+B1414)^(A1414/252))/((1+B1413)^(A1413/252)))^(252/1))-1</f>
        <v>0.12551176292702726</v>
      </c>
      <c r="D1414" s="30">
        <v>0.13094337645482845</v>
      </c>
      <c r="E1414" s="31">
        <f ca="1">B1414-D1414</f>
        <v>0</v>
      </c>
    </row>
    <row r="1415" spans="1:5" x14ac:dyDescent="0.25">
      <c r="A1415" s="21">
        <v>1414</v>
      </c>
      <c r="B1415" s="5" cm="1">
        <f t="array" aca="1" ref="B1415" ca="1">interpolexp(A1415,serie_du,Taxas_DI)</f>
        <v>0.1309395258835222</v>
      </c>
      <c r="C1415" s="32">
        <f ca="1">((((1+B1415)^(A1415/252))/((1+B1414)^(A1414/252)))^(252/1))-1</f>
        <v>0.12551174464171533</v>
      </c>
      <c r="D1415" s="30">
        <v>0.1309395258835222</v>
      </c>
      <c r="E1415" s="31">
        <f ca="1">B1415-D1415</f>
        <v>0</v>
      </c>
    </row>
    <row r="1416" spans="1:5" x14ac:dyDescent="0.25">
      <c r="A1416" s="21">
        <v>1415</v>
      </c>
      <c r="B1416" s="5" cm="1">
        <f t="array" aca="1" ref="B1416" ca="1">interpolexp(A1416,serie_du,Taxas_DI)</f>
        <v>0.13093568075488449</v>
      </c>
      <c r="C1416" s="32">
        <f ca="1">((((1+B1416)^(A1416/252))/((1+B1415)^(A1415/252)))^(252/1))-1</f>
        <v>0.12551172645118891</v>
      </c>
      <c r="D1416" s="30">
        <v>0.13093568075488449</v>
      </c>
      <c r="E1416" s="31">
        <f ca="1">B1416-D1416</f>
        <v>0</v>
      </c>
    </row>
    <row r="1417" spans="1:5" x14ac:dyDescent="0.25">
      <c r="A1417" s="21">
        <v>1416</v>
      </c>
      <c r="B1417" s="5" cm="1">
        <f t="array" aca="1" ref="B1417" ca="1">interpolexp(A1417,serie_du,Taxas_DI)</f>
        <v>0.13093184105736899</v>
      </c>
      <c r="C1417" s="32">
        <f ca="1">((((1+B1417)^(A1417/252))/((1+B1416)^(A1416/252)))^(252/1))-1</f>
        <v>0.12551170827800417</v>
      </c>
      <c r="D1417" s="30">
        <v>0.13093184105736899</v>
      </c>
      <c r="E1417" s="31">
        <f ca="1">B1417-D1417</f>
        <v>0</v>
      </c>
    </row>
    <row r="1418" spans="1:5" x14ac:dyDescent="0.25">
      <c r="A1418" s="21">
        <v>1417</v>
      </c>
      <c r="B1418" s="5" cm="1">
        <f t="array" aca="1" ref="B1418" ca="1">interpolexp(A1418,serie_du,Taxas_DI)</f>
        <v>0.1309280067794738</v>
      </c>
      <c r="C1418" s="32">
        <f ca="1">((((1+B1418)^(A1418/252))/((1+B1417)^(A1417/252)))^(252/1))-1</f>
        <v>0.12551169013880581</v>
      </c>
      <c r="D1418" s="30">
        <v>0.1309280067794738</v>
      </c>
      <c r="E1418" s="31">
        <f ca="1">B1418-D1418</f>
        <v>0</v>
      </c>
    </row>
    <row r="1419" spans="1:5" x14ac:dyDescent="0.25">
      <c r="A1419" s="21">
        <v>1418</v>
      </c>
      <c r="B1419" s="5" cm="1">
        <f t="array" aca="1" ref="B1419" ca="1">interpolexp(A1419,serie_du,Taxas_DI)</f>
        <v>0.13092417790971922</v>
      </c>
      <c r="C1419" s="32">
        <f ca="1">((((1+B1419)^(A1419/252))/((1+B1418)^(A1418/252)))^(252/1))-1</f>
        <v>0.12551167201908831</v>
      </c>
      <c r="D1419" s="30">
        <v>0.13092417790971922</v>
      </c>
      <c r="E1419" s="31">
        <f ca="1">B1419-D1419</f>
        <v>0</v>
      </c>
    </row>
    <row r="1420" spans="1:5" x14ac:dyDescent="0.25">
      <c r="A1420" s="21">
        <v>1419</v>
      </c>
      <c r="B1420" s="5" cm="1">
        <f t="array" aca="1" ref="B1420" ca="1">interpolexp(A1420,serie_du,Taxas_DI)</f>
        <v>0.13092035443671435</v>
      </c>
      <c r="C1420" s="32">
        <f ca="1">((((1+B1420)^(A1420/252))/((1+B1419)^(A1419/252)))^(252/1))-1</f>
        <v>0.1255116539983252</v>
      </c>
      <c r="D1420" s="30">
        <v>0.13092035443671435</v>
      </c>
      <c r="E1420" s="31">
        <f ca="1">B1420-D1420</f>
        <v>0</v>
      </c>
    </row>
    <row r="1421" spans="1:5" x14ac:dyDescent="0.25">
      <c r="A1421" s="21">
        <v>1420</v>
      </c>
      <c r="B1421" s="5" cm="1">
        <f t="array" aca="1" ref="B1421" ca="1">interpolexp(A1421,serie_du,Taxas_DI)</f>
        <v>0.13091653634900169</v>
      </c>
      <c r="C1421" s="32">
        <f ca="1">((((1+B1421)^(A1421/252))/((1+B1420)^(A1420/252)))^(252/1))-1</f>
        <v>0.12551163593698922</v>
      </c>
      <c r="D1421" s="30">
        <v>0.13091653634900169</v>
      </c>
      <c r="E1421" s="31">
        <f ca="1">B1421-D1421</f>
        <v>0</v>
      </c>
    </row>
    <row r="1422" spans="1:5" x14ac:dyDescent="0.25">
      <c r="A1422" s="21">
        <v>1421</v>
      </c>
      <c r="B1422" s="5" cm="1">
        <f t="array" aca="1" ref="B1422" ca="1">interpolexp(A1422,serie_du,Taxas_DI)</f>
        <v>0.13091272363525697</v>
      </c>
      <c r="C1422" s="32">
        <f ca="1">((((1+B1422)^(A1422/252))/((1+B1421)^(A1421/252)))^(252/1))-1</f>
        <v>0.12551161797790122</v>
      </c>
      <c r="D1422" s="30">
        <v>0.13091272363525697</v>
      </c>
      <c r="E1422" s="31">
        <f ca="1">B1422-D1422</f>
        <v>0</v>
      </c>
    </row>
    <row r="1423" spans="1:5" x14ac:dyDescent="0.25">
      <c r="A1423" s="21">
        <v>1422</v>
      </c>
      <c r="B1423" s="5" cm="1">
        <f t="array" aca="1" ref="B1423" ca="1">interpolexp(A1423,serie_du,Taxas_DI)</f>
        <v>0.1309089162841115</v>
      </c>
      <c r="C1423" s="32">
        <f ca="1">((((1+B1423)^(A1423/252))/((1+B1422)^(A1422/252)))^(252/1))-1</f>
        <v>0.12551160001293193</v>
      </c>
      <c r="D1423" s="30">
        <v>0.1309089162841115</v>
      </c>
      <c r="E1423" s="31">
        <f ca="1">B1423-D1423</f>
        <v>0</v>
      </c>
    </row>
    <row r="1424" spans="1:5" x14ac:dyDescent="0.25">
      <c r="A1424" s="21">
        <v>1423</v>
      </c>
      <c r="B1424" s="5" cm="1">
        <f t="array" aca="1" ref="B1424" ca="1">interpolexp(A1424,serie_du,Taxas_DI)</f>
        <v>0.13090511428426321</v>
      </c>
      <c r="C1424" s="32">
        <f ca="1">((((1+B1424)^(A1424/252))/((1+B1423)^(A1423/252)))^(252/1))-1</f>
        <v>0.12551158209089142</v>
      </c>
      <c r="D1424" s="30">
        <v>0.13090511428426321</v>
      </c>
      <c r="E1424" s="31">
        <f ca="1">B1424-D1424</f>
        <v>0</v>
      </c>
    </row>
    <row r="1425" spans="1:5" x14ac:dyDescent="0.25">
      <c r="A1425" s="21">
        <v>1424</v>
      </c>
      <c r="B1425" s="5" cm="1">
        <f t="array" aca="1" ref="B1425" ca="1">interpolexp(A1425,serie_du,Taxas_DI)</f>
        <v>0.13090131762445445</v>
      </c>
      <c r="C1425" s="32">
        <f ca="1">((((1+B1425)^(A1425/252))/((1+B1424)^(A1424/252)))^(252/1))-1</f>
        <v>0.12551156422989695</v>
      </c>
      <c r="D1425" s="30">
        <v>0.13090131762445445</v>
      </c>
      <c r="E1425" s="31">
        <f ca="1">B1425-D1425</f>
        <v>0</v>
      </c>
    </row>
    <row r="1426" spans="1:5" x14ac:dyDescent="0.25">
      <c r="A1426" s="21">
        <v>1425</v>
      </c>
      <c r="B1426" s="5" cm="1">
        <f t="array" aca="1" ref="B1426" ca="1">interpolexp(A1426,serie_du,Taxas_DI)</f>
        <v>0.13089752629344975</v>
      </c>
      <c r="C1426" s="32">
        <f ca="1">((((1+B1426)^(A1426/252))/((1+B1425)^(A1425/252)))^(252/1))-1</f>
        <v>0.1255115464163381</v>
      </c>
      <c r="D1426" s="30">
        <v>0.13089752629344975</v>
      </c>
      <c r="E1426" s="31">
        <f ca="1">B1426-D1426</f>
        <v>0</v>
      </c>
    </row>
    <row r="1427" spans="1:5" x14ac:dyDescent="0.25">
      <c r="A1427" s="21">
        <v>1426</v>
      </c>
      <c r="B1427" s="5" cm="1">
        <f t="array" aca="1" ref="B1427" ca="1">interpolexp(A1427,serie_du,Taxas_DI)</f>
        <v>0.13089374028001366</v>
      </c>
      <c r="C1427" s="32">
        <f ca="1">((((1+B1427)^(A1427/252))/((1+B1426)^(A1426/252)))^(252/1))-1</f>
        <v>0.12551152860545889</v>
      </c>
      <c r="D1427" s="30">
        <v>0.13089374028001366</v>
      </c>
      <c r="E1427" s="31">
        <f ca="1">B1427-D1427</f>
        <v>0</v>
      </c>
    </row>
    <row r="1428" spans="1:5" x14ac:dyDescent="0.25">
      <c r="A1428" s="21">
        <v>1427</v>
      </c>
      <c r="B1428" s="5" cm="1">
        <f t="array" aca="1" ref="B1428" ca="1">interpolexp(A1428,serie_du,Taxas_DI)</f>
        <v>0.13088995957295513</v>
      </c>
      <c r="C1428" s="32">
        <f ca="1">((((1+B1428)^(A1428/252))/((1+B1427)^(A1427/252)))^(252/1))-1</f>
        <v>0.12551151081546164</v>
      </c>
      <c r="D1428" s="30">
        <v>0.13088995957295513</v>
      </c>
      <c r="E1428" s="31">
        <f ca="1">B1428-D1428</f>
        <v>0</v>
      </c>
    </row>
    <row r="1429" spans="1:5" x14ac:dyDescent="0.25">
      <c r="A1429" s="21">
        <v>1428</v>
      </c>
      <c r="B1429" s="5" cm="1">
        <f t="array" aca="1" ref="B1429" ca="1">interpolexp(A1429,serie_du,Taxas_DI)</f>
        <v>0.13088618416117193</v>
      </c>
      <c r="C1429" s="32">
        <f ca="1">((((1+B1429)^(A1429/252))/((1+B1428)^(A1428/252)))^(252/1))-1</f>
        <v>0.12551149312794263</v>
      </c>
      <c r="D1429" s="30">
        <v>0.13088618416117193</v>
      </c>
      <c r="E1429" s="31">
        <f ca="1">B1429-D1429</f>
        <v>0</v>
      </c>
    </row>
    <row r="1430" spans="1:5" x14ac:dyDescent="0.25">
      <c r="A1430" s="21">
        <v>1429</v>
      </c>
      <c r="B1430" s="5" cm="1">
        <f t="array" aca="1" ref="B1430" ca="1">interpolexp(A1430,serie_du,Taxas_DI)</f>
        <v>0.13088241403351741</v>
      </c>
      <c r="C1430" s="32">
        <f ca="1">((((1+B1430)^(A1430/252))/((1+B1429)^(A1429/252)))^(252/1))-1</f>
        <v>0.12551147543531216</v>
      </c>
      <c r="D1430" s="30">
        <v>0.13088241403351741</v>
      </c>
      <c r="E1430" s="31">
        <f ca="1">B1430-D1430</f>
        <v>0</v>
      </c>
    </row>
    <row r="1431" spans="1:5" x14ac:dyDescent="0.25">
      <c r="A1431" s="21">
        <v>1430</v>
      </c>
      <c r="B1431" s="5" cm="1">
        <f t="array" aca="1" ref="B1431" ca="1">interpolexp(A1431,serie_du,Taxas_DI)</f>
        <v>0.13087864917891157</v>
      </c>
      <c r="C1431" s="32">
        <f ca="1">((((1+B1431)^(A1431/252))/((1+B1430)^(A1430/252)))^(252/1))-1</f>
        <v>0.1255114577881371</v>
      </c>
      <c r="D1431" s="30">
        <v>0.13087864917891157</v>
      </c>
      <c r="E1431" s="31">
        <f ca="1">B1431-D1431</f>
        <v>0</v>
      </c>
    </row>
    <row r="1432" spans="1:5" x14ac:dyDescent="0.25">
      <c r="A1432" s="21">
        <v>1431</v>
      </c>
      <c r="B1432" s="5" cm="1">
        <f t="array" aca="1" ref="B1432" ca="1">interpolexp(A1432,serie_du,Taxas_DI)</f>
        <v>0.13087488958629656</v>
      </c>
      <c r="C1432" s="32">
        <f ca="1">((((1+B1432)^(A1432/252))/((1+B1431)^(A1431/252)))^(252/1))-1</f>
        <v>0.12551144017363014</v>
      </c>
      <c r="D1432" s="30">
        <v>0.13087488958629656</v>
      </c>
      <c r="E1432" s="31">
        <f ca="1">B1432-D1432</f>
        <v>0</v>
      </c>
    </row>
    <row r="1433" spans="1:5" x14ac:dyDescent="0.25">
      <c r="A1433" s="21">
        <v>1432</v>
      </c>
      <c r="B1433" s="5" cm="1">
        <f t="array" aca="1" ref="B1433" ca="1">interpolexp(A1433,serie_du,Taxas_DI)</f>
        <v>0.13087113524463678</v>
      </c>
      <c r="C1433" s="32">
        <f ca="1">((((1+B1433)^(A1433/252))/((1+B1432)^(A1432/252)))^(252/1))-1</f>
        <v>0.12551142257934411</v>
      </c>
      <c r="D1433" s="30">
        <v>0.13087113524463678</v>
      </c>
      <c r="E1433" s="31">
        <f ca="1">B1433-D1433</f>
        <v>0</v>
      </c>
    </row>
    <row r="1434" spans="1:5" x14ac:dyDescent="0.25">
      <c r="A1434" s="21">
        <v>1433</v>
      </c>
      <c r="B1434" s="5" cm="1">
        <f t="array" aca="1" ref="B1434" ca="1">interpolexp(A1434,serie_du,Taxas_DI)</f>
        <v>0.13086738614296323</v>
      </c>
      <c r="C1434" s="32">
        <f ca="1">((((1+B1434)^(A1434/252))/((1+B1433)^(A1433/252)))^(252/1))-1</f>
        <v>0.1255114050563837</v>
      </c>
      <c r="D1434" s="30">
        <v>0.13086738614296323</v>
      </c>
      <c r="E1434" s="31">
        <f ca="1">B1434-D1434</f>
        <v>0</v>
      </c>
    </row>
    <row r="1435" spans="1:5" x14ac:dyDescent="0.25">
      <c r="A1435" s="21">
        <v>1434</v>
      </c>
      <c r="B1435" s="5" cm="1">
        <f t="array" aca="1" ref="B1435" ca="1">interpolexp(A1435,serie_du,Taxas_DI)</f>
        <v>0.13086364227030689</v>
      </c>
      <c r="C1435" s="32">
        <f ca="1">((((1+B1435)^(A1435/252))/((1+B1434)^(A1434/252)))^(252/1))-1</f>
        <v>0.12551138756073188</v>
      </c>
      <c r="D1435" s="30">
        <v>0.13086364227030689</v>
      </c>
      <c r="E1435" s="31">
        <f ca="1">B1435-D1435</f>
        <v>0</v>
      </c>
    </row>
    <row r="1436" spans="1:5" x14ac:dyDescent="0.25">
      <c r="A1436" s="21">
        <v>1435</v>
      </c>
      <c r="B1436" s="5" cm="1">
        <f t="array" aca="1" ref="B1436" ca="1">interpolexp(A1436,serie_du,Taxas_DI)</f>
        <v>0.13085990361572097</v>
      </c>
      <c r="C1436" s="32">
        <f ca="1">((((1+B1436)^(A1436/252))/((1+B1435)^(A1435/252)))^(252/1))-1</f>
        <v>0.12551137008061941</v>
      </c>
      <c r="D1436" s="30">
        <v>0.13085990361572097</v>
      </c>
      <c r="E1436" s="31">
        <f ca="1">B1436-D1436</f>
        <v>0</v>
      </c>
    </row>
    <row r="1437" spans="1:5" x14ac:dyDescent="0.25">
      <c r="A1437" s="21">
        <v>1436</v>
      </c>
      <c r="B1437" s="5" cm="1">
        <f t="array" aca="1" ref="B1437" ca="1">interpolexp(A1437,serie_du,Taxas_DI)</f>
        <v>0.13085617016832529</v>
      </c>
      <c r="C1437" s="32">
        <f ca="1">((((1+B1437)^(A1437/252))/((1+B1436)^(A1436/252)))^(252/1))-1</f>
        <v>0.12551135266725444</v>
      </c>
      <c r="D1437" s="30">
        <v>0.13085617016832529</v>
      </c>
      <c r="E1437" s="31">
        <f ca="1">B1437-D1437</f>
        <v>0</v>
      </c>
    </row>
    <row r="1438" spans="1:5" x14ac:dyDescent="0.25">
      <c r="A1438" s="21">
        <v>1437</v>
      </c>
      <c r="B1438" s="5" cm="1">
        <f t="array" aca="1" ref="B1438" ca="1">interpolexp(A1438,serie_du,Taxas_DI)</f>
        <v>0.13085244191723966</v>
      </c>
      <c r="C1438" s="32">
        <f ca="1">((((1+B1438)^(A1438/252))/((1+B1437)^(A1437/252)))^(252/1))-1</f>
        <v>0.12551133527752478</v>
      </c>
      <c r="D1438" s="30">
        <v>0.13085244191723966</v>
      </c>
      <c r="E1438" s="31">
        <f ca="1">B1438-D1438</f>
        <v>0</v>
      </c>
    </row>
    <row r="1439" spans="1:5" x14ac:dyDescent="0.25">
      <c r="A1439" s="21">
        <v>1438</v>
      </c>
      <c r="B1439" s="5" cm="1">
        <f t="array" aca="1" ref="B1439" ca="1">interpolexp(A1439,serie_du,Taxas_DI)</f>
        <v>0.13084871885160609</v>
      </c>
      <c r="C1439" s="32">
        <f ca="1">((((1+B1439)^(A1439/252))/((1+B1438)^(A1438/252)))^(252/1))-1</f>
        <v>0.12551131789952885</v>
      </c>
      <c r="D1439" s="30">
        <v>0.13084871885160609</v>
      </c>
      <c r="E1439" s="31">
        <f ca="1">B1439-D1439</f>
        <v>0</v>
      </c>
    </row>
    <row r="1440" spans="1:5" x14ac:dyDescent="0.25">
      <c r="A1440" s="21">
        <v>1439</v>
      </c>
      <c r="B1440" s="5" cm="1">
        <f t="array" aca="1" ref="B1440" ca="1">interpolexp(A1440,serie_du,Taxas_DI)</f>
        <v>0.13084500096063323</v>
      </c>
      <c r="C1440" s="32">
        <f ca="1">((((1+B1440)^(A1440/252))/((1+B1439)^(A1439/252)))^(252/1))-1</f>
        <v>0.12551130058562365</v>
      </c>
      <c r="D1440" s="30">
        <v>0.13084500096063323</v>
      </c>
      <c r="E1440" s="31">
        <f ca="1">B1440-D1440</f>
        <v>0</v>
      </c>
    </row>
    <row r="1441" spans="1:5" x14ac:dyDescent="0.25">
      <c r="A1441" s="21">
        <v>1440</v>
      </c>
      <c r="B1441" s="5" cm="1">
        <f t="array" aca="1" ref="B1441" ca="1">interpolexp(A1441,serie_du,Taxas_DI)</f>
        <v>0.1308412882335519</v>
      </c>
      <c r="C1441" s="32">
        <f ca="1">((((1+B1441)^(A1441/252))/((1+B1440)^(A1440/252)))^(252/1))-1</f>
        <v>0.12551128332426975</v>
      </c>
      <c r="D1441" s="30">
        <v>0.1308412882335519</v>
      </c>
      <c r="E1441" s="31">
        <f ca="1">B1441-D1441</f>
        <v>0</v>
      </c>
    </row>
    <row r="1442" spans="1:5" x14ac:dyDescent="0.25">
      <c r="A1442" s="21">
        <v>1441</v>
      </c>
      <c r="B1442" s="5" cm="1">
        <f t="array" aca="1" ref="B1442" ca="1">interpolexp(A1442,serie_du,Taxas_DI)</f>
        <v>0.13083758065957074</v>
      </c>
      <c r="C1442" s="32">
        <f ca="1">((((1+B1442)^(A1442/252))/((1+B1441)^(A1441/252)))^(252/1))-1</f>
        <v>0.1255112660408193</v>
      </c>
      <c r="D1442" s="30">
        <v>0.13083758065957074</v>
      </c>
      <c r="E1442" s="31">
        <f ca="1">B1442-D1442</f>
        <v>0</v>
      </c>
    </row>
    <row r="1443" spans="1:5" x14ac:dyDescent="0.25">
      <c r="A1443" s="21">
        <v>1442</v>
      </c>
      <c r="B1443" s="5" cm="1">
        <f t="array" aca="1" ref="B1443" ca="1">interpolexp(A1443,serie_du,Taxas_DI)</f>
        <v>0.1308338782280094</v>
      </c>
      <c r="C1443" s="32">
        <f ca="1">((((1+B1443)^(A1443/252))/((1+B1442)^(A1442/252)))^(252/1))-1</f>
        <v>0.12551124885160569</v>
      </c>
      <c r="D1443" s="30">
        <v>0.1308338782280094</v>
      </c>
      <c r="E1443" s="31">
        <f ca="1">B1443-D1443</f>
        <v>0</v>
      </c>
    </row>
    <row r="1444" spans="1:5" x14ac:dyDescent="0.25">
      <c r="A1444" s="21">
        <v>1443</v>
      </c>
      <c r="B1444" s="5" cm="1">
        <f t="array" aca="1" ref="B1444" ca="1">interpolexp(A1444,serie_du,Taxas_DI)</f>
        <v>0.13083018092816534</v>
      </c>
      <c r="C1444" s="32">
        <f ca="1">((((1+B1444)^(A1444/252))/((1+B1443)^(A1443/252)))^(252/1))-1</f>
        <v>0.12551123168190226</v>
      </c>
      <c r="D1444" s="30">
        <v>0.13083018092816534</v>
      </c>
      <c r="E1444" s="31">
        <f ca="1">B1444-D1444</f>
        <v>0</v>
      </c>
    </row>
    <row r="1445" spans="1:5" x14ac:dyDescent="0.25">
      <c r="A1445" s="21">
        <v>1444</v>
      </c>
      <c r="B1445" s="5" cm="1">
        <f t="array" aca="1" ref="B1445" ca="1">interpolexp(A1445,serie_du,Taxas_DI)</f>
        <v>0.13082648874935821</v>
      </c>
      <c r="C1445" s="32">
        <f ca="1">((((1+B1445)^(A1445/252))/((1+B1444)^(A1444/252)))^(252/1))-1</f>
        <v>0.12551121452114433</v>
      </c>
      <c r="D1445" s="30">
        <v>0.13082648874935821</v>
      </c>
      <c r="E1445" s="31">
        <f ca="1">B1445-D1445</f>
        <v>0</v>
      </c>
    </row>
    <row r="1446" spans="1:5" x14ac:dyDescent="0.25">
      <c r="A1446" s="21">
        <v>1445</v>
      </c>
      <c r="B1446" s="5" cm="1">
        <f t="array" aca="1" ref="B1446" ca="1">interpolexp(A1446,serie_du,Taxas_DI)</f>
        <v>0.13082280168097427</v>
      </c>
      <c r="C1446" s="32">
        <f ca="1">((((1+B1446)^(A1446/252))/((1+B1445)^(A1445/252)))^(252/1))-1</f>
        <v>0.12551119742237904</v>
      </c>
      <c r="D1446" s="30">
        <v>0.13082280168097427</v>
      </c>
      <c r="E1446" s="31">
        <f ca="1">B1446-D1446</f>
        <v>0</v>
      </c>
    </row>
    <row r="1447" spans="1:5" x14ac:dyDescent="0.25">
      <c r="A1447" s="21">
        <v>1446</v>
      </c>
      <c r="B1447" s="5" cm="1">
        <f t="array" aca="1" ref="B1447" ca="1">interpolexp(A1447,serie_du,Taxas_DI)</f>
        <v>0.13081911971239979</v>
      </c>
      <c r="C1447" s="32">
        <f ca="1">((((1+B1447)^(A1447/252))/((1+B1446)^(A1446/252)))^(252/1))-1</f>
        <v>0.12551118034325937</v>
      </c>
      <c r="D1447" s="30">
        <v>0.13081911971239979</v>
      </c>
      <c r="E1447" s="31">
        <f ca="1">B1447-D1447</f>
        <v>0</v>
      </c>
    </row>
    <row r="1448" spans="1:5" x14ac:dyDescent="0.25">
      <c r="A1448" s="21">
        <v>1447</v>
      </c>
      <c r="B1448" s="5" cm="1">
        <f t="array" aca="1" ref="B1448" ca="1">interpolexp(A1448,serie_du,Taxas_DI)</f>
        <v>0.13081544283306545</v>
      </c>
      <c r="C1448" s="32">
        <f ca="1">((((1+B1448)^(A1448/252))/((1+B1447)^(A1447/252)))^(252/1))-1</f>
        <v>0.12551116330549106</v>
      </c>
      <c r="D1448" s="30">
        <v>0.13081544283306545</v>
      </c>
      <c r="E1448" s="31">
        <f ca="1">B1448-D1448</f>
        <v>0</v>
      </c>
    </row>
    <row r="1449" spans="1:5" x14ac:dyDescent="0.25">
      <c r="A1449" s="21">
        <v>1448</v>
      </c>
      <c r="B1449" s="5" cm="1">
        <f t="array" aca="1" ref="B1449" ca="1">interpolexp(A1449,serie_du,Taxas_DI)</f>
        <v>0.13081177103242414</v>
      </c>
      <c r="C1449" s="32">
        <f ca="1">((((1+B1449)^(A1449/252))/((1+B1448)^(A1448/252)))^(252/1))-1</f>
        <v>0.12551114629875304</v>
      </c>
      <c r="D1449" s="30">
        <v>0.13081177103242414</v>
      </c>
      <c r="E1449" s="31">
        <f ca="1">B1449-D1449</f>
        <v>0</v>
      </c>
    </row>
    <row r="1450" spans="1:5" x14ac:dyDescent="0.25">
      <c r="A1450" s="21">
        <v>1449</v>
      </c>
      <c r="B1450" s="5" cm="1">
        <f t="array" aca="1" ref="B1450" ca="1">interpolexp(A1450,serie_du,Taxas_DI)</f>
        <v>0.13080810429997314</v>
      </c>
      <c r="C1450" s="32">
        <f ca="1">((((1+B1450)^(A1450/252))/((1+B1449)^(A1449/252)))^(252/1))-1</f>
        <v>0.12551112934511677</v>
      </c>
      <c r="D1450" s="30">
        <v>0.13080810429997314</v>
      </c>
      <c r="E1450" s="31">
        <f ca="1">B1450-D1450</f>
        <v>0</v>
      </c>
    </row>
    <row r="1451" spans="1:5" x14ac:dyDescent="0.25">
      <c r="A1451" s="21">
        <v>1450</v>
      </c>
      <c r="B1451" s="5" cm="1">
        <f t="array" aca="1" ref="B1451" ca="1">interpolexp(A1451,serie_du,Taxas_DI)</f>
        <v>0.13080444262523194</v>
      </c>
      <c r="C1451" s="32">
        <f ca="1">((((1+B1451)^(A1451/252))/((1+B1450)^(A1450/252)))^(252/1))-1</f>
        <v>0.12551111243461799</v>
      </c>
      <c r="D1451" s="30">
        <v>0.13080444262523194</v>
      </c>
      <c r="E1451" s="31">
        <f ca="1">B1451-D1451</f>
        <v>0</v>
      </c>
    </row>
    <row r="1452" spans="1:5" x14ac:dyDescent="0.25">
      <c r="A1452" s="21">
        <v>1451</v>
      </c>
      <c r="B1452" s="5" cm="1">
        <f t="array" aca="1" ref="B1452" ca="1">interpolexp(A1452,serie_du,Taxas_DI)</f>
        <v>0.13080078599769784</v>
      </c>
      <c r="C1452" s="32">
        <f ca="1">((((1+B1452)^(A1452/252))/((1+B1451)^(A1451/252)))^(252/1))-1</f>
        <v>0.12551109549351014</v>
      </c>
      <c r="D1452" s="30">
        <v>0.13080078599769784</v>
      </c>
      <c r="E1452" s="31">
        <f ca="1">B1452-D1452</f>
        <v>0</v>
      </c>
    </row>
    <row r="1453" spans="1:5" x14ac:dyDescent="0.25">
      <c r="A1453" s="21">
        <v>1452</v>
      </c>
      <c r="B1453" s="5" cm="1">
        <f t="array" aca="1" ref="B1453" ca="1">interpolexp(A1453,serie_du,Taxas_DI)</f>
        <v>0.13079713440700136</v>
      </c>
      <c r="C1453" s="32">
        <f ca="1">((((1+B1453)^(A1453/252))/((1+B1452)^(A1452/252)))^(252/1))-1</f>
        <v>0.12551107867228306</v>
      </c>
      <c r="D1453" s="30">
        <v>0.13079713440700136</v>
      </c>
      <c r="E1453" s="31">
        <f ca="1">B1453-D1453</f>
        <v>0</v>
      </c>
    </row>
    <row r="1454" spans="1:5" x14ac:dyDescent="0.25">
      <c r="A1454" s="21">
        <v>1453</v>
      </c>
      <c r="B1454" s="5" cm="1">
        <f t="array" aca="1" ref="B1454" ca="1">interpolexp(A1454,serie_du,Taxas_DI)</f>
        <v>0.13079348784270639</v>
      </c>
      <c r="C1454" s="32">
        <f ca="1">((((1+B1454)^(A1454/252))/((1+B1453)^(A1453/252)))^(252/1))-1</f>
        <v>0.12551106183326644</v>
      </c>
      <c r="D1454" s="30">
        <v>0.13079348784270639</v>
      </c>
      <c r="E1454" s="31">
        <f ca="1">B1454-D1454</f>
        <v>0</v>
      </c>
    </row>
    <row r="1455" spans="1:5" x14ac:dyDescent="0.25">
      <c r="A1455" s="21">
        <v>1454</v>
      </c>
      <c r="B1455" s="5" cm="1">
        <f t="array" aca="1" ref="B1455" ca="1">interpolexp(A1455,serie_du,Taxas_DI)</f>
        <v>0.13078984629444346</v>
      </c>
      <c r="C1455" s="32">
        <f ca="1">((((1+B1455)^(A1455/252))/((1+B1454)^(A1454/252)))^(252/1))-1</f>
        <v>0.12551104503129595</v>
      </c>
      <c r="D1455" s="30">
        <v>0.13078984629444346</v>
      </c>
      <c r="E1455" s="31">
        <f ca="1">B1455-D1455</f>
        <v>0</v>
      </c>
    </row>
    <row r="1456" spans="1:5" x14ac:dyDescent="0.25">
      <c r="A1456" s="21">
        <v>1455</v>
      </c>
      <c r="B1456" s="5" cm="1">
        <f t="array" aca="1" ref="B1456" ca="1">interpolexp(A1456,serie_du,Taxas_DI)</f>
        <v>0.13078620975188748</v>
      </c>
      <c r="C1456" s="32">
        <f ca="1">((((1+B1456)^(A1456/252))/((1+B1455)^(A1455/252)))^(252/1))-1</f>
        <v>0.12551102828910388</v>
      </c>
      <c r="D1456" s="30">
        <v>0.13078620975188748</v>
      </c>
      <c r="E1456" s="31">
        <f ca="1">B1456-D1456</f>
        <v>0</v>
      </c>
    </row>
    <row r="1457" spans="1:5" x14ac:dyDescent="0.25">
      <c r="A1457" s="21">
        <v>1456</v>
      </c>
      <c r="B1457" s="5" cm="1">
        <f t="array" aca="1" ref="B1457" ca="1">interpolexp(A1457,serie_du,Taxas_DI)</f>
        <v>0.1307825782047134</v>
      </c>
      <c r="C1457" s="32">
        <f ca="1">((((1+B1457)^(A1457/252))/((1+B1456)^(A1456/252)))^(252/1))-1</f>
        <v>0.12551101156569344</v>
      </c>
      <c r="D1457" s="30">
        <v>0.1307825782047134</v>
      </c>
      <c r="E1457" s="31">
        <f ca="1">B1457-D1457</f>
        <v>0</v>
      </c>
    </row>
    <row r="1458" spans="1:5" x14ac:dyDescent="0.25">
      <c r="A1458" s="21">
        <v>1457</v>
      </c>
      <c r="B1458" s="5" cm="1">
        <f t="array" aca="1" ref="B1458" ca="1">interpolexp(A1458,serie_du,Taxas_DI)</f>
        <v>0.13077895164264053</v>
      </c>
      <c r="C1458" s="32">
        <f ca="1">((((1+B1458)^(A1458/252))/((1+B1457)^(A1457/252)))^(252/1))-1</f>
        <v>0.12551099488418016</v>
      </c>
      <c r="D1458" s="30">
        <v>0.13077895164264053</v>
      </c>
      <c r="E1458" s="31">
        <f ca="1">B1458-D1458</f>
        <v>0</v>
      </c>
    </row>
    <row r="1459" spans="1:5" x14ac:dyDescent="0.25">
      <c r="A1459" s="21">
        <v>1458</v>
      </c>
      <c r="B1459" s="5" cm="1">
        <f t="array" aca="1" ref="B1459" ca="1">interpolexp(A1459,serie_du,Taxas_DI)</f>
        <v>0.13077533005538822</v>
      </c>
      <c r="C1459" s="32">
        <f ca="1">((((1+B1459)^(A1459/252))/((1+B1458)^(A1458/252)))^(252/1))-1</f>
        <v>0.12551097820351731</v>
      </c>
      <c r="D1459" s="30">
        <v>0.13077533005538822</v>
      </c>
      <c r="E1459" s="31">
        <f ca="1">B1459-D1459</f>
        <v>0</v>
      </c>
    </row>
    <row r="1460" spans="1:5" x14ac:dyDescent="0.25">
      <c r="A1460" s="21">
        <v>1459</v>
      </c>
      <c r="B1460" s="5" cm="1">
        <f t="array" aca="1" ref="B1460" ca="1">interpolexp(A1460,serie_du,Taxas_DI)</f>
        <v>0.13077171343276461</v>
      </c>
      <c r="C1460" s="32">
        <f ca="1">((((1+B1460)^(A1460/252))/((1+B1459)^(A1459/252)))^(252/1))-1</f>
        <v>0.12551096161176578</v>
      </c>
      <c r="D1460" s="30">
        <v>0.13077171343276461</v>
      </c>
      <c r="E1460" s="31">
        <f ca="1">B1460-D1460</f>
        <v>0</v>
      </c>
    </row>
    <row r="1461" spans="1:5" x14ac:dyDescent="0.25">
      <c r="A1461" s="21">
        <v>1460</v>
      </c>
      <c r="B1461" s="5" cm="1">
        <f t="array" aca="1" ref="B1461" ca="1">interpolexp(A1461,serie_du,Taxas_DI)</f>
        <v>0.13076810176453346</v>
      </c>
      <c r="C1461" s="32">
        <f ca="1">((((1+B1461)^(A1461/252))/((1+B1460)^(A1460/252)))^(252/1))-1</f>
        <v>0.12551094500350635</v>
      </c>
      <c r="D1461" s="30">
        <v>0.13076810176453346</v>
      </c>
      <c r="E1461" s="31">
        <f ca="1">B1461-D1461</f>
        <v>0</v>
      </c>
    </row>
    <row r="1462" spans="1:5" x14ac:dyDescent="0.25">
      <c r="A1462" s="21">
        <v>1461</v>
      </c>
      <c r="B1462" s="5" cm="1">
        <f t="array" aca="1" ref="B1462" ca="1">interpolexp(A1462,serie_du,Taxas_DI)</f>
        <v>0.13076449504054732</v>
      </c>
      <c r="C1462" s="32">
        <f ca="1">((((1+B1462)^(A1462/252))/((1+B1461)^(A1461/252)))^(252/1))-1</f>
        <v>0.12551092846724576</v>
      </c>
      <c r="D1462" s="30">
        <v>0.13076449504054732</v>
      </c>
      <c r="E1462" s="31">
        <f ca="1">B1462-D1462</f>
        <v>0</v>
      </c>
    </row>
    <row r="1463" spans="1:5" x14ac:dyDescent="0.25">
      <c r="A1463" s="21">
        <v>1462</v>
      </c>
      <c r="B1463" s="5" cm="1">
        <f t="array" aca="1" ref="B1463" ca="1">interpolexp(A1463,serie_du,Taxas_DI)</f>
        <v>0.13076089325065876</v>
      </c>
      <c r="C1463" s="32">
        <f ca="1">((((1+B1463)^(A1463/252))/((1+B1462)^(A1462/252)))^(252/1))-1</f>
        <v>0.12551091196247977</v>
      </c>
      <c r="D1463" s="30">
        <v>0.13076089325065876</v>
      </c>
      <c r="E1463" s="31">
        <f ca="1">B1463-D1463</f>
        <v>0</v>
      </c>
    </row>
    <row r="1464" spans="1:5" x14ac:dyDescent="0.25">
      <c r="A1464" s="21">
        <v>1463</v>
      </c>
      <c r="B1464" s="5" cm="1">
        <f t="array" aca="1" ref="B1464" ca="1">interpolexp(A1464,serie_du,Taxas_DI)</f>
        <v>0.13075729638472033</v>
      </c>
      <c r="C1464" s="32">
        <f ca="1">((((1+B1464)^(A1464/252))/((1+B1463)^(A1463/252)))^(252/1))-1</f>
        <v>0.12551089544864635</v>
      </c>
      <c r="D1464" s="30">
        <v>0.13075729638472033</v>
      </c>
      <c r="E1464" s="31">
        <f ca="1">B1464-D1464</f>
        <v>0</v>
      </c>
    </row>
    <row r="1465" spans="1:5" x14ac:dyDescent="0.25">
      <c r="A1465" s="21">
        <v>1464</v>
      </c>
      <c r="B1465" s="5" cm="1">
        <f t="array" aca="1" ref="B1465" ca="1">interpolexp(A1465,serie_du,Taxas_DI)</f>
        <v>0.13075370443267342</v>
      </c>
      <c r="C1465" s="32">
        <f ca="1">((((1+B1465)^(A1465/252))/((1+B1464)^(A1464/252)))^(252/1))-1</f>
        <v>0.12551087901456914</v>
      </c>
      <c r="D1465" s="30">
        <v>0.13075370443267342</v>
      </c>
      <c r="E1465" s="31">
        <f ca="1">B1465-D1465</f>
        <v>0</v>
      </c>
    </row>
    <row r="1466" spans="1:5" x14ac:dyDescent="0.25">
      <c r="A1466" s="21">
        <v>1465</v>
      </c>
      <c r="B1466" s="5" cm="1">
        <f t="array" aca="1" ref="B1466" ca="1">interpolexp(A1466,serie_du,Taxas_DI)</f>
        <v>0.1307501173844372</v>
      </c>
      <c r="C1466" s="32">
        <f ca="1">((((1+B1466)^(A1466/252))/((1+B1465)^(A1465/252)))^(252/1))-1</f>
        <v>0.12551086258805144</v>
      </c>
      <c r="D1466" s="30">
        <v>0.1307501173844372</v>
      </c>
      <c r="E1466" s="31">
        <f ca="1">B1466-D1466</f>
        <v>0</v>
      </c>
    </row>
    <row r="1467" spans="1:5" x14ac:dyDescent="0.25">
      <c r="A1467" s="21">
        <v>1466</v>
      </c>
      <c r="B1467" s="5" cm="1">
        <f t="array" aca="1" ref="B1467" ca="1">interpolexp(A1467,serie_du,Taxas_DI)</f>
        <v>0.13074653522999746</v>
      </c>
      <c r="C1467" s="32">
        <f ca="1">((((1+B1467)^(A1467/252))/((1+B1466)^(A1466/252)))^(252/1))-1</f>
        <v>0.12551084622566178</v>
      </c>
      <c r="D1467" s="30">
        <v>0.13074653522999746</v>
      </c>
      <c r="E1467" s="31">
        <f ca="1">B1467-D1467</f>
        <v>0</v>
      </c>
    </row>
    <row r="1468" spans="1:5" x14ac:dyDescent="0.25">
      <c r="A1468" s="21">
        <v>1467</v>
      </c>
      <c r="B1468" s="5" cm="1">
        <f t="array" aca="1" ref="B1468" ca="1">interpolexp(A1468,serie_du,Taxas_DI)</f>
        <v>0.13074295795931778</v>
      </c>
      <c r="C1468" s="32">
        <f ca="1">((((1+B1468)^(A1468/252))/((1+B1467)^(A1467/252)))^(252/1))-1</f>
        <v>0.12551082985529294</v>
      </c>
      <c r="D1468" s="30">
        <v>0.13074295795931778</v>
      </c>
      <c r="E1468" s="31">
        <f ca="1">B1468-D1468</f>
        <v>0</v>
      </c>
    </row>
    <row r="1469" spans="1:5" x14ac:dyDescent="0.25">
      <c r="A1469" s="21">
        <v>1468</v>
      </c>
      <c r="B1469" s="5" cm="1">
        <f t="array" aca="1" ref="B1469" ca="1">interpolexp(A1469,serie_du,Taxas_DI)</f>
        <v>0.13073938556242837</v>
      </c>
      <c r="C1469" s="32">
        <f ca="1">((((1+B1469)^(A1469/252))/((1+B1468)^(A1468/252)))^(252/1))-1</f>
        <v>0.12551081353422155</v>
      </c>
      <c r="D1469" s="30">
        <v>0.13073938556242837</v>
      </c>
      <c r="E1469" s="31">
        <f ca="1">B1469-D1469</f>
        <v>0</v>
      </c>
    </row>
    <row r="1470" spans="1:5" x14ac:dyDescent="0.25">
      <c r="A1470" s="21">
        <v>1469</v>
      </c>
      <c r="B1470" s="5" cm="1">
        <f t="array" aca="1" ref="B1470" ca="1">interpolexp(A1470,serie_du,Taxas_DI)</f>
        <v>0.13073581802938161</v>
      </c>
      <c r="C1470" s="32">
        <f ca="1">((((1+B1470)^(A1470/252))/((1+B1469)^(A1469/252)))^(252/1))-1</f>
        <v>0.12551079725498338</v>
      </c>
      <c r="D1470" s="30">
        <v>0.13073581802938161</v>
      </c>
      <c r="E1470" s="31">
        <f ca="1">B1470-D1470</f>
        <v>0</v>
      </c>
    </row>
    <row r="1471" spans="1:5" x14ac:dyDescent="0.25">
      <c r="A1471" s="21">
        <v>1470</v>
      </c>
      <c r="B1471" s="5" cm="1">
        <f t="array" aca="1" ref="B1471" ca="1">interpolexp(A1471,serie_du,Taxas_DI)</f>
        <v>0.13073225535025212</v>
      </c>
      <c r="C1471" s="32">
        <f ca="1">((((1+B1471)^(A1471/252))/((1+B1470)^(A1470/252)))^(252/1))-1</f>
        <v>0.12551078101046698</v>
      </c>
      <c r="D1471" s="30">
        <v>0.13073225535025212</v>
      </c>
      <c r="E1471" s="31">
        <f ca="1">B1471-D1471</f>
        <v>0</v>
      </c>
    </row>
    <row r="1472" spans="1:5" x14ac:dyDescent="0.25">
      <c r="A1472" s="21">
        <v>1471</v>
      </c>
      <c r="B1472" s="5" cm="1">
        <f t="array" aca="1" ref="B1472" ca="1">interpolexp(A1472,serie_du,Taxas_DI)</f>
        <v>0.13072869751513672</v>
      </c>
      <c r="C1472" s="32">
        <f ca="1">((((1+B1472)^(A1472/252))/((1+B1471)^(A1471/252)))^(252/1))-1</f>
        <v>0.12551076479355805</v>
      </c>
      <c r="D1472" s="30">
        <v>0.13072869751513672</v>
      </c>
      <c r="E1472" s="31">
        <f ca="1">B1472-D1472</f>
        <v>0</v>
      </c>
    </row>
    <row r="1473" spans="1:5" x14ac:dyDescent="0.25">
      <c r="A1473" s="21">
        <v>1472</v>
      </c>
      <c r="B1473" s="5" cm="1">
        <f t="array" aca="1" ref="B1473" ca="1">interpolexp(A1473,serie_du,Taxas_DI)</f>
        <v>0.1307251445141544</v>
      </c>
      <c r="C1473" s="32">
        <f ca="1">((((1+B1473)^(A1473/252))/((1+B1472)^(A1472/252)))^(252/1))-1</f>
        <v>0.12551074859722022</v>
      </c>
      <c r="D1473" s="30">
        <v>0.1307251445141544</v>
      </c>
      <c r="E1473" s="31">
        <f ca="1">B1473-D1473</f>
        <v>0</v>
      </c>
    </row>
    <row r="1474" spans="1:5" x14ac:dyDescent="0.25">
      <c r="A1474" s="21">
        <v>1473</v>
      </c>
      <c r="B1474" s="5" cm="1">
        <f t="array" aca="1" ref="B1474" ca="1">interpolexp(A1474,serie_du,Taxas_DI)</f>
        <v>0.13072159633749081</v>
      </c>
      <c r="C1474" s="32">
        <f ca="1">((((1+B1474)^(A1474/252))/((1+B1473)^(A1473/252)))^(252/1))-1</f>
        <v>0.12551073247990474</v>
      </c>
      <c r="D1474" s="30">
        <v>0.13072159633749081</v>
      </c>
      <c r="E1474" s="31">
        <f ca="1">B1474-D1474</f>
        <v>0</v>
      </c>
    </row>
    <row r="1475" spans="1:5" x14ac:dyDescent="0.25">
      <c r="A1475" s="21">
        <v>1474</v>
      </c>
      <c r="B1475" s="5" cm="1">
        <f t="array" aca="1" ref="B1475" ca="1">interpolexp(A1475,serie_du,Taxas_DI)</f>
        <v>0.13071805297528716</v>
      </c>
      <c r="C1475" s="32">
        <f ca="1">((((1+B1475)^(A1475/252))/((1+B1474)^(A1474/252)))^(252/1))-1</f>
        <v>0.12551071633690603</v>
      </c>
      <c r="D1475" s="30">
        <v>0.13071805297528716</v>
      </c>
      <c r="E1475" s="31">
        <f ca="1">B1475-D1475</f>
        <v>0</v>
      </c>
    </row>
    <row r="1476" spans="1:5" x14ac:dyDescent="0.25">
      <c r="A1476" s="21">
        <v>1475</v>
      </c>
      <c r="B1476" s="5" cm="1">
        <f t="array" aca="1" ref="B1476" ca="1">interpolexp(A1476,serie_du,Taxas_DI)</f>
        <v>0.13071451441777349</v>
      </c>
      <c r="C1476" s="32">
        <f ca="1">((((1+B1476)^(A1476/252))/((1+B1475)^(A1475/252)))^(252/1))-1</f>
        <v>0.12551070025970112</v>
      </c>
      <c r="D1476" s="30">
        <v>0.13071451441777349</v>
      </c>
      <c r="E1476" s="31">
        <f ca="1">B1476-D1476</f>
        <v>0</v>
      </c>
    </row>
    <row r="1477" spans="1:5" x14ac:dyDescent="0.25">
      <c r="A1477" s="21">
        <v>1476</v>
      </c>
      <c r="B1477" s="5" cm="1">
        <f t="array" aca="1" ref="B1477" ca="1">interpolexp(A1477,serie_du,Taxas_DI)</f>
        <v>0.13071098065515763</v>
      </c>
      <c r="C1477" s="32">
        <f ca="1">((((1+B1477)^(A1477/252))/((1+B1476)^(A1476/252)))^(252/1))-1</f>
        <v>0.12551068417624389</v>
      </c>
      <c r="D1477" s="30">
        <v>0.13071098065515763</v>
      </c>
      <c r="E1477" s="31">
        <f ca="1">B1477-D1477</f>
        <v>0</v>
      </c>
    </row>
    <row r="1478" spans="1:5" x14ac:dyDescent="0.25">
      <c r="A1478" s="21">
        <v>1477</v>
      </c>
      <c r="B1478" s="5" cm="1">
        <f t="array" aca="1" ref="B1478" ca="1">interpolexp(A1478,serie_du,Taxas_DI)</f>
        <v>0.13070745167773623</v>
      </c>
      <c r="C1478" s="32">
        <f ca="1">((((1+B1478)^(A1478/252))/((1+B1477)^(A1477/252)))^(252/1))-1</f>
        <v>0.12551066817846235</v>
      </c>
      <c r="D1478" s="30">
        <v>0.13070745167773623</v>
      </c>
      <c r="E1478" s="31">
        <f ca="1">B1478-D1478</f>
        <v>0</v>
      </c>
    </row>
    <row r="1479" spans="1:5" x14ac:dyDescent="0.25">
      <c r="A1479" s="21">
        <v>1478</v>
      </c>
      <c r="B1479" s="5" cm="1">
        <f t="array" aca="1" ref="B1479" ca="1">interpolexp(A1479,serie_du,Taxas_DI)</f>
        <v>0.13070392747578374</v>
      </c>
      <c r="C1479" s="32">
        <f ca="1">((((1+B1479)^(A1479/252))/((1+B1478)^(A1478/252)))^(252/1))-1</f>
        <v>0.1255106521946745</v>
      </c>
      <c r="D1479" s="30">
        <v>0.13070392747578374</v>
      </c>
      <c r="E1479" s="31">
        <f ca="1">B1479-D1479</f>
        <v>0</v>
      </c>
    </row>
    <row r="1480" spans="1:5" x14ac:dyDescent="0.25">
      <c r="A1480" s="21">
        <v>1479</v>
      </c>
      <c r="B1480" s="5" cm="1">
        <f t="array" aca="1" ref="B1480" ca="1">interpolexp(A1480,serie_du,Taxas_DI)</f>
        <v>0.13070040803961902</v>
      </c>
      <c r="C1480" s="32">
        <f ca="1">((((1+B1480)^(A1480/252))/((1+B1479)^(A1479/252)))^(252/1))-1</f>
        <v>0.12551063625164982</v>
      </c>
      <c r="D1480" s="30">
        <v>0.13070040803961902</v>
      </c>
      <c r="E1480" s="31">
        <f ca="1">B1480-D1480</f>
        <v>0</v>
      </c>
    </row>
    <row r="1481" spans="1:5" x14ac:dyDescent="0.25">
      <c r="A1481" s="21">
        <v>1480</v>
      </c>
      <c r="B1481" s="5" cm="1">
        <f t="array" aca="1" ref="B1481" ca="1">interpolexp(A1481,serie_du,Taxas_DI)</f>
        <v>0.13069689335956092</v>
      </c>
      <c r="C1481" s="32">
        <f ca="1">((((1+B1481)^(A1481/252))/((1+B1480)^(A1480/252)))^(252/1))-1</f>
        <v>0.12551062031061333</v>
      </c>
      <c r="D1481" s="30">
        <v>0.13069689335956092</v>
      </c>
      <c r="E1481" s="31">
        <f ca="1">B1481-D1481</f>
        <v>0</v>
      </c>
    </row>
    <row r="1482" spans="1:5" x14ac:dyDescent="0.25">
      <c r="A1482" s="21">
        <v>1481</v>
      </c>
      <c r="B1482" s="5" cm="1">
        <f t="array" aca="1" ref="B1482" ca="1">interpolexp(A1482,serie_du,Taxas_DI)</f>
        <v>0.1306933834259727</v>
      </c>
      <c r="C1482" s="32">
        <f ca="1">((((1+B1482)^(A1482/252))/((1+B1481)^(A1481/252)))^(252/1))-1</f>
        <v>0.12551060439835826</v>
      </c>
      <c r="D1482" s="30">
        <v>0.1306933834259727</v>
      </c>
      <c r="E1482" s="31">
        <f ca="1">B1482-D1482</f>
        <v>0</v>
      </c>
    </row>
    <row r="1483" spans="1:5" x14ac:dyDescent="0.25">
      <c r="A1483" s="21">
        <v>1482</v>
      </c>
      <c r="B1483" s="5" cm="1">
        <f t="array" aca="1" ref="B1483" ca="1">interpolexp(A1483,serie_du,Taxas_DI)</f>
        <v>0.13068987822928424</v>
      </c>
      <c r="C1483" s="32">
        <f ca="1">((((1+B1483)^(A1483/252))/((1+B1482)^(A1482/252)))^(252/1))-1</f>
        <v>0.12551058857474962</v>
      </c>
      <c r="D1483" s="30">
        <v>0.13068987822928424</v>
      </c>
      <c r="E1483" s="31">
        <f ca="1">B1483-D1483</f>
        <v>0</v>
      </c>
    </row>
    <row r="1484" spans="1:5" x14ac:dyDescent="0.25">
      <c r="A1484" s="21">
        <v>1483</v>
      </c>
      <c r="B1484" s="5" cm="1">
        <f t="array" aca="1" ref="B1484" ca="1">interpolexp(A1484,serie_du,Taxas_DI)</f>
        <v>0.13068637775985881</v>
      </c>
      <c r="C1484" s="32">
        <f ca="1">((((1+B1484)^(A1484/252))/((1+B1483)^(A1483/252)))^(252/1))-1</f>
        <v>0.12551057270340493</v>
      </c>
      <c r="D1484" s="30">
        <v>0.13068637775985881</v>
      </c>
      <c r="E1484" s="31">
        <f ca="1">B1484-D1484</f>
        <v>0</v>
      </c>
    </row>
    <row r="1485" spans="1:5" x14ac:dyDescent="0.25">
      <c r="A1485" s="21">
        <v>1484</v>
      </c>
      <c r="B1485" s="5" cm="1">
        <f t="array" aca="1" ref="B1485" ca="1">interpolexp(A1485,serie_du,Taxas_DI)</f>
        <v>0.13068288200819289</v>
      </c>
      <c r="C1485" s="32">
        <f ca="1">((((1+B1485)^(A1485/252))/((1+B1484)^(A1484/252)))^(252/1))-1</f>
        <v>0.12551055694256208</v>
      </c>
      <c r="D1485" s="30">
        <v>0.13068288200819289</v>
      </c>
      <c r="E1485" s="31">
        <f ca="1">B1485-D1485</f>
        <v>0</v>
      </c>
    </row>
    <row r="1486" spans="1:5" x14ac:dyDescent="0.25">
      <c r="A1486" s="21">
        <v>1485</v>
      </c>
      <c r="B1486" s="5" cm="1">
        <f t="array" aca="1" ref="B1486" ca="1">interpolexp(A1486,serie_du,Taxas_DI)</f>
        <v>0.13067939096473857</v>
      </c>
      <c r="C1486" s="32">
        <f ca="1">((((1+B1486)^(A1486/252))/((1+B1485)^(A1485/252)))^(252/1))-1</f>
        <v>0.12551054118845806</v>
      </c>
      <c r="D1486" s="30">
        <v>0.13067939096473857</v>
      </c>
      <c r="E1486" s="31">
        <f ca="1">B1486-D1486</f>
        <v>0</v>
      </c>
    </row>
    <row r="1487" spans="1:5" x14ac:dyDescent="0.25">
      <c r="A1487" s="21">
        <v>1486</v>
      </c>
      <c r="B1487" s="5" cm="1">
        <f t="array" aca="1" ref="B1487" ca="1">interpolexp(A1487,serie_du,Taxas_DI)</f>
        <v>0.13067590461997014</v>
      </c>
      <c r="C1487" s="32">
        <f ca="1">((((1+B1487)^(A1487/252))/((1+B1486)^(A1486/252)))^(252/1))-1</f>
        <v>0.12551052543624452</v>
      </c>
      <c r="D1487" s="30">
        <v>0.13067590461997014</v>
      </c>
      <c r="E1487" s="31">
        <f ca="1">B1487-D1487</f>
        <v>0</v>
      </c>
    </row>
    <row r="1488" spans="1:5" x14ac:dyDescent="0.25">
      <c r="A1488" s="21">
        <v>1487</v>
      </c>
      <c r="B1488" s="5" cm="1">
        <f t="array" aca="1" ref="B1488" ca="1">interpolexp(A1488,serie_du,Taxas_DI)</f>
        <v>0.13067242296442849</v>
      </c>
      <c r="C1488" s="32">
        <f ca="1">((((1+B1488)^(A1488/252))/((1+B1487)^(A1487/252)))^(252/1))-1</f>
        <v>0.12551050974604361</v>
      </c>
      <c r="D1488" s="30">
        <v>0.13067242296442849</v>
      </c>
      <c r="E1488" s="31">
        <f ca="1">B1488-D1488</f>
        <v>0</v>
      </c>
    </row>
    <row r="1489" spans="1:5" x14ac:dyDescent="0.25">
      <c r="A1489" s="21">
        <v>1488</v>
      </c>
      <c r="B1489" s="5" cm="1">
        <f t="array" aca="1" ref="B1489" ca="1">interpolexp(A1489,serie_du,Taxas_DI)</f>
        <v>0.13066894598863232</v>
      </c>
      <c r="C1489" s="32">
        <f ca="1">((((1+B1489)^(A1489/252))/((1+B1488)^(A1488/252)))^(252/1))-1</f>
        <v>0.12551049404753023</v>
      </c>
      <c r="D1489" s="30">
        <v>0.13066894598863232</v>
      </c>
      <c r="E1489" s="31">
        <f ca="1">B1489-D1489</f>
        <v>0</v>
      </c>
    </row>
    <row r="1490" spans="1:5" x14ac:dyDescent="0.25">
      <c r="A1490" s="21">
        <v>1489</v>
      </c>
      <c r="B1490" s="5" cm="1">
        <f t="array" aca="1" ref="B1490" ca="1">interpolexp(A1490,serie_du,Taxas_DI)</f>
        <v>0.13066547368318915</v>
      </c>
      <c r="C1490" s="32">
        <f ca="1">((((1+B1490)^(A1490/252))/((1+B1489)^(A1489/252)))^(252/1))-1</f>
        <v>0.12551047843454755</v>
      </c>
      <c r="D1490" s="30">
        <v>0.13066547368318915</v>
      </c>
      <c r="E1490" s="31">
        <f ca="1">B1490-D1490</f>
        <v>0</v>
      </c>
    </row>
    <row r="1491" spans="1:5" x14ac:dyDescent="0.25">
      <c r="A1491" s="21">
        <v>1490</v>
      </c>
      <c r="B1491" s="5" cm="1">
        <f t="array" aca="1" ref="B1491" ca="1">interpolexp(A1491,serie_du,Taxas_DI)</f>
        <v>0.13066200603868428</v>
      </c>
      <c r="C1491" s="32">
        <f ca="1">((((1+B1491)^(A1491/252))/((1+B1490)^(A1490/252)))^(252/1))-1</f>
        <v>0.12551046283642364</v>
      </c>
      <c r="D1491" s="30">
        <v>0.13066200603868428</v>
      </c>
      <c r="E1491" s="31">
        <f ca="1">B1491-D1491</f>
        <v>0</v>
      </c>
    </row>
    <row r="1492" spans="1:5" x14ac:dyDescent="0.25">
      <c r="A1492" s="21">
        <v>1491</v>
      </c>
      <c r="B1492" s="5" cm="1">
        <f t="array" aca="1" ref="B1492" ca="1">interpolexp(A1492,serie_du,Taxas_DI)</f>
        <v>0.13065854304572522</v>
      </c>
      <c r="C1492" s="32">
        <f ca="1">((((1+B1492)^(A1492/252))/((1+B1491)^(A1491/252)))^(252/1))-1</f>
        <v>0.12551044724870386</v>
      </c>
      <c r="D1492" s="30">
        <v>0.13065854304572522</v>
      </c>
      <c r="E1492" s="31">
        <f ca="1">B1492-D1492</f>
        <v>0</v>
      </c>
    </row>
    <row r="1493" spans="1:5" x14ac:dyDescent="0.25">
      <c r="A1493" s="21">
        <v>1492</v>
      </c>
      <c r="B1493" s="5" cm="1">
        <f t="array" aca="1" ref="B1493" ca="1">interpolexp(A1493,serie_du,Taxas_DI)</f>
        <v>0.1306550846949639</v>
      </c>
      <c r="C1493" s="32">
        <f ca="1">((((1+B1493)^(A1493/252))/((1+B1492)^(A1492/252)))^(252/1))-1</f>
        <v>0.12551043169980858</v>
      </c>
      <c r="D1493" s="30">
        <v>0.1306550846949639</v>
      </c>
      <c r="E1493" s="31">
        <f ca="1">B1493-D1493</f>
        <v>0</v>
      </c>
    </row>
    <row r="1494" spans="1:5" x14ac:dyDescent="0.25">
      <c r="A1494" s="21">
        <v>1493</v>
      </c>
      <c r="B1494" s="5" cm="1">
        <f t="array" aca="1" ref="B1494" ca="1">interpolexp(A1494,serie_du,Taxas_DI)</f>
        <v>0.13065163097707444</v>
      </c>
      <c r="C1494" s="32">
        <f ca="1">((((1+B1494)^(A1494/252))/((1+B1493)^(A1493/252)))^(252/1))-1</f>
        <v>0.12551041618555447</v>
      </c>
      <c r="D1494" s="30">
        <v>0.13065163097707444</v>
      </c>
      <c r="E1494" s="31">
        <f ca="1">B1494-D1494</f>
        <v>0</v>
      </c>
    </row>
    <row r="1495" spans="1:5" x14ac:dyDescent="0.25">
      <c r="A1495" s="21">
        <v>1494</v>
      </c>
      <c r="B1495" s="5" cm="1">
        <f t="array" aca="1" ref="B1495" ca="1">interpolexp(A1495,serie_du,Taxas_DI)</f>
        <v>0.13064818188277538</v>
      </c>
      <c r="C1495" s="32">
        <f ca="1">((((1+B1495)^(A1495/252))/((1+B1494)^(A1494/252)))^(252/1))-1</f>
        <v>0.12551040073462794</v>
      </c>
      <c r="D1495" s="30">
        <v>0.13064818188277538</v>
      </c>
      <c r="E1495" s="31">
        <f ca="1">B1495-D1495</f>
        <v>0</v>
      </c>
    </row>
    <row r="1496" spans="1:5" x14ac:dyDescent="0.25">
      <c r="A1496" s="21">
        <v>1495</v>
      </c>
      <c r="B1496" s="5" cm="1">
        <f t="array" aca="1" ref="B1496" ca="1">interpolexp(A1496,serie_du,Taxas_DI)</f>
        <v>0.13064473740274085</v>
      </c>
      <c r="C1496" s="32">
        <f ca="1">((((1+B1496)^(A1496/252))/((1+B1495)^(A1495/252)))^(252/1))-1</f>
        <v>0.12551038524398317</v>
      </c>
      <c r="D1496" s="30">
        <v>0.13064473740274085</v>
      </c>
      <c r="E1496" s="31">
        <f ca="1">B1496-D1496</f>
        <v>0</v>
      </c>
    </row>
    <row r="1497" spans="1:5" x14ac:dyDescent="0.25">
      <c r="A1497" s="21">
        <v>1496</v>
      </c>
      <c r="B1497" s="5" cm="1">
        <f t="array" aca="1" ref="B1497" ca="1">interpolexp(A1497,serie_du,Taxas_DI)</f>
        <v>0.130641297527756</v>
      </c>
      <c r="C1497" s="32">
        <f ca="1">((((1+B1497)^(A1497/252))/((1+B1496)^(A1496/252)))^(252/1))-1</f>
        <v>0.12551036984162089</v>
      </c>
      <c r="D1497" s="30">
        <v>0.130641297527756</v>
      </c>
      <c r="E1497" s="31">
        <f ca="1">B1497-D1497</f>
        <v>0</v>
      </c>
    </row>
    <row r="1498" spans="1:5" x14ac:dyDescent="0.25">
      <c r="A1498" s="21">
        <v>1497</v>
      </c>
      <c r="B1498" s="5" cm="1">
        <f t="array" aca="1" ref="B1498" ca="1">interpolexp(A1498,serie_du,Taxas_DI)</f>
        <v>0.13063786224858376</v>
      </c>
      <c r="C1498" s="32">
        <f ca="1">((((1+B1498)^(A1498/252))/((1+B1497)^(A1497/252)))^(252/1))-1</f>
        <v>0.12551035445776826</v>
      </c>
      <c r="D1498" s="30">
        <v>0.13063786224858376</v>
      </c>
      <c r="E1498" s="31">
        <f ca="1">B1498-D1498</f>
        <v>0</v>
      </c>
    </row>
    <row r="1499" spans="1:5" x14ac:dyDescent="0.25">
      <c r="A1499" s="21">
        <v>1498</v>
      </c>
      <c r="B1499" s="5" cm="1">
        <f t="array" aca="1" ref="B1499" ca="1">interpolexp(A1499,serie_du,Taxas_DI)</f>
        <v>0.13063443155600929</v>
      </c>
      <c r="C1499" s="32">
        <f ca="1">((((1+B1499)^(A1499/252))/((1+B1498)^(A1498/252)))^(252/1))-1</f>
        <v>0.12551033908866982</v>
      </c>
      <c r="D1499" s="30">
        <v>0.13063443155600929</v>
      </c>
      <c r="E1499" s="31">
        <f ca="1">B1499-D1499</f>
        <v>0</v>
      </c>
    </row>
    <row r="1500" spans="1:5" x14ac:dyDescent="0.25">
      <c r="A1500" s="21">
        <v>1499</v>
      </c>
      <c r="B1500" s="5" cm="1">
        <f t="array" aca="1" ref="B1500" ca="1">interpolexp(A1500,serie_du,Taxas_DI)</f>
        <v>0.13063100544086215</v>
      </c>
      <c r="C1500" s="32">
        <f ca="1">((((1+B1500)^(A1500/252))/((1+B1499)^(A1499/252)))^(252/1))-1</f>
        <v>0.12551032376377447</v>
      </c>
      <c r="D1500" s="30">
        <v>0.13063100544086215</v>
      </c>
      <c r="E1500" s="31">
        <f ca="1">B1500-D1500</f>
        <v>0</v>
      </c>
    </row>
    <row r="1501" spans="1:5" x14ac:dyDescent="0.25">
      <c r="A1501" s="21">
        <v>1500</v>
      </c>
      <c r="B1501" s="5" cm="1">
        <f t="array" aca="1" ref="B1501" ca="1">interpolexp(A1501,serie_du,Taxas_DI)</f>
        <v>0.13062758389399409</v>
      </c>
      <c r="C1501" s="32">
        <f ca="1">((((1+B1501)^(A1501/252))/((1+B1500)^(A1500/252)))^(252/1))-1</f>
        <v>0.12551030847977152</v>
      </c>
      <c r="D1501" s="30">
        <v>0.13062758389399409</v>
      </c>
      <c r="E1501" s="31">
        <f ca="1">B1501-D1501</f>
        <v>0</v>
      </c>
    </row>
    <row r="1502" spans="1:5" x14ac:dyDescent="0.25">
      <c r="A1502" s="21">
        <v>1501</v>
      </c>
      <c r="B1502" s="5" cm="1">
        <f t="array" aca="1" ref="B1502" ca="1">interpolexp(A1502,serie_du,Taxas_DI)</f>
        <v>0.13062416690625689</v>
      </c>
      <c r="C1502" s="32">
        <f ca="1">((((1+B1502)^(A1502/252))/((1+B1501)^(A1501/252)))^(252/1))-1</f>
        <v>0.12551029319991924</v>
      </c>
      <c r="D1502" s="30">
        <v>0.13062416690625689</v>
      </c>
      <c r="E1502" s="31">
        <f ca="1">B1502-D1502</f>
        <v>0</v>
      </c>
    </row>
    <row r="1503" spans="1:5" x14ac:dyDescent="0.25">
      <c r="A1503" s="21">
        <v>1502</v>
      </c>
      <c r="B1503" s="5" cm="1">
        <f t="array" aca="1" ref="B1503" ca="1">interpolexp(A1503,serie_du,Taxas_DI)</f>
        <v>0.13062075446856891</v>
      </c>
      <c r="C1503" s="32">
        <f ca="1">((((1+B1503)^(A1503/252))/((1+B1502)^(A1502/252)))^(252/1))-1</f>
        <v>0.12551027798762449</v>
      </c>
      <c r="D1503" s="30">
        <v>0.13062075446856891</v>
      </c>
      <c r="E1503" s="31">
        <f ca="1">B1503-D1503</f>
        <v>0</v>
      </c>
    </row>
    <row r="1504" spans="1:5" x14ac:dyDescent="0.25">
      <c r="A1504" s="21">
        <v>1503</v>
      </c>
      <c r="B1504" s="5" cm="1">
        <f t="array" aca="1" ref="B1504" ca="1">interpolexp(A1504,serie_du,Taxas_DI)</f>
        <v>0.13061734657182633</v>
      </c>
      <c r="C1504" s="32">
        <f ca="1">((((1+B1504)^(A1504/252))/((1+B1503)^(A1503/252)))^(252/1))-1</f>
        <v>0.12551026277305066</v>
      </c>
      <c r="D1504" s="30">
        <v>0.13061734657182633</v>
      </c>
      <c r="E1504" s="31">
        <f ca="1">B1504-D1504</f>
        <v>0</v>
      </c>
    </row>
    <row r="1505" spans="1:5" x14ac:dyDescent="0.25">
      <c r="A1505" s="21">
        <v>1504</v>
      </c>
      <c r="B1505" s="5" cm="1">
        <f t="array" aca="1" ref="B1505" ca="1">interpolexp(A1505,serie_du,Taxas_DI)</f>
        <v>0.13061394320694752</v>
      </c>
      <c r="C1505" s="32">
        <f ca="1">((((1+B1505)^(A1505/252))/((1+B1504)^(A1504/252)))^(252/1))-1</f>
        <v>0.12551024755339446</v>
      </c>
      <c r="D1505" s="30">
        <v>0.13061394320694752</v>
      </c>
      <c r="E1505" s="31">
        <f ca="1">B1505-D1505</f>
        <v>0</v>
      </c>
    </row>
    <row r="1506" spans="1:5" x14ac:dyDescent="0.25">
      <c r="A1506" s="21">
        <v>1505</v>
      </c>
      <c r="B1506" s="5" cm="1">
        <f t="array" aca="1" ref="B1506" ca="1">interpolexp(A1506,serie_du,Taxas_DI)</f>
        <v>0.13061054436496189</v>
      </c>
      <c r="C1506" s="32">
        <f ca="1">((((1+B1506)^(A1506/252))/((1+B1505)^(A1505/252)))^(252/1))-1</f>
        <v>0.12551023245862503</v>
      </c>
      <c r="D1506" s="30">
        <v>0.13061054436496189</v>
      </c>
      <c r="E1506" s="31">
        <f ca="1">B1506-D1506</f>
        <v>0</v>
      </c>
    </row>
    <row r="1507" spans="1:5" x14ac:dyDescent="0.25">
      <c r="A1507" s="21">
        <v>1506</v>
      </c>
      <c r="B1507" s="5" cm="1">
        <f t="array" aca="1" ref="B1507" ca="1">interpolexp(A1507,serie_du,Taxas_DI)</f>
        <v>0.13060715003681</v>
      </c>
      <c r="C1507" s="32">
        <f ca="1">((((1+B1507)^(A1507/252))/((1+B1506)^(A1506/252)))^(252/1))-1</f>
        <v>0.12551021731986145</v>
      </c>
      <c r="D1507" s="30">
        <v>0.13060715003681</v>
      </c>
      <c r="E1507" s="31">
        <f ca="1">B1507-D1507</f>
        <v>0</v>
      </c>
    </row>
    <row r="1508" spans="1:5" x14ac:dyDescent="0.25">
      <c r="A1508" s="21">
        <v>1507</v>
      </c>
      <c r="B1508" s="5" cm="1">
        <f t="array" aca="1" ref="B1508" ca="1">interpolexp(A1508,serie_du,Taxas_DI)</f>
        <v>0.13060376021354347</v>
      </c>
      <c r="C1508" s="32">
        <f ca="1">((((1+B1508)^(A1508/252))/((1+B1507)^(A1507/252)))^(252/1))-1</f>
        <v>0.12551020226732024</v>
      </c>
      <c r="D1508" s="30">
        <v>0.13060376021354347</v>
      </c>
      <c r="E1508" s="31">
        <f ca="1">B1508-D1508</f>
        <v>0</v>
      </c>
    </row>
    <row r="1509" spans="1:5" x14ac:dyDescent="0.25">
      <c r="A1509" s="21">
        <v>1508</v>
      </c>
      <c r="B1509" s="5" cm="1">
        <f t="array" aca="1" ref="B1509" ca="1">interpolexp(A1509,serie_du,Taxas_DI)</f>
        <v>0.13060037488614729</v>
      </c>
      <c r="C1509" s="32">
        <f ca="1">((((1+B1509)^(A1509/252))/((1+B1508)^(A1508/252)))^(252/1))-1</f>
        <v>0.12551018716555307</v>
      </c>
      <c r="D1509" s="30">
        <v>0.13060037488614729</v>
      </c>
      <c r="E1509" s="31">
        <f ca="1">B1509-D1509</f>
        <v>0</v>
      </c>
    </row>
    <row r="1510" spans="1:5" x14ac:dyDescent="0.25">
      <c r="A1510" s="21">
        <v>1509</v>
      </c>
      <c r="B1510" s="5" cm="1">
        <f t="array" aca="1" ref="B1510" ca="1">interpolexp(A1510,serie_du,Taxas_DI)</f>
        <v>0.13059699404573966</v>
      </c>
      <c r="C1510" s="32">
        <f ca="1">((((1+B1510)^(A1510/252))/((1+B1509)^(A1509/252)))^(252/1))-1</f>
        <v>0.12551017217856963</v>
      </c>
      <c r="D1510" s="30">
        <v>0.13059699404573966</v>
      </c>
      <c r="E1510" s="31">
        <f ca="1">B1510-D1510</f>
        <v>0</v>
      </c>
    </row>
    <row r="1511" spans="1:5" x14ac:dyDescent="0.25">
      <c r="A1511" s="21">
        <v>1510</v>
      </c>
      <c r="B1511" s="5" cm="1">
        <f t="array" aca="1" ref="B1511" ca="1">interpolexp(A1511,serie_du,Taxas_DI)</f>
        <v>0.13059361768337219</v>
      </c>
      <c r="C1511" s="32">
        <f ca="1">((((1+B1511)^(A1511/252))/((1+B1510)^(A1510/252)))^(252/1))-1</f>
        <v>0.12551015717084679</v>
      </c>
      <c r="D1511" s="30">
        <v>0.13059361768337219</v>
      </c>
      <c r="E1511" s="31">
        <f ca="1">B1511-D1511</f>
        <v>0</v>
      </c>
    </row>
    <row r="1512" spans="1:5" x14ac:dyDescent="0.25">
      <c r="A1512" s="21">
        <v>1511</v>
      </c>
      <c r="B1512" s="5" cm="1">
        <f t="array" aca="1" ref="B1512" ca="1">interpolexp(A1512,serie_du,Taxas_DI)</f>
        <v>0.13059024579014089</v>
      </c>
      <c r="C1512" s="32">
        <f ca="1">((((1+B1512)^(A1512/252))/((1+B1511)^(A1511/252)))^(252/1))-1</f>
        <v>0.12551014217332712</v>
      </c>
      <c r="D1512" s="30">
        <v>0.13059024579014089</v>
      </c>
      <c r="E1512" s="31">
        <f ca="1">B1512-D1512</f>
        <v>0</v>
      </c>
    </row>
    <row r="1513" spans="1:5" x14ac:dyDescent="0.25">
      <c r="A1513" s="21">
        <v>1512</v>
      </c>
      <c r="B1513" s="5" cm="1">
        <f t="array" aca="1" ref="B1513" ca="1">interpolexp(A1513,serie_du,Taxas_DI)</f>
        <v>0.1305868783572306</v>
      </c>
      <c r="C1513" s="32">
        <f ca="1">((((1+B1513)^(A1513/252))/((1+B1512)^(A1512/252)))^(252/1))-1</f>
        <v>0.12551012728419941</v>
      </c>
      <c r="D1513" s="30">
        <v>0.1305868783572306</v>
      </c>
      <c r="E1513" s="31">
        <f ca="1">B1513-D1513</f>
        <v>0</v>
      </c>
    </row>
    <row r="1514" spans="1:5" x14ac:dyDescent="0.25">
      <c r="A1514" s="21">
        <v>1513</v>
      </c>
      <c r="B1514" s="5" cm="1">
        <f t="array" aca="1" ref="B1514" ca="1">interpolexp(A1514,serie_du,Taxas_DI)</f>
        <v>0.13058351537573731</v>
      </c>
      <c r="C1514" s="32">
        <f ca="1">((((1+B1514)^(A1514/252))/((1+B1513)^(A1513/252)))^(252/1))-1</f>
        <v>0.12551011233484077</v>
      </c>
      <c r="D1514" s="30">
        <v>0.13058351537573731</v>
      </c>
      <c r="E1514" s="31">
        <f ca="1">B1514-D1514</f>
        <v>0</v>
      </c>
    </row>
    <row r="1515" spans="1:5" x14ac:dyDescent="0.25">
      <c r="A1515" s="21">
        <v>1514</v>
      </c>
      <c r="B1515" s="5" cm="1">
        <f t="array" aca="1" ref="B1515" ca="1">interpolexp(A1515,serie_du,Taxas_DI)</f>
        <v>0.13058015683689028</v>
      </c>
      <c r="C1515" s="32">
        <f ca="1">((((1+B1515)^(A1515/252))/((1+B1514)^(A1514/252)))^(252/1))-1</f>
        <v>0.12551009749005182</v>
      </c>
      <c r="D1515" s="30">
        <v>0.13058015683689028</v>
      </c>
      <c r="E1515" s="31">
        <f ca="1">B1515-D1515</f>
        <v>0</v>
      </c>
    </row>
    <row r="1516" spans="1:5" x14ac:dyDescent="0.25">
      <c r="A1516" s="21">
        <v>1515</v>
      </c>
      <c r="B1516" s="5" cm="1">
        <f t="array" aca="1" ref="B1516" ca="1">interpolexp(A1516,serie_du,Taxas_DI)</f>
        <v>0.13057680273187433</v>
      </c>
      <c r="C1516" s="32">
        <f ca="1">((((1+B1516)^(A1516/252))/((1+B1515)^(A1515/252)))^(252/1))-1</f>
        <v>0.12551008264802599</v>
      </c>
      <c r="D1516" s="30">
        <v>0.13057680273187433</v>
      </c>
      <c r="E1516" s="31">
        <f ca="1">B1516-D1516</f>
        <v>0</v>
      </c>
    </row>
    <row r="1517" spans="1:5" x14ac:dyDescent="0.25">
      <c r="A1517" s="21">
        <v>1516</v>
      </c>
      <c r="B1517" s="5" cm="1">
        <f t="array" aca="1" ref="B1517" ca="1">interpolexp(A1517,serie_du,Taxas_DI)</f>
        <v>0.13057345305189649</v>
      </c>
      <c r="C1517" s="32">
        <f ca="1">((((1+B1517)^(A1517/252))/((1+B1516)^(A1516/252)))^(252/1))-1</f>
        <v>0.12551006780718299</v>
      </c>
      <c r="D1517" s="30">
        <v>0.13057345305189649</v>
      </c>
      <c r="E1517" s="31">
        <f ca="1">B1517-D1517</f>
        <v>0</v>
      </c>
    </row>
    <row r="1518" spans="1:5" x14ac:dyDescent="0.25">
      <c r="A1518" s="21">
        <v>1517</v>
      </c>
      <c r="B1518" s="5" cm="1">
        <f t="array" aca="1" ref="B1518" ca="1">interpolexp(A1518,serie_du,Taxas_DI)</f>
        <v>0.13057010778820821</v>
      </c>
      <c r="C1518" s="32">
        <f ca="1">((((1+B1518)^(A1518/252))/((1+B1517)^(A1517/252)))^(252/1))-1</f>
        <v>0.12551005299954143</v>
      </c>
      <c r="D1518" s="30">
        <v>0.13057010778820821</v>
      </c>
      <c r="E1518" s="31">
        <f ca="1">B1518-D1518</f>
        <v>0</v>
      </c>
    </row>
    <row r="1519" spans="1:5" x14ac:dyDescent="0.25">
      <c r="A1519" s="21">
        <v>1518</v>
      </c>
      <c r="B1519" s="5" cm="1">
        <f t="array" aca="1" ref="B1519" ca="1">interpolexp(A1519,serie_du,Taxas_DI)</f>
        <v>0.13056676693212754</v>
      </c>
      <c r="C1519" s="32">
        <f ca="1">((((1+B1519)^(A1519/252))/((1+B1518)^(A1518/252)))^(252/1))-1</f>
        <v>0.12551003829049767</v>
      </c>
      <c r="D1519" s="30">
        <v>0.13056676693212754</v>
      </c>
      <c r="E1519" s="31">
        <f ca="1">B1519-D1519</f>
        <v>0</v>
      </c>
    </row>
    <row r="1520" spans="1:5" x14ac:dyDescent="0.25">
      <c r="A1520" s="21">
        <v>1519</v>
      </c>
      <c r="B1520" s="5" cm="1">
        <f t="array" aca="1" ref="B1520" ca="1">interpolexp(A1520,serie_du,Taxas_DI)</f>
        <v>0.13056343047488372</v>
      </c>
      <c r="C1520" s="32">
        <f ca="1">((((1+B1520)^(A1520/252))/((1+B1519)^(A1519/252)))^(252/1))-1</f>
        <v>0.12551002351149321</v>
      </c>
      <c r="D1520" s="30">
        <v>0.13056343047488372</v>
      </c>
      <c r="E1520" s="31">
        <f ca="1">B1520-D1520</f>
        <v>0</v>
      </c>
    </row>
    <row r="1521" spans="1:5" x14ac:dyDescent="0.25">
      <c r="A1521" s="21">
        <v>1520</v>
      </c>
      <c r="B1521" s="5" cm="1">
        <f t="array" aca="1" ref="B1521" ca="1">interpolexp(A1521,serie_du,Taxas_DI)</f>
        <v>0.13056009840783922</v>
      </c>
      <c r="C1521" s="32">
        <f ca="1">((((1+B1521)^(A1521/252))/((1+B1520)^(A1520/252)))^(252/1))-1</f>
        <v>0.12551000882891428</v>
      </c>
      <c r="D1521" s="30">
        <v>0.13056009840783922</v>
      </c>
      <c r="E1521" s="31">
        <f ca="1">B1521-D1521</f>
        <v>0</v>
      </c>
    </row>
    <row r="1522" spans="1:5" x14ac:dyDescent="0.25">
      <c r="A1522" s="21">
        <v>1521</v>
      </c>
      <c r="B1522" s="5" cm="1">
        <f t="array" aca="1" ref="B1522" ca="1">interpolexp(A1522,serie_du,Taxas_DI)</f>
        <v>0.13055677072233429</v>
      </c>
      <c r="C1522" s="32">
        <f ca="1">((((1+B1522)^(A1522/252))/((1+B1521)^(A1521/252)))^(252/1))-1</f>
        <v>0.12550999417475883</v>
      </c>
      <c r="D1522" s="30">
        <v>0.13055677072233429</v>
      </c>
      <c r="E1522" s="31">
        <f ca="1">B1522-D1522</f>
        <v>0</v>
      </c>
    </row>
    <row r="1523" spans="1:5" x14ac:dyDescent="0.25">
      <c r="A1523" s="21">
        <v>1522</v>
      </c>
      <c r="B1523" s="5" cm="1">
        <f t="array" aca="1" ref="B1523" ca="1">interpolexp(A1523,serie_du,Taxas_DI)</f>
        <v>0.1305534474097092</v>
      </c>
      <c r="C1523" s="32">
        <f ca="1">((((1+B1523)^(A1523/252))/((1+B1522)^(A1522/252)))^(252/1))-1</f>
        <v>0.1255099795143555</v>
      </c>
      <c r="D1523" s="30">
        <v>0.1305534474097092</v>
      </c>
      <c r="E1523" s="31">
        <f ca="1">B1523-D1523</f>
        <v>0</v>
      </c>
    </row>
    <row r="1524" spans="1:5" x14ac:dyDescent="0.25">
      <c r="A1524" s="21">
        <v>1523</v>
      </c>
      <c r="B1524" s="5" cm="1">
        <f t="array" aca="1" ref="B1524" ca="1">interpolexp(A1524,serie_du,Taxas_DI)</f>
        <v>0.13055012846134861</v>
      </c>
      <c r="C1524" s="32">
        <f ca="1">((((1+B1524)^(A1524/252))/((1+B1523)^(A1523/252)))^(252/1))-1</f>
        <v>0.12550996488063748</v>
      </c>
      <c r="D1524" s="30">
        <v>0.13055012846134861</v>
      </c>
      <c r="E1524" s="31">
        <f ca="1">B1524-D1524</f>
        <v>0</v>
      </c>
    </row>
    <row r="1525" spans="1:5" x14ac:dyDescent="0.25">
      <c r="A1525" s="21">
        <v>1524</v>
      </c>
      <c r="B1525" s="5" cm="1">
        <f t="array" aca="1" ref="B1525" ca="1">interpolexp(A1525,serie_du,Taxas_DI)</f>
        <v>0.13054681386868161</v>
      </c>
      <c r="C1525" s="32">
        <f ca="1">((((1+B1525)^(A1525/252))/((1+B1524)^(A1524/252)))^(252/1))-1</f>
        <v>0.12550995030642231</v>
      </c>
      <c r="D1525" s="30">
        <v>0.13054681386868161</v>
      </c>
      <c r="E1525" s="31">
        <f ca="1">B1525-D1525</f>
        <v>0</v>
      </c>
    </row>
    <row r="1526" spans="1:5" x14ac:dyDescent="0.25">
      <c r="A1526" s="21">
        <v>1525</v>
      </c>
      <c r="B1526" s="5" cm="1">
        <f t="array" aca="1" ref="B1526" ca="1">interpolexp(A1526,serie_du,Taxas_DI)</f>
        <v>0.13054350362313727</v>
      </c>
      <c r="C1526" s="32">
        <f ca="1">((((1+B1526)^(A1526/252))/((1+B1525)^(A1525/252)))^(252/1))-1</f>
        <v>0.12550993575759795</v>
      </c>
      <c r="D1526" s="30">
        <v>0.13054350362313727</v>
      </c>
      <c r="E1526" s="31">
        <f ca="1">B1526-D1526</f>
        <v>0</v>
      </c>
    </row>
    <row r="1527" spans="1:5" x14ac:dyDescent="0.25">
      <c r="A1527" s="21">
        <v>1526</v>
      </c>
      <c r="B1527" s="5" cm="1">
        <f t="array" aca="1" ref="B1527" ca="1">interpolexp(A1527,serie_du,Taxas_DI)</f>
        <v>0.13054019771616687</v>
      </c>
      <c r="C1527" s="32">
        <f ca="1">((((1+B1527)^(A1527/252))/((1+B1526)^(A1526/252)))^(252/1))-1</f>
        <v>0.12550992123379268</v>
      </c>
      <c r="D1527" s="30">
        <v>0.13054019771616687</v>
      </c>
      <c r="E1527" s="31">
        <f ca="1">B1527-D1527</f>
        <v>0</v>
      </c>
    </row>
    <row r="1528" spans="1:5" x14ac:dyDescent="0.25">
      <c r="A1528" s="21">
        <v>1527</v>
      </c>
      <c r="B1528" s="5" cm="1">
        <f t="array" aca="1" ref="B1528" ca="1">interpolexp(A1528,serie_du,Taxas_DI)</f>
        <v>0.1305368961392217</v>
      </c>
      <c r="C1528" s="32">
        <f ca="1">((((1+B1528)^(A1528/252))/((1+B1527)^(A1527/252)))^(252/1))-1</f>
        <v>0.12550990670058315</v>
      </c>
      <c r="D1528" s="30">
        <v>0.1305368961392217</v>
      </c>
      <c r="E1528" s="31">
        <f ca="1">B1528-D1528</f>
        <v>0</v>
      </c>
    </row>
    <row r="1529" spans="1:5" x14ac:dyDescent="0.25">
      <c r="A1529" s="21">
        <v>1528</v>
      </c>
      <c r="B1529" s="5" cm="1">
        <f t="array" aca="1" ref="B1529" ca="1">interpolexp(A1529,serie_du,Taxas_DI)</f>
        <v>0.13053359888384186</v>
      </c>
      <c r="C1529" s="32">
        <f ca="1">((((1+B1529)^(A1529/252))/((1+B1528)^(A1528/252)))^(252/1))-1</f>
        <v>0.12550989225929876</v>
      </c>
      <c r="D1529" s="30">
        <v>0.13053359888384186</v>
      </c>
      <c r="E1529" s="31">
        <f ca="1">B1529-D1529</f>
        <v>0</v>
      </c>
    </row>
    <row r="1530" spans="1:5" x14ac:dyDescent="0.25">
      <c r="A1530" s="21">
        <v>1529</v>
      </c>
      <c r="B1530" s="5" cm="1">
        <f t="array" aca="1" ref="B1530" ca="1">interpolexp(A1530,serie_du,Taxas_DI)</f>
        <v>0.13053030594150083</v>
      </c>
      <c r="C1530" s="32">
        <f ca="1">((((1+B1530)^(A1530/252))/((1+B1529)^(A1529/252)))^(252/1))-1</f>
        <v>0.12550987777463329</v>
      </c>
      <c r="D1530" s="30">
        <v>0.13053030594150083</v>
      </c>
      <c r="E1530" s="31">
        <f ca="1">B1530-D1530</f>
        <v>0</v>
      </c>
    </row>
    <row r="1531" spans="1:5" x14ac:dyDescent="0.25">
      <c r="A1531" s="21">
        <v>1530</v>
      </c>
      <c r="B1531" s="5" cm="1">
        <f t="array" aca="1" ref="B1531" ca="1">interpolexp(A1531,serie_du,Taxas_DI)</f>
        <v>0.13052701730378313</v>
      </c>
      <c r="C1531" s="32">
        <f ca="1">((((1+B1531)^(A1531/252))/((1+B1530)^(A1530/252)))^(252/1))-1</f>
        <v>0.12550986338154302</v>
      </c>
      <c r="D1531" s="30">
        <v>0.13052701730378313</v>
      </c>
      <c r="E1531" s="31">
        <f ca="1">B1531-D1531</f>
        <v>0</v>
      </c>
    </row>
    <row r="1532" spans="1:5" x14ac:dyDescent="0.25">
      <c r="A1532" s="21">
        <v>1531</v>
      </c>
      <c r="B1532" s="5" cm="1">
        <f t="array" aca="1" ref="B1532" ca="1">interpolexp(A1532,serie_du,Taxas_DI)</f>
        <v>0.13052373296225106</v>
      </c>
      <c r="C1532" s="32">
        <f ca="1">((((1+B1532)^(A1532/252))/((1+B1531)^(A1531/252)))^(252/1))-1</f>
        <v>0.12550984901289208</v>
      </c>
      <c r="D1532" s="30">
        <v>0.13052373296225106</v>
      </c>
      <c r="E1532" s="31">
        <f ca="1">B1532-D1532</f>
        <v>0</v>
      </c>
    </row>
    <row r="1533" spans="1:5" x14ac:dyDescent="0.25">
      <c r="A1533" s="21">
        <v>1532</v>
      </c>
      <c r="B1533" s="5" cm="1">
        <f t="array" aca="1" ref="B1533" ca="1">interpolexp(A1533,serie_du,Taxas_DI)</f>
        <v>0.13052045290846692</v>
      </c>
      <c r="C1533" s="32">
        <f ca="1">((((1+B1533)^(A1533/252))/((1+B1532)^(A1532/252)))^(252/1))-1</f>
        <v>0.12550983463467813</v>
      </c>
      <c r="D1533" s="30">
        <v>0.13052045290846692</v>
      </c>
      <c r="E1533" s="31">
        <f ca="1">B1533-D1533</f>
        <v>0</v>
      </c>
    </row>
    <row r="1534" spans="1:5" x14ac:dyDescent="0.25">
      <c r="A1534" s="21">
        <v>1533</v>
      </c>
      <c r="B1534" s="5" cm="1">
        <f t="array" aca="1" ref="B1534" ca="1">interpolexp(A1534,serie_du,Taxas_DI)</f>
        <v>0.13051697444756982</v>
      </c>
      <c r="C1534" s="32">
        <f ca="1">((((1+B1534)^(A1534/252))/((1+B1533)^(A1533/252)))^(252/1))-1</f>
        <v>0.12520052065857645</v>
      </c>
      <c r="D1534" s="30">
        <v>0.13051697444756982</v>
      </c>
      <c r="E1534" s="31">
        <f ca="1">B1534-D1534</f>
        <v>0</v>
      </c>
    </row>
    <row r="1535" spans="1:5" x14ac:dyDescent="0.25">
      <c r="A1535" s="21">
        <v>1534</v>
      </c>
      <c r="B1535" s="5" cm="1">
        <f t="array" aca="1" ref="B1535" ca="1">interpolexp(A1535,serie_du,Taxas_DI)</f>
        <v>0.13051350052193378</v>
      </c>
      <c r="C1535" s="32">
        <f ca="1">((((1+B1535)^(A1535/252))/((1+B1534)^(A1534/252)))^(252/1))-1</f>
        <v>0.12520050451749953</v>
      </c>
      <c r="D1535" s="30">
        <v>0.13051350052193378</v>
      </c>
      <c r="E1535" s="31">
        <f ca="1">B1535-D1535</f>
        <v>0</v>
      </c>
    </row>
    <row r="1536" spans="1:5" x14ac:dyDescent="0.25">
      <c r="A1536" s="21">
        <v>1535</v>
      </c>
      <c r="B1536" s="5" cm="1">
        <f t="array" aca="1" ref="B1536" ca="1">interpolexp(A1536,serie_du,Taxas_DI)</f>
        <v>0.13051003112269921</v>
      </c>
      <c r="C1536" s="32">
        <f ca="1">((((1+B1536)^(A1536/252))/((1+B1535)^(A1535/252)))^(252/1))-1</f>
        <v>0.12520048841447862</v>
      </c>
      <c r="D1536" s="30">
        <v>0.13051003112269921</v>
      </c>
      <c r="E1536" s="31">
        <f ca="1">B1536-D1536</f>
        <v>0</v>
      </c>
    </row>
    <row r="1537" spans="1:5" x14ac:dyDescent="0.25">
      <c r="A1537" s="21">
        <v>1536</v>
      </c>
      <c r="B1537" s="5" cm="1">
        <f t="array" aca="1" ref="B1537" ca="1">interpolexp(A1537,serie_du,Taxas_DI)</f>
        <v>0.13050656624102874</v>
      </c>
      <c r="C1537" s="32">
        <f ca="1">((((1+B1537)^(A1537/252))/((1+B1536)^(A1536/252)))^(252/1))-1</f>
        <v>0.12520047234821896</v>
      </c>
      <c r="D1537" s="30">
        <v>0.13050656624102874</v>
      </c>
      <c r="E1537" s="31">
        <f ca="1">B1537-D1537</f>
        <v>0</v>
      </c>
    </row>
    <row r="1538" spans="1:5" x14ac:dyDescent="0.25">
      <c r="A1538" s="21">
        <v>1537</v>
      </c>
      <c r="B1538" s="5" cm="1">
        <f t="array" aca="1" ref="B1538" ca="1">interpolexp(A1538,serie_du,Taxas_DI)</f>
        <v>0.13050310586812941</v>
      </c>
      <c r="C1538" s="32">
        <f ca="1">((((1+B1538)^(A1538/252))/((1+B1537)^(A1537/252)))^(252/1))-1</f>
        <v>0.12520045635124322</v>
      </c>
      <c r="D1538" s="30">
        <v>0.13050310586812941</v>
      </c>
      <c r="E1538" s="31">
        <f ca="1">B1538-D1538</f>
        <v>0</v>
      </c>
    </row>
    <row r="1539" spans="1:5" x14ac:dyDescent="0.25">
      <c r="A1539" s="21">
        <v>1538</v>
      </c>
      <c r="B1539" s="5" cm="1">
        <f t="array" aca="1" ref="B1539" ca="1">interpolexp(A1539,serie_du,Taxas_DI)</f>
        <v>0.13049964999516384</v>
      </c>
      <c r="C1539" s="32">
        <f ca="1">((((1+B1539)^(A1539/252))/((1+B1538)^(A1538/252)))^(252/1))-1</f>
        <v>0.12520044032048538</v>
      </c>
      <c r="D1539" s="30">
        <v>0.13049964999516384</v>
      </c>
      <c r="E1539" s="31">
        <f ca="1">B1539-D1539</f>
        <v>0</v>
      </c>
    </row>
    <row r="1540" spans="1:5" x14ac:dyDescent="0.25">
      <c r="A1540" s="21">
        <v>1539</v>
      </c>
      <c r="B1540" s="5" cm="1">
        <f t="array" aca="1" ref="B1540" ca="1">interpolexp(A1540,serie_du,Taxas_DI)</f>
        <v>0.13049619861338346</v>
      </c>
      <c r="C1540" s="32">
        <f ca="1">((((1+B1540)^(A1540/252))/((1+B1539)^(A1539/252)))^(252/1))-1</f>
        <v>0.12520042435679457</v>
      </c>
      <c r="D1540" s="30">
        <v>0.13049619861338346</v>
      </c>
      <c r="E1540" s="31">
        <f ca="1">B1540-D1540</f>
        <v>0</v>
      </c>
    </row>
    <row r="1541" spans="1:5" x14ac:dyDescent="0.25">
      <c r="A1541" s="21">
        <v>1540</v>
      </c>
      <c r="B1541" s="5" cm="1">
        <f t="array" aca="1" ref="B1541" ca="1">interpolexp(A1541,serie_du,Taxas_DI)</f>
        <v>0.13049275171403973</v>
      </c>
      <c r="C1541" s="32">
        <f ca="1">((((1+B1541)^(A1541/252))/((1+B1540)^(A1540/252)))^(252/1))-1</f>
        <v>0.12520040842527047</v>
      </c>
      <c r="D1541" s="30">
        <v>0.13049275171403973</v>
      </c>
      <c r="E1541" s="31">
        <f ca="1">B1541-D1541</f>
        <v>0</v>
      </c>
    </row>
    <row r="1542" spans="1:5" x14ac:dyDescent="0.25">
      <c r="A1542" s="21">
        <v>1541</v>
      </c>
      <c r="B1542" s="5" cm="1">
        <f t="array" aca="1" ref="B1542" ca="1">interpolexp(A1542,serie_du,Taxas_DI)</f>
        <v>0.1304893092884063</v>
      </c>
      <c r="C1542" s="32">
        <f ca="1">((((1+B1542)^(A1542/252))/((1+B1541)^(A1541/252)))^(252/1))-1</f>
        <v>0.12520039252500759</v>
      </c>
      <c r="D1542" s="30">
        <v>0.1304893092884063</v>
      </c>
      <c r="E1542" s="31">
        <f ca="1">B1542-D1542</f>
        <v>0</v>
      </c>
    </row>
    <row r="1543" spans="1:5" x14ac:dyDescent="0.25">
      <c r="A1543" s="21">
        <v>1542</v>
      </c>
      <c r="B1543" s="5" cm="1">
        <f t="array" aca="1" ref="B1543" ca="1">interpolexp(A1543,serie_du,Taxas_DI)</f>
        <v>0.130485871327779</v>
      </c>
      <c r="C1543" s="32">
        <f ca="1">((((1+B1543)^(A1543/252))/((1+B1542)^(A1542/252)))^(252/1))-1</f>
        <v>0.12520037665535821</v>
      </c>
      <c r="D1543" s="30">
        <v>0.130485871327779</v>
      </c>
      <c r="E1543" s="31">
        <f ca="1">B1543-D1543</f>
        <v>0</v>
      </c>
    </row>
    <row r="1544" spans="1:5" x14ac:dyDescent="0.25">
      <c r="A1544" s="21">
        <v>1543</v>
      </c>
      <c r="B1544" s="5" cm="1">
        <f t="array" aca="1" ref="B1544" ca="1">interpolexp(A1544,serie_du,Taxas_DI)</f>
        <v>0.1304824378234537</v>
      </c>
      <c r="C1544" s="32">
        <f ca="1">((((1+B1544)^(A1544/252))/((1+B1543)^(A1543/252)))^(252/1))-1</f>
        <v>0.12520036078149421</v>
      </c>
      <c r="D1544" s="30">
        <v>0.1304824378234537</v>
      </c>
      <c r="E1544" s="31">
        <f ca="1">B1544-D1544</f>
        <v>0</v>
      </c>
    </row>
    <row r="1545" spans="1:5" x14ac:dyDescent="0.25">
      <c r="A1545" s="21">
        <v>1544</v>
      </c>
      <c r="B1545" s="5" cm="1">
        <f t="array" aca="1" ref="B1545" ca="1">interpolexp(A1545,serie_du,Taxas_DI)</f>
        <v>0.13047900876681506</v>
      </c>
      <c r="C1545" s="32">
        <f ca="1">((((1+B1545)^(A1545/252))/((1+B1544)^(A1544/252)))^(252/1))-1</f>
        <v>0.12520034500508537</v>
      </c>
      <c r="D1545" s="30">
        <v>0.13047900876681506</v>
      </c>
      <c r="E1545" s="31">
        <f ca="1">B1545-D1545</f>
        <v>0</v>
      </c>
    </row>
    <row r="1546" spans="1:5" x14ac:dyDescent="0.25">
      <c r="A1546" s="21">
        <v>1545</v>
      </c>
      <c r="B1546" s="5" cm="1">
        <f t="array" aca="1" ref="B1546" ca="1">interpolexp(A1546,serie_du,Taxas_DI)</f>
        <v>0.13047558414918115</v>
      </c>
      <c r="C1546" s="32">
        <f ca="1">((((1+B1546)^(A1546/252))/((1+B1545)^(A1545/252)))^(252/1))-1</f>
        <v>0.1252003291896242</v>
      </c>
      <c r="D1546" s="30">
        <v>0.13047558414918115</v>
      </c>
      <c r="E1546" s="31">
        <f ca="1">B1546-D1546</f>
        <v>0</v>
      </c>
    </row>
    <row r="1547" spans="1:5" x14ac:dyDescent="0.25">
      <c r="A1547" s="21">
        <v>1546</v>
      </c>
      <c r="B1547" s="5" cm="1">
        <f t="array" aca="1" ref="B1547" ca="1">interpolexp(A1547,serie_du,Taxas_DI)</f>
        <v>0.13047216396195882</v>
      </c>
      <c r="C1547" s="32">
        <f ca="1">((((1+B1547)^(A1547/252))/((1+B1546)^(A1546/252)))^(252/1))-1</f>
        <v>0.12520031343677474</v>
      </c>
      <c r="D1547" s="30">
        <v>0.13047216396195882</v>
      </c>
      <c r="E1547" s="31">
        <f ca="1">B1547-D1547</f>
        <v>0</v>
      </c>
    </row>
    <row r="1548" spans="1:5" x14ac:dyDescent="0.25">
      <c r="A1548" s="21">
        <v>1547</v>
      </c>
      <c r="B1548" s="5" cm="1">
        <f t="array" aca="1" ref="B1548" ca="1">interpolexp(A1548,serie_du,Taxas_DI)</f>
        <v>0.13046874819657717</v>
      </c>
      <c r="C1548" s="32">
        <f ca="1">((((1+B1548)^(A1548/252))/((1+B1547)^(A1547/252)))^(252/1))-1</f>
        <v>0.12520029774663466</v>
      </c>
      <c r="D1548" s="30">
        <v>0.13046874819657717</v>
      </c>
      <c r="E1548" s="31">
        <f ca="1">B1548-D1548</f>
        <v>0</v>
      </c>
    </row>
    <row r="1549" spans="1:5" x14ac:dyDescent="0.25">
      <c r="A1549" s="21">
        <v>1548</v>
      </c>
      <c r="B1549" s="5" cm="1">
        <f t="array" aca="1" ref="B1549" ca="1">interpolexp(A1549,serie_du,Taxas_DI)</f>
        <v>0.13046533684442085</v>
      </c>
      <c r="C1549" s="32">
        <f ca="1">((((1+B1549)^(A1549/252))/((1+B1548)^(A1548/252)))^(252/1))-1</f>
        <v>0.12520028201649414</v>
      </c>
      <c r="D1549" s="30">
        <v>0.13046533684442085</v>
      </c>
      <c r="E1549" s="31">
        <f ca="1">B1549-D1549</f>
        <v>0</v>
      </c>
    </row>
    <row r="1550" spans="1:5" x14ac:dyDescent="0.25">
      <c r="A1550" s="21">
        <v>1549</v>
      </c>
      <c r="B1550" s="5" cm="1">
        <f t="array" aca="1" ref="B1550" ca="1">interpolexp(A1550,serie_du,Taxas_DI)</f>
        <v>0.13046192989698557</v>
      </c>
      <c r="C1550" s="32">
        <f ca="1">((((1+B1550)^(A1550/252))/((1+B1549)^(A1549/252)))^(252/1))-1</f>
        <v>0.12520026638325743</v>
      </c>
      <c r="D1550" s="30">
        <v>0.13046192989698557</v>
      </c>
      <c r="E1550" s="31">
        <f ca="1">B1550-D1550</f>
        <v>0</v>
      </c>
    </row>
    <row r="1551" spans="1:5" x14ac:dyDescent="0.25">
      <c r="A1551" s="21">
        <v>1550</v>
      </c>
      <c r="B1551" s="5" cm="1">
        <f t="array" aca="1" ref="B1551" ca="1">interpolexp(A1551,serie_du,Taxas_DI)</f>
        <v>0.13045852734572261</v>
      </c>
      <c r="C1551" s="32">
        <f ca="1">((((1+B1551)^(A1551/252))/((1+B1550)^(A1550/252)))^(252/1))-1</f>
        <v>0.12520025074446339</v>
      </c>
      <c r="D1551" s="30">
        <v>0.13045852734572261</v>
      </c>
      <c r="E1551" s="31">
        <f ca="1">B1551-D1551</f>
        <v>0</v>
      </c>
    </row>
    <row r="1552" spans="1:5" x14ac:dyDescent="0.25">
      <c r="A1552" s="21">
        <v>1551</v>
      </c>
      <c r="B1552" s="5" cm="1">
        <f t="array" aca="1" ref="B1552" ca="1">interpolexp(A1552,serie_du,Taxas_DI)</f>
        <v>0.13045512918212765</v>
      </c>
      <c r="C1552" s="32">
        <f ca="1">((((1+B1552)^(A1552/252))/((1+B1551)^(A1551/252)))^(252/1))-1</f>
        <v>0.12520023513437173</v>
      </c>
      <c r="D1552" s="30">
        <v>0.13045512918212765</v>
      </c>
      <c r="E1552" s="31">
        <f ca="1">B1552-D1552</f>
        <v>0</v>
      </c>
    </row>
    <row r="1553" spans="1:5" x14ac:dyDescent="0.25">
      <c r="A1553" s="21">
        <v>1552</v>
      </c>
      <c r="B1553" s="5" cm="1">
        <f t="array" aca="1" ref="B1553" ca="1">interpolexp(A1553,serie_du,Taxas_DI)</f>
        <v>0.13045173539771859</v>
      </c>
      <c r="C1553" s="32">
        <f ca="1">((((1+B1553)^(A1553/252))/((1+B1552)^(A1552/252)))^(252/1))-1</f>
        <v>0.12520021955358929</v>
      </c>
      <c r="D1553" s="30">
        <v>0.13045173539771859</v>
      </c>
      <c r="E1553" s="31">
        <f ca="1">B1553-D1553</f>
        <v>0</v>
      </c>
    </row>
    <row r="1554" spans="1:5" x14ac:dyDescent="0.25">
      <c r="A1554" s="21">
        <v>1553</v>
      </c>
      <c r="B1554" s="5" cm="1">
        <f t="array" aca="1" ref="B1554" ca="1">interpolexp(A1554,serie_du,Taxas_DI)</f>
        <v>0.13044834598405775</v>
      </c>
      <c r="C1554" s="32">
        <f ca="1">((((1+B1554)^(A1554/252))/((1+B1553)^(A1553/252)))^(252/1))-1</f>
        <v>0.12520020403672372</v>
      </c>
      <c r="D1554" s="30">
        <v>0.13044834598405775</v>
      </c>
      <c r="E1554" s="31">
        <f ca="1">B1554-D1554</f>
        <v>0</v>
      </c>
    </row>
    <row r="1555" spans="1:5" x14ac:dyDescent="0.25">
      <c r="A1555" s="21">
        <v>1554</v>
      </c>
      <c r="B1555" s="5" cm="1">
        <f t="array" aca="1" ref="B1555" ca="1">interpolexp(A1555,serie_du,Taxas_DI)</f>
        <v>0.13044496093268521</v>
      </c>
      <c r="C1555" s="32">
        <f ca="1">((((1+B1555)^(A1555/252))/((1+B1554)^(A1554/252)))^(252/1))-1</f>
        <v>0.12520018851588199</v>
      </c>
      <c r="D1555" s="30">
        <v>0.13044496093268521</v>
      </c>
      <c r="E1555" s="31">
        <f ca="1">B1555-D1555</f>
        <v>0</v>
      </c>
    </row>
    <row r="1556" spans="1:5" x14ac:dyDescent="0.25">
      <c r="A1556" s="21">
        <v>1555</v>
      </c>
      <c r="B1556" s="5" cm="1">
        <f t="array" aca="1" ref="B1556" ca="1">interpolexp(A1556,serie_du,Taxas_DI)</f>
        <v>0.13044158023518548</v>
      </c>
      <c r="C1556" s="32">
        <f ca="1">((((1+B1556)^(A1556/252))/((1+B1555)^(A1555/252)))^(252/1))-1</f>
        <v>0.12520017302588715</v>
      </c>
      <c r="D1556" s="30">
        <v>0.13044158023518548</v>
      </c>
      <c r="E1556" s="31">
        <f ca="1">B1556-D1556</f>
        <v>0</v>
      </c>
    </row>
    <row r="1557" spans="1:5" x14ac:dyDescent="0.25">
      <c r="A1557" s="21">
        <v>1556</v>
      </c>
      <c r="B1557" s="5" cm="1">
        <f t="array" aca="1" ref="B1557" ca="1">interpolexp(A1557,serie_du,Taxas_DI)</f>
        <v>0.13043820388316529</v>
      </c>
      <c r="C1557" s="32">
        <f ca="1">((((1+B1557)^(A1557/252))/((1+B1556)^(A1556/252)))^(252/1))-1</f>
        <v>0.12520015756773217</v>
      </c>
      <c r="D1557" s="30">
        <v>0.13043820388316529</v>
      </c>
      <c r="E1557" s="31">
        <f ca="1">B1557-D1557</f>
        <v>0</v>
      </c>
    </row>
    <row r="1558" spans="1:5" x14ac:dyDescent="0.25">
      <c r="A1558" s="21">
        <v>1557</v>
      </c>
      <c r="B1558" s="5" cm="1">
        <f t="array" aca="1" ref="B1558" ca="1">interpolexp(A1558,serie_du,Taxas_DI)</f>
        <v>0.13043483186827576</v>
      </c>
      <c r="C1558" s="32">
        <f ca="1">((((1+B1558)^(A1558/252))/((1+B1557)^(A1557/252)))^(252/1))-1</f>
        <v>0.12520014217672815</v>
      </c>
      <c r="D1558" s="30">
        <v>0.13043483186827576</v>
      </c>
      <c r="E1558" s="31">
        <f ca="1">B1558-D1558</f>
        <v>0</v>
      </c>
    </row>
    <row r="1559" spans="1:5" x14ac:dyDescent="0.25">
      <c r="A1559" s="21">
        <v>1558</v>
      </c>
      <c r="B1559" s="5" cm="1">
        <f t="array" aca="1" ref="B1559" ca="1">interpolexp(A1559,serie_du,Taxas_DI)</f>
        <v>0.13043146418212359</v>
      </c>
      <c r="C1559" s="32">
        <f ca="1">((((1+B1559)^(A1559/252))/((1+B1558)^(A1558/252)))^(252/1))-1</f>
        <v>0.12520012675049541</v>
      </c>
      <c r="D1559" s="30">
        <v>0.13043146418212359</v>
      </c>
      <c r="E1559" s="31">
        <f ca="1">B1559-D1559</f>
        <v>0</v>
      </c>
    </row>
    <row r="1560" spans="1:5" x14ac:dyDescent="0.25">
      <c r="A1560" s="21">
        <v>1559</v>
      </c>
      <c r="B1560" s="5" cm="1">
        <f t="array" aca="1" ref="B1560" ca="1">interpolexp(A1560,serie_du,Taxas_DI)</f>
        <v>0.13042810081640432</v>
      </c>
      <c r="C1560" s="32">
        <f ca="1">((((1+B1560)^(A1560/252))/((1+B1559)^(A1559/252)))^(252/1))-1</f>
        <v>0.12520011139353371</v>
      </c>
      <c r="D1560" s="30">
        <v>0.13042810081640432</v>
      </c>
      <c r="E1560" s="31">
        <f ca="1">B1560-D1560</f>
        <v>0</v>
      </c>
    </row>
    <row r="1561" spans="1:5" x14ac:dyDescent="0.25">
      <c r="A1561" s="21">
        <v>1560</v>
      </c>
      <c r="B1561" s="5" cm="1">
        <f t="array" aca="1" ref="B1561" ca="1">interpolexp(A1561,serie_du,Taxas_DI)</f>
        <v>0.13042474176281349</v>
      </c>
      <c r="C1561" s="32">
        <f ca="1">((((1+B1561)^(A1561/252))/((1+B1560)^(A1560/252)))^(252/1))-1</f>
        <v>0.12520009607269511</v>
      </c>
      <c r="D1561" s="30">
        <v>0.13042474176281349</v>
      </c>
      <c r="E1561" s="31">
        <f ca="1">B1561-D1561</f>
        <v>0</v>
      </c>
    </row>
    <row r="1562" spans="1:5" x14ac:dyDescent="0.25">
      <c r="A1562" s="21">
        <v>1561</v>
      </c>
      <c r="B1562" s="5" cm="1">
        <f t="array" aca="1" ref="B1562" ca="1">interpolexp(A1562,serie_du,Taxas_DI)</f>
        <v>0.13042138701304662</v>
      </c>
      <c r="C1562" s="32">
        <f ca="1">((((1+B1562)^(A1562/252))/((1+B1561)^(A1561/252)))^(252/1))-1</f>
        <v>0.12520008075476707</v>
      </c>
      <c r="D1562" s="30">
        <v>0.13042138701304662</v>
      </c>
      <c r="E1562" s="31">
        <f ca="1">B1562-D1562</f>
        <v>0</v>
      </c>
    </row>
    <row r="1563" spans="1:5" x14ac:dyDescent="0.25">
      <c r="A1563" s="21">
        <v>1562</v>
      </c>
      <c r="B1563" s="5" cm="1">
        <f t="array" aca="1" ref="B1563" ca="1">interpolexp(A1563,serie_du,Taxas_DI)</f>
        <v>0.13041803655884365</v>
      </c>
      <c r="C1563" s="32">
        <f ca="1">((((1+B1563)^(A1563/252))/((1+B1562)^(A1562/252)))^(252/1))-1</f>
        <v>0.12520006547572504</v>
      </c>
      <c r="D1563" s="30">
        <v>0.13041803655884365</v>
      </c>
      <c r="E1563" s="31">
        <f ca="1">B1563-D1563</f>
        <v>0</v>
      </c>
    </row>
    <row r="1564" spans="1:5" x14ac:dyDescent="0.25">
      <c r="A1564" s="21">
        <v>1563</v>
      </c>
      <c r="B1564" s="5" cm="1">
        <f t="array" aca="1" ref="B1564" ca="1">interpolexp(A1564,serie_du,Taxas_DI)</f>
        <v>0.13041469039198894</v>
      </c>
      <c r="C1564" s="32">
        <f ca="1">((((1+B1564)^(A1564/252))/((1+B1563)^(A1563/252)))^(252/1))-1</f>
        <v>0.12520005027169856</v>
      </c>
      <c r="D1564" s="30">
        <v>0.13041469039198894</v>
      </c>
      <c r="E1564" s="31">
        <f ca="1">B1564-D1564</f>
        <v>0</v>
      </c>
    </row>
    <row r="1565" spans="1:5" x14ac:dyDescent="0.25">
      <c r="A1565" s="21">
        <v>1564</v>
      </c>
      <c r="B1565" s="5" cm="1">
        <f t="array" aca="1" ref="B1565" ca="1">interpolexp(A1565,serie_du,Taxas_DI)</f>
        <v>0.13041134850420022</v>
      </c>
      <c r="C1565" s="32">
        <f ca="1">((((1+B1565)^(A1565/252))/((1+B1564)^(A1564/252)))^(252/1))-1</f>
        <v>0.12520003500610088</v>
      </c>
      <c r="D1565" s="30">
        <v>0.13041134850420022</v>
      </c>
      <c r="E1565" s="31">
        <f ca="1">B1565-D1565</f>
        <v>0</v>
      </c>
    </row>
    <row r="1566" spans="1:5" x14ac:dyDescent="0.25">
      <c r="A1566" s="21">
        <v>1565</v>
      </c>
      <c r="B1566" s="5" cm="1">
        <f t="array" aca="1" ref="B1566" ca="1">interpolexp(A1566,serie_du,Taxas_DI)</f>
        <v>0.13040801088730625</v>
      </c>
      <c r="C1566" s="32">
        <f ca="1">((((1+B1566)^(A1566/252))/((1+B1565)^(A1565/252)))^(252/1))-1</f>
        <v>0.12520001981888895</v>
      </c>
      <c r="D1566" s="30">
        <v>0.13040801088730625</v>
      </c>
      <c r="E1566" s="31">
        <f ca="1">B1566-D1566</f>
        <v>0</v>
      </c>
    </row>
    <row r="1567" spans="1:5" x14ac:dyDescent="0.25">
      <c r="A1567" s="21">
        <v>1566</v>
      </c>
      <c r="B1567" s="5" cm="1">
        <f t="array" aca="1" ref="B1567" ca="1">interpolexp(A1567,serie_du,Taxas_DI)</f>
        <v>0.13040467753315799</v>
      </c>
      <c r="C1567" s="32">
        <f ca="1">((((1+B1567)^(A1567/252))/((1+B1566)^(A1566/252)))^(252/1))-1</f>
        <v>0.12520000471214243</v>
      </c>
      <c r="D1567" s="30">
        <v>0.13040467753315799</v>
      </c>
      <c r="E1567" s="31">
        <f ca="1">B1567-D1567</f>
        <v>0</v>
      </c>
    </row>
    <row r="1568" spans="1:5" x14ac:dyDescent="0.25">
      <c r="A1568" s="21">
        <v>1567</v>
      </c>
      <c r="B1568" s="5" cm="1">
        <f t="array" aca="1" ref="B1568" ca="1">interpolexp(A1568,serie_du,Taxas_DI)</f>
        <v>0.13040134843353979</v>
      </c>
      <c r="C1568" s="32">
        <f ca="1">((((1+B1568)^(A1568/252))/((1+B1567)^(A1567/252)))^(252/1))-1</f>
        <v>0.12519998954926459</v>
      </c>
      <c r="D1568" s="30">
        <v>0.13040134843353979</v>
      </c>
      <c r="E1568" s="31">
        <f ca="1">B1568-D1568</f>
        <v>0</v>
      </c>
    </row>
    <row r="1569" spans="1:5" x14ac:dyDescent="0.25">
      <c r="A1569" s="21">
        <v>1568</v>
      </c>
      <c r="B1569" s="5" cm="1">
        <f t="array" aca="1" ref="B1569" ca="1">interpolexp(A1569,serie_du,Taxas_DI)</f>
        <v>0.13039802358032482</v>
      </c>
      <c r="C1569" s="32">
        <f ca="1">((((1+B1569)^(A1569/252))/((1+B1568)^(A1568/252)))^(252/1))-1</f>
        <v>0.12519997443629305</v>
      </c>
      <c r="D1569" s="30">
        <v>0.13039802358032482</v>
      </c>
      <c r="E1569" s="31">
        <f ca="1">B1569-D1569</f>
        <v>0</v>
      </c>
    </row>
    <row r="1570" spans="1:5" x14ac:dyDescent="0.25">
      <c r="A1570" s="21">
        <v>1569</v>
      </c>
      <c r="B1570" s="5" cm="1">
        <f t="array" aca="1" ref="B1570" ca="1">interpolexp(A1570,serie_du,Taxas_DI)</f>
        <v>0.13039470296540845</v>
      </c>
      <c r="C1570" s="32">
        <f ca="1">((((1+B1570)^(A1570/252))/((1+B1569)^(A1569/252)))^(252/1))-1</f>
        <v>0.12519995937537232</v>
      </c>
      <c r="D1570" s="30">
        <v>0.13039470296540845</v>
      </c>
      <c r="E1570" s="31">
        <f ca="1">B1570-D1570</f>
        <v>0</v>
      </c>
    </row>
    <row r="1571" spans="1:5" x14ac:dyDescent="0.25">
      <c r="A1571" s="21">
        <v>1570</v>
      </c>
      <c r="B1571" s="5" cm="1">
        <f t="array" aca="1" ref="B1571" ca="1">interpolexp(A1571,serie_du,Taxas_DI)</f>
        <v>0.13039138658068605</v>
      </c>
      <c r="C1571" s="32">
        <f ca="1">((((1+B1571)^(A1571/252))/((1+B1570)^(A1570/252)))^(252/1))-1</f>
        <v>0.12519994433407455</v>
      </c>
      <c r="D1571" s="30">
        <v>0.13039138658068605</v>
      </c>
      <c r="E1571" s="31">
        <f ca="1">B1571-D1571</f>
        <v>0</v>
      </c>
    </row>
    <row r="1572" spans="1:5" x14ac:dyDescent="0.25">
      <c r="A1572" s="21">
        <v>1571</v>
      </c>
      <c r="B1572" s="5" cm="1">
        <f t="array" aca="1" ref="B1572" ca="1">interpolexp(A1572,serie_du,Taxas_DI)</f>
        <v>0.13038807441807521</v>
      </c>
      <c r="C1572" s="32">
        <f ca="1">((((1+B1572)^(A1572/252))/((1+B1571)^(A1571/252)))^(252/1))-1</f>
        <v>0.125199929315023</v>
      </c>
      <c r="D1572" s="30">
        <v>0.13038807441807521</v>
      </c>
      <c r="E1572" s="31">
        <f ca="1">B1572-D1572</f>
        <v>0</v>
      </c>
    </row>
    <row r="1573" spans="1:5" x14ac:dyDescent="0.25">
      <c r="A1573" s="21">
        <v>1572</v>
      </c>
      <c r="B1573" s="5" cm="1">
        <f t="array" aca="1" ref="B1573" ca="1">interpolexp(A1573,serie_du,Taxas_DI)</f>
        <v>0.13038476646951569</v>
      </c>
      <c r="C1573" s="32">
        <f ca="1">((((1+B1573)^(A1573/252))/((1+B1572)^(A1572/252)))^(252/1))-1</f>
        <v>0.12519991432036792</v>
      </c>
      <c r="D1573" s="30">
        <v>0.13038476646951569</v>
      </c>
      <c r="E1573" s="31">
        <f ca="1">B1573-D1573</f>
        <v>0</v>
      </c>
    </row>
    <row r="1574" spans="1:5" x14ac:dyDescent="0.25">
      <c r="A1574" s="21">
        <v>1573</v>
      </c>
      <c r="B1574" s="5" cm="1">
        <f t="array" aca="1" ref="B1574" ca="1">interpolexp(A1574,serie_du,Taxas_DI)</f>
        <v>0.13038146272699169</v>
      </c>
      <c r="C1574" s="32">
        <f ca="1">((((1+B1574)^(A1574/252))/((1+B1573)^(A1573/252)))^(252/1))-1</f>
        <v>0.12519989938779652</v>
      </c>
      <c r="D1574" s="30">
        <v>0.13038146272699169</v>
      </c>
      <c r="E1574" s="31">
        <f ca="1">B1574-D1574</f>
        <v>0</v>
      </c>
    </row>
    <row r="1575" spans="1:5" x14ac:dyDescent="0.25">
      <c r="A1575" s="21">
        <v>1574</v>
      </c>
      <c r="B1575" s="5" cm="1">
        <f t="array" aca="1" ref="B1575" ca="1">interpolexp(A1575,serie_du,Taxas_DI)</f>
        <v>0.1303781631824652</v>
      </c>
      <c r="C1575" s="32">
        <f ca="1">((((1+B1575)^(A1575/252))/((1+B1574)^(A1574/252)))^(252/1))-1</f>
        <v>0.12519988445028196</v>
      </c>
      <c r="D1575" s="30">
        <v>0.1303781631824652</v>
      </c>
      <c r="E1575" s="31">
        <f ca="1">B1575-D1575</f>
        <v>0</v>
      </c>
    </row>
    <row r="1576" spans="1:5" x14ac:dyDescent="0.25">
      <c r="A1576" s="21">
        <v>1575</v>
      </c>
      <c r="B1576" s="5" cm="1">
        <f t="array" aca="1" ref="B1576" ca="1">interpolexp(A1576,serie_du,Taxas_DI)</f>
        <v>0.1303748678279204</v>
      </c>
      <c r="C1576" s="32">
        <f ca="1">((((1+B1576)^(A1576/252))/((1+B1575)^(A1575/252)))^(252/1))-1</f>
        <v>0.12519986951084183</v>
      </c>
      <c r="D1576" s="30">
        <v>0.1303748678279204</v>
      </c>
      <c r="E1576" s="31">
        <f ca="1">B1576-D1576</f>
        <v>0</v>
      </c>
    </row>
    <row r="1577" spans="1:5" x14ac:dyDescent="0.25">
      <c r="A1577" s="21">
        <v>1576</v>
      </c>
      <c r="B1577" s="5" cm="1">
        <f t="array" aca="1" ref="B1577" ca="1">interpolexp(A1577,serie_du,Taxas_DI)</f>
        <v>0.13037157665543031</v>
      </c>
      <c r="C1577" s="32">
        <f ca="1">((((1+B1577)^(A1577/252))/((1+B1576)^(A1576/252)))^(252/1))-1</f>
        <v>0.12519985467664019</v>
      </c>
      <c r="D1577" s="30">
        <v>0.13037157665543031</v>
      </c>
      <c r="E1577" s="31">
        <f ca="1">B1577-D1577</f>
        <v>0</v>
      </c>
    </row>
    <row r="1578" spans="1:5" x14ac:dyDescent="0.25">
      <c r="A1578" s="21">
        <v>1577</v>
      </c>
      <c r="B1578" s="5" cm="1">
        <f t="array" aca="1" ref="B1578" ca="1">interpolexp(A1578,serie_du,Taxas_DI)</f>
        <v>0.13036828965702352</v>
      </c>
      <c r="C1578" s="32">
        <f ca="1">((((1+B1578)^(A1578/252))/((1+B1577)^(A1577/252)))^(252/1))-1</f>
        <v>0.12519983984626259</v>
      </c>
      <c r="D1578" s="30">
        <v>0.13036828965702352</v>
      </c>
      <c r="E1578" s="31">
        <f ca="1">B1578-D1578</f>
        <v>0</v>
      </c>
    </row>
    <row r="1579" spans="1:5" x14ac:dyDescent="0.25">
      <c r="A1579" s="21">
        <v>1578</v>
      </c>
      <c r="B1579" s="5" cm="1">
        <f t="array" aca="1" ref="B1579" ca="1">interpolexp(A1579,serie_du,Taxas_DI)</f>
        <v>0.13036500682472862</v>
      </c>
      <c r="C1579" s="32">
        <f ca="1">((((1+B1579)^(A1579/252))/((1+B1578)^(A1578/252)))^(252/1))-1</f>
        <v>0.12519982498794735</v>
      </c>
      <c r="D1579" s="30">
        <v>0.13036500682472862</v>
      </c>
      <c r="E1579" s="31">
        <f ca="1">B1579-D1579</f>
        <v>0</v>
      </c>
    </row>
    <row r="1580" spans="1:5" x14ac:dyDescent="0.25">
      <c r="A1580" s="21">
        <v>1579</v>
      </c>
      <c r="B1580" s="5" cm="1">
        <f t="array" aca="1" ref="B1580" ca="1">interpolexp(A1580,serie_du,Taxas_DI)</f>
        <v>0.13036172815068525</v>
      </c>
      <c r="C1580" s="32">
        <f ca="1">((((1+B1580)^(A1580/252))/((1+B1579)^(A1579/252)))^(252/1))-1</f>
        <v>0.12519981024447224</v>
      </c>
      <c r="D1580" s="30">
        <v>0.13036172815068525</v>
      </c>
      <c r="E1580" s="31">
        <f ca="1">B1580-D1580</f>
        <v>0</v>
      </c>
    </row>
    <row r="1581" spans="1:5" x14ac:dyDescent="0.25">
      <c r="A1581" s="21">
        <v>1580</v>
      </c>
      <c r="B1581" s="5" cm="1">
        <f t="array" aca="1" ref="B1581" ca="1">interpolexp(A1581,serie_du,Taxas_DI)</f>
        <v>0.1303584536269442</v>
      </c>
      <c r="C1581" s="32">
        <f ca="1">((((1+B1581)^(A1581/252))/((1+B1580)^(A1580/252)))^(252/1))-1</f>
        <v>0.125199795444775</v>
      </c>
      <c r="D1581" s="30">
        <v>0.1303584536269442</v>
      </c>
      <c r="E1581" s="31">
        <f ca="1">B1581-D1581</f>
        <v>0</v>
      </c>
    </row>
    <row r="1582" spans="1:5" x14ac:dyDescent="0.25">
      <c r="A1582" s="21">
        <v>1581</v>
      </c>
      <c r="B1582" s="5" cm="1">
        <f t="array" aca="1" ref="B1582" ca="1">interpolexp(A1582,serie_du,Taxas_DI)</f>
        <v>0.13035518324566731</v>
      </c>
      <c r="C1582" s="32">
        <f ca="1">((((1+B1582)^(A1582/252))/((1+B1581)^(A1581/252)))^(252/1))-1</f>
        <v>0.12519978073174354</v>
      </c>
      <c r="D1582" s="30">
        <v>0.13035518324566731</v>
      </c>
      <c r="E1582" s="31">
        <f ca="1">B1582-D1582</f>
        <v>0</v>
      </c>
    </row>
    <row r="1583" spans="1:5" x14ac:dyDescent="0.25">
      <c r="A1583" s="21">
        <v>1582</v>
      </c>
      <c r="B1583" s="5" cm="1">
        <f t="array" aca="1" ref="B1583" ca="1">interpolexp(A1583,serie_du,Taxas_DI)</f>
        <v>0.13035191699899418</v>
      </c>
      <c r="C1583" s="32">
        <f ca="1">((((1+B1583)^(A1583/252))/((1+B1582)^(A1582/252)))^(252/1))-1</f>
        <v>0.12519976603920679</v>
      </c>
      <c r="D1583" s="30">
        <v>0.13035191699899418</v>
      </c>
      <c r="E1583" s="31">
        <f ca="1">B1583-D1583</f>
        <v>0</v>
      </c>
    </row>
    <row r="1584" spans="1:5" x14ac:dyDescent="0.25">
      <c r="A1584" s="21">
        <v>1583</v>
      </c>
      <c r="B1584" s="5" cm="1">
        <f t="array" aca="1" ref="B1584" ca="1">interpolexp(A1584,serie_du,Taxas_DI)</f>
        <v>0.13034865487906444</v>
      </c>
      <c r="C1584" s="32">
        <f ca="1">((((1+B1584)^(A1584/252))/((1+B1583)^(A1583/252)))^(252/1))-1</f>
        <v>0.1251997513357217</v>
      </c>
      <c r="D1584" s="30">
        <v>0.13034865487906444</v>
      </c>
      <c r="E1584" s="31">
        <f ca="1">B1584-D1584</f>
        <v>0</v>
      </c>
    </row>
    <row r="1585" spans="1:5" x14ac:dyDescent="0.25">
      <c r="A1585" s="21">
        <v>1584</v>
      </c>
      <c r="B1585" s="5" cm="1">
        <f t="array" aca="1" ref="B1585" ca="1">interpolexp(A1585,serie_du,Taxas_DI)</f>
        <v>0.13034539687808433</v>
      </c>
      <c r="C1585" s="32">
        <f ca="1">((((1+B1585)^(A1585/252))/((1+B1584)^(A1584/252)))^(252/1))-1</f>
        <v>0.12519973669502082</v>
      </c>
      <c r="D1585" s="30">
        <v>0.13034539687808433</v>
      </c>
      <c r="E1585" s="31">
        <f ca="1">B1585-D1585</f>
        <v>0</v>
      </c>
    </row>
    <row r="1586" spans="1:5" x14ac:dyDescent="0.25">
      <c r="A1586" s="21">
        <v>1585</v>
      </c>
      <c r="B1586" s="5" cm="1">
        <f t="array" aca="1" ref="B1586" ca="1">interpolexp(A1586,serie_du,Taxas_DI)</f>
        <v>0.13034214298826008</v>
      </c>
      <c r="C1586" s="32">
        <f ca="1">((((1+B1586)^(A1586/252))/((1+B1585)^(A1585/252)))^(252/1))-1</f>
        <v>0.12519972208612185</v>
      </c>
      <c r="D1586" s="30">
        <v>0.13034214298826008</v>
      </c>
      <c r="E1586" s="31">
        <f ca="1">B1586-D1586</f>
        <v>0</v>
      </c>
    </row>
    <row r="1587" spans="1:5" x14ac:dyDescent="0.25">
      <c r="A1587" s="21">
        <v>1586</v>
      </c>
      <c r="B1587" s="5" cm="1">
        <f t="array" aca="1" ref="B1587" ca="1">interpolexp(A1587,serie_du,Taxas_DI)</f>
        <v>0.13033889320179792</v>
      </c>
      <c r="C1587" s="32">
        <f ca="1">((((1+B1587)^(A1587/252))/((1+B1586)^(A1586/252)))^(252/1))-1</f>
        <v>0.12519970747775799</v>
      </c>
      <c r="D1587" s="30">
        <v>0.13033889320179792</v>
      </c>
      <c r="E1587" s="31">
        <f ca="1">B1587-D1587</f>
        <v>0</v>
      </c>
    </row>
    <row r="1588" spans="1:5" x14ac:dyDescent="0.25">
      <c r="A1588" s="21">
        <v>1587</v>
      </c>
      <c r="B1588" s="5" cm="1">
        <f t="array" aca="1" ref="B1588" ca="1">interpolexp(A1588,serie_du,Taxas_DI)</f>
        <v>0.1303356475109485</v>
      </c>
      <c r="C1588" s="32">
        <f ca="1">((((1+B1588)^(A1588/252))/((1+B1587)^(A1587/252)))^(252/1))-1</f>
        <v>0.12519969290888611</v>
      </c>
      <c r="D1588" s="30">
        <v>0.1303356475109485</v>
      </c>
      <c r="E1588" s="31">
        <f ca="1">B1588-D1588</f>
        <v>0</v>
      </c>
    </row>
    <row r="1589" spans="1:5" x14ac:dyDescent="0.25">
      <c r="A1589" s="21">
        <v>1588</v>
      </c>
      <c r="B1589" s="5" cm="1">
        <f t="array" aca="1" ref="B1589" ca="1">interpolexp(A1589,serie_du,Taxas_DI)</f>
        <v>0.13033240590798467</v>
      </c>
      <c r="C1589" s="32">
        <f ca="1">((((1+B1589)^(A1589/252))/((1+B1588)^(A1588/252)))^(252/1))-1</f>
        <v>0.12519967838388957</v>
      </c>
      <c r="D1589" s="30">
        <v>0.13033240590798467</v>
      </c>
      <c r="E1589" s="31">
        <f ca="1">B1589-D1589</f>
        <v>0</v>
      </c>
    </row>
    <row r="1590" spans="1:5" x14ac:dyDescent="0.25">
      <c r="A1590" s="21">
        <v>1589</v>
      </c>
      <c r="B1590" s="5" cm="1">
        <f t="array" aca="1" ref="B1590" ca="1">interpolexp(A1590,serie_du,Taxas_DI)</f>
        <v>0.13032916838517927</v>
      </c>
      <c r="C1590" s="32">
        <f ca="1">((((1+B1590)^(A1590/252))/((1+B1589)^(A1589/252)))^(252/1))-1</f>
        <v>0.12519966387191084</v>
      </c>
      <c r="D1590" s="30">
        <v>0.13032916838517927</v>
      </c>
      <c r="E1590" s="31">
        <f ca="1">B1590-D1590</f>
        <v>0</v>
      </c>
    </row>
    <row r="1591" spans="1:5" x14ac:dyDescent="0.25">
      <c r="A1591" s="21">
        <v>1590</v>
      </c>
      <c r="B1591" s="5" cm="1">
        <f t="array" aca="1" ref="B1591" ca="1">interpolexp(A1591,serie_du,Taxas_DI)</f>
        <v>0.13032593493482736</v>
      </c>
      <c r="C1591" s="32">
        <f ca="1">((((1+B1591)^(A1591/252))/((1+B1590)^(A1590/252)))^(252/1))-1</f>
        <v>0.12519964937711481</v>
      </c>
      <c r="D1591" s="30">
        <v>0.13032593493482736</v>
      </c>
      <c r="E1591" s="31">
        <f ca="1">B1591-D1591</f>
        <v>0</v>
      </c>
    </row>
    <row r="1592" spans="1:5" x14ac:dyDescent="0.25">
      <c r="A1592" s="21">
        <v>1591</v>
      </c>
      <c r="B1592" s="5" cm="1">
        <f t="array" aca="1" ref="B1592" ca="1">interpolexp(A1592,serie_du,Taxas_DI)</f>
        <v>0.13032270554926839</v>
      </c>
      <c r="C1592" s="32">
        <f ca="1">((((1+B1592)^(A1592/252))/((1+B1591)^(A1591/252)))^(252/1))-1</f>
        <v>0.12519963493923769</v>
      </c>
      <c r="D1592" s="30">
        <v>0.13032270554926839</v>
      </c>
      <c r="E1592" s="31">
        <f ca="1">B1592-D1592</f>
        <v>0</v>
      </c>
    </row>
    <row r="1593" spans="1:5" x14ac:dyDescent="0.25">
      <c r="A1593" s="21">
        <v>1592</v>
      </c>
      <c r="B1593" s="5" cm="1">
        <f t="array" aca="1" ref="B1593" ca="1">interpolexp(A1593,serie_du,Taxas_DI)</f>
        <v>0.13031948022081963</v>
      </c>
      <c r="C1593" s="32">
        <f ca="1">((((1+B1593)^(A1593/252))/((1+B1592)^(A1592/252)))^(252/1))-1</f>
        <v>0.12519962049228917</v>
      </c>
      <c r="D1593" s="30">
        <v>0.13031948022081963</v>
      </c>
      <c r="E1593" s="31">
        <f ca="1">B1593-D1593</f>
        <v>0</v>
      </c>
    </row>
    <row r="1594" spans="1:5" x14ac:dyDescent="0.25">
      <c r="A1594" s="21">
        <v>1593</v>
      </c>
      <c r="B1594" s="5" cm="1">
        <f t="array" aca="1" ref="B1594" ca="1">interpolexp(A1594,serie_du,Taxas_DI)</f>
        <v>0.13031625894184273</v>
      </c>
      <c r="C1594" s="32">
        <f ca="1">((((1+B1594)^(A1594/252))/((1+B1593)^(A1593/252)))^(252/1))-1</f>
        <v>0.12519960607639025</v>
      </c>
      <c r="D1594" s="30">
        <v>0.13031625894184273</v>
      </c>
      <c r="E1594" s="31">
        <f ca="1">B1594-D1594</f>
        <v>0</v>
      </c>
    </row>
    <row r="1595" spans="1:5" x14ac:dyDescent="0.25">
      <c r="A1595" s="21">
        <v>1594</v>
      </c>
      <c r="B1595" s="5" cm="1">
        <f t="array" aca="1" ref="B1595" ca="1">interpolexp(A1595,serie_du,Taxas_DI)</f>
        <v>0.13031304170474378</v>
      </c>
      <c r="C1595" s="32">
        <f ca="1">((((1+B1595)^(A1595/252))/((1+B1594)^(A1594/252)))^(252/1))-1</f>
        <v>0.12519959173127826</v>
      </c>
      <c r="D1595" s="30">
        <v>0.13031304170474378</v>
      </c>
      <c r="E1595" s="31">
        <f ca="1">B1595-D1595</f>
        <v>0</v>
      </c>
    </row>
    <row r="1596" spans="1:5" x14ac:dyDescent="0.25">
      <c r="A1596" s="21">
        <v>1595</v>
      </c>
      <c r="B1596" s="5" cm="1">
        <f t="array" aca="1" ref="B1596" ca="1">interpolexp(A1596,serie_du,Taxas_DI)</f>
        <v>0.13030982850190664</v>
      </c>
      <c r="C1596" s="32">
        <f ca="1">((((1+B1596)^(A1596/252))/((1+B1595)^(A1595/252)))^(252/1))-1</f>
        <v>0.12519957739134457</v>
      </c>
      <c r="D1596" s="30">
        <v>0.13030982850190664</v>
      </c>
      <c r="E1596" s="31">
        <f ca="1">B1596-D1596</f>
        <v>0</v>
      </c>
    </row>
    <row r="1597" spans="1:5" x14ac:dyDescent="0.25">
      <c r="A1597" s="21">
        <v>1596</v>
      </c>
      <c r="B1597" s="5" cm="1">
        <f t="array" aca="1" ref="B1597" ca="1">interpolexp(A1597,serie_du,Taxas_DI)</f>
        <v>0.13030661932571519</v>
      </c>
      <c r="C1597" s="32">
        <f ca="1">((((1+B1597)^(A1597/252))/((1+B1596)^(A1596/252)))^(252/1))-1</f>
        <v>0.12519956302636559</v>
      </c>
      <c r="D1597" s="30">
        <v>0.13030661932571519</v>
      </c>
      <c r="E1597" s="31">
        <f ca="1">B1597-D1597</f>
        <v>0</v>
      </c>
    </row>
    <row r="1598" spans="1:5" x14ac:dyDescent="0.25">
      <c r="A1598" s="21">
        <v>1597</v>
      </c>
      <c r="B1598" s="5" cm="1">
        <f t="array" aca="1" ref="B1598" ca="1">interpolexp(A1598,serie_du,Taxas_DI)</f>
        <v>0.13030341416864211</v>
      </c>
      <c r="C1598" s="32">
        <f ca="1">((((1+B1598)^(A1598/252))/((1+B1597)^(A1597/252)))^(252/1))-1</f>
        <v>0.1251995487470674</v>
      </c>
      <c r="D1598" s="30">
        <v>0.13030341416864211</v>
      </c>
      <c r="E1598" s="31">
        <f ca="1">B1598-D1598</f>
        <v>0</v>
      </c>
    </row>
    <row r="1599" spans="1:5" x14ac:dyDescent="0.25">
      <c r="A1599" s="21">
        <v>1598</v>
      </c>
      <c r="B1599" s="5" cm="1">
        <f t="array" aca="1" ref="B1599" ca="1">interpolexp(A1599,serie_du,Taxas_DI)</f>
        <v>0.13030021302313788</v>
      </c>
      <c r="C1599" s="32">
        <f ca="1">((((1+B1599)^(A1599/252))/((1+B1598)^(A1598/252)))^(252/1))-1</f>
        <v>0.12519953448809318</v>
      </c>
      <c r="D1599" s="30">
        <v>0.13030021302313788</v>
      </c>
      <c r="E1599" s="31">
        <f ca="1">B1599-D1599</f>
        <v>0</v>
      </c>
    </row>
    <row r="1600" spans="1:5" x14ac:dyDescent="0.25">
      <c r="A1600" s="21">
        <v>1599</v>
      </c>
      <c r="B1600" s="5" cm="1">
        <f t="array" aca="1" ref="B1600" ca="1">interpolexp(A1600,serie_du,Taxas_DI)</f>
        <v>0.13029701588167519</v>
      </c>
      <c r="C1600" s="32">
        <f ca="1">((((1+B1600)^(A1600/252))/((1+B1599)^(A1599/252)))^(252/1))-1</f>
        <v>0.12519952025464565</v>
      </c>
      <c r="D1600" s="30">
        <v>0.13029701588167519</v>
      </c>
      <c r="E1600" s="31">
        <f ca="1">B1600-D1600</f>
        <v>0</v>
      </c>
    </row>
    <row r="1601" spans="1:5" x14ac:dyDescent="0.25">
      <c r="A1601" s="21">
        <v>1600</v>
      </c>
      <c r="B1601" s="5" cm="1">
        <f t="array" aca="1" ref="B1601" ca="1">interpolexp(A1601,serie_du,Taxas_DI)</f>
        <v>0.13029382273672674</v>
      </c>
      <c r="C1601" s="32">
        <f ca="1">((((1+B1601)^(A1601/252))/((1+B1600)^(A1600/252)))^(252/1))-1</f>
        <v>0.12519950601667462</v>
      </c>
      <c r="D1601" s="30">
        <v>0.13029382273672674</v>
      </c>
      <c r="E1601" s="31">
        <f ca="1">B1601-D1601</f>
        <v>0</v>
      </c>
    </row>
    <row r="1602" spans="1:5" x14ac:dyDescent="0.25">
      <c r="A1602" s="21">
        <v>1601</v>
      </c>
      <c r="B1602" s="5" cm="1">
        <f t="array" aca="1" ref="B1602" ca="1">interpolexp(A1602,serie_du,Taxas_DI)</f>
        <v>0.13029063358083182</v>
      </c>
      <c r="C1602" s="32">
        <f ca="1">((((1+B1602)^(A1602/252))/((1+B1601)^(A1601/252)))^(252/1))-1</f>
        <v>0.1251994918503303</v>
      </c>
      <c r="D1602" s="30">
        <v>0.13029063358083182</v>
      </c>
      <c r="E1602" s="31">
        <f ca="1">B1602-D1602</f>
        <v>0</v>
      </c>
    </row>
    <row r="1603" spans="1:5" x14ac:dyDescent="0.25">
      <c r="A1603" s="21">
        <v>1602</v>
      </c>
      <c r="B1603" s="5" cm="1">
        <f t="array" aca="1" ref="B1603" ca="1">interpolexp(A1603,serie_du,Taxas_DI)</f>
        <v>0.13028744840650752</v>
      </c>
      <c r="C1603" s="32">
        <f ca="1">((((1+B1603)^(A1603/252))/((1+B1602)^(A1602/252)))^(252/1))-1</f>
        <v>0.12519947769041684</v>
      </c>
      <c r="D1603" s="30">
        <v>0.13028744840650752</v>
      </c>
      <c r="E1603" s="31">
        <f ca="1">B1603-D1603</f>
        <v>0</v>
      </c>
    </row>
    <row r="1604" spans="1:5" x14ac:dyDescent="0.25">
      <c r="A1604" s="21">
        <v>1603</v>
      </c>
      <c r="B1604" s="5" cm="1">
        <f t="array" aca="1" ref="B1604" ca="1">interpolexp(A1604,serie_du,Taxas_DI)</f>
        <v>0.13028426720629316</v>
      </c>
      <c r="C1604" s="32">
        <f ca="1">((((1+B1604)^(A1604/252))/((1+B1603)^(A1603/252)))^(252/1))-1</f>
        <v>0.12519946354262035</v>
      </c>
      <c r="D1604" s="30">
        <v>0.13028426720629316</v>
      </c>
      <c r="E1604" s="31">
        <f ca="1">B1604-D1604</f>
        <v>0</v>
      </c>
    </row>
    <row r="1605" spans="1:5" x14ac:dyDescent="0.25">
      <c r="A1605" s="21">
        <v>1604</v>
      </c>
      <c r="B1605" s="5" cm="1">
        <f t="array" aca="1" ref="B1605" ca="1">interpolexp(A1605,serie_du,Taxas_DI)</f>
        <v>0.13028108997275023</v>
      </c>
      <c r="C1605" s="32">
        <f ca="1">((((1+B1605)^(A1605/252))/((1+B1604)^(A1604/252)))^(252/1))-1</f>
        <v>0.12519944941233851</v>
      </c>
      <c r="D1605" s="30">
        <v>0.13028108997275023</v>
      </c>
      <c r="E1605" s="31">
        <f ca="1">B1605-D1605</f>
        <v>0</v>
      </c>
    </row>
    <row r="1606" spans="1:5" x14ac:dyDescent="0.25">
      <c r="A1606" s="21">
        <v>1605</v>
      </c>
      <c r="B1606" s="5" cm="1">
        <f t="array" aca="1" ref="B1606" ca="1">interpolexp(A1606,serie_du,Taxas_DI)</f>
        <v>0.13027791669850686</v>
      </c>
      <c r="C1606" s="32">
        <f ca="1">((((1+B1606)^(A1606/252))/((1+B1605)^(A1605/252)))^(252/1))-1</f>
        <v>0.12519943537657041</v>
      </c>
      <c r="D1606" s="30">
        <v>0.13027791669850686</v>
      </c>
      <c r="E1606" s="31">
        <f ca="1">B1606-D1606</f>
        <v>0</v>
      </c>
    </row>
    <row r="1607" spans="1:5" x14ac:dyDescent="0.25">
      <c r="A1607" s="21">
        <v>1606</v>
      </c>
      <c r="B1607" s="5" cm="1">
        <f t="array" aca="1" ref="B1607" ca="1">interpolexp(A1607,serie_du,Taxas_DI)</f>
        <v>0.13027474737610234</v>
      </c>
      <c r="C1607" s="32">
        <f ca="1">((((1+B1607)^(A1607/252))/((1+B1606)^(A1606/252)))^(252/1))-1</f>
        <v>0.1251994212638341</v>
      </c>
      <c r="D1607" s="30">
        <v>0.13027474737610234</v>
      </c>
      <c r="E1607" s="31">
        <f ca="1">B1607-D1607</f>
        <v>0</v>
      </c>
    </row>
    <row r="1608" spans="1:5" x14ac:dyDescent="0.25">
      <c r="A1608" s="21">
        <v>1607</v>
      </c>
      <c r="B1608" s="5" cm="1">
        <f t="array" aca="1" ref="B1608" ca="1">interpolexp(A1608,serie_du,Taxas_DI)</f>
        <v>0.13027158199823141</v>
      </c>
      <c r="C1608" s="32">
        <f ca="1">((((1+B1608)^(A1608/252))/((1+B1607)^(A1607/252)))^(252/1))-1</f>
        <v>0.1251994072929441</v>
      </c>
      <c r="D1608" s="30">
        <v>0.13027158199823141</v>
      </c>
      <c r="E1608" s="31">
        <f ca="1">B1608-D1608</f>
        <v>0</v>
      </c>
    </row>
    <row r="1609" spans="1:5" x14ac:dyDescent="0.25">
      <c r="A1609" s="21">
        <v>1608</v>
      </c>
      <c r="B1609" s="5" cm="1">
        <f t="array" aca="1" ref="B1609" ca="1">interpolexp(A1609,serie_du,Taxas_DI)</f>
        <v>0.13026842055747778</v>
      </c>
      <c r="C1609" s="32">
        <f ca="1">((((1+B1609)^(A1609/252))/((1+B1608)^(A1608/252)))^(252/1))-1</f>
        <v>0.12519939325711826</v>
      </c>
      <c r="D1609" s="30">
        <v>0.13026842055747778</v>
      </c>
      <c r="E1609" s="31">
        <f ca="1">B1609-D1609</f>
        <v>0</v>
      </c>
    </row>
    <row r="1610" spans="1:5" x14ac:dyDescent="0.25">
      <c r="A1610" s="21">
        <v>1609</v>
      </c>
      <c r="B1610" s="5" cm="1">
        <f t="array" aca="1" ref="B1610" ca="1">interpolexp(A1610,serie_du,Taxas_DI)</f>
        <v>0.13026526304651398</v>
      </c>
      <c r="C1610" s="32">
        <f ca="1">((((1+B1610)^(A1610/252))/((1+B1609)^(A1609/252)))^(252/1))-1</f>
        <v>0.12519937926899161</v>
      </c>
      <c r="D1610" s="30">
        <v>0.13026526304651398</v>
      </c>
      <c r="E1610" s="31">
        <f ca="1">B1610-D1610</f>
        <v>0</v>
      </c>
    </row>
    <row r="1611" spans="1:5" x14ac:dyDescent="0.25">
      <c r="A1611" s="21">
        <v>1610</v>
      </c>
      <c r="B1611" s="5" cm="1">
        <f t="array" aca="1" ref="B1611" ca="1">interpolexp(A1611,serie_du,Taxas_DI)</f>
        <v>0.13026210945803474</v>
      </c>
      <c r="C1611" s="32">
        <f ca="1">((((1+B1611)^(A1611/252))/((1+B1610)^(A1610/252)))^(252/1))-1</f>
        <v>0.12519936533481135</v>
      </c>
      <c r="D1611" s="30">
        <v>0.13026210945803474</v>
      </c>
      <c r="E1611" s="31">
        <f ca="1">B1611-D1611</f>
        <v>0</v>
      </c>
    </row>
    <row r="1612" spans="1:5" x14ac:dyDescent="0.25">
      <c r="A1612" s="21">
        <v>1611</v>
      </c>
      <c r="B1612" s="5" cm="1">
        <f t="array" aca="1" ref="B1612" ca="1">interpolexp(A1612,serie_du,Taxas_DI)</f>
        <v>0.13025895978471258</v>
      </c>
      <c r="C1612" s="32">
        <f ca="1">((((1+B1612)^(A1612/252))/((1+B1611)^(A1611/252)))^(252/1))-1</f>
        <v>0.12519935138997673</v>
      </c>
      <c r="D1612" s="30">
        <v>0.13025895978471258</v>
      </c>
      <c r="E1612" s="31">
        <f ca="1">B1612-D1612</f>
        <v>0</v>
      </c>
    </row>
    <row r="1613" spans="1:5" x14ac:dyDescent="0.25">
      <c r="A1613" s="21">
        <v>1612</v>
      </c>
      <c r="B1613" s="5" cm="1">
        <f t="array" aca="1" ref="B1613" ca="1">interpolexp(A1613,serie_du,Taxas_DI)</f>
        <v>0.13025581401928665</v>
      </c>
      <c r="C1613" s="32">
        <f ca="1">((((1+B1613)^(A1613/252))/((1+B1612)^(A1612/252)))^(252/1))-1</f>
        <v>0.12519933751198931</v>
      </c>
      <c r="D1613" s="30">
        <v>0.13025581401928665</v>
      </c>
      <c r="E1613" s="31">
        <f ca="1">B1613-D1613</f>
        <v>0</v>
      </c>
    </row>
    <row r="1614" spans="1:5" x14ac:dyDescent="0.25">
      <c r="A1614" s="21">
        <v>1613</v>
      </c>
      <c r="B1614" s="5" cm="1">
        <f t="array" aca="1" ref="B1614" ca="1">interpolexp(A1614,serie_du,Taxas_DI)</f>
        <v>0.13025267215447389</v>
      </c>
      <c r="C1614" s="32">
        <f ca="1">((((1+B1614)^(A1614/252))/((1+B1613)^(A1613/252)))^(252/1))-1</f>
        <v>0.12519932363637731</v>
      </c>
      <c r="D1614" s="30">
        <v>0.13025267215447389</v>
      </c>
      <c r="E1614" s="31">
        <f ca="1">B1614-D1614</f>
        <v>0</v>
      </c>
    </row>
    <row r="1615" spans="1:5" x14ac:dyDescent="0.25">
      <c r="A1615" s="21">
        <v>1614</v>
      </c>
      <c r="B1615" s="5" cm="1">
        <f t="array" aca="1" ref="B1615" ca="1">interpolexp(A1615,serie_du,Taxas_DI)</f>
        <v>0.13024953418301344</v>
      </c>
      <c r="C1615" s="32">
        <f ca="1">((((1+B1615)^(A1615/252))/((1+B1614)^(A1614/252)))^(252/1))-1</f>
        <v>0.12519930976952787</v>
      </c>
      <c r="D1615" s="30">
        <v>0.13024953418301344</v>
      </c>
      <c r="E1615" s="31">
        <f ca="1">B1615-D1615</f>
        <v>0</v>
      </c>
    </row>
    <row r="1616" spans="1:5" x14ac:dyDescent="0.25">
      <c r="A1616" s="21">
        <v>1615</v>
      </c>
      <c r="B1616" s="5" cm="1">
        <f t="array" aca="1" ref="B1616" ca="1">interpolexp(A1616,serie_du,Taxas_DI)</f>
        <v>0.13024640009768884</v>
      </c>
      <c r="C1616" s="32">
        <f ca="1">((((1+B1616)^(A1616/252))/((1+B1615)^(A1615/252)))^(252/1))-1</f>
        <v>0.12519929595413304</v>
      </c>
      <c r="D1616" s="30">
        <v>0.13024640009768884</v>
      </c>
      <c r="E1616" s="31">
        <f ca="1">B1616-D1616</f>
        <v>0</v>
      </c>
    </row>
    <row r="1617" spans="1:5" x14ac:dyDescent="0.25">
      <c r="A1617" s="21">
        <v>1616</v>
      </c>
      <c r="B1617" s="5" cm="1">
        <f t="array" aca="1" ref="B1617" ca="1">interpolexp(A1617,serie_du,Taxas_DI)</f>
        <v>0.13024326989128365</v>
      </c>
      <c r="C1617" s="32">
        <f ca="1">((((1+B1617)^(A1617/252))/((1+B1616)^(A1616/252)))^(252/1))-1</f>
        <v>0.12519928216115517</v>
      </c>
      <c r="D1617" s="30">
        <v>0.13024326989128365</v>
      </c>
      <c r="E1617" s="31">
        <f ca="1">B1617-D1617</f>
        <v>0</v>
      </c>
    </row>
    <row r="1618" spans="1:5" x14ac:dyDescent="0.25">
      <c r="A1618" s="21">
        <v>1617</v>
      </c>
      <c r="B1618" s="5" cm="1">
        <f t="array" aca="1" ref="B1618" ca="1">interpolexp(A1618,serie_du,Taxas_DI)</f>
        <v>0.13024014355660363</v>
      </c>
      <c r="C1618" s="32">
        <f ca="1">((((1+B1618)^(A1618/252))/((1+B1617)^(A1617/252)))^(252/1))-1</f>
        <v>0.12519926839775675</v>
      </c>
      <c r="D1618" s="30">
        <v>0.13024014355660363</v>
      </c>
      <c r="E1618" s="31">
        <f ca="1">B1618-D1618</f>
        <v>0</v>
      </c>
    </row>
    <row r="1619" spans="1:5" x14ac:dyDescent="0.25">
      <c r="A1619" s="21">
        <v>1618</v>
      </c>
      <c r="B1619" s="5" cm="1">
        <f t="array" aca="1" ref="B1619" ca="1">interpolexp(A1619,serie_du,Taxas_DI)</f>
        <v>0.13023702108645452</v>
      </c>
      <c r="C1619" s="32">
        <f ca="1">((((1+B1619)^(A1619/252))/((1+B1618)^(A1618/252)))^(252/1))-1</f>
        <v>0.12519925463502179</v>
      </c>
      <c r="D1619" s="30">
        <v>0.13023702108645452</v>
      </c>
      <c r="E1619" s="31">
        <f ca="1">B1619-D1619</f>
        <v>0</v>
      </c>
    </row>
    <row r="1620" spans="1:5" x14ac:dyDescent="0.25">
      <c r="A1620" s="21">
        <v>1619</v>
      </c>
      <c r="B1620" s="5" cm="1">
        <f t="array" aca="1" ref="B1620" ca="1">interpolexp(A1620,serie_du,Taxas_DI)</f>
        <v>0.13023390247368649</v>
      </c>
      <c r="C1620" s="32">
        <f ca="1">((((1+B1620)^(A1620/252))/((1+B1619)^(A1619/252)))^(252/1))-1</f>
        <v>0.12519924091590195</v>
      </c>
      <c r="D1620" s="30">
        <v>0.13023390247368649</v>
      </c>
      <c r="E1620" s="31">
        <f ca="1">B1620-D1620</f>
        <v>0</v>
      </c>
    </row>
    <row r="1621" spans="1:5" x14ac:dyDescent="0.25">
      <c r="A1621" s="21">
        <v>1620</v>
      </c>
      <c r="B1621" s="5" cm="1">
        <f t="array" aca="1" ref="B1621" ca="1">interpolexp(A1621,serie_du,Taxas_DI)</f>
        <v>0.13023078771114971</v>
      </c>
      <c r="C1621" s="32">
        <f ca="1">((((1+B1621)^(A1621/252))/((1+B1620)^(A1620/252)))^(252/1))-1</f>
        <v>0.12519922721199928</v>
      </c>
      <c r="D1621" s="30">
        <v>0.13023078771114971</v>
      </c>
      <c r="E1621" s="31">
        <f ca="1">B1621-D1621</f>
        <v>0</v>
      </c>
    </row>
    <row r="1622" spans="1:5" x14ac:dyDescent="0.25">
      <c r="A1622" s="21">
        <v>1621</v>
      </c>
      <c r="B1622" s="5" cm="1">
        <f t="array" aca="1" ref="B1622" ca="1">interpolexp(A1622,serie_du,Taxas_DI)</f>
        <v>0.13022767679173874</v>
      </c>
      <c r="C1622" s="32">
        <f ca="1">((((1+B1622)^(A1622/252))/((1+B1621)^(A1621/252)))^(252/1))-1</f>
        <v>0.12519921356610397</v>
      </c>
      <c r="D1622" s="30">
        <v>0.13022767679173874</v>
      </c>
      <c r="E1622" s="31">
        <f ca="1">B1622-D1622</f>
        <v>0</v>
      </c>
    </row>
    <row r="1623" spans="1:5" x14ac:dyDescent="0.25">
      <c r="A1623" s="21">
        <v>1622</v>
      </c>
      <c r="B1623" s="5" cm="1">
        <f t="array" aca="1" ref="B1623" ca="1">interpolexp(A1623,serie_du,Taxas_DI)</f>
        <v>0.13022456970830376</v>
      </c>
      <c r="C1623" s="32">
        <f ca="1">((((1+B1623)^(A1623/252))/((1+B1622)^(A1622/252)))^(252/1))-1</f>
        <v>0.12519919987851424</v>
      </c>
      <c r="D1623" s="30">
        <v>0.13022456970830376</v>
      </c>
      <c r="E1623" s="31">
        <f ca="1">B1623-D1623</f>
        <v>0</v>
      </c>
    </row>
    <row r="1624" spans="1:5" x14ac:dyDescent="0.25">
      <c r="A1624" s="21">
        <v>1623</v>
      </c>
      <c r="B1624" s="5" cm="1">
        <f t="array" aca="1" ref="B1624" ca="1">interpolexp(A1624,serie_du,Taxas_DI)</f>
        <v>0.13022146645380595</v>
      </c>
      <c r="C1624" s="32">
        <f ca="1">((((1+B1624)^(A1624/252))/((1+B1623)^(A1623/252)))^(252/1))-1</f>
        <v>0.12519918629977678</v>
      </c>
      <c r="D1624" s="30">
        <v>0.13022146645380595</v>
      </c>
      <c r="E1624" s="31">
        <f ca="1">B1624-D1624</f>
        <v>0</v>
      </c>
    </row>
    <row r="1625" spans="1:5" x14ac:dyDescent="0.25">
      <c r="A1625" s="21">
        <v>1624</v>
      </c>
      <c r="B1625" s="5" cm="1">
        <f t="array" aca="1" ref="B1625" ca="1">interpolexp(A1625,serie_du,Taxas_DI)</f>
        <v>0.13021836702113987</v>
      </c>
      <c r="C1625" s="32">
        <f ca="1">((((1+B1625)^(A1625/252))/((1+B1624)^(A1624/252)))^(252/1))-1</f>
        <v>0.1251991726942514</v>
      </c>
      <c r="D1625" s="30">
        <v>0.13021836702113987</v>
      </c>
      <c r="E1625" s="31">
        <f ca="1">B1625-D1625</f>
        <v>0</v>
      </c>
    </row>
    <row r="1626" spans="1:5" x14ac:dyDescent="0.25">
      <c r="A1626" s="21">
        <v>1625</v>
      </c>
      <c r="B1626" s="5" cm="1">
        <f t="array" aca="1" ref="B1626" ca="1">interpolexp(A1626,serie_du,Taxas_DI)</f>
        <v>0.13021527140324451</v>
      </c>
      <c r="C1626" s="32">
        <f ca="1">((((1+B1626)^(A1626/252))/((1+B1625)^(A1625/252)))^(252/1))-1</f>
        <v>0.12519915910556256</v>
      </c>
      <c r="D1626" s="30">
        <v>0.13021527140324451</v>
      </c>
      <c r="E1626" s="31">
        <f ca="1">B1626-D1626</f>
        <v>0</v>
      </c>
    </row>
    <row r="1627" spans="1:5" x14ac:dyDescent="0.25">
      <c r="A1627" s="21">
        <v>1626</v>
      </c>
      <c r="B1627" s="5" cm="1">
        <f t="array" aca="1" ref="B1627" ca="1">interpolexp(A1627,serie_du,Taxas_DI)</f>
        <v>0.13021217959310327</v>
      </c>
      <c r="C1627" s="32">
        <f ca="1">((((1+B1627)^(A1627/252))/((1+B1626)^(A1626/252)))^(252/1))-1</f>
        <v>0.12519914557715794</v>
      </c>
      <c r="D1627" s="30">
        <v>0.13021217959310327</v>
      </c>
      <c r="E1627" s="31">
        <f ca="1">B1627-D1627</f>
        <v>0</v>
      </c>
    </row>
    <row r="1628" spans="1:5" x14ac:dyDescent="0.25">
      <c r="A1628" s="21">
        <v>1627</v>
      </c>
      <c r="B1628" s="5" cm="1">
        <f t="array" aca="1" ref="B1628" ca="1">interpolexp(A1628,serie_du,Taxas_DI)</f>
        <v>0.13020909158367733</v>
      </c>
      <c r="C1628" s="32">
        <f ca="1">((((1+B1628)^(A1628/252))/((1+B1627)^(A1627/252)))^(252/1))-1</f>
        <v>0.12519913204530209</v>
      </c>
      <c r="D1628" s="30">
        <v>0.13020909158367733</v>
      </c>
      <c r="E1628" s="31">
        <f ca="1">B1628-D1628</f>
        <v>0</v>
      </c>
    </row>
    <row r="1629" spans="1:5" x14ac:dyDescent="0.25">
      <c r="A1629" s="21">
        <v>1628</v>
      </c>
      <c r="B1629" s="5" cm="1">
        <f t="array" aca="1" ref="B1629" ca="1">interpolexp(A1629,serie_du,Taxas_DI)</f>
        <v>0.13020600736797228</v>
      </c>
      <c r="C1629" s="32">
        <f ca="1">((((1+B1629)^(A1629/252))/((1+B1628)^(A1628/252)))^(252/1))-1</f>
        <v>0.12519911855364385</v>
      </c>
      <c r="D1629" s="30">
        <v>0.13020600736797228</v>
      </c>
      <c r="E1629" s="31">
        <f ca="1">B1629-D1629</f>
        <v>0</v>
      </c>
    </row>
    <row r="1630" spans="1:5" x14ac:dyDescent="0.25">
      <c r="A1630" s="21">
        <v>1629</v>
      </c>
      <c r="B1630" s="5" cm="1">
        <f t="array" aca="1" ref="B1630" ca="1">interpolexp(A1630,serie_du,Taxas_DI)</f>
        <v>0.13020292693901592</v>
      </c>
      <c r="C1630" s="32">
        <f ca="1">((((1+B1630)^(A1630/252))/((1+B1629)^(A1629/252)))^(252/1))-1</f>
        <v>0.12519910511038002</v>
      </c>
      <c r="D1630" s="30">
        <v>0.13020292693901592</v>
      </c>
      <c r="E1630" s="31">
        <f ca="1">B1630-D1630</f>
        <v>0</v>
      </c>
    </row>
    <row r="1631" spans="1:5" x14ac:dyDescent="0.25">
      <c r="A1631" s="21">
        <v>1630</v>
      </c>
      <c r="B1631" s="5" cm="1">
        <f t="array" aca="1" ref="B1631" ca="1">interpolexp(A1631,serie_du,Taxas_DI)</f>
        <v>0.13019985028979164</v>
      </c>
      <c r="C1631" s="32">
        <f ca="1">((((1+B1631)^(A1631/252))/((1+B1630)^(A1630/252)))^(252/1))-1</f>
        <v>0.12519909161568665</v>
      </c>
      <c r="D1631" s="30">
        <v>0.13019985028979164</v>
      </c>
      <c r="E1631" s="31">
        <f ca="1">B1631-D1631</f>
        <v>0</v>
      </c>
    </row>
    <row r="1632" spans="1:5" x14ac:dyDescent="0.25">
      <c r="A1632" s="21">
        <v>1631</v>
      </c>
      <c r="B1632" s="5" cm="1">
        <f t="array" aca="1" ref="B1632" ca="1">interpolexp(A1632,serie_du,Taxas_DI)</f>
        <v>0.13019677741339386</v>
      </c>
      <c r="C1632" s="32">
        <f ca="1">((((1+B1632)^(A1632/252))/((1+B1631)^(A1631/252)))^(252/1))-1</f>
        <v>0.12519907822183396</v>
      </c>
      <c r="D1632" s="30">
        <v>0.13019677741339386</v>
      </c>
      <c r="E1632" s="31">
        <f ca="1">B1632-D1632</f>
        <v>0</v>
      </c>
    </row>
    <row r="1633" spans="1:5" x14ac:dyDescent="0.25">
      <c r="A1633" s="21">
        <v>1632</v>
      </c>
      <c r="B1633" s="5" cm="1">
        <f t="array" aca="1" ref="B1633" ca="1">interpolexp(A1633,serie_du,Taxas_DI)</f>
        <v>0.13019370830287258</v>
      </c>
      <c r="C1633" s="32">
        <f ca="1">((((1+B1633)^(A1633/252))/((1+B1632)^(A1632/252)))^(252/1))-1</f>
        <v>0.12519906482896204</v>
      </c>
      <c r="D1633" s="30">
        <v>0.13019370830287258</v>
      </c>
      <c r="E1633" s="31">
        <f ca="1">B1633-D1633</f>
        <v>0</v>
      </c>
    </row>
    <row r="1634" spans="1:5" x14ac:dyDescent="0.25">
      <c r="A1634" s="21">
        <v>1633</v>
      </c>
      <c r="B1634" s="5" cm="1">
        <f t="array" aca="1" ref="B1634" ca="1">interpolexp(A1634,serie_du,Taxas_DI)</f>
        <v>0.13019064295130001</v>
      </c>
      <c r="C1634" s="32">
        <f ca="1">((((1+B1634)^(A1634/252))/((1+B1633)^(A1633/252)))^(252/1))-1</f>
        <v>0.12519905144549082</v>
      </c>
      <c r="D1634" s="30">
        <v>0.13019064295130001</v>
      </c>
      <c r="E1634" s="31">
        <f ca="1">B1634-D1634</f>
        <v>0</v>
      </c>
    </row>
    <row r="1635" spans="1:5" x14ac:dyDescent="0.25">
      <c r="A1635" s="21">
        <v>1634</v>
      </c>
      <c r="B1635" s="5" cm="1">
        <f t="array" aca="1" ref="B1635" ca="1">interpolexp(A1635,serie_du,Taxas_DI)</f>
        <v>0.13018758135179276</v>
      </c>
      <c r="C1635" s="32">
        <f ca="1">((((1+B1635)^(A1635/252))/((1+B1634)^(A1634/252)))^(252/1))-1</f>
        <v>0.12519903811614586</v>
      </c>
      <c r="D1635" s="30">
        <v>0.13018758135179276</v>
      </c>
      <c r="E1635" s="31">
        <f ca="1">B1635-D1635</f>
        <v>0</v>
      </c>
    </row>
    <row r="1636" spans="1:5" x14ac:dyDescent="0.25">
      <c r="A1636" s="21">
        <v>1635</v>
      </c>
      <c r="B1636" s="5" cm="1">
        <f t="array" aca="1" ref="B1636" ca="1">interpolexp(A1636,serie_du,Taxas_DI)</f>
        <v>0.13018452349744525</v>
      </c>
      <c r="C1636" s="32">
        <f ca="1">((((1+B1636)^(A1636/252))/((1+B1635)^(A1635/252)))^(252/1))-1</f>
        <v>0.12519902477720279</v>
      </c>
      <c r="D1636" s="30">
        <v>0.13018452349744525</v>
      </c>
      <c r="E1636" s="31">
        <f ca="1">B1636-D1636</f>
        <v>0</v>
      </c>
    </row>
    <row r="1637" spans="1:5" x14ac:dyDescent="0.25">
      <c r="A1637" s="21">
        <v>1636</v>
      </c>
      <c r="B1637" s="5" cm="1">
        <f t="array" aca="1" ref="B1637" ca="1">interpolexp(A1637,serie_du,Taxas_DI)</f>
        <v>0.1301814693813963</v>
      </c>
      <c r="C1637" s="32">
        <f ca="1">((((1+B1637)^(A1637/252))/((1+B1636)^(A1636/252)))^(252/1))-1</f>
        <v>0.12519901147340096</v>
      </c>
      <c r="D1637" s="30">
        <v>0.1301814693813963</v>
      </c>
      <c r="E1637" s="31">
        <f ca="1">B1637-D1637</f>
        <v>0</v>
      </c>
    </row>
    <row r="1638" spans="1:5" x14ac:dyDescent="0.25">
      <c r="A1638" s="21">
        <v>1637</v>
      </c>
      <c r="B1638" s="5" cm="1">
        <f t="array" aca="1" ref="B1638" ca="1">interpolexp(A1638,serie_du,Taxas_DI)</f>
        <v>0.13017841899680693</v>
      </c>
      <c r="C1638" s="32">
        <f ca="1">((((1+B1638)^(A1638/252))/((1+B1637)^(A1637/252)))^(252/1))-1</f>
        <v>0.12519899821358482</v>
      </c>
      <c r="D1638" s="30">
        <v>0.13017841899680693</v>
      </c>
      <c r="E1638" s="31">
        <f ca="1">B1638-D1638</f>
        <v>0</v>
      </c>
    </row>
    <row r="1639" spans="1:5" x14ac:dyDescent="0.25">
      <c r="A1639" s="21">
        <v>1638</v>
      </c>
      <c r="B1639" s="5" cm="1">
        <f t="array" aca="1" ref="B1639" ca="1">interpolexp(A1639,serie_du,Taxas_DI)</f>
        <v>0.13017537233681598</v>
      </c>
      <c r="C1639" s="32">
        <f ca="1">((((1+B1639)^(A1639/252))/((1+B1638)^(A1638/252)))^(252/1))-1</f>
        <v>0.12519898493434289</v>
      </c>
      <c r="D1639" s="30">
        <v>0.13017537233681598</v>
      </c>
      <c r="E1639" s="31">
        <f ca="1">B1639-D1639</f>
        <v>0</v>
      </c>
    </row>
    <row r="1640" spans="1:5" x14ac:dyDescent="0.25">
      <c r="A1640" s="21">
        <v>1639</v>
      </c>
      <c r="B1640" s="5" cm="1">
        <f t="array" aca="1" ref="B1640" ca="1">interpolexp(A1640,serie_du,Taxas_DI)</f>
        <v>0.13017232939465107</v>
      </c>
      <c r="C1640" s="32">
        <f ca="1">((((1+B1640)^(A1640/252))/((1+B1639)^(A1639/252)))^(252/1))-1</f>
        <v>0.12519897175297223</v>
      </c>
      <c r="D1640" s="30">
        <v>0.13017232939465107</v>
      </c>
      <c r="E1640" s="31">
        <f ca="1">B1640-D1640</f>
        <v>0</v>
      </c>
    </row>
    <row r="1641" spans="1:5" x14ac:dyDescent="0.25">
      <c r="A1641" s="21">
        <v>1640</v>
      </c>
      <c r="B1641" s="5" cm="1">
        <f t="array" aca="1" ref="B1641" ca="1">interpolexp(A1641,serie_du,Taxas_DI)</f>
        <v>0.13016929016345102</v>
      </c>
      <c r="C1641" s="32">
        <f ca="1">((((1+B1641)^(A1641/252))/((1+B1640)^(A1640/252)))^(252/1))-1</f>
        <v>0.1251989584976918</v>
      </c>
      <c r="D1641" s="30">
        <v>0.13016929016345102</v>
      </c>
      <c r="E1641" s="31">
        <f ca="1">B1641-D1641</f>
        <v>0</v>
      </c>
    </row>
    <row r="1642" spans="1:5" x14ac:dyDescent="0.25">
      <c r="A1642" s="21">
        <v>1641</v>
      </c>
      <c r="B1642" s="5" cm="1">
        <f t="array" aca="1" ref="B1642" ca="1">interpolexp(A1642,serie_du,Taxas_DI)</f>
        <v>0.1301662546364879</v>
      </c>
      <c r="C1642" s="32">
        <f ca="1">((((1+B1642)^(A1642/252))/((1+B1641)^(A1641/252)))^(252/1))-1</f>
        <v>0.125198945358725</v>
      </c>
      <c r="D1642" s="30">
        <v>0.1301662546364879</v>
      </c>
      <c r="E1642" s="31">
        <f ca="1">B1642-D1642</f>
        <v>0</v>
      </c>
    </row>
    <row r="1643" spans="1:5" x14ac:dyDescent="0.25">
      <c r="A1643" s="21">
        <v>1642</v>
      </c>
      <c r="B1643" s="5" cm="1">
        <f t="array" aca="1" ref="B1643" ca="1">interpolexp(A1643,serie_du,Taxas_DI)</f>
        <v>0.13016322280696713</v>
      </c>
      <c r="C1643" s="32">
        <f ca="1">((((1+B1643)^(A1643/252))/((1+B1642)^(A1642/252)))^(252/1))-1</f>
        <v>0.12519893220009481</v>
      </c>
      <c r="D1643" s="30">
        <v>0.13016322280696713</v>
      </c>
      <c r="E1643" s="31">
        <f ca="1">B1643-D1643</f>
        <v>0</v>
      </c>
    </row>
    <row r="1644" spans="1:5" x14ac:dyDescent="0.25">
      <c r="A1644" s="21">
        <v>1643</v>
      </c>
      <c r="B1644" s="5" cm="1">
        <f t="array" aca="1" ref="B1644" ca="1">interpolexp(A1644,serie_du,Taxas_DI)</f>
        <v>0.13016019466813855</v>
      </c>
      <c r="C1644" s="32">
        <f ca="1">((((1+B1644)^(A1644/252))/((1+B1643)^(A1643/252)))^(252/1))-1</f>
        <v>0.1251989190676368</v>
      </c>
      <c r="D1644" s="30">
        <v>0.13016019466813855</v>
      </c>
      <c r="E1644" s="31">
        <f ca="1">B1644-D1644</f>
        <v>0</v>
      </c>
    </row>
    <row r="1645" spans="1:5" x14ac:dyDescent="0.25">
      <c r="A1645" s="21">
        <v>1644</v>
      </c>
      <c r="B1645" s="5" cm="1">
        <f t="array" aca="1" ref="B1645" ca="1">interpolexp(A1645,serie_du,Taxas_DI)</f>
        <v>0.13015717021325202</v>
      </c>
      <c r="C1645" s="32">
        <f ca="1">((((1+B1645)^(A1645/252))/((1+B1644)^(A1644/252)))^(252/1))-1</f>
        <v>0.12519890593426486</v>
      </c>
      <c r="D1645" s="30">
        <v>0.13015717021325202</v>
      </c>
      <c r="E1645" s="31">
        <f ca="1">B1645-D1645</f>
        <v>0</v>
      </c>
    </row>
    <row r="1646" spans="1:5" x14ac:dyDescent="0.25">
      <c r="A1646" s="21">
        <v>1645</v>
      </c>
      <c r="B1646" s="5" cm="1">
        <f t="array" aca="1" ref="B1646" ca="1">interpolexp(A1646,serie_du,Taxas_DI)</f>
        <v>0.13015414943562398</v>
      </c>
      <c r="C1646" s="32">
        <f ca="1">((((1+B1646)^(A1646/252))/((1+B1645)^(A1645/252)))^(252/1))-1</f>
        <v>0.12519889288211816</v>
      </c>
      <c r="D1646" s="30">
        <v>0.13015414943562398</v>
      </c>
      <c r="E1646" s="31">
        <f ca="1">B1646-D1646</f>
        <v>0</v>
      </c>
    </row>
    <row r="1647" spans="1:5" x14ac:dyDescent="0.25">
      <c r="A1647" s="21">
        <v>1646</v>
      </c>
      <c r="B1647" s="5" cm="1">
        <f t="array" aca="1" ref="B1647" ca="1">interpolexp(A1647,serie_du,Taxas_DI)</f>
        <v>0.13015113232852649</v>
      </c>
      <c r="C1647" s="32">
        <f ca="1">((((1+B1647)^(A1647/252))/((1+B1646)^(A1646/252)))^(252/1))-1</f>
        <v>0.12519887981178024</v>
      </c>
      <c r="D1647" s="30">
        <v>0.13015113232852649</v>
      </c>
      <c r="E1647" s="31">
        <f ca="1">B1647-D1647</f>
        <v>0</v>
      </c>
    </row>
    <row r="1648" spans="1:5" x14ac:dyDescent="0.25">
      <c r="A1648" s="21">
        <v>1647</v>
      </c>
      <c r="B1648" s="5" cm="1">
        <f t="array" aca="1" ref="B1648" ca="1">interpolexp(A1648,serie_du,Taxas_DI)</f>
        <v>0.1301481188852982</v>
      </c>
      <c r="C1648" s="32">
        <f ca="1">((((1+B1648)^(A1648/252))/((1+B1647)^(A1647/252)))^(252/1))-1</f>
        <v>0.12519886680559011</v>
      </c>
      <c r="D1648" s="30">
        <v>0.1301481188852982</v>
      </c>
      <c r="E1648" s="31">
        <f ca="1">B1648-D1648</f>
        <v>0</v>
      </c>
    </row>
    <row r="1649" spans="1:5" x14ac:dyDescent="0.25">
      <c r="A1649" s="21">
        <v>1648</v>
      </c>
      <c r="B1649" s="5" cm="1">
        <f t="array" aca="1" ref="B1649" ca="1">interpolexp(A1649,serie_du,Taxas_DI)</f>
        <v>0.13014510909923338</v>
      </c>
      <c r="C1649" s="32">
        <f ca="1">((((1+B1649)^(A1649/252))/((1+B1648)^(A1648/252)))^(252/1))-1</f>
        <v>0.12519885376414197</v>
      </c>
      <c r="D1649" s="30">
        <v>0.13014510909923338</v>
      </c>
      <c r="E1649" s="31">
        <f ca="1">B1649-D1649</f>
        <v>0</v>
      </c>
    </row>
    <row r="1650" spans="1:5" x14ac:dyDescent="0.25">
      <c r="A1650" s="21">
        <v>1649</v>
      </c>
      <c r="B1650" s="5" cm="1">
        <f t="array" aca="1" ref="B1650" ca="1">interpolexp(A1650,serie_du,Taxas_DI)</f>
        <v>0.13014210296369288</v>
      </c>
      <c r="C1650" s="32">
        <f ca="1">((((1+B1650)^(A1650/252))/((1+B1649)^(A1649/252)))^(252/1))-1</f>
        <v>0.12519884076999999</v>
      </c>
      <c r="D1650" s="30">
        <v>0.13014210296369288</v>
      </c>
      <c r="E1650" s="31">
        <f ca="1">B1650-D1650</f>
        <v>0</v>
      </c>
    </row>
    <row r="1651" spans="1:5" x14ac:dyDescent="0.25">
      <c r="A1651" s="21">
        <v>1650</v>
      </c>
      <c r="B1651" s="5" cm="1">
        <f t="array" aca="1" ref="B1651" ca="1">interpolexp(A1651,serie_du,Taxas_DI)</f>
        <v>0.13013910047205979</v>
      </c>
      <c r="C1651" s="32">
        <f ca="1">((((1+B1651)^(A1651/252))/((1+B1650)^(A1650/252)))^(252/1))-1</f>
        <v>0.12519882783330361</v>
      </c>
      <c r="D1651" s="30">
        <v>0.13013910047205979</v>
      </c>
      <c r="E1651" s="31">
        <f ca="1">B1651-D1651</f>
        <v>0</v>
      </c>
    </row>
    <row r="1652" spans="1:5" x14ac:dyDescent="0.25">
      <c r="A1652" s="21">
        <v>1651</v>
      </c>
      <c r="B1652" s="5" cm="1">
        <f t="array" aca="1" ref="B1652" ca="1">interpolexp(A1652,serie_du,Taxas_DI)</f>
        <v>0.13013610161767275</v>
      </c>
      <c r="C1652" s="32">
        <f ca="1">((((1+B1652)^(A1652/252))/((1+B1651)^(A1651/252)))^(252/1))-1</f>
        <v>0.12519881485428841</v>
      </c>
      <c r="D1652" s="30">
        <v>0.13013610161767275</v>
      </c>
      <c r="E1652" s="31">
        <f ca="1">B1652-D1652</f>
        <v>0</v>
      </c>
    </row>
    <row r="1653" spans="1:5" x14ac:dyDescent="0.25">
      <c r="A1653" s="21">
        <v>1652</v>
      </c>
      <c r="B1653" s="5" cm="1">
        <f t="array" aca="1" ref="B1653" ca="1">interpolexp(A1653,serie_du,Taxas_DI)</f>
        <v>0.13013310639398146</v>
      </c>
      <c r="C1653" s="32">
        <f ca="1">((((1+B1653)^(A1653/252))/((1+B1652)^(A1652/252)))^(252/1))-1</f>
        <v>0.1251988019893544</v>
      </c>
      <c r="D1653" s="30">
        <v>0.13013310639398146</v>
      </c>
      <c r="E1653" s="31">
        <f ca="1">B1653-D1653</f>
        <v>0</v>
      </c>
    </row>
    <row r="1654" spans="1:5" x14ac:dyDescent="0.25">
      <c r="A1654" s="21">
        <v>1653</v>
      </c>
      <c r="B1654" s="5" cm="1">
        <f t="array" aca="1" ref="B1654" ca="1">interpolexp(A1654,serie_du,Taxas_DI)</f>
        <v>0.13013011479434677</v>
      </c>
      <c r="C1654" s="32">
        <f ca="1">((((1+B1654)^(A1654/252))/((1+B1653)^(A1653/252)))^(252/1))-1</f>
        <v>0.12519878906597692</v>
      </c>
      <c r="D1654" s="30">
        <v>0.13013011479434677</v>
      </c>
      <c r="E1654" s="31">
        <f ca="1">B1654-D1654</f>
        <v>0</v>
      </c>
    </row>
    <row r="1655" spans="1:5" x14ac:dyDescent="0.25">
      <c r="A1655" s="21">
        <v>1654</v>
      </c>
      <c r="B1655" s="5" cm="1">
        <f t="array" aca="1" ref="B1655" ca="1">interpolexp(A1655,serie_du,Taxas_DI)</f>
        <v>0.13012712681219618</v>
      </c>
      <c r="C1655" s="32">
        <f ca="1">((((1+B1655)^(A1655/252))/((1+B1654)^(A1654/252)))^(252/1))-1</f>
        <v>0.12519877616745445</v>
      </c>
      <c r="D1655" s="30">
        <v>0.13012712681219618</v>
      </c>
      <c r="E1655" s="31">
        <f ca="1">B1655-D1655</f>
        <v>0</v>
      </c>
    </row>
    <row r="1656" spans="1:5" x14ac:dyDescent="0.25">
      <c r="A1656" s="21">
        <v>1655</v>
      </c>
      <c r="B1656" s="5" cm="1">
        <f t="array" aca="1" ref="B1656" ca="1">interpolexp(A1656,serie_du,Taxas_DI)</f>
        <v>0.13012414244100157</v>
      </c>
      <c r="C1656" s="32">
        <f ca="1">((((1+B1656)^(A1656/252))/((1+B1655)^(A1655/252)))^(252/1))-1</f>
        <v>0.1251987633405367</v>
      </c>
      <c r="D1656" s="30">
        <v>0.13012414244100157</v>
      </c>
      <c r="E1656" s="31">
        <f ca="1">B1656-D1656</f>
        <v>0</v>
      </c>
    </row>
    <row r="1657" spans="1:5" x14ac:dyDescent="0.25">
      <c r="A1657" s="21">
        <v>1656</v>
      </c>
      <c r="B1657" s="5" cm="1">
        <f t="array" aca="1" ref="B1657" ca="1">interpolexp(A1657,serie_du,Taxas_DI)</f>
        <v>0.13012116167421262</v>
      </c>
      <c r="C1657" s="32">
        <f ca="1">((((1+B1657)^(A1657/252))/((1+B1656)^(A1656/252)))^(252/1))-1</f>
        <v>0.12519875052282625</v>
      </c>
      <c r="D1657" s="30">
        <v>0.13012116167421262</v>
      </c>
      <c r="E1657" s="31">
        <f ca="1">B1657-D1657</f>
        <v>0</v>
      </c>
    </row>
    <row r="1658" spans="1:5" x14ac:dyDescent="0.25">
      <c r="A1658" s="21">
        <v>1657</v>
      </c>
      <c r="B1658" s="5" cm="1">
        <f t="array" aca="1" ref="B1658" ca="1">interpolexp(A1658,serie_du,Taxas_DI)</f>
        <v>0.13011818450530122</v>
      </c>
      <c r="C1658" s="32">
        <f ca="1">((((1+B1658)^(A1658/252))/((1+B1657)^(A1657/252)))^(252/1))-1</f>
        <v>0.12519873772460643</v>
      </c>
      <c r="D1658" s="30">
        <v>0.13011818450530122</v>
      </c>
      <c r="E1658" s="31">
        <f ca="1">B1658-D1658</f>
        <v>0</v>
      </c>
    </row>
    <row r="1659" spans="1:5" x14ac:dyDescent="0.25">
      <c r="A1659" s="21">
        <v>1658</v>
      </c>
      <c r="B1659" s="5" cm="1">
        <f t="array" aca="1" ref="B1659" ca="1">interpolexp(A1659,serie_du,Taxas_DI)</f>
        <v>0.13011521092776146</v>
      </c>
      <c r="C1659" s="32">
        <f ca="1">((((1+B1659)^(A1659/252))/((1+B1658)^(A1658/252)))^(252/1))-1</f>
        <v>0.12519872495659379</v>
      </c>
      <c r="D1659" s="30">
        <v>0.13011521092776146</v>
      </c>
      <c r="E1659" s="31">
        <f ca="1">B1659-D1659</f>
        <v>0</v>
      </c>
    </row>
    <row r="1660" spans="1:5" x14ac:dyDescent="0.25">
      <c r="A1660" s="21">
        <v>1659</v>
      </c>
      <c r="B1660" s="5" cm="1">
        <f t="array" aca="1" ref="B1660" ca="1">interpolexp(A1660,serie_du,Taxas_DI)</f>
        <v>0.13011224093508744</v>
      </c>
      <c r="C1660" s="32">
        <f ca="1">((((1+B1660)^(A1660/252))/((1+B1659)^(A1659/252)))^(252/1))-1</f>
        <v>0.12519871219273648</v>
      </c>
      <c r="D1660" s="30">
        <v>0.13011224093508744</v>
      </c>
      <c r="E1660" s="31">
        <f ca="1">B1660-D1660</f>
        <v>0</v>
      </c>
    </row>
    <row r="1661" spans="1:5" x14ac:dyDescent="0.25">
      <c r="A1661" s="21">
        <v>1660</v>
      </c>
      <c r="B1661" s="5" cm="1">
        <f t="array" aca="1" ref="B1661" ca="1">interpolexp(A1661,serie_du,Taxas_DI)</f>
        <v>0.13010927452079546</v>
      </c>
      <c r="C1661" s="32">
        <f ca="1">((((1+B1661)^(A1661/252))/((1+B1660)^(A1660/252)))^(252/1))-1</f>
        <v>0.12519869944392426</v>
      </c>
      <c r="D1661" s="30">
        <v>0.13010927452079546</v>
      </c>
      <c r="E1661" s="31">
        <f ca="1">B1661-D1661</f>
        <v>0</v>
      </c>
    </row>
    <row r="1662" spans="1:5" x14ac:dyDescent="0.25">
      <c r="A1662" s="21">
        <v>1661</v>
      </c>
      <c r="B1662" s="5" cm="1">
        <f t="array" aca="1" ref="B1662" ca="1">interpolexp(A1662,serie_du,Taxas_DI)</f>
        <v>0.13010631167844622</v>
      </c>
      <c r="C1662" s="32">
        <f ca="1">((((1+B1662)^(A1662/252))/((1+B1661)^(A1661/252)))^(252/1))-1</f>
        <v>0.12519868675755674</v>
      </c>
      <c r="D1662" s="30">
        <v>0.13010631167844622</v>
      </c>
      <c r="E1662" s="31">
        <f ca="1">B1662-D1662</f>
        <v>0</v>
      </c>
    </row>
    <row r="1663" spans="1:5" x14ac:dyDescent="0.25">
      <c r="A1663" s="21">
        <v>1662</v>
      </c>
      <c r="B1663" s="5" cm="1">
        <f t="array" aca="1" ref="B1663" ca="1">interpolexp(A1663,serie_du,Taxas_DI)</f>
        <v>0.13010335240157822</v>
      </c>
      <c r="C1663" s="32">
        <f ca="1">((((1+B1663)^(A1663/252))/((1+B1662)^(A1662/252)))^(252/1))-1</f>
        <v>0.12519867407123542</v>
      </c>
      <c r="D1663" s="30">
        <v>0.13010335240157822</v>
      </c>
      <c r="E1663" s="31">
        <f ca="1">B1663-D1663</f>
        <v>0</v>
      </c>
    </row>
    <row r="1664" spans="1:5" x14ac:dyDescent="0.25">
      <c r="A1664" s="21">
        <v>1663</v>
      </c>
      <c r="B1664" s="5" cm="1">
        <f t="array" aca="1" ref="B1664" ca="1">interpolexp(A1664,serie_du,Taxas_DI)</f>
        <v>0.13010039668375217</v>
      </c>
      <c r="C1664" s="32">
        <f ca="1">((((1+B1664)^(A1664/252))/((1+B1663)^(A1663/252)))^(252/1))-1</f>
        <v>0.1251986613959164</v>
      </c>
      <c r="D1664" s="30">
        <v>0.13010039668375217</v>
      </c>
      <c r="E1664" s="31">
        <f ca="1">B1664-D1664</f>
        <v>0</v>
      </c>
    </row>
    <row r="1665" spans="1:5" x14ac:dyDescent="0.25">
      <c r="A1665" s="21">
        <v>1664</v>
      </c>
      <c r="B1665" s="5" cm="1">
        <f t="array" aca="1" ref="B1665" ca="1">interpolexp(A1665,serie_du,Taxas_DI)</f>
        <v>0.13009744451857319</v>
      </c>
      <c r="C1665" s="32">
        <f ca="1">((((1+B1665)^(A1665/252))/((1+B1664)^(A1664/252)))^(252/1))-1</f>
        <v>0.12519864877958975</v>
      </c>
      <c r="D1665" s="30">
        <v>0.13009744451857319</v>
      </c>
      <c r="E1665" s="31">
        <f ca="1">B1665-D1665</f>
        <v>0</v>
      </c>
    </row>
    <row r="1666" spans="1:5" x14ac:dyDescent="0.25">
      <c r="A1666" s="21">
        <v>1665</v>
      </c>
      <c r="B1666" s="5" cm="1">
        <f t="array" aca="1" ref="B1666" ca="1">interpolexp(A1666,serie_du,Taxas_DI)</f>
        <v>0.13009449589960198</v>
      </c>
      <c r="C1666" s="32">
        <f ca="1">((((1+B1666)^(A1666/252))/((1+B1665)^(A1665/252)))^(252/1))-1</f>
        <v>0.12519863612289406</v>
      </c>
      <c r="D1666" s="30">
        <v>0.13009449589960198</v>
      </c>
      <c r="E1666" s="31">
        <f ca="1">B1666-D1666</f>
        <v>0</v>
      </c>
    </row>
    <row r="1667" spans="1:5" x14ac:dyDescent="0.25">
      <c r="A1667" s="21">
        <v>1666</v>
      </c>
      <c r="B1667" s="5" cm="1">
        <f t="array" aca="1" ref="B1667" ca="1">interpolexp(A1667,serie_du,Taxas_DI)</f>
        <v>0.13009155082048807</v>
      </c>
      <c r="C1667" s="32">
        <f ca="1">((((1+B1667)^(A1667/252))/((1+B1666)^(A1666/252)))^(252/1))-1</f>
        <v>0.12519862354777533</v>
      </c>
      <c r="D1667" s="30">
        <v>0.13009155082048807</v>
      </c>
      <c r="E1667" s="31">
        <f ca="1">B1667-D1667</f>
        <v>0</v>
      </c>
    </row>
    <row r="1668" spans="1:5" x14ac:dyDescent="0.25">
      <c r="A1668" s="21">
        <v>1667</v>
      </c>
      <c r="B1668" s="5" cm="1">
        <f t="array" aca="1" ref="B1668" ca="1">interpolexp(A1668,serie_du,Taxas_DI)</f>
        <v>0.13008860927485877</v>
      </c>
      <c r="C1668" s="32">
        <f ca="1">((((1+B1668)^(A1668/252))/((1+B1667)^(A1667/252)))^(252/1))-1</f>
        <v>0.12519861099166629</v>
      </c>
      <c r="D1668" s="30">
        <v>0.13008860927485877</v>
      </c>
      <c r="E1668" s="31">
        <f ca="1">B1668-D1668</f>
        <v>0</v>
      </c>
    </row>
    <row r="1669" spans="1:5" x14ac:dyDescent="0.25">
      <c r="A1669" s="21">
        <v>1668</v>
      </c>
      <c r="B1669" s="5" cm="1">
        <f t="array" aca="1" ref="B1669" ca="1">interpolexp(A1669,serie_du,Taxas_DI)</f>
        <v>0.13008567125634141</v>
      </c>
      <c r="C1669" s="32">
        <f ca="1">((((1+B1669)^(A1669/252))/((1+B1668)^(A1668/252)))^(252/1))-1</f>
        <v>0.12519859842937198</v>
      </c>
      <c r="D1669" s="30">
        <v>0.13008567125634141</v>
      </c>
      <c r="E1669" s="31">
        <f ca="1">B1669-D1669</f>
        <v>0</v>
      </c>
    </row>
    <row r="1670" spans="1:5" x14ac:dyDescent="0.25">
      <c r="A1670" s="21">
        <v>1669</v>
      </c>
      <c r="B1670" s="5" cm="1">
        <f t="array" aca="1" ref="B1670" ca="1">interpolexp(A1670,serie_du,Taxas_DI)</f>
        <v>0.1300827367585855</v>
      </c>
      <c r="C1670" s="32">
        <f ca="1">((((1+B1670)^(A1670/252))/((1+B1669)^(A1669/252)))^(252/1))-1</f>
        <v>0.12519858587233856</v>
      </c>
      <c r="D1670" s="30">
        <v>0.1300827367585855</v>
      </c>
      <c r="E1670" s="31">
        <f ca="1">B1670-D1670</f>
        <v>0</v>
      </c>
    </row>
    <row r="1671" spans="1:5" x14ac:dyDescent="0.25">
      <c r="A1671" s="21">
        <v>1670</v>
      </c>
      <c r="B1671" s="5" cm="1">
        <f t="array" aca="1" ref="B1671" ca="1">interpolexp(A1671,serie_du,Taxas_DI)</f>
        <v>0.1300798057753072</v>
      </c>
      <c r="C1671" s="32">
        <f ca="1">((((1+B1671)^(A1671/252))/((1+B1670)^(A1670/252)))^(252/1))-1</f>
        <v>0.12519857340595419</v>
      </c>
      <c r="D1671" s="30">
        <v>0.1300798057753072</v>
      </c>
      <c r="E1671" s="31">
        <f ca="1">B1671-D1671</f>
        <v>0</v>
      </c>
    </row>
    <row r="1672" spans="1:5" x14ac:dyDescent="0.25">
      <c r="A1672" s="21">
        <v>1671</v>
      </c>
      <c r="B1672" s="5" cm="1">
        <f t="array" aca="1" ref="B1672" ca="1">interpolexp(A1672,serie_du,Taxas_DI)</f>
        <v>0.13007687830015602</v>
      </c>
      <c r="C1672" s="32">
        <f ca="1">((((1+B1672)^(A1672/252))/((1+B1671)^(A1671/252)))^(252/1))-1</f>
        <v>0.12519856089421944</v>
      </c>
      <c r="D1672" s="30">
        <v>0.13007687830015602</v>
      </c>
      <c r="E1672" s="31">
        <f ca="1">B1672-D1672</f>
        <v>0</v>
      </c>
    </row>
    <row r="1673" spans="1:5" x14ac:dyDescent="0.25">
      <c r="A1673" s="21">
        <v>1672</v>
      </c>
      <c r="B1673" s="5" cm="1">
        <f t="array" aca="1" ref="B1673" ca="1">interpolexp(A1673,serie_du,Taxas_DI)</f>
        <v>0.1300739543268703</v>
      </c>
      <c r="C1673" s="32">
        <f ca="1">((((1+B1673)^(A1673/252))/((1+B1672)^(A1672/252)))^(252/1))-1</f>
        <v>0.12519854845967915</v>
      </c>
      <c r="D1673" s="30">
        <v>0.1300739543268703</v>
      </c>
      <c r="E1673" s="31">
        <f ca="1">B1673-D1673</f>
        <v>0</v>
      </c>
    </row>
    <row r="1674" spans="1:5" x14ac:dyDescent="0.25">
      <c r="A1674" s="21">
        <v>1673</v>
      </c>
      <c r="B1674" s="5" cm="1">
        <f t="array" aca="1" ref="B1674" ca="1">interpolexp(A1674,serie_du,Taxas_DI)</f>
        <v>0.13007103384914398</v>
      </c>
      <c r="C1674" s="32">
        <f ca="1">((((1+B1674)^(A1674/252))/((1+B1673)^(A1673/252)))^(252/1))-1</f>
        <v>0.12519853600356812</v>
      </c>
      <c r="D1674" s="30">
        <v>0.13007103384914398</v>
      </c>
      <c r="E1674" s="31">
        <f ca="1">B1674-D1674</f>
        <v>0</v>
      </c>
    </row>
    <row r="1675" spans="1:5" x14ac:dyDescent="0.25">
      <c r="A1675" s="21">
        <v>1674</v>
      </c>
      <c r="B1675" s="5" cm="1">
        <f t="array" aca="1" ref="B1675" ca="1">interpolexp(A1675,serie_du,Taxas_DI)</f>
        <v>0.1300681168607376</v>
      </c>
      <c r="C1675" s="32">
        <f ca="1">((((1+B1675)^(A1675/252))/((1+B1674)^(A1674/252)))^(252/1))-1</f>
        <v>0.12519852361144079</v>
      </c>
      <c r="D1675" s="30">
        <v>0.1300681168607376</v>
      </c>
      <c r="E1675" s="31">
        <f ca="1">B1675-D1675</f>
        <v>0</v>
      </c>
    </row>
    <row r="1676" spans="1:5" x14ac:dyDescent="0.25">
      <c r="A1676" s="21">
        <v>1675</v>
      </c>
      <c r="B1676" s="5" cm="1">
        <f t="array" aca="1" ref="B1676" ca="1">interpolexp(A1676,serie_du,Taxas_DI)</f>
        <v>0.13006520335536731</v>
      </c>
      <c r="C1676" s="32">
        <f ca="1">((((1+B1676)^(A1676/252))/((1+B1675)^(A1675/252)))^(252/1))-1</f>
        <v>0.12519851118458813</v>
      </c>
      <c r="D1676" s="30">
        <v>0.13006520335536731</v>
      </c>
      <c r="E1676" s="31">
        <f ca="1">B1676-D1676</f>
        <v>0</v>
      </c>
    </row>
    <row r="1677" spans="1:5" x14ac:dyDescent="0.25">
      <c r="A1677" s="21">
        <v>1676</v>
      </c>
      <c r="B1677" s="5" cm="1">
        <f t="array" aca="1" ref="B1677" ca="1">interpolexp(A1677,serie_du,Taxas_DI)</f>
        <v>0.13006229332683805</v>
      </c>
      <c r="C1677" s="32">
        <f ca="1">((((1+B1677)^(A1677/252))/((1+B1676)^(A1676/252)))^(252/1))-1</f>
        <v>0.12519849884597578</v>
      </c>
      <c r="D1677" s="30">
        <v>0.13006229332683805</v>
      </c>
      <c r="E1677" s="31">
        <f ca="1">B1677-D1677</f>
        <v>0</v>
      </c>
    </row>
    <row r="1678" spans="1:5" x14ac:dyDescent="0.25">
      <c r="A1678" s="21">
        <v>1677</v>
      </c>
      <c r="B1678" s="5" cm="1">
        <f t="array" aca="1" ref="B1678" ca="1">interpolexp(A1678,serie_du,Taxas_DI)</f>
        <v>0.13005938676891038</v>
      </c>
      <c r="C1678" s="32">
        <f ca="1">((((1+B1678)^(A1678/252))/((1+B1677)^(A1677/252)))^(252/1))-1</f>
        <v>0.12519848649690979</v>
      </c>
      <c r="D1678" s="30">
        <v>0.13005938676891038</v>
      </c>
      <c r="E1678" s="31">
        <f ca="1">B1678-D1678</f>
        <v>0</v>
      </c>
    </row>
    <row r="1679" spans="1:5" x14ac:dyDescent="0.25">
      <c r="A1679" s="21">
        <v>1678</v>
      </c>
      <c r="B1679" s="5" cm="1">
        <f t="array" aca="1" ref="B1679" ca="1">interpolexp(A1679,serie_du,Taxas_DI)</f>
        <v>0.13005648367536704</v>
      </c>
      <c r="C1679" s="32">
        <f ca="1">((((1+B1679)^(A1679/252))/((1+B1678)^(A1678/252)))^(252/1))-1</f>
        <v>0.12519847414933416</v>
      </c>
      <c r="D1679" s="30">
        <v>0.13005648367536704</v>
      </c>
      <c r="E1679" s="31">
        <f ca="1">B1679-D1679</f>
        <v>0</v>
      </c>
    </row>
    <row r="1680" spans="1:5" x14ac:dyDescent="0.25">
      <c r="A1680" s="21">
        <v>1679</v>
      </c>
      <c r="B1680" s="5" cm="1">
        <f t="array" aca="1" ref="B1680" ca="1">interpolexp(A1680,serie_du,Taxas_DI)</f>
        <v>0.13005358404001299</v>
      </c>
      <c r="C1680" s="32">
        <f ca="1">((((1+B1680)^(A1680/252))/((1+B1679)^(A1679/252)))^(252/1))-1</f>
        <v>0.12519846181563321</v>
      </c>
      <c r="D1680" s="30">
        <v>0.13005358404001299</v>
      </c>
      <c r="E1680" s="31">
        <f ca="1">B1680-D1680</f>
        <v>0</v>
      </c>
    </row>
    <row r="1681" spans="1:5" x14ac:dyDescent="0.25">
      <c r="A1681" s="21">
        <v>1680</v>
      </c>
      <c r="B1681" s="5" cm="1">
        <f t="array" aca="1" ref="B1681" ca="1">interpolexp(A1681,serie_du,Taxas_DI)</f>
        <v>0.1300506878567198</v>
      </c>
      <c r="C1681" s="32">
        <f ca="1">((((1+B1681)^(A1681/252))/((1+B1680)^(A1680/252)))^(252/1))-1</f>
        <v>0.12519844958268234</v>
      </c>
      <c r="D1681" s="30">
        <v>0.1300506878567198</v>
      </c>
      <c r="E1681" s="31">
        <f ca="1">B1681-D1681</f>
        <v>0</v>
      </c>
    </row>
    <row r="1682" spans="1:5" x14ac:dyDescent="0.25">
      <c r="A1682" s="21">
        <v>1681</v>
      </c>
      <c r="B1682" s="5" cm="1">
        <f t="array" aca="1" ref="B1682" ca="1">interpolexp(A1682,serie_du,Taxas_DI)</f>
        <v>0.13004779511929243</v>
      </c>
      <c r="C1682" s="32">
        <f ca="1">((((1+B1682)^(A1682/252))/((1+B1681)^(A1681/252)))^(252/1))-1</f>
        <v>0.12519843731439573</v>
      </c>
      <c r="D1682" s="30">
        <v>0.13004779511929243</v>
      </c>
      <c r="E1682" s="31">
        <f ca="1">B1682-D1682</f>
        <v>0</v>
      </c>
    </row>
    <row r="1683" spans="1:5" x14ac:dyDescent="0.25">
      <c r="A1683" s="21">
        <v>1682</v>
      </c>
      <c r="B1683" s="5" cm="1">
        <f t="array" aca="1" ref="B1683" ca="1">interpolexp(A1683,serie_du,Taxas_DI)</f>
        <v>0.13004490582158024</v>
      </c>
      <c r="C1683" s="32">
        <f ca="1">((((1+B1683)^(A1683/252))/((1+B1682)^(A1682/252)))^(252/1))-1</f>
        <v>0.12519842506036816</v>
      </c>
      <c r="D1683" s="30">
        <v>0.13004490582158024</v>
      </c>
      <c r="E1683" s="31">
        <f ca="1">B1683-D1683</f>
        <v>0</v>
      </c>
    </row>
    <row r="1684" spans="1:5" x14ac:dyDescent="0.25">
      <c r="A1684" s="21">
        <v>1683</v>
      </c>
      <c r="B1684" s="5" cm="1">
        <f t="array" aca="1" ref="B1684" ca="1">interpolexp(A1684,serie_du,Taxas_DI)</f>
        <v>0.13004201995745479</v>
      </c>
      <c r="C1684" s="32">
        <f ca="1">((((1+B1684)^(A1684/252))/((1+B1683)^(A1683/252)))^(252/1))-1</f>
        <v>0.1251984128333854</v>
      </c>
      <c r="D1684" s="30">
        <v>0.13004201995745479</v>
      </c>
      <c r="E1684" s="31">
        <f ca="1">B1684-D1684</f>
        <v>0</v>
      </c>
    </row>
    <row r="1685" spans="1:5" x14ac:dyDescent="0.25">
      <c r="A1685" s="21">
        <v>1684</v>
      </c>
      <c r="B1685" s="5" cm="1">
        <f t="array" aca="1" ref="B1685" ca="1">interpolexp(A1685,serie_du,Taxas_DI)</f>
        <v>0.13003913752080987</v>
      </c>
      <c r="C1685" s="32">
        <f ca="1">((((1+B1685)^(A1685/252))/((1+B1684)^(A1684/252)))^(252/1))-1</f>
        <v>0.12519840064608778</v>
      </c>
      <c r="D1685" s="30">
        <v>0.13003913752080987</v>
      </c>
      <c r="E1685" s="31">
        <f ca="1">B1685-D1685</f>
        <v>0</v>
      </c>
    </row>
    <row r="1686" spans="1:5" x14ac:dyDescent="0.25">
      <c r="A1686" s="21">
        <v>1685</v>
      </c>
      <c r="B1686" s="5" cm="1">
        <f t="array" aca="1" ref="B1686" ca="1">interpolexp(A1686,serie_du,Taxas_DI)</f>
        <v>0.13003625850553924</v>
      </c>
      <c r="C1686" s="32">
        <f ca="1">((((1+B1686)^(A1686/252))/((1+B1685)^(A1685/252)))^(252/1))-1</f>
        <v>0.12519838847417697</v>
      </c>
      <c r="D1686" s="30">
        <v>0.13003625850553924</v>
      </c>
      <c r="E1686" s="31">
        <f ca="1">B1686-D1686</f>
        <v>0</v>
      </c>
    </row>
    <row r="1687" spans="1:5" x14ac:dyDescent="0.25">
      <c r="A1687" s="21">
        <v>1686</v>
      </c>
      <c r="B1687" s="5" cm="1">
        <f t="array" aca="1" ref="B1687" ca="1">interpolexp(A1687,serie_du,Taxas_DI)</f>
        <v>0.13003338290555888</v>
      </c>
      <c r="C1687" s="32">
        <f ca="1">((((1+B1687)^(A1687/252))/((1+B1686)^(A1686/252)))^(252/1))-1</f>
        <v>0.12519837633060416</v>
      </c>
      <c r="D1687" s="30">
        <v>0.13003338290555888</v>
      </c>
      <c r="E1687" s="31">
        <f ca="1">B1687-D1687</f>
        <v>0</v>
      </c>
    </row>
    <row r="1688" spans="1:5" x14ac:dyDescent="0.25">
      <c r="A1688" s="21">
        <v>1687</v>
      </c>
      <c r="B1688" s="5" cm="1">
        <f t="array" aca="1" ref="B1688" ca="1">interpolexp(A1688,serie_du,Taxas_DI)</f>
        <v>0.13003051071478477</v>
      </c>
      <c r="C1688" s="32">
        <f ca="1">((((1+B1688)^(A1688/252))/((1+B1687)^(A1687/252)))^(252/1))-1</f>
        <v>0.12519836419090158</v>
      </c>
      <c r="D1688" s="30">
        <v>0.13003051071478477</v>
      </c>
      <c r="E1688" s="31">
        <f ca="1">B1688-D1688</f>
        <v>0</v>
      </c>
    </row>
    <row r="1689" spans="1:5" x14ac:dyDescent="0.25">
      <c r="A1689" s="21">
        <v>1688</v>
      </c>
      <c r="B1689" s="5" cm="1">
        <f t="array" aca="1" ref="B1689" ca="1">interpolexp(A1689,serie_du,Taxas_DI)</f>
        <v>0.1300276419271551</v>
      </c>
      <c r="C1689" s="32">
        <f ca="1">((((1+B1689)^(A1689/252))/((1+B1688)^(A1688/252)))^(252/1))-1</f>
        <v>0.1251983520683897</v>
      </c>
      <c r="D1689" s="30">
        <v>0.1300276419271551</v>
      </c>
      <c r="E1689" s="31">
        <f ca="1">B1689-D1689</f>
        <v>0</v>
      </c>
    </row>
    <row r="1690" spans="1:5" x14ac:dyDescent="0.25">
      <c r="A1690" s="21">
        <v>1689</v>
      </c>
      <c r="B1690" s="5" cm="1">
        <f t="array" aca="1" ref="B1690" ca="1">interpolexp(A1690,serie_du,Taxas_DI)</f>
        <v>0.13002477653665245</v>
      </c>
      <c r="C1690" s="32">
        <f ca="1">((((1+B1690)^(A1690/252))/((1+B1689)^(A1689/252)))^(252/1))-1</f>
        <v>0.12519834001332053</v>
      </c>
      <c r="D1690" s="30">
        <v>0.13002477653665245</v>
      </c>
      <c r="E1690" s="31">
        <f ca="1">B1690-D1690</f>
        <v>0</v>
      </c>
    </row>
    <row r="1691" spans="1:5" x14ac:dyDescent="0.25">
      <c r="A1691" s="21">
        <v>1690</v>
      </c>
      <c r="B1691" s="5" cm="1">
        <f t="array" aca="1" ref="B1691" ca="1">interpolexp(A1691,serie_du,Taxas_DI)</f>
        <v>0.13002191453721501</v>
      </c>
      <c r="C1691" s="32">
        <f ca="1">((((1+B1691)^(A1691/252))/((1+B1690)^(A1690/252)))^(252/1))-1</f>
        <v>0.12519832792698637</v>
      </c>
      <c r="D1691" s="30">
        <v>0.13002191453721501</v>
      </c>
      <c r="E1691" s="31">
        <f ca="1">B1691-D1691</f>
        <v>0</v>
      </c>
    </row>
    <row r="1692" spans="1:5" x14ac:dyDescent="0.25">
      <c r="A1692" s="21">
        <v>1691</v>
      </c>
      <c r="B1692" s="5" cm="1">
        <f t="array" aca="1" ref="B1692" ca="1">interpolexp(A1692,serie_du,Taxas_DI)</f>
        <v>0.13001905592282537</v>
      </c>
      <c r="C1692" s="32">
        <f ca="1">((((1+B1692)^(A1692/252))/((1+B1691)^(A1691/252)))^(252/1))-1</f>
        <v>0.12519831586017771</v>
      </c>
      <c r="D1692" s="30">
        <v>0.13001905592282537</v>
      </c>
      <c r="E1692" s="31">
        <f ca="1">B1692-D1692</f>
        <v>0</v>
      </c>
    </row>
    <row r="1693" spans="1:5" x14ac:dyDescent="0.25">
      <c r="A1693" s="21">
        <v>1692</v>
      </c>
      <c r="B1693" s="5" cm="1">
        <f t="array" aca="1" ref="B1693" ca="1">interpolexp(A1693,serie_du,Taxas_DI)</f>
        <v>0.13001620068751052</v>
      </c>
      <c r="C1693" s="32">
        <f ca="1">((((1+B1693)^(A1693/252))/((1+B1692)^(A1692/252)))^(252/1))-1</f>
        <v>0.12519830386339437</v>
      </c>
      <c r="D1693" s="30">
        <v>0.13001620068751052</v>
      </c>
      <c r="E1693" s="31">
        <f ca="1">B1693-D1693</f>
        <v>0</v>
      </c>
    </row>
    <row r="1694" spans="1:5" x14ac:dyDescent="0.25">
      <c r="A1694" s="21">
        <v>1693</v>
      </c>
      <c r="B1694" s="5" cm="1">
        <f t="array" aca="1" ref="B1694" ca="1">interpolexp(A1694,serie_du,Taxas_DI)</f>
        <v>0.13001334882525306</v>
      </c>
      <c r="C1694" s="32">
        <f ca="1">((((1+B1694)^(A1694/252))/((1+B1693)^(A1693/252)))^(252/1))-1</f>
        <v>0.12519829183796904</v>
      </c>
      <c r="D1694" s="30">
        <v>0.13001334882525306</v>
      </c>
      <c r="E1694" s="31">
        <f ca="1">B1694-D1694</f>
        <v>0</v>
      </c>
    </row>
    <row r="1695" spans="1:5" x14ac:dyDescent="0.25">
      <c r="A1695" s="21">
        <v>1694</v>
      </c>
      <c r="B1695" s="5" cm="1">
        <f t="array" aca="1" ref="B1695" ca="1">interpolexp(A1695,serie_du,Taxas_DI)</f>
        <v>0.1300105003301022</v>
      </c>
      <c r="C1695" s="32">
        <f ca="1">((((1+B1695)^(A1695/252))/((1+B1694)^(A1694/252)))^(252/1))-1</f>
        <v>0.12519827987260301</v>
      </c>
      <c r="D1695" s="30">
        <v>0.1300105003301022</v>
      </c>
      <c r="E1695" s="31">
        <f ca="1">B1695-D1695</f>
        <v>0</v>
      </c>
    </row>
    <row r="1696" spans="1:5" x14ac:dyDescent="0.25">
      <c r="A1696" s="21">
        <v>1695</v>
      </c>
      <c r="B1696" s="5" cm="1">
        <f t="array" aca="1" ref="B1696" ca="1">interpolexp(A1696,serie_du,Taxas_DI)</f>
        <v>0.13000765519608493</v>
      </c>
      <c r="C1696" s="32">
        <f ca="1">((((1+B1696)^(A1696/252))/((1+B1695)^(A1695/252)))^(252/1))-1</f>
        <v>0.12519826790571642</v>
      </c>
      <c r="D1696" s="30">
        <v>0.13000765519608493</v>
      </c>
      <c r="E1696" s="31">
        <f ca="1">B1696-D1696</f>
        <v>0</v>
      </c>
    </row>
    <row r="1697" spans="1:5" x14ac:dyDescent="0.25">
      <c r="A1697" s="21">
        <v>1696</v>
      </c>
      <c r="B1697" s="5" cm="1">
        <f t="array" aca="1" ref="B1697" ca="1">interpolexp(A1697,serie_du,Taxas_DI)</f>
        <v>0.13000481341727266</v>
      </c>
      <c r="C1697" s="32">
        <f ca="1">((((1+B1697)^(A1697/252))/((1+B1696)^(A1696/252)))^(252/1))-1</f>
        <v>0.12519825598843015</v>
      </c>
      <c r="D1697" s="30">
        <v>0.13000481341727266</v>
      </c>
      <c r="E1697" s="31">
        <f ca="1">B1697-D1697</f>
        <v>0</v>
      </c>
    </row>
    <row r="1698" spans="1:5" x14ac:dyDescent="0.25">
      <c r="A1698" s="21">
        <v>1697</v>
      </c>
      <c r="B1698" s="5" cm="1">
        <f t="array" aca="1" ref="B1698" ca="1">interpolexp(A1698,serie_du,Taxas_DI)</f>
        <v>0.13000197498769239</v>
      </c>
      <c r="C1698" s="32">
        <f ca="1">((((1+B1698)^(A1698/252))/((1+B1697)^(A1697/252)))^(252/1))-1</f>
        <v>0.12519824402231072</v>
      </c>
      <c r="D1698" s="30">
        <v>0.13000197498769239</v>
      </c>
      <c r="E1698" s="31">
        <f ca="1">B1698-D1698</f>
        <v>0</v>
      </c>
    </row>
    <row r="1699" spans="1:5" x14ac:dyDescent="0.25">
      <c r="A1699" s="21">
        <v>1698</v>
      </c>
      <c r="B1699" s="5" cm="1">
        <f t="array" aca="1" ref="B1699" ca="1">interpolexp(A1699,serie_du,Taxas_DI)</f>
        <v>0.12999913990148215</v>
      </c>
      <c r="C1699" s="32">
        <f ca="1">((((1+B1699)^(A1699/252))/((1+B1698)^(A1698/252)))^(252/1))-1</f>
        <v>0.12519823217103587</v>
      </c>
      <c r="D1699" s="30">
        <v>0.12999913990148215</v>
      </c>
      <c r="E1699" s="31">
        <f ca="1">B1699-D1699</f>
        <v>0</v>
      </c>
    </row>
    <row r="1700" spans="1:5" x14ac:dyDescent="0.25">
      <c r="A1700" s="21">
        <v>1699</v>
      </c>
      <c r="B1700" s="5" cm="1">
        <f t="array" aca="1" ref="B1700" ca="1">interpolexp(A1700,serie_du,Taxas_DI)</f>
        <v>0.12999630815269114</v>
      </c>
      <c r="C1700" s="32">
        <f ca="1">((((1+B1700)^(A1700/252))/((1+B1699)^(A1699/252)))^(252/1))-1</f>
        <v>0.12519822026101002</v>
      </c>
      <c r="D1700" s="30">
        <v>0.12999630815269114</v>
      </c>
      <c r="E1700" s="31">
        <f ca="1">B1700-D1700</f>
        <v>0</v>
      </c>
    </row>
    <row r="1701" spans="1:5" x14ac:dyDescent="0.25">
      <c r="A1701" s="21">
        <v>1700</v>
      </c>
      <c r="B1701" s="5" cm="1">
        <f t="array" aca="1" ref="B1701" ca="1">interpolexp(A1701,serie_du,Taxas_DI)</f>
        <v>0.12999347973545738</v>
      </c>
      <c r="C1701" s="32">
        <f ca="1">((((1+B1701)^(A1701/252))/((1+B1700)^(A1700/252)))^(252/1))-1</f>
        <v>0.12519820841880724</v>
      </c>
      <c r="D1701" s="30">
        <v>0.12999347973545738</v>
      </c>
      <c r="E1701" s="31">
        <f ca="1">B1701-D1701</f>
        <v>0</v>
      </c>
    </row>
    <row r="1702" spans="1:5" x14ac:dyDescent="0.25">
      <c r="A1702" s="21">
        <v>1701</v>
      </c>
      <c r="B1702" s="5" cm="1">
        <f t="array" aca="1" ref="B1702" ca="1">interpolexp(A1702,serie_du,Taxas_DI)</f>
        <v>0.1299906546438967</v>
      </c>
      <c r="C1702" s="32">
        <f ca="1">((((1+B1702)^(A1702/252))/((1+B1701)^(A1701/252)))^(252/1))-1</f>
        <v>0.12519819658344544</v>
      </c>
      <c r="D1702" s="30">
        <v>0.1299906546438967</v>
      </c>
      <c r="E1702" s="31">
        <f ca="1">B1702-D1702</f>
        <v>0</v>
      </c>
    </row>
    <row r="1703" spans="1:5" x14ac:dyDescent="0.25">
      <c r="A1703" s="21">
        <v>1702</v>
      </c>
      <c r="B1703" s="5" cm="1">
        <f t="array" aca="1" ref="B1703" ca="1">interpolexp(A1703,serie_du,Taxas_DI)</f>
        <v>0.1299878328721471</v>
      </c>
      <c r="C1703" s="32">
        <f ca="1">((((1+B1703)^(A1703/252))/((1+B1702)^(A1702/252)))^(252/1))-1</f>
        <v>0.12519818476903022</v>
      </c>
      <c r="D1703" s="30">
        <v>0.1299878328721471</v>
      </c>
      <c r="E1703" s="31">
        <f ca="1">B1703-D1703</f>
        <v>0</v>
      </c>
    </row>
    <row r="1704" spans="1:5" x14ac:dyDescent="0.25">
      <c r="A1704" s="21">
        <v>1703</v>
      </c>
      <c r="B1704" s="5" cm="1">
        <f t="array" aca="1" ref="B1704" ca="1">interpolexp(A1704,serie_du,Taxas_DI)</f>
        <v>0.12998501441436883</v>
      </c>
      <c r="C1704" s="32">
        <f ca="1">((((1+B1704)^(A1704/252))/((1+B1703)^(A1703/252)))^(252/1))-1</f>
        <v>0.12519817298988833</v>
      </c>
      <c r="D1704" s="30">
        <v>0.12998501441436883</v>
      </c>
      <c r="E1704" s="31">
        <f ca="1">B1704-D1704</f>
        <v>0</v>
      </c>
    </row>
    <row r="1705" spans="1:5" x14ac:dyDescent="0.25">
      <c r="A1705" s="21">
        <v>1704</v>
      </c>
      <c r="B1705" s="5" cm="1">
        <f t="array" aca="1" ref="B1705" ca="1">interpolexp(A1705,serie_du,Taxas_DI)</f>
        <v>0.12998219926469989</v>
      </c>
      <c r="C1705" s="32">
        <f ca="1">((((1+B1705)^(A1705/252))/((1+B1704)^(A1704/252)))^(252/1))-1</f>
        <v>0.1251981611849835</v>
      </c>
      <c r="D1705" s="30">
        <v>0.12998219926469989</v>
      </c>
      <c r="E1705" s="31">
        <f ca="1">B1705-D1705</f>
        <v>0</v>
      </c>
    </row>
    <row r="1706" spans="1:5" x14ac:dyDescent="0.25">
      <c r="A1706" s="21">
        <v>1705</v>
      </c>
      <c r="B1706" s="5" cm="1">
        <f t="array" aca="1" ref="B1706" ca="1">interpolexp(A1706,serie_du,Taxas_DI)</f>
        <v>0.12997938741734494</v>
      </c>
      <c r="C1706" s="32">
        <f ca="1">((((1+B1706)^(A1706/252))/((1+B1705)^(A1705/252)))^(252/1))-1</f>
        <v>0.12519814944397178</v>
      </c>
      <c r="D1706" s="30">
        <v>0.12997938741734494</v>
      </c>
      <c r="E1706" s="31">
        <f ca="1">B1706-D1706</f>
        <v>0</v>
      </c>
    </row>
    <row r="1707" spans="1:5" x14ac:dyDescent="0.25">
      <c r="A1707" s="21">
        <v>1706</v>
      </c>
      <c r="B1707" s="5" cm="1">
        <f t="array" aca="1" ref="B1707" ca="1">interpolexp(A1707,serie_du,Taxas_DI)</f>
        <v>0.12997657886648639</v>
      </c>
      <c r="C1707" s="32">
        <f ca="1">((((1+B1707)^(A1707/252))/((1+B1706)^(A1706/252)))^(252/1))-1</f>
        <v>0.1251981377060829</v>
      </c>
      <c r="D1707" s="30">
        <v>0.12997657886648639</v>
      </c>
      <c r="E1707" s="31">
        <f ca="1">B1707-D1707</f>
        <v>0</v>
      </c>
    </row>
    <row r="1708" spans="1:5" x14ac:dyDescent="0.25">
      <c r="A1708" s="21">
        <v>1707</v>
      </c>
      <c r="B1708" s="5" cm="1">
        <f t="array" aca="1" ref="B1708" ca="1">interpolexp(A1708,serie_du,Taxas_DI)</f>
        <v>0.1299737736063511</v>
      </c>
      <c r="C1708" s="32">
        <f ca="1">((((1+B1708)^(A1708/252))/((1+B1707)^(A1707/252)))^(252/1))-1</f>
        <v>0.12519812602351665</v>
      </c>
      <c r="D1708" s="30">
        <v>0.1299737736063511</v>
      </c>
      <c r="E1708" s="31">
        <f ca="1">B1708-D1708</f>
        <v>0</v>
      </c>
    </row>
    <row r="1709" spans="1:5" x14ac:dyDescent="0.25">
      <c r="A1709" s="21">
        <v>1708</v>
      </c>
      <c r="B1709" s="5" cm="1">
        <f t="array" aca="1" ref="B1709" ca="1">interpolexp(A1709,serie_du,Taxas_DI)</f>
        <v>0.12997097163114368</v>
      </c>
      <c r="C1709" s="32">
        <f ca="1">((((1+B1709)^(A1709/252))/((1+B1708)^(A1708/252)))^(252/1))-1</f>
        <v>0.12519811433553674</v>
      </c>
      <c r="D1709" s="30">
        <v>0.12997097163114368</v>
      </c>
      <c r="E1709" s="31">
        <f ca="1">B1709-D1709</f>
        <v>0</v>
      </c>
    </row>
    <row r="1710" spans="1:5" x14ac:dyDescent="0.25">
      <c r="A1710" s="21">
        <v>1709</v>
      </c>
      <c r="B1710" s="5" cm="1">
        <f t="array" aca="1" ref="B1710" ca="1">interpolexp(A1710,serie_du,Taxas_DI)</f>
        <v>0.12996817293506879</v>
      </c>
      <c r="C1710" s="32">
        <f ca="1">((((1+B1710)^(A1710/252))/((1+B1709)^(A1709/252)))^(252/1))-1</f>
        <v>0.12519810261906961</v>
      </c>
      <c r="D1710" s="30">
        <v>0.12996817293506879</v>
      </c>
      <c r="E1710" s="31">
        <f ca="1">B1710-D1710</f>
        <v>0</v>
      </c>
    </row>
    <row r="1711" spans="1:5" x14ac:dyDescent="0.25">
      <c r="A1711" s="21">
        <v>1710</v>
      </c>
      <c r="B1711" s="5" cm="1">
        <f t="array" aca="1" ref="B1711" ca="1">interpolexp(A1711,serie_du,Taxas_DI)</f>
        <v>0.12996537751241988</v>
      </c>
      <c r="C1711" s="32">
        <f ca="1">((((1+B1711)^(A1711/252))/((1+B1710)^(A1710/252)))^(252/1))-1</f>
        <v>0.12519809100189305</v>
      </c>
      <c r="D1711" s="30">
        <v>0.12996537751241988</v>
      </c>
      <c r="E1711" s="31">
        <f ca="1">B1711-D1711</f>
        <v>0</v>
      </c>
    </row>
    <row r="1712" spans="1:5" x14ac:dyDescent="0.25">
      <c r="A1712" s="21">
        <v>1711</v>
      </c>
      <c r="B1712" s="5" cm="1">
        <f t="array" aca="1" ref="B1712" ca="1">interpolexp(A1712,serie_du,Taxas_DI)</f>
        <v>0.12996258535744598</v>
      </c>
      <c r="C1712" s="32">
        <f ca="1">((((1+B1712)^(A1712/252))/((1+B1711)^(A1711/252)))^(252/1))-1</f>
        <v>0.1251980793859202</v>
      </c>
      <c r="D1712" s="30">
        <v>0.12996258535744598</v>
      </c>
      <c r="E1712" s="31">
        <f ca="1">B1712-D1712</f>
        <v>0</v>
      </c>
    </row>
    <row r="1713" spans="1:5" x14ac:dyDescent="0.25">
      <c r="A1713" s="21">
        <v>1712</v>
      </c>
      <c r="B1713" s="5" cm="1">
        <f t="array" aca="1" ref="B1713" ca="1">interpolexp(A1713,serie_du,Taxas_DI)</f>
        <v>0.12995979646439615</v>
      </c>
      <c r="C1713" s="32">
        <f ca="1">((((1+B1713)^(A1713/252))/((1+B1712)^(A1712/252)))^(252/1))-1</f>
        <v>0.12519806774815945</v>
      </c>
      <c r="D1713" s="30">
        <v>0.12995979646439615</v>
      </c>
      <c r="E1713" s="31">
        <f ca="1">B1713-D1713</f>
        <v>0</v>
      </c>
    </row>
    <row r="1714" spans="1:5" x14ac:dyDescent="0.25">
      <c r="A1714" s="21">
        <v>1713</v>
      </c>
      <c r="B1714" s="5" cm="1">
        <f t="array" aca="1" ref="B1714" ca="1">interpolexp(A1714,serie_du,Taxas_DI)</f>
        <v>0.12995701082758604</v>
      </c>
      <c r="C1714" s="32">
        <f ca="1">((((1+B1714)^(A1714/252))/((1+B1713)^(A1713/252)))^(252/1))-1</f>
        <v>0.12519805617907465</v>
      </c>
      <c r="D1714" s="30">
        <v>0.12995701082758604</v>
      </c>
      <c r="E1714" s="31">
        <f ca="1">B1714-D1714</f>
        <v>0</v>
      </c>
    </row>
    <row r="1715" spans="1:5" x14ac:dyDescent="0.25">
      <c r="A1715" s="21">
        <v>1714</v>
      </c>
      <c r="B1715" s="5" cm="1">
        <f t="array" aca="1" ref="B1715" ca="1">interpolexp(A1715,serie_du,Taxas_DI)</f>
        <v>0.1299542284412869</v>
      </c>
      <c r="C1715" s="32">
        <f ca="1">((((1+B1715)^(A1715/252))/((1+B1714)^(A1714/252)))^(252/1))-1</f>
        <v>0.12519804458033157</v>
      </c>
      <c r="D1715" s="30">
        <v>0.1299542284412869</v>
      </c>
      <c r="E1715" s="31">
        <f ca="1">B1715-D1715</f>
        <v>0</v>
      </c>
    </row>
    <row r="1716" spans="1:5" x14ac:dyDescent="0.25">
      <c r="A1716" s="21">
        <v>1715</v>
      </c>
      <c r="B1716" s="5" cm="1">
        <f t="array" aca="1" ref="B1716" ca="1">interpolexp(A1716,serie_du,Taxas_DI)</f>
        <v>0.1299514492998588</v>
      </c>
      <c r="C1716" s="32">
        <f ca="1">((((1+B1716)^(A1716/252))/((1+B1715)^(A1715/252)))^(252/1))-1</f>
        <v>0.12519803308072119</v>
      </c>
      <c r="D1716" s="30">
        <v>0.1299514492998588</v>
      </c>
      <c r="E1716" s="31">
        <f ca="1">B1716-D1716</f>
        <v>0</v>
      </c>
    </row>
    <row r="1717" spans="1:5" x14ac:dyDescent="0.25">
      <c r="A1717" s="21">
        <v>1716</v>
      </c>
      <c r="B1717" s="5" cm="1">
        <f t="array" aca="1" ref="B1717" ca="1">interpolexp(A1717,serie_du,Taxas_DI)</f>
        <v>0.12994867339757299</v>
      </c>
      <c r="C1717" s="32">
        <f ca="1">((((1+B1717)^(A1717/252))/((1+B1716)^(A1716/252)))^(252/1))-1</f>
        <v>0.12519802150589454</v>
      </c>
      <c r="D1717" s="30">
        <v>0.12994867339757299</v>
      </c>
      <c r="E1717" s="31">
        <f ca="1">B1717-D1717</f>
        <v>0</v>
      </c>
    </row>
    <row r="1718" spans="1:5" x14ac:dyDescent="0.25">
      <c r="A1718" s="21">
        <v>1717</v>
      </c>
      <c r="B1718" s="5" cm="1">
        <f t="array" aca="1" ref="B1718" ca="1">interpolexp(A1718,serie_du,Taxas_DI)</f>
        <v>0.12994590072881174</v>
      </c>
      <c r="C1718" s="32">
        <f ca="1">((((1+B1718)^(A1718/252))/((1+B1717)^(A1717/252)))^(252/1))-1</f>
        <v>0.12519801002295283</v>
      </c>
      <c r="D1718" s="30">
        <v>0.12994590072881174</v>
      </c>
      <c r="E1718" s="31">
        <f ca="1">B1718-D1718</f>
        <v>0</v>
      </c>
    </row>
    <row r="1719" spans="1:5" x14ac:dyDescent="0.25">
      <c r="A1719" s="21">
        <v>1718</v>
      </c>
      <c r="B1719" s="5" cm="1">
        <f t="array" aca="1" ref="B1719" ca="1">interpolexp(A1719,serie_du,Taxas_DI)</f>
        <v>0.12994313128791291</v>
      </c>
      <c r="C1719" s="32">
        <f ca="1">((((1+B1719)^(A1719/252))/((1+B1718)^(A1718/252)))^(252/1))-1</f>
        <v>0.12519799853340619</v>
      </c>
      <c r="D1719" s="30">
        <v>0.12994313128791291</v>
      </c>
      <c r="E1719" s="31">
        <f ca="1">B1719-D1719</f>
        <v>0</v>
      </c>
    </row>
    <row r="1720" spans="1:5" x14ac:dyDescent="0.25">
      <c r="A1720" s="21">
        <v>1719</v>
      </c>
      <c r="B1720" s="5" cm="1">
        <f t="array" aca="1" ref="B1720" ca="1">interpolexp(A1720,serie_du,Taxas_DI)</f>
        <v>0.12994036506923656</v>
      </c>
      <c r="C1720" s="32">
        <f ca="1">((((1+B1720)^(A1720/252))/((1+B1719)^(A1719/252)))^(252/1))-1</f>
        <v>0.12519798705259033</v>
      </c>
      <c r="D1720" s="30">
        <v>0.12994036506923656</v>
      </c>
      <c r="E1720" s="31">
        <f ca="1">B1720-D1720</f>
        <v>0</v>
      </c>
    </row>
    <row r="1721" spans="1:5" x14ac:dyDescent="0.25">
      <c r="A1721" s="21">
        <v>1720</v>
      </c>
      <c r="B1721" s="5" cm="1">
        <f t="array" aca="1" ref="B1721" ca="1">interpolexp(A1721,serie_du,Taxas_DI)</f>
        <v>0.12993760206716498</v>
      </c>
      <c r="C1721" s="32">
        <f ca="1">((((1+B1721)^(A1721/252))/((1+B1720)^(A1720/252)))^(252/1))-1</f>
        <v>0.12519797559622714</v>
      </c>
      <c r="D1721" s="30">
        <v>0.12993760206716498</v>
      </c>
      <c r="E1721" s="31">
        <f ca="1">B1721-D1721</f>
        <v>0</v>
      </c>
    </row>
    <row r="1722" spans="1:5" x14ac:dyDescent="0.25">
      <c r="A1722" s="21">
        <v>1721</v>
      </c>
      <c r="B1722" s="5" cm="1">
        <f t="array" aca="1" ref="B1722" ca="1">interpolexp(A1722,serie_du,Taxas_DI)</f>
        <v>0.12993484227610264</v>
      </c>
      <c r="C1722" s="32">
        <f ca="1">((((1+B1722)^(A1722/252))/((1+B1721)^(A1721/252)))^(252/1))-1</f>
        <v>0.12519796417974582</v>
      </c>
      <c r="D1722" s="30">
        <v>0.12993484227610264</v>
      </c>
      <c r="E1722" s="31">
        <f ca="1">B1722-D1722</f>
        <v>0</v>
      </c>
    </row>
    <row r="1723" spans="1:5" x14ac:dyDescent="0.25">
      <c r="A1723" s="21">
        <v>1722</v>
      </c>
      <c r="B1723" s="5" cm="1">
        <f t="array" aca="1" ref="B1723" ca="1">interpolexp(A1723,serie_du,Taxas_DI)</f>
        <v>0.129932085690454</v>
      </c>
      <c r="C1723" s="32">
        <f ca="1">((((1+B1723)^(A1723/252))/((1+B1722)^(A1722/252)))^(252/1))-1</f>
        <v>0.12519795278086199</v>
      </c>
      <c r="D1723" s="30">
        <v>0.129932085690454</v>
      </c>
      <c r="E1723" s="31">
        <f ca="1">B1723-D1723</f>
        <v>0</v>
      </c>
    </row>
    <row r="1724" spans="1:5" x14ac:dyDescent="0.25">
      <c r="A1724" s="21">
        <v>1723</v>
      </c>
      <c r="B1724" s="5" cm="1">
        <f t="array" aca="1" ref="B1724" ca="1">interpolexp(A1724,serie_du,Taxas_DI)</f>
        <v>0.12992933230464576</v>
      </c>
      <c r="C1724" s="32">
        <f ca="1">((((1+B1724)^(A1724/252))/((1+B1723)^(A1723/252)))^(252/1))-1</f>
        <v>0.12519794141547402</v>
      </c>
      <c r="D1724" s="30">
        <v>0.12992933230464576</v>
      </c>
      <c r="E1724" s="31">
        <f ca="1">B1724-D1724</f>
        <v>0</v>
      </c>
    </row>
    <row r="1725" spans="1:5" x14ac:dyDescent="0.25">
      <c r="A1725" s="21">
        <v>1724</v>
      </c>
      <c r="B1725" s="5" cm="1">
        <f t="array" aca="1" ref="B1725" ca="1">interpolexp(A1725,serie_du,Taxas_DI)</f>
        <v>0.12992658211308239</v>
      </c>
      <c r="C1725" s="32">
        <f ca="1">((((1+B1725)^(A1725/252))/((1+B1724)^(A1724/252)))^(252/1))-1</f>
        <v>0.12519793002304125</v>
      </c>
      <c r="D1725" s="30">
        <v>0.12992658211308239</v>
      </c>
      <c r="E1725" s="31">
        <f ca="1">B1725-D1725</f>
        <v>0</v>
      </c>
    </row>
    <row r="1726" spans="1:5" x14ac:dyDescent="0.25">
      <c r="A1726" s="21">
        <v>1725</v>
      </c>
      <c r="B1726" s="5" cm="1">
        <f t="array" aca="1" ref="B1726" ca="1">interpolexp(A1726,serie_du,Taxas_DI)</f>
        <v>0.12992383511021277</v>
      </c>
      <c r="C1726" s="32">
        <f ca="1">((((1+B1726)^(A1726/252))/((1+B1725)^(A1725/252)))^(252/1))-1</f>
        <v>0.12519791865755203</v>
      </c>
      <c r="D1726" s="30">
        <v>0.12992383511021277</v>
      </c>
      <c r="E1726" s="31">
        <f ca="1">B1726-D1726</f>
        <v>0</v>
      </c>
    </row>
    <row r="1727" spans="1:5" x14ac:dyDescent="0.25">
      <c r="A1727" s="21">
        <v>1726</v>
      </c>
      <c r="B1727" s="5" cm="1">
        <f t="array" aca="1" ref="B1727" ca="1">interpolexp(A1727,serie_du,Taxas_DI)</f>
        <v>0.129921091290508</v>
      </c>
      <c r="C1727" s="32">
        <f ca="1">((((1+B1727)^(A1727/252))/((1+B1726)^(A1726/252)))^(252/1))-1</f>
        <v>0.12519790733512615</v>
      </c>
      <c r="D1727" s="30">
        <v>0.129921091290508</v>
      </c>
      <c r="E1727" s="31">
        <f ca="1">B1727-D1727</f>
        <v>0</v>
      </c>
    </row>
    <row r="1728" spans="1:5" x14ac:dyDescent="0.25">
      <c r="A1728" s="21">
        <v>1727</v>
      </c>
      <c r="B1728" s="5" cm="1">
        <f t="array" aca="1" ref="B1728" ca="1">interpolexp(A1728,serie_du,Taxas_DI)</f>
        <v>0.12991835064843915</v>
      </c>
      <c r="C1728" s="32">
        <f ca="1">((((1+B1728)^(A1728/252))/((1+B1727)^(A1727/252)))^(252/1))-1</f>
        <v>0.1251978960335538</v>
      </c>
      <c r="D1728" s="30">
        <v>0.12991835064843915</v>
      </c>
      <c r="E1728" s="31">
        <f ca="1">B1728-D1728</f>
        <v>0</v>
      </c>
    </row>
    <row r="1729" spans="1:5" x14ac:dyDescent="0.25">
      <c r="A1729" s="21">
        <v>1728</v>
      </c>
      <c r="B1729" s="5" cm="1">
        <f t="array" aca="1" ref="B1729" ca="1">interpolexp(A1729,serie_du,Taxas_DI)</f>
        <v>0.12991561317847733</v>
      </c>
      <c r="C1729" s="32">
        <f ca="1">((((1+B1729)^(A1729/252))/((1+B1728)^(A1728/252)))^(252/1))-1</f>
        <v>0.12519788473086191</v>
      </c>
      <c r="D1729" s="30">
        <v>0.12991561317847733</v>
      </c>
      <c r="E1729" s="31">
        <f ca="1">B1729-D1729</f>
        <v>0</v>
      </c>
    </row>
    <row r="1730" spans="1:5" x14ac:dyDescent="0.25">
      <c r="A1730" s="21">
        <v>1729</v>
      </c>
      <c r="B1730" s="5" cm="1">
        <f t="array" aca="1" ref="B1730" ca="1">interpolexp(A1730,serie_du,Taxas_DI)</f>
        <v>0.12991287887513803</v>
      </c>
      <c r="C1730" s="32">
        <f ca="1">((((1+B1730)^(A1730/252))/((1+B1729)^(A1729/252)))^(252/1))-1</f>
        <v>0.12519787348137834</v>
      </c>
      <c r="D1730" s="30">
        <v>0.12991287887513803</v>
      </c>
      <c r="E1730" s="31">
        <f ca="1">B1730-D1730</f>
        <v>0</v>
      </c>
    </row>
    <row r="1731" spans="1:5" x14ac:dyDescent="0.25">
      <c r="A1731" s="21">
        <v>1730</v>
      </c>
      <c r="B1731" s="5" cm="1">
        <f t="array" aca="1" ref="B1731" ca="1">interpolexp(A1731,serie_du,Taxas_DI)</f>
        <v>0.12991014773291454</v>
      </c>
      <c r="C1731" s="32">
        <f ca="1">((((1+B1731)^(A1731/252))/((1+B1730)^(A1730/252)))^(252/1))-1</f>
        <v>0.12519786222499207</v>
      </c>
      <c r="D1731" s="30">
        <v>0.12991014773291454</v>
      </c>
      <c r="E1731" s="31">
        <f ca="1">B1731-D1731</f>
        <v>0</v>
      </c>
    </row>
    <row r="1732" spans="1:5" x14ac:dyDescent="0.25">
      <c r="A1732" s="21">
        <v>1731</v>
      </c>
      <c r="B1732" s="5" cm="1">
        <f t="array" aca="1" ref="B1732" ca="1">interpolexp(A1732,serie_du,Taxas_DI)</f>
        <v>0.12990741974632236</v>
      </c>
      <c r="C1732" s="32">
        <f ca="1">((((1+B1732)^(A1732/252))/((1+B1731)^(A1731/252)))^(252/1))-1</f>
        <v>0.12519785097796299</v>
      </c>
      <c r="D1732" s="30">
        <v>0.12990741974632236</v>
      </c>
      <c r="E1732" s="31">
        <f ca="1">B1732-D1732</f>
        <v>0</v>
      </c>
    </row>
    <row r="1733" spans="1:5" x14ac:dyDescent="0.25">
      <c r="A1733" s="21">
        <v>1732</v>
      </c>
      <c r="B1733" s="5" cm="1">
        <f t="array" aca="1" ref="B1733" ca="1">interpolexp(A1733,serie_du,Taxas_DI)</f>
        <v>0.1299046949099214</v>
      </c>
      <c r="C1733" s="32">
        <f ca="1">((((1+B1733)^(A1733/252))/((1+B1732)^(A1732/252)))^(252/1))-1</f>
        <v>0.12519783979509258</v>
      </c>
      <c r="D1733" s="30">
        <v>0.1299046949099214</v>
      </c>
      <c r="E1733" s="31">
        <f ca="1">B1733-D1733</f>
        <v>0</v>
      </c>
    </row>
    <row r="1734" spans="1:5" x14ac:dyDescent="0.25">
      <c r="A1734" s="21">
        <v>1733</v>
      </c>
      <c r="B1734" s="5" cm="1">
        <f t="array" aca="1" ref="B1734" ca="1">interpolexp(A1734,serie_du,Taxas_DI)</f>
        <v>0.12990197321822716</v>
      </c>
      <c r="C1734" s="32">
        <f ca="1">((((1+B1734)^(A1734/252))/((1+B1733)^(A1733/252)))^(252/1))-1</f>
        <v>0.1251978285779114</v>
      </c>
      <c r="D1734" s="30">
        <v>0.12990197321822716</v>
      </c>
      <c r="E1734" s="31">
        <f ca="1">B1734-D1734</f>
        <v>0</v>
      </c>
    </row>
    <row r="1735" spans="1:5" x14ac:dyDescent="0.25">
      <c r="A1735" s="21">
        <v>1734</v>
      </c>
      <c r="B1735" s="5" cm="1">
        <f t="array" aca="1" ref="B1735" ca="1">interpolexp(A1735,serie_du,Taxas_DI)</f>
        <v>0.12989925466579955</v>
      </c>
      <c r="C1735" s="32">
        <f ca="1">((((1+B1735)^(A1735/252))/((1+B1734)^(A1734/252)))^(252/1))-1</f>
        <v>0.12519781738126579</v>
      </c>
      <c r="D1735" s="30">
        <v>0.12989925466579955</v>
      </c>
      <c r="E1735" s="31">
        <f ca="1">B1735-D1735</f>
        <v>0</v>
      </c>
    </row>
    <row r="1736" spans="1:5" x14ac:dyDescent="0.25">
      <c r="A1736" s="21">
        <v>1735</v>
      </c>
      <c r="B1736" s="5" cm="1">
        <f t="array" aca="1" ref="B1736" ca="1">interpolexp(A1736,serie_du,Taxas_DI)</f>
        <v>0.12989653924724287</v>
      </c>
      <c r="C1736" s="32">
        <f ca="1">((((1+B1736)^(A1736/252))/((1+B1735)^(A1735/252)))^(252/1))-1</f>
        <v>0.1251978062601653</v>
      </c>
      <c r="D1736" s="30">
        <v>0.12989653924724287</v>
      </c>
      <c r="E1736" s="31">
        <f ca="1">B1736-D1736</f>
        <v>0</v>
      </c>
    </row>
    <row r="1737" spans="1:5" x14ac:dyDescent="0.25">
      <c r="A1737" s="21">
        <v>1736</v>
      </c>
      <c r="B1737" s="5" cm="1">
        <f t="array" aca="1" ref="B1737" ca="1">interpolexp(A1737,serie_du,Taxas_DI)</f>
        <v>0.12989382695711704</v>
      </c>
      <c r="C1737" s="32">
        <f ca="1">((((1+B1737)^(A1737/252))/((1+B1736)^(A1736/252)))^(252/1))-1</f>
        <v>0.12519779511629747</v>
      </c>
      <c r="D1737" s="30">
        <v>0.12989382695711704</v>
      </c>
      <c r="E1737" s="31">
        <f ca="1">B1737-D1737</f>
        <v>0</v>
      </c>
    </row>
    <row r="1738" spans="1:5" x14ac:dyDescent="0.25">
      <c r="A1738" s="21">
        <v>1737</v>
      </c>
      <c r="B1738" s="5" cm="1">
        <f t="array" aca="1" ref="B1738" ca="1">interpolexp(A1738,serie_du,Taxas_DI)</f>
        <v>0.12989111779002638</v>
      </c>
      <c r="C1738" s="32">
        <f ca="1">((((1+B1738)^(A1738/252))/((1+B1737)^(A1737/252)))^(252/1))-1</f>
        <v>0.12519778400478399</v>
      </c>
      <c r="D1738" s="30">
        <v>0.12989111779002638</v>
      </c>
      <c r="E1738" s="31">
        <f ca="1">B1738-D1738</f>
        <v>0</v>
      </c>
    </row>
    <row r="1739" spans="1:5" x14ac:dyDescent="0.25">
      <c r="A1739" s="21">
        <v>1738</v>
      </c>
      <c r="B1739" s="5" cm="1">
        <f t="array" aca="1" ref="B1739" ca="1">interpolexp(A1739,serie_du,Taxas_DI)</f>
        <v>0.12988841174057519</v>
      </c>
      <c r="C1739" s="32">
        <f ca="1">((((1+B1739)^(A1739/252))/((1+B1738)^(A1738/252)))^(252/1))-1</f>
        <v>0.12519777290396927</v>
      </c>
      <c r="D1739" s="30">
        <v>0.12988841174057519</v>
      </c>
      <c r="E1739" s="31">
        <f ca="1">B1739-D1739</f>
        <v>0</v>
      </c>
    </row>
    <row r="1740" spans="1:5" x14ac:dyDescent="0.25">
      <c r="A1740" s="21">
        <v>1739</v>
      </c>
      <c r="B1740" s="5" cm="1">
        <f t="array" aca="1" ref="B1740" ca="1">interpolexp(A1740,serie_du,Taxas_DI)</f>
        <v>0.12988570880339001</v>
      </c>
      <c r="C1740" s="32">
        <f ca="1">((((1+B1740)^(A1740/252))/((1+B1739)^(A1739/252)))^(252/1))-1</f>
        <v>0.12519776183097053</v>
      </c>
      <c r="D1740" s="30">
        <v>0.12988570880339001</v>
      </c>
      <c r="E1740" s="31">
        <f ca="1">B1740-D1740</f>
        <v>0</v>
      </c>
    </row>
    <row r="1741" spans="1:5" x14ac:dyDescent="0.25">
      <c r="A1741" s="21">
        <v>1740</v>
      </c>
      <c r="B1741" s="5" cm="1">
        <f t="array" aca="1" ref="B1741" ca="1">interpolexp(A1741,serie_du,Taxas_DI)</f>
        <v>0.12988300897309735</v>
      </c>
      <c r="C1741" s="32">
        <f ca="1">((((1+B1741)^(A1741/252))/((1+B1740)^(A1740/252)))^(252/1))-1</f>
        <v>0.12519775076424433</v>
      </c>
      <c r="D1741" s="30">
        <v>0.12988300897309735</v>
      </c>
      <c r="E1741" s="31">
        <f ca="1">B1741-D1741</f>
        <v>0</v>
      </c>
    </row>
    <row r="1742" spans="1:5" x14ac:dyDescent="0.25">
      <c r="A1742" s="21">
        <v>1741</v>
      </c>
      <c r="B1742" s="5" cm="1">
        <f t="array" aca="1" ref="B1742" ca="1">interpolexp(A1742,serie_du,Taxas_DI)</f>
        <v>0.12988031224436813</v>
      </c>
      <c r="C1742" s="32">
        <f ca="1">((((1+B1742)^(A1742/252))/((1+B1741)^(A1741/252)))^(252/1))-1</f>
        <v>0.1251977397592865</v>
      </c>
      <c r="D1742" s="30">
        <v>0.12988031224436813</v>
      </c>
      <c r="E1742" s="31">
        <f ca="1">B1742-D1742</f>
        <v>0</v>
      </c>
    </row>
    <row r="1743" spans="1:5" x14ac:dyDescent="0.25">
      <c r="A1743" s="21">
        <v>1742</v>
      </c>
      <c r="B1743" s="5" cm="1">
        <f t="array" aca="1" ref="B1743" ca="1">interpolexp(A1743,serie_du,Taxas_DI)</f>
        <v>0.12987761861180669</v>
      </c>
      <c r="C1743" s="32">
        <f ca="1">((((1+B1743)^(A1743/252))/((1+B1742)^(A1742/252)))^(252/1))-1</f>
        <v>0.1251977286792898</v>
      </c>
      <c r="D1743" s="30">
        <v>0.12987761861180669</v>
      </c>
      <c r="E1743" s="31">
        <f ca="1">B1743-D1743</f>
        <v>0</v>
      </c>
    </row>
    <row r="1744" spans="1:5" x14ac:dyDescent="0.25">
      <c r="A1744" s="21">
        <v>1743</v>
      </c>
      <c r="B1744" s="5" cm="1">
        <f t="array" aca="1" ref="B1744" ca="1">interpolexp(A1744,serie_du,Taxas_DI)</f>
        <v>0.12987492807015055</v>
      </c>
      <c r="C1744" s="32">
        <f ca="1">((((1+B1744)^(A1744/252))/((1+B1743)^(A1743/252)))^(252/1))-1</f>
        <v>0.12519771773396871</v>
      </c>
      <c r="D1744" s="30">
        <v>0.12987492807015055</v>
      </c>
      <c r="E1744" s="31">
        <f ca="1">B1744-D1744</f>
        <v>0</v>
      </c>
    </row>
    <row r="1745" spans="1:5" x14ac:dyDescent="0.25">
      <c r="A1745" s="21">
        <v>1744</v>
      </c>
      <c r="B1745" s="5" cm="1">
        <f t="array" aca="1" ref="B1745" ca="1">interpolexp(A1745,serie_du,Taxas_DI)</f>
        <v>0.12987224061402625</v>
      </c>
      <c r="C1745" s="32">
        <f ca="1">((((1+B1745)^(A1745/252))/((1+B1744)^(A1744/252)))^(252/1))-1</f>
        <v>0.12519770670962349</v>
      </c>
      <c r="D1745" s="30">
        <v>0.12987224061402625</v>
      </c>
      <c r="E1745" s="31">
        <f ca="1">B1745-D1745</f>
        <v>0</v>
      </c>
    </row>
    <row r="1746" spans="1:5" x14ac:dyDescent="0.25">
      <c r="A1746" s="21">
        <v>1745</v>
      </c>
      <c r="B1746" s="5" cm="1">
        <f t="array" aca="1" ref="B1746" ca="1">interpolexp(A1746,serie_du,Taxas_DI)</f>
        <v>0.12986955623817131</v>
      </c>
      <c r="C1746" s="32">
        <f ca="1">((((1+B1746)^(A1746/252))/((1+B1745)^(A1745/252)))^(252/1))-1</f>
        <v>0.12519769577745232</v>
      </c>
      <c r="D1746" s="30">
        <v>0.12986955623817131</v>
      </c>
      <c r="E1746" s="31">
        <f ca="1">B1746-D1746</f>
        <v>0</v>
      </c>
    </row>
    <row r="1747" spans="1:5" x14ac:dyDescent="0.25">
      <c r="A1747" s="21">
        <v>1746</v>
      </c>
      <c r="B1747" s="5" cm="1">
        <f t="array" aca="1" ref="B1747" ca="1">interpolexp(A1747,serie_du,Taxas_DI)</f>
        <v>0.12986687493725668</v>
      </c>
      <c r="C1747" s="32">
        <f ca="1">((((1+B1747)^(A1747/252))/((1+B1746)^(A1746/252)))^(252/1))-1</f>
        <v>0.12519768480092419</v>
      </c>
      <c r="D1747" s="30">
        <v>0.12986687493725668</v>
      </c>
      <c r="E1747" s="31">
        <f ca="1">B1747-D1747</f>
        <v>0</v>
      </c>
    </row>
    <row r="1748" spans="1:5" x14ac:dyDescent="0.25">
      <c r="A1748" s="21">
        <v>1747</v>
      </c>
      <c r="B1748" s="5" cm="1">
        <f t="array" aca="1" ref="B1748" ca="1">interpolexp(A1748,serie_du,Taxas_DI)</f>
        <v>0.1298641967060199</v>
      </c>
      <c r="C1748" s="32">
        <f ca="1">((((1+B1748)^(A1748/252))/((1+B1747)^(A1747/252)))^(252/1))-1</f>
        <v>0.12519767387447089</v>
      </c>
      <c r="D1748" s="30">
        <v>0.1298641967060199</v>
      </c>
      <c r="E1748" s="31">
        <f ca="1">B1748-D1748</f>
        <v>0</v>
      </c>
    </row>
    <row r="1749" spans="1:5" x14ac:dyDescent="0.25">
      <c r="A1749" s="21">
        <v>1748</v>
      </c>
      <c r="B1749" s="5" cm="1">
        <f t="array" aca="1" ref="B1749" ca="1">interpolexp(A1749,serie_du,Taxas_DI)</f>
        <v>0.1298615215391985</v>
      </c>
      <c r="C1749" s="32">
        <f ca="1">((((1+B1749)^(A1749/252))/((1+B1748)^(A1748/252)))^(252/1))-1</f>
        <v>0.12519766297717605</v>
      </c>
      <c r="D1749" s="30">
        <v>0.1298615215391985</v>
      </c>
      <c r="E1749" s="31">
        <f ca="1">B1749-D1749</f>
        <v>0</v>
      </c>
    </row>
    <row r="1750" spans="1:5" x14ac:dyDescent="0.25">
      <c r="A1750" s="21">
        <v>1749</v>
      </c>
      <c r="B1750" s="5" cm="1">
        <f t="array" aca="1" ref="B1750" ca="1">interpolexp(A1750,serie_du,Taxas_DI)</f>
        <v>0.12985884943155224</v>
      </c>
      <c r="C1750" s="32">
        <f ca="1">((((1+B1750)^(A1750/252))/((1+B1749)^(A1749/252)))^(252/1))-1</f>
        <v>0.12519765212671841</v>
      </c>
      <c r="D1750" s="30">
        <v>0.12985884943155224</v>
      </c>
      <c r="E1750" s="31">
        <f ca="1">B1750-D1750</f>
        <v>0</v>
      </c>
    </row>
    <row r="1751" spans="1:5" x14ac:dyDescent="0.25">
      <c r="A1751" s="21">
        <v>1750</v>
      </c>
      <c r="B1751" s="5" cm="1">
        <f t="array" aca="1" ref="B1751" ca="1">interpolexp(A1751,serie_du,Taxas_DI)</f>
        <v>0.12985618037777424</v>
      </c>
      <c r="C1751" s="32">
        <f ca="1">((((1+B1751)^(A1751/252))/((1+B1750)^(A1750/252)))^(252/1))-1</f>
        <v>0.12519764118597942</v>
      </c>
      <c r="D1751" s="30">
        <v>0.12985618037777424</v>
      </c>
      <c r="E1751" s="31">
        <f ca="1">B1751-D1751</f>
        <v>0</v>
      </c>
    </row>
    <row r="1752" spans="1:5" x14ac:dyDescent="0.25">
      <c r="A1752" s="21">
        <v>1751</v>
      </c>
      <c r="B1752" s="5" cm="1">
        <f t="array" aca="1" ref="B1752" ca="1">interpolexp(A1752,serie_du,Taxas_DI)</f>
        <v>0.12985351437271309</v>
      </c>
      <c r="C1752" s="32">
        <f ca="1">((((1+B1752)^(A1752/252))/((1+B1751)^(A1751/252)))^(252/1))-1</f>
        <v>0.12519763040502707</v>
      </c>
      <c r="D1752" s="30">
        <v>0.12985351437271309</v>
      </c>
      <c r="E1752" s="31">
        <f ca="1">B1752-D1752</f>
        <v>0</v>
      </c>
    </row>
    <row r="1753" spans="1:5" x14ac:dyDescent="0.25">
      <c r="A1753" s="21">
        <v>1752</v>
      </c>
      <c r="B1753" s="5" cm="1">
        <f t="array" aca="1" ref="B1753" ca="1">interpolexp(A1753,serie_du,Taxas_DI)</f>
        <v>0.1298508514110841</v>
      </c>
      <c r="C1753" s="32">
        <f ca="1">((((1+B1753)^(A1753/252))/((1+B1752)^(A1752/252)))^(252/1))-1</f>
        <v>0.12519761953053177</v>
      </c>
      <c r="D1753" s="30">
        <v>0.1298508514110841</v>
      </c>
      <c r="E1753" s="31">
        <f ca="1">B1753-D1753</f>
        <v>0</v>
      </c>
    </row>
    <row r="1754" spans="1:5" x14ac:dyDescent="0.25">
      <c r="A1754" s="21">
        <v>1753</v>
      </c>
      <c r="B1754" s="5" cm="1">
        <f t="array" aca="1" ref="B1754" ca="1">interpolexp(A1754,serie_du,Taxas_DI)</f>
        <v>0.12984819148769144</v>
      </c>
      <c r="C1754" s="32">
        <f ca="1">((((1+B1754)^(A1754/252))/((1+B1753)^(A1753/252)))^(252/1))-1</f>
        <v>0.12519760869670593</v>
      </c>
      <c r="D1754" s="30">
        <v>0.12984819148769144</v>
      </c>
      <c r="E1754" s="31">
        <f ca="1">B1754-D1754</f>
        <v>0</v>
      </c>
    </row>
    <row r="1755" spans="1:5" x14ac:dyDescent="0.25">
      <c r="A1755" s="21">
        <v>1754</v>
      </c>
      <c r="B1755" s="5" cm="1">
        <f t="array" aca="1" ref="B1755" ca="1">interpolexp(A1755,serie_du,Taxas_DI)</f>
        <v>0.12984553459736148</v>
      </c>
      <c r="C1755" s="32">
        <f ca="1">((((1+B1755)^(A1755/252))/((1+B1754)^(A1754/252)))^(252/1))-1</f>
        <v>0.12519759792149898</v>
      </c>
      <c r="D1755" s="30">
        <v>0.12984553459736148</v>
      </c>
      <c r="E1755" s="31">
        <f ca="1">B1755-D1755</f>
        <v>0</v>
      </c>
    </row>
    <row r="1756" spans="1:5" x14ac:dyDescent="0.25">
      <c r="A1756" s="21">
        <v>1755</v>
      </c>
      <c r="B1756" s="5" cm="1">
        <f t="array" aca="1" ref="B1756" ca="1">interpolexp(A1756,serie_du,Taxas_DI)</f>
        <v>0.12984288073489836</v>
      </c>
      <c r="C1756" s="32">
        <f ca="1">((((1+B1756)^(A1756/252))/((1+B1755)^(A1755/252)))^(252/1))-1</f>
        <v>0.12519758714554707</v>
      </c>
      <c r="D1756" s="30">
        <v>0.12984288073489836</v>
      </c>
      <c r="E1756" s="31">
        <f ca="1">B1756-D1756</f>
        <v>0</v>
      </c>
    </row>
    <row r="1757" spans="1:5" x14ac:dyDescent="0.25">
      <c r="A1757" s="21">
        <v>1756</v>
      </c>
      <c r="B1757" s="5" cm="1">
        <f t="array" aca="1" ref="B1757" ca="1">interpolexp(A1757,serie_du,Taxas_DI)</f>
        <v>0.12984022989512845</v>
      </c>
      <c r="C1757" s="32">
        <f ca="1">((((1+B1757)^(A1757/252))/((1+B1756)^(A1756/252)))^(252/1))-1</f>
        <v>0.12519757638677476</v>
      </c>
      <c r="D1757" s="30">
        <v>0.12984022989512845</v>
      </c>
      <c r="E1757" s="31">
        <f ca="1">B1757-D1757</f>
        <v>0</v>
      </c>
    </row>
    <row r="1758" spans="1:5" x14ac:dyDescent="0.25">
      <c r="A1758" s="21">
        <v>1757</v>
      </c>
      <c r="B1758" s="5" cm="1">
        <f t="array" aca="1" ref="B1758" ca="1">interpolexp(A1758,serie_du,Taxas_DI)</f>
        <v>0.1298375820729003</v>
      </c>
      <c r="C1758" s="32">
        <f ca="1">((((1+B1758)^(A1758/252))/((1+B1757)^(A1757/252)))^(252/1))-1</f>
        <v>0.12519756566351559</v>
      </c>
      <c r="D1758" s="30">
        <v>0.1298375820729003</v>
      </c>
      <c r="E1758" s="31">
        <f ca="1">B1758-D1758</f>
        <v>0</v>
      </c>
    </row>
    <row r="1759" spans="1:5" x14ac:dyDescent="0.25">
      <c r="A1759" s="21">
        <v>1758</v>
      </c>
      <c r="B1759" s="5" cm="1">
        <f t="array" aca="1" ref="B1759" ca="1">interpolexp(A1759,serie_du,Taxas_DI)</f>
        <v>0.1298349372630403</v>
      </c>
      <c r="C1759" s="32">
        <f ca="1">((((1+B1759)^(A1759/252))/((1+B1758)^(A1758/252)))^(252/1))-1</f>
        <v>0.12519755491624562</v>
      </c>
      <c r="D1759" s="30">
        <v>0.1298349372630403</v>
      </c>
      <c r="E1759" s="31">
        <f ca="1">B1759-D1759</f>
        <v>0</v>
      </c>
    </row>
    <row r="1760" spans="1:5" x14ac:dyDescent="0.25">
      <c r="A1760" s="21">
        <v>1759</v>
      </c>
      <c r="B1760" s="5" cm="1">
        <f t="array" aca="1" ref="B1760" ca="1">interpolexp(A1760,serie_du,Taxas_DI)</f>
        <v>0.12983229546041919</v>
      </c>
      <c r="C1760" s="32">
        <f ca="1">((((1+B1760)^(A1760/252))/((1+B1759)^(A1759/252)))^(252/1))-1</f>
        <v>0.12519754420221996</v>
      </c>
      <c r="D1760" s="30">
        <v>0.12983229546041919</v>
      </c>
      <c r="E1760" s="31">
        <f ca="1">B1760-D1760</f>
        <v>0</v>
      </c>
    </row>
    <row r="1761" spans="1:5" x14ac:dyDescent="0.25">
      <c r="A1761" s="21">
        <v>1760</v>
      </c>
      <c r="B1761" s="5" cm="1">
        <f t="array" aca="1" ref="B1761" ca="1">interpolexp(A1761,serie_du,Taxas_DI)</f>
        <v>0.12982965665992996</v>
      </c>
      <c r="C1761" s="32">
        <f ca="1">((((1+B1761)^(A1761/252))/((1+B1760)^(A1760/252)))^(252/1))-1</f>
        <v>0.12519753353976881</v>
      </c>
      <c r="D1761" s="30">
        <v>0.12982965665992996</v>
      </c>
      <c r="E1761" s="31">
        <f ca="1">B1761-D1761</f>
        <v>0</v>
      </c>
    </row>
    <row r="1762" spans="1:5" x14ac:dyDescent="0.25">
      <c r="A1762" s="21">
        <v>1761</v>
      </c>
      <c r="B1762" s="5" cm="1">
        <f t="array" aca="1" ref="B1762" ca="1">interpolexp(A1762,serie_du,Taxas_DI)</f>
        <v>0.12982702085644338</v>
      </c>
      <c r="C1762" s="32">
        <f ca="1">((((1+B1762)^(A1762/252))/((1+B1761)^(A1761/252)))^(252/1))-1</f>
        <v>0.12519752286958141</v>
      </c>
      <c r="D1762" s="30">
        <v>0.12982702085644338</v>
      </c>
      <c r="E1762" s="31">
        <f ca="1">B1762-D1762</f>
        <v>0</v>
      </c>
    </row>
    <row r="1763" spans="1:5" x14ac:dyDescent="0.25">
      <c r="A1763" s="21">
        <v>1762</v>
      </c>
      <c r="B1763" s="5" cm="1">
        <f t="array" aca="1" ref="B1763" ca="1">interpolexp(A1763,serie_du,Taxas_DI)</f>
        <v>0.12982438804485241</v>
      </c>
      <c r="C1763" s="32">
        <f ca="1">((((1+B1763)^(A1763/252))/((1+B1762)^(A1762/252)))^(252/1))-1</f>
        <v>0.12519751221024289</v>
      </c>
      <c r="D1763" s="30">
        <v>0.12982438804485241</v>
      </c>
      <c r="E1763" s="31">
        <f ca="1">B1763-D1763</f>
        <v>0</v>
      </c>
    </row>
    <row r="1764" spans="1:5" x14ac:dyDescent="0.25">
      <c r="A1764" s="21">
        <v>1763</v>
      </c>
      <c r="B1764" s="5" cm="1">
        <f t="array" aca="1" ref="B1764" ca="1">interpolexp(A1764,serie_du,Taxas_DI)</f>
        <v>0.12982175822007225</v>
      </c>
      <c r="C1764" s="32">
        <f ca="1">((((1+B1764)^(A1764/252))/((1+B1763)^(A1763/252)))^(252/1))-1</f>
        <v>0.12519750158022092</v>
      </c>
      <c r="D1764" s="30">
        <v>0.12982175822007225</v>
      </c>
      <c r="E1764" s="31">
        <f ca="1">B1764-D1764</f>
        <v>0</v>
      </c>
    </row>
    <row r="1765" spans="1:5" x14ac:dyDescent="0.25">
      <c r="A1765" s="21">
        <v>1764</v>
      </c>
      <c r="B1765" s="5" cm="1">
        <f t="array" aca="1" ref="B1765" ca="1">interpolexp(A1765,serie_du,Taxas_DI)</f>
        <v>0.12981913137701806</v>
      </c>
      <c r="C1765" s="32">
        <f ca="1">((((1+B1765)^(A1765/252))/((1+B1764)^(A1764/252)))^(252/1))-1</f>
        <v>0.12519749095931232</v>
      </c>
      <c r="D1765" s="30">
        <v>0.12981913137701806</v>
      </c>
      <c r="E1765" s="31">
        <f ca="1">B1765-D1765</f>
        <v>0</v>
      </c>
    </row>
    <row r="1766" spans="1:5" x14ac:dyDescent="0.25">
      <c r="A1766" s="21">
        <v>1765</v>
      </c>
      <c r="B1766" s="5" cm="1">
        <f t="array" aca="1" ref="B1766" ca="1">interpolexp(A1766,serie_du,Taxas_DI)</f>
        <v>0.12981650751062723</v>
      </c>
      <c r="C1766" s="32">
        <f ca="1">((((1+B1766)^(A1766/252))/((1+B1765)^(A1765/252)))^(252/1))-1</f>
        <v>0.12519748036634848</v>
      </c>
      <c r="D1766" s="30">
        <v>0.12981650751062723</v>
      </c>
      <c r="E1766" s="31">
        <f ca="1">B1766-D1766</f>
        <v>0</v>
      </c>
    </row>
    <row r="1767" spans="1:5" x14ac:dyDescent="0.25">
      <c r="A1767" s="21">
        <v>1766</v>
      </c>
      <c r="B1767" s="5" cm="1">
        <f t="array" aca="1" ref="B1767" ca="1">interpolexp(A1767,serie_du,Taxas_DI)</f>
        <v>0.12981388661583715</v>
      </c>
      <c r="C1767" s="32">
        <f ca="1">((((1+B1767)^(A1767/252))/((1+B1766)^(A1766/252)))^(252/1))-1</f>
        <v>0.1251974697807885</v>
      </c>
      <c r="D1767" s="30">
        <v>0.12981388661583715</v>
      </c>
      <c r="E1767" s="31">
        <f ca="1">B1767-D1767</f>
        <v>0</v>
      </c>
    </row>
    <row r="1768" spans="1:5" x14ac:dyDescent="0.25">
      <c r="A1768" s="21">
        <v>1767</v>
      </c>
      <c r="B1768" s="5" cm="1">
        <f t="array" aca="1" ref="B1768" ca="1">interpolexp(A1768,serie_du,Taxas_DI)</f>
        <v>0.1298112686876074</v>
      </c>
      <c r="C1768" s="32">
        <f ca="1">((((1+B1768)^(A1768/252))/((1+B1767)^(A1767/252)))^(252/1))-1</f>
        <v>0.12519745922175018</v>
      </c>
      <c r="D1768" s="30">
        <v>0.1298112686876074</v>
      </c>
      <c r="E1768" s="31">
        <f ca="1">B1768-D1768</f>
        <v>0</v>
      </c>
    </row>
    <row r="1769" spans="1:5" x14ac:dyDescent="0.25">
      <c r="A1769" s="21">
        <v>1768</v>
      </c>
      <c r="B1769" s="5" cm="1">
        <f t="array" aca="1" ref="B1769" ca="1">interpolexp(A1769,serie_du,Taxas_DI)</f>
        <v>0.12980865372091976</v>
      </c>
      <c r="C1769" s="32">
        <f ca="1">((((1+B1769)^(A1769/252))/((1+B1768)^(A1768/252)))^(252/1))-1</f>
        <v>0.12519744870821881</v>
      </c>
      <c r="D1769" s="30">
        <v>0.12980865372091976</v>
      </c>
      <c r="E1769" s="31">
        <f ca="1">B1769-D1769</f>
        <v>0</v>
      </c>
    </row>
    <row r="1770" spans="1:5" x14ac:dyDescent="0.25">
      <c r="A1770" s="21">
        <v>1769</v>
      </c>
      <c r="B1770" s="5" cm="1">
        <f t="array" aca="1" ref="B1770" ca="1">interpolexp(A1770,serie_du,Taxas_DI)</f>
        <v>0.12980604171071164</v>
      </c>
      <c r="C1770" s="32">
        <f ca="1">((((1+B1770)^(A1770/252))/((1+B1769)^(A1769/252)))^(252/1))-1</f>
        <v>0.12519743814189654</v>
      </c>
      <c r="D1770" s="30">
        <v>0.12980604171071164</v>
      </c>
      <c r="E1770" s="31">
        <f ca="1">B1770-D1770</f>
        <v>0</v>
      </c>
    </row>
    <row r="1771" spans="1:5" x14ac:dyDescent="0.25">
      <c r="A1771" s="21">
        <v>1770</v>
      </c>
      <c r="B1771" s="5" cm="1">
        <f t="array" aca="1" ref="B1771" ca="1">interpolexp(A1771,serie_du,Taxas_DI)</f>
        <v>0.12980343265200922</v>
      </c>
      <c r="C1771" s="32">
        <f ca="1">((((1+B1771)^(A1771/252))/((1+B1770)^(A1770/252)))^(252/1))-1</f>
        <v>0.12519742765905351</v>
      </c>
      <c r="D1771" s="30">
        <v>0.12980343265200922</v>
      </c>
      <c r="E1771" s="31">
        <f ca="1">B1771-D1771</f>
        <v>0</v>
      </c>
    </row>
    <row r="1772" spans="1:5" x14ac:dyDescent="0.25">
      <c r="A1772" s="21">
        <v>1771</v>
      </c>
      <c r="B1772" s="5" cm="1">
        <f t="array" aca="1" ref="B1772" ca="1">interpolexp(A1772,serie_du,Taxas_DI)</f>
        <v>0.1298008265397943</v>
      </c>
      <c r="C1772" s="32">
        <f ca="1">((((1+B1772)^(A1772/252))/((1+B1771)^(A1771/252)))^(252/1))-1</f>
        <v>0.12519741716159416</v>
      </c>
      <c r="D1772" s="30">
        <v>0.1298008265397943</v>
      </c>
      <c r="E1772" s="31">
        <f ca="1">B1772-D1772</f>
        <v>0</v>
      </c>
    </row>
    <row r="1773" spans="1:5" x14ac:dyDescent="0.25">
      <c r="A1773" s="21">
        <v>1772</v>
      </c>
      <c r="B1773" s="5" cm="1">
        <f t="array" aca="1" ref="B1773" ca="1">interpolexp(A1773,serie_du,Taxas_DI)</f>
        <v>0.12979822336909308</v>
      </c>
      <c r="C1773" s="32">
        <f ca="1">((((1+B1773)^(A1773/252))/((1+B1772)^(A1772/252)))^(252/1))-1</f>
        <v>0.12519740670772483</v>
      </c>
      <c r="D1773" s="30">
        <v>0.12979822336909308</v>
      </c>
      <c r="E1773" s="31">
        <f ca="1">B1773-D1773</f>
        <v>0</v>
      </c>
    </row>
    <row r="1774" spans="1:5" x14ac:dyDescent="0.25">
      <c r="A1774" s="21">
        <v>1773</v>
      </c>
      <c r="B1774" s="5" cm="1">
        <f t="array" aca="1" ref="B1774" ca="1">interpolexp(A1774,serie_du,Taxas_DI)</f>
        <v>0.12979562313490955</v>
      </c>
      <c r="C1774" s="32">
        <f ca="1">((((1+B1774)^(A1774/252))/((1+B1773)^(A1773/252)))^(252/1))-1</f>
        <v>0.12519739623867343</v>
      </c>
      <c r="D1774" s="30">
        <v>0.12979562313490955</v>
      </c>
      <c r="E1774" s="31">
        <f ca="1">B1774-D1774</f>
        <v>0</v>
      </c>
    </row>
    <row r="1775" spans="1:5" x14ac:dyDescent="0.25">
      <c r="A1775" s="21">
        <v>1774</v>
      </c>
      <c r="B1775" s="5" cm="1">
        <f t="array" aca="1" ref="B1775" ca="1">interpolexp(A1775,serie_du,Taxas_DI)</f>
        <v>0.12979302583229213</v>
      </c>
      <c r="C1775" s="32">
        <f ca="1">((((1+B1775)^(A1775/252))/((1+B1774)^(A1774/252)))^(252/1))-1</f>
        <v>0.12519738581267226</v>
      </c>
      <c r="D1775" s="30">
        <v>0.12979302583229213</v>
      </c>
      <c r="E1775" s="31">
        <f ca="1">B1775-D1775</f>
        <v>0</v>
      </c>
    </row>
    <row r="1776" spans="1:5" x14ac:dyDescent="0.25">
      <c r="A1776" s="21">
        <v>1775</v>
      </c>
      <c r="B1776" s="5" cm="1">
        <f t="array" aca="1" ref="B1776" ca="1">interpolexp(A1776,serie_du,Taxas_DI)</f>
        <v>0.12979043145626701</v>
      </c>
      <c r="C1776" s="32">
        <f ca="1">((((1+B1776)^(A1776/252))/((1+B1775)^(A1775/252)))^(252/1))-1</f>
        <v>0.12519737537082398</v>
      </c>
      <c r="D1776" s="30">
        <v>0.12979043145626701</v>
      </c>
      <c r="E1776" s="31">
        <f ca="1">B1776-D1776</f>
        <v>0</v>
      </c>
    </row>
    <row r="1777" spans="1:5" x14ac:dyDescent="0.25">
      <c r="A1777" s="21">
        <v>1776</v>
      </c>
      <c r="B1777" s="5" cm="1">
        <f t="array" aca="1" ref="B1777" ca="1">interpolexp(A1777,serie_du,Taxas_DI)</f>
        <v>0.1297878400019048</v>
      </c>
      <c r="C1777" s="32">
        <f ca="1">((((1+B1777)^(A1777/252))/((1+B1776)^(A1776/252)))^(252/1))-1</f>
        <v>0.12519736497181433</v>
      </c>
      <c r="D1777" s="30">
        <v>0.1297878400019048</v>
      </c>
      <c r="E1777" s="31">
        <f ca="1">B1777-D1777</f>
        <v>0</v>
      </c>
    </row>
    <row r="1778" spans="1:5" x14ac:dyDescent="0.25">
      <c r="A1778" s="21">
        <v>1777</v>
      </c>
      <c r="B1778" s="5" cm="1">
        <f t="array" aca="1" ref="B1778" ca="1">interpolexp(A1778,serie_du,Taxas_DI)</f>
        <v>0.12978525146427611</v>
      </c>
      <c r="C1778" s="32">
        <f ca="1">((((1+B1778)^(A1778/252))/((1+B1777)^(A1777/252)))^(252/1))-1</f>
        <v>0.12519735459593928</v>
      </c>
      <c r="D1778" s="30">
        <v>0.12978525146427611</v>
      </c>
      <c r="E1778" s="31">
        <f ca="1">B1778-D1778</f>
        <v>0</v>
      </c>
    </row>
    <row r="1779" spans="1:5" x14ac:dyDescent="0.25">
      <c r="A1779" s="21">
        <v>1778</v>
      </c>
      <c r="B1779" s="5" cm="1">
        <f t="array" aca="1" ref="B1779" ca="1">interpolexp(A1779,serie_du,Taxas_DI)</f>
        <v>0.12978266583847375</v>
      </c>
      <c r="C1779" s="32">
        <f ca="1">((((1+B1779)^(A1779/252))/((1+B1778)^(A1778/252)))^(252/1))-1</f>
        <v>0.12519734426290063</v>
      </c>
      <c r="D1779" s="30">
        <v>0.12978266583847375</v>
      </c>
      <c r="E1779" s="31">
        <f ca="1">B1779-D1779</f>
        <v>0</v>
      </c>
    </row>
    <row r="1780" spans="1:5" x14ac:dyDescent="0.25">
      <c r="A1780" s="21">
        <v>1779</v>
      </c>
      <c r="B1780" s="5" cm="1">
        <f t="array" aca="1" ref="B1780" ca="1">interpolexp(A1780,serie_du,Taxas_DI)</f>
        <v>0.12978008311954614</v>
      </c>
      <c r="C1780" s="32">
        <f ca="1">((((1+B1780)^(A1780/252))/((1+B1779)^(A1779/252)))^(252/1))-1</f>
        <v>0.12519733387426535</v>
      </c>
      <c r="D1780" s="30">
        <v>0.12978008311954614</v>
      </c>
      <c r="E1780" s="31">
        <f ca="1">B1780-D1780</f>
        <v>0</v>
      </c>
    </row>
    <row r="1781" spans="1:5" x14ac:dyDescent="0.25">
      <c r="A1781" s="21">
        <v>1780</v>
      </c>
      <c r="B1781" s="5" cm="1">
        <f t="array" aca="1" ref="B1781" ca="1">interpolexp(A1781,serie_du,Taxas_DI)</f>
        <v>0.12977750330263049</v>
      </c>
      <c r="C1781" s="32">
        <f ca="1">((((1+B1781)^(A1781/252))/((1+B1780)^(A1780/252)))^(252/1))-1</f>
        <v>0.12519732356804347</v>
      </c>
      <c r="D1781" s="30">
        <v>0.12977750330263049</v>
      </c>
      <c r="E1781" s="31">
        <f ca="1">B1781-D1781</f>
        <v>0</v>
      </c>
    </row>
    <row r="1782" spans="1:5" x14ac:dyDescent="0.25">
      <c r="A1782" s="21">
        <v>1781</v>
      </c>
      <c r="B1782" s="5" cm="1">
        <f t="array" aca="1" ref="B1782" ca="1">interpolexp(A1782,serie_du,Taxas_DI)</f>
        <v>0.12977492638279742</v>
      </c>
      <c r="C1782" s="32">
        <f ca="1">((((1+B1782)^(A1782/252))/((1+B1781)^(A1781/252)))^(252/1))-1</f>
        <v>0.12519731320621941</v>
      </c>
      <c r="D1782" s="30">
        <v>0.12977492638279742</v>
      </c>
      <c r="E1782" s="31">
        <f ca="1">B1782-D1782</f>
        <v>0</v>
      </c>
    </row>
    <row r="1783" spans="1:5" x14ac:dyDescent="0.25">
      <c r="A1783" s="21">
        <v>1782</v>
      </c>
      <c r="B1783" s="5" cm="1">
        <f t="array" aca="1" ref="B1783" ca="1">interpolexp(A1783,serie_du,Taxas_DI)</f>
        <v>0.12977235235522855</v>
      </c>
      <c r="C1783" s="32">
        <f ca="1">((((1+B1783)^(A1783/252))/((1+B1782)^(A1782/252)))^(252/1))-1</f>
        <v>0.12519730296667264</v>
      </c>
      <c r="D1783" s="30">
        <v>0.12977235235522855</v>
      </c>
      <c r="E1783" s="31">
        <f ca="1">B1783-D1783</f>
        <v>0</v>
      </c>
    </row>
    <row r="1784" spans="1:5" x14ac:dyDescent="0.25">
      <c r="A1784" s="21">
        <v>1783</v>
      </c>
      <c r="B1784" s="5" cm="1">
        <f t="array" aca="1" ref="B1784" ca="1">interpolexp(A1784,serie_du,Taxas_DI)</f>
        <v>0.1297697812149945</v>
      </c>
      <c r="C1784" s="32">
        <f ca="1">((((1+B1784)^(A1784/252))/((1+B1783)^(A1783/252)))^(252/1))-1</f>
        <v>0.12519729263246915</v>
      </c>
      <c r="D1784" s="30">
        <v>0.1297697812149945</v>
      </c>
      <c r="E1784" s="31">
        <f ca="1">B1784-D1784</f>
        <v>0</v>
      </c>
    </row>
    <row r="1785" spans="1:5" x14ac:dyDescent="0.25">
      <c r="A1785" s="21">
        <v>1784</v>
      </c>
      <c r="B1785" s="5" cm="1">
        <f t="array" aca="1" ref="B1785" ca="1">interpolexp(A1785,serie_du,Taxas_DI)</f>
        <v>0.12976721295730309</v>
      </c>
      <c r="C1785" s="32">
        <f ca="1">((((1+B1785)^(A1785/252))/((1+B1784)^(A1784/252)))^(252/1))-1</f>
        <v>0.12519728242825923</v>
      </c>
      <c r="D1785" s="30">
        <v>0.12976721295730309</v>
      </c>
      <c r="E1785" s="31">
        <f ca="1">B1785-D1785</f>
        <v>0</v>
      </c>
    </row>
    <row r="1786" spans="1:5" x14ac:dyDescent="0.25">
      <c r="A1786" s="21">
        <v>1785</v>
      </c>
      <c r="B1786" s="5" cm="1">
        <f t="array" aca="1" ref="B1786" ca="1">interpolexp(A1786,serie_du,Taxas_DI)</f>
        <v>0.12976476957027305</v>
      </c>
      <c r="C1786" s="32">
        <f ca="1">((((1+B1786)^(A1786/252))/((1+B1785)^(A1785/252)))^(252/1))-1</f>
        <v>0.1254141702289453</v>
      </c>
      <c r="D1786" s="30">
        <v>0.12976476957027305</v>
      </c>
      <c r="E1786" s="31">
        <f ca="1">B1786-D1786</f>
        <v>0</v>
      </c>
    </row>
    <row r="1787" spans="1:5" x14ac:dyDescent="0.25">
      <c r="A1787" s="21">
        <v>1786</v>
      </c>
      <c r="B1787" s="5" cm="1">
        <f t="array" aca="1" ref="B1787" ca="1">interpolexp(A1787,serie_du,Taxas_DI)</f>
        <v>0.12976232891945827</v>
      </c>
      <c r="C1787" s="32">
        <f ca="1">((((1+B1787)^(A1787/252))/((1+B1786)^(A1786/252)))^(252/1))-1</f>
        <v>0.12541416094910551</v>
      </c>
      <c r="D1787" s="30">
        <v>0.12976232891945827</v>
      </c>
      <c r="E1787" s="31">
        <f ca="1">B1787-D1787</f>
        <v>0</v>
      </c>
    </row>
    <row r="1788" spans="1:5" x14ac:dyDescent="0.25">
      <c r="A1788" s="21">
        <v>1787</v>
      </c>
      <c r="B1788" s="5" cm="1">
        <f t="array" aca="1" ref="B1788" ca="1">interpolexp(A1788,serie_du,Taxas_DI)</f>
        <v>0.12975989100028062</v>
      </c>
      <c r="C1788" s="32">
        <f ca="1">((((1+B1788)^(A1788/252))/((1+B1787)^(A1787/252)))^(252/1))-1</f>
        <v>0.12541415171241455</v>
      </c>
      <c r="D1788" s="30">
        <v>0.12975989100028062</v>
      </c>
      <c r="E1788" s="31">
        <f ca="1">B1788-D1788</f>
        <v>0</v>
      </c>
    </row>
    <row r="1789" spans="1:5" x14ac:dyDescent="0.25">
      <c r="A1789" s="21">
        <v>1788</v>
      </c>
      <c r="B1789" s="5" cm="1">
        <f t="array" aca="1" ref="B1789" ca="1">interpolexp(A1789,serie_du,Taxas_DI)</f>
        <v>0.12975745580812159</v>
      </c>
      <c r="C1789" s="32">
        <f ca="1">((((1+B1789)^(A1789/252))/((1+B1788)^(A1788/252)))^(252/1))-1</f>
        <v>0.12541414242866078</v>
      </c>
      <c r="D1789" s="30">
        <v>0.12975745580812159</v>
      </c>
      <c r="E1789" s="31">
        <f ca="1">B1789-D1789</f>
        <v>0</v>
      </c>
    </row>
    <row r="1790" spans="1:5" x14ac:dyDescent="0.25">
      <c r="A1790" s="21">
        <v>1789</v>
      </c>
      <c r="B1790" s="5" cm="1">
        <f t="array" aca="1" ref="B1790" ca="1">interpolexp(A1790,serie_du,Taxas_DI)</f>
        <v>0.12975502333845146</v>
      </c>
      <c r="C1790" s="32">
        <f ca="1">((((1+B1790)^(A1790/252))/((1+B1789)^(A1789/252)))^(252/1))-1</f>
        <v>0.12541413323762107</v>
      </c>
      <c r="D1790" s="30">
        <v>0.12975502333845146</v>
      </c>
      <c r="E1790" s="31">
        <f ca="1">B1790-D1790</f>
        <v>0</v>
      </c>
    </row>
    <row r="1791" spans="1:5" x14ac:dyDescent="0.25">
      <c r="A1791" s="21">
        <v>1790</v>
      </c>
      <c r="B1791" s="5" cm="1">
        <f t="array" aca="1" ref="B1791" ca="1">interpolexp(A1791,serie_du,Taxas_DI)</f>
        <v>0.1297525935866739</v>
      </c>
      <c r="C1791" s="32">
        <f ca="1">((((1+B1791)^(A1791/252))/((1+B1790)^(A1790/252)))^(252/1))-1</f>
        <v>0.1254141240024349</v>
      </c>
      <c r="D1791" s="30">
        <v>0.1297525935866739</v>
      </c>
      <c r="E1791" s="31">
        <f ca="1">B1791-D1791</f>
        <v>0</v>
      </c>
    </row>
    <row r="1792" spans="1:5" x14ac:dyDescent="0.25">
      <c r="A1792" s="21">
        <v>1791</v>
      </c>
      <c r="B1792" s="5" cm="1">
        <f t="array" aca="1" ref="B1792" ca="1">interpolexp(A1792,serie_du,Taxas_DI)</f>
        <v>0.12975016654823701</v>
      </c>
      <c r="C1792" s="32">
        <f ca="1">((((1+B1792)^(A1792/252))/((1+B1791)^(A1791/252)))^(252/1))-1</f>
        <v>0.12541411478414743</v>
      </c>
      <c r="D1792" s="30">
        <v>0.12975016654823701</v>
      </c>
      <c r="E1792" s="31">
        <f ca="1">B1792-D1792</f>
        <v>0</v>
      </c>
    </row>
    <row r="1793" spans="1:5" x14ac:dyDescent="0.25">
      <c r="A1793" s="21">
        <v>1792</v>
      </c>
      <c r="B1793" s="5" cm="1">
        <f t="array" aca="1" ref="B1793" ca="1">interpolexp(A1793,serie_du,Taxas_DI)</f>
        <v>0.12974774221861107</v>
      </c>
      <c r="C1793" s="32">
        <f ca="1">((((1+B1793)^(A1793/252))/((1+B1792)^(A1792/252)))^(252/1))-1</f>
        <v>0.12541410560393618</v>
      </c>
      <c r="D1793" s="30">
        <v>0.12974774221861107</v>
      </c>
      <c r="E1793" s="31">
        <f ca="1">B1793-D1793</f>
        <v>0</v>
      </c>
    </row>
    <row r="1794" spans="1:5" x14ac:dyDescent="0.25">
      <c r="A1794" s="21">
        <v>1793</v>
      </c>
      <c r="B1794" s="5" cm="1">
        <f t="array" aca="1" ref="B1794" ca="1">interpolexp(A1794,serie_du,Taxas_DI)</f>
        <v>0.12974532059324417</v>
      </c>
      <c r="C1794" s="32">
        <f ca="1">((((1+B1794)^(A1794/252))/((1+B1793)^(A1793/252)))^(252/1))-1</f>
        <v>0.12541409640439527</v>
      </c>
      <c r="D1794" s="30">
        <v>0.12974532059324417</v>
      </c>
      <c r="E1794" s="31">
        <f ca="1">B1794-D1794</f>
        <v>0</v>
      </c>
    </row>
    <row r="1795" spans="1:5" x14ac:dyDescent="0.25">
      <c r="A1795" s="21">
        <v>1794</v>
      </c>
      <c r="B1795" s="5" cm="1">
        <f t="array" aca="1" ref="B1795" ca="1">interpolexp(A1795,serie_du,Taxas_DI)</f>
        <v>0.12974290166765101</v>
      </c>
      <c r="C1795" s="32">
        <f ca="1">((((1+B1795)^(A1795/252))/((1+B1794)^(A1794/252)))^(252/1))-1</f>
        <v>0.12541408728610492</v>
      </c>
      <c r="D1795" s="30">
        <v>0.12974290166765101</v>
      </c>
      <c r="E1795" s="31">
        <f ca="1">B1795-D1795</f>
        <v>0</v>
      </c>
    </row>
    <row r="1796" spans="1:5" x14ac:dyDescent="0.25">
      <c r="A1796" s="21">
        <v>1795</v>
      </c>
      <c r="B1796" s="5" cm="1">
        <f t="array" aca="1" ref="B1796" ca="1">interpolexp(A1796,serie_du,Taxas_DI)</f>
        <v>0.12974048543730188</v>
      </c>
      <c r="C1796" s="32">
        <f ca="1">((((1+B1796)^(A1796/252))/((1+B1795)^(A1795/252)))^(252/1))-1</f>
        <v>0.12541407815196481</v>
      </c>
      <c r="D1796" s="30">
        <v>0.12974048543730188</v>
      </c>
      <c r="E1796" s="31">
        <f ca="1">B1796-D1796</f>
        <v>0</v>
      </c>
    </row>
    <row r="1797" spans="1:5" x14ac:dyDescent="0.25">
      <c r="A1797" s="21">
        <v>1796</v>
      </c>
      <c r="B1797" s="5" cm="1">
        <f t="array" aca="1" ref="B1797" ca="1">interpolexp(A1797,serie_du,Taxas_DI)</f>
        <v>0.12973807189768927</v>
      </c>
      <c r="C1797" s="32">
        <f ca="1">((((1+B1797)^(A1797/252))/((1+B1796)^(A1796/252)))^(252/1))-1</f>
        <v>0.12541406902336938</v>
      </c>
      <c r="D1797" s="30">
        <v>0.12973807189768927</v>
      </c>
      <c r="E1797" s="31">
        <f ca="1">B1797-D1797</f>
        <v>0</v>
      </c>
    </row>
    <row r="1798" spans="1:5" x14ac:dyDescent="0.25">
      <c r="A1798" s="21">
        <v>1797</v>
      </c>
      <c r="B1798" s="5" cm="1">
        <f t="array" aca="1" ref="B1798" ca="1">interpolexp(A1798,serie_du,Taxas_DI)</f>
        <v>0.12973566104430567</v>
      </c>
      <c r="C1798" s="32">
        <f ca="1">((((1+B1798)^(A1798/252))/((1+B1797)^(A1797/252)))^(252/1))-1</f>
        <v>0.1254140598826281</v>
      </c>
      <c r="D1798" s="30">
        <v>0.12973566104430567</v>
      </c>
      <c r="E1798" s="31">
        <f ca="1">B1798-D1798</f>
        <v>0</v>
      </c>
    </row>
    <row r="1799" spans="1:5" x14ac:dyDescent="0.25">
      <c r="A1799" s="21">
        <v>1798</v>
      </c>
      <c r="B1799" s="5" cm="1">
        <f t="array" aca="1" ref="B1799" ca="1">interpolexp(A1799,serie_du,Taxas_DI)</f>
        <v>0.129733252872688</v>
      </c>
      <c r="C1799" s="32">
        <f ca="1">((((1+B1799)^(A1799/252))/((1+B1798)^(A1798/252)))^(252/1))-1</f>
        <v>0.12541405079093937</v>
      </c>
      <c r="D1799" s="30">
        <v>0.129733252872688</v>
      </c>
      <c r="E1799" s="31">
        <f ca="1">B1799-D1799</f>
        <v>0</v>
      </c>
    </row>
    <row r="1800" spans="1:5" x14ac:dyDescent="0.25">
      <c r="A1800" s="21">
        <v>1799</v>
      </c>
      <c r="B1800" s="5" cm="1">
        <f t="array" aca="1" ref="B1800" ca="1">interpolexp(A1800,serie_du,Taxas_DI)</f>
        <v>0.12973084737837315</v>
      </c>
      <c r="C1800" s="32">
        <f ca="1">((((1+B1800)^(A1800/252))/((1+B1799)^(A1799/252)))^(252/1))-1</f>
        <v>0.12541404173082982</v>
      </c>
      <c r="D1800" s="30">
        <v>0.12973084737837315</v>
      </c>
      <c r="E1800" s="31">
        <f ca="1">B1800-D1800</f>
        <v>0</v>
      </c>
    </row>
    <row r="1801" spans="1:5" x14ac:dyDescent="0.25">
      <c r="A1801" s="21">
        <v>1800</v>
      </c>
      <c r="B1801" s="5" cm="1">
        <f t="array" aca="1" ref="B1801" ca="1">interpolexp(A1801,serie_du,Taxas_DI)</f>
        <v>0.12972844455687582</v>
      </c>
      <c r="C1801" s="32">
        <f ca="1">((((1+B1801)^(A1801/252))/((1+B1800)^(A1800/252)))^(252/1))-1</f>
        <v>0.12541403264453277</v>
      </c>
      <c r="D1801" s="30">
        <v>0.12972844455687582</v>
      </c>
      <c r="E1801" s="31">
        <f ca="1">B1801-D1801</f>
        <v>0</v>
      </c>
    </row>
    <row r="1802" spans="1:5" x14ac:dyDescent="0.25">
      <c r="A1802" s="21">
        <v>1801</v>
      </c>
      <c r="B1802" s="5" cm="1">
        <f t="array" aca="1" ref="B1802" ca="1">interpolexp(A1802,serie_du,Taxas_DI)</f>
        <v>0.12972604440377733</v>
      </c>
      <c r="C1802" s="32">
        <f ca="1">((((1+B1802)^(A1802/252))/((1+B1801)^(A1801/252)))^(252/1))-1</f>
        <v>0.12541402363350818</v>
      </c>
      <c r="D1802" s="30">
        <v>0.12972604440377733</v>
      </c>
      <c r="E1802" s="31">
        <f ca="1">B1802-D1802</f>
        <v>0</v>
      </c>
    </row>
    <row r="1803" spans="1:5" x14ac:dyDescent="0.25">
      <c r="A1803" s="21">
        <v>1802</v>
      </c>
      <c r="B1803" s="5" cm="1">
        <f t="array" aca="1" ref="B1803" ca="1">interpolexp(A1803,serie_du,Taxas_DI)</f>
        <v>0.12972364691459237</v>
      </c>
      <c r="C1803" s="32">
        <f ca="1">((((1+B1803)^(A1803/252))/((1+B1802)^(A1802/252)))^(252/1))-1</f>
        <v>0.12541401456077272</v>
      </c>
      <c r="D1803" s="30">
        <v>0.12972364691459237</v>
      </c>
      <c r="E1803" s="31">
        <f ca="1">B1803-D1803</f>
        <v>0</v>
      </c>
    </row>
    <row r="1804" spans="1:5" x14ac:dyDescent="0.25">
      <c r="A1804" s="21">
        <v>1803</v>
      </c>
      <c r="B1804" s="5" cm="1">
        <f t="array" aca="1" ref="B1804" ca="1">interpolexp(A1804,serie_du,Taxas_DI)</f>
        <v>0.12972125208490226</v>
      </c>
      <c r="C1804" s="32">
        <f ca="1">((((1+B1804)^(A1804/252))/((1+B1803)^(A1803/252)))^(252/1))-1</f>
        <v>0.12541400552793824</v>
      </c>
      <c r="D1804" s="30">
        <v>0.12972125208490226</v>
      </c>
      <c r="E1804" s="31">
        <f ca="1">B1804-D1804</f>
        <v>0</v>
      </c>
    </row>
    <row r="1805" spans="1:5" x14ac:dyDescent="0.25">
      <c r="A1805" s="21">
        <v>1804</v>
      </c>
      <c r="B1805" s="5" cm="1">
        <f t="array" aca="1" ref="B1805" ca="1">interpolexp(A1805,serie_du,Taxas_DI)</f>
        <v>0.12971885991031051</v>
      </c>
      <c r="C1805" s="32">
        <f ca="1">((((1+B1805)^(A1805/252))/((1+B1804)^(A1804/252)))^(252/1))-1</f>
        <v>0.12541399655723962</v>
      </c>
      <c r="D1805" s="30">
        <v>0.12971885991031051</v>
      </c>
      <c r="E1805" s="31">
        <f ca="1">B1805-D1805</f>
        <v>0</v>
      </c>
    </row>
    <row r="1806" spans="1:5" x14ac:dyDescent="0.25">
      <c r="A1806" s="21">
        <v>1805</v>
      </c>
      <c r="B1806" s="5" cm="1">
        <f t="array" aca="1" ref="B1806" ca="1">interpolexp(A1806,serie_du,Taxas_DI)</f>
        <v>0.12971647038637624</v>
      </c>
      <c r="C1806" s="32">
        <f ca="1">((((1+B1806)^(A1806/252))/((1+B1805)^(A1805/252)))^(252/1))-1</f>
        <v>0.12541398755138289</v>
      </c>
      <c r="D1806" s="30">
        <v>0.12971647038637624</v>
      </c>
      <c r="E1806" s="31">
        <f ca="1">B1806-D1806</f>
        <v>0</v>
      </c>
    </row>
    <row r="1807" spans="1:5" x14ac:dyDescent="0.25">
      <c r="A1807" s="21">
        <v>1806</v>
      </c>
      <c r="B1807" s="5" cm="1">
        <f t="array" aca="1" ref="B1807" ca="1">interpolexp(A1807,serie_du,Taxas_DI)</f>
        <v>0.12971408350870295</v>
      </c>
      <c r="C1807" s="32">
        <f ca="1">((((1+B1807)^(A1807/252))/((1+B1806)^(A1806/252)))^(252/1))-1</f>
        <v>0.12541397857240288</v>
      </c>
      <c r="D1807" s="30">
        <v>0.12971408350870295</v>
      </c>
      <c r="E1807" s="31">
        <f ca="1">B1807-D1807</f>
        <v>0</v>
      </c>
    </row>
    <row r="1808" spans="1:5" x14ac:dyDescent="0.25">
      <c r="A1808" s="21">
        <v>1807</v>
      </c>
      <c r="B1808" s="5" cm="1">
        <f t="array" aca="1" ref="B1808" ca="1">interpolexp(A1808,serie_du,Taxas_DI)</f>
        <v>0.12971169927291637</v>
      </c>
      <c r="C1808" s="32">
        <f ca="1">((((1+B1808)^(A1808/252))/((1+B1807)^(A1807/252)))^(252/1))-1</f>
        <v>0.12541396964288021</v>
      </c>
      <c r="D1808" s="30">
        <v>0.12971169927291637</v>
      </c>
      <c r="E1808" s="31">
        <f ca="1">B1808-D1808</f>
        <v>0</v>
      </c>
    </row>
    <row r="1809" spans="1:5" x14ac:dyDescent="0.25">
      <c r="A1809" s="21">
        <v>1808</v>
      </c>
      <c r="B1809" s="5" cm="1">
        <f t="array" aca="1" ref="B1809" ca="1">interpolexp(A1809,serie_du,Taxas_DI)</f>
        <v>0.12970931767459781</v>
      </c>
      <c r="C1809" s="32">
        <f ca="1">((((1+B1809)^(A1809/252))/((1+B1808)^(A1808/252)))^(252/1))-1</f>
        <v>0.12541396066508992</v>
      </c>
      <c r="D1809" s="30">
        <v>0.12970931767459781</v>
      </c>
      <c r="E1809" s="31">
        <f ca="1">B1809-D1809</f>
        <v>0</v>
      </c>
    </row>
    <row r="1810" spans="1:5" x14ac:dyDescent="0.25">
      <c r="A1810" s="21">
        <v>1809</v>
      </c>
      <c r="B1810" s="5" cm="1">
        <f t="array" aca="1" ref="B1810" ca="1">interpolexp(A1810,serie_du,Taxas_DI)</f>
        <v>0.1297069387093952</v>
      </c>
      <c r="C1810" s="32">
        <f ca="1">((((1+B1810)^(A1810/252))/((1+B1809)^(A1809/252)))^(252/1))-1</f>
        <v>0.12541395174180425</v>
      </c>
      <c r="D1810" s="30">
        <v>0.1297069387093952</v>
      </c>
      <c r="E1810" s="31">
        <f ca="1">B1810-D1810</f>
        <v>0</v>
      </c>
    </row>
    <row r="1811" spans="1:5" x14ac:dyDescent="0.25">
      <c r="A1811" s="21">
        <v>1810</v>
      </c>
      <c r="B1811" s="5" cm="1">
        <f t="array" aca="1" ref="B1811" ca="1">interpolexp(A1811,serie_du,Taxas_DI)</f>
        <v>0.12970456237293426</v>
      </c>
      <c r="C1811" s="32">
        <f ca="1">((((1+B1811)^(A1811/252))/((1+B1810)^(A1810/252)))^(252/1))-1</f>
        <v>0.12541394281537932</v>
      </c>
      <c r="D1811" s="30">
        <v>0.12970456237293426</v>
      </c>
      <c r="E1811" s="31">
        <f ca="1">B1811-D1811</f>
        <v>0</v>
      </c>
    </row>
    <row r="1812" spans="1:5" x14ac:dyDescent="0.25">
      <c r="A1812" s="21">
        <v>1811</v>
      </c>
      <c r="B1812" s="5" cm="1">
        <f t="array" aca="1" ref="B1812" ca="1">interpolexp(A1812,serie_du,Taxas_DI)</f>
        <v>0.12970218866088512</v>
      </c>
      <c r="C1812" s="32">
        <f ca="1">((((1+B1812)^(A1812/252))/((1+B1811)^(A1811/252)))^(252/1))-1</f>
        <v>0.12541393394849254</v>
      </c>
      <c r="D1812" s="30">
        <v>0.12970218866088512</v>
      </c>
      <c r="E1812" s="31">
        <f ca="1">B1812-D1812</f>
        <v>0</v>
      </c>
    </row>
    <row r="1813" spans="1:5" x14ac:dyDescent="0.25">
      <c r="A1813" s="21">
        <v>1812</v>
      </c>
      <c r="B1813" s="5" cm="1">
        <f t="array" aca="1" ref="B1813" ca="1">interpolexp(A1813,serie_du,Taxas_DI)</f>
        <v>0.12969981756885129</v>
      </c>
      <c r="C1813" s="32">
        <f ca="1">((((1+B1813)^(A1813/252))/((1+B1812)^(A1812/252)))^(252/1))-1</f>
        <v>0.12541392500370407</v>
      </c>
      <c r="D1813" s="30">
        <v>0.12969981756885129</v>
      </c>
      <c r="E1813" s="31">
        <f ca="1">B1813-D1813</f>
        <v>0</v>
      </c>
    </row>
    <row r="1814" spans="1:5" x14ac:dyDescent="0.25">
      <c r="A1814" s="21">
        <v>1813</v>
      </c>
      <c r="B1814" s="5" cm="1">
        <f t="array" aca="1" ref="B1814" ca="1">interpolexp(A1814,serie_du,Taxas_DI)</f>
        <v>0.12969744909254732</v>
      </c>
      <c r="C1814" s="32">
        <f ca="1">((((1+B1814)^(A1814/252))/((1+B1813)^(A1813/252)))^(252/1))-1</f>
        <v>0.12541391616380326</v>
      </c>
      <c r="D1814" s="30">
        <v>0.12969744909254732</v>
      </c>
      <c r="E1814" s="31">
        <f ca="1">B1814-D1814</f>
        <v>0</v>
      </c>
    </row>
    <row r="1815" spans="1:5" x14ac:dyDescent="0.25">
      <c r="A1815" s="21">
        <v>1814</v>
      </c>
      <c r="B1815" s="5" cm="1">
        <f t="array" aca="1" ref="B1815" ca="1">interpolexp(A1815,serie_du,Taxas_DI)</f>
        <v>0.12969508322764334</v>
      </c>
      <c r="C1815" s="32">
        <f ca="1">((((1+B1815)^(A1815/252))/((1+B1814)^(A1814/252)))^(252/1))-1</f>
        <v>0.12541390733155433</v>
      </c>
      <c r="D1815" s="30">
        <v>0.12969508322764334</v>
      </c>
      <c r="E1815" s="31">
        <f ca="1">B1815-D1815</f>
        <v>0</v>
      </c>
    </row>
    <row r="1816" spans="1:5" x14ac:dyDescent="0.25">
      <c r="A1816" s="21">
        <v>1815</v>
      </c>
      <c r="B1816" s="5" cm="1">
        <f t="array" aca="1" ref="B1816" ca="1">interpolexp(A1816,serie_du,Taxas_DI)</f>
        <v>0.12969271996978726</v>
      </c>
      <c r="C1816" s="32">
        <f ca="1">((((1+B1816)^(A1816/252))/((1+B1815)^(A1815/252)))^(252/1))-1</f>
        <v>0.12541389844955875</v>
      </c>
      <c r="D1816" s="30">
        <v>0.12969271996978726</v>
      </c>
      <c r="E1816" s="31">
        <f ca="1">B1816-D1816</f>
        <v>0</v>
      </c>
    </row>
    <row r="1817" spans="1:5" x14ac:dyDescent="0.25">
      <c r="A1817" s="21">
        <v>1816</v>
      </c>
      <c r="B1817" s="5" cm="1">
        <f t="array" aca="1" ref="B1817" ca="1">interpolexp(A1817,serie_du,Taxas_DI)</f>
        <v>0.12969035931469364</v>
      </c>
      <c r="C1817" s="32">
        <f ca="1">((((1+B1817)^(A1817/252))/((1+B1816)^(A1816/252)))^(252/1))-1</f>
        <v>0.12541388962095779</v>
      </c>
      <c r="D1817" s="30">
        <v>0.12969035931469364</v>
      </c>
      <c r="E1817" s="31">
        <f ca="1">B1817-D1817</f>
        <v>0</v>
      </c>
    </row>
    <row r="1818" spans="1:5" x14ac:dyDescent="0.25">
      <c r="A1818" s="21">
        <v>1817</v>
      </c>
      <c r="B1818" s="5" cm="1">
        <f t="array" aca="1" ref="B1818" ca="1">interpolexp(A1818,serie_du,Taxas_DI)</f>
        <v>0.129688001258077</v>
      </c>
      <c r="C1818" s="32">
        <f ca="1">((((1+B1818)^(A1818/252))/((1+B1817)^(A1817/252)))^(252/1))-1</f>
        <v>0.12541388082847771</v>
      </c>
      <c r="D1818" s="30">
        <v>0.129688001258077</v>
      </c>
      <c r="E1818" s="31">
        <f ca="1">B1818-D1818</f>
        <v>0</v>
      </c>
    </row>
    <row r="1819" spans="1:5" x14ac:dyDescent="0.25">
      <c r="A1819" s="21">
        <v>1818</v>
      </c>
      <c r="B1819" s="5" cm="1">
        <f t="array" aca="1" ref="B1819" ca="1">interpolexp(A1819,serie_du,Taxas_DI)</f>
        <v>0.12968564579562969</v>
      </c>
      <c r="C1819" s="32">
        <f ca="1">((((1+B1819)^(A1819/252))/((1+B1818)^(A1818/252)))^(252/1))-1</f>
        <v>0.12541387201494159</v>
      </c>
      <c r="D1819" s="30">
        <v>0.12968564579562969</v>
      </c>
      <c r="E1819" s="31">
        <f ca="1">B1819-D1819</f>
        <v>0</v>
      </c>
    </row>
    <row r="1820" spans="1:5" x14ac:dyDescent="0.25">
      <c r="A1820" s="21">
        <v>1819</v>
      </c>
      <c r="B1820" s="5" cm="1">
        <f t="array" aca="1" ref="B1820" ca="1">interpolexp(A1820,serie_du,Taxas_DI)</f>
        <v>0.12968329292308844</v>
      </c>
      <c r="C1820" s="32">
        <f ca="1">((((1+B1820)^(A1820/252))/((1+B1819)^(A1819/252)))^(252/1))-1</f>
        <v>0.12541386324362791</v>
      </c>
      <c r="D1820" s="30">
        <v>0.12968329292308844</v>
      </c>
      <c r="E1820" s="31">
        <f ca="1">B1820-D1820</f>
        <v>0</v>
      </c>
    </row>
    <row r="1821" spans="1:5" x14ac:dyDescent="0.25">
      <c r="A1821" s="21">
        <v>1820</v>
      </c>
      <c r="B1821" s="5" cm="1">
        <f t="array" aca="1" ref="B1821" ca="1">interpolexp(A1821,serie_du,Taxas_DI)</f>
        <v>0.12968094263616781</v>
      </c>
      <c r="C1821" s="32">
        <f ca="1">((((1+B1821)^(A1821/252))/((1+B1820)^(A1820/252)))^(252/1))-1</f>
        <v>0.12541385445706021</v>
      </c>
      <c r="D1821" s="30">
        <v>0.12968094263616781</v>
      </c>
      <c r="E1821" s="31">
        <f ca="1">B1821-D1821</f>
        <v>0</v>
      </c>
    </row>
    <row r="1822" spans="1:5" x14ac:dyDescent="0.25">
      <c r="A1822" s="21">
        <v>1821</v>
      </c>
      <c r="B1822" s="5" cm="1">
        <f t="array" aca="1" ref="B1822" ca="1">interpolexp(A1822,serie_du,Taxas_DI)</f>
        <v>0.12967859493062672</v>
      </c>
      <c r="C1822" s="32">
        <f ca="1">((((1+B1822)^(A1822/252))/((1+B1821)^(A1821/252)))^(252/1))-1</f>
        <v>0.12541384571909364</v>
      </c>
      <c r="D1822" s="30">
        <v>0.12967859493062672</v>
      </c>
      <c r="E1822" s="31">
        <f ca="1">B1822-D1822</f>
        <v>0</v>
      </c>
    </row>
    <row r="1823" spans="1:5" x14ac:dyDescent="0.25">
      <c r="A1823" s="21">
        <v>1822</v>
      </c>
      <c r="B1823" s="5" cm="1">
        <f t="array" aca="1" ref="B1823" ca="1">interpolexp(A1823,serie_du,Taxas_DI)</f>
        <v>0.12967624980220194</v>
      </c>
      <c r="C1823" s="32">
        <f ca="1">((((1+B1823)^(A1823/252))/((1+B1822)^(A1822/252)))^(252/1))-1</f>
        <v>0.12541383697203567</v>
      </c>
      <c r="D1823" s="30">
        <v>0.12967624980220194</v>
      </c>
      <c r="E1823" s="31">
        <f ca="1">B1823-D1823</f>
        <v>0</v>
      </c>
    </row>
    <row r="1824" spans="1:5" x14ac:dyDescent="0.25">
      <c r="A1824" s="21">
        <v>1823</v>
      </c>
      <c r="B1824" s="5" cm="1">
        <f t="array" aca="1" ref="B1824" ca="1">interpolexp(A1824,serie_du,Taxas_DI)</f>
        <v>0.1296739072466524</v>
      </c>
      <c r="C1824" s="32">
        <f ca="1">((((1+B1824)^(A1824/252))/((1+B1823)^(A1823/252)))^(252/1))-1</f>
        <v>0.12541382823947123</v>
      </c>
      <c r="D1824" s="30">
        <v>0.1296739072466524</v>
      </c>
      <c r="E1824" s="31">
        <f ca="1">B1824-D1824</f>
        <v>0</v>
      </c>
    </row>
    <row r="1825" spans="1:5" x14ac:dyDescent="0.25">
      <c r="A1825" s="21">
        <v>1824</v>
      </c>
      <c r="B1825" s="5" cm="1">
        <f t="array" aca="1" ref="B1825" ca="1">interpolexp(A1825,serie_du,Taxas_DI)</f>
        <v>0.12967156725975926</v>
      </c>
      <c r="C1825" s="32">
        <f ca="1">((((1+B1825)^(A1825/252))/((1+B1824)^(A1824/252)))^(252/1))-1</f>
        <v>0.12541381954484554</v>
      </c>
      <c r="D1825" s="30">
        <v>0.12967156725975926</v>
      </c>
      <c r="E1825" s="31">
        <f ca="1">B1825-D1825</f>
        <v>0</v>
      </c>
    </row>
    <row r="1826" spans="1:5" x14ac:dyDescent="0.25">
      <c r="A1826" s="21">
        <v>1825</v>
      </c>
      <c r="B1826" s="5" cm="1">
        <f t="array" aca="1" ref="B1826" ca="1">interpolexp(A1826,serie_du,Taxas_DI)</f>
        <v>0.12966922983728146</v>
      </c>
      <c r="C1826" s="32">
        <f ca="1">((((1+B1826)^(A1826/252))/((1+B1825)^(A1825/252)))^(252/1))-1</f>
        <v>0.12541381083076586</v>
      </c>
      <c r="D1826" s="30">
        <v>0.12966922983728146</v>
      </c>
      <c r="E1826" s="31">
        <f ca="1">B1826-D1826</f>
        <v>0</v>
      </c>
    </row>
    <row r="1827" spans="1:5" x14ac:dyDescent="0.25">
      <c r="A1827" s="21">
        <v>1826</v>
      </c>
      <c r="B1827" s="5" cm="1">
        <f t="array" aca="1" ref="B1827" ca="1">interpolexp(A1827,serie_du,Taxas_DI)</f>
        <v>0.12966689497500017</v>
      </c>
      <c r="C1827" s="32">
        <f ca="1">((((1+B1827)^(A1827/252))/((1+B1826)^(A1826/252)))^(252/1))-1</f>
        <v>0.12541380212072095</v>
      </c>
      <c r="D1827" s="30">
        <v>0.12966689497500017</v>
      </c>
      <c r="E1827" s="31">
        <f ca="1">B1827-D1827</f>
        <v>0</v>
      </c>
    </row>
    <row r="1828" spans="1:5" x14ac:dyDescent="0.25">
      <c r="A1828" s="21">
        <v>1827</v>
      </c>
      <c r="B1828" s="5" cm="1">
        <f t="array" aca="1" ref="B1828" ca="1">interpolexp(A1828,serie_du,Taxas_DI)</f>
        <v>0.12966456266874093</v>
      </c>
      <c r="C1828" s="32">
        <f ca="1">((((1+B1828)^(A1828/252))/((1+B1827)^(A1827/252)))^(252/1))-1</f>
        <v>0.125413793478796</v>
      </c>
      <c r="D1828" s="30">
        <v>0.12966456266874093</v>
      </c>
      <c r="E1828" s="31">
        <f ca="1">B1828-D1828</f>
        <v>0</v>
      </c>
    </row>
    <row r="1829" spans="1:5" x14ac:dyDescent="0.25">
      <c r="A1829" s="21">
        <v>1828</v>
      </c>
      <c r="B1829" s="5" cm="1">
        <f t="array" aca="1" ref="B1829" ca="1">interpolexp(A1829,serie_du,Taxas_DI)</f>
        <v>0.12966223291428491</v>
      </c>
      <c r="C1829" s="32">
        <f ca="1">((((1+B1829)^(A1829/252))/((1+B1828)^(A1828/252)))^(252/1))-1</f>
        <v>0.12541378480734644</v>
      </c>
      <c r="D1829" s="30">
        <v>0.12966223291428491</v>
      </c>
      <c r="E1829" s="31">
        <f ca="1">B1829-D1829</f>
        <v>0</v>
      </c>
    </row>
    <row r="1830" spans="1:5" x14ac:dyDescent="0.25">
      <c r="A1830" s="21">
        <v>1829</v>
      </c>
      <c r="B1830" s="5" cm="1">
        <f t="array" aca="1" ref="B1830" ca="1">interpolexp(A1830,serie_du,Taxas_DI)</f>
        <v>0.12965990570747987</v>
      </c>
      <c r="C1830" s="32">
        <f ca="1">((((1+B1830)^(A1830/252))/((1+B1829)^(A1829/252)))^(252/1))-1</f>
        <v>0.12541377621113159</v>
      </c>
      <c r="D1830" s="30">
        <v>0.12965990570747987</v>
      </c>
      <c r="E1830" s="31">
        <f ca="1">B1830-D1830</f>
        <v>0</v>
      </c>
    </row>
    <row r="1831" spans="1:5" x14ac:dyDescent="0.25">
      <c r="A1831" s="21">
        <v>1830</v>
      </c>
      <c r="B1831" s="5" cm="1">
        <f t="array" aca="1" ref="B1831" ca="1">interpolexp(A1831,serie_du,Taxas_DI)</f>
        <v>0.12965758104408476</v>
      </c>
      <c r="C1831" s="32">
        <f ca="1">((((1+B1831)^(A1831/252))/((1+B1830)^(A1830/252)))^(252/1))-1</f>
        <v>0.12541376751129119</v>
      </c>
      <c r="D1831" s="30">
        <v>0.12965758104408476</v>
      </c>
      <c r="E1831" s="31">
        <f ca="1">B1831-D1831</f>
        <v>0</v>
      </c>
    </row>
    <row r="1832" spans="1:5" x14ac:dyDescent="0.25">
      <c r="A1832" s="21">
        <v>1831</v>
      </c>
      <c r="B1832" s="5" cm="1">
        <f t="array" aca="1" ref="B1832" ca="1">interpolexp(A1832,serie_du,Taxas_DI)</f>
        <v>0.12965525892001395</v>
      </c>
      <c r="C1832" s="32">
        <f ca="1">((((1+B1832)^(A1832/252))/((1+B1831)^(A1831/252)))^(252/1))-1</f>
        <v>0.12541375897480278</v>
      </c>
      <c r="D1832" s="30">
        <v>0.12965525892001395</v>
      </c>
      <c r="E1832" s="31">
        <f ca="1">B1832-D1832</f>
        <v>0</v>
      </c>
    </row>
    <row r="1833" spans="1:5" x14ac:dyDescent="0.25">
      <c r="A1833" s="21">
        <v>1832</v>
      </c>
      <c r="B1833" s="5" cm="1">
        <f t="array" aca="1" ref="B1833" ca="1">interpolexp(A1833,serie_du,Taxas_DI)</f>
        <v>0.1296529393310264</v>
      </c>
      <c r="C1833" s="32">
        <f ca="1">((((1+B1833)^(A1833/252))/((1+B1832)^(A1832/252)))^(252/1))-1</f>
        <v>0.12541375030128465</v>
      </c>
      <c r="D1833" s="30">
        <v>0.1296529393310264</v>
      </c>
      <c r="E1833" s="31">
        <f ca="1">B1833-D1833</f>
        <v>0</v>
      </c>
    </row>
    <row r="1834" spans="1:5" x14ac:dyDescent="0.25">
      <c r="A1834" s="21">
        <v>1833</v>
      </c>
      <c r="B1834" s="5" cm="1">
        <f t="array" aca="1" ref="B1834" ca="1">interpolexp(A1834,serie_du,Taxas_DI)</f>
        <v>0.12965062227303648</v>
      </c>
      <c r="C1834" s="32">
        <f ca="1">((((1+B1834)^(A1834/252))/((1+B1833)^(A1833/252)))^(252/1))-1</f>
        <v>0.12541374175798015</v>
      </c>
      <c r="D1834" s="30">
        <v>0.12965062227303648</v>
      </c>
      <c r="E1834" s="31">
        <f ca="1">B1834-D1834</f>
        <v>0</v>
      </c>
    </row>
    <row r="1835" spans="1:5" x14ac:dyDescent="0.25">
      <c r="A1835" s="21">
        <v>1834</v>
      </c>
      <c r="B1835" s="5" cm="1">
        <f t="array" aca="1" ref="B1835" ca="1">interpolexp(A1835,serie_du,Taxas_DI)</f>
        <v>0.12964830774189195</v>
      </c>
      <c r="C1835" s="32">
        <f ca="1">((((1+B1835)^(A1835/252))/((1+B1834)^(A1834/252)))^(252/1))-1</f>
        <v>0.12541373320671023</v>
      </c>
      <c r="D1835" s="30">
        <v>0.12964830774189195</v>
      </c>
      <c r="E1835" s="31">
        <f ca="1">B1835-D1835</f>
        <v>0</v>
      </c>
    </row>
    <row r="1836" spans="1:5" x14ac:dyDescent="0.25">
      <c r="A1836" s="21">
        <v>1835</v>
      </c>
      <c r="B1836" s="5" cm="1">
        <f t="array" aca="1" ref="B1836" ca="1">interpolexp(A1836,serie_du,Taxas_DI)</f>
        <v>0.1296459957334184</v>
      </c>
      <c r="C1836" s="32">
        <f ca="1">((((1+B1836)^(A1836/252))/((1+B1835)^(A1835/252)))^(252/1))-1</f>
        <v>0.12541372459022559</v>
      </c>
      <c r="D1836" s="30">
        <v>0.1296459957334184</v>
      </c>
      <c r="E1836" s="31">
        <f ca="1">B1836-D1836</f>
        <v>0</v>
      </c>
    </row>
    <row r="1837" spans="1:5" x14ac:dyDescent="0.25">
      <c r="A1837" s="21">
        <v>1836</v>
      </c>
      <c r="B1837" s="5" cm="1">
        <f t="array" aca="1" ref="B1837" ca="1">interpolexp(A1837,serie_du,Taxas_DI)</f>
        <v>0.12964368624355238</v>
      </c>
      <c r="C1837" s="32">
        <f ca="1">((((1+B1837)^(A1837/252))/((1+B1836)^(A1836/252)))^(252/1))-1</f>
        <v>0.12541371609506502</v>
      </c>
      <c r="D1837" s="30">
        <v>0.12964368624355238</v>
      </c>
      <c r="E1837" s="31">
        <f ca="1">B1837-D1837</f>
        <v>0</v>
      </c>
    </row>
    <row r="1838" spans="1:5" x14ac:dyDescent="0.25">
      <c r="A1838" s="21">
        <v>1837</v>
      </c>
      <c r="B1838" s="5" cm="1">
        <f t="array" aca="1" ref="B1838" ca="1">interpolexp(A1838,serie_du,Taxas_DI)</f>
        <v>0.12964137926814168</v>
      </c>
      <c r="C1838" s="32">
        <f ca="1">((((1+B1838)^(A1838/252))/((1+B1837)^(A1837/252)))^(252/1))-1</f>
        <v>0.1254137075424786</v>
      </c>
      <c r="D1838" s="30">
        <v>0.12964137926814168</v>
      </c>
      <c r="E1838" s="31">
        <f ca="1">B1838-D1838</f>
        <v>0</v>
      </c>
    </row>
    <row r="1839" spans="1:5" x14ac:dyDescent="0.25">
      <c r="A1839" s="21">
        <v>1838</v>
      </c>
      <c r="B1839" s="5" cm="1">
        <f t="array" aca="1" ref="B1839" ca="1">interpolexp(A1839,serie_du,Taxas_DI)</f>
        <v>0.12963907480310066</v>
      </c>
      <c r="C1839" s="32">
        <f ca="1">((((1+B1839)^(A1839/252))/((1+B1838)^(A1838/252)))^(252/1))-1</f>
        <v>0.12541369903776611</v>
      </c>
      <c r="D1839" s="30">
        <v>0.12963907480310066</v>
      </c>
      <c r="E1839" s="31">
        <f ca="1">B1839-D1839</f>
        <v>0</v>
      </c>
    </row>
    <row r="1840" spans="1:5" x14ac:dyDescent="0.25">
      <c r="A1840" s="21">
        <v>1839</v>
      </c>
      <c r="B1840" s="5" cm="1">
        <f t="array" aca="1" ref="B1840" ca="1">interpolexp(A1840,serie_du,Taxas_DI)</f>
        <v>0.12963677284432151</v>
      </c>
      <c r="C1840" s="32">
        <f ca="1">((((1+B1840)^(A1840/252))/((1+B1839)^(A1839/252)))^(252/1))-1</f>
        <v>0.12541369052392515</v>
      </c>
      <c r="D1840" s="30">
        <v>0.12963677284432151</v>
      </c>
      <c r="E1840" s="31">
        <f ca="1">B1840-D1840</f>
        <v>0</v>
      </c>
    </row>
    <row r="1841" spans="1:5" x14ac:dyDescent="0.25">
      <c r="A1841" s="21">
        <v>1840</v>
      </c>
      <c r="B1841" s="5" cm="1">
        <f t="array" aca="1" ref="B1841" ca="1">interpolexp(A1841,serie_du,Taxas_DI)</f>
        <v>0.12963447338771861</v>
      </c>
      <c r="C1841" s="32">
        <f ca="1">((((1+B1841)^(A1841/252))/((1+B1840)^(A1840/252)))^(252/1))-1</f>
        <v>0.12541368202544256</v>
      </c>
      <c r="D1841" s="30">
        <v>0.12963447338771861</v>
      </c>
      <c r="E1841" s="31">
        <f ca="1">B1841-D1841</f>
        <v>0</v>
      </c>
    </row>
    <row r="1842" spans="1:5" x14ac:dyDescent="0.25">
      <c r="A1842" s="21">
        <v>1841</v>
      </c>
      <c r="B1842" s="5" cm="1">
        <f t="array" aca="1" ref="B1842" ca="1">interpolexp(A1842,serie_du,Taxas_DI)</f>
        <v>0.12963217642922853</v>
      </c>
      <c r="C1842" s="32">
        <f ca="1">((((1+B1842)^(A1842/252))/((1+B1841)^(A1841/252)))^(252/1))-1</f>
        <v>0.12541367356648325</v>
      </c>
      <c r="D1842" s="30">
        <v>0.12963217642922853</v>
      </c>
      <c r="E1842" s="31">
        <f ca="1">B1842-D1842</f>
        <v>0</v>
      </c>
    </row>
    <row r="1843" spans="1:5" x14ac:dyDescent="0.25">
      <c r="A1843" s="21">
        <v>1842</v>
      </c>
      <c r="B1843" s="5" cm="1">
        <f t="array" aca="1" ref="B1843" ca="1">interpolexp(A1843,serie_du,Taxas_DI)</f>
        <v>0.12962988196478786</v>
      </c>
      <c r="C1843" s="32">
        <f ca="1">((((1+B1843)^(A1843/252))/((1+B1842)^(A1842/252)))^(252/1))-1</f>
        <v>0.12541366513091301</v>
      </c>
      <c r="D1843" s="30">
        <v>0.12962988196478786</v>
      </c>
      <c r="E1843" s="31">
        <f ca="1">B1843-D1843</f>
        <v>0</v>
      </c>
    </row>
    <row r="1844" spans="1:5" x14ac:dyDescent="0.25">
      <c r="A1844" s="21">
        <v>1843</v>
      </c>
      <c r="B1844" s="5" cm="1">
        <f t="array" aca="1" ref="B1844" ca="1">interpolexp(A1844,serie_du,Taxas_DI)</f>
        <v>0.12962758999031099</v>
      </c>
      <c r="C1844" s="32">
        <f ca="1">((((1+B1844)^(A1844/252))/((1+B1843)^(A1843/252)))^(252/1))-1</f>
        <v>0.12541365666181692</v>
      </c>
      <c r="D1844" s="30">
        <v>0.12962758999031099</v>
      </c>
      <c r="E1844" s="31">
        <f ca="1">B1844-D1844</f>
        <v>0</v>
      </c>
    </row>
    <row r="1845" spans="1:5" x14ac:dyDescent="0.25">
      <c r="A1845" s="21">
        <v>1844</v>
      </c>
      <c r="B1845" s="5" cm="1">
        <f t="array" aca="1" ref="B1845" ca="1">interpolexp(A1845,serie_du,Taxas_DI)</f>
        <v>0.12962530050175669</v>
      </c>
      <c r="C1845" s="32">
        <f ca="1">((((1+B1845)^(A1845/252))/((1+B1844)^(A1844/252)))^(252/1))-1</f>
        <v>0.12541364822442369</v>
      </c>
      <c r="D1845" s="30">
        <v>0.12962530050175669</v>
      </c>
      <c r="E1845" s="31">
        <f ca="1">B1845-D1845</f>
        <v>0</v>
      </c>
    </row>
    <row r="1846" spans="1:5" x14ac:dyDescent="0.25">
      <c r="A1846" s="21">
        <v>1845</v>
      </c>
      <c r="B1846" s="5" cm="1">
        <f t="array" aca="1" ref="B1846" ca="1">interpolexp(A1846,serie_du,Taxas_DI)</f>
        <v>0.12962301349508376</v>
      </c>
      <c r="C1846" s="32">
        <f ca="1">((((1+B1846)^(A1846/252))/((1+B1845)^(A1845/252)))^(252/1))-1</f>
        <v>0.12541363980264753</v>
      </c>
      <c r="D1846" s="30">
        <v>0.12962301349508376</v>
      </c>
      <c r="E1846" s="31">
        <f ca="1">B1846-D1846</f>
        <v>0</v>
      </c>
    </row>
    <row r="1847" spans="1:5" x14ac:dyDescent="0.25">
      <c r="A1847" s="21">
        <v>1846</v>
      </c>
      <c r="B1847" s="5" cm="1">
        <f t="array" aca="1" ref="B1847" ca="1">interpolexp(A1847,serie_du,Taxas_DI)</f>
        <v>0.12962072896625099</v>
      </c>
      <c r="C1847" s="32">
        <f ca="1">((((1+B1847)^(A1847/252))/((1+B1846)^(A1846/252)))^(252/1))-1</f>
        <v>0.12541363138022854</v>
      </c>
      <c r="D1847" s="30">
        <v>0.12962072896625099</v>
      </c>
      <c r="E1847" s="31">
        <f ca="1">B1847-D1847</f>
        <v>0</v>
      </c>
    </row>
    <row r="1848" spans="1:5" x14ac:dyDescent="0.25">
      <c r="A1848" s="21">
        <v>1847</v>
      </c>
      <c r="B1848" s="5" cm="1">
        <f t="array" aca="1" ref="B1848" ca="1">interpolexp(A1848,serie_du,Taxas_DI)</f>
        <v>0.12961844691126156</v>
      </c>
      <c r="C1848" s="32">
        <f ca="1">((((1+B1848)^(A1848/252))/((1+B1847)^(A1847/252)))^(252/1))-1</f>
        <v>0.12541362302272741</v>
      </c>
      <c r="D1848" s="30">
        <v>0.12961844691126156</v>
      </c>
      <c r="E1848" s="31">
        <f ca="1">B1848-D1848</f>
        <v>0</v>
      </c>
    </row>
    <row r="1849" spans="1:5" x14ac:dyDescent="0.25">
      <c r="A1849" s="21">
        <v>1848</v>
      </c>
      <c r="B1849" s="5" cm="1">
        <f t="array" aca="1" ref="B1849" ca="1">interpolexp(A1849,serie_du,Taxas_DI)</f>
        <v>0.12961616732607428</v>
      </c>
      <c r="C1849" s="32">
        <f ca="1">((((1+B1849)^(A1849/252))/((1+B1848)^(A1848/252)))^(252/1))-1</f>
        <v>0.12541361463270917</v>
      </c>
      <c r="D1849" s="30">
        <v>0.12961616732607428</v>
      </c>
      <c r="E1849" s="31">
        <f ca="1">B1849-D1849</f>
        <v>0</v>
      </c>
    </row>
    <row r="1850" spans="1:5" x14ac:dyDescent="0.25">
      <c r="A1850" s="21">
        <v>1849</v>
      </c>
      <c r="B1850" s="5" cm="1">
        <f t="array" aca="1" ref="B1850" ca="1">interpolexp(A1850,serie_du,Taxas_DI)</f>
        <v>0.12961389020669234</v>
      </c>
      <c r="C1850" s="32">
        <f ca="1">((((1+B1850)^(A1850/252))/((1+B1849)^(A1849/252)))^(252/1))-1</f>
        <v>0.12541360627556442</v>
      </c>
      <c r="D1850" s="30">
        <v>0.12961389020669234</v>
      </c>
      <c r="E1850" s="31">
        <f ca="1">B1850-D1850</f>
        <v>0</v>
      </c>
    </row>
    <row r="1851" spans="1:5" x14ac:dyDescent="0.25">
      <c r="A1851" s="21">
        <v>1850</v>
      </c>
      <c r="B1851" s="5" cm="1">
        <f t="array" aca="1" ref="B1851" ca="1">interpolexp(A1851,serie_du,Taxas_DI)</f>
        <v>0.12961161554909673</v>
      </c>
      <c r="C1851" s="32">
        <f ca="1">((((1+B1851)^(A1851/252))/((1+B1850)^(A1850/252)))^(252/1))-1</f>
        <v>0.12541359789447681</v>
      </c>
      <c r="D1851" s="30">
        <v>0.12961161554909673</v>
      </c>
      <c r="E1851" s="31">
        <f ca="1">B1851-D1851</f>
        <v>0</v>
      </c>
    </row>
    <row r="1852" spans="1:5" x14ac:dyDescent="0.25">
      <c r="A1852" s="21">
        <v>1851</v>
      </c>
      <c r="B1852" s="5" cm="1">
        <f t="array" aca="1" ref="B1852" ca="1">interpolexp(A1852,serie_du,Taxas_DI)</f>
        <v>0.12960934334933505</v>
      </c>
      <c r="C1852" s="32">
        <f ca="1">((((1+B1852)^(A1852/252))/((1+B1851)^(A1851/252)))^(252/1))-1</f>
        <v>0.12541358959627424</v>
      </c>
      <c r="D1852" s="30">
        <v>0.12960934334933505</v>
      </c>
      <c r="E1852" s="31">
        <f ca="1">B1852-D1852</f>
        <v>0</v>
      </c>
    </row>
    <row r="1853" spans="1:5" x14ac:dyDescent="0.25">
      <c r="A1853" s="21">
        <v>1852</v>
      </c>
      <c r="B1853" s="5" cm="1">
        <f t="array" aca="1" ref="B1853" ca="1">interpolexp(A1853,serie_du,Taxas_DI)</f>
        <v>0.1296070736033883</v>
      </c>
      <c r="C1853" s="32">
        <f ca="1">((((1+B1853)^(A1853/252))/((1+B1852)^(A1852/252)))^(252/1))-1</f>
        <v>0.12541358124225566</v>
      </c>
      <c r="D1853" s="30">
        <v>0.1296070736033883</v>
      </c>
      <c r="E1853" s="31">
        <f ca="1">B1853-D1853</f>
        <v>0</v>
      </c>
    </row>
    <row r="1854" spans="1:5" x14ac:dyDescent="0.25">
      <c r="A1854" s="21">
        <v>1853</v>
      </c>
      <c r="B1854" s="5" cm="1">
        <f t="array" aca="1" ref="B1854" ca="1">interpolexp(A1854,serie_du,Taxas_DI)</f>
        <v>0.12960480630730409</v>
      </c>
      <c r="C1854" s="32">
        <f ca="1">((((1+B1854)^(A1854/252))/((1+B1853)^(A1853/252)))^(252/1))-1</f>
        <v>0.12541357293934707</v>
      </c>
      <c r="D1854" s="30">
        <v>0.12960480630730409</v>
      </c>
      <c r="E1854" s="31">
        <f ca="1">B1854-D1854</f>
        <v>0</v>
      </c>
    </row>
    <row r="1855" spans="1:5" x14ac:dyDescent="0.25">
      <c r="A1855" s="21">
        <v>1854</v>
      </c>
      <c r="B1855" s="5" cm="1">
        <f t="array" aca="1" ref="B1855" ca="1">interpolexp(A1855,serie_du,Taxas_DI)</f>
        <v>0.12960254145710781</v>
      </c>
      <c r="C1855" s="32">
        <f ca="1">((((1+B1855)^(A1855/252))/((1+B1854)^(A1854/252)))^(252/1))-1</f>
        <v>0.12541356463076769</v>
      </c>
      <c r="D1855" s="30">
        <v>0.12960254145710781</v>
      </c>
      <c r="E1855" s="31">
        <f ca="1">B1855-D1855</f>
        <v>0</v>
      </c>
    </row>
    <row r="1856" spans="1:5" x14ac:dyDescent="0.25">
      <c r="A1856" s="21">
        <v>1855</v>
      </c>
      <c r="B1856" s="5" cm="1">
        <f t="array" aca="1" ref="B1856" ca="1">interpolexp(A1856,serie_du,Taxas_DI)</f>
        <v>0.12960027904886928</v>
      </c>
      <c r="C1856" s="32">
        <f ca="1">((((1+B1856)^(A1856/252))/((1+B1855)^(A1855/252)))^(252/1))-1</f>
        <v>0.12541355638281049</v>
      </c>
      <c r="D1856" s="30">
        <v>0.12960027904886928</v>
      </c>
      <c r="E1856" s="31">
        <f ca="1">B1856-D1856</f>
        <v>0</v>
      </c>
    </row>
    <row r="1857" spans="1:5" x14ac:dyDescent="0.25">
      <c r="A1857" s="21">
        <v>1856</v>
      </c>
      <c r="B1857" s="5" cm="1">
        <f t="array" aca="1" ref="B1857" ca="1">interpolexp(A1857,serie_du,Taxas_DI)</f>
        <v>0.1295980190786139</v>
      </c>
      <c r="C1857" s="32">
        <f ca="1">((((1+B1857)^(A1857/252))/((1+B1856)^(A1856/252)))^(252/1))-1</f>
        <v>0.12541354809745964</v>
      </c>
      <c r="D1857" s="30">
        <v>0.1295980190786139</v>
      </c>
      <c r="E1857" s="31">
        <f ca="1">B1857-D1857</f>
        <v>0</v>
      </c>
    </row>
    <row r="1858" spans="1:5" x14ac:dyDescent="0.25">
      <c r="A1858" s="21">
        <v>1857</v>
      </c>
      <c r="B1858" s="5" cm="1">
        <f t="array" aca="1" ref="B1858" ca="1">interpolexp(A1858,serie_du,Taxas_DI)</f>
        <v>0.12959576154238928</v>
      </c>
      <c r="C1858" s="32">
        <f ca="1">((((1+B1858)^(A1858/252))/((1+B1857)^(A1857/252)))^(252/1))-1</f>
        <v>0.12541353980003223</v>
      </c>
      <c r="D1858" s="30">
        <v>0.12959576154238928</v>
      </c>
      <c r="E1858" s="31">
        <f ca="1">B1858-D1858</f>
        <v>0</v>
      </c>
    </row>
    <row r="1859" spans="1:5" x14ac:dyDescent="0.25">
      <c r="A1859" s="21">
        <v>1858</v>
      </c>
      <c r="B1859" s="5" cm="1">
        <f t="array" aca="1" ref="B1859" ca="1">interpolexp(A1859,serie_du,Taxas_DI)</f>
        <v>0.12959350643630962</v>
      </c>
      <c r="C1859" s="32">
        <f ca="1">((((1+B1859)^(A1859/252))/((1+B1858)^(A1858/252)))^(252/1))-1</f>
        <v>0.12541353159807689</v>
      </c>
      <c r="D1859" s="30">
        <v>0.12959350643630962</v>
      </c>
      <c r="E1859" s="31">
        <f ca="1">B1859-D1859</f>
        <v>0</v>
      </c>
    </row>
    <row r="1860" spans="1:5" x14ac:dyDescent="0.25">
      <c r="A1860" s="21">
        <v>1859</v>
      </c>
      <c r="B1860" s="5" cm="1">
        <f t="array" aca="1" ref="B1860" ca="1">interpolexp(A1860,serie_du,Taxas_DI)</f>
        <v>0.12959125375642255</v>
      </c>
      <c r="C1860" s="32">
        <f ca="1">((((1+B1860)^(A1860/252))/((1+B1859)^(A1859/252)))^(252/1))-1</f>
        <v>0.12541352335277067</v>
      </c>
      <c r="D1860" s="30">
        <v>0.12959125375642255</v>
      </c>
      <c r="E1860" s="31">
        <f ca="1">B1860-D1860</f>
        <v>0</v>
      </c>
    </row>
    <row r="1861" spans="1:5" x14ac:dyDescent="0.25">
      <c r="A1861" s="21">
        <v>1860</v>
      </c>
      <c r="B1861" s="5" cm="1">
        <f t="array" aca="1" ref="B1861" ca="1">interpolexp(A1861,serie_du,Taxas_DI)</f>
        <v>0.12958900349882008</v>
      </c>
      <c r="C1861" s="32">
        <f ca="1">((((1+B1861)^(A1861/252))/((1+B1860)^(A1860/252)))^(252/1))-1</f>
        <v>0.12541351513047205</v>
      </c>
      <c r="D1861" s="30">
        <v>0.12958900349882008</v>
      </c>
      <c r="E1861" s="31">
        <f ca="1">B1861-D1861</f>
        <v>0</v>
      </c>
    </row>
    <row r="1862" spans="1:5" x14ac:dyDescent="0.25">
      <c r="A1862" s="21">
        <v>1861</v>
      </c>
      <c r="B1862" s="5" cm="1">
        <f t="array" aca="1" ref="B1862" ca="1">interpolexp(A1862,serie_du,Taxas_DI)</f>
        <v>0.12958675565961641</v>
      </c>
      <c r="C1862" s="32">
        <f ca="1">((((1+B1862)^(A1862/252))/((1+B1861)^(A1861/252)))^(252/1))-1</f>
        <v>0.12541350695687647</v>
      </c>
      <c r="D1862" s="30">
        <v>0.12958675565961641</v>
      </c>
      <c r="E1862" s="31">
        <f ca="1">B1862-D1862</f>
        <v>0</v>
      </c>
    </row>
    <row r="1863" spans="1:5" x14ac:dyDescent="0.25">
      <c r="A1863" s="21">
        <v>1862</v>
      </c>
      <c r="B1863" s="5" cm="1">
        <f t="array" aca="1" ref="B1863" ca="1">interpolexp(A1863,serie_du,Taxas_DI)</f>
        <v>0.12958451023488138</v>
      </c>
      <c r="C1863" s="32">
        <f ca="1">((((1+B1863)^(A1863/252))/((1+B1862)^(A1862/252)))^(252/1))-1</f>
        <v>0.12541349873394236</v>
      </c>
      <c r="D1863" s="30">
        <v>0.12958451023488138</v>
      </c>
      <c r="E1863" s="31">
        <f ca="1">B1863-D1863</f>
        <v>0</v>
      </c>
    </row>
    <row r="1864" spans="1:5" x14ac:dyDescent="0.25">
      <c r="A1864" s="21">
        <v>1863</v>
      </c>
      <c r="B1864" s="5" cm="1">
        <f t="array" aca="1" ref="B1864" ca="1">interpolexp(A1864,serie_du,Taxas_DI)</f>
        <v>0.12958226722075139</v>
      </c>
      <c r="C1864" s="32">
        <f ca="1">((((1+B1864)^(A1864/252))/((1+B1863)^(A1863/252)))^(252/1))-1</f>
        <v>0.12541349056975548</v>
      </c>
      <c r="D1864" s="30">
        <v>0.12958226722075139</v>
      </c>
      <c r="E1864" s="31">
        <f ca="1">B1864-D1864</f>
        <v>0</v>
      </c>
    </row>
    <row r="1865" spans="1:5" x14ac:dyDescent="0.25">
      <c r="A1865" s="21">
        <v>1864</v>
      </c>
      <c r="B1865" s="5" cm="1">
        <f t="array" aca="1" ref="B1865" ca="1">interpolexp(A1865,serie_du,Taxas_DI)</f>
        <v>0.12958002661334067</v>
      </c>
      <c r="C1865" s="32">
        <f ca="1">((((1+B1865)^(A1865/252))/((1+B1864)^(A1864/252)))^(252/1))-1</f>
        <v>0.12541348240766959</v>
      </c>
      <c r="D1865" s="30">
        <v>0.12958002661334067</v>
      </c>
      <c r="E1865" s="31">
        <f ca="1">B1865-D1865</f>
        <v>0</v>
      </c>
    </row>
    <row r="1866" spans="1:5" x14ac:dyDescent="0.25">
      <c r="A1866" s="21">
        <v>1865</v>
      </c>
      <c r="B1866" s="5" cm="1">
        <f t="array" aca="1" ref="B1866" ca="1">interpolexp(A1866,serie_du,Taxas_DI)</f>
        <v>0.12957778840876344</v>
      </c>
      <c r="C1866" s="32">
        <f ca="1">((((1+B1866)^(A1866/252))/((1+B1865)^(A1865/252)))^(252/1))-1</f>
        <v>0.12541347423209093</v>
      </c>
      <c r="D1866" s="30">
        <v>0.12957778840876344</v>
      </c>
      <c r="E1866" s="31">
        <f ca="1">B1866-D1866</f>
        <v>0</v>
      </c>
    </row>
    <row r="1867" spans="1:5" x14ac:dyDescent="0.25">
      <c r="A1867" s="21">
        <v>1866</v>
      </c>
      <c r="B1867" s="5" cm="1">
        <f t="array" aca="1" ref="B1867" ca="1">interpolexp(A1867,serie_du,Taxas_DI)</f>
        <v>0.12957555260317832</v>
      </c>
      <c r="C1867" s="32">
        <f ca="1">((((1+B1867)^(A1867/252))/((1+B1866)^(A1866/252)))^(252/1))-1</f>
        <v>0.12541346611008031</v>
      </c>
      <c r="D1867" s="30">
        <v>0.12957555260317832</v>
      </c>
      <c r="E1867" s="31">
        <f ca="1">B1867-D1867</f>
        <v>0</v>
      </c>
    </row>
    <row r="1868" spans="1:5" x14ac:dyDescent="0.25">
      <c r="A1868" s="21">
        <v>1867</v>
      </c>
      <c r="B1868" s="5" cm="1">
        <f t="array" aca="1" ref="B1868" ca="1">interpolexp(A1868,serie_du,Taxas_DI)</f>
        <v>0.12957331919272175</v>
      </c>
      <c r="C1868" s="32">
        <f ca="1">((((1+B1868)^(A1868/252))/((1+B1867)^(A1867/252)))^(252/1))-1</f>
        <v>0.12541345798493819</v>
      </c>
      <c r="D1868" s="30">
        <v>0.12957331919272175</v>
      </c>
      <c r="E1868" s="31">
        <f ca="1">B1868-D1868</f>
        <v>0</v>
      </c>
    </row>
    <row r="1869" spans="1:5" x14ac:dyDescent="0.25">
      <c r="A1869" s="21">
        <v>1868</v>
      </c>
      <c r="B1869" s="5" cm="1">
        <f t="array" aca="1" ref="B1869" ca="1">interpolexp(A1869,serie_du,Taxas_DI)</f>
        <v>0.12957108817353014</v>
      </c>
      <c r="C1869" s="32">
        <f ca="1">((((1+B1869)^(A1869/252))/((1+B1868)^(A1868/252)))^(252/1))-1</f>
        <v>0.12541344984134106</v>
      </c>
      <c r="D1869" s="30">
        <v>0.12957108817353014</v>
      </c>
      <c r="E1869" s="31">
        <f ca="1">B1869-D1869</f>
        <v>0</v>
      </c>
    </row>
    <row r="1870" spans="1:5" x14ac:dyDescent="0.25">
      <c r="A1870" s="21">
        <v>1869</v>
      </c>
      <c r="B1870" s="5" cm="1">
        <f t="array" aca="1" ref="B1870" ca="1">interpolexp(A1870,serie_du,Taxas_DI)</f>
        <v>0.12956885954180652</v>
      </c>
      <c r="C1870" s="32">
        <f ca="1">((((1+B1870)^(A1870/252))/((1+B1869)^(A1869/252)))^(252/1))-1</f>
        <v>0.12541344178794622</v>
      </c>
      <c r="D1870" s="30">
        <v>0.12956885954180652</v>
      </c>
      <c r="E1870" s="31">
        <f ca="1">B1870-D1870</f>
        <v>0</v>
      </c>
    </row>
    <row r="1871" spans="1:5" x14ac:dyDescent="0.25">
      <c r="A1871" s="21">
        <v>1870</v>
      </c>
      <c r="B1871" s="5" cm="1">
        <f t="array" aca="1" ref="B1871" ca="1">interpolexp(A1871,serie_du,Taxas_DI)</f>
        <v>0.12956663329368734</v>
      </c>
      <c r="C1871" s="32">
        <f ca="1">((((1+B1871)^(A1871/252))/((1+B1870)^(A1870/252)))^(252/1))-1</f>
        <v>0.12541343368523861</v>
      </c>
      <c r="D1871" s="30">
        <v>0.12956663329368734</v>
      </c>
      <c r="E1871" s="31">
        <f ca="1">B1871-D1871</f>
        <v>0</v>
      </c>
    </row>
    <row r="1872" spans="1:5" x14ac:dyDescent="0.25">
      <c r="A1872" s="21">
        <v>1871</v>
      </c>
      <c r="B1872" s="5" cm="1">
        <f t="array" aca="1" ref="B1872" ca="1">interpolexp(A1872,serie_du,Taxas_DI)</f>
        <v>0.12956440942535341</v>
      </c>
      <c r="C1872" s="32">
        <f ca="1">((((1+B1872)^(A1872/252))/((1+B1871)^(A1871/252)))^(252/1))-1</f>
        <v>0.12541342560091784</v>
      </c>
      <c r="D1872" s="30">
        <v>0.12956440942535341</v>
      </c>
      <c r="E1872" s="31">
        <f ca="1">B1872-D1872</f>
        <v>0</v>
      </c>
    </row>
    <row r="1873" spans="1:5" x14ac:dyDescent="0.25">
      <c r="A1873" s="21">
        <v>1872</v>
      </c>
      <c r="B1873" s="5" cm="1">
        <f t="array" aca="1" ref="B1873" ca="1">interpolexp(A1873,serie_du,Taxas_DI)</f>
        <v>0.12956218793300778</v>
      </c>
      <c r="C1873" s="32">
        <f ca="1">((((1+B1873)^(A1873/252))/((1+B1872)^(A1872/252)))^(252/1))-1</f>
        <v>0.12541341756087498</v>
      </c>
      <c r="D1873" s="30">
        <v>0.12956218793300778</v>
      </c>
      <c r="E1873" s="31">
        <f ca="1">B1873-D1873</f>
        <v>0</v>
      </c>
    </row>
    <row r="1874" spans="1:5" x14ac:dyDescent="0.25">
      <c r="A1874" s="21">
        <v>1873</v>
      </c>
      <c r="B1874" s="5" cm="1">
        <f t="array" aca="1" ref="B1874" ca="1">interpolexp(A1874,serie_du,Taxas_DI)</f>
        <v>0.12955996881280907</v>
      </c>
      <c r="C1874" s="32">
        <f ca="1">((((1+B1874)^(A1874/252))/((1+B1873)^(A1873/252)))^(252/1))-1</f>
        <v>0.12541340946725721</v>
      </c>
      <c r="D1874" s="30">
        <v>0.12955996881280907</v>
      </c>
      <c r="E1874" s="31">
        <f ca="1">B1874-D1874</f>
        <v>0</v>
      </c>
    </row>
    <row r="1875" spans="1:5" x14ac:dyDescent="0.25">
      <c r="A1875" s="21">
        <v>1874</v>
      </c>
      <c r="B1875" s="5" cm="1">
        <f t="array" aca="1" ref="B1875" ca="1">interpolexp(A1875,serie_du,Taxas_DI)</f>
        <v>0.12955775206100473</v>
      </c>
      <c r="C1875" s="32">
        <f ca="1">((((1+B1875)^(A1875/252))/((1+B1874)^(A1874/252)))^(252/1))-1</f>
        <v>0.12541340147044688</v>
      </c>
      <c r="D1875" s="30">
        <v>0.12955775206100473</v>
      </c>
      <c r="E1875" s="31">
        <f ca="1">B1875-D1875</f>
        <v>0</v>
      </c>
    </row>
    <row r="1876" spans="1:5" x14ac:dyDescent="0.25">
      <c r="A1876" s="21">
        <v>1875</v>
      </c>
      <c r="B1876" s="5" cm="1">
        <f t="array" aca="1" ref="B1876" ca="1">interpolexp(A1876,serie_du,Taxas_DI)</f>
        <v>0.12955553767379779</v>
      </c>
      <c r="C1876" s="32">
        <f ca="1">((((1+B1876)^(A1876/252))/((1+B1875)^(A1875/252)))^(252/1))-1</f>
        <v>0.1254133934725663</v>
      </c>
      <c r="D1876" s="30">
        <v>0.12955553767379779</v>
      </c>
      <c r="E1876" s="31">
        <f ca="1">B1876-D1876</f>
        <v>0</v>
      </c>
    </row>
    <row r="1877" spans="1:5" x14ac:dyDescent="0.25">
      <c r="A1877" s="21">
        <v>1876</v>
      </c>
      <c r="B1877" s="5" cm="1">
        <f t="array" aca="1" ref="B1877" ca="1">interpolexp(A1877,serie_du,Taxas_DI)</f>
        <v>0.1295533256473691</v>
      </c>
      <c r="C1877" s="32">
        <f ca="1">((((1+B1877)^(A1877/252))/((1+B1876)^(A1876/252)))^(252/1))-1</f>
        <v>0.12541338541689617</v>
      </c>
      <c r="D1877" s="30">
        <v>0.1295533256473691</v>
      </c>
      <c r="E1877" s="31">
        <f ca="1">B1877-D1877</f>
        <v>0</v>
      </c>
    </row>
    <row r="1878" spans="1:5" x14ac:dyDescent="0.25">
      <c r="A1878" s="21">
        <v>1877</v>
      </c>
      <c r="B1878" s="5" cm="1">
        <f t="array" aca="1" ref="B1878" ca="1">interpolexp(A1878,serie_du,Taxas_DI)</f>
        <v>0.1295511159779883</v>
      </c>
      <c r="C1878" s="32">
        <f ca="1">((((1+B1878)^(A1878/252))/((1+B1877)^(A1877/252)))^(252/1))-1</f>
        <v>0.12541337745430647</v>
      </c>
      <c r="D1878" s="30">
        <v>0.1295511159779883</v>
      </c>
      <c r="E1878" s="31">
        <f ca="1">B1878-D1878</f>
        <v>0</v>
      </c>
    </row>
    <row r="1879" spans="1:5" x14ac:dyDescent="0.25">
      <c r="A1879" s="21">
        <v>1878</v>
      </c>
      <c r="B1879" s="5" cm="1">
        <f t="array" aca="1" ref="B1879" ca="1">interpolexp(A1879,serie_du,Taxas_DI)</f>
        <v>0.12954890866185842</v>
      </c>
      <c r="C1879" s="32">
        <f ca="1">((((1+B1879)^(A1879/252))/((1+B1878)^(A1878/252)))^(252/1))-1</f>
        <v>0.12541336944530501</v>
      </c>
      <c r="D1879" s="30">
        <v>0.12954890866185842</v>
      </c>
      <c r="E1879" s="31">
        <f ca="1">B1879-D1879</f>
        <v>0</v>
      </c>
    </row>
    <row r="1880" spans="1:5" x14ac:dyDescent="0.25">
      <c r="A1880" s="21">
        <v>1879</v>
      </c>
      <c r="B1880" s="5" cm="1">
        <f t="array" aca="1" ref="B1880" ca="1">interpolexp(A1880,serie_du,Taxas_DI)</f>
        <v>0.12954670369522692</v>
      </c>
      <c r="C1880" s="32">
        <f ca="1">((((1+B1880)^(A1880/252))/((1+B1879)^(A1879/252)))^(252/1))-1</f>
        <v>0.12541336145779169</v>
      </c>
      <c r="D1880" s="30">
        <v>0.12954670369522692</v>
      </c>
      <c r="E1880" s="31">
        <f ca="1">B1880-D1880</f>
        <v>0</v>
      </c>
    </row>
    <row r="1881" spans="1:5" x14ac:dyDescent="0.25">
      <c r="A1881" s="21">
        <v>1880</v>
      </c>
      <c r="B1881" s="5" cm="1">
        <f t="array" aca="1" ref="B1881" ca="1">interpolexp(A1881,serie_du,Taxas_DI)</f>
        <v>0.12954450107436344</v>
      </c>
      <c r="C1881" s="32">
        <f ca="1">((((1+B1881)^(A1881/252))/((1+B1880)^(A1880/252)))^(252/1))-1</f>
        <v>0.12541335351843053</v>
      </c>
      <c r="D1881" s="30">
        <v>0.12954450107436344</v>
      </c>
      <c r="E1881" s="31">
        <f ca="1">B1881-D1881</f>
        <v>0</v>
      </c>
    </row>
    <row r="1882" spans="1:5" x14ac:dyDescent="0.25">
      <c r="A1882" s="21">
        <v>1881</v>
      </c>
      <c r="B1882" s="5" cm="1">
        <f t="array" aca="1" ref="B1882" ca="1">interpolexp(A1882,serie_du,Taxas_DI)</f>
        <v>0.12954230079551543</v>
      </c>
      <c r="C1882" s="32">
        <f ca="1">((((1+B1882)^(A1882/252))/((1+B1881)^(A1881/252)))^(252/1))-1</f>
        <v>0.12541334557079087</v>
      </c>
      <c r="D1882" s="30">
        <v>0.12954230079551543</v>
      </c>
      <c r="E1882" s="31">
        <f ca="1">B1882-D1882</f>
        <v>0</v>
      </c>
    </row>
    <row r="1883" spans="1:5" x14ac:dyDescent="0.25">
      <c r="A1883" s="21">
        <v>1882</v>
      </c>
      <c r="B1883" s="5" cm="1">
        <f t="array" aca="1" ref="B1883" ca="1">interpolexp(A1883,serie_du,Taxas_DI)</f>
        <v>0.12954010285495254</v>
      </c>
      <c r="C1883" s="32">
        <f ca="1">((((1+B1883)^(A1883/252))/((1+B1882)^(A1882/252)))^(252/1))-1</f>
        <v>0.12541333764133</v>
      </c>
      <c r="D1883" s="30">
        <v>0.12954010285495254</v>
      </c>
      <c r="E1883" s="31">
        <f ca="1">B1883-D1883</f>
        <v>0</v>
      </c>
    </row>
    <row r="1884" spans="1:5" x14ac:dyDescent="0.25">
      <c r="A1884" s="21">
        <v>1883</v>
      </c>
      <c r="B1884" s="5" cm="1">
        <f t="array" aca="1" ref="B1884" ca="1">interpolexp(A1884,serie_du,Taxas_DI)</f>
        <v>0.12953790724894443</v>
      </c>
      <c r="C1884" s="32">
        <f ca="1">((((1+B1884)^(A1884/252))/((1+B1883)^(A1883/252)))^(252/1))-1</f>
        <v>0.12541332971532504</v>
      </c>
      <c r="D1884" s="30">
        <v>0.12953790724894443</v>
      </c>
      <c r="E1884" s="31">
        <f ca="1">B1884-D1884</f>
        <v>0</v>
      </c>
    </row>
    <row r="1885" spans="1:5" x14ac:dyDescent="0.25">
      <c r="A1885" s="21">
        <v>1884</v>
      </c>
      <c r="B1885" s="5" cm="1">
        <f t="array" aca="1" ref="B1885" ca="1">interpolexp(A1885,serie_du,Taxas_DI)</f>
        <v>0.12953571397378294</v>
      </c>
      <c r="C1885" s="32">
        <f ca="1">((((1+B1885)^(A1885/252))/((1+B1884)^(A1884/252)))^(252/1))-1</f>
        <v>0.12541332181946396</v>
      </c>
      <c r="D1885" s="30">
        <v>0.12953571397378294</v>
      </c>
      <c r="E1885" s="31">
        <f ca="1">B1885-D1885</f>
        <v>0</v>
      </c>
    </row>
    <row r="1886" spans="1:5" x14ac:dyDescent="0.25">
      <c r="A1886" s="21">
        <v>1885</v>
      </c>
      <c r="B1886" s="5" cm="1">
        <f t="array" aca="1" ref="B1886" ca="1">interpolexp(A1886,serie_du,Taxas_DI)</f>
        <v>0.12953352302575993</v>
      </c>
      <c r="C1886" s="32">
        <f ca="1">((((1+B1886)^(A1886/252))/((1+B1885)^(A1885/252)))^(252/1))-1</f>
        <v>0.12541331393895194</v>
      </c>
      <c r="D1886" s="30">
        <v>0.12953352302575993</v>
      </c>
      <c r="E1886" s="31">
        <f ca="1">B1886-D1886</f>
        <v>0</v>
      </c>
    </row>
    <row r="1887" spans="1:5" x14ac:dyDescent="0.25">
      <c r="A1887" s="21">
        <v>1886</v>
      </c>
      <c r="B1887" s="5" cm="1">
        <f t="array" aca="1" ref="B1887" ca="1">interpolexp(A1887,serie_du,Taxas_DI)</f>
        <v>0.12953133440114506</v>
      </c>
      <c r="C1887" s="32">
        <f ca="1">((((1+B1887)^(A1887/252))/((1+B1886)^(A1886/252)))^(252/1))-1</f>
        <v>0.12541330601728196</v>
      </c>
      <c r="D1887" s="30">
        <v>0.12953133440114506</v>
      </c>
      <c r="E1887" s="31">
        <f ca="1">B1887-D1887</f>
        <v>0</v>
      </c>
    </row>
    <row r="1888" spans="1:5" x14ac:dyDescent="0.25">
      <c r="A1888" s="21">
        <v>1887</v>
      </c>
      <c r="B1888" s="5" cm="1">
        <f t="array" aca="1" ref="B1888" ca="1">interpolexp(A1888,serie_du,Taxas_DI)</f>
        <v>0.12952914809627458</v>
      </c>
      <c r="C1888" s="32">
        <f ca="1">((((1+B1888)^(A1888/252))/((1+B1887)^(A1887/252)))^(252/1))-1</f>
        <v>0.12541329816492719</v>
      </c>
      <c r="D1888" s="30">
        <v>0.12952914809627458</v>
      </c>
      <c r="E1888" s="31">
        <f ca="1">B1888-D1888</f>
        <v>0</v>
      </c>
    </row>
    <row r="1889" spans="1:5" x14ac:dyDescent="0.25">
      <c r="A1889" s="21">
        <v>1888</v>
      </c>
      <c r="B1889" s="5" cm="1">
        <f t="array" aca="1" ref="B1889" ca="1">interpolexp(A1889,serie_du,Taxas_DI)</f>
        <v>0.12952696410744036</v>
      </c>
      <c r="C1889" s="32">
        <f ca="1">((((1+B1889)^(A1889/252))/((1+B1888)^(A1888/252)))^(252/1))-1</f>
        <v>0.12541329028356651</v>
      </c>
      <c r="D1889" s="30">
        <v>0.12952696410744036</v>
      </c>
      <c r="E1889" s="31">
        <f ca="1">B1889-D1889</f>
        <v>0</v>
      </c>
    </row>
    <row r="1890" spans="1:5" x14ac:dyDescent="0.25">
      <c r="A1890" s="21">
        <v>1889</v>
      </c>
      <c r="B1890" s="5" cm="1">
        <f t="array" aca="1" ref="B1890" ca="1">interpolexp(A1890,serie_du,Taxas_DI)</f>
        <v>0.12952478243100085</v>
      </c>
      <c r="C1890" s="32">
        <f ca="1">((((1+B1890)^(A1890/252))/((1+B1889)^(A1889/252)))^(252/1))-1</f>
        <v>0.12541328248377992</v>
      </c>
      <c r="D1890" s="30">
        <v>0.12952478243100085</v>
      </c>
      <c r="E1890" s="31">
        <f ca="1">B1890-D1890</f>
        <v>0</v>
      </c>
    </row>
    <row r="1891" spans="1:5" x14ac:dyDescent="0.25">
      <c r="A1891" s="21">
        <v>1890</v>
      </c>
      <c r="B1891" s="5" cm="1">
        <f t="array" aca="1" ref="B1891" ca="1">interpolexp(A1891,serie_du,Taxas_DI)</f>
        <v>0.12952260306324792</v>
      </c>
      <c r="C1891" s="32">
        <f ca="1">((((1+B1891)^(A1891/252))/((1+B1890)^(A1890/252)))^(252/1))-1</f>
        <v>0.12541327462556096</v>
      </c>
      <c r="D1891" s="30">
        <v>0.12952260306324792</v>
      </c>
      <c r="E1891" s="31">
        <f ca="1">B1891-D1891</f>
        <v>0</v>
      </c>
    </row>
    <row r="1892" spans="1:5" x14ac:dyDescent="0.25">
      <c r="A1892" s="21">
        <v>1891</v>
      </c>
      <c r="B1892" s="5" cm="1">
        <f t="array" aca="1" ref="B1892" ca="1">interpolexp(A1892,serie_du,Taxas_DI)</f>
        <v>0.12952042600051783</v>
      </c>
      <c r="C1892" s="32">
        <f ca="1">((((1+B1892)^(A1892/252))/((1+B1891)^(A1891/252)))^(252/1))-1</f>
        <v>0.12541326677779274</v>
      </c>
      <c r="D1892" s="30">
        <v>0.12952042600051783</v>
      </c>
      <c r="E1892" s="31">
        <f ca="1">B1892-D1892</f>
        <v>0</v>
      </c>
    </row>
    <row r="1893" spans="1:5" x14ac:dyDescent="0.25">
      <c r="A1893" s="21">
        <v>1892</v>
      </c>
      <c r="B1893" s="5" cm="1">
        <f t="array" aca="1" ref="B1893" ca="1">interpolexp(A1893,serie_du,Taxas_DI)</f>
        <v>0.12951825123919125</v>
      </c>
      <c r="C1893" s="32">
        <f ca="1">((((1+B1893)^(A1893/252))/((1+B1892)^(A1892/252)))^(252/1))-1</f>
        <v>0.12541325900969813</v>
      </c>
      <c r="D1893" s="30">
        <v>0.12951825123919125</v>
      </c>
      <c r="E1893" s="31">
        <f ca="1">B1893-D1893</f>
        <v>0</v>
      </c>
    </row>
    <row r="1894" spans="1:5" x14ac:dyDescent="0.25">
      <c r="A1894" s="21">
        <v>1893</v>
      </c>
      <c r="B1894" s="5" cm="1">
        <f t="array" aca="1" ref="B1894" ca="1">interpolexp(A1894,serie_du,Taxas_DI)</f>
        <v>0.12951607877560445</v>
      </c>
      <c r="C1894" s="32">
        <f ca="1">((((1+B1894)^(A1894/252))/((1+B1893)^(A1893/252)))^(252/1))-1</f>
        <v>0.12541325122293556</v>
      </c>
      <c r="D1894" s="30">
        <v>0.12951607877560445</v>
      </c>
      <c r="E1894" s="31">
        <f ca="1">B1894-D1894</f>
        <v>0</v>
      </c>
    </row>
    <row r="1895" spans="1:5" x14ac:dyDescent="0.25">
      <c r="A1895" s="21">
        <v>1894</v>
      </c>
      <c r="B1895" s="5" cm="1">
        <f t="array" aca="1" ref="B1895" ca="1">interpolexp(A1895,serie_du,Taxas_DI)</f>
        <v>0.12951390860609369</v>
      </c>
      <c r="C1895" s="32">
        <f ca="1">((((1+B1895)^(A1895/252))/((1+B1894)^(A1894/252)))^(252/1))-1</f>
        <v>0.12541324340278837</v>
      </c>
      <c r="D1895" s="30">
        <v>0.12951390860609369</v>
      </c>
      <c r="E1895" s="31">
        <f ca="1">B1895-D1895</f>
        <v>0</v>
      </c>
    </row>
    <row r="1896" spans="1:5" x14ac:dyDescent="0.25">
      <c r="A1896" s="21">
        <v>1895</v>
      </c>
      <c r="B1896" s="5" cm="1">
        <f t="array" aca="1" ref="B1896" ca="1">interpolexp(A1896,serie_du,Taxas_DI)</f>
        <v>0.12951174072703964</v>
      </c>
      <c r="C1896" s="32">
        <f ca="1">((((1+B1896)^(A1896/252))/((1+B1895)^(A1895/252)))^(252/1))-1</f>
        <v>0.12541323561871853</v>
      </c>
      <c r="D1896" s="30">
        <v>0.12951174072703964</v>
      </c>
      <c r="E1896" s="31">
        <f ca="1">B1896-D1896</f>
        <v>0</v>
      </c>
    </row>
    <row r="1897" spans="1:5" x14ac:dyDescent="0.25">
      <c r="A1897" s="21">
        <v>1896</v>
      </c>
      <c r="B1897" s="5" cm="1">
        <f t="array" aca="1" ref="B1897" ca="1">interpolexp(A1897,serie_du,Taxas_DI)</f>
        <v>0.12950957513484518</v>
      </c>
      <c r="C1897" s="32">
        <f ca="1">((((1+B1897)^(A1897/252))/((1+B1896)^(A1896/252)))^(252/1))-1</f>
        <v>0.125413227898169</v>
      </c>
      <c r="D1897" s="30">
        <v>0.12950957513484518</v>
      </c>
      <c r="E1897" s="31">
        <f ca="1">B1897-D1897</f>
        <v>0</v>
      </c>
    </row>
    <row r="1898" spans="1:5" x14ac:dyDescent="0.25">
      <c r="A1898" s="21">
        <v>1897</v>
      </c>
      <c r="B1898" s="5" cm="1">
        <f t="array" aca="1" ref="B1898" ca="1">interpolexp(A1898,serie_du,Taxas_DI)</f>
        <v>0.12950741182586878</v>
      </c>
      <c r="C1898" s="32">
        <f ca="1">((((1+B1898)^(A1898/252))/((1+B1897)^(A1897/252)))^(252/1))-1</f>
        <v>0.12541322014256351</v>
      </c>
      <c r="D1898" s="30">
        <v>0.12950741182586878</v>
      </c>
      <c r="E1898" s="31">
        <f ca="1">B1898-D1898</f>
        <v>0</v>
      </c>
    </row>
    <row r="1899" spans="1:5" x14ac:dyDescent="0.25">
      <c r="A1899" s="21">
        <v>1898</v>
      </c>
      <c r="B1899" s="5" cm="1">
        <f t="array" aca="1" ref="B1899" ca="1">interpolexp(A1899,serie_du,Taxas_DI)</f>
        <v>0.12950525079649111</v>
      </c>
      <c r="C1899" s="32">
        <f ca="1">((((1+B1899)^(A1899/252))/((1+B1898)^(A1898/252)))^(252/1))-1</f>
        <v>0.12541321237969982</v>
      </c>
      <c r="D1899" s="30">
        <v>0.12950525079649111</v>
      </c>
      <c r="E1899" s="31">
        <f ca="1">B1899-D1899</f>
        <v>0</v>
      </c>
    </row>
    <row r="1900" spans="1:5" x14ac:dyDescent="0.25">
      <c r="A1900" s="21">
        <v>1899</v>
      </c>
      <c r="B1900" s="5" cm="1">
        <f t="array" aca="1" ref="B1900" ca="1">interpolexp(A1900,serie_du,Taxas_DI)</f>
        <v>0.12950309204313726</v>
      </c>
      <c r="C1900" s="32">
        <f ca="1">((((1+B1900)^(A1900/252))/((1+B1899)^(A1899/252)))^(252/1))-1</f>
        <v>0.12541320467897554</v>
      </c>
      <c r="D1900" s="30">
        <v>0.12950309204313726</v>
      </c>
      <c r="E1900" s="31">
        <f ca="1">B1900-D1900</f>
        <v>0</v>
      </c>
    </row>
    <row r="1901" spans="1:5" x14ac:dyDescent="0.25">
      <c r="A1901" s="21">
        <v>1900</v>
      </c>
      <c r="B1901" s="5" cm="1">
        <f t="array" aca="1" ref="B1901" ca="1">interpolexp(A1901,serie_du,Taxas_DI)</f>
        <v>0.1295009355622101</v>
      </c>
      <c r="C1901" s="32">
        <f ca="1">((((1+B1901)^(A1901/252))/((1+B1900)^(A1900/252)))^(252/1))-1</f>
        <v>0.12541319698411479</v>
      </c>
      <c r="D1901" s="30">
        <v>0.1295009355622101</v>
      </c>
      <c r="E1901" s="31">
        <f ca="1">B1901-D1901</f>
        <v>0</v>
      </c>
    </row>
    <row r="1902" spans="1:5" x14ac:dyDescent="0.25">
      <c r="A1902" s="21">
        <v>1901</v>
      </c>
      <c r="B1902" s="5" cm="1">
        <f t="array" aca="1" ref="B1902" ca="1">interpolexp(A1902,serie_du,Taxas_DI)</f>
        <v>0.1294987813501125</v>
      </c>
      <c r="C1902" s="32">
        <f ca="1">((((1+B1902)^(A1902/252))/((1+B1901)^(A1901/252)))^(252/1))-1</f>
        <v>0.12541318928073175</v>
      </c>
      <c r="D1902" s="30">
        <v>0.1294987813501125</v>
      </c>
      <c r="E1902" s="31">
        <f ca="1">B1902-D1902</f>
        <v>0</v>
      </c>
    </row>
    <row r="1903" spans="1:5" x14ac:dyDescent="0.25">
      <c r="A1903" s="21">
        <v>1902</v>
      </c>
      <c r="B1903" s="5" cm="1">
        <f t="array" aca="1" ref="B1903" ca="1">interpolexp(A1903,serie_du,Taxas_DI)</f>
        <v>0.12949662940326956</v>
      </c>
      <c r="C1903" s="32">
        <f ca="1">((((1+B1903)^(A1903/252))/((1+B1902)^(A1902/252)))^(252/1))-1</f>
        <v>0.12541318159660841</v>
      </c>
      <c r="D1903" s="30">
        <v>0.12949662940326956</v>
      </c>
      <c r="E1903" s="31">
        <f ca="1">B1903-D1903</f>
        <v>0</v>
      </c>
    </row>
    <row r="1904" spans="1:5" x14ac:dyDescent="0.25">
      <c r="A1904" s="21">
        <v>1903</v>
      </c>
      <c r="B1904" s="5" cm="1">
        <f t="array" aca="1" ref="B1904" ca="1">interpolexp(A1904,serie_du,Taxas_DI)</f>
        <v>0.12949447971808414</v>
      </c>
      <c r="C1904" s="32">
        <f ca="1">((((1+B1904)^(A1904/252))/((1+B1903)^(A1903/252)))^(252/1))-1</f>
        <v>0.12541317387530615</v>
      </c>
      <c r="D1904" s="30">
        <v>0.12949447971808414</v>
      </c>
      <c r="E1904" s="31">
        <f ca="1">B1904-D1904</f>
        <v>0</v>
      </c>
    </row>
    <row r="1905" spans="1:5" x14ac:dyDescent="0.25">
      <c r="A1905" s="21">
        <v>1904</v>
      </c>
      <c r="B1905" s="5" cm="1">
        <f t="array" aca="1" ref="B1905" ca="1">interpolexp(A1905,serie_du,Taxas_DI)</f>
        <v>0.12949233229104795</v>
      </c>
      <c r="C1905" s="32">
        <f ca="1">((((1+B1905)^(A1905/252))/((1+B1904)^(A1904/252)))^(252/1))-1</f>
        <v>0.12541316627100718</v>
      </c>
      <c r="D1905" s="30">
        <v>0.12949233229104795</v>
      </c>
      <c r="E1905" s="31">
        <f ca="1">B1905-D1905</f>
        <v>0</v>
      </c>
    </row>
    <row r="1906" spans="1:5" x14ac:dyDescent="0.25">
      <c r="A1906" s="21">
        <v>1905</v>
      </c>
      <c r="B1906" s="5" cm="1">
        <f t="array" aca="1" ref="B1906" ca="1">interpolexp(A1906,serie_du,Taxas_DI)</f>
        <v>0.12949018711856386</v>
      </c>
      <c r="C1906" s="32">
        <f ca="1">((((1+B1906)^(A1906/252))/((1+B1905)^(A1905/252)))^(252/1))-1</f>
        <v>0.12541315860108093</v>
      </c>
      <c r="D1906" s="30">
        <v>0.12949018711856386</v>
      </c>
      <c r="E1906" s="31">
        <f ca="1">B1906-D1906</f>
        <v>0</v>
      </c>
    </row>
    <row r="1907" spans="1:5" x14ac:dyDescent="0.25">
      <c r="A1907" s="21">
        <v>1906</v>
      </c>
      <c r="B1907" s="5" cm="1">
        <f t="array" aca="1" ref="B1907" ca="1">interpolexp(A1907,serie_du,Taxas_DI)</f>
        <v>0.12948804419707916</v>
      </c>
      <c r="C1907" s="32">
        <f ca="1">((((1+B1907)^(A1907/252))/((1+B1906)^(A1906/252)))^(252/1))-1</f>
        <v>0.1254131509355263</v>
      </c>
      <c r="D1907" s="30">
        <v>0.12948804419707916</v>
      </c>
      <c r="E1907" s="31">
        <f ca="1">B1907-D1907</f>
        <v>0</v>
      </c>
    </row>
    <row r="1908" spans="1:5" x14ac:dyDescent="0.25">
      <c r="A1908" s="21">
        <v>1907</v>
      </c>
      <c r="B1908" s="5" cm="1">
        <f t="array" aca="1" ref="B1908" ca="1">interpolexp(A1908,serie_du,Taxas_DI)</f>
        <v>0.12948590352308553</v>
      </c>
      <c r="C1908" s="32">
        <f ca="1">((((1+B1908)^(A1908/252))/((1+B1907)^(A1907/252)))^(252/1))-1</f>
        <v>0.12541314334449671</v>
      </c>
      <c r="D1908" s="30">
        <v>0.12948590352308553</v>
      </c>
      <c r="E1908" s="31">
        <f ca="1">B1908-D1908</f>
        <v>0</v>
      </c>
    </row>
    <row r="1909" spans="1:5" x14ac:dyDescent="0.25">
      <c r="A1909" s="21">
        <v>1908</v>
      </c>
      <c r="B1909" s="5" cm="1">
        <f t="array" aca="1" ref="B1909" ca="1">interpolexp(A1909,serie_du,Taxas_DI)</f>
        <v>0.12948376509303028</v>
      </c>
      <c r="C1909" s="32">
        <f ca="1">((((1+B1909)^(A1909/252))/((1+B1908)^(A1908/252)))^(252/1))-1</f>
        <v>0.12541313572955803</v>
      </c>
      <c r="D1909" s="30">
        <v>0.12948376509303028</v>
      </c>
      <c r="E1909" s="31">
        <f ca="1">B1909-D1909</f>
        <v>0</v>
      </c>
    </row>
    <row r="1910" spans="1:5" x14ac:dyDescent="0.25">
      <c r="A1910" s="21">
        <v>1909</v>
      </c>
      <c r="B1910" s="5" cm="1">
        <f t="array" aca="1" ref="B1910" ca="1">interpolexp(A1910,serie_du,Taxas_DI)</f>
        <v>0.12948162890338288</v>
      </c>
      <c r="C1910" s="32">
        <f ca="1">((((1+B1910)^(A1910/252))/((1+B1909)^(A1909/252)))^(252/1))-1</f>
        <v>0.12541312811891547</v>
      </c>
      <c r="D1910" s="30">
        <v>0.12948162890338288</v>
      </c>
      <c r="E1910" s="31">
        <f ca="1">B1910-D1910</f>
        <v>0</v>
      </c>
    </row>
    <row r="1911" spans="1:5" x14ac:dyDescent="0.25">
      <c r="A1911" s="21">
        <v>1910</v>
      </c>
      <c r="B1911" s="5" cm="1">
        <f t="array" aca="1" ref="B1911" ca="1">interpolexp(A1911,serie_du,Taxas_DI)</f>
        <v>0.12947949495063504</v>
      </c>
      <c r="C1911" s="32">
        <f ca="1">((((1+B1911)^(A1911/252))/((1+B1910)^(A1910/252)))^(252/1))-1</f>
        <v>0.12541312054048048</v>
      </c>
      <c r="D1911" s="30">
        <v>0.12947949495063504</v>
      </c>
      <c r="E1911" s="31">
        <f ca="1">B1911-D1911</f>
        <v>0</v>
      </c>
    </row>
    <row r="1912" spans="1:5" x14ac:dyDescent="0.25">
      <c r="A1912" s="21">
        <v>1911</v>
      </c>
      <c r="B1912" s="5" cm="1">
        <f t="array" aca="1" ref="B1912" ca="1">interpolexp(A1912,serie_du,Taxas_DI)</f>
        <v>0.12947736323125625</v>
      </c>
      <c r="C1912" s="32">
        <f ca="1">((((1+B1912)^(A1912/252))/((1+B1911)^(A1911/252)))^(252/1))-1</f>
        <v>0.12541311293818591</v>
      </c>
      <c r="D1912" s="30">
        <v>0.12947736323125625</v>
      </c>
      <c r="E1912" s="31">
        <f ca="1">B1912-D1912</f>
        <v>0</v>
      </c>
    </row>
    <row r="1913" spans="1:5" x14ac:dyDescent="0.25">
      <c r="A1913" s="21">
        <v>1912</v>
      </c>
      <c r="B1913" s="5" cm="1">
        <f t="array" aca="1" ref="B1913" ca="1">interpolexp(A1913,serie_du,Taxas_DI)</f>
        <v>0.1294752337417604</v>
      </c>
      <c r="C1913" s="32">
        <f ca="1">((((1+B1913)^(A1913/252))/((1+B1912)^(A1912/252)))^(252/1))-1</f>
        <v>0.125413105382429</v>
      </c>
      <c r="D1913" s="30">
        <v>0.1294752337417604</v>
      </c>
      <c r="E1913" s="31">
        <f ca="1">B1913-D1913</f>
        <v>0</v>
      </c>
    </row>
    <row r="1914" spans="1:5" x14ac:dyDescent="0.25">
      <c r="A1914" s="21">
        <v>1913</v>
      </c>
      <c r="B1914" s="5" cm="1">
        <f t="array" aca="1" ref="B1914" ca="1">interpolexp(A1914,serie_du,Taxas_DI)</f>
        <v>0.12947310647863919</v>
      </c>
      <c r="C1914" s="32">
        <f ca="1">((((1+B1914)^(A1914/252))/((1+B1913)^(A1913/252)))^(252/1))-1</f>
        <v>0.12541309781695942</v>
      </c>
      <c r="D1914" s="30">
        <v>0.12947310647863919</v>
      </c>
      <c r="E1914" s="31">
        <f ca="1">B1914-D1914</f>
        <v>0</v>
      </c>
    </row>
    <row r="1915" spans="1:5" x14ac:dyDescent="0.25">
      <c r="A1915" s="21">
        <v>1914</v>
      </c>
      <c r="B1915" s="5" cm="1">
        <f t="array" aca="1" ref="B1915" ca="1">interpolexp(A1915,serie_du,Taxas_DI)</f>
        <v>0.12947098143840652</v>
      </c>
      <c r="C1915" s="32">
        <f ca="1">((((1+B1915)^(A1915/252))/((1+B1914)^(A1914/252)))^(252/1))-1</f>
        <v>0.12541309027020597</v>
      </c>
      <c r="D1915" s="30">
        <v>0.12947098143840652</v>
      </c>
      <c r="E1915" s="31">
        <f ca="1">B1915-D1915</f>
        <v>0</v>
      </c>
    </row>
    <row r="1916" spans="1:5" x14ac:dyDescent="0.25">
      <c r="A1916" s="21">
        <v>1915</v>
      </c>
      <c r="B1916" s="5" cm="1">
        <f t="array" aca="1" ref="B1916" ca="1">interpolexp(A1916,serie_du,Taxas_DI)</f>
        <v>0.12946885861759849</v>
      </c>
      <c r="C1916" s="32">
        <f ca="1">((((1+B1916)^(A1916/252))/((1+B1915)^(A1915/252)))^(252/1))-1</f>
        <v>0.12541308277051688</v>
      </c>
      <c r="D1916" s="30">
        <v>0.12946885861759849</v>
      </c>
      <c r="E1916" s="31">
        <f ca="1">B1916-D1916</f>
        <v>0</v>
      </c>
    </row>
    <row r="1917" spans="1:5" x14ac:dyDescent="0.25">
      <c r="A1917" s="21">
        <v>1916</v>
      </c>
      <c r="B1917" s="5" cm="1">
        <f t="array" aca="1" ref="B1917" ca="1">interpolexp(A1917,serie_du,Taxas_DI)</f>
        <v>0.12946673801270681</v>
      </c>
      <c r="C1917" s="32">
        <f ca="1">((((1+B1917)^(A1917/252))/((1+B1916)^(A1916/252)))^(252/1))-1</f>
        <v>0.12541307521919332</v>
      </c>
      <c r="D1917" s="30">
        <v>0.12946673801270681</v>
      </c>
      <c r="E1917" s="31">
        <f ca="1">B1917-D1917</f>
        <v>0</v>
      </c>
    </row>
    <row r="1918" spans="1:5" x14ac:dyDescent="0.25">
      <c r="A1918" s="21">
        <v>1917</v>
      </c>
      <c r="B1918" s="5" cm="1">
        <f t="array" aca="1" ref="B1918" ca="1">interpolexp(A1918,serie_du,Taxas_DI)</f>
        <v>0.12946461962028977</v>
      </c>
      <c r="C1918" s="32">
        <f ca="1">((((1+B1918)^(A1918/252))/((1+B1917)^(A1917/252)))^(252/1))-1</f>
        <v>0.12541306772984373</v>
      </c>
      <c r="D1918" s="30">
        <v>0.12946461962028977</v>
      </c>
      <c r="E1918" s="31">
        <f ca="1">B1918-D1918</f>
        <v>0</v>
      </c>
    </row>
    <row r="1919" spans="1:5" x14ac:dyDescent="0.25">
      <c r="A1919" s="21">
        <v>1918</v>
      </c>
      <c r="B1919" s="5" cm="1">
        <f t="array" aca="1" ref="B1919" ca="1">interpolexp(A1919,serie_du,Taxas_DI)</f>
        <v>0.12946250343688348</v>
      </c>
      <c r="C1919" s="32">
        <f ca="1">((((1+B1919)^(A1919/252))/((1+B1918)^(A1918/252)))^(252/1))-1</f>
        <v>0.12541306024582255</v>
      </c>
      <c r="D1919" s="30">
        <v>0.12946250343688348</v>
      </c>
      <c r="E1919" s="31">
        <f ca="1">B1919-D1919</f>
        <v>0</v>
      </c>
    </row>
    <row r="1920" spans="1:5" x14ac:dyDescent="0.25">
      <c r="A1920" s="21">
        <v>1919</v>
      </c>
      <c r="B1920" s="5" cm="1">
        <f t="array" aca="1" ref="B1920" ca="1">interpolexp(A1920,serie_du,Taxas_DI)</f>
        <v>0.12946038945902405</v>
      </c>
      <c r="C1920" s="32">
        <f ca="1">((((1+B1920)^(A1920/252))/((1+B1919)^(A1919/252)))^(252/1))-1</f>
        <v>0.12541305275361103</v>
      </c>
      <c r="D1920" s="30">
        <v>0.12946038945902405</v>
      </c>
      <c r="E1920" s="31">
        <f ca="1">B1920-D1920</f>
        <v>0</v>
      </c>
    </row>
    <row r="1921" spans="1:5" x14ac:dyDescent="0.25">
      <c r="A1921" s="21">
        <v>1920</v>
      </c>
      <c r="B1921" s="5" cm="1">
        <f t="array" aca="1" ref="B1921" ca="1">interpolexp(A1921,serie_du,Taxas_DI)</f>
        <v>0.12945827768324758</v>
      </c>
      <c r="C1921" s="32">
        <f ca="1">((((1+B1921)^(A1921/252))/((1+B1920)^(A1920/252)))^(252/1))-1</f>
        <v>0.1254130452392257</v>
      </c>
      <c r="D1921" s="30">
        <v>0.12945827768324758</v>
      </c>
      <c r="E1921" s="31">
        <f ca="1">B1921-D1921</f>
        <v>0</v>
      </c>
    </row>
    <row r="1922" spans="1:5" x14ac:dyDescent="0.25">
      <c r="A1922" s="21">
        <v>1921</v>
      </c>
      <c r="B1922" s="5" cm="1">
        <f t="array" aca="1" ref="B1922" ca="1">interpolexp(A1922,serie_du,Taxas_DI)</f>
        <v>0.12945616810615679</v>
      </c>
      <c r="C1922" s="32">
        <f ca="1">((((1+B1922)^(A1922/252))/((1+B1921)^(A1921/252)))^(252/1))-1</f>
        <v>0.12541303781644175</v>
      </c>
      <c r="D1922" s="30">
        <v>0.12945616810615679</v>
      </c>
      <c r="E1922" s="31">
        <f ca="1">B1922-D1922</f>
        <v>0</v>
      </c>
    </row>
    <row r="1923" spans="1:5" x14ac:dyDescent="0.25">
      <c r="A1923" s="21">
        <v>1922</v>
      </c>
      <c r="B1923" s="5" cm="1">
        <f t="array" aca="1" ref="B1923" ca="1">interpolexp(A1923,serie_du,Taxas_DI)</f>
        <v>0.12945406072430998</v>
      </c>
      <c r="C1923" s="32">
        <f ca="1">((((1+B1923)^(A1923/252))/((1+B1922)^(A1922/252)))^(252/1))-1</f>
        <v>0.12541303038661455</v>
      </c>
      <c r="D1923" s="30">
        <v>0.12945406072430998</v>
      </c>
      <c r="E1923" s="31">
        <f ca="1">B1923-D1923</f>
        <v>0</v>
      </c>
    </row>
    <row r="1924" spans="1:5" x14ac:dyDescent="0.25">
      <c r="A1924" s="21">
        <v>1923</v>
      </c>
      <c r="B1924" s="5" cm="1">
        <f t="array" aca="1" ref="B1924" ca="1">interpolexp(A1924,serie_du,Taxas_DI)</f>
        <v>0.12945195553426547</v>
      </c>
      <c r="C1924" s="32">
        <f ca="1">((((1+B1924)^(A1924/252))/((1+B1923)^(A1923/252)))^(252/1))-1</f>
        <v>0.12541302293596246</v>
      </c>
      <c r="D1924" s="30">
        <v>0.12945195553426547</v>
      </c>
      <c r="E1924" s="31">
        <f ca="1">B1924-D1924</f>
        <v>0</v>
      </c>
    </row>
    <row r="1925" spans="1:5" x14ac:dyDescent="0.25">
      <c r="A1925" s="21">
        <v>1924</v>
      </c>
      <c r="B1925" s="5" cm="1">
        <f t="array" aca="1" ref="B1925" ca="1">interpolexp(A1925,serie_du,Taxas_DI)</f>
        <v>0.12944985253260377</v>
      </c>
      <c r="C1925" s="32">
        <f ca="1">((((1+B1925)^(A1925/252))/((1+B1924)^(A1924/252)))^(252/1))-1</f>
        <v>0.1254130154933617</v>
      </c>
      <c r="D1925" s="30">
        <v>0.12944985253260377</v>
      </c>
      <c r="E1925" s="31">
        <f ca="1">B1925-D1925</f>
        <v>0</v>
      </c>
    </row>
    <row r="1926" spans="1:5" x14ac:dyDescent="0.25">
      <c r="A1926" s="21">
        <v>1925</v>
      </c>
      <c r="B1926" s="5" cm="1">
        <f t="array" aca="1" ref="B1926" ca="1">interpolexp(A1926,serie_du,Taxas_DI)</f>
        <v>0.12944775171592759</v>
      </c>
      <c r="C1926" s="32">
        <f ca="1">((((1+B1926)^(A1926/252))/((1+B1925)^(A1925/252)))^(252/1))-1</f>
        <v>0.12541300808766032</v>
      </c>
      <c r="D1926" s="30">
        <v>0.12944775171592759</v>
      </c>
      <c r="E1926" s="31">
        <f ca="1">B1926-D1926</f>
        <v>0</v>
      </c>
    </row>
    <row r="1927" spans="1:5" x14ac:dyDescent="0.25">
      <c r="A1927" s="21">
        <v>1926</v>
      </c>
      <c r="B1927" s="5" cm="1">
        <f t="array" aca="1" ref="B1927" ca="1">interpolexp(A1927,serie_du,Taxas_DI)</f>
        <v>0.12944565308081746</v>
      </c>
      <c r="C1927" s="32">
        <f ca="1">((((1+B1927)^(A1927/252))/((1+B1926)^(A1926/252)))^(252/1))-1</f>
        <v>0.12541300066279804</v>
      </c>
      <c r="D1927" s="30">
        <v>0.12944565308081746</v>
      </c>
      <c r="E1927" s="31">
        <f ca="1">B1927-D1927</f>
        <v>0</v>
      </c>
    </row>
    <row r="1928" spans="1:5" x14ac:dyDescent="0.25">
      <c r="A1928" s="21">
        <v>1927</v>
      </c>
      <c r="B1928" s="5" cm="1">
        <f t="array" aca="1" ref="B1928" ca="1">interpolexp(A1928,serie_du,Taxas_DI)</f>
        <v>0.12944355662389828</v>
      </c>
      <c r="C1928" s="32">
        <f ca="1">((((1+B1928)^(A1928/252))/((1+B1927)^(A1927/252)))^(252/1))-1</f>
        <v>0.12541299329031275</v>
      </c>
      <c r="D1928" s="30">
        <v>0.12944355662389828</v>
      </c>
      <c r="E1928" s="31">
        <f ca="1">B1928-D1928</f>
        <v>0</v>
      </c>
    </row>
    <row r="1929" spans="1:5" x14ac:dyDescent="0.25">
      <c r="A1929" s="21">
        <v>1928</v>
      </c>
      <c r="B1929" s="5" cm="1">
        <f t="array" aca="1" ref="B1929" ca="1">interpolexp(A1929,serie_du,Taxas_DI)</f>
        <v>0.12944146234177278</v>
      </c>
      <c r="C1929" s="32">
        <f ca="1">((((1+B1929)^(A1929/252))/((1+B1928)^(A1928/252)))^(252/1))-1</f>
        <v>0.12541298591414418</v>
      </c>
      <c r="D1929" s="30">
        <v>0.12944146234177278</v>
      </c>
      <c r="E1929" s="31">
        <f ca="1">B1929-D1929</f>
        <v>0</v>
      </c>
    </row>
    <row r="1930" spans="1:5" x14ac:dyDescent="0.25">
      <c r="A1930" s="21">
        <v>1929</v>
      </c>
      <c r="B1930" s="5" cm="1">
        <f t="array" aca="1" ref="B1930" ca="1">interpolexp(A1930,serie_du,Taxas_DI)</f>
        <v>0.12943937023106589</v>
      </c>
      <c r="C1930" s="32">
        <f ca="1">((((1+B1930)^(A1930/252))/((1+B1929)^(A1929/252)))^(252/1))-1</f>
        <v>0.12541297856343703</v>
      </c>
      <c r="D1930" s="30">
        <v>0.12943937023106589</v>
      </c>
      <c r="E1930" s="31">
        <f ca="1">B1930-D1930</f>
        <v>0</v>
      </c>
    </row>
    <row r="1931" spans="1:5" x14ac:dyDescent="0.25">
      <c r="A1931" s="21">
        <v>1930</v>
      </c>
      <c r="B1931" s="5" cm="1">
        <f t="array" aca="1" ref="B1931" ca="1">interpolexp(A1931,serie_du,Taxas_DI)</f>
        <v>0.12943728028838031</v>
      </c>
      <c r="C1931" s="32">
        <f ca="1">((((1+B1931)^(A1931/252))/((1+B1930)^(A1930/252)))^(252/1))-1</f>
        <v>0.12541297118183437</v>
      </c>
      <c r="D1931" s="30">
        <v>0.12943728028838031</v>
      </c>
      <c r="E1931" s="31">
        <f ca="1">B1931-D1931</f>
        <v>0</v>
      </c>
    </row>
    <row r="1932" spans="1:5" x14ac:dyDescent="0.25">
      <c r="A1932" s="21">
        <v>1931</v>
      </c>
      <c r="B1932" s="5" cm="1">
        <f t="array" aca="1" ref="B1932" ca="1">interpolexp(A1932,serie_du,Taxas_DI)</f>
        <v>0.12943519251036317</v>
      </c>
      <c r="C1932" s="32">
        <f ca="1">((((1+B1932)^(A1932/252))/((1+B1931)^(A1931/252)))^(252/1))-1</f>
        <v>0.12541296384134681</v>
      </c>
      <c r="D1932" s="30">
        <v>0.12943519251036317</v>
      </c>
      <c r="E1932" s="31">
        <f ca="1">B1932-D1932</f>
        <v>0</v>
      </c>
    </row>
    <row r="1933" spans="1:5" x14ac:dyDescent="0.25">
      <c r="A1933" s="21">
        <v>1932</v>
      </c>
      <c r="B1933" s="5" cm="1">
        <f t="array" aca="1" ref="B1933" ca="1">interpolexp(A1933,serie_du,Taxas_DI)</f>
        <v>0.1294331068936394</v>
      </c>
      <c r="C1933" s="32">
        <f ca="1">((((1+B1933)^(A1933/252))/((1+B1932)^(A1932/252)))^(252/1))-1</f>
        <v>0.12541295648571782</v>
      </c>
      <c r="D1933" s="30">
        <v>0.1294331068936394</v>
      </c>
      <c r="E1933" s="31">
        <f ca="1">B1933-D1933</f>
        <v>0</v>
      </c>
    </row>
    <row r="1934" spans="1:5" x14ac:dyDescent="0.25">
      <c r="A1934" s="21">
        <v>1933</v>
      </c>
      <c r="B1934" s="5" cm="1">
        <f t="array" aca="1" ref="B1934" ca="1">interpolexp(A1934,serie_du,Taxas_DI)</f>
        <v>0.12943102343487833</v>
      </c>
      <c r="C1934" s="32">
        <f ca="1">((((1+B1934)^(A1934/252))/((1+B1933)^(A1933/252)))^(252/1))-1</f>
        <v>0.12541294918725598</v>
      </c>
      <c r="D1934" s="30">
        <v>0.12943102343487833</v>
      </c>
      <c r="E1934" s="31">
        <f ca="1">B1934-D1934</f>
        <v>0</v>
      </c>
    </row>
    <row r="1935" spans="1:5" x14ac:dyDescent="0.25">
      <c r="A1935" s="21">
        <v>1934</v>
      </c>
      <c r="B1935" s="5" cm="1">
        <f t="array" aca="1" ref="B1935" ca="1">interpolexp(A1935,serie_du,Taxas_DI)</f>
        <v>0.12942894213072709</v>
      </c>
      <c r="C1935" s="32">
        <f ca="1">((((1+B1935)^(A1935/252))/((1+B1934)^(A1934/252)))^(252/1))-1</f>
        <v>0.12541294188971097</v>
      </c>
      <c r="D1935" s="30">
        <v>0.12942894213072709</v>
      </c>
      <c r="E1935" s="31">
        <f ca="1">B1935-D1935</f>
        <v>0</v>
      </c>
    </row>
    <row r="1936" spans="1:5" x14ac:dyDescent="0.25">
      <c r="A1936" s="21">
        <v>1935</v>
      </c>
      <c r="B1936" s="5" cm="1">
        <f t="array" aca="1" ref="B1936" ca="1">interpolexp(A1936,serie_du,Taxas_DI)</f>
        <v>0.12942686297781059</v>
      </c>
      <c r="C1936" s="32">
        <f ca="1">((((1+B1936)^(A1936/252))/((1+B1935)^(A1935/252)))^(252/1))-1</f>
        <v>0.12541293453685021</v>
      </c>
      <c r="D1936" s="30">
        <v>0.12942686297781059</v>
      </c>
      <c r="E1936" s="31">
        <f ca="1">B1936-D1936</f>
        <v>0</v>
      </c>
    </row>
    <row r="1937" spans="1:5" x14ac:dyDescent="0.25">
      <c r="A1937" s="21">
        <v>1936</v>
      </c>
      <c r="B1937" s="5" cm="1">
        <f t="array" aca="1" ref="B1937" ca="1">interpolexp(A1937,serie_du,Taxas_DI)</f>
        <v>0.12942478597284257</v>
      </c>
      <c r="C1937" s="32">
        <f ca="1">((((1+B1937)^(A1937/252))/((1+B1936)^(A1936/252)))^(252/1))-1</f>
        <v>0.12541292728655473</v>
      </c>
      <c r="D1937" s="30">
        <v>0.12942478597284257</v>
      </c>
      <c r="E1937" s="31">
        <f ca="1">B1937-D1937</f>
        <v>0</v>
      </c>
    </row>
    <row r="1938" spans="1:5" x14ac:dyDescent="0.25">
      <c r="A1938" s="21">
        <v>1937</v>
      </c>
      <c r="B1938" s="5" cm="1">
        <f t="array" aca="1" ref="B1938" ca="1">interpolexp(A1938,serie_du,Taxas_DI)</f>
        <v>0.12942271111249237</v>
      </c>
      <c r="C1938" s="32">
        <f ca="1">((((1+B1938)^(A1938/252))/((1+B1937)^(A1937/252)))^(252/1))-1</f>
        <v>0.12541292004001514</v>
      </c>
      <c r="D1938" s="30">
        <v>0.12942271111249237</v>
      </c>
      <c r="E1938" s="31">
        <f ca="1">B1938-D1938</f>
        <v>0</v>
      </c>
    </row>
    <row r="1939" spans="1:5" x14ac:dyDescent="0.25">
      <c r="A1939" s="21">
        <v>1938</v>
      </c>
      <c r="B1939" s="5" cm="1">
        <f t="array" aca="1" ref="B1939" ca="1">interpolexp(A1939,serie_du,Taxas_DI)</f>
        <v>0.12942063839338491</v>
      </c>
      <c r="C1939" s="32">
        <f ca="1">((((1+B1939)^(A1939/252))/((1+B1938)^(A1938/252)))^(252/1))-1</f>
        <v>0.12541291269825794</v>
      </c>
      <c r="D1939" s="30">
        <v>0.12942063839338491</v>
      </c>
      <c r="E1939" s="31">
        <f ca="1">B1939-D1939</f>
        <v>0</v>
      </c>
    </row>
    <row r="1940" spans="1:5" x14ac:dyDescent="0.25">
      <c r="A1940" s="21">
        <v>1939</v>
      </c>
      <c r="B1940" s="5" cm="1">
        <f t="array" aca="1" ref="B1940" ca="1">interpolexp(A1940,serie_du,Taxas_DI)</f>
        <v>0.12941856781227834</v>
      </c>
      <c r="C1940" s="32">
        <f ca="1">((((1+B1940)^(A1940/252))/((1+B1939)^(A1939/252)))^(252/1))-1</f>
        <v>0.12541290550508388</v>
      </c>
      <c r="D1940" s="30">
        <v>0.12941856781227834</v>
      </c>
      <c r="E1940" s="31">
        <f ca="1">B1940-D1940</f>
        <v>0</v>
      </c>
    </row>
    <row r="1941" spans="1:5" x14ac:dyDescent="0.25">
      <c r="A1941" s="21">
        <v>1940</v>
      </c>
      <c r="B1941" s="5" cm="1">
        <f t="array" aca="1" ref="B1941" ca="1">interpolexp(A1941,serie_du,Taxas_DI)</f>
        <v>0.12941649936581978</v>
      </c>
      <c r="C1941" s="32">
        <f ca="1">((((1+B1941)^(A1941/252))/((1+B1940)^(A1940/252)))^(252/1))-1</f>
        <v>0.1254128982330216</v>
      </c>
      <c r="D1941" s="30">
        <v>0.12941649936581978</v>
      </c>
      <c r="E1941" s="31">
        <f ca="1">B1941-D1941</f>
        <v>0</v>
      </c>
    </row>
    <row r="1942" spans="1:5" x14ac:dyDescent="0.25">
      <c r="A1942" s="21">
        <v>1941</v>
      </c>
      <c r="B1942" s="5" cm="1">
        <f t="array" aca="1" ref="B1942" ca="1">interpolexp(A1942,serie_du,Taxas_DI)</f>
        <v>0.12941443305072298</v>
      </c>
      <c r="C1942" s="32">
        <f ca="1">((((1+B1942)^(A1942/252))/((1+B1941)^(A1941/252)))^(252/1))-1</f>
        <v>0.12541289099737662</v>
      </c>
      <c r="D1942" s="30">
        <v>0.12941443305072298</v>
      </c>
      <c r="E1942" s="31">
        <f ca="1">B1942-D1942</f>
        <v>0</v>
      </c>
    </row>
    <row r="1943" spans="1:5" x14ac:dyDescent="0.25">
      <c r="A1943" s="21">
        <v>1942</v>
      </c>
      <c r="B1943" s="5" cm="1">
        <f t="array" aca="1" ref="B1943" ca="1">interpolexp(A1943,serie_du,Taxas_DI)</f>
        <v>0.12941236886370167</v>
      </c>
      <c r="C1943" s="32">
        <f ca="1">((((1+B1943)^(A1943/252))/((1+B1942)^(A1942/252)))^(252/1))-1</f>
        <v>0.12541288378529636</v>
      </c>
      <c r="D1943" s="30">
        <v>0.12941236886370167</v>
      </c>
      <c r="E1943" s="31">
        <f ca="1">B1943-D1943</f>
        <v>0</v>
      </c>
    </row>
    <row r="1944" spans="1:5" x14ac:dyDescent="0.25">
      <c r="A1944" s="21">
        <v>1943</v>
      </c>
      <c r="B1944" s="5" cm="1">
        <f t="array" aca="1" ref="B1944" ca="1">interpolexp(A1944,serie_du,Taxas_DI)</f>
        <v>0.12941030680146959</v>
      </c>
      <c r="C1944" s="32">
        <f ca="1">((((1+B1944)^(A1944/252))/((1+B1943)^(A1943/252)))^(252/1))-1</f>
        <v>0.12541287658336508</v>
      </c>
      <c r="D1944" s="30">
        <v>0.12941030680146959</v>
      </c>
      <c r="E1944" s="31">
        <f ca="1">B1944-D1944</f>
        <v>0</v>
      </c>
    </row>
    <row r="1945" spans="1:5" x14ac:dyDescent="0.25">
      <c r="A1945" s="21">
        <v>1944</v>
      </c>
      <c r="B1945" s="5" cm="1">
        <f t="array" aca="1" ref="B1945" ca="1">interpolexp(A1945,serie_du,Taxas_DI)</f>
        <v>0.12940824686074048</v>
      </c>
      <c r="C1945" s="32">
        <f ca="1">((((1+B1945)^(A1945/252))/((1+B1944)^(A1944/252)))^(252/1))-1</f>
        <v>0.12541286937859231</v>
      </c>
      <c r="D1945" s="30">
        <v>0.12940824686074048</v>
      </c>
      <c r="E1945" s="31">
        <f ca="1">B1945-D1945</f>
        <v>0</v>
      </c>
    </row>
    <row r="1946" spans="1:5" x14ac:dyDescent="0.25">
      <c r="A1946" s="21">
        <v>1945</v>
      </c>
      <c r="B1946" s="5" cm="1">
        <f t="array" aca="1" ref="B1946" ca="1">interpolexp(A1946,serie_du,Taxas_DI)</f>
        <v>0.12940618903822809</v>
      </c>
      <c r="C1946" s="32">
        <f ca="1">((((1+B1946)^(A1946/252))/((1+B1945)^(A1945/252)))^(252/1))-1</f>
        <v>0.12541286215797309</v>
      </c>
      <c r="D1946" s="30">
        <v>0.12940618903822809</v>
      </c>
      <c r="E1946" s="31">
        <f ca="1">B1946-D1946</f>
        <v>0</v>
      </c>
    </row>
    <row r="1947" spans="1:5" x14ac:dyDescent="0.25">
      <c r="A1947" s="21">
        <v>1946</v>
      </c>
      <c r="B1947" s="5" cm="1">
        <f t="array" aca="1" ref="B1947" ca="1">interpolexp(A1947,serie_du,Taxas_DI)</f>
        <v>0.12940413333069056</v>
      </c>
      <c r="C1947" s="32">
        <f ca="1">((((1+B1947)^(A1947/252))/((1+B1946)^(A1946/252)))^(252/1))-1</f>
        <v>0.1254128549942457</v>
      </c>
      <c r="D1947" s="30">
        <v>0.12940413333069056</v>
      </c>
      <c r="E1947" s="31">
        <f ca="1">B1947-D1947</f>
        <v>0</v>
      </c>
    </row>
    <row r="1948" spans="1:5" x14ac:dyDescent="0.25">
      <c r="A1948" s="21">
        <v>1947</v>
      </c>
      <c r="B1948" s="5" cm="1">
        <f t="array" aca="1" ref="B1948" ca="1">interpolexp(A1948,serie_du,Taxas_DI)</f>
        <v>0.12940207973488604</v>
      </c>
      <c r="C1948" s="32">
        <f ca="1">((((1+B1948)^(A1948/252))/((1+B1947)^(A1947/252)))^(252/1))-1</f>
        <v>0.12541284787467211</v>
      </c>
      <c r="D1948" s="30">
        <v>0.12940207973488604</v>
      </c>
      <c r="E1948" s="31">
        <f ca="1">B1948-D1948</f>
        <v>0</v>
      </c>
    </row>
    <row r="1949" spans="1:5" x14ac:dyDescent="0.25">
      <c r="A1949" s="21">
        <v>1948</v>
      </c>
      <c r="B1949" s="5" cm="1">
        <f t="array" aca="1" ref="B1949" ca="1">interpolexp(A1949,serie_du,Taxas_DI)</f>
        <v>0.12940002824750607</v>
      </c>
      <c r="C1949" s="32">
        <f ca="1">((((1+B1949)^(A1949/252))/((1+B1948)^(A1948/252)))^(252/1))-1</f>
        <v>0.12541284065688552</v>
      </c>
      <c r="D1949" s="30">
        <v>0.12940002824750607</v>
      </c>
      <c r="E1949" s="31">
        <f ca="1">B1949-D1949</f>
        <v>0</v>
      </c>
    </row>
    <row r="1950" spans="1:5" x14ac:dyDescent="0.25">
      <c r="A1950" s="21">
        <v>1949</v>
      </c>
      <c r="B1950" s="5" cm="1">
        <f t="array" aca="1" ref="B1950" ca="1">interpolexp(A1950,serie_du,Taxas_DI)</f>
        <v>0.1293979788653532</v>
      </c>
      <c r="C1950" s="32">
        <f ca="1">((((1+B1950)^(A1950/252))/((1+B1949)^(A1949/252)))^(252/1))-1</f>
        <v>0.12541283354336286</v>
      </c>
      <c r="D1950" s="30">
        <v>0.1293979788653532</v>
      </c>
      <c r="E1950" s="31">
        <f ca="1">B1950-D1950</f>
        <v>0</v>
      </c>
    </row>
    <row r="1951" spans="1:5" x14ac:dyDescent="0.25">
      <c r="A1951" s="21">
        <v>1950</v>
      </c>
      <c r="B1951" s="5" cm="1">
        <f t="array" aca="1" ref="B1951" ca="1">interpolexp(A1951,serie_du,Taxas_DI)</f>
        <v>0.12939593158518559</v>
      </c>
      <c r="C1951" s="32">
        <f ca="1">((((1+B1951)^(A1951/252))/((1+B1950)^(A1950/252)))^(252/1))-1</f>
        <v>0.12541282643498808</v>
      </c>
      <c r="D1951" s="30">
        <v>0.12939593158518559</v>
      </c>
      <c r="E1951" s="31">
        <f ca="1">B1951-D1951</f>
        <v>0</v>
      </c>
    </row>
    <row r="1952" spans="1:5" x14ac:dyDescent="0.25">
      <c r="A1952" s="21">
        <v>1951</v>
      </c>
      <c r="B1952" s="5" cm="1">
        <f t="array" aca="1" ref="B1952" ca="1">interpolexp(A1952,serie_du,Taxas_DI)</f>
        <v>0.12939388640373917</v>
      </c>
      <c r="C1952" s="32">
        <f ca="1">((((1+B1952)^(A1952/252))/((1+B1951)^(A1951/252)))^(252/1))-1</f>
        <v>0.12541281927575842</v>
      </c>
      <c r="D1952" s="30">
        <v>0.12939388640373917</v>
      </c>
      <c r="E1952" s="31">
        <f ca="1">B1952-D1952</f>
        <v>0</v>
      </c>
    </row>
    <row r="1953" spans="1:5" x14ac:dyDescent="0.25">
      <c r="A1953" s="21">
        <v>1952</v>
      </c>
      <c r="B1953" s="5" cm="1">
        <f t="array" aca="1" ref="B1953" ca="1">interpolexp(A1953,serie_du,Taxas_DI)</f>
        <v>0.1293918433178165</v>
      </c>
      <c r="C1953" s="32">
        <f ca="1">((((1+B1953)^(A1953/252))/((1+B1952)^(A1952/252)))^(252/1))-1</f>
        <v>0.12541281218213918</v>
      </c>
      <c r="D1953" s="30">
        <v>0.1293918433178165</v>
      </c>
      <c r="E1953" s="31">
        <f ca="1">B1953-D1953</f>
        <v>0</v>
      </c>
    </row>
    <row r="1954" spans="1:5" x14ac:dyDescent="0.25">
      <c r="A1954" s="21">
        <v>1953</v>
      </c>
      <c r="B1954" s="5" cm="1">
        <f t="array" aca="1" ref="B1954" ca="1">interpolexp(A1954,serie_du,Taxas_DI)</f>
        <v>0.12938980232417574</v>
      </c>
      <c r="C1954" s="32">
        <f ca="1">((((1+B1954)^(A1954/252))/((1+B1953)^(A1953/252)))^(252/1))-1</f>
        <v>0.1254128050548986</v>
      </c>
      <c r="D1954" s="30">
        <v>0.12938980232417574</v>
      </c>
      <c r="E1954" s="31">
        <f ca="1">B1954-D1954</f>
        <v>0</v>
      </c>
    </row>
    <row r="1955" spans="1:5" x14ac:dyDescent="0.25">
      <c r="A1955" s="21">
        <v>1954</v>
      </c>
      <c r="B1955" s="5" cm="1">
        <f t="array" aca="1" ref="B1955" ca="1">interpolexp(A1955,serie_du,Taxas_DI)</f>
        <v>0.12938776341961944</v>
      </c>
      <c r="C1955" s="32">
        <f ca="1">((((1+B1955)^(A1955/252))/((1+B1954)^(A1954/252)))^(252/1))-1</f>
        <v>0.12541279796759919</v>
      </c>
      <c r="D1955" s="30">
        <v>0.12938776341961944</v>
      </c>
      <c r="E1955" s="31">
        <f ca="1">B1955-D1955</f>
        <v>0</v>
      </c>
    </row>
    <row r="1956" spans="1:5" x14ac:dyDescent="0.25">
      <c r="A1956" s="21">
        <v>1955</v>
      </c>
      <c r="B1956" s="5" cm="1">
        <f t="array" aca="1" ref="B1956" ca="1">interpolexp(A1956,serie_du,Taxas_DI)</f>
        <v>0.12938572660095016</v>
      </c>
      <c r="C1956" s="32">
        <f ca="1">((((1+B1956)^(A1956/252))/((1+B1955)^(A1955/252)))^(252/1))-1</f>
        <v>0.12541279090739077</v>
      </c>
      <c r="D1956" s="30">
        <v>0.12938572660095016</v>
      </c>
      <c r="E1956" s="31">
        <f ca="1">B1956-D1956</f>
        <v>0</v>
      </c>
    </row>
    <row r="1957" spans="1:5" x14ac:dyDescent="0.25">
      <c r="A1957" s="21">
        <v>1956</v>
      </c>
      <c r="B1957" s="5" cm="1">
        <f t="array" aca="1" ref="B1957" ca="1">interpolexp(A1957,serie_du,Taxas_DI)</f>
        <v>0.12938369186494825</v>
      </c>
      <c r="C1957" s="32">
        <f ca="1">((((1+B1957)^(A1957/252))/((1+B1956)^(A1956/252)))^(252/1))-1</f>
        <v>0.12541278381852661</v>
      </c>
      <c r="D1957" s="30">
        <v>0.12938369186494825</v>
      </c>
      <c r="E1957" s="31">
        <f ca="1">B1957-D1957</f>
        <v>0</v>
      </c>
    </row>
    <row r="1958" spans="1:5" x14ac:dyDescent="0.25">
      <c r="A1958" s="21">
        <v>1957</v>
      </c>
      <c r="B1958" s="5" cm="1">
        <f t="array" aca="1" ref="B1958" ca="1">interpolexp(A1958,serie_du,Taxas_DI)</f>
        <v>0.12938165920843847</v>
      </c>
      <c r="C1958" s="32">
        <f ca="1">((((1+B1958)^(A1958/252))/((1+B1957)^(A1957/252)))^(252/1))-1</f>
        <v>0.12541277677429874</v>
      </c>
      <c r="D1958" s="30">
        <v>0.12938165920843847</v>
      </c>
      <c r="E1958" s="31">
        <f ca="1">B1958-D1958</f>
        <v>0</v>
      </c>
    </row>
    <row r="1959" spans="1:5" x14ac:dyDescent="0.25">
      <c r="A1959" s="21">
        <v>1958</v>
      </c>
      <c r="B1959" s="5" cm="1">
        <f t="array" aca="1" ref="B1959" ca="1">interpolexp(A1959,serie_du,Taxas_DI)</f>
        <v>0.12937962862824559</v>
      </c>
      <c r="C1959" s="32">
        <f ca="1">((((1+B1959)^(A1959/252))/((1+B1958)^(A1958/252)))^(252/1))-1</f>
        <v>0.12541276976243809</v>
      </c>
      <c r="D1959" s="30">
        <v>0.12937962862824559</v>
      </c>
      <c r="E1959" s="31">
        <f ca="1">B1959-D1959</f>
        <v>0</v>
      </c>
    </row>
    <row r="1960" spans="1:5" x14ac:dyDescent="0.25">
      <c r="A1960" s="21">
        <v>1959</v>
      </c>
      <c r="B1960" s="5" cm="1">
        <f t="array" aca="1" ref="B1960" ca="1">interpolexp(A1960,serie_du,Taxas_DI)</f>
        <v>0.12937760012114996</v>
      </c>
      <c r="C1960" s="32">
        <f ca="1">((((1+B1960)^(A1960/252))/((1+B1959)^(A1959/252)))^(252/1))-1</f>
        <v>0.12541276268339274</v>
      </c>
      <c r="D1960" s="30">
        <v>0.12937760012114996</v>
      </c>
      <c r="E1960" s="31">
        <f ca="1">B1960-D1960</f>
        <v>0</v>
      </c>
    </row>
    <row r="1961" spans="1:5" x14ac:dyDescent="0.25">
      <c r="A1961" s="21">
        <v>1960</v>
      </c>
      <c r="B1961" s="5" cm="1">
        <f t="array" aca="1" ref="B1961" ca="1">interpolexp(A1961,serie_du,Taxas_DI)</f>
        <v>0.12937557368399855</v>
      </c>
      <c r="C1961" s="32">
        <f ca="1">((((1+B1961)^(A1961/252))/((1+B1960)^(A1960/252)))^(252/1))-1</f>
        <v>0.12541275565425658</v>
      </c>
      <c r="D1961" s="30">
        <v>0.12937557368399855</v>
      </c>
      <c r="E1961" s="31">
        <f ca="1">B1961-D1961</f>
        <v>0</v>
      </c>
    </row>
    <row r="1962" spans="1:5" x14ac:dyDescent="0.25">
      <c r="A1962" s="21">
        <v>1961</v>
      </c>
      <c r="B1962" s="5" cm="1">
        <f t="array" aca="1" ref="B1962" ca="1">interpolexp(A1962,serie_du,Taxas_DI)</f>
        <v>0.12937354931363831</v>
      </c>
      <c r="C1962" s="32">
        <f ca="1">((((1+B1962)^(A1962/252))/((1+B1961)^(A1961/252)))^(252/1))-1</f>
        <v>0.12541274866283625</v>
      </c>
      <c r="D1962" s="30">
        <v>0.12937354931363831</v>
      </c>
      <c r="E1962" s="31">
        <f ca="1">B1962-D1962</f>
        <v>0</v>
      </c>
    </row>
    <row r="1963" spans="1:5" x14ac:dyDescent="0.25">
      <c r="A1963" s="21">
        <v>1962</v>
      </c>
      <c r="B1963" s="5" cm="1">
        <f t="array" aca="1" ref="B1963" ca="1">interpolexp(A1963,serie_du,Taxas_DI)</f>
        <v>0.12937152700689403</v>
      </c>
      <c r="C1963" s="32">
        <f ca="1">((((1+B1963)^(A1963/252))/((1+B1962)^(A1962/252)))^(252/1))-1</f>
        <v>0.12541274165267691</v>
      </c>
      <c r="D1963" s="30">
        <v>0.12937152700689403</v>
      </c>
      <c r="E1963" s="31">
        <f ca="1">B1963-D1963</f>
        <v>0</v>
      </c>
    </row>
    <row r="1964" spans="1:5" x14ac:dyDescent="0.25">
      <c r="A1964" s="21">
        <v>1963</v>
      </c>
      <c r="B1964" s="5" cm="1">
        <f t="array" aca="1" ref="B1964" ca="1">interpolexp(A1964,serie_du,Taxas_DI)</f>
        <v>0.12936950676061265</v>
      </c>
      <c r="C1964" s="32">
        <f ca="1">((((1+B1964)^(A1964/252))/((1+B1963)^(A1963/252)))^(252/1))-1</f>
        <v>0.12541273465494518</v>
      </c>
      <c r="D1964" s="30">
        <v>0.12936950676061265</v>
      </c>
      <c r="E1964" s="31">
        <f ca="1">B1964-D1964</f>
        <v>0</v>
      </c>
    </row>
    <row r="1965" spans="1:5" x14ac:dyDescent="0.25">
      <c r="A1965" s="21">
        <v>1964</v>
      </c>
      <c r="B1965" s="5" cm="1">
        <f t="array" aca="1" ref="B1965" ca="1">interpolexp(A1965,serie_du,Taxas_DI)</f>
        <v>0.12936748857164115</v>
      </c>
      <c r="C1965" s="32">
        <f ca="1">((((1+B1965)^(A1965/252))/((1+B1964)^(A1964/252)))^(252/1))-1</f>
        <v>0.1254127276567949</v>
      </c>
      <c r="D1965" s="30">
        <v>0.12936748857164115</v>
      </c>
      <c r="E1965" s="31">
        <f ca="1">B1965-D1965</f>
        <v>0</v>
      </c>
    </row>
    <row r="1966" spans="1:5" x14ac:dyDescent="0.25">
      <c r="A1966" s="21">
        <v>1965</v>
      </c>
      <c r="B1966" s="5" cm="1">
        <f t="array" aca="1" ref="B1966" ca="1">interpolexp(A1966,serie_du,Taxas_DI)</f>
        <v>0.12936547243687091</v>
      </c>
      <c r="C1966" s="32">
        <f ca="1">((((1+B1966)^(A1966/252))/((1+B1965)^(A1965/252)))^(252/1))-1</f>
        <v>0.12541272073260767</v>
      </c>
      <c r="D1966" s="30">
        <v>0.12936547243687091</v>
      </c>
      <c r="E1966" s="31">
        <f ca="1">B1966-D1966</f>
        <v>0</v>
      </c>
    </row>
    <row r="1967" spans="1:5" x14ac:dyDescent="0.25">
      <c r="A1967" s="21">
        <v>1966</v>
      </c>
      <c r="B1967" s="5" cm="1">
        <f t="array" aca="1" ref="B1967" ca="1">interpolexp(A1967,serie_du,Taxas_DI)</f>
        <v>0.12936345835312668</v>
      </c>
      <c r="C1967" s="32">
        <f ca="1">((((1+B1967)^(A1967/252))/((1+B1966)^(A1966/252)))^(252/1))-1</f>
        <v>0.12541271373962126</v>
      </c>
      <c r="D1967" s="30">
        <v>0.12936345835312668</v>
      </c>
      <c r="E1967" s="31">
        <f ca="1">B1967-D1967</f>
        <v>0</v>
      </c>
    </row>
    <row r="1968" spans="1:5" x14ac:dyDescent="0.25">
      <c r="A1968" s="21">
        <v>1967</v>
      </c>
      <c r="B1968" s="5" cm="1">
        <f t="array" aca="1" ref="B1968" ca="1">interpolexp(A1968,serie_du,Taxas_DI)</f>
        <v>0.12936144631729984</v>
      </c>
      <c r="C1968" s="32">
        <f ca="1">((((1+B1968)^(A1968/252))/((1+B1967)^(A1967/252)))^(252/1))-1</f>
        <v>0.12541270679552374</v>
      </c>
      <c r="D1968" s="30">
        <v>0.12936144631729984</v>
      </c>
      <c r="E1968" s="31">
        <f ca="1">B1968-D1968</f>
        <v>0</v>
      </c>
    </row>
    <row r="1969" spans="1:5" x14ac:dyDescent="0.25">
      <c r="A1969" s="21">
        <v>1968</v>
      </c>
      <c r="B1969" s="5" cm="1">
        <f t="array" aca="1" ref="B1969" ca="1">interpolexp(A1969,serie_du,Taxas_DI)</f>
        <v>0.12935943632625957</v>
      </c>
      <c r="C1969" s="32">
        <f ca="1">((((1+B1969)^(A1969/252))/((1+B1968)^(A1968/252)))^(252/1))-1</f>
        <v>0.12541269984448444</v>
      </c>
      <c r="D1969" s="30">
        <v>0.12935943632625957</v>
      </c>
      <c r="E1969" s="31">
        <f ca="1">B1969-D1969</f>
        <v>0</v>
      </c>
    </row>
    <row r="1970" spans="1:5" x14ac:dyDescent="0.25">
      <c r="A1970" s="21">
        <v>1969</v>
      </c>
      <c r="B1970" s="5" cm="1">
        <f t="array" aca="1" ref="B1970" ca="1">interpolexp(A1970,serie_du,Taxas_DI)</f>
        <v>0.12935742837689723</v>
      </c>
      <c r="C1970" s="32">
        <f ca="1">((((1+B1970)^(A1970/252))/((1+B1969)^(A1969/252)))^(252/1))-1</f>
        <v>0.12541269291764046</v>
      </c>
      <c r="D1970" s="30">
        <v>0.12935742837689723</v>
      </c>
      <c r="E1970" s="31">
        <f ca="1">B1970-D1970</f>
        <v>0</v>
      </c>
    </row>
    <row r="1971" spans="1:5" x14ac:dyDescent="0.25">
      <c r="A1971" s="21">
        <v>1970</v>
      </c>
      <c r="B1971" s="5" cm="1">
        <f t="array" aca="1" ref="B1971" ca="1">interpolexp(A1971,serie_du,Taxas_DI)</f>
        <v>0.12935542246610421</v>
      </c>
      <c r="C1971" s="32">
        <f ca="1">((((1+B1971)^(A1971/252))/((1+B1970)^(A1970/252)))^(252/1))-1</f>
        <v>0.12541268600232236</v>
      </c>
      <c r="D1971" s="30">
        <v>0.12935542246610421</v>
      </c>
      <c r="E1971" s="31">
        <f ca="1">B1971-D1971</f>
        <v>0</v>
      </c>
    </row>
    <row r="1972" spans="1:5" x14ac:dyDescent="0.25">
      <c r="A1972" s="21">
        <v>1971</v>
      </c>
      <c r="B1972" s="5" cm="1">
        <f t="array" aca="1" ref="B1972" ca="1">interpolexp(A1972,serie_du,Taxas_DI)</f>
        <v>0.12935341859077187</v>
      </c>
      <c r="C1972" s="32">
        <f ca="1">((((1+B1972)^(A1972/252))/((1+B1971)^(A1971/252)))^(252/1))-1</f>
        <v>0.1254126790864003</v>
      </c>
      <c r="D1972" s="30">
        <v>0.12935341859077187</v>
      </c>
      <c r="E1972" s="31">
        <f ca="1">B1972-D1972</f>
        <v>0</v>
      </c>
    </row>
    <row r="1973" spans="1:5" x14ac:dyDescent="0.25">
      <c r="A1973" s="21">
        <v>1972</v>
      </c>
      <c r="B1973" s="5" cm="1">
        <f t="array" aca="1" ref="B1973" ca="1">interpolexp(A1973,serie_du,Taxas_DI)</f>
        <v>0.12935141674781381</v>
      </c>
      <c r="C1973" s="32">
        <f ca="1">((((1+B1973)^(A1973/252))/((1+B1972)^(A1972/252)))^(252/1))-1</f>
        <v>0.12541267220100805</v>
      </c>
      <c r="D1973" s="30">
        <v>0.12935141674781381</v>
      </c>
      <c r="E1973" s="31">
        <f ca="1">B1973-D1973</f>
        <v>0</v>
      </c>
    </row>
    <row r="1974" spans="1:5" x14ac:dyDescent="0.25">
      <c r="A1974" s="21">
        <v>1973</v>
      </c>
      <c r="B1974" s="5" cm="1">
        <f t="array" aca="1" ref="B1974" ca="1">interpolexp(A1974,serie_du,Taxas_DI)</f>
        <v>0.12934941693414359</v>
      </c>
      <c r="C1974" s="32">
        <f ca="1">((((1+B1974)^(A1974/252))/((1+B1973)^(A1973/252)))^(252/1))-1</f>
        <v>0.12541266533365403</v>
      </c>
      <c r="D1974" s="30">
        <v>0.12934941693414359</v>
      </c>
      <c r="E1974" s="31">
        <f ca="1">B1974-D1974</f>
        <v>0</v>
      </c>
    </row>
    <row r="1975" spans="1:5" x14ac:dyDescent="0.25">
      <c r="A1975" s="21">
        <v>1974</v>
      </c>
      <c r="B1975" s="5" cm="1">
        <f t="array" aca="1" ref="B1975" ca="1">interpolexp(A1975,serie_du,Taxas_DI)</f>
        <v>0.1293474191466526</v>
      </c>
      <c r="C1975" s="32">
        <f ca="1">((((1+B1975)^(A1975/252))/((1+B1974)^(A1974/252)))^(252/1))-1</f>
        <v>0.12541265842858684</v>
      </c>
      <c r="D1975" s="30">
        <v>0.1293474191466526</v>
      </c>
      <c r="E1975" s="31">
        <f ca="1">B1975-D1975</f>
        <v>0</v>
      </c>
    </row>
    <row r="1976" spans="1:5" x14ac:dyDescent="0.25">
      <c r="A1976" s="21">
        <v>1975</v>
      </c>
      <c r="B1976" s="5" cm="1">
        <f t="array" aca="1" ref="B1976" ca="1">interpolexp(A1976,serie_du,Taxas_DI)</f>
        <v>0.12934542338227661</v>
      </c>
      <c r="C1976" s="32">
        <f ca="1">((((1+B1976)^(A1976/252))/((1+B1975)^(A1975/252)))^(252/1))-1</f>
        <v>0.12541265156059711</v>
      </c>
      <c r="D1976" s="30">
        <v>0.12934542338227661</v>
      </c>
      <c r="E1976" s="31">
        <f ca="1">B1976-D1976</f>
        <v>0</v>
      </c>
    </row>
    <row r="1977" spans="1:5" x14ac:dyDescent="0.25">
      <c r="A1977" s="21">
        <v>1976</v>
      </c>
      <c r="B1977" s="5" cm="1">
        <f t="array" aca="1" ref="B1977" ca="1">interpolexp(A1977,serie_du,Taxas_DI)</f>
        <v>0.12934342963795142</v>
      </c>
      <c r="C1977" s="32">
        <f ca="1">((((1+B1977)^(A1977/252))/((1+B1976)^(A1976/252)))^(252/1))-1</f>
        <v>0.12541264471758451</v>
      </c>
      <c r="D1977" s="30">
        <v>0.12934342963795142</v>
      </c>
      <c r="E1977" s="31">
        <f ca="1">B1977-D1977</f>
        <v>0</v>
      </c>
    </row>
    <row r="1978" spans="1:5" x14ac:dyDescent="0.25">
      <c r="A1978" s="21">
        <v>1977</v>
      </c>
      <c r="B1978" s="5" cm="1">
        <f t="array" aca="1" ref="B1978" ca="1">interpolexp(A1978,serie_du,Taxas_DI)</f>
        <v>0.12934143791059061</v>
      </c>
      <c r="C1978" s="32">
        <f ca="1">((((1+B1978)^(A1978/252))/((1+B1977)^(A1977/252)))^(252/1))-1</f>
        <v>0.12541263784350165</v>
      </c>
      <c r="D1978" s="30">
        <v>0.12934143791059061</v>
      </c>
      <c r="E1978" s="31">
        <f ca="1">B1978-D1978</f>
        <v>0</v>
      </c>
    </row>
    <row r="1979" spans="1:5" x14ac:dyDescent="0.25">
      <c r="A1979" s="21">
        <v>1978</v>
      </c>
      <c r="B1979" s="5" cm="1">
        <f t="array" aca="1" ref="B1979" ca="1">interpolexp(A1979,serie_du,Taxas_DI)</f>
        <v>0.12933944819717436</v>
      </c>
      <c r="C1979" s="32">
        <f ca="1">((((1+B1979)^(A1979/252))/((1+B1978)^(A1978/252)))^(252/1))-1</f>
        <v>0.12541263105736156</v>
      </c>
      <c r="D1979" s="30">
        <v>0.12933944819717436</v>
      </c>
      <c r="E1979" s="31">
        <f ca="1">B1979-D1979</f>
        <v>0</v>
      </c>
    </row>
    <row r="1980" spans="1:5" x14ac:dyDescent="0.25">
      <c r="A1980" s="21">
        <v>1979</v>
      </c>
      <c r="B1980" s="5" cm="1">
        <f t="array" aca="1" ref="B1980" ca="1">interpolexp(A1980,serie_du,Taxas_DI)</f>
        <v>0.12933746049461625</v>
      </c>
      <c r="C1980" s="32">
        <f ca="1">((((1+B1980)^(A1980/252))/((1+B1979)^(A1979/252)))^(252/1))-1</f>
        <v>0.12541262421568211</v>
      </c>
      <c r="D1980" s="30">
        <v>0.12933746049461625</v>
      </c>
      <c r="E1980" s="31">
        <f ca="1">B1980-D1980</f>
        <v>0</v>
      </c>
    </row>
    <row r="1981" spans="1:5" x14ac:dyDescent="0.25">
      <c r="A1981" s="21">
        <v>1980</v>
      </c>
      <c r="B1981" s="5" cm="1">
        <f t="array" aca="1" ref="B1981" ca="1">interpolexp(A1981,serie_du,Taxas_DI)</f>
        <v>0.12933547479987428</v>
      </c>
      <c r="C1981" s="32">
        <f ca="1">((((1+B1981)^(A1981/252))/((1+B1980)^(A1980/252)))^(252/1))-1</f>
        <v>0.12541261739382015</v>
      </c>
      <c r="D1981" s="30">
        <v>0.12933547479987428</v>
      </c>
      <c r="E1981" s="31">
        <f ca="1">B1981-D1981</f>
        <v>0</v>
      </c>
    </row>
    <row r="1982" spans="1:5" x14ac:dyDescent="0.25">
      <c r="A1982" s="21">
        <v>1981</v>
      </c>
      <c r="B1982" s="5" cm="1">
        <f t="array" aca="1" ref="B1982" ca="1">interpolexp(A1982,serie_du,Taxas_DI)</f>
        <v>0.12933349110990644</v>
      </c>
      <c r="C1982" s="32">
        <f ca="1">((((1+B1982)^(A1982/252))/((1+B1981)^(A1981/252)))^(252/1))-1</f>
        <v>0.12541261057959319</v>
      </c>
      <c r="D1982" s="30">
        <v>0.12933349110990644</v>
      </c>
      <c r="E1982" s="31">
        <f ca="1">B1982-D1982</f>
        <v>0</v>
      </c>
    </row>
    <row r="1983" spans="1:5" x14ac:dyDescent="0.25">
      <c r="A1983" s="21">
        <v>1982</v>
      </c>
      <c r="B1983" s="5" cm="1">
        <f t="array" aca="1" ref="B1983" ca="1">interpolexp(A1983,serie_du,Taxas_DI)</f>
        <v>0.12933150942167071</v>
      </c>
      <c r="C1983" s="32">
        <f ca="1">((((1+B1983)^(A1983/252))/((1+B1982)^(A1982/252)))^(252/1))-1</f>
        <v>0.12541260376089092</v>
      </c>
      <c r="D1983" s="30">
        <v>0.12933150942167071</v>
      </c>
      <c r="E1983" s="31">
        <f ca="1">B1983-D1983</f>
        <v>0</v>
      </c>
    </row>
    <row r="1984" spans="1:5" x14ac:dyDescent="0.25">
      <c r="A1984" s="21">
        <v>1983</v>
      </c>
      <c r="B1984" s="5" cm="1">
        <f t="array" aca="1" ref="B1984" ca="1">interpolexp(A1984,serie_du,Taxas_DI)</f>
        <v>0.12932952973216949</v>
      </c>
      <c r="C1984" s="32">
        <f ca="1">((((1+B1984)^(A1984/252))/((1+B1983)^(A1983/252)))^(252/1))-1</f>
        <v>0.12541259701323404</v>
      </c>
      <c r="D1984" s="30">
        <v>0.12932952973216949</v>
      </c>
      <c r="E1984" s="31">
        <f ca="1">B1984-D1984</f>
        <v>0</v>
      </c>
    </row>
    <row r="1985" spans="1:5" x14ac:dyDescent="0.25">
      <c r="A1985" s="21">
        <v>1984</v>
      </c>
      <c r="B1985" s="5" cm="1">
        <f t="array" aca="1" ref="B1985" ca="1">interpolexp(A1985,serie_du,Taxas_DI)</f>
        <v>0.12932755203836077</v>
      </c>
      <c r="C1985" s="32">
        <f ca="1">((((1+B1985)^(A1985/252))/((1+B1984)^(A1984/252)))^(252/1))-1</f>
        <v>0.1254125902370522</v>
      </c>
      <c r="D1985" s="30">
        <v>0.12932755203836077</v>
      </c>
      <c r="E1985" s="31">
        <f ca="1">B1985-D1985</f>
        <v>0</v>
      </c>
    </row>
    <row r="1986" spans="1:5" x14ac:dyDescent="0.25">
      <c r="A1986" s="21">
        <v>1985</v>
      </c>
      <c r="B1986" s="5" cm="1">
        <f t="array" aca="1" ref="B1986" ca="1">interpolexp(A1986,serie_du,Taxas_DI)</f>
        <v>0.12932557633722475</v>
      </c>
      <c r="C1986" s="32">
        <f ca="1">((((1+B1986)^(A1986/252))/((1+B1985)^(A1985/252)))^(252/1))-1</f>
        <v>0.12541258346385664</v>
      </c>
      <c r="D1986" s="30">
        <v>0.12932557633722475</v>
      </c>
      <c r="E1986" s="31">
        <f ca="1">B1986-D1986</f>
        <v>0</v>
      </c>
    </row>
    <row r="1987" spans="1:5" x14ac:dyDescent="0.25">
      <c r="A1987" s="21">
        <v>1986</v>
      </c>
      <c r="B1987" s="5" cm="1">
        <f t="array" aca="1" ref="B1987" ca="1">interpolexp(A1987,serie_du,Taxas_DI)</f>
        <v>0.12932360262576381</v>
      </c>
      <c r="C1987" s="32">
        <f ca="1">((((1+B1987)^(A1987/252))/((1+B1986)^(A1986/252)))^(252/1))-1</f>
        <v>0.12541257672576656</v>
      </c>
      <c r="D1987" s="30">
        <v>0.12932360262576381</v>
      </c>
      <c r="E1987" s="31">
        <f ca="1">B1987-D1987</f>
        <v>0</v>
      </c>
    </row>
    <row r="1988" spans="1:5" x14ac:dyDescent="0.25">
      <c r="A1988" s="21">
        <v>1987</v>
      </c>
      <c r="B1988" s="5" cm="1">
        <f t="array" aca="1" ref="B1988" ca="1">interpolexp(A1988,serie_du,Taxas_DI)</f>
        <v>0.12932163090095816</v>
      </c>
      <c r="C1988" s="32">
        <f ca="1">((((1+B1988)^(A1988/252))/((1+B1987)^(A1987/252)))^(252/1))-1</f>
        <v>0.12541256996660044</v>
      </c>
      <c r="D1988" s="30">
        <v>0.12932163090095816</v>
      </c>
      <c r="E1988" s="31">
        <f ca="1">B1988-D1988</f>
        <v>0</v>
      </c>
    </row>
    <row r="1989" spans="1:5" x14ac:dyDescent="0.25">
      <c r="A1989" s="21">
        <v>1988</v>
      </c>
      <c r="B1989" s="5" cm="1">
        <f t="array" aca="1" ref="B1989" ca="1">interpolexp(A1989,serie_du,Taxas_DI)</f>
        <v>0.1293196611598324</v>
      </c>
      <c r="C1989" s="32">
        <f ca="1">((((1+B1989)^(A1989/252))/((1+B1988)^(A1988/252)))^(252/1))-1</f>
        <v>0.12541256326254246</v>
      </c>
      <c r="D1989" s="30">
        <v>0.1293196611598324</v>
      </c>
      <c r="E1989" s="31">
        <f ca="1">B1989-D1989</f>
        <v>0</v>
      </c>
    </row>
    <row r="1990" spans="1:5" x14ac:dyDescent="0.25">
      <c r="A1990" s="21">
        <v>1989</v>
      </c>
      <c r="B1990" s="5" cm="1">
        <f t="array" aca="1" ref="B1990" ca="1">interpolexp(A1990,serie_du,Taxas_DI)</f>
        <v>0.12931769339936672</v>
      </c>
      <c r="C1990" s="32">
        <f ca="1">((((1+B1990)^(A1990/252))/((1+B1989)^(A1989/252)))^(252/1))-1</f>
        <v>0.12541255651350314</v>
      </c>
      <c r="D1990" s="30">
        <v>0.12931769339936672</v>
      </c>
      <c r="E1990" s="31">
        <f ca="1">B1990-D1990</f>
        <v>0</v>
      </c>
    </row>
    <row r="1991" spans="1:5" x14ac:dyDescent="0.25">
      <c r="A1991" s="21">
        <v>1990</v>
      </c>
      <c r="B1991" s="5" cm="1">
        <f t="array" aca="1" ref="B1991" ca="1">interpolexp(A1991,serie_du,Taxas_DI)</f>
        <v>0.12931572761658572</v>
      </c>
      <c r="C1991" s="32">
        <f ca="1">((((1+B1991)^(A1991/252))/((1+B1990)^(A1990/252)))^(252/1))-1</f>
        <v>0.12541254979565242</v>
      </c>
      <c r="D1991" s="30">
        <v>0.12931572761658572</v>
      </c>
      <c r="E1991" s="31">
        <f ca="1">B1991-D1991</f>
        <v>0</v>
      </c>
    </row>
    <row r="1992" spans="1:5" x14ac:dyDescent="0.25">
      <c r="A1992" s="21">
        <v>1991</v>
      </c>
      <c r="B1992" s="5" cm="1">
        <f t="array" aca="1" ref="B1992" ca="1">interpolexp(A1992,serie_du,Taxas_DI)</f>
        <v>0.129313763808514</v>
      </c>
      <c r="C1992" s="32">
        <f ca="1">((((1+B1992)^(A1992/252))/((1+B1991)^(A1991/252)))^(252/1))-1</f>
        <v>0.12541254309684002</v>
      </c>
      <c r="D1992" s="30">
        <v>0.129313763808514</v>
      </c>
      <c r="E1992" s="31">
        <f ca="1">B1992-D1992</f>
        <v>0</v>
      </c>
    </row>
    <row r="1993" spans="1:5" x14ac:dyDescent="0.25">
      <c r="A1993" s="21">
        <v>1992</v>
      </c>
      <c r="B1993" s="5" cm="1">
        <f t="array" aca="1" ref="B1993" ca="1">interpolexp(A1993,serie_du,Taxas_DI)</f>
        <v>0.12931180197217618</v>
      </c>
      <c r="C1993" s="32">
        <f ca="1">((((1+B1993)^(A1993/252))/((1+B1992)^(A1992/252)))^(252/1))-1</f>
        <v>0.12541253640553474</v>
      </c>
      <c r="D1993" s="30">
        <v>0.12931180197217618</v>
      </c>
      <c r="E1993" s="31">
        <f ca="1">B1993-D1993</f>
        <v>0</v>
      </c>
    </row>
    <row r="1994" spans="1:5" x14ac:dyDescent="0.25">
      <c r="A1994" s="21">
        <v>1993</v>
      </c>
      <c r="B1994" s="5" cm="1">
        <f t="array" aca="1" ref="B1994" ca="1">interpolexp(A1994,serie_du,Taxas_DI)</f>
        <v>0.12930984210461904</v>
      </c>
      <c r="C1994" s="32">
        <f ca="1">((((1+B1994)^(A1994/252))/((1+B1993)^(A1993/252)))^(252/1))-1</f>
        <v>0.12541252975369677</v>
      </c>
      <c r="D1994" s="30">
        <v>0.12930984210461904</v>
      </c>
      <c r="E1994" s="31">
        <f ca="1">B1994-D1994</f>
        <v>0</v>
      </c>
    </row>
    <row r="1995" spans="1:5" x14ac:dyDescent="0.25">
      <c r="A1995" s="21">
        <v>1994</v>
      </c>
      <c r="B1995" s="5" cm="1">
        <f t="array" aca="1" ref="B1995" ca="1">interpolexp(A1995,serie_du,Taxas_DI)</f>
        <v>0.129307884202845</v>
      </c>
      <c r="C1995" s="32">
        <f ca="1">((((1+B1995)^(A1995/252))/((1+B1994)^(A1994/252)))^(252/1))-1</f>
        <v>0.12541252304143513</v>
      </c>
      <c r="D1995" s="30">
        <v>0.129307884202845</v>
      </c>
      <c r="E1995" s="31">
        <f ca="1">B1995-D1995</f>
        <v>0</v>
      </c>
    </row>
    <row r="1996" spans="1:5" x14ac:dyDescent="0.25">
      <c r="A1996" s="21">
        <v>1995</v>
      </c>
      <c r="B1996" s="5" cm="1">
        <f t="array" aca="1" ref="B1996" ca="1">interpolexp(A1996,serie_du,Taxas_DI)</f>
        <v>0.12930592826392306</v>
      </c>
      <c r="C1996" s="32">
        <f ca="1">((((1+B1996)^(A1996/252))/((1+B1995)^(A1995/252)))^(252/1))-1</f>
        <v>0.12541251638909134</v>
      </c>
      <c r="D1996" s="30">
        <v>0.12930592826392306</v>
      </c>
      <c r="E1996" s="31">
        <f ca="1">B1996-D1996</f>
        <v>0</v>
      </c>
    </row>
    <row r="1997" spans="1:5" x14ac:dyDescent="0.25">
      <c r="A1997" s="21">
        <v>1996</v>
      </c>
      <c r="B1997" s="5" cm="1">
        <f t="array" aca="1" ref="B1997" ca="1">interpolexp(A1997,serie_du,Taxas_DI)</f>
        <v>0.12930397428490004</v>
      </c>
      <c r="C1997" s="32">
        <f ca="1">((((1+B1997)^(A1997/252))/((1+B1996)^(A1996/252)))^(252/1))-1</f>
        <v>0.12541250974085227</v>
      </c>
      <c r="D1997" s="30">
        <v>0.12930397428490004</v>
      </c>
      <c r="E1997" s="31">
        <f ca="1">B1997-D1997</f>
        <v>0</v>
      </c>
    </row>
    <row r="1998" spans="1:5" x14ac:dyDescent="0.25">
      <c r="A1998" s="21">
        <v>1997</v>
      </c>
      <c r="B1998" s="5" cm="1">
        <f t="array" aca="1" ref="B1998" ca="1">interpolexp(A1998,serie_du,Taxas_DI)</f>
        <v>0.12930202226284493</v>
      </c>
      <c r="C1998" s="32">
        <f ca="1">((((1+B1998)^(A1998/252))/((1+B1997)^(A1997/252)))^(252/1))-1</f>
        <v>0.12541250312923968</v>
      </c>
      <c r="D1998" s="30">
        <v>0.12930202226284493</v>
      </c>
      <c r="E1998" s="31">
        <f ca="1">B1998-D1998</f>
        <v>0</v>
      </c>
    </row>
    <row r="1999" spans="1:5" x14ac:dyDescent="0.25">
      <c r="A1999" s="21">
        <v>1998</v>
      </c>
      <c r="B1999" s="5" cm="1">
        <f t="array" aca="1" ref="B1999" ca="1">interpolexp(A1999,serie_du,Taxas_DI)</f>
        <v>0.12930007219478235</v>
      </c>
      <c r="C1999" s="32">
        <f ca="1">((((1+B1999)^(A1999/252))/((1+B1998)^(A1998/252)))^(252/1))-1</f>
        <v>0.12541249645379193</v>
      </c>
      <c r="D1999" s="30">
        <v>0.12930007219478235</v>
      </c>
      <c r="E1999" s="31">
        <f ca="1">B1999-D1999</f>
        <v>0</v>
      </c>
    </row>
    <row r="2000" spans="1:5" x14ac:dyDescent="0.25">
      <c r="A2000" s="21">
        <v>1999</v>
      </c>
      <c r="B2000" s="5" cm="1">
        <f t="array" aca="1" ref="B2000" ca="1">interpolexp(A2000,serie_du,Taxas_DI)</f>
        <v>0.1292981240778035</v>
      </c>
      <c r="C2000" s="32">
        <f ca="1">((((1+B2000)^(A2000/252))/((1+B1999)^(A1999/252)))^(252/1))-1</f>
        <v>0.125412489835667</v>
      </c>
      <c r="D2000" s="30">
        <v>0.1292981240778035</v>
      </c>
      <c r="E2000" s="31">
        <f ca="1">B2000-D2000</f>
        <v>0</v>
      </c>
    </row>
    <row r="2001" spans="1:5" x14ac:dyDescent="0.25">
      <c r="A2001" s="21">
        <v>2000</v>
      </c>
      <c r="B2001" s="5" cm="1">
        <f t="array" aca="1" ref="B2001" ca="1">interpolexp(A2001,serie_du,Taxas_DI)</f>
        <v>0.12929617790897741</v>
      </c>
      <c r="C2001" s="32">
        <f ca="1">((((1+B2001)^(A2001/252))/((1+B2000)^(A2000/252)))^(252/1))-1</f>
        <v>0.1254124832189174</v>
      </c>
      <c r="D2001" s="30">
        <v>0.12929617790897741</v>
      </c>
      <c r="E2001" s="31">
        <f ca="1">B2001-D2001</f>
        <v>0</v>
      </c>
    </row>
    <row r="2002" spans="1:5" x14ac:dyDescent="0.25">
      <c r="A2002" s="21">
        <v>2001</v>
      </c>
      <c r="B2002" s="5" cm="1">
        <f t="array" aca="1" ref="B2002" ca="1">interpolexp(A2002,serie_du,Taxas_DI)</f>
        <v>0.12929423368539528</v>
      </c>
      <c r="C2002" s="32">
        <f ca="1">((((1+B2002)^(A2002/252))/((1+B2001)^(A2001/252)))^(252/1))-1</f>
        <v>0.12541247663600519</v>
      </c>
      <c r="D2002" s="30">
        <v>0.12929423368539528</v>
      </c>
      <c r="E2002" s="31">
        <f ca="1">B2002-D2002</f>
        <v>0</v>
      </c>
    </row>
    <row r="2003" spans="1:5" x14ac:dyDescent="0.25">
      <c r="A2003" s="21">
        <v>2002</v>
      </c>
      <c r="B2003" s="5" cm="1">
        <f t="array" aca="1" ref="B2003" ca="1">interpolexp(A2003,serie_du,Taxas_DI)</f>
        <v>0.12929229140412613</v>
      </c>
      <c r="C2003" s="32">
        <f ca="1">((((1+B2003)^(A2003/252))/((1+B2002)^(A2002/252)))^(252/1))-1</f>
        <v>0.12541247003104083</v>
      </c>
      <c r="D2003" s="30">
        <v>0.12929229140412613</v>
      </c>
      <c r="E2003" s="31">
        <f ca="1">B2003-D2003</f>
        <v>0</v>
      </c>
    </row>
    <row r="2004" spans="1:5" x14ac:dyDescent="0.25">
      <c r="A2004" s="21">
        <v>2003</v>
      </c>
      <c r="B2004" s="5" cm="1">
        <f t="array" aca="1" ref="B2004" ca="1">interpolexp(A2004,serie_du,Taxas_DI)</f>
        <v>0.12929035106228337</v>
      </c>
      <c r="C2004" s="32">
        <f ca="1">((((1+B2004)^(A2004/252))/((1+B2003)^(A2003/252)))^(252/1))-1</f>
        <v>0.12541246348105473</v>
      </c>
      <c r="D2004" s="30">
        <v>0.12929035106228337</v>
      </c>
      <c r="E2004" s="31">
        <f ca="1">B2004-D2004</f>
        <v>0</v>
      </c>
    </row>
    <row r="2005" spans="1:5" x14ac:dyDescent="0.25">
      <c r="A2005" s="21">
        <v>2004</v>
      </c>
      <c r="B2005" s="5" cm="1">
        <f t="array" aca="1" ref="B2005" ca="1">interpolexp(A2005,serie_du,Taxas_DI)</f>
        <v>0.12928841265691382</v>
      </c>
      <c r="C2005" s="32">
        <f ca="1">((((1+B2005)^(A2005/252))/((1+B2004)^(A2004/252)))^(252/1))-1</f>
        <v>0.12541245684154734</v>
      </c>
      <c r="D2005" s="30">
        <v>0.12928841265691382</v>
      </c>
      <c r="E2005" s="31">
        <f ca="1">B2005-D2005</f>
        <v>0</v>
      </c>
    </row>
    <row r="2006" spans="1:5" x14ac:dyDescent="0.25">
      <c r="A2006" s="21">
        <v>2005</v>
      </c>
      <c r="B2006" s="5" cm="1">
        <f t="array" aca="1" ref="B2006" ca="1">interpolexp(A2006,serie_du,Taxas_DI)</f>
        <v>0.1292864761851753</v>
      </c>
      <c r="C2006" s="32">
        <f ca="1">((((1+B2006)^(A2006/252))/((1+B2005)^(A2005/252)))^(252/1))-1</f>
        <v>0.12541245032229376</v>
      </c>
      <c r="D2006" s="30">
        <v>0.1292864761851753</v>
      </c>
      <c r="E2006" s="31">
        <f ca="1">B2006-D2006</f>
        <v>0</v>
      </c>
    </row>
    <row r="2007" spans="1:5" x14ac:dyDescent="0.25">
      <c r="A2007" s="21">
        <v>2006</v>
      </c>
      <c r="B2007" s="5" cm="1">
        <f t="array" aca="1" ref="B2007" ca="1">interpolexp(A2007,serie_du,Taxas_DI)</f>
        <v>0.12928454164415903</v>
      </c>
      <c r="C2007" s="32">
        <f ca="1">((((1+B2007)^(A2007/252))/((1+B2006)^(A2006/252)))^(252/1))-1</f>
        <v>0.12541244377894589</v>
      </c>
      <c r="D2007" s="30">
        <v>0.12928454164415903</v>
      </c>
      <c r="E2007" s="31">
        <f ca="1">B2007-D2007</f>
        <v>0</v>
      </c>
    </row>
    <row r="2008" spans="1:5" x14ac:dyDescent="0.25">
      <c r="A2008" s="21">
        <v>2007</v>
      </c>
      <c r="B2008" s="5" cm="1">
        <f t="array" aca="1" ref="B2008" ca="1">interpolexp(A2008,serie_du,Taxas_DI)</f>
        <v>0.12928260903095623</v>
      </c>
      <c r="C2008" s="32">
        <f ca="1">((((1+B2008)^(A2008/252))/((1+B2007)^(A2007/252)))^(252/1))-1</f>
        <v>0.12541243719993544</v>
      </c>
      <c r="D2008" s="30">
        <v>0.12928260903095623</v>
      </c>
      <c r="E2008" s="31">
        <f ca="1">B2008-D2008</f>
        <v>0</v>
      </c>
    </row>
    <row r="2009" spans="1:5" x14ac:dyDescent="0.25">
      <c r="A2009" s="21">
        <v>2008</v>
      </c>
      <c r="B2009" s="5" cm="1">
        <f t="array" aca="1" ref="B2009" ca="1">interpolexp(A2009,serie_du,Taxas_DI)</f>
        <v>0.12928067834272472</v>
      </c>
      <c r="C2009" s="32">
        <f ca="1">((((1+B2009)^(A2009/252))/((1+B2008)^(A2008/252)))^(252/1))-1</f>
        <v>0.12541243070689667</v>
      </c>
      <c r="D2009" s="30">
        <v>0.12928067834272472</v>
      </c>
      <c r="E2009" s="31">
        <f ca="1">B2009-D2009</f>
        <v>0</v>
      </c>
    </row>
    <row r="2010" spans="1:5" x14ac:dyDescent="0.25">
      <c r="A2010" s="21">
        <v>2009</v>
      </c>
      <c r="B2010" s="5" cm="1">
        <f t="array" aca="1" ref="B2010" ca="1">interpolexp(A2010,serie_du,Taxas_DI)</f>
        <v>0.12927874957655572</v>
      </c>
      <c r="C2010" s="32">
        <f ca="1">((((1+B2010)^(A2010/252))/((1+B2009)^(A2009/252)))^(252/1))-1</f>
        <v>0.12541242415503229</v>
      </c>
      <c r="D2010" s="30">
        <v>0.12927874957655572</v>
      </c>
      <c r="E2010" s="31">
        <f ca="1">B2010-D2010</f>
        <v>0</v>
      </c>
    </row>
    <row r="2011" spans="1:5" x14ac:dyDescent="0.25">
      <c r="A2011" s="21">
        <v>2010</v>
      </c>
      <c r="B2011" s="5" cm="1">
        <f t="array" aca="1" ref="B2011" ca="1">interpolexp(A2011,serie_du,Taxas_DI)</f>
        <v>0.12927682272958485</v>
      </c>
      <c r="C2011" s="32">
        <f ca="1">((((1+B2011)^(A2011/252))/((1+B2010)^(A2010/252)))^(252/1))-1</f>
        <v>0.12541241762187583</v>
      </c>
      <c r="D2011" s="30">
        <v>0.12927682272958485</v>
      </c>
      <c r="E2011" s="31">
        <f ca="1">B2011-D2011</f>
        <v>0</v>
      </c>
    </row>
    <row r="2012" spans="1:5" x14ac:dyDescent="0.25">
      <c r="A2012" s="21">
        <v>2011</v>
      </c>
      <c r="B2012" s="5" cm="1">
        <f t="array" aca="1" ref="B2012" ca="1">interpolexp(A2012,serie_du,Taxas_DI)</f>
        <v>0.12927489779896995</v>
      </c>
      <c r="C2012" s="32">
        <f ca="1">((((1+B2012)^(A2012/252))/((1+B2011)^(A2011/252)))^(252/1))-1</f>
        <v>0.12541241114025681</v>
      </c>
      <c r="D2012" s="30">
        <v>0.12927489779896995</v>
      </c>
      <c r="E2012" s="31">
        <f ca="1">B2012-D2012</f>
        <v>0</v>
      </c>
    </row>
    <row r="2013" spans="1:5" x14ac:dyDescent="0.25">
      <c r="A2013" s="21">
        <v>2012</v>
      </c>
      <c r="B2013" s="5" cm="1">
        <f t="array" aca="1" ref="B2013" ca="1">interpolexp(A2013,serie_du,Taxas_DI)</f>
        <v>0.12927297478184663</v>
      </c>
      <c r="C2013" s="32">
        <f ca="1">((((1+B2013)^(A2013/252))/((1+B2012)^(A2012/252)))^(252/1))-1</f>
        <v>0.12541240465446069</v>
      </c>
      <c r="D2013" s="30">
        <v>0.12927297478184663</v>
      </c>
      <c r="E2013" s="31">
        <f ca="1">B2013-D2013</f>
        <v>0</v>
      </c>
    </row>
    <row r="2014" spans="1:5" x14ac:dyDescent="0.25">
      <c r="A2014" s="21">
        <v>2013</v>
      </c>
      <c r="B2014" s="5" cm="1">
        <f t="array" aca="1" ref="B2014" ca="1">interpolexp(A2014,serie_du,Taxas_DI)</f>
        <v>0.12927105367535052</v>
      </c>
      <c r="C2014" s="32">
        <f ca="1">((((1+B2014)^(A2014/252))/((1+B2013)^(A2013/252)))^(252/1))-1</f>
        <v>0.12541239815298821</v>
      </c>
      <c r="D2014" s="30">
        <v>0.12927105367535052</v>
      </c>
      <c r="E2014" s="31">
        <f ca="1">B2014-D2014</f>
        <v>0</v>
      </c>
    </row>
    <row r="2015" spans="1:5" x14ac:dyDescent="0.25">
      <c r="A2015" s="21">
        <v>2014</v>
      </c>
      <c r="B2015" s="5" cm="1">
        <f t="array" aca="1" ref="B2015" ca="1">interpolexp(A2015,serie_du,Taxas_DI)</f>
        <v>0.12926913447666166</v>
      </c>
      <c r="C2015" s="32">
        <f ca="1">((((1+B2015)^(A2015/252))/((1+B2014)^(A2014/252)))^(252/1))-1</f>
        <v>0.12541239171358209</v>
      </c>
      <c r="D2015" s="30">
        <v>0.12926913447666166</v>
      </c>
      <c r="E2015" s="31">
        <f ca="1">B2015-D2015</f>
        <v>0</v>
      </c>
    </row>
    <row r="2016" spans="1:5" x14ac:dyDescent="0.25">
      <c r="A2016" s="21">
        <v>2015</v>
      </c>
      <c r="B2016" s="5" cm="1">
        <f t="array" aca="1" ref="B2016" ca="1">interpolexp(A2016,serie_du,Taxas_DI)</f>
        <v>0.12926721718289347</v>
      </c>
      <c r="C2016" s="32">
        <f ca="1">((((1+B2016)^(A2016/252))/((1+B2015)^(A2015/252)))^(252/1))-1</f>
        <v>0.12541238519116371</v>
      </c>
      <c r="D2016" s="30">
        <v>0.12926721718289347</v>
      </c>
      <c r="E2016" s="31">
        <f ca="1">B2016-D2016</f>
        <v>0</v>
      </c>
    </row>
    <row r="2017" spans="1:5" x14ac:dyDescent="0.25">
      <c r="A2017" s="21">
        <v>2016</v>
      </c>
      <c r="B2017" s="5" cm="1">
        <f t="array" aca="1" ref="B2017" ca="1">interpolexp(A2017,serie_du,Taxas_DI)</f>
        <v>0.12926530179124818</v>
      </c>
      <c r="C2017" s="32">
        <f ca="1">((((1+B2017)^(A2017/252))/((1+B2016)^(A2016/252)))^(252/1))-1</f>
        <v>0.12541237875250588</v>
      </c>
      <c r="D2017" s="30">
        <v>0.12926530179124818</v>
      </c>
      <c r="E2017" s="31">
        <f ca="1">B2017-D2017</f>
        <v>0</v>
      </c>
    </row>
    <row r="2018" spans="1:5" x14ac:dyDescent="0.25">
      <c r="A2018" s="21">
        <v>2017</v>
      </c>
      <c r="B2018" s="5" cm="1">
        <f t="array" aca="1" ref="B2018" ca="1">interpolexp(A2018,serie_du,Taxas_DI)</f>
        <v>0.12926338829890582</v>
      </c>
      <c r="C2018" s="32">
        <f ca="1">((((1+B2018)^(A2018/252))/((1+B2017)^(A2017/252)))^(252/1))-1</f>
        <v>0.12541237234250646</v>
      </c>
      <c r="D2018" s="30">
        <v>0.12926338829890582</v>
      </c>
      <c r="E2018" s="31">
        <f ca="1">B2018-D2018</f>
        <v>0</v>
      </c>
    </row>
    <row r="2019" spans="1:5" x14ac:dyDescent="0.25">
      <c r="A2019" s="21">
        <v>2018</v>
      </c>
      <c r="B2019" s="5" cm="1">
        <f t="array" aca="1" ref="B2019" ca="1">interpolexp(A2019,serie_du,Taxas_DI)</f>
        <v>0.12926147670300203</v>
      </c>
      <c r="C2019" s="32">
        <f ca="1">((((1+B2019)^(A2019/252))/((1+B2018)^(A2018/252)))^(252/1))-1</f>
        <v>0.12541236585948012</v>
      </c>
      <c r="D2019" s="30">
        <v>0.12926147670300203</v>
      </c>
      <c r="E2019" s="31">
        <f ca="1">B2019-D2019</f>
        <v>0</v>
      </c>
    </row>
    <row r="2020" spans="1:5" x14ac:dyDescent="0.25">
      <c r="A2020" s="21">
        <v>2019</v>
      </c>
      <c r="B2020" s="5" cm="1">
        <f t="array" aca="1" ref="B2020" ca="1">interpolexp(A2020,serie_du,Taxas_DI)</f>
        <v>0.12925956700076124</v>
      </c>
      <c r="C2020" s="32">
        <f ca="1">((((1+B2020)^(A2020/252))/((1+B2019)^(A2019/252)))^(252/1))-1</f>
        <v>0.12541235947163498</v>
      </c>
      <c r="D2020" s="30">
        <v>0.12925956700076124</v>
      </c>
      <c r="E2020" s="31">
        <f ca="1">B2020-D2020</f>
        <v>0</v>
      </c>
    </row>
    <row r="2021" spans="1:5" x14ac:dyDescent="0.25">
      <c r="A2021" s="21">
        <v>2020</v>
      </c>
      <c r="B2021" s="5" cm="1">
        <f t="array" aca="1" ref="B2021" ca="1">interpolexp(A2021,serie_du,Taxas_DI)</f>
        <v>0.12925765918931909</v>
      </c>
      <c r="C2021" s="32">
        <f ca="1">((((1+B2021)^(A2021/252))/((1+B2020)^(A2020/252)))^(252/1))-1</f>
        <v>0.12541235298853115</v>
      </c>
      <c r="D2021" s="30">
        <v>0.12925765918931909</v>
      </c>
      <c r="E2021" s="31">
        <f ca="1">B2021-D2021</f>
        <v>0</v>
      </c>
    </row>
    <row r="2022" spans="1:5" x14ac:dyDescent="0.25">
      <c r="A2022" s="21">
        <v>2021</v>
      </c>
      <c r="B2022" s="5" cm="1">
        <f t="array" aca="1" ref="B2022" ca="1">interpolexp(A2022,serie_du,Taxas_DI)</f>
        <v>0.1292557532659222</v>
      </c>
      <c r="C2022" s="32">
        <f ca="1">((((1+B2022)^(A2022/252))/((1+B2021)^(A2021/252)))^(252/1))-1</f>
        <v>0.12541234662263356</v>
      </c>
      <c r="D2022" s="30">
        <v>0.1292557532659222</v>
      </c>
      <c r="E2022" s="31">
        <f ca="1">B2022-D2022</f>
        <v>0</v>
      </c>
    </row>
    <row r="2023" spans="1:5" x14ac:dyDescent="0.25">
      <c r="A2023" s="21">
        <v>2022</v>
      </c>
      <c r="B2023" s="5" cm="1">
        <f t="array" aca="1" ref="B2023" ca="1">interpolexp(A2023,serie_du,Taxas_DI)</f>
        <v>0.12925384922775063</v>
      </c>
      <c r="C2023" s="32">
        <f ca="1">((((1+B2023)^(A2023/252))/((1+B2022)^(A2022/252)))^(252/1))-1</f>
        <v>0.12541234022856007</v>
      </c>
      <c r="D2023" s="30">
        <v>0.12925384922775063</v>
      </c>
      <c r="E2023" s="31">
        <f ca="1">B2023-D2023</f>
        <v>0</v>
      </c>
    </row>
    <row r="2024" spans="1:5" x14ac:dyDescent="0.25">
      <c r="A2024" s="21">
        <v>2023</v>
      </c>
      <c r="B2024" s="5" cm="1">
        <f t="array" aca="1" ref="B2024" ca="1">interpolexp(A2024,serie_du,Taxas_DI)</f>
        <v>0.1292519470720066</v>
      </c>
      <c r="C2024" s="32">
        <f ca="1">((((1+B2024)^(A2024/252))/((1+B2023)^(A2023/252)))^(252/1))-1</f>
        <v>0.12541233384002615</v>
      </c>
      <c r="D2024" s="30">
        <v>0.1292519470720066</v>
      </c>
      <c r="E2024" s="31">
        <f ca="1">B2024-D2024</f>
        <v>0</v>
      </c>
    </row>
    <row r="2025" spans="1:5" x14ac:dyDescent="0.25">
      <c r="A2025" s="21">
        <v>2024</v>
      </c>
      <c r="B2025" s="5" cm="1">
        <f t="array" aca="1" ref="B2025" ca="1">interpolexp(A2025,serie_du,Taxas_DI)</f>
        <v>0.12925004679589236</v>
      </c>
      <c r="C2025" s="32">
        <f ca="1">((((1+B2025)^(A2025/252))/((1+B2024)^(A2024/252)))^(252/1))-1</f>
        <v>0.12541232744555897</v>
      </c>
      <c r="D2025" s="30">
        <v>0.12925004679589236</v>
      </c>
      <c r="E2025" s="31">
        <f ca="1">B2025-D2025</f>
        <v>0</v>
      </c>
    </row>
    <row r="2026" spans="1:5" x14ac:dyDescent="0.25">
      <c r="A2026" s="21">
        <v>2025</v>
      </c>
      <c r="B2026" s="5" cm="1">
        <f t="array" aca="1" ref="B2026" ca="1">interpolexp(A2026,serie_du,Taxas_DI)</f>
        <v>0.12924814839663235</v>
      </c>
      <c r="C2026" s="32">
        <f ca="1">((((1+B2026)^(A2026/252))/((1+B2025)^(A2025/252)))^(252/1))-1</f>
        <v>0.12541232107905209</v>
      </c>
      <c r="D2026" s="30">
        <v>0.12924814839663235</v>
      </c>
      <c r="E2026" s="31">
        <f ca="1">B2026-D2026</f>
        <v>0</v>
      </c>
    </row>
    <row r="2027" spans="1:5" x14ac:dyDescent="0.25">
      <c r="A2027" s="21">
        <v>2026</v>
      </c>
      <c r="B2027" s="5" cm="1">
        <f t="array" aca="1" ref="B2027" ca="1">interpolexp(A2027,serie_du,Taxas_DI)</f>
        <v>0.129246251871451</v>
      </c>
      <c r="C2027" s="32">
        <f ca="1">((((1+B2027)^(A2027/252))/((1+B2026)^(A2026/252)))^(252/1))-1</f>
        <v>0.12541231472926206</v>
      </c>
      <c r="D2027" s="30">
        <v>0.129246251871451</v>
      </c>
      <c r="E2027" s="31">
        <f ca="1">B2027-D2027</f>
        <v>0</v>
      </c>
    </row>
    <row r="2028" spans="1:5" x14ac:dyDescent="0.25">
      <c r="A2028" s="21">
        <v>2027</v>
      </c>
      <c r="B2028" s="5" cm="1">
        <f t="array" aca="1" ref="B2028" ca="1">interpolexp(A2028,serie_du,Taxas_DI)</f>
        <v>0.12924435721755057</v>
      </c>
      <c r="C2028" s="32">
        <f ca="1">((((1+B2028)^(A2028/252))/((1+B2027)^(A2027/252)))^(252/1))-1</f>
        <v>0.12541230834034911</v>
      </c>
      <c r="D2028" s="30">
        <v>0.12924435721755057</v>
      </c>
      <c r="E2028" s="31">
        <f ca="1">B2028-D2028</f>
        <v>0</v>
      </c>
    </row>
    <row r="2029" spans="1:5" x14ac:dyDescent="0.25">
      <c r="A2029" s="21">
        <v>2028</v>
      </c>
      <c r="B2029" s="5" cm="1">
        <f t="array" aca="1" ref="B2029" ca="1">interpolexp(A2029,serie_du,Taxas_DI)</f>
        <v>0.12924246443219989</v>
      </c>
      <c r="C2029" s="32">
        <f ca="1">((((1+B2029)^(A2029/252))/((1+B2028)^(A2028/252)))^(252/1))-1</f>
        <v>0.12541230203570142</v>
      </c>
      <c r="D2029" s="30">
        <v>0.12924246443219989</v>
      </c>
      <c r="E2029" s="31">
        <f ca="1">B2029-D2029</f>
        <v>0</v>
      </c>
    </row>
    <row r="2030" spans="1:5" x14ac:dyDescent="0.25">
      <c r="A2030" s="21">
        <v>2029</v>
      </c>
      <c r="B2030" s="5" cm="1">
        <f t="array" aca="1" ref="B2030" ca="1">interpolexp(A2030,serie_du,Taxas_DI)</f>
        <v>0.12924057351260121</v>
      </c>
      <c r="C2030" s="32">
        <f ca="1">((((1+B2030)^(A2030/252))/((1+B2029)^(A2029/252)))^(252/1))-1</f>
        <v>0.12541229566980472</v>
      </c>
      <c r="D2030" s="30">
        <v>0.12924057351260121</v>
      </c>
      <c r="E2030" s="31">
        <f ca="1">B2030-D2030</f>
        <v>0</v>
      </c>
    </row>
    <row r="2031" spans="1:5" x14ac:dyDescent="0.25">
      <c r="A2031" s="21">
        <v>2030</v>
      </c>
      <c r="B2031" s="5" cm="1">
        <f t="array" aca="1" ref="B2031" ca="1">interpolexp(A2031,serie_du,Taxas_DI)</f>
        <v>0.12923868445602338</v>
      </c>
      <c r="C2031" s="32">
        <f ca="1">((((1+B2031)^(A2031/252))/((1+B2030)^(A2030/252)))^(252/1))-1</f>
        <v>0.12541228936616733</v>
      </c>
      <c r="D2031" s="30">
        <v>0.12923868445602338</v>
      </c>
      <c r="E2031" s="31">
        <f ca="1">B2031-D2031</f>
        <v>0</v>
      </c>
    </row>
    <row r="2032" spans="1:5" x14ac:dyDescent="0.25">
      <c r="A2032" s="21">
        <v>2031</v>
      </c>
      <c r="B2032" s="5" cm="1">
        <f t="array" aca="1" ref="B2032" ca="1">interpolexp(A2032,serie_du,Taxas_DI)</f>
        <v>0.12923679725971304</v>
      </c>
      <c r="C2032" s="32">
        <f ca="1">((((1+B2032)^(A2032/252))/((1+B2031)^(A2031/252)))^(252/1))-1</f>
        <v>0.12541228306902275</v>
      </c>
      <c r="D2032" s="30">
        <v>0.12923679725971304</v>
      </c>
      <c r="E2032" s="31">
        <f ca="1">B2032-D2032</f>
        <v>0</v>
      </c>
    </row>
    <row r="2033" spans="1:5" x14ac:dyDescent="0.25">
      <c r="A2033" s="21">
        <v>2032</v>
      </c>
      <c r="B2033" s="5" cm="1">
        <f t="array" aca="1" ref="B2033" ca="1">interpolexp(A2033,serie_du,Taxas_DI)</f>
        <v>0.12923491192089465</v>
      </c>
      <c r="C2033" s="32">
        <f ca="1">((((1+B2033)^(A2033/252))/((1+B2032)^(A2032/252)))^(252/1))-1</f>
        <v>0.12541227672215483</v>
      </c>
      <c r="D2033" s="30">
        <v>0.12923491192089465</v>
      </c>
      <c r="E2033" s="31">
        <f ca="1">B2033-D2033</f>
        <v>0</v>
      </c>
    </row>
    <row r="2034" spans="1:5" x14ac:dyDescent="0.25">
      <c r="A2034" s="21">
        <v>2033</v>
      </c>
      <c r="B2034" s="5" cm="1">
        <f t="array" aca="1" ref="B2034" ca="1">interpolexp(A2034,serie_du,Taxas_DI)</f>
        <v>0.12923302843685924</v>
      </c>
      <c r="C2034" s="32">
        <f ca="1">((((1+B2034)^(A2034/252))/((1+B2033)^(A2033/252)))^(252/1))-1</f>
        <v>0.12541227044997982</v>
      </c>
      <c r="D2034" s="30">
        <v>0.12923302843685924</v>
      </c>
      <c r="E2034" s="31">
        <f ca="1">B2034-D2034</f>
        <v>0</v>
      </c>
    </row>
    <row r="2035" spans="1:5" x14ac:dyDescent="0.25">
      <c r="A2035" s="21">
        <v>2034</v>
      </c>
      <c r="B2035" s="5" cm="1">
        <f t="array" aca="1" ref="B2035" ca="1">interpolexp(A2035,serie_du,Taxas_DI)</f>
        <v>0.12923114680485348</v>
      </c>
      <c r="C2035" s="32">
        <f ca="1">((((1+B2035)^(A2035/252))/((1+B2034)^(A2034/252)))^(252/1))-1</f>
        <v>0.12541226415102358</v>
      </c>
      <c r="D2035" s="30">
        <v>0.12923114680485348</v>
      </c>
      <c r="E2035" s="31">
        <f ca="1">B2035-D2035</f>
        <v>0</v>
      </c>
    </row>
    <row r="2036" spans="1:5" x14ac:dyDescent="0.25">
      <c r="A2036" s="21">
        <v>2035</v>
      </c>
      <c r="B2036" s="5" cm="1">
        <f t="array" aca="1" ref="B2036" ca="1">interpolexp(A2036,serie_du,Taxas_DI)</f>
        <v>0.12922926702216841</v>
      </c>
      <c r="C2036" s="32">
        <f ca="1">((((1+B2036)^(A2036/252))/((1+B2035)^(A2035/252)))^(252/1))-1</f>
        <v>0.12541225790483934</v>
      </c>
      <c r="D2036" s="30">
        <v>0.12922926702216841</v>
      </c>
      <c r="E2036" s="31">
        <f ca="1">B2036-D2036</f>
        <v>0</v>
      </c>
    </row>
    <row r="2037" spans="1:5" x14ac:dyDescent="0.25">
      <c r="A2037" s="21">
        <v>2036</v>
      </c>
      <c r="B2037" s="5" cm="1">
        <f t="array" aca="1" ref="B2037" ca="1">interpolexp(A2037,serie_du,Taxas_DI)</f>
        <v>0.12922738908605735</v>
      </c>
      <c r="C2037" s="32">
        <f ca="1">((((1+B2037)^(A2037/252))/((1+B2036)^(A2036/252)))^(252/1))-1</f>
        <v>0.12541225162374525</v>
      </c>
      <c r="D2037" s="30">
        <v>0.12922738908605735</v>
      </c>
      <c r="E2037" s="31">
        <f ca="1">B2037-D2037</f>
        <v>0</v>
      </c>
    </row>
    <row r="2038" spans="1:5" x14ac:dyDescent="0.25">
      <c r="A2038" s="21">
        <v>2037</v>
      </c>
      <c r="B2038" s="5" cm="1">
        <f t="array" aca="1" ref="B2038" ca="1">interpolexp(A2038,serie_du,Taxas_DI)</f>
        <v>0.12922346248327443</v>
      </c>
      <c r="C2038" s="32">
        <f ca="1">((((1+B2038)^(A2038/252))/((1+B2037)^(A2037/252)))^(252/1))-1</f>
        <v>0.1212571459071381</v>
      </c>
      <c r="D2038" s="30">
        <v>0.12922346248327443</v>
      </c>
      <c r="E2038" s="31">
        <f ca="1">B2038-D2038</f>
        <v>0</v>
      </c>
    </row>
    <row r="2039" spans="1:5" x14ac:dyDescent="0.25">
      <c r="A2039" s="21">
        <v>2038</v>
      </c>
      <c r="B2039" s="5" cm="1">
        <f t="array" aca="1" ref="B2039" ca="1">interpolexp(A2039,serie_du,Taxas_DI)</f>
        <v>0.12921953973403788</v>
      </c>
      <c r="C2039" s="32">
        <f ca="1">((((1+B2039)^(A2039/252))/((1+B2038)^(A2038/252)))^(252/1))-1</f>
        <v>0.12125711863726796</v>
      </c>
      <c r="D2039" s="30">
        <v>0.12921953973403788</v>
      </c>
      <c r="E2039" s="31">
        <f ca="1">B2039-D2039</f>
        <v>0</v>
      </c>
    </row>
    <row r="2040" spans="1:5" x14ac:dyDescent="0.25">
      <c r="A2040" s="21">
        <v>2039</v>
      </c>
      <c r="B2040" s="5" cm="1">
        <f t="array" aca="1" ref="B2040" ca="1">interpolexp(A2040,serie_du,Taxas_DI)</f>
        <v>0.1292156208326789</v>
      </c>
      <c r="C2040" s="32">
        <f ca="1">((((1+B2040)^(A2040/252))/((1+B2039)^(A2039/252)))^(252/1))-1</f>
        <v>0.12125709140985252</v>
      </c>
      <c r="D2040" s="30">
        <v>0.1292156208326789</v>
      </c>
      <c r="E2040" s="31">
        <f ca="1">B2040-D2040</f>
        <v>0</v>
      </c>
    </row>
    <row r="2041" spans="1:5" x14ac:dyDescent="0.25">
      <c r="A2041" s="21">
        <v>2040</v>
      </c>
      <c r="B2041" s="5" cm="1">
        <f t="array" aca="1" ref="B2041" ca="1">interpolexp(A2041,serie_du,Taxas_DI)</f>
        <v>0.12921170577351315</v>
      </c>
      <c r="C2041" s="32">
        <f ca="1">((((1+B2041)^(A2041/252))/((1+B2040)^(A2040/252)))^(252/1))-1</f>
        <v>0.12125706417056059</v>
      </c>
      <c r="D2041" s="30">
        <v>0.12921170577351315</v>
      </c>
      <c r="E2041" s="31">
        <f ca="1">B2041-D2041</f>
        <v>0</v>
      </c>
    </row>
    <row r="2042" spans="1:5" x14ac:dyDescent="0.25">
      <c r="A2042" s="21">
        <v>2041</v>
      </c>
      <c r="B2042" s="5" cm="1">
        <f t="array" aca="1" ref="B2042" ca="1">interpolexp(A2042,serie_du,Taxas_DI)</f>
        <v>0.12920779455094511</v>
      </c>
      <c r="C2042" s="32">
        <f ca="1">((((1+B2042)^(A2042/252))/((1+B2041)^(A2041/252)))^(252/1))-1</f>
        <v>0.12125703707701452</v>
      </c>
      <c r="D2042" s="30">
        <v>0.12920779455094511</v>
      </c>
      <c r="E2042" s="31">
        <f ca="1">B2042-D2042</f>
        <v>0</v>
      </c>
    </row>
    <row r="2043" spans="1:5" x14ac:dyDescent="0.25">
      <c r="A2043" s="21">
        <v>2042</v>
      </c>
      <c r="B2043" s="5" cm="1">
        <f t="array" aca="1" ref="B2043" ca="1">interpolexp(A2043,serie_du,Taxas_DI)</f>
        <v>0.12920388715929043</v>
      </c>
      <c r="C2043" s="32">
        <f ca="1">((((1+B2043)^(A2043/252))/((1+B2042)^(A2042/252)))^(252/1))-1</f>
        <v>0.12125700992656441</v>
      </c>
      <c r="D2043" s="30">
        <v>0.12920388715929043</v>
      </c>
      <c r="E2043" s="31">
        <f ca="1">B2043-D2043</f>
        <v>0</v>
      </c>
    </row>
    <row r="2044" spans="1:5" x14ac:dyDescent="0.25">
      <c r="A2044" s="21">
        <v>2043</v>
      </c>
      <c r="B2044" s="5" cm="1">
        <f t="array" aca="1" ref="B2044" ca="1">interpolexp(A2044,serie_du,Taxas_DI)</f>
        <v>0.12919998359293139</v>
      </c>
      <c r="C2044" s="32">
        <f ca="1">((((1+B2044)^(A2044/252))/((1+B2043)^(A2043/252)))^(252/1))-1</f>
        <v>0.12125698283196873</v>
      </c>
      <c r="D2044" s="30">
        <v>0.12919998359293139</v>
      </c>
      <c r="E2044" s="31">
        <f ca="1">B2044-D2044</f>
        <v>0</v>
      </c>
    </row>
    <row r="2045" spans="1:5" x14ac:dyDescent="0.25">
      <c r="A2045" s="21">
        <v>2044</v>
      </c>
      <c r="B2045" s="5" cm="1">
        <f t="array" aca="1" ref="B2045" ca="1">interpolexp(A2045,serie_du,Taxas_DI)</f>
        <v>0.12919608384625025</v>
      </c>
      <c r="C2045" s="32">
        <f ca="1">((((1+B2045)^(A2045/252))/((1+B2044)^(A2044/252)))^(252/1))-1</f>
        <v>0.12125695577046169</v>
      </c>
      <c r="D2045" s="30">
        <v>0.12919608384625025</v>
      </c>
      <c r="E2045" s="31">
        <f ca="1">B2045-D2045</f>
        <v>0</v>
      </c>
    </row>
    <row r="2046" spans="1:5" x14ac:dyDescent="0.25">
      <c r="A2046" s="21">
        <v>2045</v>
      </c>
      <c r="B2046" s="5" cm="1">
        <f t="array" aca="1" ref="B2046" ca="1">interpolexp(A2046,serie_du,Taxas_DI)</f>
        <v>0.12919218791367371</v>
      </c>
      <c r="C2046" s="32">
        <f ca="1">((((1+B2046)^(A2046/252))/((1+B2045)^(A2045/252)))^(252/1))-1</f>
        <v>0.12125692881033978</v>
      </c>
      <c r="D2046" s="30">
        <v>0.12919218791367371</v>
      </c>
      <c r="E2046" s="31">
        <f ca="1">B2046-D2046</f>
        <v>0</v>
      </c>
    </row>
    <row r="2047" spans="1:5" x14ac:dyDescent="0.25">
      <c r="A2047" s="21">
        <v>2046</v>
      </c>
      <c r="B2047" s="5" cm="1">
        <f t="array" aca="1" ref="B2047" ca="1">interpolexp(A2047,serie_du,Taxas_DI)</f>
        <v>0.12918829578958402</v>
      </c>
      <c r="C2047" s="32">
        <f ca="1">((((1+B2047)^(A2047/252))/((1+B2046)^(A2046/252)))^(252/1))-1</f>
        <v>0.12125690183865889</v>
      </c>
      <c r="D2047" s="30">
        <v>0.12918829578958402</v>
      </c>
      <c r="E2047" s="31">
        <f ca="1">B2047-D2047</f>
        <v>0</v>
      </c>
    </row>
    <row r="2048" spans="1:5" x14ac:dyDescent="0.25">
      <c r="A2048" s="21">
        <v>2047</v>
      </c>
      <c r="B2048" s="5" cm="1">
        <f t="array" aca="1" ref="B2048" ca="1">interpolexp(A2048,serie_du,Taxas_DI)</f>
        <v>0.12918440746840787</v>
      </c>
      <c r="C2048" s="32">
        <f ca="1">((((1+B2048)^(A2048/252))/((1+B2047)^(A2047/252)))^(252/1))-1</f>
        <v>0.12125687492360027</v>
      </c>
      <c r="D2048" s="30">
        <v>0.12918440746840787</v>
      </c>
      <c r="E2048" s="31">
        <f ca="1">B2048-D2048</f>
        <v>0</v>
      </c>
    </row>
    <row r="2049" spans="1:5" x14ac:dyDescent="0.25">
      <c r="A2049" s="21">
        <v>2048</v>
      </c>
      <c r="B2049" s="5" cm="1">
        <f t="array" aca="1" ref="B2049" ca="1">interpolexp(A2049,serie_du,Taxas_DI)</f>
        <v>0.12918052294457194</v>
      </c>
      <c r="C2049" s="32">
        <f ca="1">((((1+B2049)^(A2049/252))/((1+B2048)^(A2048/252)))^(252/1))-1</f>
        <v>0.12125684804280135</v>
      </c>
      <c r="D2049" s="30">
        <v>0.12918052294457194</v>
      </c>
      <c r="E2049" s="31">
        <f ca="1">B2049-D2049</f>
        <v>0</v>
      </c>
    </row>
    <row r="2050" spans="1:5" x14ac:dyDescent="0.25">
      <c r="A2050" s="21">
        <v>2049</v>
      </c>
      <c r="B2050" s="5" cm="1">
        <f t="array" aca="1" ref="B2050" ca="1">interpolexp(A2050,serie_du,Taxas_DI)</f>
        <v>0.12917664221252512</v>
      </c>
      <c r="C2050" s="32">
        <f ca="1">((((1+B2050)^(A2050/252))/((1+B2049)^(A2049/252)))^(252/1))-1</f>
        <v>0.12125682121943382</v>
      </c>
      <c r="D2050" s="30">
        <v>0.12917664221252512</v>
      </c>
      <c r="E2050" s="31">
        <f ca="1">B2050-D2050</f>
        <v>0</v>
      </c>
    </row>
    <row r="2051" spans="1:5" x14ac:dyDescent="0.25">
      <c r="A2051" s="21">
        <v>2050</v>
      </c>
      <c r="B2051" s="5" cm="1">
        <f t="array" aca="1" ref="B2051" ca="1">interpolexp(A2051,serie_du,Taxas_DI)</f>
        <v>0.12917276526669408</v>
      </c>
      <c r="C2051" s="32">
        <f ca="1">((((1+B2051)^(A2051/252))/((1+B2050)^(A2050/252)))^(252/1))-1</f>
        <v>0.12125679438582293</v>
      </c>
      <c r="D2051" s="30">
        <v>0.12917276526669408</v>
      </c>
      <c r="E2051" s="31">
        <f ca="1">B2051-D2051</f>
        <v>0</v>
      </c>
    </row>
    <row r="2052" spans="1:5" x14ac:dyDescent="0.25">
      <c r="A2052" s="21">
        <v>2051</v>
      </c>
      <c r="B2052" s="5" cm="1">
        <f t="array" aca="1" ref="B2052" ca="1">interpolexp(A2052,serie_du,Taxas_DI)</f>
        <v>0.12916889210154991</v>
      </c>
      <c r="C2052" s="32">
        <f ca="1">((((1+B2052)^(A2052/252))/((1+B2051)^(A2051/252)))^(252/1))-1</f>
        <v>0.12125676761056803</v>
      </c>
      <c r="D2052" s="30">
        <v>0.12916889210154991</v>
      </c>
      <c r="E2052" s="31">
        <f ca="1">B2052-D2052</f>
        <v>0</v>
      </c>
    </row>
    <row r="2053" spans="1:5" x14ac:dyDescent="0.25">
      <c r="A2053" s="21">
        <v>2052</v>
      </c>
      <c r="B2053" s="5" cm="1">
        <f t="array" aca="1" ref="B2053" ca="1">interpolexp(A2053,serie_du,Taxas_DI)</f>
        <v>0.12916502271158592</v>
      </c>
      <c r="C2053" s="32">
        <f ca="1">((((1+B2053)^(A2053/252))/((1+B2052)^(A2052/252)))^(252/1))-1</f>
        <v>0.12125674091659766</v>
      </c>
      <c r="D2053" s="30">
        <v>0.12916502271158592</v>
      </c>
      <c r="E2053" s="31">
        <f ca="1">B2053-D2053</f>
        <v>0</v>
      </c>
    </row>
    <row r="2054" spans="1:5" x14ac:dyDescent="0.25">
      <c r="A2054" s="21">
        <v>2053</v>
      </c>
      <c r="B2054" s="5" cm="1">
        <f t="array" aca="1" ref="B2054" ca="1">interpolexp(A2054,serie_du,Taxas_DI)</f>
        <v>0.12916115709125098</v>
      </c>
      <c r="C2054" s="32">
        <f ca="1">((((1+B2054)^(A2054/252))/((1+B2053)^(A2053/252)))^(252/1))-1</f>
        <v>0.12125671419163653</v>
      </c>
      <c r="D2054" s="30">
        <v>0.12916115709125098</v>
      </c>
      <c r="E2054" s="31">
        <f ca="1">B2054-D2054</f>
        <v>0</v>
      </c>
    </row>
    <row r="2055" spans="1:5" x14ac:dyDescent="0.25">
      <c r="A2055" s="21">
        <v>2054</v>
      </c>
      <c r="B2055" s="5" cm="1">
        <f t="array" aca="1" ref="B2055" ca="1">interpolexp(A2055,serie_du,Taxas_DI)</f>
        <v>0.12915729523508279</v>
      </c>
      <c r="C2055" s="32">
        <f ca="1">((((1+B2055)^(A2055/252))/((1+B2054)^(A2054/252)))^(252/1))-1</f>
        <v>0.12125668759452002</v>
      </c>
      <c r="D2055" s="30">
        <v>0.12915729523508279</v>
      </c>
      <c r="E2055" s="31">
        <f ca="1">B2055-D2055</f>
        <v>0</v>
      </c>
    </row>
    <row r="2056" spans="1:5" x14ac:dyDescent="0.25">
      <c r="A2056" s="21">
        <v>2055</v>
      </c>
      <c r="B2056" s="5" cm="1">
        <f t="array" aca="1" ref="B2056" ca="1">interpolexp(A2056,serie_du,Taxas_DI)</f>
        <v>0.12915343713753025</v>
      </c>
      <c r="C2056" s="32">
        <f ca="1">((((1+B2056)^(A2056/252))/((1+B2055)^(A2055/252)))^(252/1))-1</f>
        <v>0.12125666092242926</v>
      </c>
      <c r="D2056" s="30">
        <v>0.12915343713753025</v>
      </c>
      <c r="E2056" s="31">
        <f ca="1">B2056-D2056</f>
        <v>0</v>
      </c>
    </row>
    <row r="2057" spans="1:5" x14ac:dyDescent="0.25">
      <c r="A2057" s="21">
        <v>2056</v>
      </c>
      <c r="B2057" s="5" cm="1">
        <f t="array" aca="1" ref="B2057" ca="1">interpolexp(A2057,serie_du,Taxas_DI)</f>
        <v>0.12914958279315325</v>
      </c>
      <c r="C2057" s="32">
        <f ca="1">((((1+B2057)^(A2057/252))/((1+B2056)^(A2056/252)))^(252/1))-1</f>
        <v>0.12125663437974987</v>
      </c>
      <c r="D2057" s="30">
        <v>0.12914958279315325</v>
      </c>
      <c r="E2057" s="31">
        <f ca="1">B2057-D2057</f>
        <v>0</v>
      </c>
    </row>
    <row r="2058" spans="1:5" x14ac:dyDescent="0.25">
      <c r="A2058" s="21">
        <v>2057</v>
      </c>
      <c r="B2058" s="5" cm="1">
        <f t="array" aca="1" ref="B2058" ca="1">interpolexp(A2058,serie_du,Taxas_DI)</f>
        <v>0.1291457321964673</v>
      </c>
      <c r="C2058" s="32">
        <f ca="1">((((1+B2058)^(A2058/252))/((1+B2057)^(A2057/252)))^(252/1))-1</f>
        <v>0.12125660785422254</v>
      </c>
      <c r="D2058" s="30">
        <v>0.1291457321964673</v>
      </c>
      <c r="E2058" s="31">
        <f ca="1">B2058-D2058</f>
        <v>0</v>
      </c>
    </row>
    <row r="2059" spans="1:5" x14ac:dyDescent="0.25">
      <c r="A2059" s="21">
        <v>2058</v>
      </c>
      <c r="B2059" s="5" cm="1">
        <f t="array" aca="1" ref="B2059" ca="1">interpolexp(A2059,serie_du,Taxas_DI)</f>
        <v>0.1291418853420101</v>
      </c>
      <c r="C2059" s="32">
        <f ca="1">((((1+B2059)^(A2059/252))/((1+B2058)^(A2058/252)))^(252/1))-1</f>
        <v>0.12125658136918194</v>
      </c>
      <c r="D2059" s="30">
        <v>0.1291418853420101</v>
      </c>
      <c r="E2059" s="31">
        <f ca="1">B2059-D2059</f>
        <v>0</v>
      </c>
    </row>
    <row r="2060" spans="1:5" x14ac:dyDescent="0.25">
      <c r="A2060" s="21">
        <v>2059</v>
      </c>
      <c r="B2060" s="5" cm="1">
        <f t="array" aca="1" ref="B2060" ca="1">interpolexp(A2060,serie_du,Taxas_DI)</f>
        <v>0.12913804222431935</v>
      </c>
      <c r="C2060" s="32">
        <f ca="1">((((1+B2060)^(A2060/252))/((1+B2059)^(A2059/252)))^(252/1))-1</f>
        <v>0.12125655490310239</v>
      </c>
      <c r="D2060" s="30">
        <v>0.12913804222431935</v>
      </c>
      <c r="E2060" s="31">
        <f ca="1">B2060-D2060</f>
        <v>0</v>
      </c>
    </row>
    <row r="2061" spans="1:5" x14ac:dyDescent="0.25">
      <c r="A2061" s="21">
        <v>2060</v>
      </c>
      <c r="B2061" s="5" cm="1">
        <f t="array" aca="1" ref="B2061" ca="1">interpolexp(A2061,serie_du,Taxas_DI)</f>
        <v>0.12913420283795496</v>
      </c>
      <c r="C2061" s="32">
        <f ca="1">((((1+B2061)^(A2061/252))/((1+B2060)^(A2060/252)))^(252/1))-1</f>
        <v>0.12125652847933766</v>
      </c>
      <c r="D2061" s="30">
        <v>0.12913420283795496</v>
      </c>
      <c r="E2061" s="31">
        <f ca="1">B2061-D2061</f>
        <v>0</v>
      </c>
    </row>
    <row r="2062" spans="1:5" x14ac:dyDescent="0.25">
      <c r="A2062" s="21">
        <v>2061</v>
      </c>
      <c r="B2062" s="5" cm="1">
        <f t="array" aca="1" ref="B2062" ca="1">interpolexp(A2062,serie_du,Taxas_DI)</f>
        <v>0.12913036717749904</v>
      </c>
      <c r="C2062" s="32">
        <f ca="1">((((1+B2062)^(A2062/252))/((1+B2061)^(A2061/252)))^(252/1))-1</f>
        <v>0.12125650212191785</v>
      </c>
      <c r="D2062" s="30">
        <v>0.12913036717749904</v>
      </c>
      <c r="E2062" s="31">
        <f ca="1">B2062-D2062</f>
        <v>0</v>
      </c>
    </row>
    <row r="2063" spans="1:5" x14ac:dyDescent="0.25">
      <c r="A2063" s="21">
        <v>2062</v>
      </c>
      <c r="B2063" s="5" cm="1">
        <f t="array" aca="1" ref="B2063" ca="1">interpolexp(A2063,serie_du,Taxas_DI)</f>
        <v>0.1291265352375115</v>
      </c>
      <c r="C2063" s="32">
        <f ca="1">((((1+B2063)^(A2063/252))/((1+B2062)^(A2062/252)))^(252/1))-1</f>
        <v>0.12125647576351017</v>
      </c>
      <c r="D2063" s="30">
        <v>0.1291265352375115</v>
      </c>
      <c r="E2063" s="31">
        <f ca="1">B2063-D2063</f>
        <v>0</v>
      </c>
    </row>
    <row r="2064" spans="1:5" x14ac:dyDescent="0.25">
      <c r="A2064" s="21">
        <v>2063</v>
      </c>
      <c r="B2064" s="5" cm="1">
        <f t="array" aca="1" ref="B2064" ca="1">interpolexp(A2064,serie_du,Taxas_DI)</f>
        <v>0.12912270701257444</v>
      </c>
      <c r="C2064" s="32">
        <f ca="1">((((1+B2064)^(A2064/252))/((1+B2063)^(A2063/252)))^(252/1))-1</f>
        <v>0.12125644942830771</v>
      </c>
      <c r="D2064" s="30">
        <v>0.12912270701257444</v>
      </c>
      <c r="E2064" s="31">
        <f ca="1">B2064-D2064</f>
        <v>0</v>
      </c>
    </row>
    <row r="2065" spans="1:5" x14ac:dyDescent="0.25">
      <c r="A2065" s="21">
        <v>2064</v>
      </c>
      <c r="B2065" s="5" cm="1">
        <f t="array" aca="1" ref="B2065" ca="1">interpolexp(A2065,serie_du,Taxas_DI)</f>
        <v>0.12911888249733661</v>
      </c>
      <c r="C2065" s="32">
        <f ca="1">((((1+B2065)^(A2065/252))/((1+B2064)^(A2064/252)))^(252/1))-1</f>
        <v>0.12125642323080132</v>
      </c>
      <c r="D2065" s="30">
        <v>0.12911888249733661</v>
      </c>
      <c r="E2065" s="31">
        <f ca="1">B2065-D2065</f>
        <v>0</v>
      </c>
    </row>
    <row r="2066" spans="1:5" x14ac:dyDescent="0.25">
      <c r="A2066" s="21">
        <v>2065</v>
      </c>
      <c r="B2066" s="5" cm="1">
        <f t="array" aca="1" ref="B2066" ca="1">interpolexp(A2066,serie_du,Taxas_DI)</f>
        <v>0.12911506168635789</v>
      </c>
      <c r="C2066" s="32">
        <f ca="1">((((1+B2066)^(A2066/252))/((1+B2065)^(A2065/252)))^(252/1))-1</f>
        <v>0.12125639696798252</v>
      </c>
      <c r="D2066" s="30">
        <v>0.12911506168635789</v>
      </c>
      <c r="E2066" s="31">
        <f ca="1">B2066-D2066</f>
        <v>0</v>
      </c>
    </row>
    <row r="2067" spans="1:5" x14ac:dyDescent="0.25">
      <c r="A2067" s="21">
        <v>2066</v>
      </c>
      <c r="B2067" s="5" cm="1">
        <f t="array" aca="1" ref="B2067" ca="1">interpolexp(A2067,serie_du,Taxas_DI)</f>
        <v>0.12911124457426482</v>
      </c>
      <c r="C2067" s="32">
        <f ca="1">((((1+B2067)^(A2067/252))/((1+B2066)^(A2066/252)))^(252/1))-1</f>
        <v>0.12125637075430151</v>
      </c>
      <c r="D2067" s="30">
        <v>0.12911124457426482</v>
      </c>
      <c r="E2067" s="31">
        <f ca="1">B2067-D2067</f>
        <v>0</v>
      </c>
    </row>
    <row r="2068" spans="1:5" x14ac:dyDescent="0.25">
      <c r="A2068" s="21">
        <v>2067</v>
      </c>
      <c r="B2068" s="5" cm="1">
        <f t="array" aca="1" ref="B2068" ca="1">interpolexp(A2068,serie_du,Taxas_DI)</f>
        <v>0.12910743115572831</v>
      </c>
      <c r="C2068" s="32">
        <f ca="1">((((1+B2068)^(A2068/252))/((1+B2067)^(A2067/252)))^(252/1))-1</f>
        <v>0.12125634466004098</v>
      </c>
      <c r="D2068" s="30">
        <v>0.12910743115572831</v>
      </c>
      <c r="E2068" s="31">
        <f ca="1">B2068-D2068</f>
        <v>0</v>
      </c>
    </row>
    <row r="2069" spans="1:5" x14ac:dyDescent="0.25">
      <c r="A2069" s="21">
        <v>2068</v>
      </c>
      <c r="B2069" s="5" cm="1">
        <f t="array" aca="1" ref="B2069" ca="1">interpolexp(A2069,serie_du,Taxas_DI)</f>
        <v>0.12910362142533049</v>
      </c>
      <c r="C2069" s="32">
        <f ca="1">((((1+B2069)^(A2069/252))/((1+B2068)^(A2068/252)))^(252/1))-1</f>
        <v>0.12125631848118368</v>
      </c>
      <c r="D2069" s="30">
        <v>0.12910362142533049</v>
      </c>
      <c r="E2069" s="31">
        <f ca="1">B2069-D2069</f>
        <v>0</v>
      </c>
    </row>
    <row r="2070" spans="1:5" x14ac:dyDescent="0.25">
      <c r="A2070" s="21">
        <v>2069</v>
      </c>
      <c r="B2070" s="5" cm="1">
        <f t="array" aca="1" ref="B2070" ca="1">interpolexp(A2070,serie_du,Taxas_DI)</f>
        <v>0.1290998153777867</v>
      </c>
      <c r="C2070" s="32">
        <f ca="1">((((1+B2070)^(A2070/252))/((1+B2069)^(A2069/252)))^(252/1))-1</f>
        <v>0.12125629247013303</v>
      </c>
      <c r="D2070" s="30">
        <v>0.1290998153777867</v>
      </c>
      <c r="E2070" s="31">
        <f ca="1">B2070-D2070</f>
        <v>0</v>
      </c>
    </row>
    <row r="2071" spans="1:5" x14ac:dyDescent="0.25">
      <c r="A2071" s="21">
        <v>2070</v>
      </c>
      <c r="B2071" s="5" cm="1">
        <f t="array" aca="1" ref="B2071" ca="1">interpolexp(A2071,serie_du,Taxas_DI)</f>
        <v>0.12909601300770124</v>
      </c>
      <c r="C2071" s="32">
        <f ca="1">((((1+B2071)^(A2071/252))/((1+B2070)^(A2070/252)))^(252/1))-1</f>
        <v>0.12125626637723919</v>
      </c>
      <c r="D2071" s="30">
        <v>0.12909601300770124</v>
      </c>
      <c r="E2071" s="31">
        <f ca="1">B2071-D2071</f>
        <v>0</v>
      </c>
    </row>
    <row r="2072" spans="1:5" x14ac:dyDescent="0.25">
      <c r="A2072" s="21">
        <v>2071</v>
      </c>
      <c r="B2072" s="5" cm="1">
        <f t="array" aca="1" ref="B2072" ca="1">interpolexp(A2072,serie_du,Taxas_DI)</f>
        <v>0.12909221430978945</v>
      </c>
      <c r="C2072" s="32">
        <f ca="1">((((1+B2072)^(A2072/252))/((1+B2071)^(A2071/252)))^(252/1))-1</f>
        <v>0.12125624040973104</v>
      </c>
      <c r="D2072" s="30">
        <v>0.12909221430978945</v>
      </c>
      <c r="E2072" s="31">
        <f ca="1">B2072-D2072</f>
        <v>0</v>
      </c>
    </row>
    <row r="2073" spans="1:5" x14ac:dyDescent="0.25">
      <c r="A2073" s="21">
        <v>2072</v>
      </c>
      <c r="B2073" s="5" cm="1">
        <f t="array" aca="1" ref="B2073" ca="1">interpolexp(A2073,serie_du,Taxas_DI)</f>
        <v>0.12908841927872228</v>
      </c>
      <c r="C2073" s="32">
        <f ca="1">((((1+B2073)^(A2073/252))/((1+B2072)^(A2072/252)))^(252/1))-1</f>
        <v>0.12125621445485613</v>
      </c>
      <c r="D2073" s="30">
        <v>0.12908841927872228</v>
      </c>
      <c r="E2073" s="31">
        <f ca="1">B2073-D2073</f>
        <v>0</v>
      </c>
    </row>
    <row r="2074" spans="1:5" x14ac:dyDescent="0.25">
      <c r="A2074" s="21">
        <v>2073</v>
      </c>
      <c r="B2074" s="5" cm="1">
        <f t="array" aca="1" ref="B2074" ca="1">interpolexp(A2074,serie_du,Taxas_DI)</f>
        <v>0.12908462790919284</v>
      </c>
      <c r="C2074" s="32">
        <f ca="1">((((1+B2074)^(A2074/252))/((1+B2073)^(A2073/252)))^(252/1))-1</f>
        <v>0.12125618853731179</v>
      </c>
      <c r="D2074" s="30">
        <v>0.12908462790919284</v>
      </c>
      <c r="E2074" s="31">
        <f ca="1">B2074-D2074</f>
        <v>0</v>
      </c>
    </row>
    <row r="2075" spans="1:5" x14ac:dyDescent="0.25">
      <c r="A2075" s="21">
        <v>2074</v>
      </c>
      <c r="B2075" s="5" cm="1">
        <f t="array" aca="1" ref="B2075" ca="1">interpolexp(A2075,serie_du,Taxas_DI)</f>
        <v>0.12908084019587207</v>
      </c>
      <c r="C2075" s="32">
        <f ca="1">((((1+B2075)^(A2075/252))/((1+B2074)^(A2074/252)))^(252/1))-1</f>
        <v>0.12125616259003702</v>
      </c>
      <c r="D2075" s="30">
        <v>0.12908084019587207</v>
      </c>
      <c r="E2075" s="31">
        <f ca="1">B2075-D2075</f>
        <v>0</v>
      </c>
    </row>
    <row r="2076" spans="1:5" x14ac:dyDescent="0.25">
      <c r="A2076" s="21">
        <v>2075</v>
      </c>
      <c r="B2076" s="5" cm="1">
        <f t="array" aca="1" ref="B2076" ca="1">interpolexp(A2076,serie_du,Taxas_DI)</f>
        <v>0.12907705613351972</v>
      </c>
      <c r="C2076" s="32">
        <f ca="1">((((1+B2076)^(A2076/252))/((1+B2075)^(A2075/252)))^(252/1))-1</f>
        <v>0.12125613677502978</v>
      </c>
      <c r="D2076" s="30">
        <v>0.12907705613351972</v>
      </c>
      <c r="E2076" s="31">
        <f ca="1">B2076-D2076</f>
        <v>0</v>
      </c>
    </row>
    <row r="2077" spans="1:5" x14ac:dyDescent="0.25">
      <c r="A2077" s="21">
        <v>2076</v>
      </c>
      <c r="B2077" s="5" cm="1">
        <f t="array" aca="1" ref="B2077" ca="1">interpolexp(A2077,serie_du,Taxas_DI)</f>
        <v>0.12907327571685112</v>
      </c>
      <c r="C2077" s="32">
        <f ca="1">((((1+B2077)^(A2077/252))/((1+B2076)^(A2076/252)))^(252/1))-1</f>
        <v>0.1212561109794581</v>
      </c>
      <c r="D2077" s="30">
        <v>0.12907327571685112</v>
      </c>
      <c r="E2077" s="31">
        <f ca="1">B2077-D2077</f>
        <v>0</v>
      </c>
    </row>
    <row r="2078" spans="1:5" x14ac:dyDescent="0.25">
      <c r="A2078" s="21">
        <v>2077</v>
      </c>
      <c r="B2078" s="5" cm="1">
        <f t="array" aca="1" ref="B2078" ca="1">interpolexp(A2078,serie_du,Taxas_DI)</f>
        <v>0.12906949894058162</v>
      </c>
      <c r="C2078" s="32">
        <f ca="1">((((1+B2078)^(A2078/252))/((1+B2077)^(A2077/252)))^(252/1))-1</f>
        <v>0.12125608518278397</v>
      </c>
      <c r="D2078" s="30">
        <v>0.12906949894058162</v>
      </c>
      <c r="E2078" s="31">
        <f ca="1">B2078-D2078</f>
        <v>0</v>
      </c>
    </row>
    <row r="2079" spans="1:5" x14ac:dyDescent="0.25">
      <c r="A2079" s="21">
        <v>2078</v>
      </c>
      <c r="B2079" s="5" cm="1">
        <f t="array" aca="1" ref="B2079" ca="1">interpolexp(A2079,serie_du,Taxas_DI)</f>
        <v>0.12906572579947095</v>
      </c>
      <c r="C2079" s="32">
        <f ca="1">((((1+B2079)^(A2079/252))/((1+B2078)^(A2078/252)))^(252/1))-1</f>
        <v>0.12125605945518614</v>
      </c>
      <c r="D2079" s="30">
        <v>0.12906572579947095</v>
      </c>
      <c r="E2079" s="31">
        <f ca="1">B2079-D2079</f>
        <v>0</v>
      </c>
    </row>
    <row r="2080" spans="1:5" x14ac:dyDescent="0.25">
      <c r="A2080" s="21">
        <v>2079</v>
      </c>
      <c r="B2080" s="5" cm="1">
        <f t="array" aca="1" ref="B2080" ca="1">interpolexp(A2080,serie_du,Taxas_DI)</f>
        <v>0.12906195628825667</v>
      </c>
      <c r="C2080" s="32">
        <f ca="1">((((1+B2080)^(A2080/252))/((1+B2079)^(A2079/252)))^(252/1))-1</f>
        <v>0.12125603373003702</v>
      </c>
      <c r="D2080" s="30">
        <v>0.12906195628825667</v>
      </c>
      <c r="E2080" s="31">
        <f ca="1">B2080-D2080</f>
        <v>0</v>
      </c>
    </row>
    <row r="2081" spans="1:5" x14ac:dyDescent="0.25">
      <c r="A2081" s="21">
        <v>2080</v>
      </c>
      <c r="B2081" s="5" cm="1">
        <f t="array" aca="1" ref="B2081" ca="1">interpolexp(A2081,serie_du,Taxas_DI)</f>
        <v>0.12905819040172073</v>
      </c>
      <c r="C2081" s="32">
        <f ca="1">((((1+B2081)^(A2081/252))/((1+B2080)^(A2080/252)))^(252/1))-1</f>
        <v>0.12125600807823189</v>
      </c>
      <c r="D2081" s="30">
        <v>0.12905819040172073</v>
      </c>
      <c r="E2081" s="31">
        <f ca="1">B2081-D2081</f>
        <v>0</v>
      </c>
    </row>
    <row r="2082" spans="1:5" x14ac:dyDescent="0.25">
      <c r="A2082" s="21">
        <v>2081</v>
      </c>
      <c r="B2082" s="5" cm="1">
        <f t="array" aca="1" ref="B2082" ca="1">interpolexp(A2082,serie_du,Taxas_DI)</f>
        <v>0.12905442813464507</v>
      </c>
      <c r="C2082" s="32">
        <f ca="1">((((1+B2082)^(A2082/252))/((1+B2081)^(A2081/252)))^(252/1))-1</f>
        <v>0.12125598247862768</v>
      </c>
      <c r="D2082" s="30">
        <v>0.12905442813464507</v>
      </c>
      <c r="E2082" s="31">
        <f ca="1">B2082-D2082</f>
        <v>0</v>
      </c>
    </row>
    <row r="2083" spans="1:5" x14ac:dyDescent="0.25">
      <c r="A2083" s="21">
        <v>2082</v>
      </c>
      <c r="B2083" s="5" cm="1">
        <f t="array" aca="1" ref="B2083" ca="1">interpolexp(A2083,serie_du,Taxas_DI)</f>
        <v>0.12905066948178945</v>
      </c>
      <c r="C2083" s="32">
        <f ca="1">((((1+B2083)^(A2083/252))/((1+B2082)^(A2082/252)))^(252/1))-1</f>
        <v>0.12125595686487922</v>
      </c>
      <c r="D2083" s="30">
        <v>0.12905066948178945</v>
      </c>
      <c r="E2083" s="31">
        <f ca="1">B2083-D2083</f>
        <v>0</v>
      </c>
    </row>
    <row r="2084" spans="1:5" x14ac:dyDescent="0.25">
      <c r="A2084" s="21">
        <v>2083</v>
      </c>
      <c r="B2084" s="5" cm="1">
        <f t="array" aca="1" ref="B2084" ca="1">interpolexp(A2084,serie_du,Taxas_DI)</f>
        <v>0.12904691443795802</v>
      </c>
      <c r="C2084" s="32">
        <f ca="1">((((1+B2084)^(A2084/252))/((1+B2083)^(A2083/252)))^(252/1))-1</f>
        <v>0.12125593130778767</v>
      </c>
      <c r="D2084" s="30">
        <v>0.12904691443795802</v>
      </c>
      <c r="E2084" s="31">
        <f ca="1">B2084-D2084</f>
        <v>0</v>
      </c>
    </row>
    <row r="2085" spans="1:5" x14ac:dyDescent="0.25">
      <c r="A2085" s="21">
        <v>2084</v>
      </c>
      <c r="B2085" s="5" cm="1">
        <f t="array" aca="1" ref="B2085" ca="1">interpolexp(A2085,serie_du,Taxas_DI)</f>
        <v>0.12904316299795493</v>
      </c>
      <c r="C2085" s="32">
        <f ca="1">((((1+B2085)^(A2085/252))/((1+B2084)^(A2084/252)))^(252/1))-1</f>
        <v>0.12125590578680034</v>
      </c>
      <c r="D2085" s="30">
        <v>0.12904316299795493</v>
      </c>
      <c r="E2085" s="31">
        <f ca="1">B2085-D2085</f>
        <v>0</v>
      </c>
    </row>
    <row r="2086" spans="1:5" x14ac:dyDescent="0.25">
      <c r="A2086" s="21">
        <v>2085</v>
      </c>
      <c r="B2086" s="5" cm="1">
        <f t="array" aca="1" ref="B2086" ca="1">interpolexp(A2086,serie_du,Taxas_DI)</f>
        <v>0.12903941515658435</v>
      </c>
      <c r="C2086" s="32">
        <f ca="1">((((1+B2086)^(A2086/252))/((1+B2085)^(A2085/252)))^(252/1))-1</f>
        <v>0.1212558802807564</v>
      </c>
      <c r="D2086" s="30">
        <v>0.12903941515658435</v>
      </c>
      <c r="E2086" s="31">
        <f ca="1">B2086-D2086</f>
        <v>0</v>
      </c>
    </row>
    <row r="2087" spans="1:5" x14ac:dyDescent="0.25">
      <c r="A2087" s="21">
        <v>2086</v>
      </c>
      <c r="B2087" s="5" cm="1">
        <f t="array" aca="1" ref="B2087" ca="1">interpolexp(A2087,serie_du,Taxas_DI)</f>
        <v>0.12903567090869483</v>
      </c>
      <c r="C2087" s="32">
        <f ca="1">((((1+B2087)^(A2087/252))/((1+B2086)^(A2086/252)))^(252/1))-1</f>
        <v>0.12125585486160295</v>
      </c>
      <c r="D2087" s="30">
        <v>0.12903567090869483</v>
      </c>
      <c r="E2087" s="31">
        <f ca="1">B2087-D2087</f>
        <v>0</v>
      </c>
    </row>
    <row r="2088" spans="1:5" x14ac:dyDescent="0.25">
      <c r="A2088" s="21">
        <v>2087</v>
      </c>
      <c r="B2088" s="5" cm="1">
        <f t="array" aca="1" ref="B2088" ca="1">interpolexp(A2088,serie_du,Taxas_DI)</f>
        <v>0.12903193024911275</v>
      </c>
      <c r="C2088" s="32">
        <f ca="1">((((1+B2088)^(A2088/252))/((1+B2087)^(A2087/252)))^(252/1))-1</f>
        <v>0.12125582946224833</v>
      </c>
      <c r="D2088" s="30">
        <v>0.12903193024911275</v>
      </c>
      <c r="E2088" s="31">
        <f ca="1">B2088-D2088</f>
        <v>0</v>
      </c>
    </row>
    <row r="2089" spans="1:5" x14ac:dyDescent="0.25">
      <c r="A2089" s="21">
        <v>2088</v>
      </c>
      <c r="B2089" s="5" cm="1">
        <f t="array" aca="1" ref="B2089" ca="1">interpolexp(A2089,serie_du,Taxas_DI)</f>
        <v>0.12902819317266445</v>
      </c>
      <c r="C2089" s="32">
        <f ca="1">((((1+B2089)^(A2089/252))/((1+B2088)^(A2088/252)))^(252/1))-1</f>
        <v>0.12125580406246694</v>
      </c>
      <c r="D2089" s="30">
        <v>0.12902819317266445</v>
      </c>
      <c r="E2089" s="31">
        <f ca="1">B2089-D2089</f>
        <v>0</v>
      </c>
    </row>
    <row r="2090" spans="1:5" x14ac:dyDescent="0.25">
      <c r="A2090" s="21">
        <v>2089</v>
      </c>
      <c r="B2090" s="5" cm="1">
        <f t="array" aca="1" ref="B2090" ca="1">interpolexp(A2090,serie_du,Taxas_DI)</f>
        <v>0.12902445967422072</v>
      </c>
      <c r="C2090" s="32">
        <f ca="1">((((1+B2090)^(A2090/252))/((1+B2089)^(A2089/252)))^(252/1))-1</f>
        <v>0.12125577873341031</v>
      </c>
      <c r="D2090" s="30">
        <v>0.12902445967422072</v>
      </c>
      <c r="E2090" s="31">
        <f ca="1">B2090-D2090</f>
        <v>0</v>
      </c>
    </row>
    <row r="2091" spans="1:5" x14ac:dyDescent="0.25">
      <c r="A2091" s="21">
        <v>2090</v>
      </c>
      <c r="B2091" s="5" cm="1">
        <f t="array" aca="1" ref="B2091" ca="1">interpolexp(A2091,serie_du,Taxas_DI)</f>
        <v>0.12902072974865231</v>
      </c>
      <c r="C2091" s="32">
        <f ca="1">((((1+B2091)^(A2091/252))/((1+B2090)^(A2090/252)))^(252/1))-1</f>
        <v>0.12125575345491613</v>
      </c>
      <c r="D2091" s="30">
        <v>0.12902072974865231</v>
      </c>
      <c r="E2091" s="31">
        <f ca="1">B2091-D2091</f>
        <v>0</v>
      </c>
    </row>
    <row r="2092" spans="1:5" x14ac:dyDescent="0.25">
      <c r="A2092" s="21">
        <v>2091</v>
      </c>
      <c r="B2092" s="5" cm="1">
        <f t="array" aca="1" ref="B2092" ca="1">interpolexp(A2092,serie_du,Taxas_DI)</f>
        <v>0.12901700339080779</v>
      </c>
      <c r="C2092" s="32">
        <f ca="1">((((1+B2092)^(A2092/252))/((1+B2091)^(A2091/252)))^(252/1))-1</f>
        <v>0.12125572816015873</v>
      </c>
      <c r="D2092" s="30">
        <v>0.12901700339080779</v>
      </c>
      <c r="E2092" s="31">
        <f ca="1">B2092-D2092</f>
        <v>0</v>
      </c>
    </row>
    <row r="2093" spans="1:5" x14ac:dyDescent="0.25">
      <c r="A2093" s="21">
        <v>2092</v>
      </c>
      <c r="B2093" s="5" cm="1">
        <f t="array" aca="1" ref="B2093" ca="1">interpolexp(A2093,serie_du,Taxas_DI)</f>
        <v>0.12901328059558015</v>
      </c>
      <c r="C2093" s="32">
        <f ca="1">((((1+B2093)^(A2093/252))/((1+B2092)^(A2092/252)))^(252/1))-1</f>
        <v>0.12125570292119336</v>
      </c>
      <c r="D2093" s="30">
        <v>0.12901328059558015</v>
      </c>
      <c r="E2093" s="31">
        <f ca="1">B2093-D2093</f>
        <v>0</v>
      </c>
    </row>
    <row r="2094" spans="1:5" x14ac:dyDescent="0.25">
      <c r="A2094" s="21">
        <v>2093</v>
      </c>
      <c r="B2094" s="5" cm="1">
        <f t="array" aca="1" ref="B2094" ca="1">interpolexp(A2094,serie_du,Taxas_DI)</f>
        <v>0.12900956135788455</v>
      </c>
      <c r="C2094" s="32">
        <f ca="1">((((1+B2094)^(A2094/252))/((1+B2093)^(A2093/252)))^(252/1))-1</f>
        <v>0.12125567776352275</v>
      </c>
      <c r="D2094" s="30">
        <v>0.12900956135788455</v>
      </c>
      <c r="E2094" s="31">
        <f ca="1">B2094-D2094</f>
        <v>0</v>
      </c>
    </row>
    <row r="2095" spans="1:5" x14ac:dyDescent="0.25">
      <c r="A2095" s="21">
        <v>2094</v>
      </c>
      <c r="B2095" s="5" cm="1">
        <f t="array" aca="1" ref="B2095" ca="1">interpolexp(A2095,serie_du,Taxas_DI)</f>
        <v>0.12900584567261397</v>
      </c>
      <c r="C2095" s="32">
        <f ca="1">((((1+B2095)^(A2095/252))/((1+B2094)^(A2094/252)))^(252/1))-1</f>
        <v>0.1212556526208024</v>
      </c>
      <c r="D2095" s="30">
        <v>0.12900584567261397</v>
      </c>
      <c r="E2095" s="31">
        <f ca="1">B2095-D2095</f>
        <v>0</v>
      </c>
    </row>
    <row r="2096" spans="1:5" x14ac:dyDescent="0.25">
      <c r="A2096" s="21">
        <v>2095</v>
      </c>
      <c r="B2096" s="5" cm="1">
        <f t="array" aca="1" ref="B2096" ca="1">interpolexp(A2096,serie_du,Taxas_DI)</f>
        <v>0.12900213353466139</v>
      </c>
      <c r="C2096" s="32">
        <f ca="1">((((1+B2096)^(A2096/252))/((1+B2095)^(A2095/252)))^(252/1))-1</f>
        <v>0.12125562747288821</v>
      </c>
      <c r="D2096" s="30">
        <v>0.12900213353466139</v>
      </c>
      <c r="E2096" s="31">
        <f ca="1">B2096-D2096</f>
        <v>0</v>
      </c>
    </row>
    <row r="2097" spans="1:5" x14ac:dyDescent="0.25">
      <c r="A2097" s="21">
        <v>2096</v>
      </c>
      <c r="B2097" s="5" cm="1">
        <f t="array" aca="1" ref="B2097" ca="1">interpolexp(A2097,serie_du,Taxas_DI)</f>
        <v>0.12899842493896418</v>
      </c>
      <c r="C2097" s="32">
        <f ca="1">((((1+B2097)^(A2097/252))/((1+B2096)^(A2096/252)))^(252/1))-1</f>
        <v>0.12125560239146238</v>
      </c>
      <c r="D2097" s="30">
        <v>0.12899842493896418</v>
      </c>
      <c r="E2097" s="31">
        <f ca="1">B2097-D2097</f>
        <v>0</v>
      </c>
    </row>
    <row r="2098" spans="1:5" x14ac:dyDescent="0.25">
      <c r="A2098" s="21">
        <v>2097</v>
      </c>
      <c r="B2098" s="5" cm="1">
        <f t="array" aca="1" ref="B2098" ca="1">interpolexp(A2098,serie_du,Taxas_DI)</f>
        <v>0.12899471988045974</v>
      </c>
      <c r="C2098" s="32">
        <f ca="1">((((1+B2098)^(A2098/252))/((1+B2097)^(A2097/252)))^(252/1))-1</f>
        <v>0.12125557735661796</v>
      </c>
      <c r="D2098" s="30">
        <v>0.12899471988045974</v>
      </c>
      <c r="E2098" s="31">
        <f ca="1">B2098-D2098</f>
        <v>0</v>
      </c>
    </row>
    <row r="2099" spans="1:5" x14ac:dyDescent="0.25">
      <c r="A2099" s="21">
        <v>2098</v>
      </c>
      <c r="B2099" s="5" cm="1">
        <f t="array" aca="1" ref="B2099" ca="1">interpolexp(A2099,serie_du,Taxas_DI)</f>
        <v>0.12899101835406324</v>
      </c>
      <c r="C2099" s="32">
        <f ca="1">((((1+B2099)^(A2099/252))/((1+B2098)^(A2098/252)))^(252/1))-1</f>
        <v>0.12125555230194762</v>
      </c>
      <c r="D2099" s="30">
        <v>0.12899101835406324</v>
      </c>
      <c r="E2099" s="31">
        <f ca="1">B2099-D2099</f>
        <v>0</v>
      </c>
    </row>
    <row r="2100" spans="1:5" x14ac:dyDescent="0.25">
      <c r="A2100" s="21">
        <v>2099</v>
      </c>
      <c r="B2100" s="5" cm="1">
        <f t="array" aca="1" ref="B2100" ca="1">interpolexp(A2100,serie_du,Taxas_DI)</f>
        <v>0.12898732035475646</v>
      </c>
      <c r="C2100" s="32">
        <f ca="1">((((1+B2100)^(A2100/252))/((1+B2099)^(A2099/252)))^(252/1))-1</f>
        <v>0.12125552734570455</v>
      </c>
      <c r="D2100" s="30">
        <v>0.12898732035475646</v>
      </c>
      <c r="E2100" s="31">
        <f ca="1">B2100-D2100</f>
        <v>0</v>
      </c>
    </row>
    <row r="2101" spans="1:5" x14ac:dyDescent="0.25">
      <c r="A2101" s="21">
        <v>2100</v>
      </c>
      <c r="B2101" s="5" cm="1">
        <f t="array" aca="1" ref="B2101" ca="1">interpolexp(A2101,serie_du,Taxas_DI)</f>
        <v>0.12898362587749901</v>
      </c>
      <c r="C2101" s="32">
        <f ca="1">((((1+B2101)^(A2101/252))/((1+B2100)^(A2100/252)))^(252/1))-1</f>
        <v>0.1212555024221047</v>
      </c>
      <c r="D2101" s="30">
        <v>0.12898362587749901</v>
      </c>
      <c r="E2101" s="31">
        <f ca="1">B2101-D2101</f>
        <v>0</v>
      </c>
    </row>
    <row r="2102" spans="1:5" x14ac:dyDescent="0.25">
      <c r="A2102" s="21">
        <v>2101</v>
      </c>
      <c r="B2102" s="5" cm="1">
        <f t="array" aca="1" ref="B2102" ca="1">interpolexp(A2102,serie_du,Taxas_DI)</f>
        <v>0.12897993491725046</v>
      </c>
      <c r="C2102" s="32">
        <f ca="1">((((1+B2102)^(A2102/252))/((1+B2101)^(A2101/252)))^(252/1))-1</f>
        <v>0.12125547751051902</v>
      </c>
      <c r="D2102" s="30">
        <v>0.12897993491725046</v>
      </c>
      <c r="E2102" s="31">
        <f ca="1">B2102-D2102</f>
        <v>0</v>
      </c>
    </row>
    <row r="2103" spans="1:5" x14ac:dyDescent="0.25">
      <c r="A2103" s="21">
        <v>2102</v>
      </c>
      <c r="B2103" s="5" cm="1">
        <f t="array" aca="1" ref="B2103" ca="1">interpolexp(A2103,serie_du,Taxas_DI)</f>
        <v>0.12897624746899261</v>
      </c>
      <c r="C2103" s="32">
        <f ca="1">((((1+B2103)^(A2103/252))/((1+B2102)^(A2102/252)))^(252/1))-1</f>
        <v>0.12125545263772608</v>
      </c>
      <c r="D2103" s="30">
        <v>0.12897624746899261</v>
      </c>
      <c r="E2103" s="31">
        <f ca="1">B2103-D2103</f>
        <v>0</v>
      </c>
    </row>
    <row r="2104" spans="1:5" x14ac:dyDescent="0.25">
      <c r="A2104" s="21">
        <v>2103</v>
      </c>
      <c r="B2104" s="5" cm="1">
        <f t="array" aca="1" ref="B2104" ca="1">interpolexp(A2104,serie_du,Taxas_DI)</f>
        <v>0.12897256352770725</v>
      </c>
      <c r="C2104" s="32">
        <f ca="1">((((1+B2104)^(A2104/252))/((1+B2103)^(A2103/252)))^(252/1))-1</f>
        <v>0.12125542778317056</v>
      </c>
      <c r="D2104" s="30">
        <v>0.12897256352770725</v>
      </c>
      <c r="E2104" s="31">
        <f ca="1">B2104-D2104</f>
        <v>0</v>
      </c>
    </row>
    <row r="2105" spans="1:5" x14ac:dyDescent="0.25">
      <c r="A2105" s="21">
        <v>2104</v>
      </c>
      <c r="B2105" s="5" cm="1">
        <f t="array" aca="1" ref="B2105" ca="1">interpolexp(A2105,serie_du,Taxas_DI)</f>
        <v>0.12896888308839838</v>
      </c>
      <c r="C2105" s="32">
        <f ca="1">((((1+B2105)^(A2105/252))/((1+B2104)^(A2104/252)))^(252/1))-1</f>
        <v>0.12125540297373161</v>
      </c>
      <c r="D2105" s="30">
        <v>0.12896888308839838</v>
      </c>
      <c r="E2105" s="31">
        <f ca="1">B2105-D2105</f>
        <v>0</v>
      </c>
    </row>
    <row r="2106" spans="1:5" x14ac:dyDescent="0.25">
      <c r="A2106" s="21">
        <v>2105</v>
      </c>
      <c r="B2106" s="5" cm="1">
        <f t="array" aca="1" ref="B2106" ca="1">interpolexp(A2106,serie_du,Taxas_DI)</f>
        <v>0.12896520614609219</v>
      </c>
      <c r="C2106" s="32">
        <f ca="1">((((1+B2106)^(A2106/252))/((1+B2105)^(A2105/252)))^(252/1))-1</f>
        <v>0.12125537823558652</v>
      </c>
      <c r="D2106" s="30">
        <v>0.12896520614609219</v>
      </c>
      <c r="E2106" s="31">
        <f ca="1">B2106-D2106</f>
        <v>0</v>
      </c>
    </row>
    <row r="2107" spans="1:5" x14ac:dyDescent="0.25">
      <c r="A2107" s="21">
        <v>2106</v>
      </c>
      <c r="B2107" s="5" cm="1">
        <f t="array" aca="1" ref="B2107" ca="1">interpolexp(A2107,serie_du,Taxas_DI)</f>
        <v>0.12896153269579269</v>
      </c>
      <c r="C2107" s="32">
        <f ca="1">((((1+B2107)^(A2107/252))/((1+B2106)^(A2106/252)))^(252/1))-1</f>
        <v>0.12125535350281313</v>
      </c>
      <c r="D2107" s="30">
        <v>0.12896153269579269</v>
      </c>
      <c r="E2107" s="31">
        <f ca="1">B2107-D2107</f>
        <v>0</v>
      </c>
    </row>
    <row r="2108" spans="1:5" x14ac:dyDescent="0.25">
      <c r="A2108" s="21">
        <v>2107</v>
      </c>
      <c r="B2108" s="5" cm="1">
        <f t="array" aca="1" ref="B2108" ca="1">interpolexp(A2108,serie_du,Taxas_DI)</f>
        <v>0.12895786273252607</v>
      </c>
      <c r="C2108" s="32">
        <f ca="1">((((1+B2108)^(A2108/252))/((1+B2107)^(A2107/252)))^(252/1))-1</f>
        <v>0.12125532880145351</v>
      </c>
      <c r="D2108" s="30">
        <v>0.12895786273252607</v>
      </c>
      <c r="E2108" s="31">
        <f ca="1">B2108-D2108</f>
        <v>0</v>
      </c>
    </row>
    <row r="2109" spans="1:5" x14ac:dyDescent="0.25">
      <c r="A2109" s="21">
        <v>2108</v>
      </c>
      <c r="B2109" s="5" cm="1">
        <f t="array" aca="1" ref="B2109" ca="1">interpolexp(A2109,serie_du,Taxas_DI)</f>
        <v>0.12895419625134075</v>
      </c>
      <c r="C2109" s="32">
        <f ca="1">((((1+B2109)^(A2109/252))/((1+B2108)^(A2108/252)))^(252/1))-1</f>
        <v>0.1212553041586748</v>
      </c>
      <c r="D2109" s="30">
        <v>0.12895419625134075</v>
      </c>
      <c r="E2109" s="31">
        <f ca="1">B2109-D2109</f>
        <v>0</v>
      </c>
    </row>
    <row r="2110" spans="1:5" x14ac:dyDescent="0.25">
      <c r="A2110" s="21">
        <v>2109</v>
      </c>
      <c r="B2110" s="5" cm="1">
        <f t="array" aca="1" ref="B2110" ca="1">interpolexp(A2110,serie_du,Taxas_DI)</f>
        <v>0.12895053324726291</v>
      </c>
      <c r="C2110" s="32">
        <f ca="1">((((1+B2110)^(A2110/252))/((1+B2109)^(A2109/252)))^(252/1))-1</f>
        <v>0.12125527950792514</v>
      </c>
      <c r="D2110" s="30">
        <v>0.12895053324726291</v>
      </c>
      <c r="E2110" s="31">
        <f ca="1">B2110-D2110</f>
        <v>0</v>
      </c>
    </row>
    <row r="2111" spans="1:5" x14ac:dyDescent="0.25">
      <c r="A2111" s="21">
        <v>2110</v>
      </c>
      <c r="B2111" s="5" cm="1">
        <f t="array" aca="1" ref="B2111" ca="1">interpolexp(A2111,serie_du,Taxas_DI)</f>
        <v>0.12894687371536317</v>
      </c>
      <c r="C2111" s="32">
        <f ca="1">((((1+B2111)^(A2111/252))/((1+B2110)^(A2110/252)))^(252/1))-1</f>
        <v>0.12125525492257072</v>
      </c>
      <c r="D2111" s="30">
        <v>0.12894687371536317</v>
      </c>
      <c r="E2111" s="31">
        <f ca="1">B2111-D2111</f>
        <v>0</v>
      </c>
    </row>
    <row r="2112" spans="1:5" x14ac:dyDescent="0.25">
      <c r="A2112" s="21">
        <v>2111</v>
      </c>
      <c r="B2112" s="5" cm="1">
        <f t="array" aca="1" ref="B2112" ca="1">interpolexp(A2112,serie_du,Taxas_DI)</f>
        <v>0.12894321765071215</v>
      </c>
      <c r="C2112" s="32">
        <f ca="1">((((1+B2112)^(A2112/252))/((1+B2111)^(A2111/252)))^(252/1))-1</f>
        <v>0.12125523038277786</v>
      </c>
      <c r="D2112" s="30">
        <v>0.12894321765071215</v>
      </c>
      <c r="E2112" s="31">
        <f ca="1">B2112-D2112</f>
        <v>0</v>
      </c>
    </row>
    <row r="2113" spans="1:5" x14ac:dyDescent="0.25">
      <c r="A2113" s="21">
        <v>2112</v>
      </c>
      <c r="B2113" s="5" cm="1">
        <f t="array" aca="1" ref="B2113" ca="1">interpolexp(A2113,serie_du,Taxas_DI)</f>
        <v>0.12893956504838044</v>
      </c>
      <c r="C2113" s="32">
        <f ca="1">((((1+B2113)^(A2113/252))/((1+B2112)^(A2112/252)))^(252/1))-1</f>
        <v>0.12125520586930127</v>
      </c>
      <c r="D2113" s="30">
        <v>0.12893956504838044</v>
      </c>
      <c r="E2113" s="31">
        <f ca="1">B2113-D2113</f>
        <v>0</v>
      </c>
    </row>
    <row r="2114" spans="1:5" x14ac:dyDescent="0.25">
      <c r="A2114" s="21">
        <v>2113</v>
      </c>
      <c r="B2114" s="5" cm="1">
        <f t="array" aca="1" ref="B2114" ca="1">interpolexp(A2114,serie_du,Taxas_DI)</f>
        <v>0.12893591590343867</v>
      </c>
      <c r="C2114" s="32">
        <f ca="1">((((1+B2114)^(A2114/252))/((1+B2113)^(A2113/252)))^(252/1))-1</f>
        <v>0.12125518136198754</v>
      </c>
      <c r="D2114" s="30">
        <v>0.12893591590343867</v>
      </c>
      <c r="E2114" s="31">
        <f ca="1">B2114-D2114</f>
        <v>0</v>
      </c>
    </row>
    <row r="2115" spans="1:5" x14ac:dyDescent="0.25">
      <c r="A2115" s="21">
        <v>2114</v>
      </c>
      <c r="B2115" s="5" cm="1">
        <f t="array" aca="1" ref="B2115" ca="1">interpolexp(A2115,serie_du,Taxas_DI)</f>
        <v>0.12893227021097964</v>
      </c>
      <c r="C2115" s="32">
        <f ca="1">((((1+B2115)^(A2115/252))/((1+B2114)^(A2114/252)))^(252/1))-1</f>
        <v>0.12125515688826249</v>
      </c>
      <c r="D2115" s="30">
        <v>0.12893227021097964</v>
      </c>
      <c r="E2115" s="31">
        <f ca="1">B2115-D2115</f>
        <v>0</v>
      </c>
    </row>
    <row r="2116" spans="1:5" x14ac:dyDescent="0.25">
      <c r="A2116" s="21">
        <v>2115</v>
      </c>
      <c r="B2116" s="5" cm="1">
        <f t="array" aca="1" ref="B2116" ca="1">interpolexp(A2116,serie_du,Taxas_DI)</f>
        <v>0.12892862796614057</v>
      </c>
      <c r="C2116" s="32">
        <f ca="1">((((1+B2116)^(A2116/252))/((1+B2115)^(A2115/252)))^(252/1))-1</f>
        <v>0.12125513252141973</v>
      </c>
      <c r="D2116" s="30">
        <v>0.12892862796614057</v>
      </c>
      <c r="E2116" s="31">
        <f ca="1">B2116-D2116</f>
        <v>0</v>
      </c>
    </row>
    <row r="2117" spans="1:5" x14ac:dyDescent="0.25">
      <c r="A2117" s="21">
        <v>2116</v>
      </c>
      <c r="B2117" s="5" cm="1">
        <f t="array" aca="1" ref="B2117" ca="1">interpolexp(A2117,serie_du,Taxas_DI)</f>
        <v>0.12892498916399209</v>
      </c>
      <c r="C2117" s="32">
        <f ca="1">((((1+B2117)^(A2117/252))/((1+B2116)^(A2116/252)))^(252/1))-1</f>
        <v>0.12125510810245221</v>
      </c>
      <c r="D2117" s="30">
        <v>0.12892498916399209</v>
      </c>
      <c r="E2117" s="31">
        <f ca="1">B2117-D2117</f>
        <v>0</v>
      </c>
    </row>
    <row r="2118" spans="1:5" x14ac:dyDescent="0.25">
      <c r="A2118" s="21">
        <v>2117</v>
      </c>
      <c r="B2118" s="5" cm="1">
        <f t="array" aca="1" ref="B2118" ca="1">interpolexp(A2118,serie_du,Taxas_DI)</f>
        <v>0.1289213537996714</v>
      </c>
      <c r="C2118" s="32">
        <f ca="1">((((1+B2118)^(A2118/252))/((1+B2117)^(A2117/252)))^(252/1))-1</f>
        <v>0.12125508375162131</v>
      </c>
      <c r="D2118" s="30">
        <v>0.1289213537996714</v>
      </c>
      <c r="E2118" s="31">
        <f ca="1">B2118-D2118</f>
        <v>0</v>
      </c>
    </row>
    <row r="2119" spans="1:5" x14ac:dyDescent="0.25">
      <c r="A2119" s="21">
        <v>2118</v>
      </c>
      <c r="B2119" s="5" cm="1">
        <f t="array" aca="1" ref="B2119" ca="1">interpolexp(A2119,serie_du,Taxas_DI)</f>
        <v>0.12891772186831574</v>
      </c>
      <c r="C2119" s="32">
        <f ca="1">((((1+B2119)^(A2119/252))/((1+B2118)^(A2118/252)))^(252/1))-1</f>
        <v>0.12125505944957649</v>
      </c>
      <c r="D2119" s="30">
        <v>0.12891772186831574</v>
      </c>
      <c r="E2119" s="31">
        <f ca="1">B2119-D2119</f>
        <v>0</v>
      </c>
    </row>
    <row r="2120" spans="1:5" x14ac:dyDescent="0.25">
      <c r="A2120" s="21">
        <v>2119</v>
      </c>
      <c r="B2120" s="5" cm="1">
        <f t="array" aca="1" ref="B2120" ca="1">interpolexp(A2120,serie_du,Taxas_DI)</f>
        <v>0.12891409336506232</v>
      </c>
      <c r="C2120" s="32">
        <f ca="1">((((1+B2120)^(A2120/252))/((1+B2119)^(A2119/252)))^(252/1))-1</f>
        <v>0.12125503517669922</v>
      </c>
      <c r="D2120" s="30">
        <v>0.12891409336506232</v>
      </c>
      <c r="E2120" s="31">
        <f ca="1">B2120-D2120</f>
        <v>0</v>
      </c>
    </row>
    <row r="2121" spans="1:5" x14ac:dyDescent="0.25">
      <c r="A2121" s="21">
        <v>2120</v>
      </c>
      <c r="B2121" s="5" cm="1">
        <f t="array" aca="1" ref="B2121" ca="1">interpolexp(A2121,serie_du,Taxas_DI)</f>
        <v>0.12891046828504837</v>
      </c>
      <c r="C2121" s="32">
        <f ca="1">((((1+B2121)^(A2121/252))/((1+B2120)^(A2120/252)))^(252/1))-1</f>
        <v>0.12125501091400182</v>
      </c>
      <c r="D2121" s="30">
        <v>0.12891046828504837</v>
      </c>
      <c r="E2121" s="31">
        <f ca="1">B2121-D2121</f>
        <v>0</v>
      </c>
    </row>
    <row r="2122" spans="1:5" x14ac:dyDescent="0.25">
      <c r="A2122" s="21">
        <v>2121</v>
      </c>
      <c r="B2122" s="5" cm="1">
        <f t="array" aca="1" ref="B2122" ca="1">interpolexp(A2122,serie_du,Taxas_DI)</f>
        <v>0.12890684662345553</v>
      </c>
      <c r="C2122" s="32">
        <f ca="1">((((1+B2122)^(A2122/252))/((1+B2121)^(A2121/252)))^(252/1))-1</f>
        <v>0.12125498673536184</v>
      </c>
      <c r="D2122" s="30">
        <v>0.12890684662345553</v>
      </c>
      <c r="E2122" s="31">
        <f ca="1">B2122-D2122</f>
        <v>0</v>
      </c>
    </row>
    <row r="2123" spans="1:5" x14ac:dyDescent="0.25">
      <c r="A2123" s="21">
        <v>2122</v>
      </c>
      <c r="B2123" s="5" cm="1">
        <f t="array" aca="1" ref="B2123" ca="1">interpolexp(A2123,serie_du,Taxas_DI)</f>
        <v>0.12890322837542101</v>
      </c>
      <c r="C2123" s="32">
        <f ca="1">((((1+B2123)^(A2123/252))/((1+B2122)^(A2122/252)))^(252/1))-1</f>
        <v>0.12125496252817314</v>
      </c>
      <c r="D2123" s="30">
        <v>0.12890322837542101</v>
      </c>
      <c r="E2123" s="31">
        <f ca="1">B2123-D2123</f>
        <v>0</v>
      </c>
    </row>
    <row r="2124" spans="1:5" x14ac:dyDescent="0.25">
      <c r="A2124" s="21">
        <v>2123</v>
      </c>
      <c r="B2124" s="5" cm="1">
        <f t="array" aca="1" ref="B2124" ca="1">interpolexp(A2124,serie_du,Taxas_DI)</f>
        <v>0.12889961353612645</v>
      </c>
      <c r="C2124" s="32">
        <f ca="1">((((1+B2124)^(A2124/252))/((1+B2123)^(A2123/252)))^(252/1))-1</f>
        <v>0.12125493836646584</v>
      </c>
      <c r="D2124" s="30">
        <v>0.12889961353612645</v>
      </c>
      <c r="E2124" s="31">
        <f ca="1">B2124-D2124</f>
        <v>0</v>
      </c>
    </row>
    <row r="2125" spans="1:5" x14ac:dyDescent="0.25">
      <c r="A2125" s="21">
        <v>2124</v>
      </c>
      <c r="B2125" s="5" cm="1">
        <f t="array" aca="1" ref="B2125" ca="1">interpolexp(A2125,serie_du,Taxas_DI)</f>
        <v>0.12889600210077568</v>
      </c>
      <c r="C2125" s="32">
        <f ca="1">((((1+B2125)^(A2125/252))/((1+B2124)^(A2124/252)))^(252/1))-1</f>
        <v>0.12125491427805746</v>
      </c>
      <c r="D2125" s="30">
        <v>0.12889600210077568</v>
      </c>
      <c r="E2125" s="31">
        <f ca="1">B2125-D2125</f>
        <v>0</v>
      </c>
    </row>
    <row r="2126" spans="1:5" x14ac:dyDescent="0.25">
      <c r="A2126" s="21">
        <v>2125</v>
      </c>
      <c r="B2126" s="5" cm="1">
        <f t="array" aca="1" ref="B2126" ca="1">interpolexp(A2126,serie_du,Taxas_DI)</f>
        <v>0.12889239406457254</v>
      </c>
      <c r="C2126" s="32">
        <f ca="1">((((1+B2126)^(A2126/252))/((1+B2125)^(A2125/252)))^(252/1))-1</f>
        <v>0.1212548902437709</v>
      </c>
      <c r="D2126" s="30">
        <v>0.12889239406457254</v>
      </c>
      <c r="E2126" s="31">
        <f ca="1">B2126-D2126</f>
        <v>0</v>
      </c>
    </row>
    <row r="2127" spans="1:5" x14ac:dyDescent="0.25">
      <c r="A2127" s="21">
        <v>2126</v>
      </c>
      <c r="B2127" s="5" cm="1">
        <f t="array" aca="1" ref="B2127" ca="1">interpolexp(A2127,serie_du,Taxas_DI)</f>
        <v>0.12888878942267645</v>
      </c>
      <c r="C2127" s="32">
        <f ca="1">((((1+B2127)^(A2127/252))/((1+B2126)^(A2126/252)))^(252/1))-1</f>
        <v>0.12125486615079795</v>
      </c>
      <c r="D2127" s="30">
        <v>0.12888878942267645</v>
      </c>
      <c r="E2127" s="31">
        <f ca="1">B2127-D2127</f>
        <v>0</v>
      </c>
    </row>
    <row r="2128" spans="1:5" x14ac:dyDescent="0.25">
      <c r="A2128" s="21">
        <v>2127</v>
      </c>
      <c r="B2128" s="5" cm="1">
        <f t="array" aca="1" ref="B2128" ca="1">interpolexp(A2128,serie_du,Taxas_DI)</f>
        <v>0.12888518817033567</v>
      </c>
      <c r="C2128" s="32">
        <f ca="1">((((1+B2128)^(A2128/252))/((1+B2127)^(A2127/252)))^(252/1))-1</f>
        <v>0.12125484216713134</v>
      </c>
      <c r="D2128" s="30">
        <v>0.12888518817033567</v>
      </c>
      <c r="E2128" s="31">
        <f ca="1">B2128-D2128</f>
        <v>0</v>
      </c>
    </row>
    <row r="2129" spans="1:5" x14ac:dyDescent="0.25">
      <c r="A2129" s="21">
        <v>2128</v>
      </c>
      <c r="B2129" s="5" cm="1">
        <f t="array" aca="1" ref="B2129" ca="1">interpolexp(A2129,serie_du,Taxas_DI)</f>
        <v>0.12888159030275403</v>
      </c>
      <c r="C2129" s="32">
        <f ca="1">((((1+B2129)^(A2129/252))/((1+B2128)^(A2128/252)))^(252/1))-1</f>
        <v>0.12125481818049555</v>
      </c>
      <c r="D2129" s="30">
        <v>0.12888159030275403</v>
      </c>
      <c r="E2129" s="31">
        <f ca="1">B2129-D2129</f>
        <v>0</v>
      </c>
    </row>
    <row r="2130" spans="1:5" x14ac:dyDescent="0.25">
      <c r="A2130" s="21">
        <v>2129</v>
      </c>
      <c r="B2130" s="5" cm="1">
        <f t="array" aca="1" ref="B2130" ca="1">interpolexp(A2130,serie_du,Taxas_DI)</f>
        <v>0.12887799581515758</v>
      </c>
      <c r="C2130" s="32">
        <f ca="1">((((1+B2130)^(A2130/252))/((1+B2129)^(A2129/252)))^(252/1))-1</f>
        <v>0.12125479421828067</v>
      </c>
      <c r="D2130" s="30">
        <v>0.12887799581515758</v>
      </c>
      <c r="E2130" s="31">
        <f ca="1">B2130-D2130</f>
        <v>0</v>
      </c>
    </row>
    <row r="2131" spans="1:5" x14ac:dyDescent="0.25">
      <c r="A2131" s="21">
        <v>2130</v>
      </c>
      <c r="B2131" s="5" cm="1">
        <f t="array" aca="1" ref="B2131" ca="1">interpolexp(A2131,serie_du,Taxas_DI)</f>
        <v>0.12887440470281675</v>
      </c>
      <c r="C2131" s="32">
        <f ca="1">((((1+B2131)^(A2131/252))/((1+B2130)^(A2130/252)))^(252/1))-1</f>
        <v>0.12125477035575072</v>
      </c>
      <c r="D2131" s="30">
        <v>0.12887440470281675</v>
      </c>
      <c r="E2131" s="31">
        <f ca="1">B2131-D2131</f>
        <v>0</v>
      </c>
    </row>
    <row r="2132" spans="1:5" x14ac:dyDescent="0.25">
      <c r="A2132" s="21">
        <v>2131</v>
      </c>
      <c r="B2132" s="5" cm="1">
        <f t="array" aca="1" ref="B2132" ca="1">interpolexp(A2132,serie_du,Taxas_DI)</f>
        <v>0.12887081696093539</v>
      </c>
      <c r="C2132" s="32">
        <f ca="1">((((1+B2132)^(A2132/252))/((1+B2131)^(A2131/252)))^(252/1))-1</f>
        <v>0.12125474643281153</v>
      </c>
      <c r="D2132" s="30">
        <v>0.12887081696093539</v>
      </c>
      <c r="E2132" s="31">
        <f ca="1">B2132-D2132</f>
        <v>0</v>
      </c>
    </row>
    <row r="2133" spans="1:5" x14ac:dyDescent="0.25">
      <c r="A2133" s="21">
        <v>2132</v>
      </c>
      <c r="B2133" s="5" cm="1">
        <f t="array" aca="1" ref="B2133" ca="1">interpolexp(A2133,serie_du,Taxas_DI)</f>
        <v>0.12886723258480615</v>
      </c>
      <c r="C2133" s="32">
        <f ca="1">((((1+B2133)^(A2133/252))/((1+B2132)^(A2132/252)))^(252/1))-1</f>
        <v>0.12125472261851922</v>
      </c>
      <c r="D2133" s="30">
        <v>0.12886723258480615</v>
      </c>
      <c r="E2133" s="31">
        <f ca="1">B2133-D2133</f>
        <v>0</v>
      </c>
    </row>
    <row r="2134" spans="1:5" x14ac:dyDescent="0.25">
      <c r="A2134" s="21">
        <v>2133</v>
      </c>
      <c r="B2134" s="5" cm="1">
        <f t="array" aca="1" ref="B2134" ca="1">interpolexp(A2134,serie_du,Taxas_DI)</f>
        <v>0.12886365156967727</v>
      </c>
      <c r="C2134" s="32">
        <f ca="1">((((1+B2134)^(A2134/252))/((1+B2133)^(A2133/252)))^(252/1))-1</f>
        <v>0.12125469879991457</v>
      </c>
      <c r="D2134" s="30">
        <v>0.12886365156967727</v>
      </c>
      <c r="E2134" s="31">
        <f ca="1">B2134-D2134</f>
        <v>0</v>
      </c>
    </row>
    <row r="2135" spans="1:5" x14ac:dyDescent="0.25">
      <c r="A2135" s="21">
        <v>2134</v>
      </c>
      <c r="B2135" s="5" cm="1">
        <f t="array" aca="1" ref="B2135" ca="1">interpolexp(A2135,serie_du,Taxas_DI)</f>
        <v>0.12886007391084142</v>
      </c>
      <c r="C2135" s="32">
        <f ca="1">((((1+B2135)^(A2135/252))/((1+B2134)^(A2134/252)))^(252/1))-1</f>
        <v>0.12125467505241616</v>
      </c>
      <c r="D2135" s="30">
        <v>0.12886007391084142</v>
      </c>
      <c r="E2135" s="31">
        <f ca="1">B2135-D2135</f>
        <v>0</v>
      </c>
    </row>
    <row r="2136" spans="1:5" x14ac:dyDescent="0.25">
      <c r="A2136" s="21">
        <v>2135</v>
      </c>
      <c r="B2136" s="5" cm="1">
        <f t="array" aca="1" ref="B2136" ca="1">interpolexp(A2136,serie_du,Taxas_DI)</f>
        <v>0.12885649960356904</v>
      </c>
      <c r="C2136" s="32">
        <f ca="1">((((1+B2136)^(A2136/252))/((1+B2135)^(A2135/252)))^(252/1))-1</f>
        <v>0.12125465130999058</v>
      </c>
      <c r="D2136" s="30">
        <v>0.12885649960356904</v>
      </c>
      <c r="E2136" s="31">
        <f ca="1">B2136-D2136</f>
        <v>0</v>
      </c>
    </row>
    <row r="2137" spans="1:5" x14ac:dyDescent="0.25">
      <c r="A2137" s="21">
        <v>2136</v>
      </c>
      <c r="B2137" s="5" cm="1">
        <f t="array" aca="1" ref="B2137" ca="1">interpolexp(A2137,serie_du,Taxas_DI)</f>
        <v>0.12885292864315279</v>
      </c>
      <c r="C2137" s="32">
        <f ca="1">((((1+B2137)^(A2137/252))/((1+B2136)^(A2136/252)))^(252/1))-1</f>
        <v>0.12125462760091943</v>
      </c>
      <c r="D2137" s="30">
        <v>0.12885292864315279</v>
      </c>
      <c r="E2137" s="31">
        <f ca="1">B2137-D2137</f>
        <v>0</v>
      </c>
    </row>
    <row r="2138" spans="1:5" x14ac:dyDescent="0.25">
      <c r="A2138" s="21">
        <v>2137</v>
      </c>
      <c r="B2138" s="5" cm="1">
        <f t="array" aca="1" ref="B2138" ca="1">interpolexp(A2138,serie_du,Taxas_DI)</f>
        <v>0.12884936102488531</v>
      </c>
      <c r="C2138" s="32">
        <f ca="1">((((1+B2138)^(A2138/252))/((1+B2137)^(A2137/252)))^(252/1))-1</f>
        <v>0.12125460390642417</v>
      </c>
      <c r="D2138" s="30">
        <v>0.12884936102488531</v>
      </c>
      <c r="E2138" s="31">
        <f ca="1">B2138-D2138</f>
        <v>0</v>
      </c>
    </row>
    <row r="2139" spans="1:5" x14ac:dyDescent="0.25">
      <c r="A2139" s="21">
        <v>2138</v>
      </c>
      <c r="B2139" s="5" cm="1">
        <f t="array" aca="1" ref="B2139" ca="1">interpolexp(A2139,serie_du,Taxas_DI)</f>
        <v>0.12884579674410368</v>
      </c>
      <c r="C2139" s="32">
        <f ca="1">((((1+B2139)^(A2139/252))/((1+B2138)^(A2138/252)))^(252/1))-1</f>
        <v>0.12125458030227976</v>
      </c>
      <c r="D2139" s="30">
        <v>0.12884579674410368</v>
      </c>
      <c r="E2139" s="31">
        <f ca="1">B2139-D2139</f>
        <v>0</v>
      </c>
    </row>
    <row r="2140" spans="1:5" x14ac:dyDescent="0.25">
      <c r="A2140" s="21">
        <v>2139</v>
      </c>
      <c r="B2140" s="5" cm="1">
        <f t="array" aca="1" ref="B2140" ca="1">interpolexp(A2140,serie_du,Taxas_DI)</f>
        <v>0.12884223579607834</v>
      </c>
      <c r="C2140" s="32">
        <f ca="1">((((1+B2140)^(A2140/252))/((1+B2139)^(A2139/252)))^(252/1))-1</f>
        <v>0.12125455662796125</v>
      </c>
      <c r="D2140" s="30">
        <v>0.12884223579607834</v>
      </c>
      <c r="E2140" s="31">
        <f ca="1">B2140-D2140</f>
        <v>0</v>
      </c>
    </row>
    <row r="2141" spans="1:5" x14ac:dyDescent="0.25">
      <c r="A2141" s="21">
        <v>2140</v>
      </c>
      <c r="B2141" s="5" cm="1">
        <f t="array" aca="1" ref="B2141" ca="1">interpolexp(A2141,serie_du,Taxas_DI)</f>
        <v>0.12883867817619077</v>
      </c>
      <c r="C2141" s="32">
        <f ca="1">((((1+B2141)^(A2141/252))/((1+B2140)^(A2140/252)))^(252/1))-1</f>
        <v>0.12125453310090539</v>
      </c>
      <c r="D2141" s="30">
        <v>0.12883867817619077</v>
      </c>
      <c r="E2141" s="31">
        <f ca="1">B2141-D2141</f>
        <v>0</v>
      </c>
    </row>
    <row r="2142" spans="1:5" x14ac:dyDescent="0.25">
      <c r="A2142" s="21">
        <v>2141</v>
      </c>
      <c r="B2142" s="5" cm="1">
        <f t="array" aca="1" ref="B2142" ca="1">interpolexp(A2142,serie_du,Taxas_DI)</f>
        <v>0.12883512387975582</v>
      </c>
      <c r="C2142" s="32">
        <f ca="1">((((1+B2142)^(A2142/252))/((1+B2141)^(A2141/252)))^(252/1))-1</f>
        <v>0.12125450956086037</v>
      </c>
      <c r="D2142" s="30">
        <v>0.12883512387975582</v>
      </c>
      <c r="E2142" s="31">
        <f ca="1">B2142-D2142</f>
        <v>0</v>
      </c>
    </row>
    <row r="2143" spans="1:5" x14ac:dyDescent="0.25">
      <c r="A2143" s="21">
        <v>2142</v>
      </c>
      <c r="B2143" s="5" cm="1">
        <f t="array" aca="1" ref="B2143" ca="1">interpolexp(A2143,serie_du,Taxas_DI)</f>
        <v>0.12883157290211056</v>
      </c>
      <c r="C2143" s="32">
        <f ca="1">((((1+B2143)^(A2143/252))/((1+B2142)^(A2142/252)))^(252/1))-1</f>
        <v>0.12125448603661426</v>
      </c>
      <c r="D2143" s="30">
        <v>0.12883157290211056</v>
      </c>
      <c r="E2143" s="31">
        <f ca="1">B2143-D2143</f>
        <v>0</v>
      </c>
    </row>
    <row r="2144" spans="1:5" x14ac:dyDescent="0.25">
      <c r="A2144" s="21">
        <v>2143</v>
      </c>
      <c r="B2144" s="5" cm="1">
        <f t="array" aca="1" ref="B2144" ca="1">interpolexp(A2144,serie_du,Taxas_DI)</f>
        <v>0.12882802523861425</v>
      </c>
      <c r="C2144" s="32">
        <f ca="1">((((1+B2144)^(A2144/252))/((1+B2143)^(A2143/252)))^(252/1))-1</f>
        <v>0.12125446255664252</v>
      </c>
      <c r="D2144" s="30">
        <v>0.12882802523861425</v>
      </c>
      <c r="E2144" s="31">
        <f ca="1">B2144-D2144</f>
        <v>0</v>
      </c>
    </row>
    <row r="2145" spans="1:5" x14ac:dyDescent="0.25">
      <c r="A2145" s="21">
        <v>2144</v>
      </c>
      <c r="B2145" s="5" cm="1">
        <f t="array" aca="1" ref="B2145" ca="1">interpolexp(A2145,serie_du,Taxas_DI)</f>
        <v>0.12882448088464837</v>
      </c>
      <c r="C2145" s="32">
        <f ca="1">((((1+B2145)^(A2145/252))/((1+B2144)^(A2144/252)))^(252/1))-1</f>
        <v>0.12125443914980605</v>
      </c>
      <c r="D2145" s="30">
        <v>0.12882448088464837</v>
      </c>
      <c r="E2145" s="31">
        <f ca="1">B2145-D2145</f>
        <v>0</v>
      </c>
    </row>
    <row r="2146" spans="1:5" x14ac:dyDescent="0.25">
      <c r="A2146" s="21">
        <v>2145</v>
      </c>
      <c r="B2146" s="5" cm="1">
        <f t="array" aca="1" ref="B2146" ca="1">interpolexp(A2146,serie_du,Taxas_DI)</f>
        <v>0.12882093983554999</v>
      </c>
      <c r="C2146" s="32">
        <f ca="1">((((1+B2146)^(A2146/252))/((1+B2145)^(A2145/252)))^(252/1))-1</f>
        <v>0.12125441570306328</v>
      </c>
      <c r="D2146" s="30">
        <v>0.12882093983554999</v>
      </c>
      <c r="E2146" s="31">
        <f ca="1">B2146-D2146</f>
        <v>0</v>
      </c>
    </row>
    <row r="2147" spans="1:5" x14ac:dyDescent="0.25">
      <c r="A2147" s="21">
        <v>2146</v>
      </c>
      <c r="B2147" s="5" cm="1">
        <f t="array" aca="1" ref="B2147" ca="1">interpolexp(A2147,serie_du,Taxas_DI)</f>
        <v>0.12881740208672277</v>
      </c>
      <c r="C2147" s="32">
        <f ca="1">((((1+B2147)^(A2147/252))/((1+B2146)^(A2146/252)))^(252/1))-1</f>
        <v>0.12125439233975777</v>
      </c>
      <c r="D2147" s="30">
        <v>0.12881740208672277</v>
      </c>
      <c r="E2147" s="31">
        <f ca="1">B2147-D2147</f>
        <v>0</v>
      </c>
    </row>
    <row r="2148" spans="1:5" x14ac:dyDescent="0.25">
      <c r="A2148" s="21">
        <v>2147</v>
      </c>
      <c r="B2148" s="5" cm="1">
        <f t="array" aca="1" ref="B2148" ca="1">interpolexp(A2148,serie_du,Taxas_DI)</f>
        <v>0.12881386763354818</v>
      </c>
      <c r="C2148" s="32">
        <f ca="1">((((1+B2148)^(A2148/252))/((1+B2147)^(A2147/252)))^(252/1))-1</f>
        <v>0.12125436899444875</v>
      </c>
      <c r="D2148" s="30">
        <v>0.12881386763354818</v>
      </c>
      <c r="E2148" s="31">
        <f ca="1">B2148-D2148</f>
        <v>0</v>
      </c>
    </row>
    <row r="2149" spans="1:5" x14ac:dyDescent="0.25">
      <c r="A2149" s="21">
        <v>2148</v>
      </c>
      <c r="B2149" s="5" cm="1">
        <f t="array" aca="1" ref="B2149" ca="1">interpolexp(A2149,serie_du,Taxas_DI)</f>
        <v>0.12881033647140772</v>
      </c>
      <c r="C2149" s="32">
        <f ca="1">((((1+B2149)^(A2149/252))/((1+B2148)^(A2148/252)))^(252/1))-1</f>
        <v>0.12125434564847559</v>
      </c>
      <c r="D2149" s="30">
        <v>0.12881033647140772</v>
      </c>
      <c r="E2149" s="31">
        <f ca="1">B2149-D2149</f>
        <v>0</v>
      </c>
    </row>
    <row r="2150" spans="1:5" x14ac:dyDescent="0.25">
      <c r="A2150" s="21">
        <v>2149</v>
      </c>
      <c r="B2150" s="5" cm="1">
        <f t="array" aca="1" ref="B2150" ca="1">interpolexp(A2150,serie_du,Taxas_DI)</f>
        <v>0.12880680859574944</v>
      </c>
      <c r="C2150" s="32">
        <f ca="1">((((1+B2150)^(A2150/252))/((1+B2149)^(A2149/252)))^(252/1))-1</f>
        <v>0.12125432242570033</v>
      </c>
      <c r="D2150" s="30">
        <v>0.12880680859574944</v>
      </c>
      <c r="E2150" s="31">
        <f ca="1">B2150-D2150</f>
        <v>0</v>
      </c>
    </row>
    <row r="2151" spans="1:5" x14ac:dyDescent="0.25">
      <c r="A2151" s="21">
        <v>2150</v>
      </c>
      <c r="B2151" s="5" cm="1">
        <f t="array" aca="1" ref="B2151" ca="1">interpolexp(A2151,serie_du,Taxas_DI)</f>
        <v>0.12880328400193264</v>
      </c>
      <c r="C2151" s="32">
        <f ca="1">((((1+B2151)^(A2151/252))/((1+B2150)^(A2150/252)))^(252/1))-1</f>
        <v>0.12125429911825436</v>
      </c>
      <c r="D2151" s="30">
        <v>0.12880328400193264</v>
      </c>
      <c r="E2151" s="31">
        <f ca="1">B2151-D2151</f>
        <v>0</v>
      </c>
    </row>
    <row r="2152" spans="1:5" x14ac:dyDescent="0.25">
      <c r="A2152" s="21">
        <v>2151</v>
      </c>
      <c r="B2152" s="5" cm="1">
        <f t="array" aca="1" ref="B2152" ca="1">interpolexp(A2152,serie_du,Taxas_DI)</f>
        <v>0.12879976268542759</v>
      </c>
      <c r="C2152" s="32">
        <f ca="1">((((1+B2152)^(A2152/252))/((1+B2151)^(A2151/252)))^(252/1))-1</f>
        <v>0.12125427594503546</v>
      </c>
      <c r="D2152" s="30">
        <v>0.12879976268542759</v>
      </c>
      <c r="E2152" s="31">
        <f ca="1">B2152-D2152</f>
        <v>0</v>
      </c>
    </row>
    <row r="2153" spans="1:5" x14ac:dyDescent="0.25">
      <c r="A2153" s="21">
        <v>2152</v>
      </c>
      <c r="B2153" s="5" cm="1">
        <f t="array" aca="1" ref="B2153" ca="1">interpolexp(A2153,serie_du,Taxas_DI)</f>
        <v>0.12879624464163797</v>
      </c>
      <c r="C2153" s="32">
        <f ca="1">((((1+B2153)^(A2153/252))/((1+B2152)^(A2152/252)))^(252/1))-1</f>
        <v>0.12125425274522539</v>
      </c>
      <c r="D2153" s="30">
        <v>0.12879624464163797</v>
      </c>
      <c r="E2153" s="31">
        <f ca="1">B2153-D2153</f>
        <v>0</v>
      </c>
    </row>
    <row r="2154" spans="1:5" x14ac:dyDescent="0.25">
      <c r="A2154" s="21">
        <v>2153</v>
      </c>
      <c r="B2154" s="5" cm="1">
        <f t="array" aca="1" ref="B2154" ca="1">interpolexp(A2154,serie_du,Taxas_DI)</f>
        <v>0.12879272986601187</v>
      </c>
      <c r="C2154" s="32">
        <f ca="1">((((1+B2154)^(A2154/252))/((1+B2153)^(A2153/252)))^(252/1))-1</f>
        <v>0.12125422959589871</v>
      </c>
      <c r="D2154" s="30">
        <v>0.12879272986601187</v>
      </c>
      <c r="E2154" s="31">
        <f ca="1">B2154-D2154</f>
        <v>0</v>
      </c>
    </row>
    <row r="2155" spans="1:5" x14ac:dyDescent="0.25">
      <c r="A2155" s="21">
        <v>2154</v>
      </c>
      <c r="B2155" s="5" cm="1">
        <f t="array" aca="1" ref="B2155" ca="1">interpolexp(A2155,serie_du,Taxas_DI)</f>
        <v>0.12878921835399737</v>
      </c>
      <c r="C2155" s="32">
        <f ca="1">((((1+B2155)^(A2155/252))/((1+B2154)^(A2154/252)))^(252/1))-1</f>
        <v>0.12125420647860463</v>
      </c>
      <c r="D2155" s="30">
        <v>0.12878921835399737</v>
      </c>
      <c r="E2155" s="31">
        <f ca="1">B2155-D2155</f>
        <v>0</v>
      </c>
    </row>
    <row r="2156" spans="1:5" x14ac:dyDescent="0.25">
      <c r="A2156" s="21">
        <v>2155</v>
      </c>
      <c r="B2156" s="5" cm="1">
        <f t="array" aca="1" ref="B2156" ca="1">interpolexp(A2156,serie_du,Taxas_DI)</f>
        <v>0.12878571010104256</v>
      </c>
      <c r="C2156" s="32">
        <f ca="1">((((1+B2156)^(A2156/252))/((1+B2155)^(A2155/252)))^(252/1))-1</f>
        <v>0.12125418337533578</v>
      </c>
      <c r="D2156" s="30">
        <v>0.12878571010104256</v>
      </c>
      <c r="E2156" s="31">
        <f ca="1">B2156-D2156</f>
        <v>0</v>
      </c>
    </row>
    <row r="2157" spans="1:5" x14ac:dyDescent="0.25">
      <c r="A2157" s="21">
        <v>2156</v>
      </c>
      <c r="B2157" s="5" cm="1">
        <f t="array" aca="1" ref="B2157" ca="1">interpolexp(A2157,serie_du,Taxas_DI)</f>
        <v>0.12878220510261773</v>
      </c>
      <c r="C2157" s="32">
        <f ca="1">((((1+B2157)^(A2157/252))/((1+B2156)^(A2156/252)))^(252/1))-1</f>
        <v>0.12125416031548641</v>
      </c>
      <c r="D2157" s="30">
        <v>0.12878220510261773</v>
      </c>
      <c r="E2157" s="31">
        <f ca="1">B2157-D2157</f>
        <v>0</v>
      </c>
    </row>
    <row r="2158" spans="1:5" x14ac:dyDescent="0.25">
      <c r="A2158" s="21">
        <v>2157</v>
      </c>
      <c r="B2158" s="5" cm="1">
        <f t="array" aca="1" ref="B2158" ca="1">interpolexp(A2158,serie_du,Taxas_DI)</f>
        <v>0.12877870335421537</v>
      </c>
      <c r="C2158" s="32">
        <f ca="1">((((1+B2158)^(A2158/252))/((1+B2157)^(A2157/252)))^(252/1))-1</f>
        <v>0.12125413732869239</v>
      </c>
      <c r="D2158" s="30">
        <v>0.12877870335421537</v>
      </c>
      <c r="E2158" s="31">
        <f ca="1">B2158-D2158</f>
        <v>0</v>
      </c>
    </row>
    <row r="2159" spans="1:5" x14ac:dyDescent="0.25">
      <c r="A2159" s="21">
        <v>2158</v>
      </c>
      <c r="B2159" s="5" cm="1">
        <f t="array" aca="1" ref="B2159" ca="1">interpolexp(A2159,serie_du,Taxas_DI)</f>
        <v>0.12877520485128358</v>
      </c>
      <c r="C2159" s="32">
        <f ca="1">((((1+B2159)^(A2159/252))/((1+B2158)^(A2158/252)))^(252/1))-1</f>
        <v>0.12125411430126309</v>
      </c>
      <c r="D2159" s="30">
        <v>0.12877520485128358</v>
      </c>
      <c r="E2159" s="31">
        <f ca="1">B2159-D2159</f>
        <v>0</v>
      </c>
    </row>
    <row r="2160" spans="1:5" x14ac:dyDescent="0.25">
      <c r="A2160" s="21">
        <v>2159</v>
      </c>
      <c r="B2160" s="5" cm="1">
        <f t="array" aca="1" ref="B2160" ca="1">interpolexp(A2160,serie_du,Taxas_DI)</f>
        <v>0.12877170958933704</v>
      </c>
      <c r="C2160" s="32">
        <f ca="1">((((1+B2160)^(A2160/252))/((1+B2159)^(A2159/252)))^(252/1))-1</f>
        <v>0.12125409135866594</v>
      </c>
      <c r="D2160" s="30">
        <v>0.12877170958933704</v>
      </c>
      <c r="E2160" s="31">
        <f ca="1">B2160-D2160</f>
        <v>0</v>
      </c>
    </row>
    <row r="2161" spans="1:5" x14ac:dyDescent="0.25">
      <c r="A2161" s="21">
        <v>2160</v>
      </c>
      <c r="B2161" s="5" cm="1">
        <f t="array" aca="1" ref="B2161" ca="1">interpolexp(A2161,serie_du,Taxas_DI)</f>
        <v>0.12876821756384604</v>
      </c>
      <c r="C2161" s="32">
        <f ca="1">((((1+B2161)^(A2161/252))/((1+B2160)^(A2160/252)))^(252/1))-1</f>
        <v>0.12125406838720587</v>
      </c>
      <c r="D2161" s="30">
        <v>0.12876821756384604</v>
      </c>
      <c r="E2161" s="31">
        <f ca="1">B2161-D2161</f>
        <v>0</v>
      </c>
    </row>
    <row r="2162" spans="1:5" x14ac:dyDescent="0.25">
      <c r="A2162" s="21">
        <v>2161</v>
      </c>
      <c r="B2162" s="5" cm="1">
        <f t="array" aca="1" ref="B2162" ca="1">interpolexp(A2162,serie_du,Taxas_DI)</f>
        <v>0.12876472877036971</v>
      </c>
      <c r="C2162" s="32">
        <f ca="1">((((1+B2162)^(A2162/252))/((1+B2161)^(A2161/252)))^(252/1))-1</f>
        <v>0.12125404555981012</v>
      </c>
      <c r="D2162" s="30">
        <v>0.12876472877036971</v>
      </c>
      <c r="E2162" s="31">
        <f ca="1">B2162-D2162</f>
        <v>0</v>
      </c>
    </row>
    <row r="2163" spans="1:5" x14ac:dyDescent="0.25">
      <c r="A2163" s="21">
        <v>2162</v>
      </c>
      <c r="B2163" s="5" cm="1">
        <f t="array" aca="1" ref="B2163" ca="1">interpolexp(A2163,serie_du,Taxas_DI)</f>
        <v>0.12876124320435611</v>
      </c>
      <c r="C2163" s="32">
        <f ca="1">((((1+B2163)^(A2163/252))/((1+B2162)^(A2162/252)))^(252/1))-1</f>
        <v>0.12125402261993479</v>
      </c>
      <c r="D2163" s="30">
        <v>0.12876124320435611</v>
      </c>
      <c r="E2163" s="31">
        <f ca="1">B2163-D2163</f>
        <v>0</v>
      </c>
    </row>
    <row r="2164" spans="1:5" x14ac:dyDescent="0.25">
      <c r="A2164" s="21">
        <v>2163</v>
      </c>
      <c r="B2164" s="5" cm="1">
        <f t="array" aca="1" ref="B2164" ca="1">interpolexp(A2164,serie_du,Taxas_DI)</f>
        <v>0.12875776086138657</v>
      </c>
      <c r="C2164" s="32">
        <f ca="1">((((1+B2164)^(A2164/252))/((1+B2163)^(A2163/252)))^(252/1))-1</f>
        <v>0.12125399983617591</v>
      </c>
      <c r="D2164" s="30">
        <v>0.12875776086138657</v>
      </c>
      <c r="E2164" s="31">
        <f ca="1">B2164-D2164</f>
        <v>0</v>
      </c>
    </row>
    <row r="2165" spans="1:5" x14ac:dyDescent="0.25">
      <c r="A2165" s="21">
        <v>2164</v>
      </c>
      <c r="B2165" s="5" cm="1">
        <f t="array" aca="1" ref="B2165" ca="1">interpolexp(A2165,serie_du,Taxas_DI)</f>
        <v>0.12875428173697578</v>
      </c>
      <c r="C2165" s="32">
        <f ca="1">((((1+B2165)^(A2165/252))/((1+B2164)^(A2164/252)))^(252/1))-1</f>
        <v>0.12125397704723428</v>
      </c>
      <c r="D2165" s="30">
        <v>0.12875428173697578</v>
      </c>
      <c r="E2165" s="31">
        <f ca="1">B2165-D2165</f>
        <v>0</v>
      </c>
    </row>
    <row r="2166" spans="1:5" x14ac:dyDescent="0.25">
      <c r="A2166" s="21">
        <v>2165</v>
      </c>
      <c r="B2166" s="5" cm="1">
        <f t="array" aca="1" ref="B2166" ca="1">interpolexp(A2166,serie_du,Taxas_DI)</f>
        <v>0.12875080582663845</v>
      </c>
      <c r="C2166" s="32">
        <f ca="1">((((1+B2166)^(A2166/252))/((1+B2165)^(A2165/252)))^(252/1))-1</f>
        <v>0.1212539542356752</v>
      </c>
      <c r="D2166" s="30">
        <v>0.12875080582663845</v>
      </c>
      <c r="E2166" s="31">
        <f ca="1">B2166-D2166</f>
        <v>0</v>
      </c>
    </row>
    <row r="2167" spans="1:5" x14ac:dyDescent="0.25">
      <c r="A2167" s="21">
        <v>2166</v>
      </c>
      <c r="B2167" s="5" cm="1">
        <f t="array" aca="1" ref="B2167" ca="1">interpolexp(A2167,serie_du,Taxas_DI)</f>
        <v>0.12874733312595588</v>
      </c>
      <c r="C2167" s="32">
        <f ca="1">((((1+B2167)^(A2167/252))/((1+B2166)^(A2166/252)))^(252/1))-1</f>
        <v>0.12125393152662545</v>
      </c>
      <c r="D2167" s="30">
        <v>0.12874733312595588</v>
      </c>
      <c r="E2167" s="31">
        <f ca="1">B2167-D2167</f>
        <v>0</v>
      </c>
    </row>
    <row r="2168" spans="1:5" x14ac:dyDescent="0.25">
      <c r="A2168" s="21">
        <v>2167</v>
      </c>
      <c r="B2168" s="5" cm="1">
        <f t="array" aca="1" ref="B2168" ca="1">interpolexp(A2168,serie_du,Taxas_DI)</f>
        <v>0.12874386363046497</v>
      </c>
      <c r="C2168" s="32">
        <f ca="1">((((1+B2168)^(A2168/252))/((1+B2167)^(A2167/252)))^(252/1))-1</f>
        <v>0.12125390880706388</v>
      </c>
      <c r="D2168" s="30">
        <v>0.12874386363046497</v>
      </c>
      <c r="E2168" s="31">
        <f ca="1">B2168-D2168</f>
        <v>0</v>
      </c>
    </row>
    <row r="2169" spans="1:5" x14ac:dyDescent="0.25">
      <c r="A2169" s="21">
        <v>2168</v>
      </c>
      <c r="B2169" s="5" cm="1">
        <f t="array" aca="1" ref="B2169" ca="1">interpolexp(A2169,serie_du,Taxas_DI)</f>
        <v>0.12874039733574705</v>
      </c>
      <c r="C2169" s="32">
        <f ca="1">((((1+B2169)^(A2169/252))/((1+B2168)^(A2168/252)))^(252/1))-1</f>
        <v>0.12125388615471322</v>
      </c>
      <c r="D2169" s="30">
        <v>0.12874039733574705</v>
      </c>
      <c r="E2169" s="31">
        <f ca="1">B2169-D2169</f>
        <v>0</v>
      </c>
    </row>
    <row r="2170" spans="1:5" x14ac:dyDescent="0.25">
      <c r="A2170" s="21">
        <v>2169</v>
      </c>
      <c r="B2170" s="5" cm="1">
        <f t="array" aca="1" ref="B2170" ca="1">interpolexp(A2170,serie_du,Taxas_DI)</f>
        <v>0.12873693423733901</v>
      </c>
      <c r="C2170" s="32">
        <f ca="1">((((1+B2170)^(A2170/252))/((1+B2169)^(A2169/252)))^(252/1))-1</f>
        <v>0.12125386345638889</v>
      </c>
      <c r="D2170" s="30">
        <v>0.12873693423733901</v>
      </c>
      <c r="E2170" s="31">
        <f ca="1">B2170-D2170</f>
        <v>0</v>
      </c>
    </row>
    <row r="2171" spans="1:5" x14ac:dyDescent="0.25">
      <c r="A2171" s="21">
        <v>2170</v>
      </c>
      <c r="B2171" s="5" cm="1">
        <f t="array" aca="1" ref="B2171" ca="1">interpolexp(A2171,serie_du,Taxas_DI)</f>
        <v>0.12873347433086657</v>
      </c>
      <c r="C2171" s="32">
        <f ca="1">((((1+B2171)^(A2171/252))/((1+B2170)^(A2170/252)))^(252/1))-1</f>
        <v>0.12125384088563051</v>
      </c>
      <c r="D2171" s="30">
        <v>0.12873347433086657</v>
      </c>
      <c r="E2171" s="31">
        <f ca="1">B2171-D2171</f>
        <v>0</v>
      </c>
    </row>
    <row r="2172" spans="1:5" x14ac:dyDescent="0.25">
      <c r="A2172" s="21">
        <v>2171</v>
      </c>
      <c r="B2172" s="5" cm="1">
        <f t="array" aca="1" ref="B2172" ca="1">interpolexp(A2172,serie_du,Taxas_DI)</f>
        <v>0.12873001761188885</v>
      </c>
      <c r="C2172" s="32">
        <f ca="1">((((1+B2172)^(A2172/252))/((1+B2171)^(A2171/252)))^(252/1))-1</f>
        <v>0.12125381828142379</v>
      </c>
      <c r="D2172" s="30">
        <v>0.12873001761188885</v>
      </c>
      <c r="E2172" s="31">
        <f ca="1">B2172-D2172</f>
        <v>0</v>
      </c>
    </row>
    <row r="2173" spans="1:5" x14ac:dyDescent="0.25">
      <c r="A2173" s="21">
        <v>2172</v>
      </c>
      <c r="B2173" s="5" cm="1">
        <f t="array" aca="1" ref="B2173" ca="1">interpolexp(A2173,serie_du,Taxas_DI)</f>
        <v>0.12872656407600935</v>
      </c>
      <c r="C2173" s="32">
        <f ca="1">((((1+B2173)^(A2173/252))/((1+B2172)^(A2172/252)))^(252/1))-1</f>
        <v>0.1212537957218851</v>
      </c>
      <c r="D2173" s="30">
        <v>0.12872656407600935</v>
      </c>
      <c r="E2173" s="31">
        <f ca="1">B2173-D2173</f>
        <v>0</v>
      </c>
    </row>
    <row r="2174" spans="1:5" x14ac:dyDescent="0.25">
      <c r="A2174" s="21">
        <v>2173</v>
      </c>
      <c r="B2174" s="5" cm="1">
        <f t="array" aca="1" ref="B2174" ca="1">interpolexp(A2174,serie_du,Taxas_DI)</f>
        <v>0.12872311371885381</v>
      </c>
      <c r="C2174" s="32">
        <f ca="1">((((1+B2174)^(A2174/252))/((1+B2173)^(A2173/252)))^(252/1))-1</f>
        <v>0.12125377323743303</v>
      </c>
      <c r="D2174" s="30">
        <v>0.12872311371885381</v>
      </c>
      <c r="E2174" s="31">
        <f ca="1">B2174-D2174</f>
        <v>0</v>
      </c>
    </row>
    <row r="2175" spans="1:5" x14ac:dyDescent="0.25">
      <c r="A2175" s="21">
        <v>2174</v>
      </c>
      <c r="B2175" s="5" cm="1">
        <f t="array" aca="1" ref="B2175" ca="1">interpolexp(A2175,serie_du,Taxas_DI)</f>
        <v>0.12871966653600353</v>
      </c>
      <c r="C2175" s="32">
        <f ca="1">((((1+B2175)^(A2175/252))/((1+B2174)^(A2174/252)))^(252/1))-1</f>
        <v>0.12125375071456923</v>
      </c>
      <c r="D2175" s="30">
        <v>0.12871966653600353</v>
      </c>
      <c r="E2175" s="31">
        <f ca="1">B2175-D2175</f>
        <v>0</v>
      </c>
    </row>
    <row r="2176" spans="1:5" x14ac:dyDescent="0.25">
      <c r="A2176" s="21">
        <v>2175</v>
      </c>
      <c r="B2176" s="5" cm="1">
        <f t="array" aca="1" ref="B2176" ca="1">interpolexp(A2176,serie_du,Taxas_DI)</f>
        <v>0.12871622252308423</v>
      </c>
      <c r="C2176" s="32">
        <f ca="1">((((1+B2176)^(A2176/252))/((1+B2175)^(A2175/252)))^(252/1))-1</f>
        <v>0.1212537282318269</v>
      </c>
      <c r="D2176" s="30">
        <v>0.12871622252308423</v>
      </c>
      <c r="E2176" s="31">
        <f ca="1">B2176-D2176</f>
        <v>0</v>
      </c>
    </row>
    <row r="2177" spans="1:5" x14ac:dyDescent="0.25">
      <c r="A2177" s="21">
        <v>2176</v>
      </c>
      <c r="B2177" s="5" cm="1">
        <f t="array" aca="1" ref="B2177" ca="1">interpolexp(A2177,serie_du,Taxas_DI)</f>
        <v>0.12871278167576605</v>
      </c>
      <c r="C2177" s="32">
        <f ca="1">((((1+B2177)^(A2177/252))/((1+B2176)^(A2176/252)))^(252/1))-1</f>
        <v>0.1212537058676959</v>
      </c>
      <c r="D2177" s="30">
        <v>0.12871278167576605</v>
      </c>
      <c r="E2177" s="31">
        <f ca="1">B2177-D2177</f>
        <v>0</v>
      </c>
    </row>
    <row r="2178" spans="1:5" x14ac:dyDescent="0.25">
      <c r="A2178" s="21">
        <v>2177</v>
      </c>
      <c r="B2178" s="5" cm="1">
        <f t="array" aca="1" ref="B2178" ca="1">interpolexp(A2178,serie_du,Taxas_DI)</f>
        <v>0.1287093439896303</v>
      </c>
      <c r="C2178" s="32">
        <f ca="1">((((1+B2178)^(A2178/252))/((1+B2177)^(A2177/252)))^(252/1))-1</f>
        <v>0.12125368341281395</v>
      </c>
      <c r="D2178" s="30">
        <v>0.1287093439896303</v>
      </c>
      <c r="E2178" s="31">
        <f ca="1">B2178-D2178</f>
        <v>0</v>
      </c>
    </row>
    <row r="2179" spans="1:5" x14ac:dyDescent="0.25">
      <c r="A2179" s="21">
        <v>2178</v>
      </c>
      <c r="B2179" s="5" cm="1">
        <f t="array" aca="1" ref="B2179" ca="1">interpolexp(A2179,serie_du,Taxas_DI)</f>
        <v>0.12870590946036931</v>
      </c>
      <c r="C2179" s="32">
        <f ca="1">((((1+B2179)^(A2179/252))/((1+B2178)^(A2178/252)))^(252/1))-1</f>
        <v>0.12125366108963576</v>
      </c>
      <c r="D2179" s="30">
        <v>0.12870590946036931</v>
      </c>
      <c r="E2179" s="31">
        <f ca="1">B2179-D2179</f>
        <v>0</v>
      </c>
    </row>
    <row r="2180" spans="1:5" x14ac:dyDescent="0.25">
      <c r="A2180" s="21">
        <v>2179</v>
      </c>
      <c r="B2180" s="5" cm="1">
        <f t="array" aca="1" ref="B2180" ca="1">interpolexp(A2180,serie_du,Taxas_DI)</f>
        <v>0.1287024780836088</v>
      </c>
      <c r="C2180" s="32">
        <f ca="1">((((1+B2180)^(A2180/252))/((1+B2179)^(A2179/252)))^(252/1))-1</f>
        <v>0.12125363873724337</v>
      </c>
      <c r="D2180" s="30">
        <v>0.1287024780836088</v>
      </c>
      <c r="E2180" s="31">
        <f ca="1">B2180-D2180</f>
        <v>0</v>
      </c>
    </row>
    <row r="2181" spans="1:5" x14ac:dyDescent="0.25">
      <c r="A2181" s="21">
        <v>2180</v>
      </c>
      <c r="B2181" s="5" cm="1">
        <f t="array" aca="1" ref="B2181" ca="1">interpolexp(A2181,serie_du,Taxas_DI)</f>
        <v>0.1286990498550189</v>
      </c>
      <c r="C2181" s="32">
        <f ca="1">((((1+B2181)^(A2181/252))/((1+B2180)^(A2180/252)))^(252/1))-1</f>
        <v>0.12125361643370725</v>
      </c>
      <c r="D2181" s="30">
        <v>0.1286990498550189</v>
      </c>
      <c r="E2181" s="31">
        <f ca="1">B2181-D2181</f>
        <v>0</v>
      </c>
    </row>
    <row r="2182" spans="1:5" x14ac:dyDescent="0.25">
      <c r="A2182" s="21">
        <v>2181</v>
      </c>
      <c r="B2182" s="5" cm="1">
        <f t="array" aca="1" ref="B2182" ca="1">interpolexp(A2182,serie_du,Taxas_DI)</f>
        <v>0.12869562477024754</v>
      </c>
      <c r="C2182" s="32">
        <f ca="1">((((1+B2182)^(A2182/252))/((1+B2181)^(A2181/252)))^(252/1))-1</f>
        <v>0.12125359411429826</v>
      </c>
      <c r="D2182" s="30">
        <v>0.12869562477024754</v>
      </c>
      <c r="E2182" s="31">
        <f ca="1">B2182-D2182</f>
        <v>0</v>
      </c>
    </row>
    <row r="2183" spans="1:5" x14ac:dyDescent="0.25">
      <c r="A2183" s="21">
        <v>2182</v>
      </c>
      <c r="B2183" s="5" cm="1">
        <f t="array" aca="1" ref="B2183" ca="1">interpolexp(A2183,serie_du,Taxas_DI)</f>
        <v>0.12869220282503147</v>
      </c>
      <c r="C2183" s="32">
        <f ca="1">((((1+B2183)^(A2183/252))/((1+B2182)^(A2182/252)))^(252/1))-1</f>
        <v>0.12125357195386832</v>
      </c>
      <c r="D2183" s="30">
        <v>0.12869220282503147</v>
      </c>
      <c r="E2183" s="31">
        <f ca="1">B2183-D2183</f>
        <v>0</v>
      </c>
    </row>
    <row r="2184" spans="1:5" x14ac:dyDescent="0.25">
      <c r="A2184" s="21">
        <v>2183</v>
      </c>
      <c r="B2184" s="5" cm="1">
        <f t="array" aca="1" ref="B2184" ca="1">interpolexp(A2184,serie_du,Taxas_DI)</f>
        <v>0.12868878401499639</v>
      </c>
      <c r="C2184" s="32">
        <f ca="1">((((1+B2184)^(A2184/252))/((1+B2183)^(A2183/252)))^(252/1))-1</f>
        <v>0.12125354969452062</v>
      </c>
      <c r="D2184" s="30">
        <v>0.12868878401499639</v>
      </c>
      <c r="E2184" s="31">
        <f ca="1">B2184-D2184</f>
        <v>0</v>
      </c>
    </row>
    <row r="2185" spans="1:5" x14ac:dyDescent="0.25">
      <c r="A2185" s="21">
        <v>2184</v>
      </c>
      <c r="B2185" s="5" cm="1">
        <f t="array" aca="1" ref="B2185" ca="1">interpolexp(A2185,serie_du,Taxas_DI)</f>
        <v>0.12868536833583466</v>
      </c>
      <c r="C2185" s="32">
        <f ca="1">((((1+B2185)^(A2185/252))/((1+B2184)^(A2184/252)))^(252/1))-1</f>
        <v>0.12125352746365947</v>
      </c>
      <c r="D2185" s="30">
        <v>0.12868536833583466</v>
      </c>
      <c r="E2185" s="31">
        <f ca="1">B2185-D2185</f>
        <v>0</v>
      </c>
    </row>
    <row r="2186" spans="1:5" x14ac:dyDescent="0.25">
      <c r="A2186" s="21">
        <v>2185</v>
      </c>
      <c r="B2186" s="5" cm="1">
        <f t="array" aca="1" ref="B2186" ca="1">interpolexp(A2186,serie_du,Taxas_DI)</f>
        <v>0.12868195578330521</v>
      </c>
      <c r="C2186" s="32">
        <f ca="1">((((1+B2186)^(A2186/252))/((1+B2185)^(A2185/252)))^(252/1))-1</f>
        <v>0.12125350538863988</v>
      </c>
      <c r="D2186" s="30">
        <v>0.12868195578330521</v>
      </c>
      <c r="E2186" s="31">
        <f ca="1">B2186-D2186</f>
        <v>0</v>
      </c>
    </row>
    <row r="2187" spans="1:5" x14ac:dyDescent="0.25">
      <c r="A2187" s="21">
        <v>2186</v>
      </c>
      <c r="B2187" s="5" cm="1">
        <f t="array" aca="1" ref="B2187" ca="1">interpolexp(A2187,serie_du,Taxas_DI)</f>
        <v>0.12867854635305598</v>
      </c>
      <c r="C2187" s="32">
        <f ca="1">((((1+B2187)^(A2187/252))/((1+B2186)^(A2186/252)))^(252/1))-1</f>
        <v>0.12125348321122154</v>
      </c>
      <c r="D2187" s="30">
        <v>0.12867854635305598</v>
      </c>
      <c r="E2187" s="31">
        <f ca="1">B2187-D2187</f>
        <v>0</v>
      </c>
    </row>
    <row r="2188" spans="1:5" x14ac:dyDescent="0.25">
      <c r="A2188" s="21">
        <v>2187</v>
      </c>
      <c r="B2188" s="5" cm="1">
        <f t="array" aca="1" ref="B2188" ca="1">interpolexp(A2188,serie_du,Taxas_DI)</f>
        <v>0.1286751400408459</v>
      </c>
      <c r="C2188" s="32">
        <f ca="1">((((1+B2188)^(A2188/252))/((1+B2187)^(A2187/252)))^(252/1))-1</f>
        <v>0.12125346115556135</v>
      </c>
      <c r="D2188" s="30">
        <v>0.1286751400408459</v>
      </c>
      <c r="E2188" s="31">
        <f ca="1">B2188-D2188</f>
        <v>0</v>
      </c>
    </row>
    <row r="2189" spans="1:5" x14ac:dyDescent="0.25">
      <c r="A2189" s="21">
        <v>2188</v>
      </c>
      <c r="B2189" s="5" cm="1">
        <f t="array" aca="1" ref="B2189" ca="1">interpolexp(A2189,serie_du,Taxas_DI)</f>
        <v>0.12867173684236732</v>
      </c>
      <c r="C2189" s="32">
        <f ca="1">((((1+B2189)^(A2189/252))/((1+B2188)^(A2188/252)))^(252/1))-1</f>
        <v>0.12125343905959896</v>
      </c>
      <c r="D2189" s="30">
        <v>0.12867173684236732</v>
      </c>
      <c r="E2189" s="31">
        <f ca="1">B2189-D2189</f>
        <v>0</v>
      </c>
    </row>
    <row r="2190" spans="1:5" x14ac:dyDescent="0.25">
      <c r="A2190" s="21">
        <v>2189</v>
      </c>
      <c r="B2190" s="5" cm="1">
        <f t="array" aca="1" ref="B2190" ca="1">interpolexp(A2190,serie_du,Taxas_DI)</f>
        <v>0.12866833675337919</v>
      </c>
      <c r="C2190" s="32">
        <f ca="1">((((1+B2190)^(A2190/252))/((1+B2189)^(A2189/252)))^(252/1))-1</f>
        <v>0.12125341705153048</v>
      </c>
      <c r="D2190" s="30">
        <v>0.12866833675337919</v>
      </c>
      <c r="E2190" s="31">
        <f ca="1">B2190-D2190</f>
        <v>0</v>
      </c>
    </row>
    <row r="2191" spans="1:5" x14ac:dyDescent="0.25">
      <c r="A2191" s="21">
        <v>2190</v>
      </c>
      <c r="B2191" s="5" cm="1">
        <f t="array" aca="1" ref="B2191" ca="1">interpolexp(A2191,serie_du,Taxas_DI)</f>
        <v>0.12866493976961824</v>
      </c>
      <c r="C2191" s="32">
        <f ca="1">((((1+B2191)^(A2191/252))/((1+B2190)^(A2190/252)))^(252/1))-1</f>
        <v>0.12125339506560717</v>
      </c>
      <c r="D2191" s="30">
        <v>0.12866493976961824</v>
      </c>
      <c r="E2191" s="31">
        <f ca="1">B2191-D2191</f>
        <v>0</v>
      </c>
    </row>
    <row r="2192" spans="1:5" x14ac:dyDescent="0.25">
      <c r="A2192" s="21">
        <v>2191</v>
      </c>
      <c r="B2192" s="5" cm="1">
        <f t="array" aca="1" ref="B2192" ca="1">interpolexp(A2192,serie_du,Taxas_DI)</f>
        <v>0.12866154588679901</v>
      </c>
      <c r="C2192" s="32">
        <f ca="1">((((1+B2192)^(A2192/252))/((1+B2191)^(A2191/252)))^(252/1))-1</f>
        <v>0.12125337303692585</v>
      </c>
      <c r="D2192" s="30">
        <v>0.12866154588679901</v>
      </c>
      <c r="E2192" s="31">
        <f ca="1">B2192-D2192</f>
        <v>0</v>
      </c>
    </row>
    <row r="2193" spans="1:5" x14ac:dyDescent="0.25">
      <c r="A2193" s="21">
        <v>2192</v>
      </c>
      <c r="B2193" s="5" cm="1">
        <f t="array" aca="1" ref="B2193" ca="1">interpolexp(A2193,serie_du,Taxas_DI)</f>
        <v>0.12865815510072487</v>
      </c>
      <c r="C2193" s="32">
        <f ca="1">((((1+B2193)^(A2193/252))/((1+B2192)^(A2192/252)))^(252/1))-1</f>
        <v>0.12125335114147173</v>
      </c>
      <c r="D2193" s="30">
        <v>0.12865815510072487</v>
      </c>
      <c r="E2193" s="31">
        <f ca="1">B2193-D2193</f>
        <v>0</v>
      </c>
    </row>
    <row r="2194" spans="1:5" x14ac:dyDescent="0.25">
      <c r="A2194" s="21">
        <v>2193</v>
      </c>
      <c r="B2194" s="5" cm="1">
        <f t="array" aca="1" ref="B2194" ca="1">interpolexp(A2194,serie_du,Taxas_DI)</f>
        <v>0.12865476740713255</v>
      </c>
      <c r="C2194" s="32">
        <f ca="1">((((1+B2194)^(A2194/252))/((1+B2193)^(A2193/252)))^(252/1))-1</f>
        <v>0.12125332921768806</v>
      </c>
      <c r="D2194" s="30">
        <v>0.12865476740713255</v>
      </c>
      <c r="E2194" s="31">
        <f ca="1">B2194-D2194</f>
        <v>0</v>
      </c>
    </row>
    <row r="2195" spans="1:5" x14ac:dyDescent="0.25">
      <c r="A2195" s="21">
        <v>2194</v>
      </c>
      <c r="B2195" s="5" cm="1">
        <f t="array" aca="1" ref="B2195" ca="1">interpolexp(A2195,serie_du,Taxas_DI)</f>
        <v>0.12865138280180322</v>
      </c>
      <c r="C2195" s="32">
        <f ca="1">((((1+B2195)^(A2195/252))/((1+B2194)^(A2194/252)))^(252/1))-1</f>
        <v>0.12125330734504614</v>
      </c>
      <c r="D2195" s="30">
        <v>0.12865138280180322</v>
      </c>
      <c r="E2195" s="31">
        <f ca="1">B2195-D2195</f>
        <v>0</v>
      </c>
    </row>
    <row r="2196" spans="1:5" x14ac:dyDescent="0.25">
      <c r="A2196" s="21">
        <v>2195</v>
      </c>
      <c r="B2196" s="5" cm="1">
        <f t="array" aca="1" ref="B2196" ca="1">interpolexp(A2196,serie_du,Taxas_DI)</f>
        <v>0.12864800128049581</v>
      </c>
      <c r="C2196" s="32">
        <f ca="1">((((1+B2196)^(A2196/252))/((1+B2195)^(A2195/252)))^(252/1))-1</f>
        <v>0.1212532854587367</v>
      </c>
      <c r="D2196" s="30">
        <v>0.12864800128049581</v>
      </c>
      <c r="E2196" s="31">
        <f ca="1">B2196-D2196</f>
        <v>0</v>
      </c>
    </row>
    <row r="2197" spans="1:5" x14ac:dyDescent="0.25">
      <c r="A2197" s="21">
        <v>2196</v>
      </c>
      <c r="B2197" s="5" cm="1">
        <f t="array" aca="1" ref="B2197" ca="1">interpolexp(A2197,serie_du,Taxas_DI)</f>
        <v>0.12864462283901368</v>
      </c>
      <c r="C2197" s="32">
        <f ca="1">((((1+B2197)^(A2197/252))/((1+B2196)^(A2196/252)))^(252/1))-1</f>
        <v>0.1212532636382706</v>
      </c>
      <c r="D2197" s="30">
        <v>0.12864462283901368</v>
      </c>
      <c r="E2197" s="31">
        <f ca="1">B2197-D2197</f>
        <v>0</v>
      </c>
    </row>
    <row r="2198" spans="1:5" x14ac:dyDescent="0.25">
      <c r="A2198" s="21">
        <v>2197</v>
      </c>
      <c r="B2198" s="5" cm="1">
        <f t="array" aca="1" ref="B2198" ca="1">interpolexp(A2198,serie_du,Taxas_DI)</f>
        <v>0.12864124747316019</v>
      </c>
      <c r="C2198" s="32">
        <f ca="1">((((1+B2198)^(A2198/252))/((1+B2197)^(A2197/252)))^(252/1))-1</f>
        <v>0.12125324186741571</v>
      </c>
      <c r="D2198" s="30">
        <v>0.12864124747316019</v>
      </c>
      <c r="E2198" s="31">
        <f ca="1">B2198-D2198</f>
        <v>0</v>
      </c>
    </row>
    <row r="2199" spans="1:5" x14ac:dyDescent="0.25">
      <c r="A2199" s="21">
        <v>2198</v>
      </c>
      <c r="B2199" s="5" cm="1">
        <f t="array" aca="1" ref="B2199" ca="1">interpolexp(A2199,serie_du,Taxas_DI)</f>
        <v>0.1286378751787387</v>
      </c>
      <c r="C2199" s="32">
        <f ca="1">((((1+B2199)^(A2199/252))/((1+B2198)^(A2198/252)))^(252/1))-1</f>
        <v>0.12125322012883277</v>
      </c>
      <c r="D2199" s="30">
        <v>0.1286378751787387</v>
      </c>
      <c r="E2199" s="31">
        <f ca="1">B2199-D2199</f>
        <v>0</v>
      </c>
    </row>
    <row r="2200" spans="1:5" x14ac:dyDescent="0.25">
      <c r="A2200" s="21">
        <v>2199</v>
      </c>
      <c r="B2200" s="5" cm="1">
        <f t="array" aca="1" ref="B2200" ca="1">interpolexp(A2200,serie_du,Taxas_DI)</f>
        <v>0.12863450595153036</v>
      </c>
      <c r="C2200" s="32">
        <f ca="1">((((1+B2200)^(A2200/252))/((1+B2199)^(A2199/252)))^(252/1))-1</f>
        <v>0.12125319835783888</v>
      </c>
      <c r="D2200" s="30">
        <v>0.12863450595153036</v>
      </c>
      <c r="E2200" s="31">
        <f ca="1">B2200-D2200</f>
        <v>0</v>
      </c>
    </row>
    <row r="2201" spans="1:5" x14ac:dyDescent="0.25">
      <c r="A2201" s="21">
        <v>2200</v>
      </c>
      <c r="B2201" s="5" cm="1">
        <f t="array" aca="1" ref="B2201" ca="1">interpolexp(A2201,serie_du,Taxas_DI)</f>
        <v>0.12863113978736074</v>
      </c>
      <c r="C2201" s="32">
        <f ca="1">((((1+B2201)^(A2201/252))/((1+B2200)^(A2200/252)))^(252/1))-1</f>
        <v>0.12125317663440049</v>
      </c>
      <c r="D2201" s="30">
        <v>0.12863113978736074</v>
      </c>
      <c r="E2201" s="31">
        <f ca="1">B2201-D2201</f>
        <v>0</v>
      </c>
    </row>
    <row r="2202" spans="1:5" x14ac:dyDescent="0.25">
      <c r="A2202" s="21">
        <v>2201</v>
      </c>
      <c r="B2202" s="5" cm="1">
        <f t="array" aca="1" ref="B2202" ca="1">interpolexp(A2202,serie_du,Taxas_DI)</f>
        <v>0.12862777668207759</v>
      </c>
      <c r="C2202" s="32">
        <f ca="1">((((1+B2202)^(A2202/252))/((1+B2201)^(A2201/252)))^(252/1))-1</f>
        <v>0.12125315499039324</v>
      </c>
      <c r="D2202" s="30">
        <v>0.12862777668207759</v>
      </c>
      <c r="E2202" s="31">
        <f ca="1">B2202-D2202</f>
        <v>0</v>
      </c>
    </row>
    <row r="2203" spans="1:5" x14ac:dyDescent="0.25">
      <c r="A2203" s="21">
        <v>2202</v>
      </c>
      <c r="B2203" s="5" cm="1">
        <f t="array" aca="1" ref="B2203" ca="1">interpolexp(A2203,serie_du,Taxas_DI)</f>
        <v>0.12862441663148427</v>
      </c>
      <c r="C2203" s="32">
        <f ca="1">((((1+B2203)^(A2203/252))/((1+B2202)^(A2202/252)))^(252/1))-1</f>
        <v>0.12125313331228393</v>
      </c>
      <c r="D2203" s="30">
        <v>0.12862441663148427</v>
      </c>
      <c r="E2203" s="31">
        <f ca="1">B2203-D2203</f>
        <v>0</v>
      </c>
    </row>
    <row r="2204" spans="1:5" x14ac:dyDescent="0.25">
      <c r="A2204" s="21">
        <v>2203</v>
      </c>
      <c r="B2204" s="5" cm="1">
        <f t="array" aca="1" ref="B2204" ca="1">interpolexp(A2204,serie_du,Taxas_DI)</f>
        <v>0.12862105963145076</v>
      </c>
      <c r="C2204" s="32">
        <f ca="1">((((1+B2204)^(A2204/252))/((1+B2203)^(A2203/252)))^(252/1))-1</f>
        <v>0.12125311172904762</v>
      </c>
      <c r="D2204" s="30">
        <v>0.12862105963145076</v>
      </c>
      <c r="E2204" s="31">
        <f ca="1">B2204-D2204</f>
        <v>0</v>
      </c>
    </row>
    <row r="2205" spans="1:5" x14ac:dyDescent="0.25">
      <c r="A2205" s="21">
        <v>2204</v>
      </c>
      <c r="B2205" s="5" cm="1">
        <f t="array" aca="1" ref="B2205" ca="1">interpolexp(A2205,serie_du,Taxas_DI)</f>
        <v>0.12861770567780262</v>
      </c>
      <c r="C2205" s="32">
        <f ca="1">((((1+B2205)^(A2205/252))/((1+B2204)^(A2204/252)))^(252/1))-1</f>
        <v>0.12125309012694085</v>
      </c>
      <c r="D2205" s="30">
        <v>0.12861770567780262</v>
      </c>
      <c r="E2205" s="31">
        <f ca="1">B2205-D2205</f>
        <v>0</v>
      </c>
    </row>
    <row r="2206" spans="1:5" x14ac:dyDescent="0.25">
      <c r="A2206" s="21">
        <v>2205</v>
      </c>
      <c r="B2206" s="5" cm="1">
        <f t="array" aca="1" ref="B2206" ca="1">interpolexp(A2206,serie_du,Taxas_DI)</f>
        <v>0.12861435476640981</v>
      </c>
      <c r="C2206" s="32">
        <f ca="1">((((1+B2206)^(A2206/252))/((1+B2205)^(A2205/252)))^(252/1))-1</f>
        <v>0.12125306858661244</v>
      </c>
      <c r="D2206" s="30">
        <v>0.12861435476640981</v>
      </c>
      <c r="E2206" s="31">
        <f ca="1">B2206-D2206</f>
        <v>0</v>
      </c>
    </row>
    <row r="2207" spans="1:5" x14ac:dyDescent="0.25">
      <c r="A2207" s="21">
        <v>2206</v>
      </c>
      <c r="B2207" s="5" cm="1">
        <f t="array" aca="1" ref="B2207" ca="1">interpolexp(A2207,serie_du,Taxas_DI)</f>
        <v>0.12861100689312011</v>
      </c>
      <c r="C2207" s="32">
        <f ca="1">((((1+B2207)^(A2207/252))/((1+B2206)^(A2206/252)))^(252/1))-1</f>
        <v>0.1212530470431501</v>
      </c>
      <c r="D2207" s="30">
        <v>0.12861100689312011</v>
      </c>
      <c r="E2207" s="31">
        <f ca="1">B2207-D2207</f>
        <v>0</v>
      </c>
    </row>
    <row r="2208" spans="1:5" x14ac:dyDescent="0.25">
      <c r="A2208" s="21">
        <v>2207</v>
      </c>
      <c r="B2208" s="5" cm="1">
        <f t="array" aca="1" ref="B2208" ca="1">interpolexp(A2208,serie_du,Taxas_DI)</f>
        <v>0.12860766205380347</v>
      </c>
      <c r="C2208" s="32">
        <f ca="1">((((1+B2208)^(A2208/252))/((1+B2207)^(A2207/252)))^(252/1))-1</f>
        <v>0.121253025528264</v>
      </c>
      <c r="D2208" s="30">
        <v>0.12860766205380347</v>
      </c>
      <c r="E2208" s="31">
        <f ca="1">B2208-D2208</f>
        <v>0</v>
      </c>
    </row>
    <row r="2209" spans="1:5" x14ac:dyDescent="0.25">
      <c r="A2209" s="21">
        <v>2208</v>
      </c>
      <c r="B2209" s="5" cm="1">
        <f t="array" aca="1" ref="B2209" ca="1">interpolexp(A2209,serie_du,Taxas_DI)</f>
        <v>0.12860432024435209</v>
      </c>
      <c r="C2209" s="32">
        <f ca="1">((((1+B2209)^(A2209/252))/((1+B2208)^(A2208/252)))^(252/1))-1</f>
        <v>0.12125300407456319</v>
      </c>
      <c r="D2209" s="30">
        <v>0.12860432024435209</v>
      </c>
      <c r="E2209" s="31">
        <f ca="1">B2209-D2209</f>
        <v>0</v>
      </c>
    </row>
    <row r="2210" spans="1:5" x14ac:dyDescent="0.25">
      <c r="A2210" s="21">
        <v>2209</v>
      </c>
      <c r="B2210" s="5" cm="1">
        <f t="array" aca="1" ref="B2210" ca="1">interpolexp(A2210,serie_du,Taxas_DI)</f>
        <v>0.12860098146063592</v>
      </c>
      <c r="C2210" s="32">
        <f ca="1">((((1+B2210)^(A2210/252))/((1+B2209)^(A2209/252)))^(252/1))-1</f>
        <v>0.12125298261675854</v>
      </c>
      <c r="D2210" s="30">
        <v>0.12860098146063592</v>
      </c>
      <c r="E2210" s="31">
        <f ca="1">B2210-D2210</f>
        <v>0</v>
      </c>
    </row>
    <row r="2211" spans="1:5" x14ac:dyDescent="0.25">
      <c r="A2211" s="21">
        <v>2210</v>
      </c>
      <c r="B2211" s="5" cm="1">
        <f t="array" aca="1" ref="B2211" ca="1">interpolexp(A2211,serie_du,Taxas_DI)</f>
        <v>0.12859764569854715</v>
      </c>
      <c r="C2211" s="32">
        <f ca="1">((((1+B2211)^(A2211/252))/((1+B2210)^(A2210/252)))^(252/1))-1</f>
        <v>0.12125296118721129</v>
      </c>
      <c r="D2211" s="30">
        <v>0.12859764569854715</v>
      </c>
      <c r="E2211" s="31">
        <f ca="1">B2211-D2211</f>
        <v>0</v>
      </c>
    </row>
    <row r="2212" spans="1:5" x14ac:dyDescent="0.25">
      <c r="A2212" s="21">
        <v>2211</v>
      </c>
      <c r="B2212" s="5" cm="1">
        <f t="array" aca="1" ref="B2212" ca="1">interpolexp(A2212,serie_du,Taxas_DI)</f>
        <v>0.12859431295402235</v>
      </c>
      <c r="C2212" s="32">
        <f ca="1">((((1+B2212)^(A2212/252))/((1+B2211)^(A2211/252)))^(252/1))-1</f>
        <v>0.12125293986693797</v>
      </c>
      <c r="D2212" s="30">
        <v>0.12859431295402235</v>
      </c>
      <c r="E2212" s="31">
        <f ca="1">B2212-D2212</f>
        <v>0</v>
      </c>
    </row>
    <row r="2213" spans="1:5" x14ac:dyDescent="0.25">
      <c r="A2213" s="21">
        <v>2212</v>
      </c>
      <c r="B2213" s="5" cm="1">
        <f t="array" aca="1" ref="B2213" ca="1">interpolexp(A2213,serie_du,Taxas_DI)</f>
        <v>0.12859098322290929</v>
      </c>
      <c r="C2213" s="32">
        <f ca="1">((((1+B2213)^(A2213/252))/((1+B2212)^(A2212/252)))^(252/1))-1</f>
        <v>0.12125291844493868</v>
      </c>
      <c r="D2213" s="30">
        <v>0.12859098322290929</v>
      </c>
      <c r="E2213" s="31">
        <f ca="1">B2213-D2213</f>
        <v>0</v>
      </c>
    </row>
    <row r="2214" spans="1:5" x14ac:dyDescent="0.25">
      <c r="A2214" s="21">
        <v>2213</v>
      </c>
      <c r="B2214" s="5" cm="1">
        <f t="array" aca="1" ref="B2214" ca="1">interpolexp(A2214,serie_du,Taxas_DI)</f>
        <v>0.12858765650116677</v>
      </c>
      <c r="C2214" s="32">
        <f ca="1">((((1+B2214)^(A2214/252))/((1+B2213)^(A2213/252)))^(252/1))-1</f>
        <v>0.12125289714826382</v>
      </c>
      <c r="D2214" s="30">
        <v>0.12858765650116677</v>
      </c>
      <c r="E2214" s="31">
        <f ca="1">B2214-D2214</f>
        <v>0</v>
      </c>
    </row>
    <row r="2215" spans="1:5" x14ac:dyDescent="0.25">
      <c r="A2215" s="21">
        <v>2214</v>
      </c>
      <c r="B2215" s="5" cm="1">
        <f t="array" aca="1" ref="B2215" ca="1">interpolexp(A2215,serie_du,Taxas_DI)</f>
        <v>0.12858433278470915</v>
      </c>
      <c r="C2215" s="32">
        <f ca="1">((((1+B2215)^(A2215/252))/((1+B2214)^(A2214/252)))^(252/1))-1</f>
        <v>0.12125287586352851</v>
      </c>
      <c r="D2215" s="30">
        <v>0.12858433278470915</v>
      </c>
      <c r="E2215" s="31">
        <f ca="1">B2215-D2215</f>
        <v>0</v>
      </c>
    </row>
    <row r="2216" spans="1:5" x14ac:dyDescent="0.25">
      <c r="A2216" s="21">
        <v>2215</v>
      </c>
      <c r="B2216" s="5" cm="1">
        <f t="array" aca="1" ref="B2216" ca="1">interpolexp(A2216,serie_du,Taxas_DI)</f>
        <v>0.12858101206945083</v>
      </c>
      <c r="C2216" s="32">
        <f ca="1">((((1+B2216)^(A2216/252))/((1+B2215)^(A2215/252)))^(252/1))-1</f>
        <v>0.12125285457412738</v>
      </c>
      <c r="D2216" s="30">
        <v>0.12858101206945083</v>
      </c>
      <c r="E2216" s="31">
        <f ca="1">B2216-D2216</f>
        <v>0</v>
      </c>
    </row>
    <row r="2217" spans="1:5" x14ac:dyDescent="0.25">
      <c r="A2217" s="21">
        <v>2216</v>
      </c>
      <c r="B2217" s="5" cm="1">
        <f t="array" aca="1" ref="B2217" ca="1">interpolexp(A2217,serie_du,Taxas_DI)</f>
        <v>0.12857769435135058</v>
      </c>
      <c r="C2217" s="32">
        <f ca="1">((((1+B2217)^(A2217/252))/((1+B2216)^(A2216/252)))^(252/1))-1</f>
        <v>0.1212528333617573</v>
      </c>
      <c r="D2217" s="30">
        <v>0.12857769435135058</v>
      </c>
      <c r="E2217" s="31">
        <f ca="1">B2217-D2217</f>
        <v>0</v>
      </c>
    </row>
    <row r="2218" spans="1:5" x14ac:dyDescent="0.25">
      <c r="A2218" s="21">
        <v>2217</v>
      </c>
      <c r="B2218" s="5" cm="1">
        <f t="array" aca="1" ref="B2218" ca="1">interpolexp(A2218,serie_du,Taxas_DI)</f>
        <v>0.12857437962632279</v>
      </c>
      <c r="C2218" s="32">
        <f ca="1">((((1+B2218)^(A2218/252))/((1+B2217)^(A2217/252)))^(252/1))-1</f>
        <v>0.12125281211236616</v>
      </c>
      <c r="D2218" s="30">
        <v>0.12857437962632279</v>
      </c>
      <c r="E2218" s="31">
        <f ca="1">B2218-D2218</f>
        <v>0</v>
      </c>
    </row>
    <row r="2219" spans="1:5" x14ac:dyDescent="0.25">
      <c r="A2219" s="21">
        <v>2218</v>
      </c>
      <c r="B2219" s="5" cm="1">
        <f t="array" aca="1" ref="B2219" ca="1">interpolexp(A2219,serie_du,Taxas_DI)</f>
        <v>0.12857106789034844</v>
      </c>
      <c r="C2219" s="32">
        <f ca="1">((((1+B2219)^(A2219/252))/((1+B2218)^(A2218/252)))^(252/1))-1</f>
        <v>0.12125279095650199</v>
      </c>
      <c r="D2219" s="30">
        <v>0.12857106789034844</v>
      </c>
      <c r="E2219" s="31">
        <f ca="1">B2219-D2219</f>
        <v>0</v>
      </c>
    </row>
    <row r="2220" spans="1:5" x14ac:dyDescent="0.25">
      <c r="A2220" s="21">
        <v>2219</v>
      </c>
      <c r="B2220" s="5" cm="1">
        <f t="array" aca="1" ref="B2220" ca="1">interpolexp(A2220,serie_du,Taxas_DI)</f>
        <v>0.12856775913936414</v>
      </c>
      <c r="C2220" s="32">
        <f ca="1">((((1+B2220)^(A2220/252))/((1+B2219)^(A2219/252)))^(252/1))-1</f>
        <v>0.12125276978034472</v>
      </c>
      <c r="D2220" s="30">
        <v>0.12856775913936414</v>
      </c>
      <c r="E2220" s="31">
        <f ca="1">B2220-D2220</f>
        <v>0</v>
      </c>
    </row>
    <row r="2221" spans="1:5" x14ac:dyDescent="0.25">
      <c r="A2221" s="21">
        <v>2220</v>
      </c>
      <c r="B2221" s="5" cm="1">
        <f t="array" aca="1" ref="B2221" ca="1">interpolexp(A2221,serie_du,Taxas_DI)</f>
        <v>0.12856445336935085</v>
      </c>
      <c r="C2221" s="32">
        <f ca="1">((((1+B2221)^(A2221/252))/((1+B2220)^(A2220/252)))^(252/1))-1</f>
        <v>0.12125274866550328</v>
      </c>
      <c r="D2221" s="30">
        <v>0.12856445336935085</v>
      </c>
      <c r="E2221" s="31">
        <f ca="1">B2221-D2221</f>
        <v>0</v>
      </c>
    </row>
    <row r="2222" spans="1:5" x14ac:dyDescent="0.25">
      <c r="A2222" s="21">
        <v>2221</v>
      </c>
      <c r="B2222" s="5" cm="1">
        <f t="array" aca="1" ref="B2222" ca="1">interpolexp(A2222,serie_du,Taxas_DI)</f>
        <v>0.12856115057626738</v>
      </c>
      <c r="C2222" s="32">
        <f ca="1">((((1+B2222)^(A2222/252))/((1+B2221)^(A2221/252)))^(252/1))-1</f>
        <v>0.12125272754687599</v>
      </c>
      <c r="D2222" s="30">
        <v>0.12856115057626738</v>
      </c>
      <c r="E2222" s="31">
        <f ca="1">B2222-D2222</f>
        <v>0</v>
      </c>
    </row>
    <row r="2223" spans="1:5" x14ac:dyDescent="0.25">
      <c r="A2223" s="21">
        <v>2222</v>
      </c>
      <c r="B2223" s="5" cm="1">
        <f t="array" aca="1" ref="B2223" ca="1">interpolexp(A2223,serie_du,Taxas_DI)</f>
        <v>0.12855785075611692</v>
      </c>
      <c r="C2223" s="32">
        <f ca="1">((((1+B2223)^(A2223/252))/((1+B2222)^(A2222/252)))^(252/1))-1</f>
        <v>0.12125270650666953</v>
      </c>
      <c r="D2223" s="30">
        <v>0.12855785075611692</v>
      </c>
      <c r="E2223" s="31">
        <f ca="1">B2223-D2223</f>
        <v>0</v>
      </c>
    </row>
    <row r="2224" spans="1:5" x14ac:dyDescent="0.25">
      <c r="A2224" s="21">
        <v>2223</v>
      </c>
      <c r="B2224" s="5" cm="1">
        <f t="array" aca="1" ref="B2224" ca="1">interpolexp(A2224,serie_du,Taxas_DI)</f>
        <v>0.12855455390488046</v>
      </c>
      <c r="C2224" s="32">
        <f ca="1">((((1+B2224)^(A2224/252))/((1+B2223)^(A2223/252)))^(252/1))-1</f>
        <v>0.1212526854795053</v>
      </c>
      <c r="D2224" s="30">
        <v>0.12855455390488046</v>
      </c>
      <c r="E2224" s="31">
        <f ca="1">B2224-D2224</f>
        <v>0</v>
      </c>
    </row>
    <row r="2225" spans="1:5" x14ac:dyDescent="0.25">
      <c r="A2225" s="21">
        <v>2224</v>
      </c>
      <c r="B2225" s="5" cm="1">
        <f t="array" aca="1" ref="B2225" ca="1">interpolexp(A2225,serie_du,Taxas_DI)</f>
        <v>0.128551260018539</v>
      </c>
      <c r="C2225" s="32">
        <f ca="1">((((1+B2225)^(A2225/252))/((1+B2224)^(A2224/252)))^(252/1))-1</f>
        <v>0.12125266445001626</v>
      </c>
      <c r="D2225" s="30">
        <v>0.128551260018539</v>
      </c>
      <c r="E2225" s="31">
        <f ca="1">B2225-D2225</f>
        <v>0</v>
      </c>
    </row>
    <row r="2226" spans="1:5" x14ac:dyDescent="0.25">
      <c r="A2226" s="21">
        <v>2225</v>
      </c>
      <c r="B2226" s="5" cm="1">
        <f t="array" aca="1" ref="B2226" ca="1">interpolexp(A2226,serie_du,Taxas_DI)</f>
        <v>0.12854796909309574</v>
      </c>
      <c r="C2226" s="32">
        <f ca="1">((((1+B2226)^(A2226/252))/((1+B2225)^(A2225/252)))^(252/1))-1</f>
        <v>0.1212526434503991</v>
      </c>
      <c r="D2226" s="30">
        <v>0.12854796909309574</v>
      </c>
      <c r="E2226" s="31">
        <f ca="1">B2226-D2226</f>
        <v>0</v>
      </c>
    </row>
    <row r="2227" spans="1:5" x14ac:dyDescent="0.25">
      <c r="A2227" s="21">
        <v>2226</v>
      </c>
      <c r="B2227" s="5" cm="1">
        <f t="array" aca="1" ref="B2227" ca="1">interpolexp(A2227,serie_du,Taxas_DI)</f>
        <v>0.12854468112457607</v>
      </c>
      <c r="C2227" s="32">
        <f ca="1">((((1+B2227)^(A2227/252))/((1+B2226)^(A2226/252)))^(252/1))-1</f>
        <v>0.1212526225146191</v>
      </c>
      <c r="D2227" s="30">
        <v>0.12854468112457607</v>
      </c>
      <c r="E2227" s="31">
        <f ca="1">B2227-D2227</f>
        <v>0</v>
      </c>
    </row>
    <row r="2228" spans="1:5" x14ac:dyDescent="0.25">
      <c r="A2228" s="21">
        <v>2227</v>
      </c>
      <c r="B2228" s="5" cm="1">
        <f t="array" aca="1" ref="B2228" ca="1">interpolexp(A2228,serie_du,Taxas_DI)</f>
        <v>0.12854139610898319</v>
      </c>
      <c r="C2228" s="32">
        <f ca="1">((((1+B2228)^(A2228/252))/((1+B2227)^(A2227/252)))^(252/1))-1</f>
        <v>0.12125260157708961</v>
      </c>
      <c r="D2228" s="30">
        <v>0.12854139610898319</v>
      </c>
      <c r="E2228" s="31">
        <f ca="1">B2228-D2228</f>
        <v>0</v>
      </c>
    </row>
    <row r="2229" spans="1:5" x14ac:dyDescent="0.25">
      <c r="A2229" s="21">
        <v>2228</v>
      </c>
      <c r="B2229" s="5" cm="1">
        <f t="array" aca="1" ref="B2229" ca="1">interpolexp(A2229,serie_du,Taxas_DI)</f>
        <v>0.1285381140423425</v>
      </c>
      <c r="C2229" s="32">
        <f ca="1">((((1+B2229)^(A2229/252))/((1+B2228)^(A2228/252)))^(252/1))-1</f>
        <v>0.12125258067144884</v>
      </c>
      <c r="D2229" s="30">
        <v>0.1285381140423425</v>
      </c>
      <c r="E2229" s="31">
        <f ca="1">B2229-D2229</f>
        <v>0</v>
      </c>
    </row>
    <row r="2230" spans="1:5" x14ac:dyDescent="0.25">
      <c r="A2230" s="21">
        <v>2229</v>
      </c>
      <c r="B2230" s="5" cm="1">
        <f t="array" aca="1" ref="B2230" ca="1">interpolexp(A2230,serie_du,Taxas_DI)</f>
        <v>0.12853483492067941</v>
      </c>
      <c r="C2230" s="32">
        <f ca="1">((((1+B2230)^(A2230/252))/((1+B2229)^(A2229/252)))^(252/1))-1</f>
        <v>0.12125255978162763</v>
      </c>
      <c r="D2230" s="30">
        <v>0.12853483492067941</v>
      </c>
      <c r="E2230" s="31">
        <f ca="1">B2230-D2230</f>
        <v>0</v>
      </c>
    </row>
    <row r="2231" spans="1:5" x14ac:dyDescent="0.25">
      <c r="A2231" s="21">
        <v>2230</v>
      </c>
      <c r="B2231" s="5" cm="1">
        <f t="array" aca="1" ref="B2231" ca="1">interpolexp(A2231,serie_du,Taxas_DI)</f>
        <v>0.12853155874006372</v>
      </c>
      <c r="C2231" s="32">
        <f ca="1">((((1+B2231)^(A2231/252))/((1+B2230)^(A2230/252)))^(252/1))-1</f>
        <v>0.12125253899027122</v>
      </c>
      <c r="D2231" s="30">
        <v>0.12853155874006372</v>
      </c>
      <c r="E2231" s="31">
        <f ca="1">B2231-D2231</f>
        <v>0</v>
      </c>
    </row>
    <row r="2232" spans="1:5" x14ac:dyDescent="0.25">
      <c r="A2232" s="21">
        <v>2231</v>
      </c>
      <c r="B2232" s="5" cm="1">
        <f t="array" aca="1" ref="B2232" ca="1">interpolexp(A2232,serie_du,Taxas_DI)</f>
        <v>0.12852828549649864</v>
      </c>
      <c r="C2232" s="32">
        <f ca="1">((((1+B2232)^(A2232/252))/((1+B2231)^(A2231/252)))^(252/1))-1</f>
        <v>0.12125251813401716</v>
      </c>
      <c r="D2232" s="30">
        <v>0.12852828549649864</v>
      </c>
      <c r="E2232" s="31">
        <f ca="1">B2232-D2232</f>
        <v>0</v>
      </c>
    </row>
    <row r="2233" spans="1:5" x14ac:dyDescent="0.25">
      <c r="A2233" s="21">
        <v>2232</v>
      </c>
      <c r="B2233" s="5" cm="1">
        <f t="array" aca="1" ref="B2233" ca="1">interpolexp(A2233,serie_du,Taxas_DI)</f>
        <v>0.12852501518605397</v>
      </c>
      <c r="C2233" s="32">
        <f ca="1">((((1+B2233)^(A2233/252))/((1+B2232)^(A2232/252)))^(252/1))-1</f>
        <v>0.12125249734478416</v>
      </c>
      <c r="D2233" s="30">
        <v>0.12852501518605397</v>
      </c>
      <c r="E2233" s="31">
        <f ca="1">B2233-D2233</f>
        <v>0</v>
      </c>
    </row>
    <row r="2234" spans="1:5" x14ac:dyDescent="0.25">
      <c r="A2234" s="21">
        <v>2233</v>
      </c>
      <c r="B2234" s="5" cm="1">
        <f t="array" aca="1" ref="B2234" ca="1">interpolexp(A2234,serie_du,Taxas_DI)</f>
        <v>0.12852174780479952</v>
      </c>
      <c r="C2234" s="32">
        <f ca="1">((((1+B2234)^(A2234/252))/((1+B2233)^(A2233/252)))^(252/1))-1</f>
        <v>0.12125247660646954</v>
      </c>
      <c r="D2234" s="30">
        <v>0.12852174780479952</v>
      </c>
      <c r="E2234" s="31">
        <f ca="1">B2234-D2234</f>
        <v>0</v>
      </c>
    </row>
    <row r="2235" spans="1:5" x14ac:dyDescent="0.25">
      <c r="A2235" s="21">
        <v>2234</v>
      </c>
      <c r="B2235" s="5" cm="1">
        <f t="array" aca="1" ref="B2235" ca="1">interpolexp(A2235,serie_du,Taxas_DI)</f>
        <v>0.12851848334878291</v>
      </c>
      <c r="C2235" s="32">
        <f ca="1">((((1+B2235)^(A2235/252))/((1+B2234)^(A2234/252)))^(252/1))-1</f>
        <v>0.12125245585474009</v>
      </c>
      <c r="D2235" s="30">
        <v>0.12851848334878291</v>
      </c>
      <c r="E2235" s="31">
        <f ca="1">B2235-D2235</f>
        <v>0</v>
      </c>
    </row>
    <row r="2236" spans="1:5" x14ac:dyDescent="0.25">
      <c r="A2236" s="21">
        <v>2235</v>
      </c>
      <c r="B2236" s="5" cm="1">
        <f t="array" aca="1" ref="B2236" ca="1">interpolexp(A2236,serie_du,Taxas_DI)</f>
        <v>0.12851522181409614</v>
      </c>
      <c r="C2236" s="32">
        <f ca="1">((((1+B2236)^(A2236/252))/((1+B2235)^(A2235/252)))^(252/1))-1</f>
        <v>0.12125243517194129</v>
      </c>
      <c r="D2236" s="30">
        <v>0.12851522181409614</v>
      </c>
      <c r="E2236" s="31">
        <f ca="1">B2236-D2236</f>
        <v>0</v>
      </c>
    </row>
    <row r="2237" spans="1:5" x14ac:dyDescent="0.25">
      <c r="A2237" s="21">
        <v>2236</v>
      </c>
      <c r="B2237" s="5" cm="1">
        <f t="array" aca="1" ref="B2237" ca="1">interpolexp(A2237,serie_du,Taxas_DI)</f>
        <v>0.12851196319678682</v>
      </c>
      <c r="C2237" s="32">
        <f ca="1">((((1+B2237)^(A2237/252))/((1+B2236)^(A2236/252)))^(252/1))-1</f>
        <v>0.12125241444412294</v>
      </c>
      <c r="D2237" s="30">
        <v>0.12851196319678682</v>
      </c>
      <c r="E2237" s="31">
        <f ca="1">B2237-D2237</f>
        <v>0</v>
      </c>
    </row>
    <row r="2238" spans="1:5" x14ac:dyDescent="0.25">
      <c r="A2238" s="21">
        <v>2237</v>
      </c>
      <c r="B2238" s="5" cm="1">
        <f t="array" aca="1" ref="B2238" ca="1">interpolexp(A2238,serie_du,Taxas_DI)</f>
        <v>0.12850870749299137</v>
      </c>
      <c r="C2238" s="32">
        <f ca="1">((((1+B2238)^(A2238/252))/((1+B2237)^(A2237/252)))^(252/1))-1</f>
        <v>0.12125239385285291</v>
      </c>
      <c r="D2238" s="30">
        <v>0.12850870749299137</v>
      </c>
      <c r="E2238" s="31">
        <f ca="1">B2238-D2238</f>
        <v>0</v>
      </c>
    </row>
    <row r="2239" spans="1:5" x14ac:dyDescent="0.25">
      <c r="A2239" s="21">
        <v>2238</v>
      </c>
      <c r="B2239" s="5" cm="1">
        <f t="array" aca="1" ref="B2239" ca="1">interpolexp(A2239,serie_du,Taxas_DI)</f>
        <v>0.1285054546987574</v>
      </c>
      <c r="C2239" s="32">
        <f ca="1">((((1+B2239)^(A2239/252))/((1+B2238)^(A2238/252)))^(252/1))-1</f>
        <v>0.12125237318511739</v>
      </c>
      <c r="D2239" s="30">
        <v>0.1285054546987574</v>
      </c>
      <c r="E2239" s="31">
        <f ca="1">B2239-D2239</f>
        <v>0</v>
      </c>
    </row>
    <row r="2240" spans="1:5" x14ac:dyDescent="0.25">
      <c r="A2240" s="21">
        <v>2239</v>
      </c>
      <c r="B2240" s="5" cm="1">
        <f t="array" aca="1" ref="B2240" ca="1">interpolexp(A2240,serie_du,Taxas_DI)</f>
        <v>0.12850220481022134</v>
      </c>
      <c r="C2240" s="32">
        <f ca="1">((((1+B2240)^(A2240/252))/((1+B2239)^(A2239/252)))^(252/1))-1</f>
        <v>0.12125235262296497</v>
      </c>
      <c r="D2240" s="30">
        <v>0.12850220481022134</v>
      </c>
      <c r="E2240" s="31">
        <f ca="1">B2240-D2240</f>
        <v>0</v>
      </c>
    </row>
    <row r="2241" spans="1:5" x14ac:dyDescent="0.25">
      <c r="A2241" s="21">
        <v>2240</v>
      </c>
      <c r="B2241" s="5" cm="1">
        <f t="array" aca="1" ref="B2241" ca="1">interpolexp(A2241,serie_du,Taxas_DI)</f>
        <v>0.1284989578234752</v>
      </c>
      <c r="C2241" s="32">
        <f ca="1">((((1+B2241)^(A2241/252))/((1+B2240)^(A2240/252)))^(252/1))-1</f>
        <v>0.12125233205203823</v>
      </c>
      <c r="D2241" s="30">
        <v>0.1284989578234752</v>
      </c>
      <c r="E2241" s="31">
        <f ca="1">B2241-D2241</f>
        <v>0</v>
      </c>
    </row>
    <row r="2242" spans="1:5" x14ac:dyDescent="0.25">
      <c r="A2242" s="21">
        <v>2241</v>
      </c>
      <c r="B2242" s="5" cm="1">
        <f t="array" aca="1" ref="B2242" ca="1">interpolexp(A2242,serie_du,Taxas_DI)</f>
        <v>0.1284957137346332</v>
      </c>
      <c r="C2242" s="32">
        <f ca="1">((((1+B2242)^(A2242/252))/((1+B2241)^(A2241/252)))^(252/1))-1</f>
        <v>0.12125231150599824</v>
      </c>
      <c r="D2242" s="30">
        <v>0.1284957137346332</v>
      </c>
      <c r="E2242" s="31">
        <f ca="1">B2242-D2242</f>
        <v>0</v>
      </c>
    </row>
    <row r="2243" spans="1:5" x14ac:dyDescent="0.25">
      <c r="A2243" s="21">
        <v>2242</v>
      </c>
      <c r="B2243" s="5" cm="1">
        <f t="array" aca="1" ref="B2243" ca="1">interpolexp(A2243,serie_du,Taxas_DI)</f>
        <v>0.12849247253980955</v>
      </c>
      <c r="C2243" s="32">
        <f ca="1">((((1+B2243)^(A2243/252))/((1+B2242)^(A2242/252)))^(252/1))-1</f>
        <v>0.12125229096982748</v>
      </c>
      <c r="D2243" s="30">
        <v>0.12849247253980955</v>
      </c>
      <c r="E2243" s="31">
        <f ca="1">B2243-D2243</f>
        <v>0</v>
      </c>
    </row>
    <row r="2244" spans="1:5" x14ac:dyDescent="0.25">
      <c r="A2244" s="21">
        <v>2243</v>
      </c>
      <c r="B2244" s="5" cm="1">
        <f t="array" aca="1" ref="B2244" ca="1">interpolexp(A2244,serie_du,Taxas_DI)</f>
        <v>0.1284892342351629</v>
      </c>
      <c r="C2244" s="32">
        <f ca="1">((((1+B2244)^(A2244/252))/((1+B2243)^(A2243/252)))^(252/1))-1</f>
        <v>0.1212522705265362</v>
      </c>
      <c r="D2244" s="30">
        <v>0.1284892342351629</v>
      </c>
      <c r="E2244" s="31">
        <f ca="1">B2244-D2244</f>
        <v>0</v>
      </c>
    </row>
    <row r="2245" spans="1:5" x14ac:dyDescent="0.25">
      <c r="A2245" s="21">
        <v>2244</v>
      </c>
      <c r="B2245" s="5" cm="1">
        <f t="array" aca="1" ref="B2245" ca="1">interpolexp(A2245,serie_du,Taxas_DI)</f>
        <v>0.12848599881678524</v>
      </c>
      <c r="C2245" s="32">
        <f ca="1">((((1+B2245)^(A2245/252))/((1+B2244)^(A2244/252)))^(252/1))-1</f>
        <v>0.12125225001245687</v>
      </c>
      <c r="D2245" s="30">
        <v>0.12848599881678524</v>
      </c>
      <c r="E2245" s="31">
        <f ca="1">B2245-D2245</f>
        <v>0</v>
      </c>
    </row>
    <row r="2246" spans="1:5" x14ac:dyDescent="0.25">
      <c r="A2246" s="21">
        <v>2245</v>
      </c>
      <c r="B2246" s="5" cm="1">
        <f t="array" aca="1" ref="B2246" ca="1">interpolexp(A2246,serie_du,Taxas_DI)</f>
        <v>0.12848276628085742</v>
      </c>
      <c r="C2246" s="32">
        <f ca="1">((((1+B2246)^(A2246/252))/((1+B2245)^(A2245/252)))^(252/1))-1</f>
        <v>0.12125222961031334</v>
      </c>
      <c r="D2246" s="30">
        <v>0.12848276628085742</v>
      </c>
      <c r="E2246" s="31">
        <f ca="1">B2246-D2246</f>
        <v>0</v>
      </c>
    </row>
    <row r="2247" spans="1:5" x14ac:dyDescent="0.25">
      <c r="A2247" s="21">
        <v>2246</v>
      </c>
      <c r="B2247" s="5" cm="1">
        <f t="array" aca="1" ref="B2247" ca="1">interpolexp(A2247,serie_du,Taxas_DI)</f>
        <v>0.12847953662353806</v>
      </c>
      <c r="C2247" s="32">
        <f ca="1">((((1+B2247)^(A2247/252))/((1+B2246)^(A2246/252)))^(252/1))-1</f>
        <v>0.12125220925505609</v>
      </c>
      <c r="D2247" s="30">
        <v>0.12847953662353806</v>
      </c>
      <c r="E2247" s="31">
        <f ca="1">B2247-D2247</f>
        <v>0</v>
      </c>
    </row>
    <row r="2248" spans="1:5" x14ac:dyDescent="0.25">
      <c r="A2248" s="21">
        <v>2247</v>
      </c>
      <c r="B2248" s="5" cm="1">
        <f t="array" aca="1" ref="B2248" ca="1">interpolexp(A2248,serie_du,Taxas_DI)</f>
        <v>0.12847630984094138</v>
      </c>
      <c r="C2248" s="32">
        <f ca="1">((((1+B2248)^(A2248/252))/((1+B2247)^(A2247/252)))^(252/1))-1</f>
        <v>0.12125218883230082</v>
      </c>
      <c r="D2248" s="30">
        <v>0.12847630984094138</v>
      </c>
      <c r="E2248" s="31">
        <f ca="1">B2248-D2248</f>
        <v>0</v>
      </c>
    </row>
    <row r="2249" spans="1:5" x14ac:dyDescent="0.25">
      <c r="A2249" s="21">
        <v>2248</v>
      </c>
      <c r="B2249" s="5" cm="1">
        <f t="array" aca="1" ref="B2249" ca="1">interpolexp(A2249,serie_du,Taxas_DI)</f>
        <v>0.12847308592924822</v>
      </c>
      <c r="C2249" s="32">
        <f ca="1">((((1+B2249)^(A2249/252))/((1+B2248)^(A2248/252)))^(252/1))-1</f>
        <v>0.12125216847535625</v>
      </c>
      <c r="D2249" s="30">
        <v>0.12847308592924822</v>
      </c>
      <c r="E2249" s="31">
        <f ca="1">B2249-D2249</f>
        <v>0</v>
      </c>
    </row>
    <row r="2250" spans="1:5" x14ac:dyDescent="0.25">
      <c r="A2250" s="21">
        <v>2249</v>
      </c>
      <c r="B2250" s="5" cm="1">
        <f t="array" aca="1" ref="B2250" ca="1">interpolexp(A2250,serie_du,Taxas_DI)</f>
        <v>0.12846986488463941</v>
      </c>
      <c r="C2250" s="32">
        <f ca="1">((((1+B2250)^(A2250/252))/((1+B2249)^(A2249/252)))^(252/1))-1</f>
        <v>0.12125214816907137</v>
      </c>
      <c r="D2250" s="30">
        <v>0.12846986488463941</v>
      </c>
      <c r="E2250" s="31">
        <f ca="1">B2250-D2250</f>
        <v>0</v>
      </c>
    </row>
    <row r="2251" spans="1:5" x14ac:dyDescent="0.25">
      <c r="A2251" s="21">
        <v>2250</v>
      </c>
      <c r="B2251" s="5" cm="1">
        <f t="array" aca="1" ref="B2251" ca="1">interpolexp(A2251,serie_du,Taxas_DI)</f>
        <v>0.12846664670327357</v>
      </c>
      <c r="C2251" s="32">
        <f ca="1">((((1+B2251)^(A2251/252))/((1+B2250)^(A2250/252)))^(252/1))-1</f>
        <v>0.12125212784851658</v>
      </c>
      <c r="D2251" s="30">
        <v>0.12846664670327357</v>
      </c>
      <c r="E2251" s="31">
        <f ca="1">B2251-D2251</f>
        <v>0</v>
      </c>
    </row>
    <row r="2252" spans="1:5" x14ac:dyDescent="0.25">
      <c r="A2252" s="21">
        <v>2251</v>
      </c>
      <c r="B2252" s="5" cm="1">
        <f t="array" aca="1" ref="B2252" ca="1">interpolexp(A2252,serie_du,Taxas_DI)</f>
        <v>0.12846343138135374</v>
      </c>
      <c r="C2252" s="32">
        <f ca="1">((((1+B2252)^(A2252/252))/((1+B2251)^(A2251/252)))^(252/1))-1</f>
        <v>0.12125210759753213</v>
      </c>
      <c r="D2252" s="30">
        <v>0.12846343138135374</v>
      </c>
      <c r="E2252" s="31">
        <f ca="1">B2252-D2252</f>
        <v>0</v>
      </c>
    </row>
    <row r="2253" spans="1:5" x14ac:dyDescent="0.25">
      <c r="A2253" s="21">
        <v>2252</v>
      </c>
      <c r="B2253" s="5" cm="1">
        <f t="array" aca="1" ref="B2253" ca="1">interpolexp(A2253,serie_du,Taxas_DI)</f>
        <v>0.12846021891508297</v>
      </c>
      <c r="C2253" s="32">
        <f ca="1">((((1+B2253)^(A2253/252))/((1+B2252)^(A2252/252)))^(252/1))-1</f>
        <v>0.12125208740139337</v>
      </c>
      <c r="D2253" s="30">
        <v>0.12846021891508297</v>
      </c>
      <c r="E2253" s="31">
        <f ca="1">B2253-D2253</f>
        <v>0</v>
      </c>
    </row>
    <row r="2254" spans="1:5" x14ac:dyDescent="0.25">
      <c r="A2254" s="21">
        <v>2253</v>
      </c>
      <c r="B2254" s="5" cm="1">
        <f t="array" aca="1" ref="B2254" ca="1">interpolexp(A2254,serie_du,Taxas_DI)</f>
        <v>0.12845700930061987</v>
      </c>
      <c r="C2254" s="32">
        <f ca="1">((((1+B2254)^(A2254/252))/((1+B2253)^(A2253/252)))^(252/1))-1</f>
        <v>0.12125206714507142</v>
      </c>
      <c r="D2254" s="30">
        <v>0.12845700930061987</v>
      </c>
      <c r="E2254" s="31">
        <f ca="1">B2254-D2254</f>
        <v>0</v>
      </c>
    </row>
    <row r="2255" spans="1:5" x14ac:dyDescent="0.25">
      <c r="A2255" s="21">
        <v>2254</v>
      </c>
      <c r="B2255" s="5" cm="1">
        <f t="array" aca="1" ref="B2255" ca="1">interpolexp(A2255,serie_du,Taxas_DI)</f>
        <v>0.12845380253416749</v>
      </c>
      <c r="C2255" s="32">
        <f ca="1">((((1+B2255)^(A2255/252))/((1+B2254)^(A2254/252)))^(252/1))-1</f>
        <v>0.12125204691317704</v>
      </c>
      <c r="D2255" s="30">
        <v>0.12845380253416749</v>
      </c>
      <c r="E2255" s="31">
        <f ca="1">B2255-D2255</f>
        <v>0</v>
      </c>
    </row>
    <row r="2256" spans="1:5" x14ac:dyDescent="0.25">
      <c r="A2256" s="21">
        <v>2255</v>
      </c>
      <c r="B2256" s="5" cm="1">
        <f t="array" aca="1" ref="B2256" ca="1">interpolexp(A2256,serie_du,Taxas_DI)</f>
        <v>0.12845059861197328</v>
      </c>
      <c r="C2256" s="32">
        <f ca="1">((((1+B2256)^(A2256/252))/((1+B2255)^(A2255/252)))^(252/1))-1</f>
        <v>0.12125202678959468</v>
      </c>
      <c r="D2256" s="30">
        <v>0.12845059861197328</v>
      </c>
      <c r="E2256" s="31">
        <f ca="1">B2256-D2256</f>
        <v>0</v>
      </c>
    </row>
    <row r="2257" spans="1:5" x14ac:dyDescent="0.25">
      <c r="A2257" s="21">
        <v>2256</v>
      </c>
      <c r="B2257" s="5" cm="1">
        <f t="array" aca="1" ref="B2257" ca="1">interpolexp(A2257,serie_du,Taxas_DI)</f>
        <v>0.12844739753026246</v>
      </c>
      <c r="C2257" s="32">
        <f ca="1">((((1+B2257)^(A2257/252))/((1+B2256)^(A2256/252)))^(252/1))-1</f>
        <v>0.12125200671002112</v>
      </c>
      <c r="D2257" s="30">
        <v>0.12844739753026246</v>
      </c>
      <c r="E2257" s="31">
        <f ca="1">B2257-D2257</f>
        <v>0</v>
      </c>
    </row>
    <row r="2258" spans="1:5" x14ac:dyDescent="0.25">
      <c r="A2258" s="21">
        <v>2257</v>
      </c>
      <c r="B2258" s="5" cm="1">
        <f t="array" aca="1" ref="B2258" ca="1">interpolexp(A2258,serie_du,Taxas_DI)</f>
        <v>0.12844419928519368</v>
      </c>
      <c r="C2258" s="32">
        <f ca="1">((((1+B2258)^(A2258/252))/((1+B2257)^(A2257/252)))^(252/1))-1</f>
        <v>0.12125198650964264</v>
      </c>
      <c r="D2258" s="30">
        <v>0.12844419928519368</v>
      </c>
      <c r="E2258" s="31">
        <f ca="1">B2258-D2258</f>
        <v>0</v>
      </c>
    </row>
    <row r="2259" spans="1:5" x14ac:dyDescent="0.25">
      <c r="A2259" s="21">
        <v>2258</v>
      </c>
      <c r="B2259" s="5" cm="1">
        <f t="array" aca="1" ref="B2259" ca="1">interpolexp(A2259,serie_du,Taxas_DI)</f>
        <v>0.12844100387305879</v>
      </c>
      <c r="C2259" s="32">
        <f ca="1">((((1+B2259)^(A2259/252))/((1+B2258)^(A2258/252)))^(252/1))-1</f>
        <v>0.12125196647234171</v>
      </c>
      <c r="D2259" s="30">
        <v>0.12844100387305879</v>
      </c>
      <c r="E2259" s="31">
        <f ca="1">B2259-D2259</f>
        <v>0</v>
      </c>
    </row>
    <row r="2260" spans="1:5" x14ac:dyDescent="0.25">
      <c r="A2260" s="21">
        <v>2259</v>
      </c>
      <c r="B2260" s="5" cm="1">
        <f t="array" aca="1" ref="B2260" ca="1">interpolexp(A2260,serie_du,Taxas_DI)</f>
        <v>0.12843781129008303</v>
      </c>
      <c r="C2260" s="32">
        <f ca="1">((((1+B2260)^(A2260/252))/((1+B2259)^(A2259/252)))^(252/1))-1</f>
        <v>0.12125194643357484</v>
      </c>
      <c r="D2260" s="30">
        <v>0.12843781129008303</v>
      </c>
      <c r="E2260" s="31">
        <f ca="1">B2260-D2260</f>
        <v>0</v>
      </c>
    </row>
    <row r="2261" spans="1:5" x14ac:dyDescent="0.25">
      <c r="A2261" s="21">
        <v>2260</v>
      </c>
      <c r="B2261" s="5" cm="1">
        <f t="array" aca="1" ref="B2261" ca="1">interpolexp(A2261,serie_du,Taxas_DI)</f>
        <v>0.12843462153249163</v>
      </c>
      <c r="C2261" s="32">
        <f ca="1">((((1+B2261)^(A2261/252))/((1+B2260)^(A2260/252)))^(252/1))-1</f>
        <v>0.12125192637872217</v>
      </c>
      <c r="D2261" s="30">
        <v>0.12843462153249163</v>
      </c>
      <c r="E2261" s="31">
        <f ca="1">B2261-D2261</f>
        <v>0</v>
      </c>
    </row>
    <row r="2262" spans="1:5" x14ac:dyDescent="0.25">
      <c r="A2262" s="21">
        <v>2261</v>
      </c>
      <c r="B2262" s="5" cm="1">
        <f t="array" aca="1" ref="B2262" ca="1">interpolexp(A2262,serie_du,Taxas_DI)</f>
        <v>0.12843143459655426</v>
      </c>
      <c r="C2262" s="32">
        <f ca="1">((((1+B2262)^(A2262/252))/((1+B2261)^(A2261/252)))^(252/1))-1</f>
        <v>0.12125190639181493</v>
      </c>
      <c r="D2262" s="30">
        <v>0.12843143459655426</v>
      </c>
      <c r="E2262" s="31">
        <f ca="1">B2262-D2262</f>
        <v>0</v>
      </c>
    </row>
    <row r="2263" spans="1:5" x14ac:dyDescent="0.25">
      <c r="A2263" s="21">
        <v>2262</v>
      </c>
      <c r="B2263" s="5" cm="1">
        <f t="array" aca="1" ref="B2263" ca="1">interpolexp(A2263,serie_du,Taxas_DI)</f>
        <v>0.12842825047851836</v>
      </c>
      <c r="C2263" s="32">
        <f ca="1">((((1+B2263)^(A2263/252))/((1+B2262)^(A2262/252)))^(252/1))-1</f>
        <v>0.1212518864087877</v>
      </c>
      <c r="D2263" s="30">
        <v>0.12842825047851836</v>
      </c>
      <c r="E2263" s="31">
        <f ca="1">B2263-D2263</f>
        <v>0</v>
      </c>
    </row>
    <row r="2264" spans="1:5" x14ac:dyDescent="0.25">
      <c r="A2264" s="21">
        <v>2263</v>
      </c>
      <c r="B2264" s="5" cm="1">
        <f t="array" aca="1" ref="B2264" ca="1">interpolexp(A2264,serie_du,Taxas_DI)</f>
        <v>0.12842506917465357</v>
      </c>
      <c r="C2264" s="32">
        <f ca="1">((((1+B2264)^(A2264/252))/((1+B2263)^(A2263/252)))^(252/1))-1</f>
        <v>0.12125186646409469</v>
      </c>
      <c r="D2264" s="30">
        <v>0.12842506917465357</v>
      </c>
      <c r="E2264" s="31">
        <f ca="1">B2264-D2264</f>
        <v>0</v>
      </c>
    </row>
    <row r="2265" spans="1:5" x14ac:dyDescent="0.25">
      <c r="A2265" s="21">
        <v>2264</v>
      </c>
      <c r="B2265" s="5" cm="1">
        <f t="array" aca="1" ref="B2265" ca="1">interpolexp(A2265,serie_du,Taxas_DI)</f>
        <v>0.12842189068122956</v>
      </c>
      <c r="C2265" s="32">
        <f ca="1">((((1+B2265)^(A2265/252))/((1+B2264)^(A2264/252)))^(252/1))-1</f>
        <v>0.12125184654310805</v>
      </c>
      <c r="D2265" s="30">
        <v>0.12842189068122956</v>
      </c>
      <c r="E2265" s="31">
        <f ca="1">B2265-D2265</f>
        <v>0</v>
      </c>
    </row>
    <row r="2266" spans="1:5" x14ac:dyDescent="0.25">
      <c r="A2266" s="21">
        <v>2265</v>
      </c>
      <c r="B2266" s="5" cm="1">
        <f t="array" aca="1" ref="B2266" ca="1">interpolexp(A2266,serie_du,Taxas_DI)</f>
        <v>0.12841871499451596</v>
      </c>
      <c r="C2266" s="32">
        <f ca="1">((((1+B2266)^(A2266/252))/((1+B2265)^(A2265/252)))^(252/1))-1</f>
        <v>0.12125182663079803</v>
      </c>
      <c r="D2266" s="30">
        <v>0.12841871499451596</v>
      </c>
      <c r="E2266" s="31">
        <f ca="1">B2266-D2266</f>
        <v>0</v>
      </c>
    </row>
    <row r="2267" spans="1:5" x14ac:dyDescent="0.25">
      <c r="A2267" s="21">
        <v>2266</v>
      </c>
      <c r="B2267" s="5" cm="1">
        <f t="array" aca="1" ref="B2267" ca="1">interpolexp(A2267,serie_du,Taxas_DI)</f>
        <v>0.12841554211082684</v>
      </c>
      <c r="C2267" s="32">
        <f ca="1">((((1+B2267)^(A2267/252))/((1+B2266)^(A2266/252)))^(252/1))-1</f>
        <v>0.12125180681261294</v>
      </c>
      <c r="D2267" s="30">
        <v>0.12841554211082684</v>
      </c>
      <c r="E2267" s="31">
        <f ca="1">B2267-D2267</f>
        <v>0</v>
      </c>
    </row>
    <row r="2268" spans="1:5" x14ac:dyDescent="0.25">
      <c r="A2268" s="21">
        <v>2267</v>
      </c>
      <c r="B2268" s="5" cm="1">
        <f t="array" aca="1" ref="B2268" ca="1">interpolexp(A2268,serie_du,Taxas_DI)</f>
        <v>0.12841237202640965</v>
      </c>
      <c r="C2268" s="32">
        <f ca="1">((((1+B2268)^(A2268/252))/((1+B2267)^(A2267/252)))^(252/1))-1</f>
        <v>0.12125178692338601</v>
      </c>
      <c r="D2268" s="30">
        <v>0.12841237202640965</v>
      </c>
      <c r="E2268" s="31">
        <f ca="1">B2268-D2268</f>
        <v>0</v>
      </c>
    </row>
    <row r="2269" spans="1:5" x14ac:dyDescent="0.25">
      <c r="A2269" s="21">
        <v>2268</v>
      </c>
      <c r="B2269" s="5" cm="1">
        <f t="array" aca="1" ref="B2269" ca="1">interpolexp(A2269,serie_du,Taxas_DI)</f>
        <v>0.12840920473757844</v>
      </c>
      <c r="C2269" s="32">
        <f ca="1">((((1+B2269)^(A2269/252))/((1+B2268)^(A2268/252)))^(252/1))-1</f>
        <v>0.12125176709838881</v>
      </c>
      <c r="D2269" s="30">
        <v>0.12840920473757844</v>
      </c>
      <c r="E2269" s="31">
        <f ca="1">B2269-D2269</f>
        <v>0</v>
      </c>
    </row>
    <row r="2270" spans="1:5" x14ac:dyDescent="0.25">
      <c r="A2270" s="21">
        <v>2269</v>
      </c>
      <c r="B2270" s="5" cm="1">
        <f t="array" aca="1" ref="B2270" ca="1">interpolexp(A2270,serie_du,Taxas_DI)</f>
        <v>0.12840604024064728</v>
      </c>
      <c r="C2270" s="32">
        <f ca="1">((((1+B2270)^(A2270/252))/((1+B2269)^(A2269/252)))^(252/1))-1</f>
        <v>0.12125174732329191</v>
      </c>
      <c r="D2270" s="30">
        <v>0.12840604024064728</v>
      </c>
      <c r="E2270" s="31">
        <f ca="1">B2270-D2270</f>
        <v>0</v>
      </c>
    </row>
    <row r="2271" spans="1:5" x14ac:dyDescent="0.25">
      <c r="A2271" s="21">
        <v>2270</v>
      </c>
      <c r="B2271" s="5" cm="1">
        <f t="array" aca="1" ref="B2271" ca="1">interpolexp(A2271,serie_du,Taxas_DI)</f>
        <v>0.12840287853190802</v>
      </c>
      <c r="C2271" s="32">
        <f ca="1">((((1+B2271)^(A2271/252))/((1+B2270)^(A2270/252)))^(252/1))-1</f>
        <v>0.12125172753256996</v>
      </c>
      <c r="D2271" s="30">
        <v>0.12840287853190802</v>
      </c>
      <c r="E2271" s="31">
        <f ca="1">B2271-D2271</f>
        <v>0</v>
      </c>
    </row>
    <row r="2272" spans="1:5" x14ac:dyDescent="0.25">
      <c r="A2272" s="21">
        <v>2271</v>
      </c>
      <c r="B2272" s="5" cm="1">
        <f t="array" aca="1" ref="B2272" ca="1">interpolexp(A2272,serie_du,Taxas_DI)</f>
        <v>0.12839971960769692</v>
      </c>
      <c r="C2272" s="32">
        <f ca="1">((((1+B2272)^(A2272/252))/((1+B2271)^(A2271/252)))^(252/1))-1</f>
        <v>0.12125170781254191</v>
      </c>
      <c r="D2272" s="30">
        <v>0.12839971960769692</v>
      </c>
      <c r="E2272" s="31">
        <f ca="1">B2272-D2272</f>
        <v>0</v>
      </c>
    </row>
    <row r="2273" spans="1:5" x14ac:dyDescent="0.25">
      <c r="A2273" s="21">
        <v>2272</v>
      </c>
      <c r="B2273" s="5" cm="1">
        <f t="array" aca="1" ref="B2273" ca="1">interpolexp(A2273,serie_du,Taxas_DI)</f>
        <v>0.12839656346435024</v>
      </c>
      <c r="C2273" s="32">
        <f ca="1">((((1+B2273)^(A2273/252))/((1+B2272)^(A2272/252)))^(252/1))-1</f>
        <v>0.12125168814780363</v>
      </c>
      <c r="D2273" s="30">
        <v>0.12839656346435024</v>
      </c>
      <c r="E2273" s="31">
        <f ca="1">B2273-D2273</f>
        <v>0</v>
      </c>
    </row>
    <row r="2274" spans="1:5" x14ac:dyDescent="0.25">
      <c r="A2274" s="21">
        <v>2273</v>
      </c>
      <c r="B2274" s="5" cm="1">
        <f t="array" aca="1" ref="B2274" ca="1">interpolexp(A2274,serie_du,Taxas_DI)</f>
        <v>0.12839341009813765</v>
      </c>
      <c r="C2274" s="32">
        <f ca="1">((((1+B2274)^(A2274/252))/((1+B2273)^(A2273/252)))^(252/1))-1</f>
        <v>0.12125166837386736</v>
      </c>
      <c r="D2274" s="30">
        <v>0.12839341009813765</v>
      </c>
      <c r="E2274" s="31">
        <f ca="1">B2274-D2274</f>
        <v>0</v>
      </c>
    </row>
    <row r="2275" spans="1:5" x14ac:dyDescent="0.25">
      <c r="A2275" s="21">
        <v>2274</v>
      </c>
      <c r="B2275" s="5" cm="1">
        <f t="array" aca="1" ref="B2275" ca="1">interpolexp(A2275,serie_du,Taxas_DI)</f>
        <v>0.12839025950546201</v>
      </c>
      <c r="C2275" s="32">
        <f ca="1">((((1+B2275)^(A2275/252))/((1+B2274)^(A2274/252)))^(252/1))-1</f>
        <v>0.12125164877655803</v>
      </c>
      <c r="D2275" s="30">
        <v>0.12839025950546201</v>
      </c>
      <c r="E2275" s="31">
        <f ca="1">B2275-D2275</f>
        <v>0</v>
      </c>
    </row>
    <row r="2276" spans="1:5" x14ac:dyDescent="0.25">
      <c r="A2276" s="21">
        <v>2275</v>
      </c>
      <c r="B2276" s="5" cm="1">
        <f t="array" aca="1" ref="B2276" ca="1">interpolexp(A2276,serie_du,Taxas_DI)</f>
        <v>0.12838711168261518</v>
      </c>
      <c r="C2276" s="32">
        <f ca="1">((((1+B2276)^(A2276/252))/((1+B2275)^(A2275/252)))^(252/1))-1</f>
        <v>0.12125162909080855</v>
      </c>
      <c r="D2276" s="30">
        <v>0.12838711168261518</v>
      </c>
      <c r="E2276" s="31">
        <f ca="1">B2276-D2276</f>
        <v>0</v>
      </c>
    </row>
    <row r="2277" spans="1:5" x14ac:dyDescent="0.25">
      <c r="A2277" s="21">
        <v>2276</v>
      </c>
      <c r="B2277" s="5" cm="1">
        <f t="array" aca="1" ref="B2277" ca="1">interpolexp(A2277,serie_du,Taxas_DI)</f>
        <v>0.12838396662597784</v>
      </c>
      <c r="C2277" s="32">
        <f ca="1">((((1+B2277)^(A2277/252))/((1+B2276)^(A2276/252)))^(252/1))-1</f>
        <v>0.12125160950239522</v>
      </c>
      <c r="D2277" s="30">
        <v>0.12838396662597784</v>
      </c>
      <c r="E2277" s="31">
        <f ca="1">B2277-D2277</f>
        <v>0</v>
      </c>
    </row>
    <row r="2278" spans="1:5" x14ac:dyDescent="0.25">
      <c r="A2278" s="21">
        <v>2277</v>
      </c>
      <c r="B2278" s="5" cm="1">
        <f t="array" aca="1" ref="B2278" ca="1">interpolexp(A2278,serie_du,Taxas_DI)</f>
        <v>0.12838082433190845</v>
      </c>
      <c r="C2278" s="32">
        <f ca="1">((((1+B2278)^(A2278/252))/((1+B2277)^(A2277/252)))^(252/1))-1</f>
        <v>0.12125158994703322</v>
      </c>
      <c r="D2278" s="30">
        <v>0.12838082433190845</v>
      </c>
      <c r="E2278" s="31">
        <f ca="1">B2278-D2278</f>
        <v>0</v>
      </c>
    </row>
    <row r="2279" spans="1:5" x14ac:dyDescent="0.25">
      <c r="A2279" s="21">
        <v>2278</v>
      </c>
      <c r="B2279" s="5" cm="1">
        <f t="array" aca="1" ref="B2279" ca="1">interpolexp(A2279,serie_du,Taxas_DI)</f>
        <v>0.12837768479674327</v>
      </c>
      <c r="C2279" s="32">
        <f ca="1">((((1+B2279)^(A2279/252))/((1+B2278)^(A2278/252)))^(252/1))-1</f>
        <v>0.12125157035950762</v>
      </c>
      <c r="D2279" s="30">
        <v>0.12837768479674327</v>
      </c>
      <c r="E2279" s="31">
        <f ca="1">B2279-D2279</f>
        <v>0</v>
      </c>
    </row>
    <row r="2280" spans="1:5" x14ac:dyDescent="0.25">
      <c r="A2280" s="21">
        <v>2279</v>
      </c>
      <c r="B2280" s="5" cm="1">
        <f t="array" aca="1" ref="B2280" ca="1">interpolexp(A2280,serie_du,Taxas_DI)</f>
        <v>0.12837454801686299</v>
      </c>
      <c r="C2280" s="32">
        <f ca="1">((((1+B2280)^(A2280/252))/((1+B2279)^(A2279/252)))^(252/1))-1</f>
        <v>0.1212515508262153</v>
      </c>
      <c r="D2280" s="30">
        <v>0.12837454801686299</v>
      </c>
      <c r="E2280" s="31">
        <f ca="1">B2280-D2280</f>
        <v>0</v>
      </c>
    </row>
    <row r="2281" spans="1:5" x14ac:dyDescent="0.25">
      <c r="A2281" s="21">
        <v>2280</v>
      </c>
      <c r="B2281" s="5" cm="1">
        <f t="array" aca="1" ref="B2281" ca="1">interpolexp(A2281,serie_du,Taxas_DI)</f>
        <v>0.12837141398864826</v>
      </c>
      <c r="C2281" s="32">
        <f ca="1">((((1+B2281)^(A2281/252))/((1+B2280)^(A2280/252)))^(252/1))-1</f>
        <v>0.12125153133231081</v>
      </c>
      <c r="D2281" s="30">
        <v>0.12837141398864826</v>
      </c>
      <c r="E2281" s="31">
        <f ca="1">B2281-D2281</f>
        <v>0</v>
      </c>
    </row>
    <row r="2282" spans="1:5" x14ac:dyDescent="0.25">
      <c r="A2282" s="21">
        <v>2281</v>
      </c>
      <c r="B2282" s="5" cm="1">
        <f t="array" aca="1" ref="B2282" ca="1">interpolexp(A2282,serie_du,Taxas_DI)</f>
        <v>0.12836828270845757</v>
      </c>
      <c r="C2282" s="32">
        <f ca="1">((((1+B2282)^(A2282/252))/((1+B2281)^(A2281/252)))^(252/1))-1</f>
        <v>0.12125151181345628</v>
      </c>
      <c r="D2282" s="30">
        <v>0.12836828270845757</v>
      </c>
      <c r="E2282" s="31">
        <f ca="1">B2282-D2282</f>
        <v>0</v>
      </c>
    </row>
    <row r="2283" spans="1:5" x14ac:dyDescent="0.25">
      <c r="A2283" s="21">
        <v>2282</v>
      </c>
      <c r="B2283" s="5" cm="1">
        <f t="array" aca="1" ref="B2283" ca="1">interpolexp(A2283,serie_du,Taxas_DI)</f>
        <v>0.12836515417271599</v>
      </c>
      <c r="C2283" s="32">
        <f ca="1">((((1+B2283)^(A2283/252))/((1+B2282)^(A2282/252)))^(252/1))-1</f>
        <v>0.12125149240571176</v>
      </c>
      <c r="D2283" s="30">
        <v>0.12836515417271599</v>
      </c>
      <c r="E2283" s="31">
        <f ca="1">B2283-D2283</f>
        <v>0</v>
      </c>
    </row>
    <row r="2284" spans="1:5" x14ac:dyDescent="0.25">
      <c r="A2284" s="21">
        <v>2283</v>
      </c>
      <c r="B2284" s="5" cm="1">
        <f t="array" aca="1" ref="B2284" ca="1">interpolexp(A2284,serie_du,Taxas_DI)</f>
        <v>0.12836202837778199</v>
      </c>
      <c r="C2284" s="32">
        <f ca="1">((((1+B2284)^(A2284/252))/((1+B2283)^(A2283/252)))^(252/1))-1</f>
        <v>0.12125147294417338</v>
      </c>
      <c r="D2284" s="30">
        <v>0.12836202837778199</v>
      </c>
      <c r="E2284" s="31">
        <f ca="1">B2284-D2284</f>
        <v>0</v>
      </c>
    </row>
    <row r="2285" spans="1:5" x14ac:dyDescent="0.25">
      <c r="A2285" s="21">
        <v>2284</v>
      </c>
      <c r="B2285" s="5" cm="1">
        <f t="array" aca="1" ref="B2285" ca="1">interpolexp(A2285,serie_du,Taxas_DI)</f>
        <v>0.12835890532005845</v>
      </c>
      <c r="C2285" s="32">
        <f ca="1">((((1+B2285)^(A2285/252))/((1+B2284)^(A2284/252)))^(252/1))-1</f>
        <v>0.12125145351465427</v>
      </c>
      <c r="D2285" s="30">
        <v>0.12835890532005845</v>
      </c>
      <c r="E2285" s="31">
        <f ca="1">B2285-D2285</f>
        <v>0</v>
      </c>
    </row>
    <row r="2286" spans="1:5" x14ac:dyDescent="0.25">
      <c r="A2286" s="21">
        <v>2285</v>
      </c>
      <c r="B2286" s="5" cm="1">
        <f t="array" aca="1" ref="B2286" ca="1">interpolexp(A2286,serie_du,Taxas_DI)</f>
        <v>0.12835578499599265</v>
      </c>
      <c r="C2286" s="32">
        <f ca="1">((((1+B2286)^(A2286/252))/((1+B2285)^(A2285/252)))^(252/1))-1</f>
        <v>0.12125143420413043</v>
      </c>
      <c r="D2286" s="30">
        <v>0.12835578499599265</v>
      </c>
      <c r="E2286" s="31">
        <f ca="1">B2286-D2286</f>
        <v>0</v>
      </c>
    </row>
    <row r="2287" spans="1:5" x14ac:dyDescent="0.25">
      <c r="A2287" s="21">
        <v>2286</v>
      </c>
      <c r="B2287" s="5" cm="1">
        <f t="array" aca="1" ref="B2287" ca="1">interpolexp(A2287,serie_du,Taxas_DI)</f>
        <v>0.12835266740194307</v>
      </c>
      <c r="C2287" s="32">
        <f ca="1">((((1+B2287)^(A2287/252))/((1+B2286)^(A2286/252)))^(252/1))-1</f>
        <v>0.12125141479634993</v>
      </c>
      <c r="D2287" s="30">
        <v>0.12835266740194307</v>
      </c>
      <c r="E2287" s="31">
        <f ca="1">B2287-D2287</f>
        <v>0</v>
      </c>
    </row>
    <row r="2288" spans="1:5" x14ac:dyDescent="0.25">
      <c r="A2288" s="21">
        <v>2287</v>
      </c>
      <c r="B2288" s="5" cm="1">
        <f t="array" aca="1" ref="B2288" ca="1">interpolexp(A2288,serie_du,Taxas_DI)</f>
        <v>0.12834955253435187</v>
      </c>
      <c r="C2288" s="32">
        <f ca="1">((((1+B2288)^(A2288/252))/((1+B2287)^(A2287/252)))^(252/1))-1</f>
        <v>0.12125139546712171</v>
      </c>
      <c r="D2288" s="30">
        <v>0.12834955253435187</v>
      </c>
      <c r="E2288" s="31">
        <f ca="1">B2288-D2288</f>
        <v>0</v>
      </c>
    </row>
    <row r="2289" spans="1:5" x14ac:dyDescent="0.25">
      <c r="A2289" s="21">
        <v>2288</v>
      </c>
      <c r="B2289" s="5" cm="1">
        <f t="array" aca="1" ref="B2289" ca="1">interpolexp(A2289,serie_du,Taxas_DI)</f>
        <v>0.12834831969081861</v>
      </c>
      <c r="C2289" s="32">
        <f ca="1">((((1+B2289)^(A2289/252))/((1+B2288)^(A2288/252)))^(252/1))-1</f>
        <v>0.12553232782962853</v>
      </c>
      <c r="D2289" s="30">
        <v>0.12834831969081861</v>
      </c>
      <c r="E2289" s="31">
        <f ca="1">B2289-D2289</f>
        <v>0</v>
      </c>
    </row>
    <row r="2290" spans="1:5" x14ac:dyDescent="0.25">
      <c r="A2290" s="21">
        <v>2289</v>
      </c>
      <c r="B2290" s="5" cm="1">
        <f t="array" aca="1" ref="B2290" ca="1">interpolexp(A2290,serie_du,Taxas_DI)</f>
        <v>0.12834708792450744</v>
      </c>
      <c r="C2290" s="32">
        <f ca="1">((((1+B2290)^(A2290/252))/((1+B2289)^(A2289/252)))^(252/1))-1</f>
        <v>0.12553232483206922</v>
      </c>
      <c r="D2290" s="30">
        <v>0.12834708792450744</v>
      </c>
      <c r="E2290" s="31">
        <f ca="1">B2290-D2290</f>
        <v>0</v>
      </c>
    </row>
    <row r="2291" spans="1:5" x14ac:dyDescent="0.25">
      <c r="A2291" s="21">
        <v>2290</v>
      </c>
      <c r="B2291" s="5" cm="1">
        <f t="array" aca="1" ref="B2291" ca="1">interpolexp(A2291,serie_du,Taxas_DI)</f>
        <v>0.12834585723395797</v>
      </c>
      <c r="C2291" s="32">
        <f ca="1">((((1+B2291)^(A2291/252))/((1+B2290)^(A2290/252)))^(252/1))-1</f>
        <v>0.12553232172632289</v>
      </c>
      <c r="D2291" s="30">
        <v>0.12834585723395797</v>
      </c>
      <c r="E2291" s="31">
        <f ca="1">B2291-D2291</f>
        <v>0</v>
      </c>
    </row>
    <row r="2292" spans="1:5" x14ac:dyDescent="0.25">
      <c r="A2292" s="21">
        <v>2291</v>
      </c>
      <c r="B2292" s="5" cm="1">
        <f t="array" aca="1" ref="B2292" ca="1">interpolexp(A2292,serie_du,Taxas_DI)</f>
        <v>0.12834462761781573</v>
      </c>
      <c r="C2292" s="32">
        <f ca="1">((((1+B2292)^(A2292/252))/((1+B2291)^(A2291/252)))^(252/1))-1</f>
        <v>0.12553231874839588</v>
      </c>
      <c r="D2292" s="30">
        <v>0.12834462761781573</v>
      </c>
      <c r="E2292" s="31">
        <f ca="1">B2292-D2292</f>
        <v>0</v>
      </c>
    </row>
    <row r="2293" spans="1:5" x14ac:dyDescent="0.25">
      <c r="A2293" s="21">
        <v>2292</v>
      </c>
      <c r="B2293" s="5" cm="1">
        <f t="array" aca="1" ref="B2293" ca="1">interpolexp(A2293,serie_du,Taxas_DI)</f>
        <v>0.12834339907465964</v>
      </c>
      <c r="C2293" s="32">
        <f ca="1">((((1+B2293)^(A2293/252))/((1+B2292)^(A2292/252)))^(252/1))-1</f>
        <v>0.12553231574057633</v>
      </c>
      <c r="D2293" s="30">
        <v>0.12834339907465964</v>
      </c>
      <c r="E2293" s="31">
        <f ca="1">B2293-D2293</f>
        <v>0</v>
      </c>
    </row>
    <row r="2294" spans="1:5" x14ac:dyDescent="0.25">
      <c r="A2294" s="21">
        <v>2293</v>
      </c>
      <c r="B2294" s="5" cm="1">
        <f t="array" aca="1" ref="B2294" ca="1">interpolexp(A2294,serie_du,Taxas_DI)</f>
        <v>0.1283421716030686</v>
      </c>
      <c r="C2294" s="32">
        <f ca="1">((((1+B2294)^(A2294/252))/((1+B2293)^(A2293/252)))^(252/1))-1</f>
        <v>0.12553231269747478</v>
      </c>
      <c r="D2294" s="30">
        <v>0.1283421716030686</v>
      </c>
      <c r="E2294" s="31">
        <f ca="1">B2294-D2294</f>
        <v>0</v>
      </c>
    </row>
    <row r="2295" spans="1:5" x14ac:dyDescent="0.25">
      <c r="A2295" s="21">
        <v>2294</v>
      </c>
      <c r="B2295" s="5" cm="1">
        <f t="array" aca="1" ref="B2295" ca="1">interpolexp(A2295,serie_du,Taxas_DI)</f>
        <v>0.12834094520164374</v>
      </c>
      <c r="C2295" s="32">
        <f ca="1">((((1+B2295)^(A2295/252))/((1+B2294)^(A2294/252)))^(252/1))-1</f>
        <v>0.12553230966380569</v>
      </c>
      <c r="D2295" s="30">
        <v>0.12834094520164374</v>
      </c>
      <c r="E2295" s="31">
        <f ca="1">B2295-D2295</f>
        <v>0</v>
      </c>
    </row>
    <row r="2296" spans="1:5" x14ac:dyDescent="0.25">
      <c r="A2296" s="21">
        <v>2295</v>
      </c>
      <c r="B2296" s="5" cm="1">
        <f t="array" aca="1" ref="B2296" ca="1">interpolexp(A2296,serie_du,Taxas_DI)</f>
        <v>0.12833971986900838</v>
      </c>
      <c r="C2296" s="32">
        <f ca="1">((((1+B2296)^(A2296/252))/((1+B2295)^(A2295/252)))^(252/1))-1</f>
        <v>0.12553230668512305</v>
      </c>
      <c r="D2296" s="30">
        <v>0.12833971986900838</v>
      </c>
      <c r="E2296" s="31">
        <f ca="1">B2296-D2296</f>
        <v>0</v>
      </c>
    </row>
    <row r="2297" spans="1:5" x14ac:dyDescent="0.25">
      <c r="A2297" s="21">
        <v>2296</v>
      </c>
      <c r="B2297" s="5" cm="1">
        <f t="array" aca="1" ref="B2297" ca="1">interpolexp(A2297,serie_du,Taxas_DI)</f>
        <v>0.12833849560371924</v>
      </c>
      <c r="C2297" s="32">
        <f ca="1">((((1+B2297)^(A2297/252))/((1+B2296)^(A2296/252)))^(252/1))-1</f>
        <v>0.12553230360322098</v>
      </c>
      <c r="D2297" s="30">
        <v>0.12833849560371924</v>
      </c>
      <c r="E2297" s="31">
        <f ca="1">B2297-D2297</f>
        <v>0</v>
      </c>
    </row>
    <row r="2298" spans="1:5" x14ac:dyDescent="0.25">
      <c r="A2298" s="21">
        <v>2297</v>
      </c>
      <c r="B2298" s="5" cm="1">
        <f t="array" aca="1" ref="B2298" ca="1">interpolexp(A2298,serie_du,Taxas_DI)</f>
        <v>0.12833727240444404</v>
      </c>
      <c r="C2298" s="32">
        <f ca="1">((((1+B2298)^(A2298/252))/((1+B2297)^(A2297/252)))^(252/1))-1</f>
        <v>0.1255323006668283</v>
      </c>
      <c r="D2298" s="30">
        <v>0.12833727240444404</v>
      </c>
      <c r="E2298" s="31">
        <f ca="1">B2298-D2298</f>
        <v>0</v>
      </c>
    </row>
    <row r="2299" spans="1:5" x14ac:dyDescent="0.25">
      <c r="A2299" s="21">
        <v>2298</v>
      </c>
      <c r="B2299" s="5" cm="1">
        <f t="array" aca="1" ref="B2299" ca="1">interpolexp(A2299,serie_du,Taxas_DI)</f>
        <v>0.12833605026976169</v>
      </c>
      <c r="C2299" s="32">
        <f ca="1">((((1+B2299)^(A2299/252))/((1+B2298)^(A2298/252)))^(252/1))-1</f>
        <v>0.12553229766681251</v>
      </c>
      <c r="D2299" s="30">
        <v>0.12833605026976169</v>
      </c>
      <c r="E2299" s="31">
        <f ca="1">B2299-D2299</f>
        <v>0</v>
      </c>
    </row>
    <row r="2300" spans="1:5" x14ac:dyDescent="0.25">
      <c r="A2300" s="21">
        <v>2299</v>
      </c>
      <c r="B2300" s="5" cm="1">
        <f t="array" aca="1" ref="B2300" ca="1">interpolexp(A2300,serie_du,Taxas_DI)</f>
        <v>0.12833482919827333</v>
      </c>
      <c r="C2300" s="32">
        <f ca="1">((((1+B2300)^(A2300/252))/((1+B2299)^(A2299/252)))^(252/1))-1</f>
        <v>0.12553229464867166</v>
      </c>
      <c r="D2300" s="30">
        <v>0.12833482919827333</v>
      </c>
      <c r="E2300" s="31">
        <f ca="1">B2300-D2300</f>
        <v>0</v>
      </c>
    </row>
    <row r="2301" spans="1:5" x14ac:dyDescent="0.25">
      <c r="A2301" s="21">
        <v>2300</v>
      </c>
      <c r="B2301" s="5" cm="1">
        <f t="array" aca="1" ref="B2301" ca="1">interpolexp(A2301,serie_du,Taxas_DI)</f>
        <v>0.12833360918860226</v>
      </c>
      <c r="C2301" s="32">
        <f ca="1">((((1+B2301)^(A2301/252))/((1+B2300)^(A2300/252)))^(252/1))-1</f>
        <v>0.1255322916575432</v>
      </c>
      <c r="D2301" s="30">
        <v>0.12833360918860226</v>
      </c>
      <c r="E2301" s="31">
        <f ca="1">B2301-D2301</f>
        <v>0</v>
      </c>
    </row>
    <row r="2302" spans="1:5" x14ac:dyDescent="0.25">
      <c r="A2302" s="21">
        <v>2301</v>
      </c>
      <c r="B2302" s="5" cm="1">
        <f t="array" aca="1" ref="B2302" ca="1">interpolexp(A2302,serie_du,Taxas_DI)</f>
        <v>0.12833239023934961</v>
      </c>
      <c r="C2302" s="32">
        <f ca="1">((((1+B2302)^(A2302/252))/((1+B2301)^(A2301/252)))^(252/1))-1</f>
        <v>0.12553228863720922</v>
      </c>
      <c r="D2302" s="30">
        <v>0.12833239023934961</v>
      </c>
      <c r="E2302" s="31">
        <f ca="1">B2302-D2302</f>
        <v>0</v>
      </c>
    </row>
    <row r="2303" spans="1:5" x14ac:dyDescent="0.25">
      <c r="A2303" s="21">
        <v>2302</v>
      </c>
      <c r="B2303" s="5" cm="1">
        <f t="array" aca="1" ref="B2303" ca="1">interpolexp(A2303,serie_du,Taxas_DI)</f>
        <v>0.12833117234916092</v>
      </c>
      <c r="C2303" s="32">
        <f ca="1">((((1+B2303)^(A2303/252))/((1+B2302)^(A2302/252)))^(252/1))-1</f>
        <v>0.12553228568378083</v>
      </c>
      <c r="D2303" s="30">
        <v>0.12833117234916092</v>
      </c>
      <c r="E2303" s="31">
        <f ca="1">B2303-D2303</f>
        <v>0</v>
      </c>
    </row>
    <row r="2304" spans="1:5" x14ac:dyDescent="0.25">
      <c r="A2304" s="21">
        <v>2303</v>
      </c>
      <c r="B2304" s="5" cm="1">
        <f t="array" aca="1" ref="B2304" ca="1">interpolexp(A2304,serie_du,Taxas_DI)</f>
        <v>0.12832995551663728</v>
      </c>
      <c r="C2304" s="32">
        <f ca="1">((((1+B2304)^(A2304/252))/((1+B2303)^(A2303/252)))^(252/1))-1</f>
        <v>0.12553228269010042</v>
      </c>
      <c r="D2304" s="30">
        <v>0.12832995551663728</v>
      </c>
      <c r="E2304" s="31">
        <f ca="1">B2304-D2304</f>
        <v>0</v>
      </c>
    </row>
    <row r="2305" spans="1:5" x14ac:dyDescent="0.25">
      <c r="A2305" s="21">
        <v>2304</v>
      </c>
      <c r="B2305" s="5" cm="1">
        <f t="array" aca="1" ref="B2305" ca="1">interpolexp(A2305,serie_du,Taxas_DI)</f>
        <v>0.12832873974040204</v>
      </c>
      <c r="C2305" s="32">
        <f ca="1">((((1+B2305)^(A2305/252))/((1+B2304)^(A2304/252)))^(252/1))-1</f>
        <v>0.12553227970128944</v>
      </c>
      <c r="D2305" s="30">
        <v>0.12832873974040204</v>
      </c>
      <c r="E2305" s="31">
        <f ca="1">B2305-D2305</f>
        <v>0</v>
      </c>
    </row>
    <row r="2306" spans="1:5" x14ac:dyDescent="0.25">
      <c r="A2306" s="21">
        <v>2305</v>
      </c>
      <c r="B2306" s="5" cm="1">
        <f t="array" aca="1" ref="B2306" ca="1">interpolexp(A2306,serie_du,Taxas_DI)</f>
        <v>0.12832752501910072</v>
      </c>
      <c r="C2306" s="32">
        <f ca="1">((((1+B2306)^(A2306/252))/((1+B2305)^(A2305/252)))^(252/1))-1</f>
        <v>0.12553227676316303</v>
      </c>
      <c r="D2306" s="30">
        <v>0.12832752501910072</v>
      </c>
      <c r="E2306" s="31">
        <f ca="1">B2306-D2306</f>
        <v>0</v>
      </c>
    </row>
    <row r="2307" spans="1:5" x14ac:dyDescent="0.25">
      <c r="A2307" s="21">
        <v>2306</v>
      </c>
      <c r="B2307" s="5" cm="1">
        <f t="array" aca="1" ref="B2307" ca="1">interpolexp(A2307,serie_du,Taxas_DI)</f>
        <v>0.12832631135133443</v>
      </c>
      <c r="C2307" s="32">
        <f ca="1">((((1+B2307)^(A2307/252))/((1+B2306)^(A2306/252)))^(252/1))-1</f>
        <v>0.12553227376808751</v>
      </c>
      <c r="D2307" s="30">
        <v>0.12832631135133443</v>
      </c>
      <c r="E2307" s="31">
        <f ca="1">B2307-D2307</f>
        <v>0</v>
      </c>
    </row>
    <row r="2308" spans="1:5" x14ac:dyDescent="0.25">
      <c r="A2308" s="21">
        <v>2307</v>
      </c>
      <c r="B2308" s="5" cm="1">
        <f t="array" aca="1" ref="B2308" ca="1">interpolexp(A2308,serie_du,Taxas_DI)</f>
        <v>0.12832509873574871</v>
      </c>
      <c r="C2308" s="32">
        <f ca="1">((((1+B2308)^(A2308/252))/((1+B2307)^(A2307/252)))^(252/1))-1</f>
        <v>0.12553227081275242</v>
      </c>
      <c r="D2308" s="30">
        <v>0.12832509873574871</v>
      </c>
      <c r="E2308" s="31">
        <f ca="1">B2308-D2308</f>
        <v>0</v>
      </c>
    </row>
    <row r="2309" spans="1:5" x14ac:dyDescent="0.25">
      <c r="A2309" s="21">
        <v>2308</v>
      </c>
      <c r="B2309" s="5" cm="1">
        <f t="array" aca="1" ref="B2309" ca="1">interpolexp(A2309,serie_du,Taxas_DI)</f>
        <v>0.12832388717096688</v>
      </c>
      <c r="C2309" s="32">
        <f ca="1">((((1+B2309)^(A2309/252))/((1+B2308)^(A2308/252)))^(252/1))-1</f>
        <v>0.12553226784039584</v>
      </c>
      <c r="D2309" s="30">
        <v>0.12832388717096688</v>
      </c>
      <c r="E2309" s="31">
        <f ca="1">B2309-D2309</f>
        <v>0</v>
      </c>
    </row>
    <row r="2310" spans="1:5" x14ac:dyDescent="0.25">
      <c r="A2310" s="21">
        <v>2309</v>
      </c>
      <c r="B2310" s="5" cm="1">
        <f t="array" aca="1" ref="B2310" ca="1">interpolexp(A2310,serie_du,Taxas_DI)</f>
        <v>0.12832267665563446</v>
      </c>
      <c r="C2310" s="32">
        <f ca="1">((((1+B2310)^(A2310/252))/((1+B2309)^(A2309/252)))^(252/1))-1</f>
        <v>0.12553226489684688</v>
      </c>
      <c r="D2310" s="30">
        <v>0.12832267665563446</v>
      </c>
      <c r="E2310" s="31">
        <f ca="1">B2310-D2310</f>
        <v>0</v>
      </c>
    </row>
    <row r="2311" spans="1:5" x14ac:dyDescent="0.25">
      <c r="A2311" s="21">
        <v>2310</v>
      </c>
      <c r="B2311" s="5" cm="1">
        <f t="array" aca="1" ref="B2311" ca="1">interpolexp(A2311,serie_du,Taxas_DI)</f>
        <v>0.12832146718837478</v>
      </c>
      <c r="C2311" s="32">
        <f ca="1">((((1+B2311)^(A2311/252))/((1+B2310)^(A2310/252)))^(252/1))-1</f>
        <v>0.12553226192549793</v>
      </c>
      <c r="D2311" s="30">
        <v>0.12832146718837478</v>
      </c>
      <c r="E2311" s="31">
        <f ca="1">B2311-D2311</f>
        <v>0</v>
      </c>
    </row>
    <row r="2312" spans="1:5" x14ac:dyDescent="0.25">
      <c r="A2312" s="21">
        <v>2311</v>
      </c>
      <c r="B2312" s="5" cm="1">
        <f t="array" aca="1" ref="B2312" ca="1">interpolexp(A2312,serie_du,Taxas_DI)</f>
        <v>0.12832025876783337</v>
      </c>
      <c r="C2312" s="32">
        <f ca="1">((((1+B2312)^(A2312/252))/((1+B2311)^(A2311/252)))^(252/1))-1</f>
        <v>0.12553225897202647</v>
      </c>
      <c r="D2312" s="30">
        <v>0.12832025876783337</v>
      </c>
      <c r="E2312" s="31">
        <f ca="1">B2312-D2312</f>
        <v>0</v>
      </c>
    </row>
    <row r="2313" spans="1:5" x14ac:dyDescent="0.25">
      <c r="A2313" s="21">
        <v>2312</v>
      </c>
      <c r="B2313" s="5" cm="1">
        <f t="array" aca="1" ref="B2313" ca="1">interpolexp(A2313,serie_du,Taxas_DI)</f>
        <v>0.12831905139265576</v>
      </c>
      <c r="C2313" s="32">
        <f ca="1">((((1+B2313)^(A2313/252))/((1+B2312)^(A2312/252)))^(252/1))-1</f>
        <v>0.12553225603093376</v>
      </c>
      <c r="D2313" s="30">
        <v>0.12831905139265576</v>
      </c>
      <c r="E2313" s="31">
        <f ca="1">B2313-D2313</f>
        <v>0</v>
      </c>
    </row>
    <row r="2314" spans="1:5" x14ac:dyDescent="0.25">
      <c r="A2314" s="21">
        <v>2313</v>
      </c>
      <c r="B2314" s="5" cm="1">
        <f t="array" aca="1" ref="B2314" ca="1">interpolexp(A2314,serie_du,Taxas_DI)</f>
        <v>0.12831784506148747</v>
      </c>
      <c r="C2314" s="32">
        <f ca="1">((((1+B2314)^(A2314/252))/((1+B2313)^(A2313/252)))^(252/1))-1</f>
        <v>0.12553225309702132</v>
      </c>
      <c r="D2314" s="30">
        <v>0.12831784506148747</v>
      </c>
      <c r="E2314" s="31">
        <f ca="1">B2314-D2314</f>
        <v>0</v>
      </c>
    </row>
    <row r="2315" spans="1:5" x14ac:dyDescent="0.25">
      <c r="A2315" s="21">
        <v>2314</v>
      </c>
      <c r="B2315" s="5" cm="1">
        <f t="array" aca="1" ref="B2315" ca="1">interpolexp(A2315,serie_du,Taxas_DI)</f>
        <v>0.12831663977297403</v>
      </c>
      <c r="C2315" s="32">
        <f ca="1">((((1+B2315)^(A2315/252))/((1+B2314)^(A2314/252)))^(252/1))-1</f>
        <v>0.12553225016464986</v>
      </c>
      <c r="D2315" s="30">
        <v>0.12831663977297403</v>
      </c>
      <c r="E2315" s="31">
        <f ca="1">B2315-D2315</f>
        <v>0</v>
      </c>
    </row>
    <row r="2316" spans="1:5" x14ac:dyDescent="0.25">
      <c r="A2316" s="21">
        <v>2315</v>
      </c>
      <c r="B2316" s="5" cm="1">
        <f t="array" aca="1" ref="B2316" ca="1">interpolexp(A2316,serie_du,Taxas_DI)</f>
        <v>0.12831543552573876</v>
      </c>
      <c r="C2316" s="32">
        <f ca="1">((((1+B2316)^(A2316/252))/((1+B2315)^(A2315/252)))^(252/1))-1</f>
        <v>0.12553224717723221</v>
      </c>
      <c r="D2316" s="30">
        <v>0.12831543552573876</v>
      </c>
      <c r="E2316" s="31">
        <f ca="1">B2316-D2316</f>
        <v>0</v>
      </c>
    </row>
    <row r="2317" spans="1:5" x14ac:dyDescent="0.25">
      <c r="A2317" s="21">
        <v>2316</v>
      </c>
      <c r="B2317" s="5" cm="1">
        <f t="array" aca="1" ref="B2317" ca="1">interpolexp(A2317,serie_du,Taxas_DI)</f>
        <v>0.12831423231847161</v>
      </c>
      <c r="C2317" s="32">
        <f ca="1">((((1+B2317)^(A2317/252))/((1+B2316)^(A2316/252)))^(252/1))-1</f>
        <v>0.12553224428330001</v>
      </c>
      <c r="D2317" s="30">
        <v>0.12831423231847161</v>
      </c>
      <c r="E2317" s="31">
        <f ca="1">B2317-D2317</f>
        <v>0</v>
      </c>
    </row>
    <row r="2318" spans="1:5" x14ac:dyDescent="0.25">
      <c r="A2318" s="21">
        <v>2317</v>
      </c>
      <c r="B2318" s="5" cm="1">
        <f t="array" aca="1" ref="B2318" ca="1">interpolexp(A2318,serie_du,Taxas_DI)</f>
        <v>0.1283130301498181</v>
      </c>
      <c r="C2318" s="32">
        <f ca="1">((((1+B2318)^(A2318/252))/((1+B2317)^(A2317/252)))^(252/1))-1</f>
        <v>0.12553224137466934</v>
      </c>
      <c r="D2318" s="30">
        <v>0.1283130301498181</v>
      </c>
      <c r="E2318" s="31">
        <f ca="1">B2318-D2318</f>
        <v>0</v>
      </c>
    </row>
    <row r="2319" spans="1:5" x14ac:dyDescent="0.25">
      <c r="A2319" s="21">
        <v>2318</v>
      </c>
      <c r="B2319" s="5" cm="1">
        <f t="array" aca="1" ref="B2319" ca="1">interpolexp(A2319,serie_du,Taxas_DI)</f>
        <v>0.12831182901842375</v>
      </c>
      <c r="C2319" s="32">
        <f ca="1">((((1+B2319)^(A2319/252))/((1+B2318)^(A2318/252)))^(252/1))-1</f>
        <v>0.1255322384460722</v>
      </c>
      <c r="D2319" s="30">
        <v>0.12831182901842375</v>
      </c>
      <c r="E2319" s="31">
        <f ca="1">B2319-D2319</f>
        <v>0</v>
      </c>
    </row>
    <row r="2320" spans="1:5" x14ac:dyDescent="0.25">
      <c r="A2320" s="21">
        <v>2319</v>
      </c>
      <c r="B2320" s="5" cm="1">
        <f t="array" aca="1" ref="B2320" ca="1">interpolexp(A2320,serie_du,Taxas_DI)</f>
        <v>0.1283106289229341</v>
      </c>
      <c r="C2320" s="32">
        <f ca="1">((((1+B2320)^(A2320/252))/((1+B2319)^(A2319/252)))^(252/1))-1</f>
        <v>0.12553223549240888</v>
      </c>
      <c r="D2320" s="30">
        <v>0.1283106289229341</v>
      </c>
      <c r="E2320" s="31">
        <f ca="1">B2320-D2320</f>
        <v>0</v>
      </c>
    </row>
    <row r="2321" spans="1:5" x14ac:dyDescent="0.25">
      <c r="A2321" s="21">
        <v>2320</v>
      </c>
      <c r="B2321" s="5" cm="1">
        <f t="array" aca="1" ref="B2321" ca="1">interpolexp(A2321,serie_du,Taxas_DI)</f>
        <v>0.12830942986203908</v>
      </c>
      <c r="C2321" s="32">
        <f ca="1">((((1+B2321)^(A2321/252))/((1+B2320)^(A2320/252)))^(252/1))-1</f>
        <v>0.12553223261037738</v>
      </c>
      <c r="D2321" s="30">
        <v>0.12830942986203908</v>
      </c>
      <c r="E2321" s="31">
        <f ca="1">B2321-D2321</f>
        <v>0</v>
      </c>
    </row>
    <row r="2322" spans="1:5" x14ac:dyDescent="0.25">
      <c r="A2322" s="21">
        <v>2321</v>
      </c>
      <c r="B2322" s="5" cm="1">
        <f t="array" aca="1" ref="B2322" ca="1">interpolexp(A2322,serie_du,Taxas_DI)</f>
        <v>0.12830823183436202</v>
      </c>
      <c r="C2322" s="32">
        <f ca="1">((((1+B2322)^(A2322/252))/((1+B2321)^(A2321/252)))^(252/1))-1</f>
        <v>0.12553222964113786</v>
      </c>
      <c r="D2322" s="30">
        <v>0.12830823183436202</v>
      </c>
      <c r="E2322" s="31">
        <f ca="1">B2322-D2322</f>
        <v>0</v>
      </c>
    </row>
    <row r="2323" spans="1:5" x14ac:dyDescent="0.25">
      <c r="A2323" s="21">
        <v>2322</v>
      </c>
      <c r="B2323" s="5" cm="1">
        <f t="array" aca="1" ref="B2323" ca="1">interpolexp(A2323,serie_du,Taxas_DI)</f>
        <v>0.12830703483861505</v>
      </c>
      <c r="C2323" s="32">
        <f ca="1">((((1+B2323)^(A2323/252))/((1+B2322)^(A2322/252)))^(252/1))-1</f>
        <v>0.12553222678460929</v>
      </c>
      <c r="D2323" s="30">
        <v>0.12830703483861505</v>
      </c>
      <c r="E2323" s="31">
        <f ca="1">B2323-D2323</f>
        <v>0</v>
      </c>
    </row>
    <row r="2324" spans="1:5" x14ac:dyDescent="0.25">
      <c r="A2324" s="21">
        <v>2323</v>
      </c>
      <c r="B2324" s="5" cm="1">
        <f t="array" aca="1" ref="B2324" ca="1">interpolexp(A2324,serie_du,Taxas_DI)</f>
        <v>0.12830583887344371</v>
      </c>
      <c r="C2324" s="32">
        <f ca="1">((((1+B2324)^(A2324/252))/((1+B2323)^(A2323/252)))^(252/1))-1</f>
        <v>0.12553222388131524</v>
      </c>
      <c r="D2324" s="30">
        <v>0.12830583887344371</v>
      </c>
      <c r="E2324" s="31">
        <f ca="1">B2324-D2324</f>
        <v>0</v>
      </c>
    </row>
    <row r="2325" spans="1:5" x14ac:dyDescent="0.25">
      <c r="A2325" s="21">
        <v>2324</v>
      </c>
      <c r="B2325" s="5" cm="1">
        <f t="array" aca="1" ref="B2325" ca="1">interpolexp(A2325,serie_du,Taxas_DI)</f>
        <v>0.12830464393749352</v>
      </c>
      <c r="C2325" s="32">
        <f ca="1">((((1+B2325)^(A2325/252))/((1+B2324)^(A2324/252)))^(252/1))-1</f>
        <v>0.12553222092604277</v>
      </c>
      <c r="D2325" s="30">
        <v>0.12830464393749352</v>
      </c>
      <c r="E2325" s="31">
        <f ca="1">B2325-D2325</f>
        <v>0</v>
      </c>
    </row>
    <row r="2326" spans="1:5" x14ac:dyDescent="0.25">
      <c r="A2326" s="21">
        <v>2325</v>
      </c>
      <c r="B2326" s="5" cm="1">
        <f t="array" aca="1" ref="B2326" ca="1">interpolexp(A2326,serie_du,Taxas_DI)</f>
        <v>0.12830345002947663</v>
      </c>
      <c r="C2326" s="32">
        <f ca="1">((((1+B2326)^(A2326/252))/((1+B2325)^(A2325/252)))^(252/1))-1</f>
        <v>0.12553221806757286</v>
      </c>
      <c r="D2326" s="30">
        <v>0.12830345002947663</v>
      </c>
      <c r="E2326" s="31">
        <f ca="1">B2326-D2326</f>
        <v>0</v>
      </c>
    </row>
    <row r="2327" spans="1:5" x14ac:dyDescent="0.25">
      <c r="A2327" s="21">
        <v>2326</v>
      </c>
      <c r="B2327" s="5" cm="1">
        <f t="array" aca="1" ref="B2327" ca="1">interpolexp(A2327,serie_du,Taxas_DI)</f>
        <v>0.12830225714803856</v>
      </c>
      <c r="C2327" s="32">
        <f ca="1">((((1+B2327)^(A2327/252))/((1+B2326)^(A2326/252)))^(252/1))-1</f>
        <v>0.12553221514624635</v>
      </c>
      <c r="D2327" s="30">
        <v>0.12830225714803856</v>
      </c>
      <c r="E2327" s="31">
        <f ca="1">B2327-D2327</f>
        <v>0</v>
      </c>
    </row>
    <row r="2328" spans="1:5" x14ac:dyDescent="0.25">
      <c r="A2328" s="21">
        <v>2327</v>
      </c>
      <c r="B2328" s="5" cm="1">
        <f t="array" aca="1" ref="B2328" ca="1">interpolexp(A2328,serie_du,Taxas_DI)</f>
        <v>0.12830106529189145</v>
      </c>
      <c r="C2328" s="32">
        <f ca="1">((((1+B2328)^(A2328/252))/((1+B2327)^(A2327/252)))^(252/1))-1</f>
        <v>0.12553221231160672</v>
      </c>
      <c r="D2328" s="30">
        <v>0.12830106529189145</v>
      </c>
      <c r="E2328" s="31">
        <f ca="1">B2328-D2328</f>
        <v>0</v>
      </c>
    </row>
    <row r="2329" spans="1:5" x14ac:dyDescent="0.25">
      <c r="A2329" s="21">
        <v>2328</v>
      </c>
      <c r="B2329" s="5" cm="1">
        <f t="array" aca="1" ref="B2329" ca="1">interpolexp(A2329,serie_du,Taxas_DI)</f>
        <v>0.12829987445968083</v>
      </c>
      <c r="C2329" s="32">
        <f ca="1">((((1+B2329)^(A2329/252))/((1+B2328)^(A2328/252)))^(252/1))-1</f>
        <v>0.12553220940334731</v>
      </c>
      <c r="D2329" s="30">
        <v>0.12829987445968083</v>
      </c>
      <c r="E2329" s="31">
        <f ca="1">B2329-D2329</f>
        <v>0</v>
      </c>
    </row>
    <row r="2330" spans="1:5" x14ac:dyDescent="0.25">
      <c r="A2330" s="21">
        <v>2329</v>
      </c>
      <c r="B2330" s="5" cm="1">
        <f t="array" aca="1" ref="B2330" ca="1">interpolexp(A2330,serie_du,Taxas_DI)</f>
        <v>0.12829868465007443</v>
      </c>
      <c r="C2330" s="32">
        <f ca="1">((((1+B2330)^(A2330/252))/((1+B2329)^(A2329/252)))^(252/1))-1</f>
        <v>0.12553220646811414</v>
      </c>
      <c r="D2330" s="30">
        <v>0.12829868465007443</v>
      </c>
      <c r="E2330" s="31">
        <f ca="1">B2330-D2330</f>
        <v>0</v>
      </c>
    </row>
    <row r="2331" spans="1:5" x14ac:dyDescent="0.25">
      <c r="A2331" s="21">
        <v>2330</v>
      </c>
      <c r="B2331" s="5" cm="1">
        <f t="array" aca="1" ref="B2331" ca="1">interpolexp(A2331,serie_du,Taxas_DI)</f>
        <v>0.12829749586180661</v>
      </c>
      <c r="C2331" s="32">
        <f ca="1">((((1+B2331)^(A2331/252))/((1+B2330)^(A2330/252)))^(252/1))-1</f>
        <v>0.12553220365494244</v>
      </c>
      <c r="D2331" s="30">
        <v>0.12829749586180661</v>
      </c>
      <c r="E2331" s="31">
        <f ca="1">B2331-D2331</f>
        <v>0</v>
      </c>
    </row>
    <row r="2332" spans="1:5" x14ac:dyDescent="0.25">
      <c r="A2332" s="21">
        <v>2331</v>
      </c>
      <c r="B2332" s="5" cm="1">
        <f t="array" aca="1" ref="B2332" ca="1">interpolexp(A2332,serie_du,Taxas_DI)</f>
        <v>0.12829630809352288</v>
      </c>
      <c r="C2332" s="32">
        <f ca="1">((((1+B2332)^(A2332/252))/((1+B2331)^(A2331/252)))^(252/1))-1</f>
        <v>0.12553220075275751</v>
      </c>
      <c r="D2332" s="30">
        <v>0.12829630809352288</v>
      </c>
      <c r="E2332" s="31">
        <f ca="1">B2332-D2332</f>
        <v>0</v>
      </c>
    </row>
    <row r="2333" spans="1:5" x14ac:dyDescent="0.25">
      <c r="A2333" s="21">
        <v>2332</v>
      </c>
      <c r="B2333" s="5" cm="1">
        <f t="array" aca="1" ref="B2333" ca="1">interpolexp(A2333,serie_du,Taxas_DI)</f>
        <v>0.12829512134391319</v>
      </c>
      <c r="C2333" s="32">
        <f ca="1">((((1+B2333)^(A2333/252))/((1+B2332)^(A2332/252)))^(252/1))-1</f>
        <v>0.12553219785887615</v>
      </c>
      <c r="D2333" s="30">
        <v>0.12829512134391319</v>
      </c>
      <c r="E2333" s="31">
        <f ca="1">B2333-D2333</f>
        <v>0</v>
      </c>
    </row>
    <row r="2334" spans="1:5" x14ac:dyDescent="0.25">
      <c r="A2334" s="21">
        <v>2333</v>
      </c>
      <c r="B2334" s="5" cm="1">
        <f t="array" aca="1" ref="B2334" ca="1">interpolexp(A2334,serie_du,Taxas_DI)</f>
        <v>0.12829393561168967</v>
      </c>
      <c r="C2334" s="32">
        <f ca="1">((((1+B2334)^(A2334/252))/((1+B2333)^(A2333/252)))^(252/1))-1</f>
        <v>0.12553219502022084</v>
      </c>
      <c r="D2334" s="30">
        <v>0.12829393561168967</v>
      </c>
      <c r="E2334" s="31">
        <f ca="1">B2334-D2334</f>
        <v>0</v>
      </c>
    </row>
    <row r="2335" spans="1:5" x14ac:dyDescent="0.25">
      <c r="A2335" s="21">
        <v>2334</v>
      </c>
      <c r="B2335" s="5" cm="1">
        <f t="array" aca="1" ref="B2335" ca="1">interpolexp(A2335,serie_du,Taxas_DI)</f>
        <v>0.12829275089552006</v>
      </c>
      <c r="C2335" s="32">
        <f ca="1">((((1+B2335)^(A2335/252))/((1+B2334)^(A2334/252)))^(252/1))-1</f>
        <v>0.12553219212806321</v>
      </c>
      <c r="D2335" s="30">
        <v>0.12829275089552006</v>
      </c>
      <c r="E2335" s="31">
        <f ca="1">B2335-D2335</f>
        <v>0</v>
      </c>
    </row>
    <row r="2336" spans="1:5" x14ac:dyDescent="0.25">
      <c r="A2336" s="21">
        <v>2335</v>
      </c>
      <c r="B2336" s="5" cm="1">
        <f t="array" aca="1" ref="B2336" ca="1">interpolexp(A2336,serie_du,Taxas_DI)</f>
        <v>0.1282915671941165</v>
      </c>
      <c r="C2336" s="32">
        <f ca="1">((((1+B2336)^(A2336/252))/((1+B2335)^(A2335/252)))^(252/1))-1</f>
        <v>0.12553218928047594</v>
      </c>
      <c r="D2336" s="30">
        <v>0.1282915671941165</v>
      </c>
      <c r="E2336" s="31">
        <f ca="1">B2336-D2336</f>
        <v>0</v>
      </c>
    </row>
    <row r="2337" spans="1:5" x14ac:dyDescent="0.25">
      <c r="A2337" s="21">
        <v>2336</v>
      </c>
      <c r="B2337" s="5" cm="1">
        <f t="array" aca="1" ref="B2337" ca="1">interpolexp(A2337,serie_du,Taxas_DI)</f>
        <v>0.12829038450616892</v>
      </c>
      <c r="C2337" s="32">
        <f ca="1">((((1+B2337)^(A2337/252))/((1+B2336)^(A2336/252)))^(252/1))-1</f>
        <v>0.12553218642070818</v>
      </c>
      <c r="D2337" s="30">
        <v>0.12829038450616892</v>
      </c>
      <c r="E2337" s="31">
        <f ca="1">B2337-D2337</f>
        <v>0</v>
      </c>
    </row>
    <row r="2338" spans="1:5" x14ac:dyDescent="0.25">
      <c r="A2338" s="21">
        <v>2337</v>
      </c>
      <c r="B2338" s="5" cm="1">
        <f t="array" aca="1" ref="B2338" ca="1">interpolexp(A2338,serie_du,Taxas_DI)</f>
        <v>0.12828920283038947</v>
      </c>
      <c r="C2338" s="32">
        <f ca="1">((((1+B2338)^(A2338/252))/((1+B2337)^(A2337/252)))^(252/1))-1</f>
        <v>0.12553218359514506</v>
      </c>
      <c r="D2338" s="30">
        <v>0.12828920283038947</v>
      </c>
      <c r="E2338" s="31">
        <f ca="1">B2338-D2338</f>
        <v>0</v>
      </c>
    </row>
    <row r="2339" spans="1:5" x14ac:dyDescent="0.25">
      <c r="A2339" s="21">
        <v>2338</v>
      </c>
      <c r="B2339" s="5" cm="1">
        <f t="array" aca="1" ref="B2339" ca="1">interpolexp(A2339,serie_du,Taxas_DI)</f>
        <v>0.12828802216544588</v>
      </c>
      <c r="C2339" s="32">
        <f ca="1">((((1+B2339)^(A2339/252))/((1+B2338)^(A2338/252)))^(252/1))-1</f>
        <v>0.12553218069517613</v>
      </c>
      <c r="D2339" s="30">
        <v>0.12828802216544588</v>
      </c>
      <c r="E2339" s="31">
        <f ca="1">B2339-D2339</f>
        <v>0</v>
      </c>
    </row>
    <row r="2340" spans="1:5" x14ac:dyDescent="0.25">
      <c r="A2340" s="21">
        <v>2339</v>
      </c>
      <c r="B2340" s="5" cm="1">
        <f t="array" aca="1" ref="B2340" ca="1">interpolexp(A2340,serie_du,Taxas_DI)</f>
        <v>0.1282868425100725</v>
      </c>
      <c r="C2340" s="32">
        <f ca="1">((((1+B2340)^(A2340/252))/((1+B2339)^(A2339/252)))^(252/1))-1</f>
        <v>0.1255321778707732</v>
      </c>
      <c r="D2340" s="30">
        <v>0.1282868425100725</v>
      </c>
      <c r="E2340" s="31">
        <f ca="1">B2340-D2340</f>
        <v>0</v>
      </c>
    </row>
    <row r="2341" spans="1:5" x14ac:dyDescent="0.25">
      <c r="A2341" s="21">
        <v>2340</v>
      </c>
      <c r="B2341" s="5" cm="1">
        <f t="array" aca="1" ref="B2341" ca="1">interpolexp(A2341,serie_du,Taxas_DI)</f>
        <v>0.12828566386298146</v>
      </c>
      <c r="C2341" s="32">
        <f ca="1">((((1+B2341)^(A2341/252))/((1+B2340)^(A2340/252)))^(252/1))-1</f>
        <v>0.12553217506537995</v>
      </c>
      <c r="D2341" s="30">
        <v>0.12828566386298146</v>
      </c>
      <c r="E2341" s="31">
        <f ca="1">B2341-D2341</f>
        <v>0</v>
      </c>
    </row>
    <row r="2342" spans="1:5" x14ac:dyDescent="0.25">
      <c r="A2342" s="21">
        <v>2341</v>
      </c>
      <c r="B2342" s="5" cm="1">
        <f t="array" aca="1" ref="B2342" ca="1">interpolexp(A2342,serie_du,Taxas_DI)</f>
        <v>0.1282844862228405</v>
      </c>
      <c r="C2342" s="32">
        <f ca="1">((((1+B2342)^(A2342/252))/((1+B2341)^(A2341/252)))^(252/1))-1</f>
        <v>0.12553217216953261</v>
      </c>
      <c r="D2342" s="30">
        <v>0.1282844862228405</v>
      </c>
      <c r="E2342" s="31">
        <f ca="1">B2342-D2342</f>
        <v>0</v>
      </c>
    </row>
    <row r="2343" spans="1:5" x14ac:dyDescent="0.25">
      <c r="A2343" s="21">
        <v>2342</v>
      </c>
      <c r="B2343" s="5" cm="1">
        <f t="array" aca="1" ref="B2343" ca="1">interpolexp(A2343,serie_du,Taxas_DI)</f>
        <v>0.12828330958840617</v>
      </c>
      <c r="C2343" s="32">
        <f ca="1">((((1+B2343)^(A2343/252))/((1+B2342)^(A2342/252)))^(252/1))-1</f>
        <v>0.12553216938615752</v>
      </c>
      <c r="D2343" s="30">
        <v>0.12828330958840617</v>
      </c>
      <c r="E2343" s="31">
        <f ca="1">B2343-D2343</f>
        <v>0</v>
      </c>
    </row>
    <row r="2344" spans="1:5" x14ac:dyDescent="0.25">
      <c r="A2344" s="21">
        <v>2343</v>
      </c>
      <c r="B2344" s="5" cm="1">
        <f t="array" aca="1" ref="B2344" ca="1">interpolexp(A2344,serie_du,Taxas_DI)</f>
        <v>0.1282821339583462</v>
      </c>
      <c r="C2344" s="32">
        <f ca="1">((((1+B2344)^(A2344/252))/((1+B2343)^(A2343/252)))^(252/1))-1</f>
        <v>0.12553216650211385</v>
      </c>
      <c r="D2344" s="30">
        <v>0.1282821339583462</v>
      </c>
      <c r="E2344" s="31">
        <f ca="1">B2344-D2344</f>
        <v>0</v>
      </c>
    </row>
    <row r="2345" spans="1:5" x14ac:dyDescent="0.25">
      <c r="A2345" s="21">
        <v>2344</v>
      </c>
      <c r="B2345" s="5" cm="1">
        <f t="array" aca="1" ref="B2345" ca="1">interpolexp(A2345,serie_du,Taxas_DI)</f>
        <v>0.12828095933141714</v>
      </c>
      <c r="C2345" s="32">
        <f ca="1">((((1+B2345)^(A2345/252))/((1+B2344)^(A2344/252)))^(252/1))-1</f>
        <v>0.12553216372003217</v>
      </c>
      <c r="D2345" s="30">
        <v>0.12828095933141714</v>
      </c>
      <c r="E2345" s="31">
        <f ca="1">B2345-D2345</f>
        <v>0</v>
      </c>
    </row>
    <row r="2346" spans="1:5" x14ac:dyDescent="0.25">
      <c r="A2346" s="21">
        <v>2345</v>
      </c>
      <c r="B2346" s="5" cm="1">
        <f t="array" aca="1" ref="B2346" ca="1">interpolexp(A2346,serie_du,Taxas_DI)</f>
        <v>0.12827978570630894</v>
      </c>
      <c r="C2346" s="32">
        <f ca="1">((((1+B2346)^(A2346/252))/((1+B2345)^(A2345/252)))^(252/1))-1</f>
        <v>0.12553216087885288</v>
      </c>
      <c r="D2346" s="30">
        <v>0.12827978570630894</v>
      </c>
      <c r="E2346" s="31">
        <f ca="1">B2346-D2346</f>
        <v>0</v>
      </c>
    </row>
    <row r="2347" spans="1:5" x14ac:dyDescent="0.25">
      <c r="A2347" s="21">
        <v>2346</v>
      </c>
      <c r="B2347" s="5" cm="1">
        <f t="array" aca="1" ref="B2347" ca="1">interpolexp(A2347,serie_du,Taxas_DI)</f>
        <v>0.12827861308173372</v>
      </c>
      <c r="C2347" s="32">
        <f ca="1">((((1+B2347)^(A2347/252))/((1+B2346)^(A2346/252)))^(252/1))-1</f>
        <v>0.12553215802583351</v>
      </c>
      <c r="D2347" s="30">
        <v>0.12827861308173372</v>
      </c>
      <c r="E2347" s="31">
        <f ca="1">B2347-D2347</f>
        <v>0</v>
      </c>
    </row>
    <row r="2348" spans="1:5" x14ac:dyDescent="0.25">
      <c r="A2348" s="21">
        <v>2347</v>
      </c>
      <c r="B2348" s="5" cm="1">
        <f t="array" aca="1" ref="B2348" ca="1">interpolexp(A2348,serie_du,Taxas_DI)</f>
        <v>0.12827744145644804</v>
      </c>
      <c r="C2348" s="32">
        <f ca="1">((((1+B2348)^(A2348/252))/((1+B2347)^(A2347/252)))^(252/1))-1</f>
        <v>0.12553215525925476</v>
      </c>
      <c r="D2348" s="30">
        <v>0.12827744145644804</v>
      </c>
      <c r="E2348" s="31">
        <f ca="1">B2348-D2348</f>
        <v>0</v>
      </c>
    </row>
    <row r="2349" spans="1:5" x14ac:dyDescent="0.25">
      <c r="A2349" s="21">
        <v>2348</v>
      </c>
      <c r="B2349" s="5" cm="1">
        <f t="array" aca="1" ref="B2349" ca="1">interpolexp(A2349,serie_du,Taxas_DI)</f>
        <v>0.12827627082914184</v>
      </c>
      <c r="C2349" s="32">
        <f ca="1">((((1+B2349)^(A2349/252))/((1+B2348)^(A2348/252)))^(252/1))-1</f>
        <v>0.12553215241852089</v>
      </c>
      <c r="D2349" s="30">
        <v>0.12827627082914184</v>
      </c>
      <c r="E2349" s="31">
        <f ca="1">B2349-D2349</f>
        <v>0</v>
      </c>
    </row>
    <row r="2350" spans="1:5" x14ac:dyDescent="0.25">
      <c r="A2350" s="21">
        <v>2349</v>
      </c>
      <c r="B2350" s="5" cm="1">
        <f t="array" aca="1" ref="B2350" ca="1">interpolexp(A2350,serie_du,Taxas_DI)</f>
        <v>0.12827510119854946</v>
      </c>
      <c r="C2350" s="32">
        <f ca="1">((((1+B2350)^(A2350/252))/((1+B2349)^(A2349/252)))^(252/1))-1</f>
        <v>0.12553214960208603</v>
      </c>
      <c r="D2350" s="30">
        <v>0.12827510119854946</v>
      </c>
      <c r="E2350" s="31">
        <f ca="1">B2350-D2350</f>
        <v>0</v>
      </c>
    </row>
    <row r="2351" spans="1:5" x14ac:dyDescent="0.25">
      <c r="A2351" s="21">
        <v>2350</v>
      </c>
      <c r="B2351" s="5" cm="1">
        <f t="array" aca="1" ref="B2351" ca="1">interpolexp(A2351,serie_du,Taxas_DI)</f>
        <v>0.12827393256340525</v>
      </c>
      <c r="C2351" s="32">
        <f ca="1">((((1+B2351)^(A2351/252))/((1+B2350)^(A2350/252)))^(252/1))-1</f>
        <v>0.12553214680514779</v>
      </c>
      <c r="D2351" s="30">
        <v>0.12827393256340525</v>
      </c>
      <c r="E2351" s="31">
        <f ca="1">B2351-D2351</f>
        <v>0</v>
      </c>
    </row>
    <row r="2352" spans="1:5" x14ac:dyDescent="0.25">
      <c r="A2352" s="21">
        <v>2351</v>
      </c>
      <c r="B2352" s="5" cm="1">
        <f t="array" aca="1" ref="B2352" ca="1">interpolexp(A2352,serie_du,Taxas_DI)</f>
        <v>0.12827276492242135</v>
      </c>
      <c r="C2352" s="32">
        <f ca="1">((((1+B2352)^(A2352/252))/((1+B2351)^(A2351/252)))^(252/1))-1</f>
        <v>0.12553214397052881</v>
      </c>
      <c r="D2352" s="30">
        <v>0.12827276492242135</v>
      </c>
      <c r="E2352" s="31">
        <f ca="1">B2352-D2352</f>
        <v>0</v>
      </c>
    </row>
    <row r="2353" spans="1:5" x14ac:dyDescent="0.25">
      <c r="A2353" s="21">
        <v>2352</v>
      </c>
      <c r="B2353" s="5" cm="1">
        <f t="array" aca="1" ref="B2353" ca="1">interpolexp(A2353,serie_du,Taxas_DI)</f>
        <v>0.1282715982743543</v>
      </c>
      <c r="C2353" s="32">
        <f ca="1">((((1+B2353)^(A2353/252))/((1+B2352)^(A2352/252)))^(252/1))-1</f>
        <v>0.12553214119727651</v>
      </c>
      <c r="D2353" s="30">
        <v>0.1282715982743543</v>
      </c>
      <c r="E2353" s="31">
        <f ca="1">B2353-D2353</f>
        <v>0</v>
      </c>
    </row>
    <row r="2354" spans="1:5" x14ac:dyDescent="0.25">
      <c r="A2354" s="21">
        <v>2353</v>
      </c>
      <c r="B2354" s="5" cm="1">
        <f t="array" aca="1" ref="B2354" ca="1">interpolexp(A2354,serie_du,Taxas_DI)</f>
        <v>0.12827043261793847</v>
      </c>
      <c r="C2354" s="32">
        <f ca="1">((((1+B2354)^(A2354/252))/((1+B2353)^(A2353/252)))^(252/1))-1</f>
        <v>0.12553213842828148</v>
      </c>
      <c r="D2354" s="30">
        <v>0.12827043261793847</v>
      </c>
      <c r="E2354" s="31">
        <f ca="1">B2354-D2354</f>
        <v>0</v>
      </c>
    </row>
    <row r="2355" spans="1:5" x14ac:dyDescent="0.25">
      <c r="A2355" s="21">
        <v>2354</v>
      </c>
      <c r="B2355" s="5" cm="1">
        <f t="array" aca="1" ref="B2355" ca="1">interpolexp(A2355,serie_du,Taxas_DI)</f>
        <v>0.12826926795188598</v>
      </c>
      <c r="C2355" s="32">
        <f ca="1">((((1+B2355)^(A2355/252))/((1+B2354)^(A2354/252)))^(252/1))-1</f>
        <v>0.12553213560643361</v>
      </c>
      <c r="D2355" s="30">
        <v>0.12826926795188598</v>
      </c>
      <c r="E2355" s="31">
        <f ca="1">B2355-D2355</f>
        <v>0</v>
      </c>
    </row>
    <row r="2356" spans="1:5" x14ac:dyDescent="0.25">
      <c r="A2356" s="21">
        <v>2355</v>
      </c>
      <c r="B2356" s="5" cm="1">
        <f t="array" aca="1" ref="B2356" ca="1">interpolexp(A2356,serie_du,Taxas_DI)</f>
        <v>0.12826810427495339</v>
      </c>
      <c r="C2356" s="32">
        <f ca="1">((((1+B2356)^(A2356/252))/((1+B2355)^(A2355/252)))^(252/1))-1</f>
        <v>0.12553213283079856</v>
      </c>
      <c r="D2356" s="30">
        <v>0.12826810427495339</v>
      </c>
      <c r="E2356" s="31">
        <f ca="1">B2356-D2356</f>
        <v>0</v>
      </c>
    </row>
    <row r="2357" spans="1:5" x14ac:dyDescent="0.25">
      <c r="A2357" s="21">
        <v>2356</v>
      </c>
      <c r="B2357" s="5" cm="1">
        <f t="array" aca="1" ref="B2357" ca="1">interpolexp(A2357,serie_du,Taxas_DI)</f>
        <v>0.12826694158585283</v>
      </c>
      <c r="C2357" s="32">
        <f ca="1">((((1+B2357)^(A2357/252))/((1+B2356)^(A2356/252)))^(252/1))-1</f>
        <v>0.12553212999204244</v>
      </c>
      <c r="D2357" s="30">
        <v>0.12826694158585283</v>
      </c>
      <c r="E2357" s="31">
        <f ca="1">B2357-D2357</f>
        <v>0</v>
      </c>
    </row>
    <row r="2358" spans="1:5" x14ac:dyDescent="0.25">
      <c r="A2358" s="21">
        <v>2357</v>
      </c>
      <c r="B2358" s="5" cm="1">
        <f t="array" aca="1" ref="B2358" ca="1">interpolexp(A2358,serie_du,Taxas_DI)</f>
        <v>0.12826577988338528</v>
      </c>
      <c r="C2358" s="32">
        <f ca="1">((((1+B2358)^(A2358/252))/((1+B2357)^(A2357/252)))^(252/1))-1</f>
        <v>0.12553212729376817</v>
      </c>
      <c r="D2358" s="30">
        <v>0.12826577988338528</v>
      </c>
      <c r="E2358" s="31">
        <f ca="1">B2358-D2358</f>
        <v>0</v>
      </c>
    </row>
    <row r="2359" spans="1:5" x14ac:dyDescent="0.25">
      <c r="A2359" s="21">
        <v>2358</v>
      </c>
      <c r="B2359" s="5" cm="1">
        <f t="array" aca="1" ref="B2359" ca="1">interpolexp(A2359,serie_du,Taxas_DI)</f>
        <v>0.12826461916624066</v>
      </c>
      <c r="C2359" s="32">
        <f ca="1">((((1+B2359)^(A2359/252))/((1+B2358)^(A2358/252)))^(252/1))-1</f>
        <v>0.12553212447035356</v>
      </c>
      <c r="D2359" s="30">
        <v>0.12826461916624066</v>
      </c>
      <c r="E2359" s="31">
        <f ca="1">B2359-D2359</f>
        <v>0</v>
      </c>
    </row>
    <row r="2360" spans="1:5" x14ac:dyDescent="0.25">
      <c r="A2360" s="21">
        <v>2359</v>
      </c>
      <c r="B2360" s="5" cm="1">
        <f t="array" aca="1" ref="B2360" ca="1">interpolexp(A2360,serie_du,Taxas_DI)</f>
        <v>0.12826345943317552</v>
      </c>
      <c r="C2360" s="32">
        <f ca="1">((((1+B2360)^(A2360/252))/((1+B2359)^(A2359/252)))^(252/1))-1</f>
        <v>0.12553212167303962</v>
      </c>
      <c r="D2360" s="30">
        <v>0.12826345943317552</v>
      </c>
      <c r="E2360" s="31">
        <f ca="1">B2360-D2360</f>
        <v>0</v>
      </c>
    </row>
    <row r="2361" spans="1:5" x14ac:dyDescent="0.25">
      <c r="A2361" s="21">
        <v>2360</v>
      </c>
      <c r="B2361" s="5" cm="1">
        <f t="array" aca="1" ref="B2361" ca="1">interpolexp(A2361,serie_du,Taxas_DI)</f>
        <v>0.12826230068296862</v>
      </c>
      <c r="C2361" s="32">
        <f ca="1">((((1+B2361)^(A2361/252))/((1+B2360)^(A2360/252)))^(252/1))-1</f>
        <v>0.12553211894933458</v>
      </c>
      <c r="D2361" s="30">
        <v>0.12826230068296862</v>
      </c>
      <c r="E2361" s="31">
        <f ca="1">B2361-D2361</f>
        <v>0</v>
      </c>
    </row>
    <row r="2362" spans="1:5" x14ac:dyDescent="0.25">
      <c r="A2362" s="21">
        <v>2361</v>
      </c>
      <c r="B2362" s="5" cm="1">
        <f t="array" aca="1" ref="B2362" ca="1">interpolexp(A2362,serie_du,Taxas_DI)</f>
        <v>0.1282611429143321</v>
      </c>
      <c r="C2362" s="32">
        <f ca="1">((((1+B2362)^(A2362/252))/((1+B2361)^(A2361/252)))^(252/1))-1</f>
        <v>0.1255321161371743</v>
      </c>
      <c r="D2362" s="30">
        <v>0.1282611429143321</v>
      </c>
      <c r="E2362" s="31">
        <f ca="1">B2362-D2362</f>
        <v>0</v>
      </c>
    </row>
    <row r="2363" spans="1:5" x14ac:dyDescent="0.25">
      <c r="A2363" s="21">
        <v>2362</v>
      </c>
      <c r="B2363" s="5" cm="1">
        <f t="array" aca="1" ref="B2363" ca="1">interpolexp(A2363,serie_du,Taxas_DI)</f>
        <v>0.12825998612604472</v>
      </c>
      <c r="C2363" s="32">
        <f ca="1">((((1+B2363)^(A2363/252))/((1+B2362)^(A2362/252)))^(252/1))-1</f>
        <v>0.12553211338853099</v>
      </c>
      <c r="D2363" s="30">
        <v>0.12825998612604472</v>
      </c>
      <c r="E2363" s="31">
        <f ca="1">B2363-D2363</f>
        <v>0</v>
      </c>
    </row>
    <row r="2364" spans="1:5" x14ac:dyDescent="0.25">
      <c r="A2364" s="21">
        <v>2363</v>
      </c>
      <c r="B2364" s="5" cm="1">
        <f t="array" aca="1" ref="B2364" ca="1">interpolexp(A2364,serie_du,Taxas_DI)</f>
        <v>0.12825883031686303</v>
      </c>
      <c r="C2364" s="32">
        <f ca="1">((((1+B2364)^(A2364/252))/((1+B2363)^(A2363/252)))^(252/1))-1</f>
        <v>0.12553211064643821</v>
      </c>
      <c r="D2364" s="30">
        <v>0.12825883031686303</v>
      </c>
      <c r="E2364" s="31">
        <f ca="1">B2364-D2364</f>
        <v>0</v>
      </c>
    </row>
    <row r="2365" spans="1:5" x14ac:dyDescent="0.25">
      <c r="A2365" s="21">
        <v>2364</v>
      </c>
      <c r="B2365" s="5" cm="1">
        <f t="array" aca="1" ref="B2365" ca="1">interpolexp(A2365,serie_du,Taxas_DI)</f>
        <v>0.12825767548554357</v>
      </c>
      <c r="C2365" s="32">
        <f ca="1">((((1+B2365)^(A2365/252))/((1+B2364)^(A2364/252)))^(252/1))-1</f>
        <v>0.12553210790546898</v>
      </c>
      <c r="D2365" s="30">
        <v>0.12825767548554357</v>
      </c>
      <c r="E2365" s="31">
        <f ca="1">B2365-D2365</f>
        <v>0</v>
      </c>
    </row>
    <row r="2366" spans="1:5" x14ac:dyDescent="0.25">
      <c r="A2366" s="21">
        <v>2365</v>
      </c>
      <c r="B2366" s="5" cm="1">
        <f t="array" aca="1" ref="B2366" ca="1">interpolexp(A2366,serie_du,Taxas_DI)</f>
        <v>0.12825652163082069</v>
      </c>
      <c r="C2366" s="32">
        <f ca="1">((((1+B2366)^(A2366/252))/((1+B2365)^(A2365/252)))^(252/1))-1</f>
        <v>0.12553210510853408</v>
      </c>
      <c r="D2366" s="30">
        <v>0.12825652163082069</v>
      </c>
      <c r="E2366" s="31">
        <f ca="1">B2366-D2366</f>
        <v>0</v>
      </c>
    </row>
    <row r="2367" spans="1:5" x14ac:dyDescent="0.25">
      <c r="A2367" s="21">
        <v>2366</v>
      </c>
      <c r="B2367" s="5" cm="1">
        <f t="array" aca="1" ref="B2367" ca="1">interpolexp(A2367,serie_du,Taxas_DI)</f>
        <v>0.12825536875149535</v>
      </c>
      <c r="C2367" s="32">
        <f ca="1">((((1+B2367)^(A2367/252))/((1+B2366)^(A2366/252)))^(252/1))-1</f>
        <v>0.12553210240780355</v>
      </c>
      <c r="D2367" s="30">
        <v>0.12825536875149535</v>
      </c>
      <c r="E2367" s="31">
        <f ca="1">B2367-D2367</f>
        <v>0</v>
      </c>
    </row>
    <row r="2368" spans="1:5" x14ac:dyDescent="0.25">
      <c r="A2368" s="21">
        <v>2367</v>
      </c>
      <c r="B2368" s="5" cm="1">
        <f t="array" aca="1" ref="B2368" ca="1">interpolexp(A2368,serie_du,Taxas_DI)</f>
        <v>0.12825421684627969</v>
      </c>
      <c r="C2368" s="32">
        <f ca="1">((((1+B2368)^(A2368/252))/((1+B2367)^(A2367/252)))^(252/1))-1</f>
        <v>0.12553209958872436</v>
      </c>
      <c r="D2368" s="30">
        <v>0.12825421684627969</v>
      </c>
      <c r="E2368" s="31">
        <f ca="1">B2368-D2368</f>
        <v>0</v>
      </c>
    </row>
    <row r="2369" spans="1:5" x14ac:dyDescent="0.25">
      <c r="A2369" s="21">
        <v>2368</v>
      </c>
      <c r="B2369" s="5" cm="1">
        <f t="array" aca="1" ref="B2369" ca="1">interpolexp(A2369,serie_du,Taxas_DI)</f>
        <v>0.12825306591399688</v>
      </c>
      <c r="C2369" s="32">
        <f ca="1">((((1+B2369)^(A2369/252))/((1+B2368)^(A2368/252)))^(252/1))-1</f>
        <v>0.12553209690838374</v>
      </c>
      <c r="D2369" s="30">
        <v>0.12825306591399688</v>
      </c>
      <c r="E2369" s="31">
        <f ca="1">B2369-D2369</f>
        <v>0</v>
      </c>
    </row>
    <row r="2370" spans="1:5" x14ac:dyDescent="0.25">
      <c r="A2370" s="21">
        <v>2369</v>
      </c>
      <c r="B2370" s="5" cm="1">
        <f t="array" aca="1" ref="B2370" ca="1">interpolexp(A2370,serie_du,Taxas_DI)</f>
        <v>0.12825191595338126</v>
      </c>
      <c r="C2370" s="32">
        <f ca="1">((((1+B2370)^(A2370/252))/((1+B2369)^(A2369/252)))^(252/1))-1</f>
        <v>0.12553209415211875</v>
      </c>
      <c r="D2370" s="30">
        <v>0.12825191595338126</v>
      </c>
      <c r="E2370" s="31">
        <f ca="1">B2370-D2370</f>
        <v>0</v>
      </c>
    </row>
    <row r="2371" spans="1:5" x14ac:dyDescent="0.25">
      <c r="A2371" s="21">
        <v>2370</v>
      </c>
      <c r="B2371" s="5" cm="1">
        <f t="array" aca="1" ref="B2371" ca="1">interpolexp(A2371,serie_du,Taxas_DI)</f>
        <v>0.12825076696318938</v>
      </c>
      <c r="C2371" s="32">
        <f ca="1">((((1+B2371)^(A2371/252))/((1+B2370)^(A2370/252)))^(252/1))-1</f>
        <v>0.12553209136764298</v>
      </c>
      <c r="D2371" s="30">
        <v>0.12825076696318938</v>
      </c>
      <c r="E2371" s="31">
        <f ca="1">B2371-D2371</f>
        <v>0</v>
      </c>
    </row>
    <row r="2372" spans="1:5" x14ac:dyDescent="0.25">
      <c r="A2372" s="21">
        <v>2371</v>
      </c>
      <c r="B2372" s="5" cm="1">
        <f t="array" aca="1" ref="B2372" ca="1">interpolexp(A2372,serie_du,Taxas_DI)</f>
        <v>0.1282496189422444</v>
      </c>
      <c r="C2372" s="32">
        <f ca="1">((((1+B2372)^(A2372/252))/((1+B2371)^(A2371/252)))^(252/1))-1</f>
        <v>0.1255320887072755</v>
      </c>
      <c r="D2372" s="30">
        <v>0.1282496189422444</v>
      </c>
      <c r="E2372" s="31">
        <f ca="1">B2372-D2372</f>
        <v>0</v>
      </c>
    </row>
    <row r="2373" spans="1:5" x14ac:dyDescent="0.25">
      <c r="A2373" s="21">
        <v>2372</v>
      </c>
      <c r="B2373" s="5" cm="1">
        <f t="array" aca="1" ref="B2373" ca="1">interpolexp(A2373,serie_du,Taxas_DI)</f>
        <v>0.12824847188928068</v>
      </c>
      <c r="C2373" s="32">
        <f ca="1">((((1+B2373)^(A2373/252))/((1+B2372)^(A2372/252)))^(252/1))-1</f>
        <v>0.12553208595624166</v>
      </c>
      <c r="D2373" s="30">
        <v>0.12824847188928068</v>
      </c>
      <c r="E2373" s="31">
        <f ca="1">B2373-D2373</f>
        <v>0</v>
      </c>
    </row>
    <row r="2374" spans="1:5" x14ac:dyDescent="0.25">
      <c r="A2374" s="21">
        <v>2373</v>
      </c>
      <c r="B2374" s="5" cm="1">
        <f t="array" aca="1" ref="B2374" ca="1">interpolexp(A2374,serie_du,Taxas_DI)</f>
        <v>0.12824732580307696</v>
      </c>
      <c r="C2374" s="32">
        <f ca="1">((((1+B2374)^(A2374/252))/((1+B2373)^(A2373/252)))^(252/1))-1</f>
        <v>0.1255320832145177</v>
      </c>
      <c r="D2374" s="30">
        <v>0.12824732580307696</v>
      </c>
      <c r="E2374" s="31">
        <f ca="1">B2374-D2374</f>
        <v>0</v>
      </c>
    </row>
    <row r="2375" spans="1:5" x14ac:dyDescent="0.25">
      <c r="A2375" s="21">
        <v>2374</v>
      </c>
      <c r="B2375" s="5" cm="1">
        <f t="array" aca="1" ref="B2375" ca="1">interpolexp(A2375,serie_du,Taxas_DI)</f>
        <v>0.128246180682412</v>
      </c>
      <c r="C2375" s="32">
        <f ca="1">((((1+B2375)^(A2375/252))/((1+B2374)^(A2374/252)))^(252/1))-1</f>
        <v>0.12553208047757836</v>
      </c>
      <c r="D2375" s="30">
        <v>0.128246180682412</v>
      </c>
      <c r="E2375" s="31">
        <f ca="1">B2375-D2375</f>
        <v>0</v>
      </c>
    </row>
    <row r="2376" spans="1:5" x14ac:dyDescent="0.25">
      <c r="A2376" s="21">
        <v>2375</v>
      </c>
      <c r="B2376" s="5" cm="1">
        <f t="array" aca="1" ref="B2376" ca="1">interpolexp(A2376,serie_du,Taxas_DI)</f>
        <v>0.12824503652608676</v>
      </c>
      <c r="C2376" s="32">
        <f ca="1">((((1+B2376)^(A2376/252))/((1+B2375)^(A2375/252)))^(252/1))-1</f>
        <v>0.12553207779244513</v>
      </c>
      <c r="D2376" s="30">
        <v>0.12824503652608676</v>
      </c>
      <c r="E2376" s="31">
        <f ca="1">B2376-D2376</f>
        <v>0</v>
      </c>
    </row>
    <row r="2377" spans="1:5" x14ac:dyDescent="0.25">
      <c r="A2377" s="21">
        <v>2376</v>
      </c>
      <c r="B2377" s="5" cm="1">
        <f t="array" aca="1" ref="B2377" ca="1">interpolexp(A2377,serie_du,Taxas_DI)</f>
        <v>0.12824389333285779</v>
      </c>
      <c r="C2377" s="32">
        <f ca="1">((((1+B2377)^(A2377/252))/((1+B2376)^(A2376/252)))^(252/1))-1</f>
        <v>0.12553207504998665</v>
      </c>
      <c r="D2377" s="30">
        <v>0.12824389333285779</v>
      </c>
      <c r="E2377" s="31">
        <f ca="1">B2377-D2377</f>
        <v>0</v>
      </c>
    </row>
    <row r="2378" spans="1:5" x14ac:dyDescent="0.25">
      <c r="A2378" s="21">
        <v>2377</v>
      </c>
      <c r="B2378" s="5" cm="1">
        <f t="array" aca="1" ref="B2378" ca="1">interpolexp(A2378,serie_du,Taxas_DI)</f>
        <v>0.12824275110152605</v>
      </c>
      <c r="C2378" s="32">
        <f ca="1">((((1+B2378)^(A2378/252))/((1+B2377)^(A2377/252)))^(252/1))-1</f>
        <v>0.12553207234969554</v>
      </c>
      <c r="D2378" s="30">
        <v>0.12824275110152605</v>
      </c>
      <c r="E2378" s="31">
        <f ca="1">B2378-D2378</f>
        <v>0</v>
      </c>
    </row>
    <row r="2379" spans="1:5" x14ac:dyDescent="0.25">
      <c r="A2379" s="21">
        <v>2378</v>
      </c>
      <c r="B2379" s="5" cm="1">
        <f t="array" aca="1" ref="B2379" ca="1">interpolexp(A2379,serie_du,Taxas_DI)</f>
        <v>0.1282416098308703</v>
      </c>
      <c r="C2379" s="32">
        <f ca="1">((((1+B2379)^(A2379/252))/((1+B2378)^(A2378/252)))^(252/1))-1</f>
        <v>0.12553206963478125</v>
      </c>
      <c r="D2379" s="30">
        <v>0.1282416098308703</v>
      </c>
      <c r="E2379" s="31">
        <f ca="1">B2379-D2379</f>
        <v>0</v>
      </c>
    </row>
    <row r="2380" spans="1:5" x14ac:dyDescent="0.25">
      <c r="A2380" s="21">
        <v>2379</v>
      </c>
      <c r="B2380" s="5" cm="1">
        <f t="array" aca="1" ref="B2380" ca="1">interpolexp(A2380,serie_du,Taxas_DI)</f>
        <v>0.12824046951969148</v>
      </c>
      <c r="C2380" s="32">
        <f ca="1">((((1+B2380)^(A2380/252))/((1+B2379)^(A2379/252)))^(252/1))-1</f>
        <v>0.12553206695240493</v>
      </c>
      <c r="D2380" s="30">
        <v>0.12824046951969148</v>
      </c>
      <c r="E2380" s="31">
        <f ca="1">B2380-D2380</f>
        <v>0</v>
      </c>
    </row>
    <row r="2381" spans="1:5" x14ac:dyDescent="0.25">
      <c r="A2381" s="21">
        <v>2380</v>
      </c>
      <c r="B2381" s="5" cm="1">
        <f t="array" aca="1" ref="B2381" ca="1">interpolexp(A2381,serie_du,Taxas_DI)</f>
        <v>0.12823933016676836</v>
      </c>
      <c r="C2381" s="32">
        <f ca="1">((((1+B2381)^(A2381/252))/((1+B2380)^(A2380/252)))^(252/1))-1</f>
        <v>0.12553206424577068</v>
      </c>
      <c r="D2381" s="30">
        <v>0.12823933016676836</v>
      </c>
      <c r="E2381" s="31">
        <f ca="1">B2381-D2381</f>
        <v>0</v>
      </c>
    </row>
    <row r="2382" spans="1:5" x14ac:dyDescent="0.25">
      <c r="A2382" s="21">
        <v>2381</v>
      </c>
      <c r="B2382" s="5" cm="1">
        <f t="array" aca="1" ref="B2382" ca="1">interpolexp(A2382,serie_du,Taxas_DI)</f>
        <v>0.12823819177087969</v>
      </c>
      <c r="C2382" s="32">
        <f ca="1">((((1+B2382)^(A2382/252))/((1+B2381)^(A2381/252)))^(252/1))-1</f>
        <v>0.12553206150933982</v>
      </c>
      <c r="D2382" s="30">
        <v>0.12823819177087969</v>
      </c>
      <c r="E2382" s="31">
        <f ca="1">B2382-D2382</f>
        <v>0</v>
      </c>
    </row>
    <row r="2383" spans="1:5" x14ac:dyDescent="0.25">
      <c r="A2383" s="21">
        <v>2382</v>
      </c>
      <c r="B2383" s="5" cm="1">
        <f t="array" aca="1" ref="B2383" ca="1">interpolexp(A2383,serie_du,Taxas_DI)</f>
        <v>0.12823705433084864</v>
      </c>
      <c r="C2383" s="32">
        <f ca="1">((((1+B2383)^(A2383/252))/((1+B2382)^(A2382/252)))^(252/1))-1</f>
        <v>0.12553205884427454</v>
      </c>
      <c r="D2383" s="30">
        <v>0.12823705433084864</v>
      </c>
      <c r="E2383" s="31">
        <f ca="1">B2383-D2383</f>
        <v>0</v>
      </c>
    </row>
    <row r="2384" spans="1:5" x14ac:dyDescent="0.25">
      <c r="A2384" s="21">
        <v>2383</v>
      </c>
      <c r="B2384" s="5" cm="1">
        <f t="array" aca="1" ref="B2384" ca="1">interpolexp(A2384,serie_du,Taxas_DI)</f>
        <v>0.12823591784545396</v>
      </c>
      <c r="C2384" s="32">
        <f ca="1">((((1+B2384)^(A2384/252))/((1+B2383)^(A2383/252)))^(252/1))-1</f>
        <v>0.12553205613989937</v>
      </c>
      <c r="D2384" s="30">
        <v>0.12823591784545396</v>
      </c>
      <c r="E2384" s="31">
        <f ca="1">B2384-D2384</f>
        <v>0</v>
      </c>
    </row>
    <row r="2385" spans="1:5" x14ac:dyDescent="0.25">
      <c r="A2385" s="21">
        <v>2384</v>
      </c>
      <c r="B2385" s="5" cm="1">
        <f t="array" aca="1" ref="B2385" ca="1">interpolexp(A2385,serie_du,Taxas_DI)</f>
        <v>0.12823478231349661</v>
      </c>
      <c r="C2385" s="32">
        <f ca="1">((((1+B2385)^(A2385/252))/((1+B2384)^(A2384/252)))^(252/1))-1</f>
        <v>0.12553205344451968</v>
      </c>
      <c r="D2385" s="30">
        <v>0.12823478231349661</v>
      </c>
      <c r="E2385" s="31">
        <f ca="1">B2385-D2385</f>
        <v>0</v>
      </c>
    </row>
    <row r="2386" spans="1:5" x14ac:dyDescent="0.25">
      <c r="A2386" s="21">
        <v>2385</v>
      </c>
      <c r="B2386" s="5" cm="1">
        <f t="array" aca="1" ref="B2386" ca="1">interpolexp(A2386,serie_du,Taxas_DI)</f>
        <v>0.12823364773379975</v>
      </c>
      <c r="C2386" s="32">
        <f ca="1">((((1+B2386)^(A2386/252))/((1+B2385)^(A2385/252)))^(252/1))-1</f>
        <v>0.12553205080580665</v>
      </c>
      <c r="D2386" s="30">
        <v>0.12823364773379975</v>
      </c>
      <c r="E2386" s="31">
        <f ca="1">B2386-D2386</f>
        <v>0</v>
      </c>
    </row>
    <row r="2387" spans="1:5" x14ac:dyDescent="0.25">
      <c r="A2387" s="21">
        <v>2386</v>
      </c>
      <c r="B2387" s="5" cm="1">
        <f t="array" aca="1" ref="B2387" ca="1">interpolexp(A2387,serie_du,Taxas_DI)</f>
        <v>0.12823251410511993</v>
      </c>
      <c r="C2387" s="32">
        <f ca="1">((((1+B2387)^(A2387/252))/((1+B2386)^(A2386/252)))^(252/1))-1</f>
        <v>0.12553204806080442</v>
      </c>
      <c r="D2387" s="30">
        <v>0.12823251410511993</v>
      </c>
      <c r="E2387" s="31">
        <f ca="1">B2387-D2387</f>
        <v>0</v>
      </c>
    </row>
    <row r="2388" spans="1:5" x14ac:dyDescent="0.25">
      <c r="A2388" s="21">
        <v>2387</v>
      </c>
      <c r="B2388" s="5" cm="1">
        <f t="array" aca="1" ref="B2388" ca="1">interpolexp(A2388,serie_du,Taxas_DI)</f>
        <v>0.12823138142630253</v>
      </c>
      <c r="C2388" s="32">
        <f ca="1">((((1+B2388)^(A2388/252))/((1+B2387)^(A2387/252)))^(252/1))-1</f>
        <v>0.12553204541582352</v>
      </c>
      <c r="D2388" s="30">
        <v>0.12823138142630253</v>
      </c>
      <c r="E2388" s="31">
        <f ca="1">B2388-D2388</f>
        <v>0</v>
      </c>
    </row>
    <row r="2389" spans="1:5" x14ac:dyDescent="0.25">
      <c r="A2389" s="21">
        <v>2388</v>
      </c>
      <c r="B2389" s="5" cm="1">
        <f t="array" aca="1" ref="B2389" ca="1">interpolexp(A2389,serie_du,Taxas_DI)</f>
        <v>0.12823024969614849</v>
      </c>
      <c r="C2389" s="32">
        <f ca="1">((((1+B2389)^(A2389/252))/((1+B2388)^(A2388/252)))^(252/1))-1</f>
        <v>0.12553204276067342</v>
      </c>
      <c r="D2389" s="30">
        <v>0.12823024969614849</v>
      </c>
      <c r="E2389" s="31">
        <f ca="1">B2389-D2389</f>
        <v>0</v>
      </c>
    </row>
    <row r="2390" spans="1:5" x14ac:dyDescent="0.25">
      <c r="A2390" s="21">
        <v>2389</v>
      </c>
      <c r="B2390" s="5" cm="1">
        <f t="array" aca="1" ref="B2390" ca="1">interpolexp(A2390,serie_du,Taxas_DI)</f>
        <v>0.12822911891343658</v>
      </c>
      <c r="C2390" s="32">
        <f ca="1">((((1+B2390)^(A2390/252))/((1+B2389)^(A2389/252)))^(252/1))-1</f>
        <v>0.12553204003739715</v>
      </c>
      <c r="D2390" s="30">
        <v>0.12822911891343658</v>
      </c>
      <c r="E2390" s="31">
        <f ca="1">B2390-D2390</f>
        <v>0</v>
      </c>
    </row>
    <row r="2391" spans="1:5" x14ac:dyDescent="0.25">
      <c r="A2391" s="21">
        <v>2390</v>
      </c>
      <c r="B2391" s="5" cm="1">
        <f t="array" aca="1" ref="B2391" ca="1">interpolexp(A2391,serie_du,Taxas_DI)</f>
        <v>0.12822798907701216</v>
      </c>
      <c r="C2391" s="32">
        <f ca="1">((((1+B2391)^(A2391/252))/((1+B2390)^(A2390/252)))^(252/1))-1</f>
        <v>0.12553203740017072</v>
      </c>
      <c r="D2391" s="30">
        <v>0.12822798907701216</v>
      </c>
      <c r="E2391" s="31">
        <f ca="1">B2391-D2391</f>
        <v>0</v>
      </c>
    </row>
    <row r="2392" spans="1:5" x14ac:dyDescent="0.25">
      <c r="A2392" s="21">
        <v>2391</v>
      </c>
      <c r="B2392" s="5" cm="1">
        <f t="array" aca="1" ref="B2392" ca="1">interpolexp(A2392,serie_du,Taxas_DI)</f>
        <v>0.12822686018567619</v>
      </c>
      <c r="C2392" s="32">
        <f ca="1">((((1+B2392)^(A2392/252))/((1+B2391)^(A2391/252)))^(252/1))-1</f>
        <v>0.12553203473814034</v>
      </c>
      <c r="D2392" s="30">
        <v>0.12822686018567619</v>
      </c>
      <c r="E2392" s="31">
        <f ca="1">B2392-D2392</f>
        <v>0</v>
      </c>
    </row>
    <row r="2393" spans="1:5" x14ac:dyDescent="0.25">
      <c r="A2393" s="21">
        <v>2392</v>
      </c>
      <c r="B2393" s="5" cm="1">
        <f t="array" aca="1" ref="B2393" ca="1">interpolexp(A2393,serie_du,Taxas_DI)</f>
        <v>0.12822573223825184</v>
      </c>
      <c r="C2393" s="32">
        <f ca="1">((((1+B2393)^(A2393/252))/((1+B2392)^(A2392/252)))^(252/1))-1</f>
        <v>0.12553203209999331</v>
      </c>
      <c r="D2393" s="30">
        <v>0.12822573223825184</v>
      </c>
      <c r="E2393" s="31">
        <f ca="1">B2393-D2393</f>
        <v>0</v>
      </c>
    </row>
    <row r="2394" spans="1:5" x14ac:dyDescent="0.25">
      <c r="A2394" s="21">
        <v>2393</v>
      </c>
      <c r="B2394" s="5" cm="1">
        <f t="array" aca="1" ref="B2394" ca="1">interpolexp(A2394,serie_du,Taxas_DI)</f>
        <v>0.12822460523351786</v>
      </c>
      <c r="C2394" s="32">
        <f ca="1">((((1+B2394)^(A2394/252))/((1+B2393)^(A2393/252)))^(252/1))-1</f>
        <v>0.12553202937449726</v>
      </c>
      <c r="D2394" s="30">
        <v>0.12822460523351786</v>
      </c>
      <c r="E2394" s="31">
        <f ca="1">B2394-D2394</f>
        <v>0</v>
      </c>
    </row>
    <row r="2395" spans="1:5" x14ac:dyDescent="0.25">
      <c r="A2395" s="21">
        <v>2394</v>
      </c>
      <c r="B2395" s="5" cm="1">
        <f t="array" aca="1" ref="B2395" ca="1">interpolexp(A2395,serie_du,Taxas_DI)</f>
        <v>0.12822347917034183</v>
      </c>
      <c r="C2395" s="32">
        <f ca="1">((((1+B2395)^(A2395/252))/((1+B2394)^(A2394/252)))^(252/1))-1</f>
        <v>0.12553202676925679</v>
      </c>
      <c r="D2395" s="30">
        <v>0.12822347917034183</v>
      </c>
      <c r="E2395" s="31">
        <f ca="1">B2395-D2395</f>
        <v>0</v>
      </c>
    </row>
    <row r="2396" spans="1:5" x14ac:dyDescent="0.25">
      <c r="A2396" s="21">
        <v>2395</v>
      </c>
      <c r="B2396" s="5" cm="1">
        <f t="array" aca="1" ref="B2396" ca="1">interpolexp(A2396,serie_du,Taxas_DI)</f>
        <v>0.12822235404752469</v>
      </c>
      <c r="C2396" s="32">
        <f ca="1">((((1+B2396)^(A2396/252))/((1+B2395)^(A2395/252)))^(252/1))-1</f>
        <v>0.12553202412046982</v>
      </c>
      <c r="D2396" s="30">
        <v>0.12822235404752469</v>
      </c>
      <c r="E2396" s="31">
        <f ca="1">B2396-D2396</f>
        <v>0</v>
      </c>
    </row>
    <row r="2397" spans="1:5" x14ac:dyDescent="0.25">
      <c r="A2397" s="21">
        <v>2396</v>
      </c>
      <c r="B2397" s="5" cm="1">
        <f t="array" aca="1" ref="B2397" ca="1">interpolexp(A2397,serie_du,Taxas_DI)</f>
        <v>0.12822122986388962</v>
      </c>
      <c r="C2397" s="32">
        <f ca="1">((((1+B2397)^(A2397/252))/((1+B2396)^(A2396/252)))^(252/1))-1</f>
        <v>0.12553202147630538</v>
      </c>
      <c r="D2397" s="30">
        <v>0.12822122986388962</v>
      </c>
      <c r="E2397" s="31">
        <f ca="1">B2397-D2397</f>
        <v>0</v>
      </c>
    </row>
    <row r="2398" spans="1:5" x14ac:dyDescent="0.25">
      <c r="A2398" s="21">
        <v>2397</v>
      </c>
      <c r="B2398" s="5" cm="1">
        <f t="array" aca="1" ref="B2398" ca="1">interpolexp(A2398,serie_du,Taxas_DI)</f>
        <v>0.12822010661823757</v>
      </c>
      <c r="C2398" s="32">
        <f ca="1">((((1+B2398)^(A2398/252))/((1+B2397)^(A2397/252)))^(252/1))-1</f>
        <v>0.12553201877922393</v>
      </c>
      <c r="D2398" s="30">
        <v>0.12822010661823757</v>
      </c>
      <c r="E2398" s="31">
        <f ca="1">B2398-D2398</f>
        <v>0</v>
      </c>
    </row>
    <row r="2399" spans="1:5" x14ac:dyDescent="0.25">
      <c r="A2399" s="21">
        <v>2398</v>
      </c>
      <c r="B2399" s="5" cm="1">
        <f t="array" aca="1" ref="B2399" ca="1">interpolexp(A2399,serie_du,Taxas_DI)</f>
        <v>0.12821898430943612</v>
      </c>
      <c r="C2399" s="32">
        <f ca="1">((((1+B2399)^(A2399/252))/((1+B2398)^(A2398/252)))^(252/1))-1</f>
        <v>0.12553201618335175</v>
      </c>
      <c r="D2399" s="30">
        <v>0.12821898430943612</v>
      </c>
      <c r="E2399" s="31">
        <f ca="1">B2399-D2399</f>
        <v>0</v>
      </c>
    </row>
    <row r="2400" spans="1:5" x14ac:dyDescent="0.25">
      <c r="A2400" s="21">
        <v>2399</v>
      </c>
      <c r="B2400" s="5" cm="1">
        <f t="array" aca="1" ref="B2400" ca="1">interpolexp(A2400,serie_du,Taxas_DI)</f>
        <v>0.12821786293628623</v>
      </c>
      <c r="C2400" s="32">
        <f ca="1">((((1+B2400)^(A2400/252))/((1+B2399)^(A2399/252)))^(252/1))-1</f>
        <v>0.12553201352531085</v>
      </c>
      <c r="D2400" s="30">
        <v>0.12821786293628623</v>
      </c>
      <c r="E2400" s="31">
        <f ca="1">B2400-D2400</f>
        <v>0</v>
      </c>
    </row>
    <row r="2401" spans="1:5" x14ac:dyDescent="0.25">
      <c r="A2401" s="21">
        <v>2400</v>
      </c>
      <c r="B2401" s="5" cm="1">
        <f t="array" aca="1" ref="B2401" ca="1">interpolexp(A2401,serie_du,Taxas_DI)</f>
        <v>0.12821674249763326</v>
      </c>
      <c r="C2401" s="32">
        <f ca="1">((((1+B2401)^(A2401/252))/((1+B2400)^(A2400/252)))^(252/1))-1</f>
        <v>0.12553201090628252</v>
      </c>
      <c r="D2401" s="30">
        <v>0.12821674249763326</v>
      </c>
      <c r="E2401" s="31">
        <f ca="1">B2401-D2401</f>
        <v>0</v>
      </c>
    </row>
    <row r="2402" spans="1:5" x14ac:dyDescent="0.25">
      <c r="A2402" s="21">
        <v>2401</v>
      </c>
      <c r="B2402" s="5" cm="1">
        <f t="array" aca="1" ref="B2402" ca="1">interpolexp(A2402,serie_du,Taxas_DI)</f>
        <v>0.12821562299230038</v>
      </c>
      <c r="C2402" s="32">
        <f ca="1">((((1+B2402)^(A2402/252))/((1+B2401)^(A2401/252)))^(252/1))-1</f>
        <v>0.12553200826847122</v>
      </c>
      <c r="D2402" s="30">
        <v>0.12821562299230038</v>
      </c>
      <c r="E2402" s="31">
        <f ca="1">B2402-D2402</f>
        <v>0</v>
      </c>
    </row>
    <row r="2403" spans="1:5" x14ac:dyDescent="0.25">
      <c r="A2403" s="21">
        <v>2402</v>
      </c>
      <c r="B2403" s="5" cm="1">
        <f t="array" aca="1" ref="B2403" ca="1">interpolexp(A2403,serie_du,Taxas_DI)</f>
        <v>0.12821450441911075</v>
      </c>
      <c r="C2403" s="32">
        <f ca="1">((((1+B2403)^(A2403/252))/((1+B2402)^(A2402/252)))^(252/1))-1</f>
        <v>0.12553200560732636</v>
      </c>
      <c r="D2403" s="30">
        <v>0.12821450441911075</v>
      </c>
      <c r="E2403" s="31">
        <f ca="1">B2403-D2403</f>
        <v>0</v>
      </c>
    </row>
    <row r="2404" spans="1:5" x14ac:dyDescent="0.25">
      <c r="A2404" s="21">
        <v>2403</v>
      </c>
      <c r="B2404" s="5" cm="1">
        <f t="array" aca="1" ref="B2404" ca="1">interpolexp(A2404,serie_du,Taxas_DI)</f>
        <v>0.12821338677693195</v>
      </c>
      <c r="C2404" s="32">
        <f ca="1">((((1+B2404)^(A2404/252))/((1+B2403)^(A2403/252)))^(252/1))-1</f>
        <v>0.12553200302443646</v>
      </c>
      <c r="D2404" s="30">
        <v>0.12821338677693195</v>
      </c>
      <c r="E2404" s="31">
        <f ca="1">B2404-D2404</f>
        <v>0</v>
      </c>
    </row>
    <row r="2405" spans="1:5" x14ac:dyDescent="0.25">
      <c r="A2405" s="21">
        <v>2404</v>
      </c>
      <c r="B2405" s="5" cm="1">
        <f t="array" aca="1" ref="B2405" ca="1">interpolexp(A2405,serie_du,Taxas_DI)</f>
        <v>0.12821227006458713</v>
      </c>
      <c r="C2405" s="32">
        <f ca="1">((((1+B2405)^(A2405/252))/((1+B2404)^(A2404/252)))^(252/1))-1</f>
        <v>0.12553200040887025</v>
      </c>
      <c r="D2405" s="30">
        <v>0.12821227006458713</v>
      </c>
      <c r="E2405" s="31">
        <f ca="1">B2405-D2405</f>
        <v>0</v>
      </c>
    </row>
    <row r="2406" spans="1:5" x14ac:dyDescent="0.25">
      <c r="A2406" s="21">
        <v>2405</v>
      </c>
      <c r="B2406" s="5" cm="1">
        <f t="array" aca="1" ref="B2406" ca="1">interpolexp(A2406,serie_du,Taxas_DI)</f>
        <v>0.12821115428089946</v>
      </c>
      <c r="C2406" s="32">
        <f ca="1">((((1+B2406)^(A2406/252))/((1+B2405)^(A2405/252)))^(252/1))-1</f>
        <v>0.12553199775602963</v>
      </c>
      <c r="D2406" s="30">
        <v>0.12821115428089946</v>
      </c>
      <c r="E2406" s="31">
        <f ca="1">B2406-D2406</f>
        <v>0</v>
      </c>
    </row>
    <row r="2407" spans="1:5" x14ac:dyDescent="0.25">
      <c r="A2407" s="21">
        <v>2406</v>
      </c>
      <c r="B2407" s="5" cm="1">
        <f t="array" aca="1" ref="B2407" ca="1">interpolexp(A2407,serie_du,Taxas_DI)</f>
        <v>0.12821003942473652</v>
      </c>
      <c r="C2407" s="32">
        <f ca="1">((((1+B2407)^(A2407/252))/((1+B2406)^(A2406/252)))^(252/1))-1</f>
        <v>0.12553199516754443</v>
      </c>
      <c r="D2407" s="30">
        <v>0.12821003942473652</v>
      </c>
      <c r="E2407" s="31">
        <f ca="1">B2407-D2407</f>
        <v>0</v>
      </c>
    </row>
    <row r="2408" spans="1:5" x14ac:dyDescent="0.25">
      <c r="A2408" s="21">
        <v>2407</v>
      </c>
      <c r="B2408" s="5" cm="1">
        <f t="array" aca="1" ref="B2408" ca="1">interpolexp(A2408,serie_du,Taxas_DI)</f>
        <v>0.12820892549492147</v>
      </c>
      <c r="C2408" s="32">
        <f ca="1">((((1+B2408)^(A2408/252))/((1+B2407)^(A2407/252)))^(252/1))-1</f>
        <v>0.12553199253253644</v>
      </c>
      <c r="D2408" s="30">
        <v>0.12820892549492147</v>
      </c>
      <c r="E2408" s="31">
        <f ca="1">B2408-D2408</f>
        <v>0</v>
      </c>
    </row>
    <row r="2409" spans="1:5" x14ac:dyDescent="0.25">
      <c r="A2409" s="21">
        <v>2408</v>
      </c>
      <c r="B2409" s="5" cm="1">
        <f t="array" aca="1" ref="B2409" ca="1">interpolexp(A2409,serie_du,Taxas_DI)</f>
        <v>0.12820781249029967</v>
      </c>
      <c r="C2409" s="32">
        <f ca="1">((((1+B2409)^(A2409/252))/((1+B2408)^(A2408/252)))^(252/1))-1</f>
        <v>0.12553198989926062</v>
      </c>
      <c r="D2409" s="30">
        <v>0.12820781249029967</v>
      </c>
      <c r="E2409" s="31">
        <f ca="1">B2409-D2409</f>
        <v>0</v>
      </c>
    </row>
    <row r="2410" spans="1:5" x14ac:dyDescent="0.25">
      <c r="A2410" s="21">
        <v>2409</v>
      </c>
      <c r="B2410" s="5" cm="1">
        <f t="array" aca="1" ref="B2410" ca="1">interpolexp(A2410,serie_du,Taxas_DI)</f>
        <v>0.12820670040973869</v>
      </c>
      <c r="C2410" s="32">
        <f ca="1">((((1+B2410)^(A2410/252))/((1+B2409)^(A2409/252)))^(252/1))-1</f>
        <v>0.12553198731707793</v>
      </c>
      <c r="D2410" s="30">
        <v>0.12820670040973869</v>
      </c>
      <c r="E2410" s="31">
        <f ca="1">B2410-D2410</f>
        <v>0</v>
      </c>
    </row>
    <row r="2411" spans="1:5" x14ac:dyDescent="0.25">
      <c r="A2411" s="21">
        <v>2410</v>
      </c>
      <c r="B2411" s="5" cm="1">
        <f t="array" aca="1" ref="B2411" ca="1">interpolexp(A2411,serie_du,Taxas_DI)</f>
        <v>0.12820558925208392</v>
      </c>
      <c r="C2411" s="32">
        <f ca="1">((((1+B2411)^(A2411/252))/((1+B2410)^(A2410/252)))^(252/1))-1</f>
        <v>0.12553198472742744</v>
      </c>
      <c r="D2411" s="30">
        <v>0.12820558925208392</v>
      </c>
      <c r="E2411" s="31">
        <f ca="1">B2411-D2411</f>
        <v>0</v>
      </c>
    </row>
    <row r="2412" spans="1:5" x14ac:dyDescent="0.25">
      <c r="A2412" s="21">
        <v>2411</v>
      </c>
      <c r="B2412" s="5" cm="1">
        <f t="array" aca="1" ref="B2412" ca="1">interpolexp(A2412,serie_du,Taxas_DI)</f>
        <v>0.12820447901618071</v>
      </c>
      <c r="C2412" s="32">
        <f ca="1">((((1+B2412)^(A2412/252))/((1+B2411)^(A2411/252)))^(252/1))-1</f>
        <v>0.12553198212614847</v>
      </c>
      <c r="D2412" s="30">
        <v>0.12820447901618071</v>
      </c>
      <c r="E2412" s="31">
        <f ca="1">B2412-D2412</f>
        <v>0</v>
      </c>
    </row>
    <row r="2413" spans="1:5" x14ac:dyDescent="0.25">
      <c r="A2413" s="21">
        <v>2412</v>
      </c>
      <c r="B2413" s="5" cm="1">
        <f t="array" aca="1" ref="B2413" ca="1">interpolexp(A2413,serie_du,Taxas_DI)</f>
        <v>0.12820336970089663</v>
      </c>
      <c r="C2413" s="32">
        <f ca="1">((((1+B2413)^(A2413/252))/((1+B2412)^(A2412/252)))^(252/1))-1</f>
        <v>0.12553197956177176</v>
      </c>
      <c r="D2413" s="30">
        <v>0.12820336970089663</v>
      </c>
      <c r="E2413" s="31">
        <f ca="1">B2413-D2413</f>
        <v>0</v>
      </c>
    </row>
    <row r="2414" spans="1:5" x14ac:dyDescent="0.25">
      <c r="A2414" s="21">
        <v>2413</v>
      </c>
      <c r="B2414" s="5" cm="1">
        <f t="array" aca="1" ref="B2414" ca="1">interpolexp(A2414,serie_du,Taxas_DI)</f>
        <v>0.12820226130505485</v>
      </c>
      <c r="C2414" s="32">
        <f ca="1">((((1+B2414)^(A2414/252))/((1+B2413)^(A2413/252)))^(252/1))-1</f>
        <v>0.12553197692304274</v>
      </c>
      <c r="D2414" s="30">
        <v>0.12820226130505485</v>
      </c>
      <c r="E2414" s="31">
        <f ca="1">B2414-D2414</f>
        <v>0</v>
      </c>
    </row>
    <row r="2415" spans="1:5" x14ac:dyDescent="0.25">
      <c r="A2415" s="21">
        <v>2414</v>
      </c>
      <c r="B2415" s="5" cm="1">
        <f t="array" aca="1" ref="B2415" ca="1">interpolexp(A2415,serie_du,Taxas_DI)</f>
        <v>0.12820115382754516</v>
      </c>
      <c r="C2415" s="32">
        <f ca="1">((((1+B2415)^(A2415/252))/((1+B2414)^(A2414/252)))^(252/1))-1</f>
        <v>0.125531974365652</v>
      </c>
      <c r="D2415" s="30">
        <v>0.12820115382754516</v>
      </c>
      <c r="E2415" s="31">
        <f ca="1">B2415-D2415</f>
        <v>0</v>
      </c>
    </row>
    <row r="2416" spans="1:5" x14ac:dyDescent="0.25">
      <c r="A2416" s="21">
        <v>2415</v>
      </c>
      <c r="B2416" s="5" cm="1">
        <f t="array" aca="1" ref="B2416" ca="1">interpolexp(A2416,serie_du,Taxas_DI)</f>
        <v>0.1282000472671907</v>
      </c>
      <c r="C2416" s="32">
        <f ca="1">((((1+B2416)^(A2416/252))/((1+B2415)^(A2415/252)))^(252/1))-1</f>
        <v>0.12553197172469455</v>
      </c>
      <c r="D2416" s="30">
        <v>0.1282000472671907</v>
      </c>
      <c r="E2416" s="31">
        <f ca="1">B2416-D2416</f>
        <v>0</v>
      </c>
    </row>
    <row r="2417" spans="1:5" x14ac:dyDescent="0.25">
      <c r="A2417" s="21">
        <v>2416</v>
      </c>
      <c r="B2417" s="5" cm="1">
        <f t="array" aca="1" ref="B2417" ca="1">interpolexp(A2417,serie_du,Taxas_DI)</f>
        <v>0.12819894162290346</v>
      </c>
      <c r="C2417" s="32">
        <f ca="1">((((1+B2417)^(A2417/252))/((1+B2416)^(A2416/252)))^(252/1))-1</f>
        <v>0.1255319692092931</v>
      </c>
      <c r="D2417" s="30">
        <v>0.12819894162290346</v>
      </c>
      <c r="E2417" s="31">
        <f ca="1">B2417-D2417</f>
        <v>0</v>
      </c>
    </row>
    <row r="2418" spans="1:5" x14ac:dyDescent="0.25">
      <c r="A2418" s="21">
        <v>2417</v>
      </c>
      <c r="B2418" s="5" cm="1">
        <f t="array" aca="1" ref="B2418" ca="1">interpolexp(A2418,serie_du,Taxas_DI)</f>
        <v>0.12819783689348441</v>
      </c>
      <c r="C2418" s="32">
        <f ca="1">((((1+B2418)^(A2418/252))/((1+B2417)^(A2417/252)))^(252/1))-1</f>
        <v>0.12553196654789311</v>
      </c>
      <c r="D2418" s="30">
        <v>0.12819783689348441</v>
      </c>
      <c r="E2418" s="31">
        <f ca="1">B2418-D2418</f>
        <v>0</v>
      </c>
    </row>
    <row r="2419" spans="1:5" x14ac:dyDescent="0.25">
      <c r="A2419" s="21">
        <v>2418</v>
      </c>
      <c r="B2419" s="5" cm="1">
        <f t="array" aca="1" ref="B2419" ca="1">interpolexp(A2419,serie_du,Taxas_DI)</f>
        <v>0.12819673307786772</v>
      </c>
      <c r="C2419" s="32">
        <f ca="1">((((1+B2419)^(A2419/252))/((1+B2418)^(A2418/252)))^(252/1))-1</f>
        <v>0.12553196405652289</v>
      </c>
      <c r="D2419" s="30">
        <v>0.12819673307786772</v>
      </c>
      <c r="E2419" s="31">
        <f ca="1">B2419-D2419</f>
        <v>0</v>
      </c>
    </row>
    <row r="2420" spans="1:5" x14ac:dyDescent="0.25">
      <c r="A2420" s="21">
        <v>2419</v>
      </c>
      <c r="B2420" s="5" cm="1">
        <f t="array" aca="1" ref="B2420" ca="1">interpolexp(A2420,serie_du,Taxas_DI)</f>
        <v>0.12819563017485436</v>
      </c>
      <c r="C2420" s="32">
        <f ca="1">((((1+B2420)^(A2420/252))/((1+B2419)^(A2419/252)))^(252/1))-1</f>
        <v>0.12553196140990197</v>
      </c>
      <c r="D2420" s="30">
        <v>0.12819563017485436</v>
      </c>
      <c r="E2420" s="31">
        <f ca="1">B2420-D2420</f>
        <v>0</v>
      </c>
    </row>
    <row r="2421" spans="1:5" x14ac:dyDescent="0.25">
      <c r="A2421" s="21">
        <v>2420</v>
      </c>
      <c r="B2421" s="5" cm="1">
        <f t="array" aca="1" ref="B2421" ca="1">interpolexp(A2421,serie_du,Taxas_DI)</f>
        <v>0.1281945281833563</v>
      </c>
      <c r="C2421" s="32">
        <f ca="1">((((1+B2421)^(A2421/252))/((1+B2420)^(A2420/252)))^(252/1))-1</f>
        <v>0.12553195887091939</v>
      </c>
      <c r="D2421" s="30">
        <v>0.1281945281833563</v>
      </c>
      <c r="E2421" s="31">
        <f ca="1">B2421-D2421</f>
        <v>0</v>
      </c>
    </row>
    <row r="2422" spans="1:5" x14ac:dyDescent="0.25">
      <c r="A2422" s="21">
        <v>2421</v>
      </c>
      <c r="B2422" s="5" cm="1">
        <f t="array" aca="1" ref="B2422" ca="1">interpolexp(A2422,serie_du,Taxas_DI)</f>
        <v>0.12819342710224113</v>
      </c>
      <c r="C2422" s="32">
        <f ca="1">((((1+B2422)^(A2422/252))/((1+B2421)^(A2421/252)))^(252/1))-1</f>
        <v>0.1255319563281776</v>
      </c>
      <c r="D2422" s="30">
        <v>0.12819342710224113</v>
      </c>
      <c r="E2422" s="31">
        <f ca="1">B2422-D2422</f>
        <v>0</v>
      </c>
    </row>
    <row r="2423" spans="1:5" x14ac:dyDescent="0.25">
      <c r="A2423" s="21">
        <v>2422</v>
      </c>
      <c r="B2423" s="5" cm="1">
        <f t="array" aca="1" ref="B2423" ca="1">interpolexp(A2423,serie_du,Taxas_DI)</f>
        <v>0.12819232693035421</v>
      </c>
      <c r="C2423" s="32">
        <f ca="1">((((1+B2423)^(A2423/252))/((1+B2422)^(A2422/252)))^(252/1))-1</f>
        <v>0.12553195372342651</v>
      </c>
      <c r="D2423" s="30">
        <v>0.12819232693035421</v>
      </c>
      <c r="E2423" s="31">
        <f ca="1">B2423-D2423</f>
        <v>0</v>
      </c>
    </row>
    <row r="2424" spans="1:5" x14ac:dyDescent="0.25">
      <c r="A2424" s="21">
        <v>2423</v>
      </c>
      <c r="B2424" s="5" cm="1">
        <f t="array" aca="1" ref="B2424" ca="1">interpolexp(A2424,serie_du,Taxas_DI)</f>
        <v>0.12819122766660751</v>
      </c>
      <c r="C2424" s="32">
        <f ca="1">((((1+B2424)^(A2424/252))/((1+B2423)^(A2423/252)))^(252/1))-1</f>
        <v>0.12553195121310701</v>
      </c>
      <c r="D2424" s="30">
        <v>0.12819122766660751</v>
      </c>
      <c r="E2424" s="31">
        <f ca="1">B2424-D2424</f>
        <v>0</v>
      </c>
    </row>
    <row r="2425" spans="1:5" x14ac:dyDescent="0.25">
      <c r="A2425" s="21">
        <v>2424</v>
      </c>
      <c r="B2425" s="5" cm="1">
        <f t="array" aca="1" ref="B2425" ca="1">interpolexp(A2425,serie_du,Taxas_DI)</f>
        <v>0.12819012930984641</v>
      </c>
      <c r="C2425" s="32">
        <f ca="1">((((1+B2425)^(A2425/252))/((1+B2424)^(A2424/252)))^(252/1))-1</f>
        <v>0.12553194863166328</v>
      </c>
      <c r="D2425" s="30">
        <v>0.12819012930984641</v>
      </c>
      <c r="E2425" s="31">
        <f ca="1">B2425-D2425</f>
        <v>0</v>
      </c>
    </row>
    <row r="2426" spans="1:5" x14ac:dyDescent="0.25">
      <c r="A2426" s="21">
        <v>2425</v>
      </c>
      <c r="B2426" s="5" cm="1">
        <f t="array" aca="1" ref="B2426" ca="1">interpolexp(A2426,serie_du,Taxas_DI)</f>
        <v>0.12818903185896069</v>
      </c>
      <c r="C2426" s="32">
        <f ca="1">((((1+B2426)^(A2426/252))/((1+B2425)^(A2425/252)))^(252/1))-1</f>
        <v>0.12553194608213225</v>
      </c>
      <c r="D2426" s="30">
        <v>0.12818903185896069</v>
      </c>
      <c r="E2426" s="31">
        <f ca="1">B2426-D2426</f>
        <v>0</v>
      </c>
    </row>
    <row r="2427" spans="1:5" x14ac:dyDescent="0.25">
      <c r="A2427" s="21">
        <v>2426</v>
      </c>
      <c r="B2427" s="5" cm="1">
        <f t="array" aca="1" ref="B2427" ca="1">interpolexp(A2427,serie_du,Taxas_DI)</f>
        <v>0.12818793531281791</v>
      </c>
      <c r="C2427" s="32">
        <f ca="1">((((1+B2427)^(A2427/252))/((1+B2426)^(A2426/252)))^(252/1))-1</f>
        <v>0.1255319435060902</v>
      </c>
      <c r="D2427" s="30">
        <v>0.12818793531281791</v>
      </c>
      <c r="E2427" s="31">
        <f ca="1">B2427-D2427</f>
        <v>0</v>
      </c>
    </row>
    <row r="2428" spans="1:5" x14ac:dyDescent="0.25">
      <c r="A2428" s="21">
        <v>2427</v>
      </c>
      <c r="B2428" s="5" cm="1">
        <f t="array" aca="1" ref="B2428" ca="1">interpolexp(A2428,serie_du,Taxas_DI)</f>
        <v>0.12818683967030786</v>
      </c>
      <c r="C2428" s="32">
        <f ca="1">((((1+B2428)^(A2428/252))/((1+B2427)^(A2427/252)))^(252/1))-1</f>
        <v>0.12553194095303222</v>
      </c>
      <c r="D2428" s="30">
        <v>0.12818683967030786</v>
      </c>
      <c r="E2428" s="31">
        <f ca="1">B2428-D2428</f>
        <v>0</v>
      </c>
    </row>
    <row r="2429" spans="1:5" x14ac:dyDescent="0.25">
      <c r="A2429" s="21">
        <v>2428</v>
      </c>
      <c r="B2429" s="5" cm="1">
        <f t="array" aca="1" ref="B2429" ca="1">interpolexp(A2429,serie_du,Taxas_DI)</f>
        <v>0.12818574493032031</v>
      </c>
      <c r="C2429" s="32">
        <f ca="1">((((1+B2429)^(A2429/252))/((1+B2428)^(A2428/252)))^(252/1))-1</f>
        <v>0.12553193841831911</v>
      </c>
      <c r="D2429" s="30">
        <v>0.12818574493032031</v>
      </c>
      <c r="E2429" s="31">
        <f ca="1">B2429-D2429</f>
        <v>0</v>
      </c>
    </row>
    <row r="2430" spans="1:5" x14ac:dyDescent="0.25">
      <c r="A2430" s="21">
        <v>2429</v>
      </c>
      <c r="B2430" s="5" cm="1">
        <f t="array" aca="1" ref="B2430" ca="1">interpolexp(A2430,serie_du,Taxas_DI)</f>
        <v>0.12818465109174504</v>
      </c>
      <c r="C2430" s="32">
        <f ca="1">((((1+B2430)^(A2430/252))/((1+B2429)^(A2429/252)))^(252/1))-1</f>
        <v>0.12553193589759815</v>
      </c>
      <c r="D2430" s="30">
        <v>0.12818465109174504</v>
      </c>
      <c r="E2430" s="31">
        <f ca="1">B2430-D2430</f>
        <v>0</v>
      </c>
    </row>
    <row r="2431" spans="1:5" x14ac:dyDescent="0.25">
      <c r="A2431" s="21">
        <v>2430</v>
      </c>
      <c r="B2431" s="5" cm="1">
        <f t="array" aca="1" ref="B2431" ca="1">interpolexp(A2431,serie_du,Taxas_DI)</f>
        <v>0.12818355815344962</v>
      </c>
      <c r="C2431" s="32">
        <f ca="1">((((1+B2431)^(A2431/252))/((1+B2430)^(A2430/252)))^(252/1))-1</f>
        <v>0.12553193333259394</v>
      </c>
      <c r="D2431" s="30">
        <v>0.12818355815344962</v>
      </c>
      <c r="E2431" s="31">
        <f ca="1">B2431-D2431</f>
        <v>0</v>
      </c>
    </row>
    <row r="2432" spans="1:5" x14ac:dyDescent="0.25">
      <c r="A2432" s="21">
        <v>2431</v>
      </c>
      <c r="B2432" s="5" cm="1">
        <f t="array" aca="1" ref="B2432" ca="1">interpolexp(A2432,serie_du,Taxas_DI)</f>
        <v>0.12818246611434603</v>
      </c>
      <c r="C2432" s="32">
        <f ca="1">((((1+B2432)^(A2432/252))/((1+B2431)^(A2431/252)))^(252/1))-1</f>
        <v>0.12553193082648684</v>
      </c>
      <c r="D2432" s="30">
        <v>0.12818246611434603</v>
      </c>
      <c r="E2432" s="31">
        <f ca="1">B2432-D2432</f>
        <v>0</v>
      </c>
    </row>
    <row r="2433" spans="1:5" x14ac:dyDescent="0.25">
      <c r="A2433" s="21">
        <v>2432</v>
      </c>
      <c r="B2433" s="5" cm="1">
        <f t="array" aca="1" ref="B2433" ca="1">interpolexp(A2433,serie_du,Taxas_DI)</f>
        <v>0.12818137497330184</v>
      </c>
      <c r="C2433" s="32">
        <f ca="1">((((1+B2433)^(A2433/252))/((1+B2432)^(A2432/252)))^(252/1))-1</f>
        <v>0.12553192826719584</v>
      </c>
      <c r="D2433" s="30">
        <v>0.12818137497330184</v>
      </c>
      <c r="E2433" s="31">
        <f ca="1">B2433-D2433</f>
        <v>0</v>
      </c>
    </row>
    <row r="2434" spans="1:5" x14ac:dyDescent="0.25">
      <c r="A2434" s="21">
        <v>2433</v>
      </c>
      <c r="B2434" s="5" cm="1">
        <f t="array" aca="1" ref="B2434" ca="1">interpolexp(A2434,serie_du,Taxas_DI)</f>
        <v>0.12818028472922904</v>
      </c>
      <c r="C2434" s="32">
        <f ca="1">((((1+B2434)^(A2434/252))/((1+B2433)^(A2433/252)))^(252/1))-1</f>
        <v>0.12553192575796435</v>
      </c>
      <c r="D2434" s="30">
        <v>0.12818028472922904</v>
      </c>
      <c r="E2434" s="31">
        <f ca="1">B2434-D2434</f>
        <v>0</v>
      </c>
    </row>
    <row r="2435" spans="1:5" x14ac:dyDescent="0.25">
      <c r="A2435" s="21">
        <v>2434</v>
      </c>
      <c r="B2435" s="5" cm="1">
        <f t="array" aca="1" ref="B2435" ca="1">interpolexp(A2435,serie_du,Taxas_DI)</f>
        <v>0.1281791953809952</v>
      </c>
      <c r="C2435" s="32">
        <f ca="1">((((1+B2435)^(A2435/252))/((1+B2434)^(A2434/252)))^(252/1))-1</f>
        <v>0.1255319231866332</v>
      </c>
      <c r="D2435" s="30">
        <v>0.1281791953809952</v>
      </c>
      <c r="E2435" s="31">
        <f ca="1">B2435-D2435</f>
        <v>0</v>
      </c>
    </row>
    <row r="2436" spans="1:5" x14ac:dyDescent="0.25">
      <c r="A2436" s="21">
        <v>2435</v>
      </c>
      <c r="B2436" s="5" cm="1">
        <f t="array" aca="1" ref="B2436" ca="1">interpolexp(A2436,serie_du,Taxas_DI)</f>
        <v>0.12817810692753451</v>
      </c>
      <c r="C2436" s="32">
        <f ca="1">((((1+B2436)^(A2436/252))/((1+B2435)^(A2435/252)))^(252/1))-1</f>
        <v>0.12553192071049635</v>
      </c>
      <c r="D2436" s="30">
        <v>0.12817810692753451</v>
      </c>
      <c r="E2436" s="31">
        <f ca="1">B2436-D2436</f>
        <v>0</v>
      </c>
    </row>
    <row r="2437" spans="1:5" x14ac:dyDescent="0.25">
      <c r="A2437" s="21">
        <v>2436</v>
      </c>
      <c r="B2437" s="5" cm="1">
        <f t="array" aca="1" ref="B2437" ca="1">interpolexp(A2437,serie_du,Taxas_DI)</f>
        <v>0.12817701936771453</v>
      </c>
      <c r="C2437" s="32">
        <f ca="1">((((1+B2437)^(A2437/252))/((1+B2436)^(A2436/252)))^(252/1))-1</f>
        <v>0.1255319181633574</v>
      </c>
      <c r="D2437" s="30">
        <v>0.12817701936771453</v>
      </c>
      <c r="E2437" s="31">
        <f ca="1">B2437-D2437</f>
        <v>0</v>
      </c>
    </row>
    <row r="2438" spans="1:5" x14ac:dyDescent="0.25">
      <c r="A2438" s="21">
        <v>2437</v>
      </c>
      <c r="B2438" s="5" cm="1">
        <f t="array" aca="1" ref="B2438" ca="1">interpolexp(A2438,serie_du,Taxas_DI)</f>
        <v>0.12817593270044725</v>
      </c>
      <c r="C2438" s="32">
        <f ca="1">((((1+B2438)^(A2438/252))/((1+B2437)^(A2437/252)))^(252/1))-1</f>
        <v>0.12553191564877286</v>
      </c>
      <c r="D2438" s="30">
        <v>0.12817593270044725</v>
      </c>
      <c r="E2438" s="31">
        <f ca="1">B2438-D2438</f>
        <v>0</v>
      </c>
    </row>
    <row r="2439" spans="1:5" x14ac:dyDescent="0.25">
      <c r="A2439" s="21">
        <v>2438</v>
      </c>
      <c r="B2439" s="5" cm="1">
        <f t="array" aca="1" ref="B2439" ca="1">interpolexp(A2439,serie_du,Taxas_DI)</f>
        <v>0.12817484692464465</v>
      </c>
      <c r="C2439" s="32">
        <f ca="1">((((1+B2439)^(A2439/252))/((1+B2438)^(A2438/252)))^(252/1))-1</f>
        <v>0.1255319131623176</v>
      </c>
      <c r="D2439" s="30">
        <v>0.12817484692464465</v>
      </c>
      <c r="E2439" s="31">
        <f ca="1">B2439-D2439</f>
        <v>0</v>
      </c>
    </row>
    <row r="2440" spans="1:5" x14ac:dyDescent="0.25">
      <c r="A2440" s="21">
        <v>2439</v>
      </c>
      <c r="B2440" s="5" cm="1">
        <f t="array" aca="1" ref="B2440" ca="1">interpolexp(A2440,serie_du,Taxas_DI)</f>
        <v>0.1281737620391965</v>
      </c>
      <c r="C2440" s="32">
        <f ca="1">((((1+B2440)^(A2440/252))/((1+B2439)^(A2439/252)))^(252/1))-1</f>
        <v>0.12553191064556812</v>
      </c>
      <c r="D2440" s="30">
        <v>0.1281737620391965</v>
      </c>
      <c r="E2440" s="31">
        <f ca="1">B2440-D2440</f>
        <v>0</v>
      </c>
    </row>
    <row r="2441" spans="1:5" x14ac:dyDescent="0.25">
      <c r="A2441" s="21">
        <v>2440</v>
      </c>
      <c r="B2441" s="5" cm="1">
        <f t="array" aca="1" ref="B2441" ca="1">interpolexp(A2441,serie_du,Taxas_DI)</f>
        <v>0.12817267804299259</v>
      </c>
      <c r="C2441" s="32">
        <f ca="1">((((1+B2441)^(A2441/252))/((1+B2440)^(A2440/252)))^(252/1))-1</f>
        <v>0.12553190809415571</v>
      </c>
      <c r="D2441" s="30">
        <v>0.12817267804299259</v>
      </c>
      <c r="E2441" s="31">
        <f ca="1">B2441-D2441</f>
        <v>0</v>
      </c>
    </row>
    <row r="2442" spans="1:5" x14ac:dyDescent="0.25">
      <c r="A2442" s="21">
        <v>2441</v>
      </c>
      <c r="B2442" s="5" cm="1">
        <f t="array" aca="1" ref="B2442" ca="1">interpolexp(A2442,serie_du,Taxas_DI)</f>
        <v>0.12817159493498931</v>
      </c>
      <c r="C2442" s="32">
        <f ca="1">((((1+B2442)^(A2442/252))/((1+B2441)^(A2441/252)))^(252/1))-1</f>
        <v>0.12553190566586769</v>
      </c>
      <c r="D2442" s="30">
        <v>0.12817159493498931</v>
      </c>
      <c r="E2442" s="31">
        <f ca="1">B2442-D2442</f>
        <v>0</v>
      </c>
    </row>
    <row r="2443" spans="1:5" x14ac:dyDescent="0.25">
      <c r="A2443" s="21">
        <v>2442</v>
      </c>
      <c r="B2443" s="5" cm="1">
        <f t="array" aca="1" ref="B2443" ca="1">interpolexp(A2443,serie_du,Taxas_DI)</f>
        <v>0.12817051271403201</v>
      </c>
      <c r="C2443" s="32">
        <f ca="1">((((1+B2443)^(A2443/252))/((1+B2442)^(A2442/252)))^(252/1))-1</f>
        <v>0.12553190308613793</v>
      </c>
      <c r="D2443" s="30">
        <v>0.12817051271403201</v>
      </c>
      <c r="E2443" s="31">
        <f ca="1">B2443-D2443</f>
        <v>0</v>
      </c>
    </row>
    <row r="2444" spans="1:5" x14ac:dyDescent="0.25">
      <c r="A2444" s="21">
        <v>2443</v>
      </c>
      <c r="B2444" s="5" cm="1">
        <f t="array" aca="1" ref="B2444" ca="1">interpolexp(A2444,serie_du,Taxas_DI)</f>
        <v>0.1281694313790771</v>
      </c>
      <c r="C2444" s="32">
        <f ca="1">((((1+B2444)^(A2444/252))/((1+B2443)^(A2443/252)))^(252/1))-1</f>
        <v>0.12553190062069941</v>
      </c>
      <c r="D2444" s="30">
        <v>0.1281694313790771</v>
      </c>
      <c r="E2444" s="31">
        <f ca="1">B2444-D2444</f>
        <v>0</v>
      </c>
    </row>
    <row r="2445" spans="1:5" x14ac:dyDescent="0.25">
      <c r="A2445" s="21">
        <v>2444</v>
      </c>
      <c r="B2445" s="5" cm="1">
        <f t="array" aca="1" ref="B2445" ca="1">interpolexp(A2445,serie_du,Taxas_DI)</f>
        <v>0.12816835092903656</v>
      </c>
      <c r="C2445" s="32">
        <f ca="1">((((1+B2445)^(A2445/252))/((1+B2444)^(A2444/252)))^(252/1))-1</f>
        <v>0.12553189815727506</v>
      </c>
      <c r="D2445" s="30">
        <v>0.12816835092903656</v>
      </c>
      <c r="E2445" s="31">
        <f ca="1">B2445-D2445</f>
        <v>0</v>
      </c>
    </row>
    <row r="2446" spans="1:5" x14ac:dyDescent="0.25">
      <c r="A2446" s="21">
        <v>2445</v>
      </c>
      <c r="B2446" s="5" cm="1">
        <f t="array" aca="1" ref="B2446" ca="1">interpolexp(A2446,serie_du,Taxas_DI)</f>
        <v>0.12816727136277795</v>
      </c>
      <c r="C2446" s="32">
        <f ca="1">((((1+B2446)^(A2446/252))/((1+B2445)^(A2445/252)))^(252/1))-1</f>
        <v>0.12553189558320299</v>
      </c>
      <c r="D2446" s="30">
        <v>0.12816727136277795</v>
      </c>
      <c r="E2446" s="31">
        <f ca="1">B2446-D2446</f>
        <v>0</v>
      </c>
    </row>
    <row r="2447" spans="1:5" x14ac:dyDescent="0.25">
      <c r="A2447" s="21">
        <v>2446</v>
      </c>
      <c r="B2447" s="5" cm="1">
        <f t="array" aca="1" ref="B2447" ca="1">interpolexp(A2447,serie_du,Taxas_DI)</f>
        <v>0.12816619267927987</v>
      </c>
      <c r="C2447" s="32">
        <f ca="1">((((1+B2447)^(A2447/252))/((1+B2446)^(A2446/252)))^(252/1))-1</f>
        <v>0.12553189316477931</v>
      </c>
      <c r="D2447" s="30">
        <v>0.12816619267927987</v>
      </c>
      <c r="E2447" s="31">
        <f ca="1">B2447-D2447</f>
        <v>0</v>
      </c>
    </row>
    <row r="2448" spans="1:5" x14ac:dyDescent="0.25">
      <c r="A2448" s="21">
        <v>2447</v>
      </c>
      <c r="B2448" s="5" cm="1">
        <f t="array" aca="1" ref="B2448" ca="1">interpolexp(A2448,serie_du,Taxas_DI)</f>
        <v>0.1281651148774321</v>
      </c>
      <c r="C2448" s="32">
        <f ca="1">((((1+B2448)^(A2448/252))/((1+B2447)^(A2447/252)))^(252/1))-1</f>
        <v>0.1255318906813474</v>
      </c>
      <c r="D2448" s="30">
        <v>0.1281651148774321</v>
      </c>
      <c r="E2448" s="31">
        <f ca="1">B2448-D2448</f>
        <v>0</v>
      </c>
    </row>
    <row r="2449" spans="1:5" x14ac:dyDescent="0.25">
      <c r="A2449" s="21">
        <v>2448</v>
      </c>
      <c r="B2449" s="5" cm="1">
        <f t="array" aca="1" ref="B2449" ca="1">interpolexp(A2449,serie_du,Taxas_DI)</f>
        <v>0.12816403795612441</v>
      </c>
      <c r="C2449" s="32">
        <f ca="1">((((1+B2449)^(A2449/252))/((1+B2448)^(A2448/252)))^(252/1))-1</f>
        <v>0.12553188812811333</v>
      </c>
      <c r="D2449" s="30">
        <v>0.12816403795612441</v>
      </c>
      <c r="E2449" s="31">
        <f ca="1">B2449-D2449</f>
        <v>0</v>
      </c>
    </row>
    <row r="2450" spans="1:5" x14ac:dyDescent="0.25">
      <c r="A2450" s="21">
        <v>2449</v>
      </c>
      <c r="B2450" s="5" cm="1">
        <f t="array" aca="1" ref="B2450" ca="1">interpolexp(A2450,serie_du,Taxas_DI)</f>
        <v>0.1281629619143354</v>
      </c>
      <c r="C2450" s="32">
        <f ca="1">((((1+B2450)^(A2450/252))/((1+B2449)^(A2449/252)))^(252/1))-1</f>
        <v>0.12553188571788998</v>
      </c>
      <c r="D2450" s="30">
        <v>0.1281629619143354</v>
      </c>
      <c r="E2450" s="31">
        <f ca="1">B2450-D2450</f>
        <v>0</v>
      </c>
    </row>
    <row r="2451" spans="1:5" x14ac:dyDescent="0.25">
      <c r="A2451" s="21">
        <v>2450</v>
      </c>
      <c r="B2451" s="5" cm="1">
        <f t="array" aca="1" ref="B2451" ca="1">interpolexp(A2451,serie_du,Taxas_DI)</f>
        <v>0.12816188675095486</v>
      </c>
      <c r="C2451" s="32">
        <f ca="1">((((1+B2451)^(A2451/252))/((1+B2450)^(A2450/252)))^(252/1))-1</f>
        <v>0.12553188322938413</v>
      </c>
      <c r="D2451" s="30">
        <v>0.12816188675095486</v>
      </c>
      <c r="E2451" s="31">
        <f ca="1">B2451-D2451</f>
        <v>0</v>
      </c>
    </row>
    <row r="2452" spans="1:5" x14ac:dyDescent="0.25">
      <c r="A2452" s="21">
        <v>2451</v>
      </c>
      <c r="B2452" s="5" cm="1">
        <f t="array" aca="1" ref="B2452" ca="1">interpolexp(A2452,serie_du,Taxas_DI)</f>
        <v>0.12816081246489475</v>
      </c>
      <c r="C2452" s="32">
        <f ca="1">((((1+B2452)^(A2452/252))/((1+B2451)^(A2451/252)))^(252/1))-1</f>
        <v>0.12553188071260446</v>
      </c>
      <c r="D2452" s="30">
        <v>0.12816081246489475</v>
      </c>
      <c r="E2452" s="31">
        <f ca="1">B2452-D2452</f>
        <v>0</v>
      </c>
    </row>
    <row r="2453" spans="1:5" x14ac:dyDescent="0.25">
      <c r="A2453" s="21">
        <v>2452</v>
      </c>
      <c r="B2453" s="5" cm="1">
        <f t="array" aca="1" ref="B2453" ca="1">interpolexp(A2453,serie_du,Taxas_DI)</f>
        <v>0.12815973905511147</v>
      </c>
      <c r="C2453" s="32">
        <f ca="1">((((1+B2453)^(A2453/252))/((1+B2452)^(A2452/252)))^(252/1))-1</f>
        <v>0.12553187827160439</v>
      </c>
      <c r="D2453" s="30">
        <v>0.12815973905511147</v>
      </c>
      <c r="E2453" s="31">
        <f ca="1">B2453-D2453</f>
        <v>0</v>
      </c>
    </row>
    <row r="2454" spans="1:5" x14ac:dyDescent="0.25">
      <c r="A2454" s="21">
        <v>2453</v>
      </c>
      <c r="B2454" s="5" cm="1">
        <f t="array" aca="1" ref="B2454" ca="1">interpolexp(A2454,serie_du,Taxas_DI)</f>
        <v>0.128158666520517</v>
      </c>
      <c r="C2454" s="32">
        <f ca="1">((((1+B2454)^(A2454/252))/((1+B2453)^(A2453/252)))^(252/1))-1</f>
        <v>0.12553187579378666</v>
      </c>
      <c r="D2454" s="30">
        <v>0.128158666520517</v>
      </c>
      <c r="E2454" s="31">
        <f ca="1">B2454-D2454</f>
        <v>0</v>
      </c>
    </row>
    <row r="2455" spans="1:5" x14ac:dyDescent="0.25">
      <c r="A2455" s="21">
        <v>2454</v>
      </c>
      <c r="B2455" s="5" cm="1">
        <f t="array" aca="1" ref="B2455" ca="1">interpolexp(A2455,serie_du,Taxas_DI)</f>
        <v>0.12815759486004552</v>
      </c>
      <c r="C2455" s="32">
        <f ca="1">((((1+B2455)^(A2455/252))/((1+B2454)^(A2454/252)))^(252/1))-1</f>
        <v>0.12553187332902271</v>
      </c>
      <c r="D2455" s="30">
        <v>0.12815759486004552</v>
      </c>
      <c r="E2455" s="31">
        <f ca="1">B2455-D2455</f>
        <v>0</v>
      </c>
    </row>
    <row r="2456" spans="1:5" x14ac:dyDescent="0.25">
      <c r="A2456" s="21">
        <v>2455</v>
      </c>
      <c r="B2456" s="5" cm="1">
        <f t="array" aca="1" ref="B2456" ca="1">interpolexp(A2456,serie_du,Taxas_DI)</f>
        <v>0.12815652407263123</v>
      </c>
      <c r="C2456" s="32">
        <f ca="1">((((1+B2456)^(A2456/252))/((1+B2455)^(A2455/252)))^(252/1))-1</f>
        <v>0.12553187087303508</v>
      </c>
      <c r="D2456" s="30">
        <v>0.12815652407263123</v>
      </c>
      <c r="E2456" s="31">
        <f ca="1">B2456-D2456</f>
        <v>0</v>
      </c>
    </row>
    <row r="2457" spans="1:5" x14ac:dyDescent="0.25">
      <c r="A2457" s="21">
        <v>2456</v>
      </c>
      <c r="B2457" s="5" cm="1">
        <f t="array" aca="1" ref="B2457" ca="1">interpolexp(A2457,serie_du,Taxas_DI)</f>
        <v>0.1281554541572083</v>
      </c>
      <c r="C2457" s="32">
        <f ca="1">((((1+B2457)^(A2457/252))/((1+B2456)^(A2456/252)))^(252/1))-1</f>
        <v>0.12553186842170927</v>
      </c>
      <c r="D2457" s="30">
        <v>0.1281554541572083</v>
      </c>
      <c r="E2457" s="31">
        <f ca="1">B2457-D2457</f>
        <v>0</v>
      </c>
    </row>
    <row r="2458" spans="1:5" x14ac:dyDescent="0.25">
      <c r="A2458" s="21">
        <v>2457</v>
      </c>
      <c r="B2458" s="5" cm="1">
        <f t="array" aca="1" ref="B2458" ca="1">interpolexp(A2458,serie_du,Taxas_DI)</f>
        <v>0.12815438511271093</v>
      </c>
      <c r="C2458" s="32">
        <f ca="1">((((1+B2458)^(A2458/252))/((1+B2457)^(A2457/252)))^(252/1))-1</f>
        <v>0.12553186597062482</v>
      </c>
      <c r="D2458" s="30">
        <v>0.12815438511271093</v>
      </c>
      <c r="E2458" s="31">
        <f ca="1">B2458-D2458</f>
        <v>0</v>
      </c>
    </row>
    <row r="2459" spans="1:5" x14ac:dyDescent="0.25">
      <c r="A2459" s="21">
        <v>2458</v>
      </c>
      <c r="B2459" s="5" cm="1">
        <f t="array" aca="1" ref="B2459" ca="1">interpolexp(A2459,serie_du,Taxas_DI)</f>
        <v>0.1281533169380733</v>
      </c>
      <c r="C2459" s="32">
        <f ca="1">((((1+B2459)^(A2459/252))/((1+B2458)^(A2458/252)))^(252/1))-1</f>
        <v>0.12553186351573209</v>
      </c>
      <c r="D2459" s="30">
        <v>0.1281533169380733</v>
      </c>
      <c r="E2459" s="31">
        <f ca="1">B2459-D2459</f>
        <v>0</v>
      </c>
    </row>
    <row r="2460" spans="1:5" x14ac:dyDescent="0.25">
      <c r="A2460" s="21">
        <v>2459</v>
      </c>
      <c r="B2460" s="5" cm="1">
        <f t="array" aca="1" ref="B2460" ca="1">interpolexp(A2460,serie_du,Taxas_DI)</f>
        <v>0.1281522496322296</v>
      </c>
      <c r="C2460" s="32">
        <f ca="1">((((1+B2460)^(A2460/252))/((1+B2459)^(A2459/252)))^(252/1))-1</f>
        <v>0.12553186105224468</v>
      </c>
      <c r="D2460" s="30">
        <v>0.1281522496322296</v>
      </c>
      <c r="E2460" s="31">
        <f ca="1">B2460-D2460</f>
        <v>0</v>
      </c>
    </row>
    <row r="2461" spans="1:5" x14ac:dyDescent="0.25">
      <c r="A2461" s="21">
        <v>2460</v>
      </c>
      <c r="B2461" s="5" cm="1">
        <f t="array" aca="1" ref="B2461" ca="1">interpolexp(A2461,serie_du,Taxas_DI)</f>
        <v>0.128151183194114</v>
      </c>
      <c r="C2461" s="32">
        <f ca="1">((((1+B2461)^(A2461/252))/((1+B2460)^(A2460/252)))^(252/1))-1</f>
        <v>0.12553185857673599</v>
      </c>
      <c r="D2461" s="30">
        <v>0.128151183194114</v>
      </c>
      <c r="E2461" s="31">
        <f ca="1">B2461-D2461</f>
        <v>0</v>
      </c>
    </row>
    <row r="2462" spans="1:5" x14ac:dyDescent="0.25">
      <c r="A2462" s="21">
        <v>2461</v>
      </c>
      <c r="B2462" s="5" cm="1">
        <f t="array" aca="1" ref="B2462" ca="1">interpolexp(A2462,serie_du,Taxas_DI)</f>
        <v>0.12815011762270512</v>
      </c>
      <c r="C2462" s="32">
        <f ca="1">((((1+B2462)^(A2462/252))/((1+B2461)^(A2461/252)))^(252/1))-1</f>
        <v>0.1255318561931924</v>
      </c>
      <c r="D2462" s="30">
        <v>0.12815011762270512</v>
      </c>
      <c r="E2462" s="31">
        <f ca="1">B2462-D2462</f>
        <v>0</v>
      </c>
    </row>
    <row r="2463" spans="1:5" x14ac:dyDescent="0.25">
      <c r="A2463" s="21">
        <v>2462</v>
      </c>
      <c r="B2463" s="5" cm="1">
        <f t="array" aca="1" ref="B2463" ca="1">interpolexp(A2463,serie_du,Taxas_DI)</f>
        <v>0.12814905291691492</v>
      </c>
      <c r="C2463" s="32">
        <f ca="1">((((1+B2463)^(A2463/252))/((1+B2462)^(A2462/252)))^(252/1))-1</f>
        <v>0.12553185373451115</v>
      </c>
      <c r="D2463" s="30">
        <v>0.12814905291691492</v>
      </c>
      <c r="E2463" s="31">
        <f ca="1">B2463-D2463</f>
        <v>0</v>
      </c>
    </row>
    <row r="2464" spans="1:5" x14ac:dyDescent="0.25">
      <c r="A2464" s="21">
        <v>2463</v>
      </c>
      <c r="B2464" s="5" cm="1">
        <f t="array" aca="1" ref="B2464" ca="1">interpolexp(A2464,serie_du,Taxas_DI)</f>
        <v>0.12814798907567759</v>
      </c>
      <c r="C2464" s="32">
        <f ca="1">((((1+B2464)^(A2464/252))/((1+B2463)^(A2463/252)))^(252/1))-1</f>
        <v>0.12553185125050059</v>
      </c>
      <c r="D2464" s="30">
        <v>0.12814798907567759</v>
      </c>
      <c r="E2464" s="31">
        <f ca="1">B2464-D2464</f>
        <v>0</v>
      </c>
    </row>
    <row r="2465" spans="1:5" x14ac:dyDescent="0.25">
      <c r="A2465" s="21">
        <v>2464</v>
      </c>
      <c r="B2465" s="5" cm="1">
        <f t="array" aca="1" ref="B2465" ca="1">interpolexp(A2465,serie_du,Taxas_DI)</f>
        <v>0.12814692609797174</v>
      </c>
      <c r="C2465" s="32">
        <f ca="1">((((1+B2465)^(A2465/252))/((1+B2464)^(A2464/252)))^(252/1))-1</f>
        <v>0.12553184884632107</v>
      </c>
      <c r="D2465" s="30">
        <v>0.12814692609797174</v>
      </c>
      <c r="E2465" s="31">
        <f ca="1">B2465-D2465</f>
        <v>0</v>
      </c>
    </row>
    <row r="2466" spans="1:5" x14ac:dyDescent="0.25">
      <c r="A2466" s="21">
        <v>2465</v>
      </c>
      <c r="B2466" s="5" cm="1">
        <f t="array" aca="1" ref="B2466" ca="1">interpolexp(A2466,serie_du,Taxas_DI)</f>
        <v>0.12814586398273153</v>
      </c>
      <c r="C2466" s="32">
        <f ca="1">((((1+B2466)^(A2466/252))/((1+B2465)^(A2465/252)))^(252/1))-1</f>
        <v>0.12553184640837256</v>
      </c>
      <c r="D2466" s="30">
        <v>0.12814586398273153</v>
      </c>
      <c r="E2466" s="31">
        <f ca="1">B2466-D2466</f>
        <v>0</v>
      </c>
    </row>
    <row r="2467" spans="1:5" x14ac:dyDescent="0.25">
      <c r="A2467" s="21">
        <v>2466</v>
      </c>
      <c r="B2467" s="5" cm="1">
        <f t="array" aca="1" ref="B2467" ca="1">interpolexp(A2467,serie_du,Taxas_DI)</f>
        <v>0.12814480272891338</v>
      </c>
      <c r="C2467" s="32">
        <f ca="1">((((1+B2467)^(A2467/252))/((1+B2466)^(A2466/252)))^(252/1))-1</f>
        <v>0.12553184398758988</v>
      </c>
      <c r="D2467" s="30">
        <v>0.12814480272891338</v>
      </c>
      <c r="E2467" s="31">
        <f ca="1">B2467-D2467</f>
        <v>0</v>
      </c>
    </row>
    <row r="2468" spans="1:5" x14ac:dyDescent="0.25">
      <c r="A2468" s="21">
        <v>2467</v>
      </c>
      <c r="B2468" s="5" cm="1">
        <f t="array" aca="1" ref="B2468" ca="1">interpolexp(A2468,serie_du,Taxas_DI)</f>
        <v>0.12814374233547365</v>
      </c>
      <c r="C2468" s="32">
        <f ca="1">((((1+B2468)^(A2468/252))/((1+B2467)^(A2467/252)))^(252/1))-1</f>
        <v>0.12553184157912178</v>
      </c>
      <c r="D2468" s="30">
        <v>0.12814374233547365</v>
      </c>
      <c r="E2468" s="31">
        <f ca="1">B2468-D2468</f>
        <v>0</v>
      </c>
    </row>
    <row r="2469" spans="1:5" x14ac:dyDescent="0.25">
      <c r="A2469" s="21">
        <v>2468</v>
      </c>
      <c r="B2469" s="5" cm="1">
        <f t="array" aca="1" ref="B2469" ca="1">interpolexp(A2469,serie_du,Taxas_DI)</f>
        <v>0.12814268280134655</v>
      </c>
      <c r="C2469" s="32">
        <f ca="1">((((1+B2469)^(A2469/252))/((1+B2468)^(A2468/252)))^(252/1))-1</f>
        <v>0.1255318391247322</v>
      </c>
      <c r="D2469" s="30">
        <v>0.12814268280134655</v>
      </c>
      <c r="E2469" s="31">
        <f ca="1">B2469-D2469</f>
        <v>0</v>
      </c>
    </row>
    <row r="2470" spans="1:5" x14ac:dyDescent="0.25">
      <c r="A2470" s="21">
        <v>2469</v>
      </c>
      <c r="B2470" s="5" cm="1">
        <f t="array" aca="1" ref="B2470" ca="1">interpolexp(A2470,serie_du,Taxas_DI)</f>
        <v>0.12814162412551067</v>
      </c>
      <c r="C2470" s="32">
        <f ca="1">((((1+B2470)^(A2470/252))/((1+B2469)^(A2469/252)))^(252/1))-1</f>
        <v>0.12553183672897661</v>
      </c>
      <c r="D2470" s="30">
        <v>0.12814162412551067</v>
      </c>
      <c r="E2470" s="31">
        <f ca="1">B2470-D2470</f>
        <v>0</v>
      </c>
    </row>
    <row r="2471" spans="1:5" x14ac:dyDescent="0.25">
      <c r="A2471" s="21">
        <v>2470</v>
      </c>
      <c r="B2471" s="5" cm="1">
        <f t="array" aca="1" ref="B2471" ca="1">interpolexp(A2471,serie_du,Taxas_DI)</f>
        <v>0.12814056630690018</v>
      </c>
      <c r="C2471" s="32">
        <f ca="1">((((1+B2471)^(A2471/252))/((1+B2470)^(A2470/252)))^(252/1))-1</f>
        <v>0.12553183427897041</v>
      </c>
      <c r="D2471" s="30">
        <v>0.12814056630690018</v>
      </c>
      <c r="E2471" s="31">
        <f ca="1">B2471-D2471</f>
        <v>0</v>
      </c>
    </row>
    <row r="2472" spans="1:5" x14ac:dyDescent="0.25">
      <c r="A2472" s="21">
        <v>2471</v>
      </c>
      <c r="B2472" s="5" cm="1">
        <f t="array" aca="1" ref="B2472" ca="1">interpolexp(A2472,serie_du,Taxas_DI)</f>
        <v>0.1281395093444937</v>
      </c>
      <c r="C2472" s="32">
        <f ca="1">((((1+B2472)^(A2472/252))/((1+B2471)^(A2471/252)))^(252/1))-1</f>
        <v>0.1255318318793166</v>
      </c>
      <c r="D2472" s="30">
        <v>0.1281395093444937</v>
      </c>
      <c r="E2472" s="31">
        <f ca="1">B2472-D2472</f>
        <v>0</v>
      </c>
    </row>
    <row r="2473" spans="1:5" x14ac:dyDescent="0.25">
      <c r="A2473" s="21">
        <v>2472</v>
      </c>
      <c r="B2473" s="5" cm="1">
        <f t="array" aca="1" ref="B2473" ca="1">interpolexp(A2473,serie_du,Taxas_DI)</f>
        <v>0.1281384532372476</v>
      </c>
      <c r="C2473" s="32">
        <f ca="1">((((1+B2473)^(A2473/252))/((1+B2472)^(A2472/252)))^(252/1))-1</f>
        <v>0.12553182947161012</v>
      </c>
      <c r="D2473" s="30">
        <v>0.1281384532372476</v>
      </c>
      <c r="E2473" s="31">
        <f ca="1">B2473-D2473</f>
        <v>0</v>
      </c>
    </row>
    <row r="2474" spans="1:5" x14ac:dyDescent="0.25">
      <c r="A2474" s="21">
        <v>2473</v>
      </c>
      <c r="B2474" s="5" cm="1">
        <f t="array" aca="1" ref="B2474" ca="1">interpolexp(A2474,serie_du,Taxas_DI)</f>
        <v>0.12813739798414048</v>
      </c>
      <c r="C2474" s="32">
        <f ca="1">((((1+B2474)^(A2474/252))/((1+B2473)^(A2473/252)))^(252/1))-1</f>
        <v>0.12553182710627664</v>
      </c>
      <c r="D2474" s="30">
        <v>0.12813739798414048</v>
      </c>
      <c r="E2474" s="31">
        <f ca="1">B2474-D2474</f>
        <v>0</v>
      </c>
    </row>
    <row r="2475" spans="1:5" x14ac:dyDescent="0.25">
      <c r="A2475" s="21">
        <v>2474</v>
      </c>
      <c r="B2475" s="5" cm="1">
        <f t="array" aca="1" ref="B2475" ca="1">interpolexp(A2475,serie_du,Taxas_DI)</f>
        <v>0.12813634358408432</v>
      </c>
      <c r="C2475" s="32">
        <f ca="1">((((1+B2475)^(A2475/252))/((1+B2474)^(A2474/252)))^(252/1))-1</f>
        <v>0.12553182461483114</v>
      </c>
      <c r="D2475" s="30">
        <v>0.12813634358408432</v>
      </c>
      <c r="E2475" s="31">
        <f ca="1">B2475-D2475</f>
        <v>0</v>
      </c>
    </row>
    <row r="2476" spans="1:5" x14ac:dyDescent="0.25">
      <c r="A2476" s="21">
        <v>2475</v>
      </c>
      <c r="B2476" s="5" cm="1">
        <f t="array" aca="1" ref="B2476" ca="1">interpolexp(A2476,serie_du,Taxas_DI)</f>
        <v>0.12813529003610213</v>
      </c>
      <c r="C2476" s="32">
        <f ca="1">((((1+B2476)^(A2476/252))/((1+B2475)^(A2475/252)))^(252/1))-1</f>
        <v>0.12553182226698167</v>
      </c>
      <c r="D2476" s="30">
        <v>0.12813529003610213</v>
      </c>
      <c r="E2476" s="31">
        <f ca="1">B2476-D2476</f>
        <v>0</v>
      </c>
    </row>
    <row r="2477" spans="1:5" x14ac:dyDescent="0.25">
      <c r="A2477" s="21">
        <v>2476</v>
      </c>
      <c r="B2477" s="5" cm="1">
        <f t="array" aca="1" ref="B2477" ca="1">interpolexp(A2477,serie_du,Taxas_DI)</f>
        <v>0.1281342373391281</v>
      </c>
      <c r="C2477" s="32">
        <f ca="1">((((1+B2477)^(A2477/252))/((1+B2476)^(A2476/252)))^(252/1))-1</f>
        <v>0.1255318198398292</v>
      </c>
      <c r="D2477" s="30">
        <v>0.1281342373391281</v>
      </c>
      <c r="E2477" s="31">
        <f ca="1">B2477-D2477</f>
        <v>0</v>
      </c>
    </row>
    <row r="2478" spans="1:5" x14ac:dyDescent="0.25">
      <c r="A2478" s="21">
        <v>2477</v>
      </c>
      <c r="B2478" s="5" cm="1">
        <f t="array" aca="1" ref="B2478" ca="1">interpolexp(A2478,serie_du,Taxas_DI)</f>
        <v>0.12813318549216302</v>
      </c>
      <c r="C2478" s="32">
        <f ca="1">((((1+B2478)^(A2478/252))/((1+B2477)^(A2477/252)))^(252/1))-1</f>
        <v>0.1255318174931237</v>
      </c>
      <c r="D2478" s="30">
        <v>0.12813318549216302</v>
      </c>
      <c r="E2478" s="31">
        <f ca="1">B2478-D2478</f>
        <v>0</v>
      </c>
    </row>
    <row r="2479" spans="1:5" x14ac:dyDescent="0.25">
      <c r="A2479" s="21">
        <v>2478</v>
      </c>
      <c r="B2479" s="5" cm="1">
        <f t="array" aca="1" ref="B2479" ca="1">interpolexp(A2479,serie_du,Taxas_DI)</f>
        <v>0.12813213449414107</v>
      </c>
      <c r="C2479" s="32">
        <f ca="1">((((1+B2479)^(A2479/252))/((1+B2478)^(A2478/252)))^(252/1))-1</f>
        <v>0.12553181505879607</v>
      </c>
      <c r="D2479" s="30">
        <v>0.12813213449414107</v>
      </c>
      <c r="E2479" s="31">
        <f ca="1">B2479-D2479</f>
        <v>0</v>
      </c>
    </row>
    <row r="2480" spans="1:5" x14ac:dyDescent="0.25">
      <c r="A2480" s="21">
        <v>2479</v>
      </c>
      <c r="B2480" s="5" cm="1">
        <f t="array" aca="1" ref="B2480" ca="1">interpolexp(A2480,serie_du,Taxas_DI)</f>
        <v>0.12813108434404086</v>
      </c>
      <c r="C2480" s="32">
        <f ca="1">((((1+B2480)^(A2480/252))/((1+B2479)^(A2479/252)))^(252/1))-1</f>
        <v>0.1255318126419116</v>
      </c>
      <c r="D2480" s="30">
        <v>0.12813108434404086</v>
      </c>
      <c r="E2480" s="31">
        <f ca="1">B2480-D2480</f>
        <v>0</v>
      </c>
    </row>
    <row r="2481" spans="1:5" x14ac:dyDescent="0.25">
      <c r="A2481" s="21">
        <v>2480</v>
      </c>
      <c r="B2481" s="5" cm="1">
        <f t="array" aca="1" ref="B2481" ca="1">interpolexp(A2481,serie_du,Taxas_DI)</f>
        <v>0.12813003504086318</v>
      </c>
      <c r="C2481" s="32">
        <f ca="1">((((1+B2481)^(A2481/252))/((1+B2480)^(A2480/252)))^(252/1))-1</f>
        <v>0.12553181029356963</v>
      </c>
      <c r="D2481" s="30">
        <v>0.12813003504086318</v>
      </c>
      <c r="E2481" s="31">
        <f ca="1">B2481-D2481</f>
        <v>0</v>
      </c>
    </row>
    <row r="2482" spans="1:5" x14ac:dyDescent="0.25">
      <c r="A2482" s="21">
        <v>2481</v>
      </c>
      <c r="B2482" s="5" cm="1">
        <f t="array" aca="1" ref="B2482" ca="1">interpolexp(A2482,serie_du,Taxas_DI)</f>
        <v>0.12812898658356442</v>
      </c>
      <c r="C2482" s="32">
        <f ca="1">((((1+B2482)^(A2482/252))/((1+B2481)^(A2481/252)))^(252/1))-1</f>
        <v>0.12553180789982843</v>
      </c>
      <c r="D2482" s="30">
        <v>0.12812898658356442</v>
      </c>
      <c r="E2482" s="31">
        <f ca="1">B2482-D2482</f>
        <v>0</v>
      </c>
    </row>
    <row r="2483" spans="1:5" x14ac:dyDescent="0.25">
      <c r="A2483" s="21">
        <v>2482</v>
      </c>
      <c r="B2483" s="5" cm="1">
        <f t="array" aca="1" ref="B2483" ca="1">interpolexp(A2483,serie_du,Taxas_DI)</f>
        <v>0.12812793897112318</v>
      </c>
      <c r="C2483" s="32">
        <f ca="1">((((1+B2483)^(A2483/252))/((1+B2482)^(A2482/252)))^(252/1))-1</f>
        <v>0.12553180551152399</v>
      </c>
      <c r="D2483" s="30">
        <v>0.12812793897112318</v>
      </c>
      <c r="E2483" s="31">
        <f ca="1">B2483-D2483</f>
        <v>0</v>
      </c>
    </row>
    <row r="2484" spans="1:5" x14ac:dyDescent="0.25">
      <c r="A2484" s="21">
        <v>2483</v>
      </c>
      <c r="B2484" s="5" cm="1">
        <f t="array" aca="1" ref="B2484" ca="1">interpolexp(A2484,serie_du,Taxas_DI)</f>
        <v>0.12812689220251805</v>
      </c>
      <c r="C2484" s="32">
        <f ca="1">((((1+B2484)^(A2484/252))/((1+B2483)^(A2483/252)))^(252/1))-1</f>
        <v>0.12553180312458667</v>
      </c>
      <c r="D2484" s="30">
        <v>0.12812689220251805</v>
      </c>
      <c r="E2484" s="31">
        <f ca="1">B2484-D2484</f>
        <v>0</v>
      </c>
    </row>
    <row r="2485" spans="1:5" x14ac:dyDescent="0.25">
      <c r="A2485" s="21">
        <v>2484</v>
      </c>
      <c r="B2485" s="5" cm="1">
        <f t="array" aca="1" ref="B2485" ca="1">interpolexp(A2485,serie_du,Taxas_DI)</f>
        <v>0.12812584627672763</v>
      </c>
      <c r="C2485" s="32">
        <f ca="1">((((1+B2485)^(A2485/252))/((1+B2484)^(A2484/252)))^(252/1))-1</f>
        <v>0.12553180073492443</v>
      </c>
      <c r="D2485" s="30">
        <v>0.12812584627672763</v>
      </c>
      <c r="E2485" s="31">
        <f ca="1">B2485-D2485</f>
        <v>0</v>
      </c>
    </row>
    <row r="2486" spans="1:5" x14ac:dyDescent="0.25">
      <c r="A2486" s="21">
        <v>2485</v>
      </c>
      <c r="B2486" s="5" cm="1">
        <f t="array" aca="1" ref="B2486" ca="1">interpolexp(A2486,serie_du,Taxas_DI)</f>
        <v>0.12812480119275271</v>
      </c>
      <c r="C2486" s="32">
        <f ca="1">((((1+B2486)^(A2486/252))/((1+B2485)^(A2485/252)))^(252/1))-1</f>
        <v>0.12553179839331552</v>
      </c>
      <c r="D2486" s="30">
        <v>0.12812480119275271</v>
      </c>
      <c r="E2486" s="31">
        <f ca="1">B2486-D2486</f>
        <v>0</v>
      </c>
    </row>
    <row r="2487" spans="1:5" x14ac:dyDescent="0.25">
      <c r="A2487" s="21">
        <v>2486</v>
      </c>
      <c r="B2487" s="5" cm="1">
        <f t="array" aca="1" ref="B2487" ca="1">interpolexp(A2487,serie_du,Taxas_DI)</f>
        <v>0.1281237569495719</v>
      </c>
      <c r="C2487" s="32">
        <f ca="1">((((1+B2487)^(A2487/252))/((1+B2486)^(A2486/252)))^(252/1))-1</f>
        <v>0.12553179604101183</v>
      </c>
      <c r="D2487" s="30">
        <v>0.1281237569495719</v>
      </c>
      <c r="E2487" s="31">
        <f ca="1">B2487-D2487</f>
        <v>0</v>
      </c>
    </row>
    <row r="2488" spans="1:5" x14ac:dyDescent="0.25">
      <c r="A2488" s="21">
        <v>2487</v>
      </c>
      <c r="B2488" s="5" cm="1">
        <f t="array" aca="1" ref="B2488" ca="1">interpolexp(A2488,serie_du,Taxas_DI)</f>
        <v>0.12812271354614158</v>
      </c>
      <c r="C2488" s="32">
        <f ca="1">((((1+B2488)^(A2488/252))/((1+B2487)^(A2487/252)))^(252/1))-1</f>
        <v>0.12553179361875966</v>
      </c>
      <c r="D2488" s="30">
        <v>0.12812271354614158</v>
      </c>
      <c r="E2488" s="31">
        <f ca="1">B2488-D2488</f>
        <v>0</v>
      </c>
    </row>
    <row r="2489" spans="1:5" x14ac:dyDescent="0.25">
      <c r="A2489" s="21">
        <v>2488</v>
      </c>
      <c r="B2489" s="5" cm="1">
        <f t="array" aca="1" ref="B2489" ca="1">interpolexp(A2489,serie_du,Taxas_DI)</f>
        <v>0.12812167098148475</v>
      </c>
      <c r="C2489" s="32">
        <f ca="1">((((1+B2489)^(A2489/252))/((1+B2488)^(A2488/252)))^(252/1))-1</f>
        <v>0.12553179128754022</v>
      </c>
      <c r="D2489" s="30">
        <v>0.12812167098148475</v>
      </c>
      <c r="E2489" s="31">
        <f ca="1">B2489-D2489</f>
        <v>0</v>
      </c>
    </row>
    <row r="2490" spans="1:5" x14ac:dyDescent="0.25">
      <c r="A2490" s="21">
        <v>2489</v>
      </c>
      <c r="B2490" s="5" cm="1">
        <f t="array" aca="1" ref="B2490" ca="1">interpolexp(A2490,serie_du,Taxas_DI)</f>
        <v>0.12812062925455781</v>
      </c>
      <c r="C2490" s="32">
        <f ca="1">((((1+B2490)^(A2490/252))/((1+B2489)^(A2489/252)))^(252/1))-1</f>
        <v>0.12553178887812289</v>
      </c>
      <c r="D2490" s="30">
        <v>0.12812062925455781</v>
      </c>
      <c r="E2490" s="31">
        <f ca="1">B2490-D2490</f>
        <v>0</v>
      </c>
    </row>
    <row r="2491" spans="1:5" x14ac:dyDescent="0.25">
      <c r="A2491" s="21">
        <v>2490</v>
      </c>
      <c r="B2491" s="5" cm="1">
        <f t="array" aca="1" ref="B2491" ca="1">interpolexp(A2491,serie_du,Taxas_DI)</f>
        <v>0.12811958836438375</v>
      </c>
      <c r="C2491" s="32">
        <f ca="1">((((1+B2491)^(A2491/252))/((1+B2490)^(A2490/252)))^(252/1))-1</f>
        <v>0.12553178655208397</v>
      </c>
      <c r="D2491" s="30">
        <v>0.12811958836438375</v>
      </c>
      <c r="E2491" s="31">
        <f ca="1">B2491-D2491</f>
        <v>0</v>
      </c>
    </row>
    <row r="2492" spans="1:5" x14ac:dyDescent="0.25">
      <c r="A2492" s="21">
        <v>2491</v>
      </c>
      <c r="B2492" s="5" cm="1">
        <f t="array" aca="1" ref="B2492" ca="1">interpolexp(A2492,serie_du,Taxas_DI)</f>
        <v>0.12811854830994118</v>
      </c>
      <c r="C2492" s="32">
        <f ca="1">((((1+B2492)^(A2492/252))/((1+B2491)^(A2491/252)))^(252/1))-1</f>
        <v>0.12553178419462907</v>
      </c>
      <c r="D2492" s="30">
        <v>0.12811854830994118</v>
      </c>
      <c r="E2492" s="31">
        <f ca="1">B2492-D2492</f>
        <v>0</v>
      </c>
    </row>
    <row r="2493" spans="1:5" x14ac:dyDescent="0.25">
      <c r="A2493" s="21">
        <v>2492</v>
      </c>
      <c r="B2493" s="5" cm="1">
        <f t="array" aca="1" ref="B2493" ca="1">interpolexp(A2493,serie_du,Taxas_DI)</f>
        <v>0.1281175090902309</v>
      </c>
      <c r="C2493" s="32">
        <f ca="1">((((1+B2493)^(A2493/252))/((1+B2492)^(A2492/252)))^(252/1))-1</f>
        <v>0.12553178185747949</v>
      </c>
      <c r="D2493" s="30">
        <v>0.1281175090902309</v>
      </c>
      <c r="E2493" s="31">
        <f ca="1">B2493-D2493</f>
        <v>0</v>
      </c>
    </row>
    <row r="2494" spans="1:5" x14ac:dyDescent="0.25">
      <c r="A2494" s="21">
        <v>2493</v>
      </c>
      <c r="B2494" s="5" cm="1">
        <f t="array" aca="1" ref="B2494" ca="1">interpolexp(A2494,serie_du,Taxas_DI)</f>
        <v>0.12811647070423149</v>
      </c>
      <c r="C2494" s="32">
        <f ca="1">((((1+B2494)^(A2494/252))/((1+B2493)^(A2493/252)))^(252/1))-1</f>
        <v>0.12553177948090455</v>
      </c>
      <c r="D2494" s="30">
        <v>0.12811647070423149</v>
      </c>
      <c r="E2494" s="31">
        <f ca="1">B2494-D2494</f>
        <v>0</v>
      </c>
    </row>
    <row r="2495" spans="1:5" x14ac:dyDescent="0.25">
      <c r="A2495" s="21">
        <v>2494</v>
      </c>
      <c r="B2495" s="5" cm="1">
        <f t="array" aca="1" ref="B2495" ca="1">interpolexp(A2495,serie_du,Taxas_DI)</f>
        <v>0.12811543315096596</v>
      </c>
      <c r="C2495" s="32">
        <f ca="1">((((1+B2495)^(A2495/252))/((1+B2494)^(A2494/252)))^(252/1))-1</f>
        <v>0.12553177717173081</v>
      </c>
      <c r="D2495" s="30">
        <v>0.12811543315096596</v>
      </c>
      <c r="E2495" s="31">
        <f ca="1">B2495-D2495</f>
        <v>0</v>
      </c>
    </row>
    <row r="2496" spans="1:5" x14ac:dyDescent="0.25">
      <c r="A2496" s="21">
        <v>2495</v>
      </c>
      <c r="B2496" s="5" cm="1">
        <f t="array" aca="1" ref="B2496" ca="1">interpolexp(A2496,serie_du,Taxas_DI)</f>
        <v>0.12811439642939071</v>
      </c>
      <c r="C2496" s="32">
        <f ca="1">((((1+B2496)^(A2496/252))/((1+B2495)^(A2495/252)))^(252/1))-1</f>
        <v>0.12553177475988786</v>
      </c>
      <c r="D2496" s="30">
        <v>0.12811439642939071</v>
      </c>
      <c r="E2496" s="31">
        <f ca="1">B2496-D2496</f>
        <v>0</v>
      </c>
    </row>
    <row r="2497" spans="1:5" x14ac:dyDescent="0.25">
      <c r="A2497" s="21">
        <v>2496</v>
      </c>
      <c r="B2497" s="5" cm="1">
        <f t="array" aca="1" ref="B2497" ca="1">interpolexp(A2497,serie_du,Taxas_DI)</f>
        <v>0.12811336053855094</v>
      </c>
      <c r="C2497" s="32">
        <f ca="1">((((1+B2497)^(A2497/252))/((1+B2496)^(A2496/252)))^(252/1))-1</f>
        <v>0.12553177246264946</v>
      </c>
      <c r="D2497" s="30">
        <v>0.12811336053855094</v>
      </c>
      <c r="E2497" s="31">
        <f ca="1">B2497-D2497</f>
        <v>0</v>
      </c>
    </row>
    <row r="2498" spans="1:5" x14ac:dyDescent="0.25">
      <c r="A2498" s="21">
        <v>2497</v>
      </c>
      <c r="B2498" s="5" cm="1">
        <f t="array" aca="1" ref="B2498" ca="1">interpolexp(A2498,serie_du,Taxas_DI)</f>
        <v>0.12811232547742524</v>
      </c>
      <c r="C2498" s="32">
        <f ca="1">((((1+B2498)^(A2498/252))/((1+B2497)^(A2497/252)))^(252/1))-1</f>
        <v>0.12553177011010153</v>
      </c>
      <c r="D2498" s="30">
        <v>0.12811232547742524</v>
      </c>
      <c r="E2498" s="31">
        <f ca="1">B2498-D2498</f>
        <v>0</v>
      </c>
    </row>
    <row r="2499" spans="1:5" x14ac:dyDescent="0.25">
      <c r="A2499" s="21">
        <v>2498</v>
      </c>
      <c r="B2499" s="5" cm="1">
        <f t="array" aca="1" ref="B2499" ca="1">interpolexp(A2499,serie_du,Taxas_DI)</f>
        <v>0.12811129124503662</v>
      </c>
      <c r="C2499" s="32">
        <f ca="1">((((1+B2499)^(A2499/252))/((1+B2498)^(A2498/252)))^(252/1))-1</f>
        <v>0.12553176780888853</v>
      </c>
      <c r="D2499" s="30">
        <v>0.12811129124503662</v>
      </c>
      <c r="E2499" s="31">
        <f ca="1">B2499-D2499</f>
        <v>0</v>
      </c>
    </row>
    <row r="2500" spans="1:5" x14ac:dyDescent="0.25">
      <c r="A2500" s="21">
        <v>2499</v>
      </c>
      <c r="B2500" s="5" cm="1">
        <f t="array" aca="1" ref="B2500" ca="1">interpolexp(A2500,serie_du,Taxas_DI)</f>
        <v>0.12811025784034147</v>
      </c>
      <c r="C2500" s="32">
        <f ca="1">((((1+B2500)^(A2500/252))/((1+B2499)^(A2499/252)))^(252/1))-1</f>
        <v>0.12553176538890076</v>
      </c>
      <c r="D2500" s="30">
        <v>0.12811025784034147</v>
      </c>
      <c r="E2500" s="31">
        <f ca="1">B2500-D2500</f>
        <v>0</v>
      </c>
    </row>
    <row r="2501" spans="1:5" x14ac:dyDescent="0.25">
      <c r="A2501" s="21">
        <v>2500</v>
      </c>
      <c r="B2501" s="5" cm="1">
        <f t="array" aca="1" ref="B2501" ca="1">interpolexp(A2501,serie_du,Taxas_DI)</f>
        <v>0.1281092252624072</v>
      </c>
      <c r="C2501" s="32">
        <f ca="1">((((1+B2501)^(A2501/252))/((1+B2500)^(A2500/252)))^(252/1))-1</f>
        <v>0.12553176312320491</v>
      </c>
      <c r="D2501" s="30">
        <v>0.1281092252624072</v>
      </c>
      <c r="E2501" s="31">
        <f ca="1">B2501-D2501</f>
        <v>0</v>
      </c>
    </row>
    <row r="2502" spans="1:5" x14ac:dyDescent="0.25">
      <c r="A2502" s="21">
        <v>2501</v>
      </c>
      <c r="B2502" s="5" cm="1">
        <f t="array" aca="1" ref="B2502" ca="1">interpolexp(A2502,serie_du,Taxas_DI)</f>
        <v>0.12810819351021241</v>
      </c>
      <c r="C2502" s="32">
        <f ca="1">((((1+B2502)^(A2502/252))/((1+B2501)^(A2501/252)))^(252/1))-1</f>
        <v>0.12553176078614792</v>
      </c>
      <c r="D2502" s="30">
        <v>0.12810819351021241</v>
      </c>
      <c r="E2502" s="31">
        <f ca="1">B2502-D2502</f>
        <v>0</v>
      </c>
    </row>
    <row r="2503" spans="1:5" x14ac:dyDescent="0.25">
      <c r="A2503" s="21">
        <v>2502</v>
      </c>
      <c r="B2503" s="5" cm="1">
        <f t="array" aca="1" ref="B2503" ca="1">interpolexp(A2503,serie_du,Taxas_DI)</f>
        <v>0.12810716258275789</v>
      </c>
      <c r="C2503" s="32">
        <f ca="1">((((1+B2503)^(A2503/252))/((1+B2502)^(A2502/252)))^(252/1))-1</f>
        <v>0.12553175842922948</v>
      </c>
      <c r="D2503" s="30">
        <v>0.12810716258275789</v>
      </c>
      <c r="E2503" s="31">
        <f ca="1">B2503-D2503</f>
        <v>0</v>
      </c>
    </row>
    <row r="2504" spans="1:5" x14ac:dyDescent="0.25">
      <c r="A2504" s="21">
        <v>2503</v>
      </c>
      <c r="B2504" s="5" cm="1">
        <f t="array" aca="1" ref="B2504" ca="1">interpolexp(A2504,serie_du,Taxas_DI)</f>
        <v>0.12810613247908886</v>
      </c>
      <c r="C2504" s="32">
        <f ca="1">((((1+B2504)^(A2504/252))/((1+B2503)^(A2503/252)))^(252/1))-1</f>
        <v>0.12553175615927592</v>
      </c>
      <c r="D2504" s="30">
        <v>0.12810613247908886</v>
      </c>
      <c r="E2504" s="31">
        <f ca="1">B2504-D2504</f>
        <v>0</v>
      </c>
    </row>
    <row r="2505" spans="1:5" x14ac:dyDescent="0.25">
      <c r="A2505" s="21">
        <v>2504</v>
      </c>
      <c r="B2505" s="5" cm="1">
        <f t="array" aca="1" ref="B2505" ca="1">interpolexp(A2505,serie_du,Taxas_DI)</f>
        <v>0.12810510319818391</v>
      </c>
      <c r="C2505" s="32">
        <f ca="1">((((1+B2505)^(A2505/252))/((1+B2504)^(A2504/252)))^(252/1))-1</f>
        <v>0.12553175380606074</v>
      </c>
      <c r="D2505" s="30">
        <v>0.12810510319818391</v>
      </c>
      <c r="E2505" s="31">
        <f ca="1">B2505-D2505</f>
        <v>0</v>
      </c>
    </row>
    <row r="2506" spans="1:5" x14ac:dyDescent="0.25">
      <c r="A2506" s="21">
        <v>2505</v>
      </c>
      <c r="B2506" s="5" cm="1">
        <f t="array" aca="1" ref="B2506" ca="1">interpolexp(A2506,serie_du,Taxas_DI)</f>
        <v>0.12810407473906604</v>
      </c>
      <c r="C2506" s="32">
        <f ca="1">((((1+B2506)^(A2506/252))/((1+B2505)^(A2505/252)))^(252/1))-1</f>
        <v>0.12553175147662587</v>
      </c>
      <c r="D2506" s="30">
        <v>0.12810407473906604</v>
      </c>
      <c r="E2506" s="31">
        <f ca="1">B2506-D2506</f>
        <v>0</v>
      </c>
    </row>
    <row r="2507" spans="1:5" x14ac:dyDescent="0.25">
      <c r="A2507" s="21">
        <v>2506</v>
      </c>
      <c r="B2507" s="5" cm="1">
        <f t="array" aca="1" ref="B2507" ca="1">interpolexp(A2507,serie_du,Taxas_DI)</f>
        <v>0.12810304710075826</v>
      </c>
      <c r="C2507" s="32">
        <f ca="1">((((1+B2507)^(A2507/252))/((1+B2506)^(A2506/252)))^(252/1))-1</f>
        <v>0.1255317491668515</v>
      </c>
      <c r="D2507" s="30">
        <v>0.12810304710075826</v>
      </c>
      <c r="E2507" s="31">
        <f ca="1">B2507-D2507</f>
        <v>0</v>
      </c>
    </row>
    <row r="2508" spans="1:5" x14ac:dyDescent="0.25">
      <c r="A2508" s="21">
        <v>2507</v>
      </c>
      <c r="B2508" s="5" cm="1">
        <f t="array" aca="1" ref="B2508" ca="1">interpolexp(A2508,serie_du,Taxas_DI)</f>
        <v>0.12810202028228357</v>
      </c>
      <c r="C2508" s="32">
        <f ca="1">((((1+B2508)^(A2508/252))/((1+B2507)^(A2507/252)))^(252/1))-1</f>
        <v>0.12553174687290558</v>
      </c>
      <c r="D2508" s="30">
        <v>0.12810202028228357</v>
      </c>
      <c r="E2508" s="31">
        <f ca="1">B2508-D2508</f>
        <v>0</v>
      </c>
    </row>
    <row r="2509" spans="1:5" x14ac:dyDescent="0.25">
      <c r="A2509" s="21">
        <v>2508</v>
      </c>
      <c r="B2509" s="5" cm="1">
        <f t="array" aca="1" ref="B2509" ca="1">interpolexp(A2509,serie_du,Taxas_DI)</f>
        <v>0.12810099428266497</v>
      </c>
      <c r="C2509" s="32">
        <f ca="1">((((1+B2509)^(A2509/252))/((1+B2508)^(A2508/252)))^(252/1))-1</f>
        <v>0.12553174459116523</v>
      </c>
      <c r="D2509" s="30">
        <v>0.12810099428266497</v>
      </c>
      <c r="E2509" s="31">
        <f ca="1">B2509-D2509</f>
        <v>0</v>
      </c>
    </row>
    <row r="2510" spans="1:5" x14ac:dyDescent="0.25">
      <c r="A2510" s="21">
        <v>2509</v>
      </c>
      <c r="B2510" s="5" cm="1">
        <f t="array" aca="1" ref="B2510" ca="1">interpolexp(A2510,serie_du,Taxas_DI)</f>
        <v>0.12809996910088106</v>
      </c>
      <c r="C2510" s="32">
        <f ca="1">((((1+B2510)^(A2510/252))/((1+B2509)^(A2509/252)))^(252/1))-1</f>
        <v>0.12553174220597296</v>
      </c>
      <c r="D2510" s="30">
        <v>0.12809996910088106</v>
      </c>
      <c r="E2510" s="31">
        <f ca="1">B2510-D2510</f>
        <v>0</v>
      </c>
    </row>
    <row r="2511" spans="1:5" x14ac:dyDescent="0.25">
      <c r="A2511" s="21">
        <v>2510</v>
      </c>
      <c r="B2511" s="5" cm="1">
        <f t="array" aca="1" ref="B2511" ca="1">interpolexp(A2511,serie_du,Taxas_DI)</f>
        <v>0.12809894473599925</v>
      </c>
      <c r="C2511" s="32">
        <f ca="1">((((1+B2511)^(A2511/252))/((1+B2510)^(A2510/252)))^(252/1))-1</f>
        <v>0.12553173993634825</v>
      </c>
      <c r="D2511" s="30">
        <v>0.12809894473599925</v>
      </c>
      <c r="E2511" s="31">
        <f ca="1">B2511-D2511</f>
        <v>0</v>
      </c>
    </row>
    <row r="2512" spans="1:5" x14ac:dyDescent="0.25">
      <c r="A2512" s="21">
        <v>2511</v>
      </c>
      <c r="B2512" s="5" cm="1">
        <f t="array" aca="1" ref="B2512" ca="1">interpolexp(A2512,serie_du,Taxas_DI)</f>
        <v>0.12809792118704255</v>
      </c>
      <c r="C2512" s="32">
        <f ca="1">((((1+B2512)^(A2512/252))/((1+B2511)^(A2511/252)))^(252/1))-1</f>
        <v>0.12553173766679993</v>
      </c>
      <c r="D2512" s="30">
        <v>0.12809792118704255</v>
      </c>
      <c r="E2512" s="31">
        <f ca="1">B2512-D2512</f>
        <v>0</v>
      </c>
    </row>
    <row r="2513" spans="1:5" x14ac:dyDescent="0.25">
      <c r="A2513" s="21">
        <v>2512</v>
      </c>
      <c r="B2513" s="5" cm="1">
        <f t="array" aca="1" ref="B2513" ca="1">interpolexp(A2513,serie_du,Taxas_DI)</f>
        <v>0.12809689845301175</v>
      </c>
      <c r="C2513" s="32">
        <f ca="1">((((1+B2513)^(A2513/252))/((1+B2512)^(A2512/252)))^(252/1))-1</f>
        <v>0.12553173533803297</v>
      </c>
      <c r="D2513" s="30">
        <v>0.12809689845301175</v>
      </c>
      <c r="E2513" s="31">
        <f ca="1">B2513-D2513</f>
        <v>0</v>
      </c>
    </row>
    <row r="2514" spans="1:5" x14ac:dyDescent="0.25">
      <c r="A2514" s="21">
        <v>2513</v>
      </c>
      <c r="B2514" s="5" cm="1">
        <f t="array" aca="1" ref="B2514" ca="1">interpolexp(A2514,serie_du,Taxas_DI)</f>
        <v>0.12809587653295207</v>
      </c>
      <c r="C2514" s="32">
        <f ca="1">((((1+B2514)^(A2514/252))/((1+B2513)^(A2513/252)))^(252/1))-1</f>
        <v>0.12553173305716814</v>
      </c>
      <c r="D2514" s="30">
        <v>0.12809587653295207</v>
      </c>
      <c r="E2514" s="31">
        <f ca="1">B2514-D2514</f>
        <v>0</v>
      </c>
    </row>
    <row r="2515" spans="1:5" x14ac:dyDescent="0.25">
      <c r="A2515" s="21">
        <v>2514</v>
      </c>
      <c r="B2515" s="5" cm="1">
        <f t="array" aca="1" ref="B2515" ca="1">interpolexp(A2515,serie_du,Taxas_DI)</f>
        <v>0.1280948554258643</v>
      </c>
      <c r="C2515" s="32">
        <f ca="1">((((1+B2515)^(A2515/252))/((1+B2514)^(A2514/252)))^(252/1))-1</f>
        <v>0.12553173070939527</v>
      </c>
      <c r="D2515" s="30">
        <v>0.1280948554258643</v>
      </c>
      <c r="E2515" s="31">
        <f ca="1">B2515-D2515</f>
        <v>0</v>
      </c>
    </row>
    <row r="2516" spans="1:5" x14ac:dyDescent="0.25">
      <c r="A2516" s="21">
        <v>2515</v>
      </c>
      <c r="B2516" s="5" cm="1">
        <f t="array" aca="1" ref="B2516" ca="1">interpolexp(A2516,serie_du,Taxas_DI)</f>
        <v>0.12809383513083805</v>
      </c>
      <c r="C2516" s="32">
        <f ca="1">((((1+B2516)^(A2516/252))/((1+B2515)^(A2515/252)))^(252/1))-1</f>
        <v>0.12553172851307215</v>
      </c>
      <c r="D2516" s="30">
        <v>0.12809383513083805</v>
      </c>
      <c r="E2516" s="31">
        <f ca="1">B2516-D2516</f>
        <v>0</v>
      </c>
    </row>
    <row r="2517" spans="1:5" x14ac:dyDescent="0.25">
      <c r="A2517" s="21">
        <v>2516</v>
      </c>
      <c r="B2517" s="5" cm="1">
        <f t="array" aca="1" ref="B2517" ca="1">interpolexp(A2517,serie_du,Taxas_DI)</f>
        <v>0.12809281564682973</v>
      </c>
      <c r="C2517" s="32">
        <f ca="1">((((1+B2517)^(A2517/252))/((1+B2516)^(A2516/252)))^(252/1))-1</f>
        <v>0.12553172613068653</v>
      </c>
      <c r="D2517" s="30">
        <v>0.12809281564682973</v>
      </c>
      <c r="E2517" s="31">
        <f ca="1">B2517-D2517</f>
        <v>0</v>
      </c>
    </row>
    <row r="2518" spans="1:5" x14ac:dyDescent="0.25">
      <c r="A2518" s="21">
        <v>2517</v>
      </c>
      <c r="B2518" s="5" cm="1">
        <f t="array" aca="1" ref="B2518" ca="1">interpolexp(A2518,serie_du,Taxas_DI)</f>
        <v>0.12809179697292894</v>
      </c>
      <c r="C2518" s="32">
        <f ca="1">((((1+B2518)^(A2518/252))/((1+B2517)^(A2517/252)))^(252/1))-1</f>
        <v>0.12553172389204037</v>
      </c>
      <c r="D2518" s="30">
        <v>0.12809179697292894</v>
      </c>
      <c r="E2518" s="31">
        <f ca="1">B2518-D2518</f>
        <v>0</v>
      </c>
    </row>
    <row r="2519" spans="1:5" x14ac:dyDescent="0.25">
      <c r="A2519" s="21">
        <v>2518</v>
      </c>
      <c r="B2519" s="5" cm="1">
        <f t="array" aca="1" ref="B2519" ca="1">interpolexp(A2519,serie_du,Taxas_DI)</f>
        <v>0.12809077910815869</v>
      </c>
      <c r="C2519" s="32">
        <f ca="1">((((1+B2519)^(A2519/252))/((1+B2518)^(A2518/252)))^(252/1))-1</f>
        <v>0.12553172162669268</v>
      </c>
      <c r="D2519" s="30">
        <v>0.12809077910815869</v>
      </c>
      <c r="E2519" s="31">
        <f ca="1">B2519-D2519</f>
        <v>0</v>
      </c>
    </row>
    <row r="2520" spans="1:5" x14ac:dyDescent="0.25">
      <c r="A2520" s="21">
        <v>2519</v>
      </c>
      <c r="B2520" s="5" cm="1">
        <f t="array" aca="1" ref="B2520" ca="1">interpolexp(A2520,serie_du,Taxas_DI)</f>
        <v>0.12808976205154199</v>
      </c>
      <c r="C2520" s="32">
        <f ca="1">((((1+B2520)^(A2520/252))/((1+B2519)^(A2519/252)))^(252/1))-1</f>
        <v>0.12553171933044704</v>
      </c>
      <c r="D2520" s="30">
        <v>0.12808976205154199</v>
      </c>
      <c r="E2520" s="31">
        <f ca="1">B2520-D2520</f>
        <v>0</v>
      </c>
    </row>
    <row r="2521" spans="1:5" x14ac:dyDescent="0.25">
      <c r="A2521" s="21">
        <v>2520</v>
      </c>
      <c r="B2521" s="5" cm="1">
        <f t="array" aca="1" ref="B2521" ca="1">interpolexp(A2521,serie_du,Taxas_DI)</f>
        <v>0.12808874580212404</v>
      </c>
      <c r="C2521" s="32">
        <f ca="1">((((1+B2521)^(A2521/252))/((1+B2520)^(A2520/252)))^(252/1))-1</f>
        <v>0.12553171705530919</v>
      </c>
      <c r="D2521" s="30">
        <v>0.12808874580212404</v>
      </c>
      <c r="E2521" s="31">
        <f ca="1">B2521-D2521</f>
        <v>0</v>
      </c>
    </row>
    <row r="2522" spans="1:5" x14ac:dyDescent="0.25">
      <c r="A2522" s="21">
        <v>2521</v>
      </c>
      <c r="B2522" s="5" cm="1">
        <f t="array" aca="1" ref="B2522" ca="1">interpolexp(A2522,serie_du,Taxas_DI)</f>
        <v>0.12808773035895005</v>
      </c>
      <c r="C2522" s="32">
        <f ca="1">((((1+B2522)^(A2522/252))/((1+B2521)^(A2521/252)))^(252/1))-1</f>
        <v>0.12553171479737557</v>
      </c>
      <c r="D2522" s="30">
        <v>0.12808773035895005</v>
      </c>
      <c r="E2522" s="31">
        <f ca="1">B2522-D2522</f>
        <v>0</v>
      </c>
    </row>
    <row r="2523" spans="1:5" x14ac:dyDescent="0.25">
      <c r="A2523" s="21">
        <v>2522</v>
      </c>
      <c r="B2523" s="5" cm="1">
        <f t="array" aca="1" ref="B2523" ca="1">interpolexp(A2523,serie_du,Taxas_DI)</f>
        <v>0.12808671572104302</v>
      </c>
      <c r="C2523" s="32">
        <f ca="1">((((1+B2523)^(A2523/252))/((1+B2522)^(A2522/252)))^(252/1))-1</f>
        <v>0.12553171249698503</v>
      </c>
      <c r="D2523" s="30">
        <v>0.12808671572104302</v>
      </c>
      <c r="E2523" s="31">
        <f ca="1">B2523-D2523</f>
        <v>0</v>
      </c>
    </row>
    <row r="2524" spans="1:5" x14ac:dyDescent="0.25">
      <c r="A2524" s="21">
        <v>2523</v>
      </c>
      <c r="B2524" s="5" cm="1">
        <f t="array" aca="1" ref="B2524" ca="1">interpolexp(A2524,serie_du,Taxas_DI)</f>
        <v>0.12808570188744817</v>
      </c>
      <c r="C2524" s="32">
        <f ca="1">((((1+B2524)^(A2524/252))/((1+B2523)^(A2523/252)))^(252/1))-1</f>
        <v>0.12553171020630116</v>
      </c>
      <c r="D2524" s="30">
        <v>0.12808570188744817</v>
      </c>
      <c r="E2524" s="31">
        <f ca="1">B2524-D2524</f>
        <v>0</v>
      </c>
    </row>
    <row r="2525" spans="1:5" x14ac:dyDescent="0.25">
      <c r="A2525" s="21">
        <v>2524</v>
      </c>
      <c r="B2525" s="5" cm="1">
        <f t="array" aca="1" ref="B2525" ca="1">interpolexp(A2525,serie_du,Taxas_DI)</f>
        <v>0.1280846888572329</v>
      </c>
      <c r="C2525" s="32">
        <f ca="1">((((1+B2525)^(A2525/252))/((1+B2524)^(A2524/252)))^(252/1))-1</f>
        <v>0.12553170797713142</v>
      </c>
      <c r="D2525" s="30">
        <v>0.1280846888572329</v>
      </c>
      <c r="E2525" s="31">
        <f ca="1">B2525-D2525</f>
        <v>0</v>
      </c>
    </row>
    <row r="2526" spans="1:5" x14ac:dyDescent="0.25">
      <c r="A2526" s="21">
        <v>2525</v>
      </c>
      <c r="B2526" s="5" cm="1">
        <f t="array" aca="1" ref="B2526" ca="1">interpolexp(A2526,serie_du,Taxas_DI)</f>
        <v>0.12808367662944242</v>
      </c>
      <c r="C2526" s="32">
        <f ca="1">((((1+B2526)^(A2526/252))/((1+B2525)^(A2525/252)))^(252/1))-1</f>
        <v>0.12553170575022565</v>
      </c>
      <c r="D2526" s="30">
        <v>0.12808367662944242</v>
      </c>
      <c r="E2526" s="31">
        <f ca="1">B2526-D2526</f>
        <v>0</v>
      </c>
    </row>
    <row r="2527" spans="1:5" x14ac:dyDescent="0.25">
      <c r="A2527" s="21">
        <v>2526</v>
      </c>
      <c r="B2527" s="5" cm="1">
        <f t="array" aca="1" ref="B2527" ca="1">interpolexp(A2527,serie_du,Taxas_DI)</f>
        <v>0.12808266520307754</v>
      </c>
      <c r="C2527" s="32">
        <f ca="1">((((1+B2527)^(A2527/252))/((1+B2526)^(A2526/252)))^(252/1))-1</f>
        <v>0.12553170340930175</v>
      </c>
      <c r="D2527" s="30">
        <v>0.12808266520307754</v>
      </c>
      <c r="E2527" s="31">
        <f ca="1">B2527-D2527</f>
        <v>0</v>
      </c>
    </row>
    <row r="2528" spans="1:5" x14ac:dyDescent="0.25">
      <c r="A2528" s="21">
        <v>2527</v>
      </c>
      <c r="B2528" s="5" cm="1">
        <f t="array" aca="1" ref="B2528" ca="1">interpolexp(A2528,serie_du,Taxas_DI)</f>
        <v>0.12808165457725007</v>
      </c>
      <c r="C2528" s="32">
        <f ca="1">((((1+B2528)^(A2528/252))/((1+B2527)^(A2527/252)))^(252/1))-1</f>
        <v>0.12553170123071622</v>
      </c>
      <c r="D2528" s="30">
        <v>0.12808165457725007</v>
      </c>
      <c r="E2528" s="31">
        <f ca="1">B2528-D2528</f>
        <v>0</v>
      </c>
    </row>
    <row r="2529" spans="1:5" x14ac:dyDescent="0.25">
      <c r="A2529" s="21">
        <v>2528</v>
      </c>
      <c r="B2529" s="5" cm="1">
        <f t="array" aca="1" ref="B2529" ca="1">interpolexp(A2529,serie_du,Taxas_DI)</f>
        <v>0.12808064475096081</v>
      </c>
      <c r="C2529" s="32">
        <f ca="1">((((1+B2529)^(A2529/252))/((1+B2528)^(A2528/252)))^(252/1))-1</f>
        <v>0.12553169893073113</v>
      </c>
      <c r="D2529" s="30">
        <v>0.12808064475096081</v>
      </c>
      <c r="E2529" s="31">
        <f ca="1">B2529-D2529</f>
        <v>0</v>
      </c>
    </row>
    <row r="2530" spans="1:5" x14ac:dyDescent="0.25">
      <c r="A2530" s="21">
        <v>2529</v>
      </c>
      <c r="B2530" s="5" cm="1">
        <f t="array" aca="1" ref="B2530" ca="1">interpolexp(A2530,serie_du,Taxas_DI)</f>
        <v>0.12807963572327719</v>
      </c>
      <c r="C2530" s="32">
        <f ca="1">((((1+B2530)^(A2530/252))/((1+B2529)^(A2529/252)))^(252/1))-1</f>
        <v>0.12553169667352049</v>
      </c>
      <c r="D2530" s="30">
        <v>0.12807963572327719</v>
      </c>
      <c r="E2530" s="31">
        <f ca="1">B2530-D2530</f>
        <v>0</v>
      </c>
    </row>
    <row r="2531" spans="1:5" x14ac:dyDescent="0.25">
      <c r="A2531" s="21">
        <v>2530</v>
      </c>
      <c r="B2531" s="5" cm="1">
        <f t="array" aca="1" ref="B2531" ca="1">interpolexp(A2531,serie_du,Taxas_DI)</f>
        <v>0.12807862749324439</v>
      </c>
      <c r="C2531" s="32">
        <f ca="1">((((1+B2531)^(A2531/252))/((1+B2530)^(A2530/252)))^(252/1))-1</f>
        <v>0.1255316943991911</v>
      </c>
      <c r="D2531" s="30">
        <v>0.12807862749324439</v>
      </c>
      <c r="E2531" s="31">
        <f ca="1">B2531-D2531</f>
        <v>0</v>
      </c>
    </row>
    <row r="2532" spans="1:5" x14ac:dyDescent="0.25">
      <c r="A2532" s="21">
        <v>2531</v>
      </c>
      <c r="B2532" s="5" cm="1">
        <f t="array" aca="1" ref="B2532" ca="1">interpolexp(A2532,serie_du,Taxas_DI)</f>
        <v>0.12807762005995205</v>
      </c>
      <c r="C2532" s="32">
        <f ca="1">((((1+B2532)^(A2532/252))/((1+B2531)^(A2531/252)))^(252/1))-1</f>
        <v>0.12553169221612692</v>
      </c>
      <c r="D2532" s="30">
        <v>0.12807762005995205</v>
      </c>
      <c r="E2532" s="31">
        <f ca="1">B2532-D2532</f>
        <v>0</v>
      </c>
    </row>
    <row r="2533" spans="1:5" x14ac:dyDescent="0.25">
      <c r="A2533" s="21">
        <v>2532</v>
      </c>
      <c r="B2533" s="5" cm="1">
        <f t="array" aca="1" ref="B2533" ca="1">interpolexp(A2533,serie_du,Taxas_DI)</f>
        <v>0.12807661342242316</v>
      </c>
      <c r="C2533" s="32">
        <f ca="1">((((1+B2533)^(A2533/252))/((1+B2532)^(A2532/252)))^(252/1))-1</f>
        <v>0.12553168995237707</v>
      </c>
      <c r="D2533" s="30">
        <v>0.12807661342242316</v>
      </c>
      <c r="E2533" s="31">
        <f ca="1">B2533-D2533</f>
        <v>0</v>
      </c>
    </row>
    <row r="2534" spans="1:5" x14ac:dyDescent="0.25">
      <c r="A2534" s="21">
        <v>2533</v>
      </c>
      <c r="B2534" s="5" cm="1">
        <f t="array" aca="1" ref="B2534" ca="1">interpolexp(A2534,serie_du,Taxas_DI)</f>
        <v>0.12807560757970293</v>
      </c>
      <c r="C2534" s="32">
        <f ca="1">((((1+B2534)^(A2534/252))/((1+B2533)^(A2533/252)))^(252/1))-1</f>
        <v>0.12553168766024947</v>
      </c>
      <c r="D2534" s="30">
        <v>0.12807560757970293</v>
      </c>
      <c r="E2534" s="31">
        <f ca="1">B2534-D2534</f>
        <v>0</v>
      </c>
    </row>
    <row r="2535" spans="1:5" x14ac:dyDescent="0.25">
      <c r="A2535" s="21">
        <v>2534</v>
      </c>
      <c r="B2535" s="5" cm="1">
        <f t="array" aca="1" ref="B2535" ca="1">interpolexp(A2535,serie_du,Taxas_DI)</f>
        <v>0.12807460253088099</v>
      </c>
      <c r="C2535" s="32">
        <f ca="1">((((1+B2535)^(A2535/252))/((1+B2534)^(A2534/252)))^(252/1))-1</f>
        <v>0.12553168544813076</v>
      </c>
      <c r="D2535" s="30">
        <v>0.12807460253088099</v>
      </c>
      <c r="E2535" s="31">
        <f ca="1">B2535-D2535</f>
        <v>0</v>
      </c>
    </row>
    <row r="2536" spans="1:5" x14ac:dyDescent="0.25">
      <c r="A2536" s="21">
        <v>2535</v>
      </c>
      <c r="B2536" s="5" cm="1">
        <f t="array" aca="1" ref="B2536" ca="1">interpolexp(A2536,serie_du,Taxas_DI)</f>
        <v>0.12807359827502474</v>
      </c>
      <c r="C2536" s="32">
        <f ca="1">((((1+B2536)^(A2536/252))/((1+B2535)^(A2535/252)))^(252/1))-1</f>
        <v>0.12553168325614106</v>
      </c>
      <c r="D2536" s="30">
        <v>0.12807359827502474</v>
      </c>
      <c r="E2536" s="31">
        <f ca="1">B2536-D2536</f>
        <v>0</v>
      </c>
    </row>
    <row r="2537" spans="1:5" x14ac:dyDescent="0.25">
      <c r="A2537" s="21">
        <v>2536</v>
      </c>
      <c r="B2537" s="5" cm="1">
        <f t="array" aca="1" ref="B2537" ca="1">interpolexp(A2537,serie_du,Taxas_DI)</f>
        <v>0.12807269513024355</v>
      </c>
      <c r="C2537" s="32">
        <f ca="1">((((1+B2537)^(A2537/252))/((1+B2536)^(A2536/252)))^(252/1))-1</f>
        <v>0.12578554574457046</v>
      </c>
      <c r="D2537" s="30">
        <v>0.12807269513024355</v>
      </c>
      <c r="E2537" s="31">
        <f ca="1">B2537-D2537</f>
        <v>0</v>
      </c>
    </row>
    <row r="2538" spans="1:5" x14ac:dyDescent="0.25">
      <c r="A2538" s="21">
        <v>2537</v>
      </c>
      <c r="B2538" s="5" cm="1">
        <f t="array" aca="1" ref="B2538" ca="1">interpolexp(A2538,serie_du,Taxas_DI)</f>
        <v>0.1280717926974706</v>
      </c>
      <c r="C2538" s="32">
        <f ca="1">((((1+B2538)^(A2538/252))/((1+B2537)^(A2537/252)))^(252/1))-1</f>
        <v>0.12578554399121811</v>
      </c>
      <c r="D2538" s="30">
        <v>0.1280717926974706</v>
      </c>
      <c r="E2538" s="31">
        <f ca="1">B2538-D2538</f>
        <v>0</v>
      </c>
    </row>
    <row r="2539" spans="1:5" x14ac:dyDescent="0.25">
      <c r="A2539" s="21">
        <v>2538</v>
      </c>
      <c r="B2539" s="5" cm="1">
        <f t="array" aca="1" ref="B2539" ca="1">interpolexp(A2539,serie_du,Taxas_DI)</f>
        <v>0.1280708909758399</v>
      </c>
      <c r="C2539" s="32">
        <f ca="1">((((1+B2539)^(A2539/252))/((1+B2538)^(A2538/252)))^(252/1))-1</f>
        <v>0.12578554217830473</v>
      </c>
      <c r="D2539" s="30">
        <v>0.1280708909758399</v>
      </c>
      <c r="E2539" s="31">
        <f ca="1">B2539-D2539</f>
        <v>0</v>
      </c>
    </row>
    <row r="2540" spans="1:5" x14ac:dyDescent="0.25">
      <c r="A2540" s="21">
        <v>2539</v>
      </c>
      <c r="B2540" s="5" cm="1">
        <f t="array" aca="1" ref="B2540" ca="1">interpolexp(A2540,serie_du,Taxas_DI)</f>
        <v>0.12806998996450769</v>
      </c>
      <c r="C2540" s="32">
        <f ca="1">((((1+B2540)^(A2540/252))/((1+B2539)^(A2539/252)))^(252/1))-1</f>
        <v>0.12578554035867984</v>
      </c>
      <c r="D2540" s="30">
        <v>0.12806998996450769</v>
      </c>
      <c r="E2540" s="31">
        <f ca="1">B2540-D2540</f>
        <v>0</v>
      </c>
    </row>
    <row r="2541" spans="1:5" x14ac:dyDescent="0.25">
      <c r="A2541" s="21">
        <v>2540</v>
      </c>
      <c r="B2541" s="5" cm="1">
        <f t="array" aca="1" ref="B2541" ca="1">interpolexp(A2541,serie_du,Taxas_DI)</f>
        <v>0.1280690896626302</v>
      </c>
      <c r="C2541" s="32">
        <f ca="1">((((1+B2541)^(A2541/252))/((1+B2540)^(A2540/252)))^(252/1))-1</f>
        <v>0.12578553852894236</v>
      </c>
      <c r="D2541" s="30">
        <v>0.1280690896626302</v>
      </c>
      <c r="E2541" s="31">
        <f ca="1">B2541-D2541</f>
        <v>0</v>
      </c>
    </row>
    <row r="2542" spans="1:5" x14ac:dyDescent="0.25">
      <c r="A2542" s="21">
        <v>2541</v>
      </c>
      <c r="B2542" s="5" cm="1">
        <f t="array" aca="1" ref="B2542" ca="1">interpolexp(A2542,serie_du,Taxas_DI)</f>
        <v>0.12806819006938586</v>
      </c>
      <c r="C2542" s="32">
        <f ca="1">((((1+B2542)^(A2542/252))/((1+B2541)^(A2541/252)))^(252/1))-1</f>
        <v>0.12578553674201021</v>
      </c>
      <c r="D2542" s="30">
        <v>0.12806819006938586</v>
      </c>
      <c r="E2542" s="31">
        <f ca="1">B2542-D2542</f>
        <v>0</v>
      </c>
    </row>
    <row r="2543" spans="1:5" x14ac:dyDescent="0.25">
      <c r="A2543" s="21">
        <v>2542</v>
      </c>
      <c r="B2543" s="5" cm="1">
        <f t="array" aca="1" ref="B2543" ca="1">interpolexp(A2543,serie_du,Taxas_DI)</f>
        <v>0.1280672911839309</v>
      </c>
      <c r="C2543" s="32">
        <f ca="1">((((1+B2543)^(A2543/252))/((1+B2542)^(A2542/252)))^(252/1))-1</f>
        <v>0.12578553493829125</v>
      </c>
      <c r="D2543" s="30">
        <v>0.1280672911839309</v>
      </c>
      <c r="E2543" s="31">
        <f ca="1">B2543-D2543</f>
        <v>0</v>
      </c>
    </row>
    <row r="2544" spans="1:5" x14ac:dyDescent="0.25">
      <c r="A2544" s="21">
        <v>2543</v>
      </c>
      <c r="B2544" s="5" cm="1">
        <f t="array" aca="1" ref="B2544" ca="1">interpolexp(A2544,serie_du,Taxas_DI)</f>
        <v>0.12806639300544376</v>
      </c>
      <c r="C2544" s="32">
        <f ca="1">((((1+B2544)^(A2544/252))/((1+B2543)^(A2543/252)))^(252/1))-1</f>
        <v>0.12578553317090346</v>
      </c>
      <c r="D2544" s="30">
        <v>0.12806639300544376</v>
      </c>
      <c r="E2544" s="31">
        <f ca="1">B2544-D2544</f>
        <v>0</v>
      </c>
    </row>
    <row r="2545" spans="1:5" x14ac:dyDescent="0.25">
      <c r="A2545" s="21">
        <v>2544</v>
      </c>
      <c r="B2545" s="5" cm="1">
        <f t="array" aca="1" ref="B2545" ca="1">interpolexp(A2545,serie_du,Taxas_DI)</f>
        <v>0.12806549553308066</v>
      </c>
      <c r="C2545" s="32">
        <f ca="1">((((1+B2545)^(A2545/252))/((1+B2544)^(A2544/252)))^(252/1))-1</f>
        <v>0.12578553137994675</v>
      </c>
      <c r="D2545" s="30">
        <v>0.12806549553308066</v>
      </c>
      <c r="E2545" s="31">
        <f ca="1">B2545-D2545</f>
        <v>0</v>
      </c>
    </row>
    <row r="2546" spans="1:5" x14ac:dyDescent="0.25">
      <c r="A2546" s="21">
        <v>2545</v>
      </c>
      <c r="B2546" s="5" cm="1">
        <f t="array" aca="1" ref="B2546" ca="1">interpolexp(A2546,serie_du,Taxas_DI)</f>
        <v>0.12806459876599785</v>
      </c>
      <c r="C2546" s="32">
        <f ca="1">((((1+B2546)^(A2546/252))/((1+B2545)^(A2545/252)))^(252/1))-1</f>
        <v>0.12578552956218125</v>
      </c>
      <c r="D2546" s="30">
        <v>0.12806459876599785</v>
      </c>
      <c r="E2546" s="31">
        <f ca="1">B2546-D2546</f>
        <v>0</v>
      </c>
    </row>
    <row r="2547" spans="1:5" x14ac:dyDescent="0.25">
      <c r="A2547" s="21">
        <v>2546</v>
      </c>
      <c r="B2547" s="5" cm="1">
        <f t="array" aca="1" ref="B2547" ca="1">interpolexp(A2547,serie_du,Taxas_DI)</f>
        <v>0.12806370270339595</v>
      </c>
      <c r="C2547" s="32">
        <f ca="1">((((1+B2547)^(A2547/252))/((1+B2546)^(A2546/252)))^(252/1))-1</f>
        <v>0.12578552782694818</v>
      </c>
      <c r="D2547" s="30">
        <v>0.12806370270339595</v>
      </c>
      <c r="E2547" s="31">
        <f ca="1">B2547-D2547</f>
        <v>0</v>
      </c>
    </row>
    <row r="2548" spans="1:5" x14ac:dyDescent="0.25">
      <c r="A2548" s="21">
        <v>2547</v>
      </c>
      <c r="B2548" s="5" cm="1">
        <f t="array" aca="1" ref="B2548" ca="1">interpolexp(A2548,serie_du,Taxas_DI)</f>
        <v>0.128062807344409</v>
      </c>
      <c r="C2548" s="32">
        <f ca="1">((((1+B2548)^(A2548/252))/((1+B2547)^(A2547/252)))^(252/1))-1</f>
        <v>0.1257855260020706</v>
      </c>
      <c r="D2548" s="30">
        <v>0.128062807344409</v>
      </c>
      <c r="E2548" s="31">
        <f ca="1">B2548-D2548</f>
        <v>0</v>
      </c>
    </row>
    <row r="2549" spans="1:5" x14ac:dyDescent="0.25">
      <c r="A2549" s="21">
        <v>2548</v>
      </c>
      <c r="B2549" s="5" cm="1">
        <f t="array" aca="1" ref="B2549" ca="1">interpolexp(A2549,serie_du,Taxas_DI)</f>
        <v>0.12806191268821543</v>
      </c>
      <c r="C2549" s="32">
        <f ca="1">((((1+B2549)^(A2549/252))/((1+B2548)^(A2548/252)))^(252/1))-1</f>
        <v>0.12578552419658218</v>
      </c>
      <c r="D2549" s="30">
        <v>0.12806191268821543</v>
      </c>
      <c r="E2549" s="31">
        <f ca="1">B2549-D2549</f>
        <v>0</v>
      </c>
    </row>
    <row r="2550" spans="1:5" x14ac:dyDescent="0.25">
      <c r="A2550" s="21">
        <v>2549</v>
      </c>
      <c r="B2550" s="5" cm="1">
        <f t="array" aca="1" ref="B2550" ca="1">interpolexp(A2550,serie_du,Taxas_DI)</f>
        <v>0.12806101873401587</v>
      </c>
      <c r="C2550" s="32">
        <f ca="1">((((1+B2550)^(A2550/252))/((1+B2549)^(A2549/252)))^(252/1))-1</f>
        <v>0.12578552246394348</v>
      </c>
      <c r="D2550" s="30">
        <v>0.12806101873401587</v>
      </c>
      <c r="E2550" s="31">
        <f ca="1">B2550-D2550</f>
        <v>0</v>
      </c>
    </row>
    <row r="2551" spans="1:5" x14ac:dyDescent="0.25">
      <c r="A2551" s="21">
        <v>2550</v>
      </c>
      <c r="B2551" s="5" cm="1">
        <f t="array" aca="1" ref="B2551" ca="1">interpolexp(A2551,serie_du,Taxas_DI)</f>
        <v>0.12806012548094436</v>
      </c>
      <c r="C2551" s="32">
        <f ca="1">((((1+B2551)^(A2551/252))/((1+B2550)^(A2550/252)))^(252/1))-1</f>
        <v>0.12578552063144599</v>
      </c>
      <c r="D2551" s="30">
        <v>0.12806012548094436</v>
      </c>
      <c r="E2551" s="31">
        <f ca="1">B2551-D2551</f>
        <v>0</v>
      </c>
    </row>
    <row r="2552" spans="1:5" x14ac:dyDescent="0.25">
      <c r="A2552" s="21">
        <v>2551</v>
      </c>
      <c r="B2552" s="5" cm="1">
        <f t="array" aca="1" ref="B2552" ca="1">interpolexp(A2552,serie_du,Taxas_DI)</f>
        <v>0.12805923292820154</v>
      </c>
      <c r="C2552" s="32">
        <f ca="1">((((1+B2552)^(A2552/252))/((1+B2551)^(A2551/252)))^(252/1))-1</f>
        <v>0.12578551886510714</v>
      </c>
      <c r="D2552" s="30">
        <v>0.12805923292820154</v>
      </c>
      <c r="E2552" s="31">
        <f ca="1">B2552-D2552</f>
        <v>0</v>
      </c>
    </row>
    <row r="2553" spans="1:5" x14ac:dyDescent="0.25">
      <c r="A2553" s="21">
        <v>2552</v>
      </c>
      <c r="B2553" s="5" cm="1">
        <f t="array" aca="1" ref="B2553" ca="1">interpolexp(A2553,serie_du,Taxas_DI)</f>
        <v>0.12805834107496583</v>
      </c>
      <c r="C2553" s="32">
        <f ca="1">((((1+B2553)^(A2553/252))/((1+B2552)^(A2552/252)))^(252/1))-1</f>
        <v>0.12578551710513142</v>
      </c>
      <c r="D2553" s="30">
        <v>0.12805834107496583</v>
      </c>
      <c r="E2553" s="31">
        <f ca="1">B2553-D2553</f>
        <v>0</v>
      </c>
    </row>
    <row r="2554" spans="1:5" x14ac:dyDescent="0.25">
      <c r="A2554" s="21">
        <v>2553</v>
      </c>
      <c r="B2554" s="5" cm="1">
        <f t="array" aca="1" ref="B2554" ca="1">interpolexp(A2554,serie_du,Taxas_DI)</f>
        <v>0.12805744992041568</v>
      </c>
      <c r="C2554" s="32">
        <f ca="1">((((1+B2554)^(A2554/252))/((1+B2553)^(A2553/252)))^(252/1))-1</f>
        <v>0.12578551534844107</v>
      </c>
      <c r="D2554" s="30">
        <v>0.12805744992041568</v>
      </c>
      <c r="E2554" s="31">
        <f ca="1">B2554-D2554</f>
        <v>0</v>
      </c>
    </row>
    <row r="2555" spans="1:5" x14ac:dyDescent="0.25">
      <c r="A2555" s="21">
        <v>2554</v>
      </c>
      <c r="B2555" s="5" cm="1">
        <f t="array" aca="1" ref="B2555" ca="1">interpolexp(A2555,serie_du,Taxas_DI)</f>
        <v>0.12805655946370731</v>
      </c>
      <c r="C2555" s="32">
        <f ca="1">((((1+B2555)^(A2555/252))/((1+B2554)^(A2554/252)))^(252/1))-1</f>
        <v>0.12578551353496681</v>
      </c>
      <c r="D2555" s="30">
        <v>0.12805655946370731</v>
      </c>
      <c r="E2555" s="31">
        <f ca="1">B2555-D2555</f>
        <v>0</v>
      </c>
    </row>
    <row r="2556" spans="1:5" x14ac:dyDescent="0.25">
      <c r="A2556" s="21">
        <v>2555</v>
      </c>
      <c r="B2556" s="5" cm="1">
        <f t="array" aca="1" ref="B2556" ca="1">interpolexp(A2556,serie_du,Taxas_DI)</f>
        <v>0.12805566970404136</v>
      </c>
      <c r="C2556" s="32">
        <f ca="1">((((1+B2556)^(A2556/252))/((1+B2555)^(A2555/252)))^(252/1))-1</f>
        <v>0.1257855117747213</v>
      </c>
      <c r="D2556" s="30">
        <v>0.12805566970404136</v>
      </c>
      <c r="E2556" s="31">
        <f ca="1">B2556-D2556</f>
        <v>0</v>
      </c>
    </row>
    <row r="2557" spans="1:5" x14ac:dyDescent="0.25">
      <c r="A2557" s="21">
        <v>2556</v>
      </c>
      <c r="B2557" s="5" cm="1">
        <f t="array" aca="1" ref="B2557" ca="1">interpolexp(A2557,serie_du,Taxas_DI)</f>
        <v>0.12805478064059628</v>
      </c>
      <c r="C2557" s="32">
        <f ca="1">((((1+B2557)^(A2557/252))/((1+B2556)^(A2556/252)))^(252/1))-1</f>
        <v>0.12578551000771099</v>
      </c>
      <c r="D2557" s="30">
        <v>0.12805478064059628</v>
      </c>
      <c r="E2557" s="31">
        <f ca="1">B2557-D2557</f>
        <v>0</v>
      </c>
    </row>
    <row r="2558" spans="1:5" x14ac:dyDescent="0.25">
      <c r="A2558" s="21">
        <v>2557</v>
      </c>
      <c r="B2558" s="5" cm="1">
        <f t="array" aca="1" ref="B2558" ca="1">interpolexp(A2558,serie_du,Taxas_DI)</f>
        <v>0.12805389227257269</v>
      </c>
      <c r="C2558" s="32">
        <f ca="1">((((1+B2558)^(A2558/252))/((1+B2557)^(A2557/252)))^(252/1))-1</f>
        <v>0.12578550828758472</v>
      </c>
      <c r="D2558" s="30">
        <v>0.12805389227257269</v>
      </c>
      <c r="E2558" s="31">
        <f ca="1">B2558-D2558</f>
        <v>0</v>
      </c>
    </row>
    <row r="2559" spans="1:5" x14ac:dyDescent="0.25">
      <c r="A2559" s="21">
        <v>2558</v>
      </c>
      <c r="B2559" s="5" cm="1">
        <f t="array" aca="1" ref="B2559" ca="1">interpolexp(A2559,serie_du,Taxas_DI)</f>
        <v>0.12805300459910463</v>
      </c>
      <c r="C2559" s="32">
        <f ca="1">((((1+B2559)^(A2559/252))/((1+B2558)^(A2558/252)))^(252/1))-1</f>
        <v>0.12578550644069098</v>
      </c>
      <c r="D2559" s="30">
        <v>0.12805300459910463</v>
      </c>
      <c r="E2559" s="31">
        <f ca="1">B2559-D2559</f>
        <v>0</v>
      </c>
    </row>
    <row r="2560" spans="1:5" x14ac:dyDescent="0.25">
      <c r="A2560" s="21">
        <v>2559</v>
      </c>
      <c r="B2560" s="5" cm="1">
        <f t="array" aca="1" ref="B2560" ca="1">interpolexp(A2560,serie_du,Taxas_DI)</f>
        <v>0.12805211761943713</v>
      </c>
      <c r="C2560" s="32">
        <f ca="1">((((1+B2560)^(A2560/252))/((1+B2559)^(A2559/252)))^(252/1))-1</f>
        <v>0.12578550474748784</v>
      </c>
      <c r="D2560" s="30">
        <v>0.12805211761943713</v>
      </c>
      <c r="E2560" s="31">
        <f ca="1">B2560-D2560</f>
        <v>0</v>
      </c>
    </row>
    <row r="2561" spans="1:5" x14ac:dyDescent="0.25">
      <c r="A2561" s="21">
        <v>2560</v>
      </c>
      <c r="B2561" s="5" cm="1">
        <f t="array" aca="1" ref="B2561" ca="1">interpolexp(A2561,serie_du,Taxas_DI)</f>
        <v>0.12805123133272645</v>
      </c>
      <c r="C2561" s="32">
        <f ca="1">((((1+B2561)^(A2561/252))/((1+B2560)^(A2560/252)))^(252/1))-1</f>
        <v>0.1257855029777295</v>
      </c>
      <c r="D2561" s="30">
        <v>0.12805123133272645</v>
      </c>
      <c r="E2561" s="31">
        <f ca="1">B2561-D2561</f>
        <v>0</v>
      </c>
    </row>
    <row r="2562" spans="1:5" x14ac:dyDescent="0.25">
      <c r="A2562" s="21">
        <v>2561</v>
      </c>
      <c r="B2562" s="5" cm="1">
        <f t="array" aca="1" ref="B2562" ca="1">interpolexp(A2562,serie_du,Taxas_DI)</f>
        <v>0.12805034573815099</v>
      </c>
      <c r="C2562" s="32">
        <f ca="1">((((1+B2562)^(A2562/252))/((1+B2561)^(A2561/252)))^(252/1))-1</f>
        <v>0.12578550118505483</v>
      </c>
      <c r="D2562" s="30">
        <v>0.12805034573815099</v>
      </c>
      <c r="E2562" s="31">
        <f ca="1">B2562-D2562</f>
        <v>0</v>
      </c>
    </row>
    <row r="2563" spans="1:5" x14ac:dyDescent="0.25">
      <c r="A2563" s="21">
        <v>2562</v>
      </c>
      <c r="B2563" s="5" cm="1">
        <f t="array" aca="1" ref="B2563" ca="1">interpolexp(A2563,serie_du,Taxas_DI)</f>
        <v>0.12804946083493363</v>
      </c>
      <c r="C2563" s="32">
        <f ca="1">((((1+B2563)^(A2563/252))/((1+B2562)^(A2562/252)))^(252/1))-1</f>
        <v>0.12578549947950868</v>
      </c>
      <c r="D2563" s="30">
        <v>0.12804946083493363</v>
      </c>
      <c r="E2563" s="31">
        <f ca="1">B2563-D2563</f>
        <v>0</v>
      </c>
    </row>
    <row r="2564" spans="1:5" x14ac:dyDescent="0.25">
      <c r="A2564" s="21">
        <v>2563</v>
      </c>
      <c r="B2564" s="5" cm="1">
        <f t="array" aca="1" ref="B2564" ca="1">interpolexp(A2564,serie_du,Taxas_DI)</f>
        <v>0.12804857662223057</v>
      </c>
      <c r="C2564" s="32">
        <f ca="1">((((1+B2564)^(A2564/252))/((1+B2563)^(A2563/252)))^(252/1))-1</f>
        <v>0.12578549768798952</v>
      </c>
      <c r="D2564" s="30">
        <v>0.12804857662223057</v>
      </c>
      <c r="E2564" s="31">
        <f ca="1">B2564-D2564</f>
        <v>0</v>
      </c>
    </row>
    <row r="2565" spans="1:5" x14ac:dyDescent="0.25">
      <c r="A2565" s="21">
        <v>2564</v>
      </c>
      <c r="B2565" s="5" cm="1">
        <f t="array" aca="1" ref="B2565" ca="1">interpolexp(A2565,serie_du,Taxas_DI)</f>
        <v>0.12804769309924247</v>
      </c>
      <c r="C2565" s="32">
        <f ca="1">((((1+B2565)^(A2565/252))/((1+B2564)^(A2564/252)))^(252/1))-1</f>
        <v>0.12578549592016741</v>
      </c>
      <c r="D2565" s="30">
        <v>0.12804769309924247</v>
      </c>
      <c r="E2565" s="31">
        <f ca="1">B2565-D2565</f>
        <v>0</v>
      </c>
    </row>
    <row r="2566" spans="1:5" x14ac:dyDescent="0.25">
      <c r="A2566" s="21">
        <v>2565</v>
      </c>
      <c r="B2566" s="5" cm="1">
        <f t="array" aca="1" ref="B2566" ca="1">interpolexp(A2566,serie_du,Taxas_DI)</f>
        <v>0.12804681026519216</v>
      </c>
      <c r="C2566" s="32">
        <f ca="1">((((1+B2566)^(A2566/252))/((1+B2565)^(A2565/252)))^(252/1))-1</f>
        <v>0.12578549423012508</v>
      </c>
      <c r="D2566" s="30">
        <v>0.12804681026519216</v>
      </c>
      <c r="E2566" s="31">
        <f ca="1">B2566-D2566</f>
        <v>0</v>
      </c>
    </row>
    <row r="2567" spans="1:5" x14ac:dyDescent="0.25">
      <c r="A2567" s="21">
        <v>2566</v>
      </c>
      <c r="B2567" s="5" cm="1">
        <f t="array" aca="1" ref="B2567" ca="1">interpolexp(A2567,serie_du,Taxas_DI)</f>
        <v>0.12804592811923587</v>
      </c>
      <c r="C2567" s="32">
        <f ca="1">((((1+B2567)^(A2567/252))/((1+B2566)^(A2566/252)))^(252/1))-1</f>
        <v>0.12578549244404913</v>
      </c>
      <c r="D2567" s="30">
        <v>0.12804592811923587</v>
      </c>
      <c r="E2567" s="31">
        <f ca="1">B2567-D2567</f>
        <v>0</v>
      </c>
    </row>
    <row r="2568" spans="1:5" x14ac:dyDescent="0.25">
      <c r="A2568" s="21">
        <v>2567</v>
      </c>
      <c r="B2568" s="5" cm="1">
        <f t="array" aca="1" ref="B2568" ca="1">interpolexp(A2568,serie_du,Taxas_DI)</f>
        <v>0.12804504666057426</v>
      </c>
      <c r="C2568" s="32">
        <f ca="1">((((1+B2568)^(A2568/252))/((1+B2567)^(A2567/252)))^(252/1))-1</f>
        <v>0.12578549067234635</v>
      </c>
      <c r="D2568" s="30">
        <v>0.12804504666057426</v>
      </c>
      <c r="E2568" s="31">
        <f ca="1">B2568-D2568</f>
        <v>0</v>
      </c>
    </row>
    <row r="2569" spans="1:5" x14ac:dyDescent="0.25">
      <c r="A2569" s="21">
        <v>2568</v>
      </c>
      <c r="B2569" s="5" cm="1">
        <f t="array" aca="1" ref="B2569" ca="1">interpolexp(A2569,serie_du,Taxas_DI)</f>
        <v>0.12804416588843015</v>
      </c>
      <c r="C2569" s="32">
        <f ca="1">((((1+B2569)^(A2569/252))/((1+B2568)^(A2568/252)))^(252/1))-1</f>
        <v>0.12578548896867914</v>
      </c>
      <c r="D2569" s="30">
        <v>0.12804416588843015</v>
      </c>
      <c r="E2569" s="31">
        <f ca="1">B2569-D2569</f>
        <v>0</v>
      </c>
    </row>
    <row r="2570" spans="1:5" x14ac:dyDescent="0.25">
      <c r="A2570" s="21">
        <v>2569</v>
      </c>
      <c r="B2570" s="5" cm="1">
        <f t="array" aca="1" ref="B2570" ca="1">interpolexp(A2570,serie_du,Taxas_DI)</f>
        <v>0.12804328580198199</v>
      </c>
      <c r="C2570" s="32">
        <f ca="1">((((1+B2570)^(A2570/252))/((1+B2569)^(A2569/252)))^(252/1))-1</f>
        <v>0.12578548721617477</v>
      </c>
      <c r="D2570" s="30">
        <v>0.12804328580198199</v>
      </c>
      <c r="E2570" s="31">
        <f ca="1">B2570-D2570</f>
        <v>0</v>
      </c>
    </row>
    <row r="2571" spans="1:5" x14ac:dyDescent="0.25">
      <c r="A2571" s="21">
        <v>2570</v>
      </c>
      <c r="B2571" s="5" cm="1">
        <f t="array" aca="1" ref="B2571" ca="1">interpolexp(A2571,serie_du,Taxas_DI)</f>
        <v>0.12804240640043041</v>
      </c>
      <c r="C2571" s="32">
        <f ca="1">((((1+B2571)^(A2571/252))/((1+B2570)^(A2570/252)))^(252/1))-1</f>
        <v>0.12578548546836998</v>
      </c>
      <c r="D2571" s="30">
        <v>0.12804240640043041</v>
      </c>
      <c r="E2571" s="31">
        <f ca="1">B2571-D2571</f>
        <v>0</v>
      </c>
    </row>
    <row r="2572" spans="1:5" x14ac:dyDescent="0.25">
      <c r="A2572" s="21">
        <v>2571</v>
      </c>
      <c r="B2572" s="5" cm="1">
        <f t="array" aca="1" ref="B2572" ca="1">interpolexp(A2572,serie_du,Taxas_DI)</f>
        <v>0.12804152768299826</v>
      </c>
      <c r="C2572" s="32">
        <f ca="1">((((1+B2572)^(A2572/252))/((1+B2571)^(A2571/252)))^(252/1))-1</f>
        <v>0.12578548377917786</v>
      </c>
      <c r="D2572" s="30">
        <v>0.12804152768299826</v>
      </c>
      <c r="E2572" s="31">
        <f ca="1">B2572-D2572</f>
        <v>0</v>
      </c>
    </row>
    <row r="2573" spans="1:5" x14ac:dyDescent="0.25">
      <c r="A2573" s="21">
        <v>2572</v>
      </c>
      <c r="B2573" s="5" cm="1">
        <f t="array" aca="1" ref="B2573" ca="1">interpolexp(A2573,serie_du,Taxas_DI)</f>
        <v>0.12804064964884176</v>
      </c>
      <c r="C2573" s="32">
        <f ca="1">((((1+B2573)^(A2573/252))/((1+B2572)^(A2572/252)))^(252/1))-1</f>
        <v>0.12578548197437844</v>
      </c>
      <c r="D2573" s="30">
        <v>0.12804064964884176</v>
      </c>
      <c r="E2573" s="31">
        <f ca="1">B2573-D2573</f>
        <v>0</v>
      </c>
    </row>
    <row r="2574" spans="1:5" x14ac:dyDescent="0.25">
      <c r="A2574" s="21">
        <v>2573</v>
      </c>
      <c r="B2574" s="5" cm="1">
        <f t="array" aca="1" ref="B2574" ca="1">interpolexp(A2574,serie_du,Taxas_DI)</f>
        <v>0.12803977229720598</v>
      </c>
      <c r="C2574" s="32">
        <f ca="1">((((1+B2574)^(A2574/252))/((1+B2573)^(A2573/252)))^(252/1))-1</f>
        <v>0.12578548027888625</v>
      </c>
      <c r="D2574" s="30">
        <v>0.12803977229720598</v>
      </c>
      <c r="E2574" s="31">
        <f ca="1">B2574-D2574</f>
        <v>0</v>
      </c>
    </row>
    <row r="2575" spans="1:5" x14ac:dyDescent="0.25">
      <c r="A2575" s="21">
        <v>2574</v>
      </c>
      <c r="B2575" s="5" cm="1">
        <f t="array" aca="1" ref="B2575" ca="1">interpolexp(A2575,serie_du,Taxas_DI)</f>
        <v>0.12803889562729154</v>
      </c>
      <c r="C2575" s="32">
        <f ca="1">((((1+B2575)^(A2575/252))/((1+B2574)^(A2574/252)))^(252/1))-1</f>
        <v>0.1257854785753274</v>
      </c>
      <c r="D2575" s="30">
        <v>0.12803889562729154</v>
      </c>
      <c r="E2575" s="31">
        <f ca="1">B2575-D2575</f>
        <v>0</v>
      </c>
    </row>
    <row r="2576" spans="1:5" x14ac:dyDescent="0.25">
      <c r="A2576" s="21">
        <v>2575</v>
      </c>
      <c r="B2576" s="5" cm="1">
        <f t="array" aca="1" ref="B2576" ca="1">interpolexp(A2576,serie_du,Taxas_DI)</f>
        <v>0.12803801963827688</v>
      </c>
      <c r="C2576" s="32">
        <f ca="1">((((1+B2576)^(A2576/252))/((1+B2575)^(A2575/252)))^(252/1))-1</f>
        <v>0.12578547680372565</v>
      </c>
      <c r="D2576" s="30">
        <v>0.12803801963827688</v>
      </c>
      <c r="E2576" s="31">
        <f ca="1">B2576-D2576</f>
        <v>0</v>
      </c>
    </row>
    <row r="2577" spans="1:5" x14ac:dyDescent="0.25">
      <c r="A2577" s="21">
        <v>2576</v>
      </c>
      <c r="B2577" s="5" cm="1">
        <f t="array" aca="1" ref="B2577" ca="1">interpolexp(A2577,serie_du,Taxas_DI)</f>
        <v>0.12803714432938484</v>
      </c>
      <c r="C2577" s="32">
        <f ca="1">((((1+B2577)^(A2577/252))/((1+B2576)^(A2576/252)))^(252/1))-1</f>
        <v>0.12578547507465032</v>
      </c>
      <c r="D2577" s="30">
        <v>0.12803714432938484</v>
      </c>
      <c r="E2577" s="31">
        <f ca="1">B2577-D2577</f>
        <v>0</v>
      </c>
    </row>
    <row r="2578" spans="1:5" x14ac:dyDescent="0.25">
      <c r="A2578" s="21">
        <v>2577</v>
      </c>
      <c r="B2578" s="5" cm="1">
        <f t="array" aca="1" ref="B2578" ca="1">interpolexp(A2578,serie_du,Taxas_DI)</f>
        <v>0.12803626969983828</v>
      </c>
      <c r="C2578" s="32">
        <f ca="1">((((1+B2578)^(A2578/252))/((1+B2577)^(A2577/252)))^(252/1))-1</f>
        <v>0.12578547338533985</v>
      </c>
      <c r="D2578" s="30">
        <v>0.12803626969983828</v>
      </c>
      <c r="E2578" s="31">
        <f ca="1">B2578-D2578</f>
        <v>0</v>
      </c>
    </row>
    <row r="2579" spans="1:5" x14ac:dyDescent="0.25">
      <c r="A2579" s="21">
        <v>2578</v>
      </c>
      <c r="B2579" s="5" cm="1">
        <f t="array" aca="1" ref="B2579" ca="1">interpolexp(A2579,serie_du,Taxas_DI)</f>
        <v>0.12803539574881562</v>
      </c>
      <c r="C2579" s="32">
        <f ca="1">((((1+B2579)^(A2579/252))/((1+B2578)^(A2578/252)))^(252/1))-1</f>
        <v>0.12578547161805131</v>
      </c>
      <c r="D2579" s="30">
        <v>0.12803539574881562</v>
      </c>
      <c r="E2579" s="31">
        <f ca="1">B2579-D2579</f>
        <v>0</v>
      </c>
    </row>
    <row r="2580" spans="1:5" x14ac:dyDescent="0.25">
      <c r="A2580" s="21">
        <v>2579</v>
      </c>
      <c r="B2580" s="5" cm="1">
        <f t="array" aca="1" ref="B2580" ca="1">interpolexp(A2580,serie_du,Taxas_DI)</f>
        <v>0.12803452247556191</v>
      </c>
      <c r="C2580" s="32">
        <f ca="1">((((1+B2580)^(A2580/252))/((1+B2579)^(A2579/252)))^(252/1))-1</f>
        <v>0.12578546994137874</v>
      </c>
      <c r="D2580" s="30">
        <v>0.12803452247556191</v>
      </c>
      <c r="E2580" s="31">
        <f ca="1">B2580-D2580</f>
        <v>0</v>
      </c>
    </row>
    <row r="2581" spans="1:5" x14ac:dyDescent="0.25">
      <c r="A2581" s="21">
        <v>2580</v>
      </c>
      <c r="B2581" s="5" cm="1">
        <f t="array" aca="1" ref="B2581" ca="1">interpolexp(A2581,serie_du,Taxas_DI)</f>
        <v>0.12803364987925558</v>
      </c>
      <c r="C2581" s="32">
        <f ca="1">((((1+B2581)^(A2581/252))/((1+B2580)^(A2580/252)))^(252/1))-1</f>
        <v>0.12578546818041336</v>
      </c>
      <c r="D2581" s="30">
        <v>0.12803364987925558</v>
      </c>
      <c r="E2581" s="31">
        <f ca="1">B2581-D2581</f>
        <v>0</v>
      </c>
    </row>
    <row r="2582" spans="1:5" x14ac:dyDescent="0.25">
      <c r="A2582" s="21">
        <v>2581</v>
      </c>
      <c r="B2582" s="5" cm="1">
        <f t="array" aca="1" ref="B2582" ca="1">interpolexp(A2582,serie_du,Taxas_DI)</f>
        <v>0.1280327779591417</v>
      </c>
      <c r="C2582" s="32">
        <f ca="1">((((1+B2582)^(A2582/252))/((1+B2581)^(A2581/252)))^(252/1))-1</f>
        <v>0.12578546650375455</v>
      </c>
      <c r="D2582" s="30">
        <v>0.1280327779591417</v>
      </c>
      <c r="E2582" s="31">
        <f ca="1">B2582-D2582</f>
        <v>0</v>
      </c>
    </row>
    <row r="2583" spans="1:5" x14ac:dyDescent="0.25">
      <c r="A2583" s="21">
        <v>2582</v>
      </c>
      <c r="B2583" s="5" cm="1">
        <f t="array" aca="1" ref="B2583" ca="1">interpolexp(A2583,serie_du,Taxas_DI)</f>
        <v>0.12803190671439868</v>
      </c>
      <c r="C2583" s="32">
        <f ca="1">((((1+B2583)^(A2583/252))/((1+B2582)^(A2582/252)))^(252/1))-1</f>
        <v>0.12578546473635721</v>
      </c>
      <c r="D2583" s="30">
        <v>0.12803190671439868</v>
      </c>
      <c r="E2583" s="31">
        <f ca="1">B2583-D2583</f>
        <v>0</v>
      </c>
    </row>
    <row r="2584" spans="1:5" x14ac:dyDescent="0.25">
      <c r="A2584" s="21">
        <v>2583</v>
      </c>
      <c r="B2584" s="5" cm="1">
        <f t="array" aca="1" ref="B2584" ca="1">interpolexp(A2584,serie_du,Taxas_DI)</f>
        <v>0.12803103614427158</v>
      </c>
      <c r="C2584" s="32">
        <f ca="1">((((1+B2584)^(A2584/252))/((1+B2583)^(A2583/252)))^(252/1))-1</f>
        <v>0.12578546304714</v>
      </c>
      <c r="D2584" s="30">
        <v>0.12803103614427158</v>
      </c>
      <c r="E2584" s="31">
        <f ca="1">B2584-D2584</f>
        <v>0</v>
      </c>
    </row>
    <row r="2585" spans="1:5" x14ac:dyDescent="0.25">
      <c r="A2585" s="21">
        <v>2584</v>
      </c>
      <c r="B2585" s="5" cm="1">
        <f t="array" aca="1" ref="B2585" ca="1">interpolexp(A2585,serie_du,Taxas_DI)</f>
        <v>0.12803016624798325</v>
      </c>
      <c r="C2585" s="32">
        <f ca="1">((((1+B2585)^(A2585/252))/((1+B2584)^(A2584/252)))^(252/1))-1</f>
        <v>0.12578546137550184</v>
      </c>
      <c r="D2585" s="30">
        <v>0.12803016624798325</v>
      </c>
      <c r="E2585" s="31">
        <f ca="1">B2585-D2585</f>
        <v>0</v>
      </c>
    </row>
    <row r="2586" spans="1:5" x14ac:dyDescent="0.25">
      <c r="A2586" s="21">
        <v>2585</v>
      </c>
      <c r="B2586" s="5" cm="1">
        <f t="array" aca="1" ref="B2586" ca="1">interpolexp(A2586,serie_du,Taxas_DI)</f>
        <v>0.12802929702471211</v>
      </c>
      <c r="C2586" s="32">
        <f ca="1">((((1+B2586)^(A2586/252))/((1+B2585)^(A2585/252)))^(252/1))-1</f>
        <v>0.12578545960377641</v>
      </c>
      <c r="D2586" s="30">
        <v>0.12802929702471211</v>
      </c>
      <c r="E2586" s="31">
        <f ca="1">B2586-D2586</f>
        <v>0</v>
      </c>
    </row>
    <row r="2587" spans="1:5" x14ac:dyDescent="0.25">
      <c r="A2587" s="21">
        <v>2586</v>
      </c>
      <c r="B2587" s="5" cm="1">
        <f t="array" aca="1" ref="B2587" ca="1">interpolexp(A2587,serie_du,Taxas_DI)</f>
        <v>0.12802842847372542</v>
      </c>
      <c r="C2587" s="32">
        <f ca="1">((((1+B2587)^(A2587/252))/((1+B2586)^(A2586/252)))^(252/1))-1</f>
        <v>0.12578545795808149</v>
      </c>
      <c r="D2587" s="30">
        <v>0.12802842847372542</v>
      </c>
      <c r="E2587" s="31">
        <f ca="1">B2587-D2587</f>
        <v>0</v>
      </c>
    </row>
    <row r="2588" spans="1:5" x14ac:dyDescent="0.25">
      <c r="A2588" s="21">
        <v>2587</v>
      </c>
      <c r="B2588" s="5" cm="1">
        <f t="array" aca="1" ref="B2588" ca="1">interpolexp(A2588,serie_du,Taxas_DI)</f>
        <v>0.12802756059420162</v>
      </c>
      <c r="C2588" s="32">
        <f ca="1">((((1+B2588)^(A2588/252))/((1+B2587)^(A2587/252)))^(252/1))-1</f>
        <v>0.12578545620591597</v>
      </c>
      <c r="D2588" s="30">
        <v>0.12802756059420162</v>
      </c>
      <c r="E2588" s="31">
        <f ca="1">B2588-D2588</f>
        <v>0</v>
      </c>
    </row>
    <row r="2589" spans="1:5" x14ac:dyDescent="0.25">
      <c r="A2589" s="21">
        <v>2588</v>
      </c>
      <c r="B2589" s="5" cm="1">
        <f t="array" aca="1" ref="B2589" ca="1">interpolexp(A2589,serie_du,Taxas_DI)</f>
        <v>0.12802669338538575</v>
      </c>
      <c r="C2589" s="32">
        <f ca="1">((((1+B2589)^(A2589/252))/((1+B2588)^(A2588/252)))^(252/1))-1</f>
        <v>0.12578545451634704</v>
      </c>
      <c r="D2589" s="30">
        <v>0.12802669338538575</v>
      </c>
      <c r="E2589" s="31">
        <f ca="1">B2589-D2589</f>
        <v>0</v>
      </c>
    </row>
    <row r="2590" spans="1:5" x14ac:dyDescent="0.25">
      <c r="A2590" s="21">
        <v>2589</v>
      </c>
      <c r="B2590" s="5" cm="1">
        <f t="array" aca="1" ref="B2590" ca="1">interpolexp(A2590,serie_du,Taxas_DI)</f>
        <v>0.12802582684650066</v>
      </c>
      <c r="C2590" s="32">
        <f ca="1">((((1+B2590)^(A2590/252))/((1+B2589)^(A2589/252)))^(252/1))-1</f>
        <v>0.12578545282885778</v>
      </c>
      <c r="D2590" s="30">
        <v>0.12802582684650066</v>
      </c>
      <c r="E2590" s="31">
        <f ca="1">B2590-D2590</f>
        <v>0</v>
      </c>
    </row>
    <row r="2591" spans="1:5" x14ac:dyDescent="0.25">
      <c r="A2591" s="21">
        <v>2590</v>
      </c>
      <c r="B2591" s="5" cm="1">
        <f t="array" aca="1" ref="B2591" ca="1">interpolexp(A2591,serie_du,Taxas_DI)</f>
        <v>0.12802496097674698</v>
      </c>
      <c r="C2591" s="32">
        <f ca="1">((((1+B2591)^(A2591/252))/((1+B2590)^(A2590/252)))^(252/1))-1</f>
        <v>0.12578545108281225</v>
      </c>
      <c r="D2591" s="30">
        <v>0.12802496097674698</v>
      </c>
      <c r="E2591" s="31">
        <f ca="1">B2591-D2591</f>
        <v>0</v>
      </c>
    </row>
    <row r="2592" spans="1:5" x14ac:dyDescent="0.25">
      <c r="A2592" s="21">
        <v>2591</v>
      </c>
      <c r="B2592" s="5" cm="1">
        <f t="array" aca="1" ref="B2592" ca="1">interpolexp(A2592,serie_du,Taxas_DI)</f>
        <v>0.12802409577539198</v>
      </c>
      <c r="C2592" s="32">
        <f ca="1">((((1+B2592)^(A2592/252))/((1+B2591)^(A2591/252)))^(252/1))-1</f>
        <v>0.12578544944729986</v>
      </c>
      <c r="D2592" s="30">
        <v>0.12802409577539198</v>
      </c>
      <c r="E2592" s="31">
        <f ca="1">B2592-D2592</f>
        <v>0</v>
      </c>
    </row>
    <row r="2593" spans="1:5" x14ac:dyDescent="0.25">
      <c r="A2593" s="21">
        <v>2592</v>
      </c>
      <c r="B2593" s="5" cm="1">
        <f t="array" aca="1" ref="B2593" ca="1">interpolexp(A2593,serie_du,Taxas_DI)</f>
        <v>0.12802323124161408</v>
      </c>
      <c r="C2593" s="32">
        <f ca="1">((((1+B2593)^(A2593/252))/((1+B2592)^(A2592/252)))^(252/1))-1</f>
        <v>0.12578544768998423</v>
      </c>
      <c r="D2593" s="30">
        <v>0.12802323124161408</v>
      </c>
      <c r="E2593" s="31">
        <f ca="1">B2593-D2593</f>
        <v>0</v>
      </c>
    </row>
    <row r="2594" spans="1:5" x14ac:dyDescent="0.25">
      <c r="A2594" s="21">
        <v>2593</v>
      </c>
      <c r="B2594" s="5" cm="1">
        <f t="array" aca="1" ref="B2594" ca="1">interpolexp(A2594,serie_du,Taxas_DI)</f>
        <v>0.12802236737468053</v>
      </c>
      <c r="C2594" s="32">
        <f ca="1">((((1+B2594)^(A2594/252))/((1+B2593)^(A2593/252)))^(252/1))-1</f>
        <v>0.12578544603692254</v>
      </c>
      <c r="D2594" s="30">
        <v>0.12802236737468053</v>
      </c>
      <c r="E2594" s="31">
        <f ca="1">B2594-D2594</f>
        <v>0</v>
      </c>
    </row>
    <row r="2595" spans="1:5" x14ac:dyDescent="0.25">
      <c r="A2595" s="21">
        <v>2594</v>
      </c>
      <c r="B2595" s="5" cm="1">
        <f t="array" aca="1" ref="B2595" ca="1">interpolexp(A2595,serie_du,Taxas_DI)</f>
        <v>0.12802150417381419</v>
      </c>
      <c r="C2595" s="32">
        <f ca="1">((((1+B2595)^(A2595/252))/((1+B2594)^(A2594/252)))^(252/1))-1</f>
        <v>0.1257854443705031</v>
      </c>
      <c r="D2595" s="30">
        <v>0.12802150417381419</v>
      </c>
      <c r="E2595" s="31">
        <f ca="1">B2595-D2595</f>
        <v>0</v>
      </c>
    </row>
    <row r="2596" spans="1:5" x14ac:dyDescent="0.25">
      <c r="A2596" s="21">
        <v>2595</v>
      </c>
      <c r="B2596" s="5" cm="1">
        <f t="array" aca="1" ref="B2596" ca="1">interpolexp(A2596,serie_du,Taxas_DI)</f>
        <v>0.12802064163821569</v>
      </c>
      <c r="C2596" s="32">
        <f ca="1">((((1+B2596)^(A2596/252))/((1+B2595)^(A2595/252)))^(252/1))-1</f>
        <v>0.12578544263018165</v>
      </c>
      <c r="D2596" s="30">
        <v>0.12802064163821569</v>
      </c>
      <c r="E2596" s="31">
        <f ca="1">B2596-D2596</f>
        <v>0</v>
      </c>
    </row>
    <row r="2597" spans="1:5" x14ac:dyDescent="0.25">
      <c r="A2597" s="21">
        <v>2596</v>
      </c>
      <c r="B2597" s="5" cm="1">
        <f t="array" aca="1" ref="B2597" ca="1">interpolexp(A2597,serie_du,Taxas_DI)</f>
        <v>0.12801977976715229</v>
      </c>
      <c r="C2597" s="32">
        <f ca="1">((((1+B2597)^(A2597/252))/((1+B2596)^(A2596/252)))^(252/1))-1</f>
        <v>0.125785440985273</v>
      </c>
      <c r="D2597" s="30">
        <v>0.12801977976715229</v>
      </c>
      <c r="E2597" s="31">
        <f ca="1">B2597-D2597</f>
        <v>0</v>
      </c>
    </row>
    <row r="2598" spans="1:5" x14ac:dyDescent="0.25">
      <c r="A2598" s="21">
        <v>2597</v>
      </c>
      <c r="B2598" s="5" cm="1">
        <f t="array" aca="1" ref="B2598" ca="1">interpolexp(A2598,serie_du,Taxas_DI)</f>
        <v>0.12801891855982461</v>
      </c>
      <c r="C2598" s="32">
        <f ca="1">((((1+B2598)^(A2598/252))/((1+B2597)^(A2597/252)))^(252/1))-1</f>
        <v>0.12578543925998797</v>
      </c>
      <c r="D2598" s="30">
        <v>0.12801891855982461</v>
      </c>
      <c r="E2598" s="31">
        <f ca="1">B2598-D2598</f>
        <v>0</v>
      </c>
    </row>
    <row r="2599" spans="1:5" x14ac:dyDescent="0.25">
      <c r="A2599" s="21">
        <v>2598</v>
      </c>
      <c r="B2599" s="5" cm="1">
        <f t="array" aca="1" ref="B2599" ca="1">interpolexp(A2599,serie_du,Taxas_DI)</f>
        <v>0.12801805801547772</v>
      </c>
      <c r="C2599" s="32">
        <f ca="1">((((1+B2599)^(A2599/252))/((1+B2598)^(A2598/252)))^(252/1))-1</f>
        <v>0.12578543756663696</v>
      </c>
      <c r="D2599" s="30">
        <v>0.12801805801547772</v>
      </c>
      <c r="E2599" s="31">
        <f ca="1">B2599-D2599</f>
        <v>0</v>
      </c>
    </row>
    <row r="2600" spans="1:5" x14ac:dyDescent="0.25">
      <c r="A2600" s="21">
        <v>2599</v>
      </c>
      <c r="B2600" s="5" cm="1">
        <f t="array" aca="1" ref="B2600" ca="1">interpolexp(A2600,serie_du,Taxas_DI)</f>
        <v>0.12801719813337886</v>
      </c>
      <c r="C2600" s="32">
        <f ca="1">((((1+B2600)^(A2600/252))/((1+B2599)^(A2599/252)))^(252/1))-1</f>
        <v>0.12578543595935354</v>
      </c>
      <c r="D2600" s="30">
        <v>0.12801719813337886</v>
      </c>
      <c r="E2600" s="31">
        <f ca="1">B2600-D2600</f>
        <v>0</v>
      </c>
    </row>
    <row r="2601" spans="1:5" x14ac:dyDescent="0.25">
      <c r="A2601" s="21">
        <v>2600</v>
      </c>
      <c r="B2601" s="5" cm="1">
        <f t="array" aca="1" ref="B2601" ca="1">interpolexp(A2601,serie_du,Taxas_DI)</f>
        <v>0.12801633891270647</v>
      </c>
      <c r="C2601" s="32">
        <f ca="1">((((1+B2601)^(A2601/252))/((1+B2600)^(A2600/252)))^(252/1))-1</f>
        <v>0.12578543420530908</v>
      </c>
      <c r="D2601" s="30">
        <v>0.12801633891270647</v>
      </c>
      <c r="E2601" s="31">
        <f ca="1">B2601-D2601</f>
        <v>0</v>
      </c>
    </row>
    <row r="2602" spans="1:5" x14ac:dyDescent="0.25">
      <c r="A2602" s="21">
        <v>2601</v>
      </c>
      <c r="B2602" s="5" cm="1">
        <f t="array" aca="1" ref="B2602" ca="1">interpolexp(A2602,serie_du,Taxas_DI)</f>
        <v>0.12801548035272781</v>
      </c>
      <c r="C2602" s="32">
        <f ca="1">((((1+B2602)^(A2602/252))/((1+B2601)^(A2601/252)))^(252/1))-1</f>
        <v>0.12578543253116314</v>
      </c>
      <c r="D2602" s="30">
        <v>0.12801548035272781</v>
      </c>
      <c r="E2602" s="31">
        <f ca="1">B2602-D2602</f>
        <v>0</v>
      </c>
    </row>
    <row r="2603" spans="1:5" x14ac:dyDescent="0.25">
      <c r="A2603" s="21">
        <v>2602</v>
      </c>
      <c r="B2603" s="5" cm="1">
        <f t="array" aca="1" ref="B2603" ca="1">interpolexp(A2603,serie_du,Taxas_DI)</f>
        <v>0.12801462245268791</v>
      </c>
      <c r="C2603" s="32">
        <f ca="1">((((1+B2603)^(A2603/252))/((1+B2602)^(A2602/252)))^(252/1))-1</f>
        <v>0.12578543087689775</v>
      </c>
      <c r="D2603" s="30">
        <v>0.12801462245268791</v>
      </c>
      <c r="E2603" s="31">
        <f ca="1">B2603-D2603</f>
        <v>0</v>
      </c>
    </row>
    <row r="2604" spans="1:5" x14ac:dyDescent="0.25">
      <c r="A2604" s="21">
        <v>2603</v>
      </c>
      <c r="B2604" s="5" cm="1">
        <f t="array" aca="1" ref="B2604" ca="1">interpolexp(A2604,serie_du,Taxas_DI)</f>
        <v>0.12801376521183183</v>
      </c>
      <c r="C2604" s="32">
        <f ca="1">((((1+B2604)^(A2604/252))/((1+B2603)^(A2603/252)))^(252/1))-1</f>
        <v>0.12578542923913671</v>
      </c>
      <c r="D2604" s="30">
        <v>0.12801376521183183</v>
      </c>
      <c r="E2604" s="31">
        <f ca="1">B2604-D2604</f>
        <v>0</v>
      </c>
    </row>
    <row r="2605" spans="1:5" x14ac:dyDescent="0.25">
      <c r="A2605" s="21">
        <v>2604</v>
      </c>
      <c r="B2605" s="5" cm="1">
        <f t="array" aca="1" ref="B2605" ca="1">interpolexp(A2605,serie_du,Taxas_DI)</f>
        <v>0.12801290862936021</v>
      </c>
      <c r="C2605" s="32">
        <f ca="1">((((1+B2605)^(A2605/252))/((1+B2604)^(A2604/252)))^(252/1))-1</f>
        <v>0.12578542749951094</v>
      </c>
      <c r="D2605" s="30">
        <v>0.12801290862936021</v>
      </c>
      <c r="E2605" s="31">
        <f ca="1">B2605-D2605</f>
        <v>0</v>
      </c>
    </row>
    <row r="2606" spans="1:5" x14ac:dyDescent="0.25">
      <c r="A2606" s="21">
        <v>2605</v>
      </c>
      <c r="B2606" s="5" cm="1">
        <f t="array" aca="1" ref="B2606" ca="1">interpolexp(A2606,serie_du,Taxas_DI)</f>
        <v>0.12801205270456251</v>
      </c>
      <c r="C2606" s="32">
        <f ca="1">((((1+B2606)^(A2606/252))/((1+B2605)^(A2605/252)))^(252/1))-1</f>
        <v>0.12578542588579644</v>
      </c>
      <c r="D2606" s="30">
        <v>0.12801205270456251</v>
      </c>
      <c r="E2606" s="31">
        <f ca="1">B2606-D2606</f>
        <v>0</v>
      </c>
    </row>
    <row r="2607" spans="1:5" x14ac:dyDescent="0.25">
      <c r="A2607" s="21">
        <v>2606</v>
      </c>
      <c r="B2607" s="5" cm="1">
        <f t="array" aca="1" ref="B2607" ca="1">interpolexp(A2607,serie_du,Taxas_DI)</f>
        <v>0.12801119743663936</v>
      </c>
      <c r="C2607" s="32">
        <f ca="1">((((1+B2607)^(A2607/252))/((1+B2606)^(A2606/252)))^(252/1))-1</f>
        <v>0.12578542416419536</v>
      </c>
      <c r="D2607" s="30">
        <v>0.12801119743663936</v>
      </c>
      <c r="E2607" s="31">
        <f ca="1">B2607-D2607</f>
        <v>0</v>
      </c>
    </row>
    <row r="2608" spans="1:5" x14ac:dyDescent="0.25">
      <c r="A2608" s="21">
        <v>2607</v>
      </c>
      <c r="B2608" s="5" cm="1">
        <f t="array" aca="1" ref="B2608" ca="1">interpolexp(A2608,serie_du,Taxas_DI)</f>
        <v>0.12801034282488022</v>
      </c>
      <c r="C2608" s="32">
        <f ca="1">((((1+B2608)^(A2608/252))/((1+B2607)^(A2607/252)))^(252/1))-1</f>
        <v>0.12578542256232184</v>
      </c>
      <c r="D2608" s="30">
        <v>0.12801034282488022</v>
      </c>
      <c r="E2608" s="31">
        <f ca="1">B2608-D2608</f>
        <v>0</v>
      </c>
    </row>
    <row r="2609" spans="1:5" x14ac:dyDescent="0.25">
      <c r="A2609" s="21">
        <v>2608</v>
      </c>
      <c r="B2609" s="5" cm="1">
        <f t="array" aca="1" ref="B2609" ca="1">interpolexp(A2609,serie_du,Taxas_DI)</f>
        <v>0.12800948886848573</v>
      </c>
      <c r="C2609" s="32">
        <f ca="1">((((1+B2609)^(A2609/252))/((1+B2608)^(A2608/252)))^(252/1))-1</f>
        <v>0.1257854208466771</v>
      </c>
      <c r="D2609" s="30">
        <v>0.12800948886848573</v>
      </c>
      <c r="E2609" s="31">
        <f ca="1">B2609-D2609</f>
        <v>0</v>
      </c>
    </row>
    <row r="2610" spans="1:5" x14ac:dyDescent="0.25">
      <c r="A2610" s="21">
        <v>2609</v>
      </c>
      <c r="B2610" s="5" cm="1">
        <f t="array" aca="1" ref="B2610" ca="1">interpolexp(A2610,serie_du,Taxas_DI)</f>
        <v>0.12800863556672315</v>
      </c>
      <c r="C2610" s="32">
        <f ca="1">((((1+B2610)^(A2610/252))/((1+B2609)^(A2609/252)))^(252/1))-1</f>
        <v>0.1257854191869292</v>
      </c>
      <c r="D2610" s="30">
        <v>0.12800863556672315</v>
      </c>
      <c r="E2610" s="31">
        <f ca="1">B2610-D2610</f>
        <v>0</v>
      </c>
    </row>
    <row r="2611" spans="1:5" x14ac:dyDescent="0.25">
      <c r="A2611" s="21">
        <v>2610</v>
      </c>
      <c r="B2611" s="5" cm="1">
        <f t="array" aca="1" ref="B2611" ca="1">interpolexp(A2611,serie_du,Taxas_DI)</f>
        <v>0.12800778291885972</v>
      </c>
      <c r="C2611" s="32">
        <f ca="1">((((1+B2611)^(A2611/252))/((1+B2610)^(A2610/252)))^(252/1))-1</f>
        <v>0.12578541758071826</v>
      </c>
      <c r="D2611" s="30">
        <v>0.12800778291885972</v>
      </c>
      <c r="E2611" s="31">
        <f ca="1">B2611-D2611</f>
        <v>0</v>
      </c>
    </row>
    <row r="2612" spans="1:5" x14ac:dyDescent="0.25">
      <c r="A2612" s="21">
        <v>2611</v>
      </c>
      <c r="B2612" s="5" cm="1">
        <f t="array" aca="1" ref="B2612" ca="1">interpolexp(A2612,serie_du,Taxas_DI)</f>
        <v>0.1280069309240961</v>
      </c>
      <c r="C2612" s="32">
        <f ca="1">((((1+B2612)^(A2612/252))/((1+B2611)^(A2611/252)))^(252/1))-1</f>
        <v>0.12578541585091307</v>
      </c>
      <c r="D2612" s="30">
        <v>0.1280069309240961</v>
      </c>
      <c r="E2612" s="31">
        <f ca="1">B2612-D2612</f>
        <v>0</v>
      </c>
    </row>
    <row r="2613" spans="1:5" x14ac:dyDescent="0.25">
      <c r="A2613" s="21">
        <v>2612</v>
      </c>
      <c r="B2613" s="5" cm="1">
        <f t="array" aca="1" ref="B2613" ca="1">interpolexp(A2613,serie_du,Taxas_DI)</f>
        <v>0.12800607958172172</v>
      </c>
      <c r="C2613" s="32">
        <f ca="1">((((1+B2613)^(A2613/252))/((1+B2612)^(A2612/252)))^(252/1))-1</f>
        <v>0.12578541422657996</v>
      </c>
      <c r="D2613" s="30">
        <v>0.12800607958172172</v>
      </c>
      <c r="E2613" s="31">
        <f ca="1">B2613-D2613</f>
        <v>0</v>
      </c>
    </row>
    <row r="2614" spans="1:5" x14ac:dyDescent="0.25">
      <c r="A2614" s="21">
        <v>2613</v>
      </c>
      <c r="B2614" s="5" cm="1">
        <f t="array" aca="1" ref="B2614" ca="1">interpolexp(A2614,serie_du,Taxas_DI)</f>
        <v>0.12800522889098165</v>
      </c>
      <c r="C2614" s="32">
        <f ca="1">((((1+B2614)^(A2614/252))/((1+B2613)^(A2613/252)))^(252/1))-1</f>
        <v>0.1257854125883926</v>
      </c>
      <c r="D2614" s="30">
        <v>0.12800522889098165</v>
      </c>
      <c r="E2614" s="31">
        <f ca="1">B2614-D2614</f>
        <v>0</v>
      </c>
    </row>
    <row r="2615" spans="1:5" x14ac:dyDescent="0.25">
      <c r="A2615" s="21">
        <v>2614</v>
      </c>
      <c r="B2615" s="5" cm="1">
        <f t="array" aca="1" ref="B2615" ca="1">interpolexp(A2615,serie_du,Taxas_DI)</f>
        <v>0.12800437885109872</v>
      </c>
      <c r="C2615" s="32">
        <f ca="1">((((1+B2615)^(A2615/252))/((1+B2614)^(A2614/252)))^(252/1))-1</f>
        <v>0.12578541087576478</v>
      </c>
      <c r="D2615" s="30">
        <v>0.12800437885109872</v>
      </c>
      <c r="E2615" s="31">
        <f ca="1">B2615-D2615</f>
        <v>0</v>
      </c>
    </row>
    <row r="2616" spans="1:5" x14ac:dyDescent="0.25">
      <c r="A2616" s="21">
        <v>2615</v>
      </c>
      <c r="B2616" s="5" cm="1">
        <f t="array" aca="1" ref="B2616" ca="1">interpolexp(A2616,serie_du,Taxas_DI)</f>
        <v>0.1280035294613846</v>
      </c>
      <c r="C2616" s="32">
        <f ca="1">((((1+B2616)^(A2616/252))/((1+B2615)^(A2615/252)))^(252/1))-1</f>
        <v>0.12578540931734161</v>
      </c>
      <c r="D2616" s="30">
        <v>0.1280035294613846</v>
      </c>
      <c r="E2616" s="31">
        <f ca="1">B2616-D2616</f>
        <v>0</v>
      </c>
    </row>
    <row r="2617" spans="1:5" x14ac:dyDescent="0.25">
      <c r="A2617" s="21">
        <v>2616</v>
      </c>
      <c r="B2617" s="5" cm="1">
        <f t="array" aca="1" ref="B2617" ca="1">interpolexp(A2617,serie_du,Taxas_DI)</f>
        <v>0.12800268072101773</v>
      </c>
      <c r="C2617" s="32">
        <f ca="1">((((1+B2617)^(A2617/252))/((1+B2616)^(A2616/252)))^(252/1))-1</f>
        <v>0.12578540756253553</v>
      </c>
      <c r="D2617" s="30">
        <v>0.12800268072101773</v>
      </c>
      <c r="E2617" s="31">
        <f ca="1">B2617-D2617</f>
        <v>0</v>
      </c>
    </row>
    <row r="2618" spans="1:5" x14ac:dyDescent="0.25">
      <c r="A2618" s="21">
        <v>2617</v>
      </c>
      <c r="B2618" s="5" cm="1">
        <f t="array" aca="1" ref="B2618" ca="1">interpolexp(A2618,serie_du,Taxas_DI)</f>
        <v>0.12800183262933196</v>
      </c>
      <c r="C2618" s="32">
        <f ca="1">((((1+B2618)^(A2618/252))/((1+B2617)^(A2617/252)))^(252/1))-1</f>
        <v>0.1257854060139556</v>
      </c>
      <c r="D2618" s="30">
        <v>0.12800183262933196</v>
      </c>
      <c r="E2618" s="31">
        <f ca="1">B2618-D2618</f>
        <v>0</v>
      </c>
    </row>
    <row r="2619" spans="1:5" x14ac:dyDescent="0.25">
      <c r="A2619" s="21">
        <v>2618</v>
      </c>
      <c r="B2619" s="5" cm="1">
        <f t="array" aca="1" ref="B2619" ca="1">interpolexp(A2619,serie_du,Taxas_DI)</f>
        <v>0.12800098518552794</v>
      </c>
      <c r="C2619" s="32">
        <f ca="1">((((1+B2619)^(A2619/252))/((1+B2618)^(A2618/252)))^(252/1))-1</f>
        <v>0.12578540432083529</v>
      </c>
      <c r="D2619" s="30">
        <v>0.12800098518552794</v>
      </c>
      <c r="E2619" s="31">
        <f ca="1">B2619-D2619</f>
        <v>0</v>
      </c>
    </row>
    <row r="2620" spans="1:5" x14ac:dyDescent="0.25">
      <c r="A2620" s="21">
        <v>2619</v>
      </c>
      <c r="B2620" s="5" cm="1">
        <f t="array" aca="1" ref="B2620" ca="1">interpolexp(A2620,serie_du,Taxas_DI)</f>
        <v>0.12800013838887292</v>
      </c>
      <c r="C2620" s="32">
        <f ca="1">((((1+B2620)^(A2620/252))/((1+B2619)^(A2619/252)))^(252/1))-1</f>
        <v>0.12578540265429705</v>
      </c>
      <c r="D2620" s="30">
        <v>0.12800013838887292</v>
      </c>
      <c r="E2620" s="31">
        <f ca="1">B2620-D2620</f>
        <v>0</v>
      </c>
    </row>
    <row r="2621" spans="1:5" x14ac:dyDescent="0.25">
      <c r="A2621" s="21">
        <v>2620</v>
      </c>
      <c r="B2621" s="5" cm="1">
        <f t="array" aca="1" ref="B2621" ca="1">interpolexp(A2621,serie_du,Taxas_DI)</f>
        <v>0.12799929223865636</v>
      </c>
      <c r="C2621" s="32">
        <f ca="1">((((1+B2621)^(A2621/252))/((1+B2620)^(A2620/252)))^(252/1))-1</f>
        <v>0.12578540106925606</v>
      </c>
      <c r="D2621" s="30">
        <v>0.12799929223865636</v>
      </c>
      <c r="E2621" s="31">
        <f ca="1">B2621-D2621</f>
        <v>0</v>
      </c>
    </row>
    <row r="2622" spans="1:5" x14ac:dyDescent="0.25">
      <c r="A2622" s="21">
        <v>2621</v>
      </c>
      <c r="B2622" s="5" cm="1">
        <f t="array" aca="1" ref="B2622" ca="1">interpolexp(A2622,serie_du,Taxas_DI)</f>
        <v>0.1279984467341011</v>
      </c>
      <c r="C2622" s="32">
        <f ca="1">((((1+B2622)^(A2622/252))/((1+B2621)^(A2621/252)))^(252/1))-1</f>
        <v>0.12578539938863531</v>
      </c>
      <c r="D2622" s="30">
        <v>0.1279984467341011</v>
      </c>
      <c r="E2622" s="31">
        <f ca="1">B2622-D2622</f>
        <v>0</v>
      </c>
    </row>
    <row r="2623" spans="1:5" x14ac:dyDescent="0.25">
      <c r="A2623" s="21">
        <v>2622</v>
      </c>
      <c r="B2623" s="5" cm="1">
        <f t="array" aca="1" ref="B2623" ca="1">interpolexp(A2623,serie_du,Taxas_DI)</f>
        <v>0.1279976018744744</v>
      </c>
      <c r="C2623" s="32">
        <f ca="1">((((1+B2623)^(A2623/252))/((1+B2622)^(A2622/252)))^(252/1))-1</f>
        <v>0.12578539772573527</v>
      </c>
      <c r="D2623" s="30">
        <v>0.1279976018744744</v>
      </c>
      <c r="E2623" s="31">
        <f ca="1">B2623-D2623</f>
        <v>0</v>
      </c>
    </row>
    <row r="2624" spans="1:5" x14ac:dyDescent="0.25">
      <c r="A2624" s="21">
        <v>2623</v>
      </c>
      <c r="B2624" s="5" cm="1">
        <f t="array" aca="1" ref="B2624" ca="1">interpolexp(A2624,serie_du,Taxas_DI)</f>
        <v>0.12799675765906571</v>
      </c>
      <c r="C2624" s="32">
        <f ca="1">((((1+B2624)^(A2624/252))/((1+B2623)^(A2623/252)))^(252/1))-1</f>
        <v>0.12578539613539208</v>
      </c>
      <c r="D2624" s="30">
        <v>0.12799675765906571</v>
      </c>
      <c r="E2624" s="31">
        <f ca="1">B2624-D2624</f>
        <v>0</v>
      </c>
    </row>
    <row r="2625" spans="1:5" x14ac:dyDescent="0.25">
      <c r="A2625" s="21">
        <v>2624</v>
      </c>
      <c r="B2625" s="5" cm="1">
        <f t="array" aca="1" ref="B2625" ca="1">interpolexp(A2625,serie_du,Taxas_DI)</f>
        <v>0.12799591408712008</v>
      </c>
      <c r="C2625" s="32">
        <f ca="1">((((1+B2625)^(A2625/252))/((1+B2624)^(A2624/252)))^(252/1))-1</f>
        <v>0.12578539449900039</v>
      </c>
      <c r="D2625" s="30">
        <v>0.12799591408712008</v>
      </c>
      <c r="E2625" s="31">
        <f ca="1">B2625-D2625</f>
        <v>0</v>
      </c>
    </row>
    <row r="2626" spans="1:5" x14ac:dyDescent="0.25">
      <c r="A2626" s="21">
        <v>2625</v>
      </c>
      <c r="B2626" s="5" cm="1">
        <f t="array" aca="1" ref="B2626" ca="1">interpolexp(A2626,serie_du,Taxas_DI)</f>
        <v>0.12799507115790476</v>
      </c>
      <c r="C2626" s="32">
        <f ca="1">((((1+B2626)^(A2626/252))/((1+B2625)^(A2625/252)))^(252/1))-1</f>
        <v>0.12578539287108215</v>
      </c>
      <c r="D2626" s="30">
        <v>0.12799507115790476</v>
      </c>
      <c r="E2626" s="31">
        <f ca="1">B2626-D2626</f>
        <v>0</v>
      </c>
    </row>
    <row r="2627" spans="1:5" x14ac:dyDescent="0.25">
      <c r="A2627" s="21">
        <v>2626</v>
      </c>
      <c r="B2627" s="5" cm="1">
        <f t="array" aca="1" ref="B2627" ca="1">interpolexp(A2627,serie_du,Taxas_DI)</f>
        <v>0.12799422887066481</v>
      </c>
      <c r="C2627" s="32">
        <f ca="1">((((1+B2627)^(A2627/252))/((1+B2626)^(A2626/252)))^(252/1))-1</f>
        <v>0.12578539119112842</v>
      </c>
      <c r="D2627" s="30">
        <v>0.12799422887066481</v>
      </c>
      <c r="E2627" s="31">
        <f ca="1">B2627-D2627</f>
        <v>0</v>
      </c>
    </row>
    <row r="2628" spans="1:5" x14ac:dyDescent="0.25">
      <c r="A2628" s="21">
        <v>2627</v>
      </c>
      <c r="B2628" s="5" cm="1">
        <f t="array" aca="1" ref="B2628" ca="1">interpolexp(A2628,serie_du,Taxas_DI)</f>
        <v>0.12799338722471187</v>
      </c>
      <c r="C2628" s="32">
        <f ca="1">((((1+B2628)^(A2628/252))/((1+B2627)^(A2627/252)))^(252/1))-1</f>
        <v>0.1257853896303307</v>
      </c>
      <c r="D2628" s="30">
        <v>0.12799338722471187</v>
      </c>
      <c r="E2628" s="31">
        <f ca="1">B2628-D2628</f>
        <v>0</v>
      </c>
    </row>
    <row r="2629" spans="1:5" x14ac:dyDescent="0.25">
      <c r="A2629" s="21">
        <v>2628</v>
      </c>
      <c r="B2629" s="5" cm="1">
        <f t="array" aca="1" ref="B2629" ca="1">interpolexp(A2629,serie_du,Taxas_DI)</f>
        <v>0.12799254621926881</v>
      </c>
      <c r="C2629" s="32">
        <f ca="1">((((1+B2629)^(A2629/252))/((1+B2628)^(A2628/252)))^(252/1))-1</f>
        <v>0.12578538795316785</v>
      </c>
      <c r="D2629" s="30">
        <v>0.12799254621926881</v>
      </c>
      <c r="E2629" s="31">
        <f ca="1">B2629-D2629</f>
        <v>0</v>
      </c>
    </row>
    <row r="2630" spans="1:5" x14ac:dyDescent="0.25">
      <c r="A2630" s="21">
        <v>2629</v>
      </c>
      <c r="B2630" s="5" cm="1">
        <f t="array" aca="1" ref="B2630" ca="1">interpolexp(A2630,serie_du,Taxas_DI)</f>
        <v>0.12799170585362507</v>
      </c>
      <c r="C2630" s="32">
        <f ca="1">((((1+B2630)^(A2630/252))/((1+B2629)^(A2629/252)))^(252/1))-1</f>
        <v>0.12578538633131364</v>
      </c>
      <c r="D2630" s="30">
        <v>0.12799170585362507</v>
      </c>
      <c r="E2630" s="31">
        <f ca="1">B2630-D2630</f>
        <v>0</v>
      </c>
    </row>
    <row r="2631" spans="1:5" x14ac:dyDescent="0.25">
      <c r="A2631" s="21">
        <v>2630</v>
      </c>
      <c r="B2631" s="5" cm="1">
        <f t="array" aca="1" ref="B2631" ca="1">interpolexp(A2631,serie_du,Taxas_DI)</f>
        <v>0.12799086612707011</v>
      </c>
      <c r="C2631" s="32">
        <f ca="1">((((1+B2631)^(A2631/252))/((1+B2630)^(A2630/252)))^(252/1))-1</f>
        <v>0.12578538476188439</v>
      </c>
      <c r="D2631" s="30">
        <v>0.12799086612707011</v>
      </c>
      <c r="E2631" s="31">
        <f ca="1">B2631-D2631</f>
        <v>0</v>
      </c>
    </row>
    <row r="2632" spans="1:5" x14ac:dyDescent="0.25">
      <c r="A2632" s="21">
        <v>2631</v>
      </c>
      <c r="B2632" s="5" cm="1">
        <f t="array" aca="1" ref="B2632" ca="1">interpolexp(A2632,serie_du,Taxas_DI)</f>
        <v>0.12799002703882678</v>
      </c>
      <c r="C2632" s="32">
        <f ca="1">((((1+B2632)^(A2632/252))/((1+B2631)^(A2631/252)))^(252/1))-1</f>
        <v>0.12578538306716824</v>
      </c>
      <c r="D2632" s="30">
        <v>0.12799002703882678</v>
      </c>
      <c r="E2632" s="31">
        <f ca="1">B2632-D2632</f>
        <v>0</v>
      </c>
    </row>
    <row r="2633" spans="1:5" x14ac:dyDescent="0.25">
      <c r="A2633" s="21">
        <v>2632</v>
      </c>
      <c r="B2633" s="5" cm="1">
        <f t="array" aca="1" ref="B2633" ca="1">interpolexp(A2633,serie_du,Taxas_DI)</f>
        <v>0.12798918858822894</v>
      </c>
      <c r="C2633" s="32">
        <f ca="1">((((1+B2633)^(A2633/252))/((1+B2632)^(A2632/252)))^(252/1))-1</f>
        <v>0.12578538153562269</v>
      </c>
      <c r="D2633" s="30">
        <v>0.12798918858822894</v>
      </c>
      <c r="E2633" s="31">
        <f ca="1">B2633-D2633</f>
        <v>0</v>
      </c>
    </row>
    <row r="2634" spans="1:5" x14ac:dyDescent="0.25">
      <c r="A2634" s="21">
        <v>2633</v>
      </c>
      <c r="B2634" s="5" cm="1">
        <f t="array" aca="1" ref="B2634" ca="1">interpolexp(A2634,serie_du,Taxas_DI)</f>
        <v>0.12798835077447723</v>
      </c>
      <c r="C2634" s="32">
        <f ca="1">((((1+B2634)^(A2634/252))/((1+B2633)^(A2633/252)))^(252/1))-1</f>
        <v>0.12578537981448301</v>
      </c>
      <c r="D2634" s="30">
        <v>0.12798835077447723</v>
      </c>
      <c r="E2634" s="31">
        <f ca="1">B2634-D2634</f>
        <v>0</v>
      </c>
    </row>
    <row r="2635" spans="1:5" x14ac:dyDescent="0.25">
      <c r="A2635" s="21">
        <v>2634</v>
      </c>
      <c r="B2635" s="5" cm="1">
        <f t="array" aca="1" ref="B2635" ca="1">interpolexp(A2635,serie_du,Taxas_DI)</f>
        <v>0.12798751359690552</v>
      </c>
      <c r="C2635" s="32">
        <f ca="1">((((1+B2635)^(A2635/252))/((1+B2634)^(A2634/252)))^(252/1))-1</f>
        <v>0.12578537825098568</v>
      </c>
      <c r="D2635" s="30">
        <v>0.12798751359690552</v>
      </c>
      <c r="E2635" s="31">
        <f ca="1">B2635-D2635</f>
        <v>0</v>
      </c>
    </row>
    <row r="2636" spans="1:5" x14ac:dyDescent="0.25">
      <c r="A2636" s="21">
        <v>2635</v>
      </c>
      <c r="B2636" s="5" cm="1">
        <f t="array" aca="1" ref="B2636" ca="1">interpolexp(A2636,serie_du,Taxas_DI)</f>
        <v>0.12798667705478106</v>
      </c>
      <c r="C2636" s="32">
        <f ca="1">((((1+B2636)^(A2636/252))/((1+B2635)^(A2635/252)))^(252/1))-1</f>
        <v>0.12578537666704959</v>
      </c>
      <c r="D2636" s="30">
        <v>0.12798667705478106</v>
      </c>
      <c r="E2636" s="31">
        <f ca="1">B2636-D2636</f>
        <v>0</v>
      </c>
    </row>
    <row r="2637" spans="1:5" x14ac:dyDescent="0.25">
      <c r="A2637" s="21">
        <v>2636</v>
      </c>
      <c r="B2637" s="5" cm="1">
        <f t="array" aca="1" ref="B2637" ca="1">interpolexp(A2637,serie_du,Taxas_DI)</f>
        <v>0.1279858411473489</v>
      </c>
      <c r="C2637" s="32">
        <f ca="1">((((1+B2637)^(A2637/252))/((1+B2636)^(A2636/252)))^(252/1))-1</f>
        <v>0.1257853750013922</v>
      </c>
      <c r="D2637" s="30">
        <v>0.1279858411473489</v>
      </c>
      <c r="E2637" s="31">
        <f ca="1">B2637-D2637</f>
        <v>0</v>
      </c>
    </row>
    <row r="2638" spans="1:5" x14ac:dyDescent="0.25">
      <c r="A2638" s="21">
        <v>2637</v>
      </c>
      <c r="B2638" s="5" cm="1">
        <f t="array" aca="1" ref="B2638" ca="1">interpolexp(A2638,serie_du,Taxas_DI)</f>
        <v>0.1279850058739207</v>
      </c>
      <c r="C2638" s="32">
        <f ca="1">((((1+B2638)^(A2638/252))/((1+B2637)^(A2637/252)))^(252/1))-1</f>
        <v>0.12578537342642471</v>
      </c>
      <c r="D2638" s="30">
        <v>0.1279850058739207</v>
      </c>
      <c r="E2638" s="31">
        <f ca="1">B2638-D2638</f>
        <v>0</v>
      </c>
    </row>
    <row r="2639" spans="1:5" x14ac:dyDescent="0.25">
      <c r="A2639" s="21">
        <v>2638</v>
      </c>
      <c r="B2639" s="5" cm="1">
        <f t="array" aca="1" ref="B2639" ca="1">interpolexp(A2639,serie_du,Taxas_DI)</f>
        <v>0.12798417123376371</v>
      </c>
      <c r="C2639" s="32">
        <f ca="1">((((1+B2639)^(A2639/252))/((1+B2638)^(A2638/252)))^(252/1))-1</f>
        <v>0.12578537182241667</v>
      </c>
      <c r="D2639" s="30">
        <v>0.12798417123376371</v>
      </c>
      <c r="E2639" s="31">
        <f ca="1">B2639-D2639</f>
        <v>0</v>
      </c>
    </row>
    <row r="2640" spans="1:5" x14ac:dyDescent="0.25">
      <c r="A2640" s="21">
        <v>2639</v>
      </c>
      <c r="B2640" s="5" cm="1">
        <f t="array" aca="1" ref="B2640" ca="1">interpolexp(A2640,serie_du,Taxas_DI)</f>
        <v>0.12798333722614519</v>
      </c>
      <c r="C2640" s="32">
        <f ca="1">((((1+B2640)^(A2640/252))/((1+B2639)^(A2639/252)))^(252/1))-1</f>
        <v>0.12578537018635338</v>
      </c>
      <c r="D2640" s="30">
        <v>0.12798333722614519</v>
      </c>
      <c r="E2640" s="31">
        <f ca="1">B2640-D2640</f>
        <v>0</v>
      </c>
    </row>
    <row r="2641" spans="1:5" x14ac:dyDescent="0.25">
      <c r="A2641" s="21">
        <v>2640</v>
      </c>
      <c r="B2641" s="5" cm="1">
        <f t="array" aca="1" ref="B2641" ca="1">interpolexp(A2641,serie_du,Taxas_DI)</f>
        <v>0.12798250385037679</v>
      </c>
      <c r="C2641" s="32">
        <f ca="1">((((1+B2641)^(A2641/252))/((1+B2640)^(A2640/252)))^(252/1))-1</f>
        <v>0.12578536863234646</v>
      </c>
      <c r="D2641" s="30">
        <v>0.12798250385037679</v>
      </c>
      <c r="E2641" s="31">
        <f ca="1">B2641-D2641</f>
        <v>0</v>
      </c>
    </row>
    <row r="2642" spans="1:5" x14ac:dyDescent="0.25">
      <c r="A2642" s="21">
        <v>2641</v>
      </c>
      <c r="B2642" s="5" cm="1">
        <f t="array" aca="1" ref="B2642" ca="1">interpolexp(A2642,serie_du,Taxas_DI)</f>
        <v>0.12798167110570358</v>
      </c>
      <c r="C2642" s="32">
        <f ca="1">((((1+B2642)^(A2642/252))/((1+B2641)^(A2641/252)))^(252/1))-1</f>
        <v>0.12578536698216913</v>
      </c>
      <c r="D2642" s="30">
        <v>0.12798167110570358</v>
      </c>
      <c r="E2642" s="31">
        <f ca="1">B2642-D2642</f>
        <v>0</v>
      </c>
    </row>
    <row r="2643" spans="1:5" x14ac:dyDescent="0.25">
      <c r="A2643" s="21">
        <v>2642</v>
      </c>
      <c r="B2643" s="5" cm="1">
        <f t="array" aca="1" ref="B2643" ca="1">interpolexp(A2643,serie_du,Taxas_DI)</f>
        <v>0.12798083899141499</v>
      </c>
      <c r="C2643" s="32">
        <f ca="1">((((1+B2643)^(A2643/252))/((1+B2642)^(A2642/252)))^(252/1))-1</f>
        <v>0.12578536534983553</v>
      </c>
      <c r="D2643" s="30">
        <v>0.12798083899141499</v>
      </c>
      <c r="E2643" s="31">
        <f ca="1">B2643-D2643</f>
        <v>0</v>
      </c>
    </row>
    <row r="2644" spans="1:5" x14ac:dyDescent="0.25">
      <c r="A2644" s="21">
        <v>2643</v>
      </c>
      <c r="B2644" s="5" cm="1">
        <f t="array" aca="1" ref="B2644" ca="1">interpolexp(A2644,serie_du,Taxas_DI)</f>
        <v>0.1279800075068227</v>
      </c>
      <c r="C2644" s="32">
        <f ca="1">((((1+B2644)^(A2644/252))/((1+B2643)^(A2643/252)))^(252/1))-1</f>
        <v>0.12578536379092431</v>
      </c>
      <c r="D2644" s="30">
        <v>0.1279800075068227</v>
      </c>
      <c r="E2644" s="31">
        <f ca="1">B2644-D2644</f>
        <v>0</v>
      </c>
    </row>
    <row r="2645" spans="1:5" x14ac:dyDescent="0.25">
      <c r="A2645" s="21">
        <v>2644</v>
      </c>
      <c r="B2645" s="5" cm="1">
        <f t="array" aca="1" ref="B2645" ca="1">interpolexp(A2645,serie_du,Taxas_DI)</f>
        <v>0.12797917665121616</v>
      </c>
      <c r="C2645" s="32">
        <f ca="1">((((1+B2645)^(A2645/252))/((1+B2644)^(A2644/252)))^(252/1))-1</f>
        <v>0.12578536224447401</v>
      </c>
      <c r="D2645" s="30">
        <v>0.12797917665121616</v>
      </c>
      <c r="E2645" s="31">
        <f ca="1">B2645-D2645</f>
        <v>0</v>
      </c>
    </row>
    <row r="2646" spans="1:5" x14ac:dyDescent="0.25">
      <c r="A2646" s="21">
        <v>2645</v>
      </c>
      <c r="B2646" s="5" cm="1">
        <f t="array" aca="1" ref="B2646" ca="1">interpolexp(A2646,serie_du,Taxas_DI)</f>
        <v>0.12797834642384043</v>
      </c>
      <c r="C2646" s="32">
        <f ca="1">((((1+B2646)^(A2646/252))/((1+B2645)^(A2645/252)))^(252/1))-1</f>
        <v>0.12578536058989886</v>
      </c>
      <c r="D2646" s="30">
        <v>0.12797834642384043</v>
      </c>
      <c r="E2646" s="31">
        <f ca="1">B2646-D2646</f>
        <v>0</v>
      </c>
    </row>
    <row r="2647" spans="1:5" x14ac:dyDescent="0.25">
      <c r="A2647" s="21">
        <v>2646</v>
      </c>
      <c r="B2647" s="5" cm="1">
        <f t="array" aca="1" ref="B2647" ca="1">interpolexp(A2647,serie_du,Taxas_DI)</f>
        <v>0.12797751682400715</v>
      </c>
      <c r="C2647" s="32">
        <f ca="1">((((1+B2647)^(A2647/252))/((1+B2646)^(A2646/252)))^(252/1))-1</f>
        <v>0.12578535900067656</v>
      </c>
      <c r="D2647" s="30">
        <v>0.12797751682400715</v>
      </c>
      <c r="E2647" s="31">
        <f ca="1">B2647-D2647</f>
        <v>0</v>
      </c>
    </row>
    <row r="2648" spans="1:5" x14ac:dyDescent="0.25">
      <c r="A2648" s="21">
        <v>2647</v>
      </c>
      <c r="B2648" s="5" cm="1">
        <f t="array" aca="1" ref="B2648" ca="1">interpolexp(A2648,serie_du,Taxas_DI)</f>
        <v>0.1279766878510058</v>
      </c>
      <c r="C2648" s="32">
        <f ca="1">((((1+B2648)^(A2648/252))/((1+B2647)^(A2647/252)))^(252/1))-1</f>
        <v>0.12578535741495478</v>
      </c>
      <c r="D2648" s="30">
        <v>0.1279766878510058</v>
      </c>
      <c r="E2648" s="31">
        <f ca="1">B2648-D2648</f>
        <v>0</v>
      </c>
    </row>
    <row r="2649" spans="1:5" x14ac:dyDescent="0.25">
      <c r="A2649" s="21">
        <v>2648</v>
      </c>
      <c r="B2649" s="5" cm="1">
        <f t="array" aca="1" ref="B2649" ca="1">interpolexp(A2649,serie_du,Taxas_DI)</f>
        <v>0.12797585950412582</v>
      </c>
      <c r="C2649" s="32">
        <f ca="1">((((1+B2649)^(A2649/252))/((1+B2648)^(A2648/252)))^(252/1))-1</f>
        <v>0.12578535582994599</v>
      </c>
      <c r="D2649" s="30">
        <v>0.12797585950412582</v>
      </c>
      <c r="E2649" s="31">
        <f ca="1">B2649-D2649</f>
        <v>0</v>
      </c>
    </row>
    <row r="2650" spans="1:5" x14ac:dyDescent="0.25">
      <c r="A2650" s="21">
        <v>2649</v>
      </c>
      <c r="B2650" s="5" cm="1">
        <f t="array" aca="1" ref="B2650" ca="1">interpolexp(A2650,serie_du,Taxas_DI)</f>
        <v>0.12797503178265668</v>
      </c>
      <c r="C2650" s="32">
        <f ca="1">((((1+B2650)^(A2650/252))/((1+B2649)^(A2649/252)))^(252/1))-1</f>
        <v>0.12578535424298876</v>
      </c>
      <c r="D2650" s="30">
        <v>0.12797503178265668</v>
      </c>
      <c r="E2650" s="31">
        <f ca="1">B2650-D2650</f>
        <v>0</v>
      </c>
    </row>
    <row r="2651" spans="1:5" x14ac:dyDescent="0.25">
      <c r="A2651" s="21">
        <v>2650</v>
      </c>
      <c r="B2651" s="5" cm="1">
        <f t="array" aca="1" ref="B2651" ca="1">interpolexp(A2651,serie_du,Taxas_DI)</f>
        <v>0.12797420468588783</v>
      </c>
      <c r="C2651" s="32">
        <f ca="1">((((1+B2651)^(A2651/252))/((1+B2650)^(A2650/252)))^(252/1))-1</f>
        <v>0.12578535265113278</v>
      </c>
      <c r="D2651" s="30">
        <v>0.12797420468588783</v>
      </c>
      <c r="E2651" s="31">
        <f ca="1">B2651-D2651</f>
        <v>0</v>
      </c>
    </row>
    <row r="2652" spans="1:5" x14ac:dyDescent="0.25">
      <c r="A2652" s="21">
        <v>2651</v>
      </c>
      <c r="B2652" s="5" cm="1">
        <f t="array" aca="1" ref="B2652" ca="1">interpolexp(A2652,serie_du,Taxas_DI)</f>
        <v>0.12797337821310872</v>
      </c>
      <c r="C2652" s="32">
        <f ca="1">((((1+B2652)^(A2652/252))/((1+B2651)^(A2651/252)))^(252/1))-1</f>
        <v>0.12578535105164312</v>
      </c>
      <c r="D2652" s="30">
        <v>0.12797337821310872</v>
      </c>
      <c r="E2652" s="31">
        <f ca="1">B2652-D2652</f>
        <v>0</v>
      </c>
    </row>
    <row r="2653" spans="1:5" x14ac:dyDescent="0.25">
      <c r="A2653" s="21">
        <v>2652</v>
      </c>
      <c r="B2653" s="5" cm="1">
        <f t="array" aca="1" ref="B2653" ca="1">interpolexp(A2653,serie_du,Taxas_DI)</f>
        <v>0.12797255236360883</v>
      </c>
      <c r="C2653" s="32">
        <f ca="1">((((1+B2653)^(A2653/252))/((1+B2652)^(A2652/252)))^(252/1))-1</f>
        <v>0.12578534944141451</v>
      </c>
      <c r="D2653" s="30">
        <v>0.12797255236360883</v>
      </c>
      <c r="E2653" s="31">
        <f ca="1">B2653-D2653</f>
        <v>0</v>
      </c>
    </row>
    <row r="2654" spans="1:5" x14ac:dyDescent="0.25">
      <c r="A2654" s="21">
        <v>2653</v>
      </c>
      <c r="B2654" s="5" cm="1">
        <f t="array" aca="1" ref="B2654" ca="1">interpolexp(A2654,serie_du,Taxas_DI)</f>
        <v>0.127971727136722</v>
      </c>
      <c r="C2654" s="32">
        <f ca="1">((((1+B2654)^(A2654/252))/((1+B2653)^(A2653/252)))^(252/1))-1</f>
        <v>0.12578534793564211</v>
      </c>
      <c r="D2654" s="30">
        <v>0.127971727136722</v>
      </c>
      <c r="E2654" s="31">
        <f ca="1">B2654-D2654</f>
        <v>0</v>
      </c>
    </row>
    <row r="2655" spans="1:5" x14ac:dyDescent="0.25">
      <c r="A2655" s="21">
        <v>2654</v>
      </c>
      <c r="B2655" s="5" cm="1">
        <f t="array" aca="1" ref="B2655" ca="1">interpolexp(A2655,serie_du,Taxas_DI)</f>
        <v>0.1279709025316933</v>
      </c>
      <c r="C2655" s="32">
        <f ca="1">((((1+B2655)^(A2655/252))/((1+B2654)^(A2654/252)))^(252/1))-1</f>
        <v>0.1257853462959182</v>
      </c>
      <c r="D2655" s="30">
        <v>0.1279709025316933</v>
      </c>
      <c r="E2655" s="31">
        <f ca="1">B2655-D2655</f>
        <v>0</v>
      </c>
    </row>
    <row r="2656" spans="1:5" x14ac:dyDescent="0.25">
      <c r="A2656" s="21">
        <v>2655</v>
      </c>
      <c r="B2656" s="5" cm="1">
        <f t="array" aca="1" ref="B2656" ca="1">interpolexp(A2656,serie_du,Taxas_DI)</f>
        <v>0.12797007854785658</v>
      </c>
      <c r="C2656" s="32">
        <f ca="1">((((1+B2656)^(A2656/252))/((1+B2655)^(A2655/252)))^(252/1))-1</f>
        <v>0.12578534475487646</v>
      </c>
      <c r="D2656" s="30">
        <v>0.12797007854785658</v>
      </c>
      <c r="E2656" s="31">
        <f ca="1">B2656-D2656</f>
        <v>0</v>
      </c>
    </row>
    <row r="2657" spans="1:5" x14ac:dyDescent="0.25">
      <c r="A2657" s="21">
        <v>2656</v>
      </c>
      <c r="B2657" s="5" cm="1">
        <f t="array" aca="1" ref="B2657" ca="1">interpolexp(A2657,serie_du,Taxas_DI)</f>
        <v>0.12796925518450131</v>
      </c>
      <c r="C2657" s="32">
        <f ca="1">((((1+B2657)^(A2657/252))/((1+B2656)^(A2656/252)))^(252/1))-1</f>
        <v>0.12578534319205392</v>
      </c>
      <c r="D2657" s="30">
        <v>0.12796925518450131</v>
      </c>
      <c r="E2657" s="31">
        <f ca="1">B2657-D2657</f>
        <v>0</v>
      </c>
    </row>
    <row r="2658" spans="1:5" x14ac:dyDescent="0.25">
      <c r="A2658" s="21">
        <v>2657</v>
      </c>
      <c r="B2658" s="5" cm="1">
        <f t="array" aca="1" ref="B2658" ca="1">interpolexp(A2658,serie_du,Taxas_DI)</f>
        <v>0.12796843244089473</v>
      </c>
      <c r="C2658" s="32">
        <f ca="1">((((1+B2658)^(A2658/252))/((1+B2657)^(A2657/252)))^(252/1))-1</f>
        <v>0.12578534154579346</v>
      </c>
      <c r="D2658" s="30">
        <v>0.12796843244089473</v>
      </c>
      <c r="E2658" s="31">
        <f ca="1">B2658-D2658</f>
        <v>0</v>
      </c>
    </row>
    <row r="2659" spans="1:5" x14ac:dyDescent="0.25">
      <c r="A2659" s="21">
        <v>2658</v>
      </c>
      <c r="B2659" s="5" cm="1">
        <f t="array" aca="1" ref="B2659" ca="1">interpolexp(A2659,serie_du,Taxas_DI)</f>
        <v>0.12796761031639292</v>
      </c>
      <c r="C2659" s="32">
        <f ca="1">((((1+B2659)^(A2659/252))/((1+B2658)^(A2658/252)))^(252/1))-1</f>
        <v>0.12578534004858999</v>
      </c>
      <c r="D2659" s="30">
        <v>0.12796761031639292</v>
      </c>
      <c r="E2659" s="31">
        <f ca="1">B2659-D2659</f>
        <v>0</v>
      </c>
    </row>
    <row r="2660" spans="1:5" x14ac:dyDescent="0.25">
      <c r="A2660" s="21">
        <v>2659</v>
      </c>
      <c r="B2660" s="5" cm="1">
        <f t="array" aca="1" ref="B2660" ca="1">interpolexp(A2660,serie_du,Taxas_DI)</f>
        <v>0.12796678881026313</v>
      </c>
      <c r="C2660" s="32">
        <f ca="1">((((1+B2660)^(A2660/252))/((1+B2659)^(A2659/252)))^(252/1))-1</f>
        <v>0.12578533846238882</v>
      </c>
      <c r="D2660" s="30">
        <v>0.12796678881026313</v>
      </c>
      <c r="E2660" s="31">
        <f ca="1">B2660-D2660</f>
        <v>0</v>
      </c>
    </row>
    <row r="2661" spans="1:5" x14ac:dyDescent="0.25">
      <c r="A2661" s="21">
        <v>2660</v>
      </c>
      <c r="B2661" s="5" cm="1">
        <f t="array" aca="1" ref="B2661" ca="1">interpolexp(A2661,serie_du,Taxas_DI)</f>
        <v>0.12796596792179482</v>
      </c>
      <c r="C2661" s="32">
        <f ca="1">((((1+B2661)^(A2661/252))/((1+B2660)^(A2660/252)))^(252/1))-1</f>
        <v>0.12578533684302062</v>
      </c>
      <c r="D2661" s="30">
        <v>0.12796596792179482</v>
      </c>
      <c r="E2661" s="31">
        <f ca="1">B2661-D2661</f>
        <v>0</v>
      </c>
    </row>
    <row r="2662" spans="1:5" x14ac:dyDescent="0.25">
      <c r="A2662" s="21">
        <v>2661</v>
      </c>
      <c r="B2662" s="5" cm="1">
        <f t="array" aca="1" ref="B2662" ca="1">interpolexp(A2662,serie_du,Taxas_DI)</f>
        <v>0.12796514765032185</v>
      </c>
      <c r="C2662" s="32">
        <f ca="1">((((1+B2662)^(A2662/252))/((1+B2661)^(A2661/252)))^(252/1))-1</f>
        <v>0.12578533530587799</v>
      </c>
      <c r="D2662" s="30">
        <v>0.12796514765032185</v>
      </c>
      <c r="E2662" s="31">
        <f ca="1">B2662-D2662</f>
        <v>0</v>
      </c>
    </row>
    <row r="2663" spans="1:5" x14ac:dyDescent="0.25">
      <c r="A2663" s="21">
        <v>2662</v>
      </c>
      <c r="B2663" s="5" cm="1">
        <f t="array" aca="1" ref="B2663" ca="1">interpolexp(A2663,serie_du,Taxas_DI)</f>
        <v>0.12796432799515589</v>
      </c>
      <c r="C2663" s="32">
        <f ca="1">((((1+B2663)^(A2663/252))/((1+B2662)^(A2662/252)))^(252/1))-1</f>
        <v>0.12578533378890699</v>
      </c>
      <c r="D2663" s="30">
        <v>0.12796432799515589</v>
      </c>
      <c r="E2663" s="31">
        <f ca="1">B2663-D2663</f>
        <v>0</v>
      </c>
    </row>
    <row r="2664" spans="1:5" x14ac:dyDescent="0.25">
      <c r="A2664" s="21">
        <v>2663</v>
      </c>
      <c r="B2664" s="5" cm="1">
        <f t="array" aca="1" ref="B2664" ca="1">interpolexp(A2664,serie_du,Taxas_DI)</f>
        <v>0.12796350895556419</v>
      </c>
      <c r="C2664" s="32">
        <f ca="1">((((1+B2664)^(A2664/252))/((1+B2663)^(A2663/252)))^(252/1))-1</f>
        <v>0.12578533217165622</v>
      </c>
      <c r="D2664" s="30">
        <v>0.12796350895556419</v>
      </c>
      <c r="E2664" s="31">
        <f ca="1">B2664-D2664</f>
        <v>0</v>
      </c>
    </row>
    <row r="2665" spans="1:5" x14ac:dyDescent="0.25">
      <c r="A2665" s="21">
        <v>2664</v>
      </c>
      <c r="B2665" s="5" cm="1">
        <f t="array" aca="1" ref="B2665" ca="1">interpolexp(A2665,serie_du,Taxas_DI)</f>
        <v>0.12796269053088061</v>
      </c>
      <c r="C2665" s="32">
        <f ca="1">((((1+B2665)^(A2665/252))/((1+B2664)^(A2664/252)))^(252/1))-1</f>
        <v>0.12578533062808961</v>
      </c>
      <c r="D2665" s="30">
        <v>0.12796269053088061</v>
      </c>
      <c r="E2665" s="31">
        <f ca="1">B2665-D2665</f>
        <v>0</v>
      </c>
    </row>
    <row r="2666" spans="1:5" x14ac:dyDescent="0.25">
      <c r="A2666" s="21">
        <v>2665</v>
      </c>
      <c r="B2666" s="5" cm="1">
        <f t="array" aca="1" ref="B2666" ca="1">interpolexp(A2666,serie_du,Taxas_DI)</f>
        <v>0.12796187272039461</v>
      </c>
      <c r="C2666" s="32">
        <f ca="1">((((1+B2666)^(A2666/252))/((1+B2665)^(A2665/252)))^(252/1))-1</f>
        <v>0.12578532903764583</v>
      </c>
      <c r="D2666" s="30">
        <v>0.12796187272039461</v>
      </c>
      <c r="E2666" s="31">
        <f ca="1">B2666-D2666</f>
        <v>0</v>
      </c>
    </row>
    <row r="2667" spans="1:5" x14ac:dyDescent="0.25">
      <c r="A2667" s="21">
        <v>2666</v>
      </c>
      <c r="B2667" s="5" cm="1">
        <f t="array" aca="1" ref="B2667" ca="1">interpolexp(A2667,serie_du,Taxas_DI)</f>
        <v>0.12796105552344006</v>
      </c>
      <c r="C2667" s="32">
        <f ca="1">((((1+B2667)^(A2667/252))/((1+B2666)^(A2666/252)))^(252/1))-1</f>
        <v>0.12578532751535776</v>
      </c>
      <c r="D2667" s="30">
        <v>0.12796105552344006</v>
      </c>
      <c r="E2667" s="31">
        <f ca="1">B2667-D2667</f>
        <v>0</v>
      </c>
    </row>
    <row r="2668" spans="1:5" x14ac:dyDescent="0.25">
      <c r="A2668" s="21">
        <v>2667</v>
      </c>
      <c r="B2668" s="5" cm="1">
        <f t="array" aca="1" ref="B2668" ca="1">interpolexp(A2668,serie_du,Taxas_DI)</f>
        <v>0.12796023893930641</v>
      </c>
      <c r="C2668" s="32">
        <f ca="1">((((1+B2668)^(A2668/252))/((1+B2667)^(A2667/252)))^(252/1))-1</f>
        <v>0.1257853259407411</v>
      </c>
      <c r="D2668" s="30">
        <v>0.12796023893930641</v>
      </c>
      <c r="E2668" s="31">
        <f ca="1">B2668-D2668</f>
        <v>0</v>
      </c>
    </row>
    <row r="2669" spans="1:5" x14ac:dyDescent="0.25">
      <c r="A2669" s="21">
        <v>2668</v>
      </c>
      <c r="B2669" s="5" cm="1">
        <f t="array" aca="1" ref="B2669" ca="1">interpolexp(A2669,serie_du,Taxas_DI)</f>
        <v>0.12795942296732754</v>
      </c>
      <c r="C2669" s="32">
        <f ca="1">((((1+B2669)^(A2669/252))/((1+B2668)^(A2668/252)))^(252/1))-1</f>
        <v>0.1257853244288738</v>
      </c>
      <c r="D2669" s="30">
        <v>0.12795942296732754</v>
      </c>
      <c r="E2669" s="31">
        <f ca="1">B2669-D2669</f>
        <v>0</v>
      </c>
    </row>
    <row r="2670" spans="1:5" x14ac:dyDescent="0.25">
      <c r="A2670" s="21">
        <v>2669</v>
      </c>
      <c r="B2670" s="5" cm="1">
        <f t="array" aca="1" ref="B2670" ca="1">interpolexp(A2670,serie_du,Taxas_DI)</f>
        <v>0.12795860760677069</v>
      </c>
      <c r="C2670" s="32">
        <f ca="1">((((1+B2670)^(A2670/252))/((1+B2669)^(A2669/252)))^(252/1))-1</f>
        <v>0.12578532279965282</v>
      </c>
      <c r="D2670" s="30">
        <v>0.12795860760677069</v>
      </c>
      <c r="E2670" s="31">
        <f ca="1">B2670-D2670</f>
        <v>0</v>
      </c>
    </row>
    <row r="2671" spans="1:5" x14ac:dyDescent="0.25">
      <c r="A2671" s="21">
        <v>2670</v>
      </c>
      <c r="B2671" s="5" cm="1">
        <f t="array" aca="1" ref="B2671" ca="1">interpolexp(A2671,serie_du,Taxas_DI)</f>
        <v>0.12795779285701414</v>
      </c>
      <c r="C2671" s="32">
        <f ca="1">((((1+B2671)^(A2671/252))/((1+B2670)^(A2670/252)))^(252/1))-1</f>
        <v>0.12578532134634202</v>
      </c>
      <c r="D2671" s="30">
        <v>0.12795779285701414</v>
      </c>
      <c r="E2671" s="31">
        <f ca="1">B2671-D2671</f>
        <v>0</v>
      </c>
    </row>
    <row r="2672" spans="1:5" x14ac:dyDescent="0.25">
      <c r="A2672" s="21">
        <v>2671</v>
      </c>
      <c r="B2672" s="5" cm="1">
        <f t="array" aca="1" ref="B2672" ca="1">interpolexp(A2672,serie_du,Taxas_DI)</f>
        <v>0.12795697871730294</v>
      </c>
      <c r="C2672" s="32">
        <f ca="1">((((1+B2672)^(A2672/252))/((1+B2671)^(A2671/252)))^(252/1))-1</f>
        <v>0.12578531971088869</v>
      </c>
      <c r="D2672" s="30">
        <v>0.12795697871730294</v>
      </c>
      <c r="E2672" s="31">
        <f ca="1">B2672-D2672</f>
        <v>0</v>
      </c>
    </row>
    <row r="2673" spans="1:5" x14ac:dyDescent="0.25">
      <c r="A2673" s="21">
        <v>2672</v>
      </c>
      <c r="B2673" s="5" cm="1">
        <f t="array" aca="1" ref="B2673" ca="1">interpolexp(A2673,serie_du,Taxas_DI)</f>
        <v>0.12795616518699315</v>
      </c>
      <c r="C2673" s="32">
        <f ca="1">((((1+B2673)^(A2673/252))/((1+B2672)^(A2672/252)))^(252/1))-1</f>
        <v>0.12578531818662264</v>
      </c>
      <c r="D2673" s="30">
        <v>0.12795616518699315</v>
      </c>
      <c r="E2673" s="31">
        <f ca="1">B2673-D2673</f>
        <v>0</v>
      </c>
    </row>
    <row r="2674" spans="1:5" x14ac:dyDescent="0.25">
      <c r="A2674" s="21">
        <v>2673</v>
      </c>
      <c r="B2674" s="5" cm="1">
        <f t="array" aca="1" ref="B2674" ca="1">interpolexp(A2674,serie_du,Taxas_DI)</f>
        <v>0.12795535226539645</v>
      </c>
      <c r="C2674" s="32">
        <f ca="1">((((1+B2674)^(A2674/252))/((1+B2673)^(A2673/252)))^(252/1))-1</f>
        <v>0.12578531665244719</v>
      </c>
      <c r="D2674" s="30">
        <v>0.12795535226539645</v>
      </c>
      <c r="E2674" s="31">
        <f ca="1">B2674-D2674</f>
        <v>0</v>
      </c>
    </row>
    <row r="2675" spans="1:5" x14ac:dyDescent="0.25">
      <c r="A2675" s="21">
        <v>2674</v>
      </c>
      <c r="B2675" s="5" cm="1">
        <f t="array" aca="1" ref="B2675" ca="1">interpolexp(A2675,serie_du,Taxas_DI)</f>
        <v>0.12795453995182449</v>
      </c>
      <c r="C2675" s="32">
        <f ca="1">((((1+B2675)^(A2675/252))/((1+B2674)^(A2674/252)))^(252/1))-1</f>
        <v>0.12578531510542312</v>
      </c>
      <c r="D2675" s="30">
        <v>0.12795453995182449</v>
      </c>
      <c r="E2675" s="31">
        <f ca="1">B2675-D2675</f>
        <v>0</v>
      </c>
    </row>
    <row r="2676" spans="1:5" x14ac:dyDescent="0.25">
      <c r="A2676" s="21">
        <v>2675</v>
      </c>
      <c r="B2676" s="5" cm="1">
        <f t="array" aca="1" ref="B2676" ca="1">interpolexp(A2676,serie_du,Taxas_DI)</f>
        <v>0.12795372824558893</v>
      </c>
      <c r="C2676" s="32">
        <f ca="1">((((1+B2676)^(A2676/252))/((1+B2675)^(A2675/252)))^(252/1))-1</f>
        <v>0.12578531354320899</v>
      </c>
      <c r="D2676" s="30">
        <v>0.12795372824558893</v>
      </c>
      <c r="E2676" s="31">
        <f ca="1">B2676-D2676</f>
        <v>0</v>
      </c>
    </row>
    <row r="2677" spans="1:5" x14ac:dyDescent="0.25">
      <c r="A2677" s="21">
        <v>2676</v>
      </c>
      <c r="B2677" s="5" cm="1">
        <f t="array" aca="1" ref="B2677" ca="1">interpolexp(A2677,serie_du,Taxas_DI)</f>
        <v>0.12795291714602364</v>
      </c>
      <c r="C2677" s="32">
        <f ca="1">((((1+B2677)^(A2677/252))/((1+B2676)^(A2676/252)))^(252/1))-1</f>
        <v>0.12578531202179688</v>
      </c>
      <c r="D2677" s="30">
        <v>0.12795291714602364</v>
      </c>
      <c r="E2677" s="31">
        <f ca="1">B2677-D2677</f>
        <v>0</v>
      </c>
    </row>
    <row r="2678" spans="1:5" x14ac:dyDescent="0.25">
      <c r="A2678" s="21">
        <v>2677</v>
      </c>
      <c r="B2678" s="5" cm="1">
        <f t="array" aca="1" ref="B2678" ca="1">interpolexp(A2678,serie_du,Taxas_DI)</f>
        <v>0.12795210665244028</v>
      </c>
      <c r="C2678" s="32">
        <f ca="1">((((1+B2678)^(A2678/252))/((1+B2677)^(A2677/252)))^(252/1))-1</f>
        <v>0.12578531047960984</v>
      </c>
      <c r="D2678" s="30">
        <v>0.12795210665244028</v>
      </c>
      <c r="E2678" s="31">
        <f ca="1">B2678-D2678</f>
        <v>0</v>
      </c>
    </row>
    <row r="2679" spans="1:5" x14ac:dyDescent="0.25">
      <c r="A2679" s="21">
        <v>2678</v>
      </c>
      <c r="B2679" s="5" cm="1">
        <f t="array" aca="1" ref="B2679" ca="1">interpolexp(A2679,serie_du,Taxas_DI)</f>
        <v>0.12795129676417272</v>
      </c>
      <c r="C2679" s="32">
        <f ca="1">((((1+B2679)^(A2679/252))/((1+B2678)^(A2678/252)))^(252/1))-1</f>
        <v>0.1257853089732146</v>
      </c>
      <c r="D2679" s="30">
        <v>0.12795129676417272</v>
      </c>
      <c r="E2679" s="31">
        <f ca="1">B2679-D2679</f>
        <v>0</v>
      </c>
    </row>
    <row r="2680" spans="1:5" x14ac:dyDescent="0.25">
      <c r="A2680" s="21">
        <v>2679</v>
      </c>
      <c r="B2680" s="5" cm="1">
        <f t="array" aca="1" ref="B2680" ca="1">interpolexp(A2680,serie_du,Taxas_DI)</f>
        <v>0.12795048748051041</v>
      </c>
      <c r="C2680" s="32">
        <f ca="1">((((1+B2680)^(A2680/252))/((1+B2679)^(A2679/252)))^(252/1))-1</f>
        <v>0.12578530738110283</v>
      </c>
      <c r="D2680" s="30">
        <v>0.12795048748051041</v>
      </c>
      <c r="E2680" s="31">
        <f ca="1">B2680-D2680</f>
        <v>0</v>
      </c>
    </row>
    <row r="2681" spans="1:5" x14ac:dyDescent="0.25">
      <c r="A2681" s="21">
        <v>2680</v>
      </c>
      <c r="B2681" s="5" cm="1">
        <f t="array" aca="1" ref="B2681" ca="1">interpolexp(A2681,serie_du,Taxas_DI)</f>
        <v>0.12794967880080943</v>
      </c>
      <c r="C2681" s="32">
        <f ca="1">((((1+B2681)^(A2681/252))/((1+B2680)^(A2680/252)))^(252/1))-1</f>
        <v>0.12578530587860692</v>
      </c>
      <c r="D2681" s="30">
        <v>0.12794967880080943</v>
      </c>
      <c r="E2681" s="31">
        <f ca="1">B2681-D2681</f>
        <v>0</v>
      </c>
    </row>
    <row r="2682" spans="1:5" x14ac:dyDescent="0.25">
      <c r="A2682" s="21">
        <v>2681</v>
      </c>
      <c r="B2682" s="5" cm="1">
        <f t="array" aca="1" ref="B2682" ca="1">interpolexp(A2682,serie_du,Taxas_DI)</f>
        <v>0.12794887072438144</v>
      </c>
      <c r="C2682" s="32">
        <f ca="1">((((1+B2682)^(A2682/252))/((1+B2681)^(A2681/252)))^(252/1))-1</f>
        <v>0.12578530434450186</v>
      </c>
      <c r="D2682" s="30">
        <v>0.12794887072438144</v>
      </c>
      <c r="E2682" s="31">
        <f ca="1">B2682-D2682</f>
        <v>0</v>
      </c>
    </row>
    <row r="2683" spans="1:5" x14ac:dyDescent="0.25">
      <c r="A2683" s="21">
        <v>2682</v>
      </c>
      <c r="B2683" s="5" cm="1">
        <f t="array" aca="1" ref="B2683" ca="1">interpolexp(A2683,serie_du,Taxas_DI)</f>
        <v>0.1279480632505603</v>
      </c>
      <c r="C2683" s="32">
        <f ca="1">((((1+B2683)^(A2683/252))/((1+B2682)^(A2682/252)))^(252/1))-1</f>
        <v>0.12578530283503664</v>
      </c>
      <c r="D2683" s="30">
        <v>0.1279480632505603</v>
      </c>
      <c r="E2683" s="31">
        <f ca="1">B2683-D2683</f>
        <v>0</v>
      </c>
    </row>
    <row r="2684" spans="1:5" x14ac:dyDescent="0.25">
      <c r="A2684" s="21">
        <v>2683</v>
      </c>
      <c r="B2684" s="5" cm="1">
        <f t="array" aca="1" ref="B2684" ca="1">interpolexp(A2684,serie_du,Taxas_DI)</f>
        <v>0.12794725637865767</v>
      </c>
      <c r="C2684" s="32">
        <f ca="1">((((1+B2684)^(A2684/252))/((1+B2683)^(A2683/252)))^(252/1))-1</f>
        <v>0.1257853012887169</v>
      </c>
      <c r="D2684" s="30">
        <v>0.12794725637865767</v>
      </c>
      <c r="E2684" s="31">
        <f ca="1">B2684-D2684</f>
        <v>0</v>
      </c>
    </row>
    <row r="2685" spans="1:5" x14ac:dyDescent="0.25">
      <c r="A2685" s="21">
        <v>2684</v>
      </c>
      <c r="B2685" s="5" cm="1">
        <f t="array" aca="1" ref="B2685" ca="1">interpolexp(A2685,serie_du,Taxas_DI)</f>
        <v>0.12794645010798522</v>
      </c>
      <c r="C2685" s="32">
        <f ca="1">((((1+B2685)^(A2685/252))/((1+B2684)^(A2684/252)))^(252/1))-1</f>
        <v>0.12578529970220242</v>
      </c>
      <c r="D2685" s="30">
        <v>0.12794645010798522</v>
      </c>
      <c r="E2685" s="31">
        <f ca="1">B2685-D2685</f>
        <v>0</v>
      </c>
    </row>
    <row r="2686" spans="1:5" x14ac:dyDescent="0.25">
      <c r="A2686" s="21">
        <v>2685</v>
      </c>
      <c r="B2686" s="5" cm="1">
        <f t="array" aca="1" ref="B2686" ca="1">interpolexp(A2686,serie_du,Taxas_DI)</f>
        <v>0.12794564443792122</v>
      </c>
      <c r="C2686" s="32">
        <f ca="1">((((1+B2686)^(A2686/252))/((1+B2685)^(A2685/252)))^(252/1))-1</f>
        <v>0.1257852982515868</v>
      </c>
      <c r="D2686" s="30">
        <v>0.12794564443792122</v>
      </c>
      <c r="E2686" s="31">
        <f ca="1">B2686-D2686</f>
        <v>0</v>
      </c>
    </row>
    <row r="2687" spans="1:5" x14ac:dyDescent="0.25">
      <c r="A2687" s="21">
        <v>2686</v>
      </c>
      <c r="B2687" s="5" cm="1">
        <f t="array" aca="1" ref="B2687" ca="1">interpolexp(A2687,serie_du,Taxas_DI)</f>
        <v>0.12794483936775514</v>
      </c>
      <c r="C2687" s="32">
        <f ca="1">((((1+B2687)^(A2687/252))/((1+B2686)^(A2686/252)))^(252/1))-1</f>
        <v>0.12578529669626293</v>
      </c>
      <c r="D2687" s="30">
        <v>0.12794483936775514</v>
      </c>
      <c r="E2687" s="31">
        <f ca="1">B2687-D2687</f>
        <v>0</v>
      </c>
    </row>
    <row r="2688" spans="1:5" x14ac:dyDescent="0.25">
      <c r="A2688" s="21">
        <v>2687</v>
      </c>
      <c r="B2688" s="5" cm="1">
        <f t="array" aca="1" ref="B2688" ca="1">interpolexp(A2688,serie_du,Taxas_DI)</f>
        <v>0.12794403489684303</v>
      </c>
      <c r="C2688" s="32">
        <f ca="1">((((1+B2688)^(A2688/252))/((1+B2687)^(A2687/252)))^(252/1))-1</f>
        <v>0.12578529521199555</v>
      </c>
      <c r="D2688" s="30">
        <v>0.12794403489684303</v>
      </c>
      <c r="E2688" s="31">
        <f ca="1">B2688-D2688</f>
        <v>0</v>
      </c>
    </row>
    <row r="2689" spans="1:5" x14ac:dyDescent="0.25">
      <c r="A2689" s="21">
        <v>2688</v>
      </c>
      <c r="B2689" s="5" cm="1">
        <f t="array" aca="1" ref="B2689" ca="1">interpolexp(A2689,serie_du,Taxas_DI)</f>
        <v>0.12794323102449656</v>
      </c>
      <c r="C2689" s="32">
        <f ca="1">((((1+B2689)^(A2689/252))/((1+B2688)^(A2688/252)))^(252/1))-1</f>
        <v>0.12578529367686997</v>
      </c>
      <c r="D2689" s="30">
        <v>0.12794323102449656</v>
      </c>
      <c r="E2689" s="31">
        <f ca="1">B2689-D2689</f>
        <v>0</v>
      </c>
    </row>
    <row r="2690" spans="1:5" x14ac:dyDescent="0.25">
      <c r="A2690" s="21">
        <v>2689</v>
      </c>
      <c r="B2690" s="5" cm="1">
        <f t="array" aca="1" ref="B2690" ca="1">interpolexp(A2690,serie_du,Taxas_DI)</f>
        <v>0.1279424277500496</v>
      </c>
      <c r="C2690" s="32">
        <f ca="1">((((1+B2690)^(A2690/252))/((1+B2689)^(A2689/252)))^(252/1))-1</f>
        <v>0.12578529214823919</v>
      </c>
      <c r="D2690" s="30">
        <v>0.1279424277500496</v>
      </c>
      <c r="E2690" s="31">
        <f ca="1">B2690-D2690</f>
        <v>0</v>
      </c>
    </row>
    <row r="2691" spans="1:5" x14ac:dyDescent="0.25">
      <c r="A2691" s="21">
        <v>2690</v>
      </c>
      <c r="B2691" s="5" cm="1">
        <f t="array" aca="1" ref="B2691" ca="1">interpolexp(A2691,serie_du,Taxas_DI)</f>
        <v>0.12794162507283602</v>
      </c>
      <c r="C2691" s="32">
        <f ca="1">((((1+B2691)^(A2691/252))/((1+B2690)^(A2690/252)))^(252/1))-1</f>
        <v>0.12578529062281296</v>
      </c>
      <c r="D2691" s="30">
        <v>0.12794162507283602</v>
      </c>
      <c r="E2691" s="31">
        <f ca="1">B2691-D2691</f>
        <v>0</v>
      </c>
    </row>
    <row r="2692" spans="1:5" x14ac:dyDescent="0.25">
      <c r="A2692" s="21">
        <v>2691</v>
      </c>
      <c r="B2692" s="5" cm="1">
        <f t="array" aca="1" ref="B2692" ca="1">interpolexp(A2692,serie_du,Taxas_DI)</f>
        <v>0.12794082299218967</v>
      </c>
      <c r="C2692" s="32">
        <f ca="1">((((1+B2692)^(A2692/252))/((1+B2691)^(A2691/252)))^(252/1))-1</f>
        <v>0.12578528909838549</v>
      </c>
      <c r="D2692" s="30">
        <v>0.12794082299218967</v>
      </c>
      <c r="E2692" s="31">
        <f ca="1">B2692-D2692</f>
        <v>0</v>
      </c>
    </row>
    <row r="2693" spans="1:5" x14ac:dyDescent="0.25">
      <c r="A2693" s="21">
        <v>2692</v>
      </c>
      <c r="B2693" s="5" cm="1">
        <f t="array" aca="1" ref="B2693" ca="1">interpolexp(A2693,serie_du,Taxas_DI)</f>
        <v>0.12794002150744443</v>
      </c>
      <c r="C2693" s="32">
        <f ca="1">((((1+B2693)^(A2693/252))/((1+B2692)^(A2692/252)))^(252/1))-1</f>
        <v>0.1257852875720098</v>
      </c>
      <c r="D2693" s="30">
        <v>0.12794002150744443</v>
      </c>
      <c r="E2693" s="31">
        <f ca="1">B2693-D2693</f>
        <v>0</v>
      </c>
    </row>
    <row r="2694" spans="1:5" x14ac:dyDescent="0.25">
      <c r="A2694" s="21">
        <v>2693</v>
      </c>
      <c r="B2694" s="5" cm="1">
        <f t="array" aca="1" ref="B2694" ca="1">interpolexp(A2694,serie_du,Taxas_DI)</f>
        <v>0.12793922061795637</v>
      </c>
      <c r="C2694" s="32">
        <f ca="1">((((1+B2694)^(A2694/252))/((1+B2693)^(A2693/252)))^(252/1))-1</f>
        <v>0.12578528610098449</v>
      </c>
      <c r="D2694" s="30">
        <v>0.12793922061795637</v>
      </c>
      <c r="E2694" s="31">
        <f ca="1">B2694-D2694</f>
        <v>0</v>
      </c>
    </row>
    <row r="2695" spans="1:5" x14ac:dyDescent="0.25">
      <c r="A2695" s="21">
        <v>2694</v>
      </c>
      <c r="B2695" s="5" cm="1">
        <f t="array" aca="1" ref="B2695" ca="1">interpolexp(A2695,serie_du,Taxas_DI)</f>
        <v>0.12793842032303715</v>
      </c>
      <c r="C2695" s="32">
        <f ca="1">((((1+B2695)^(A2695/252))/((1+B2694)^(A2694/252)))^(252/1))-1</f>
        <v>0.12578528456296434</v>
      </c>
      <c r="D2695" s="30">
        <v>0.12793842032303715</v>
      </c>
      <c r="E2695" s="31">
        <f ca="1">B2695-D2695</f>
        <v>0</v>
      </c>
    </row>
    <row r="2696" spans="1:5" x14ac:dyDescent="0.25">
      <c r="A2696" s="21">
        <v>2695</v>
      </c>
      <c r="B2696" s="5" cm="1">
        <f t="array" aca="1" ref="B2696" ca="1">interpolexp(A2696,serie_du,Taxas_DI)</f>
        <v>0.12793762062204284</v>
      </c>
      <c r="C2696" s="32">
        <f ca="1">((((1+B2696)^(A2696/252))/((1+B2695)^(A2695/252)))^(252/1))-1</f>
        <v>0.12578528307519088</v>
      </c>
      <c r="D2696" s="30">
        <v>0.12793762062204284</v>
      </c>
      <c r="E2696" s="31">
        <f ca="1">B2696-D2696</f>
        <v>0</v>
      </c>
    </row>
    <row r="2697" spans="1:5" x14ac:dyDescent="0.25">
      <c r="A2697" s="21">
        <v>2696</v>
      </c>
      <c r="B2697" s="5" cm="1">
        <f t="array" aca="1" ref="B2697" ca="1">interpolexp(A2697,serie_du,Taxas_DI)</f>
        <v>0.1279368215143073</v>
      </c>
      <c r="C2697" s="32">
        <f ca="1">((((1+B2697)^(A2697/252))/((1+B2696)^(A2696/252)))^(252/1))-1</f>
        <v>0.12578528157476865</v>
      </c>
      <c r="D2697" s="30">
        <v>0.1279368215143073</v>
      </c>
      <c r="E2697" s="31">
        <f ca="1">B2697-D2697</f>
        <v>0</v>
      </c>
    </row>
    <row r="2698" spans="1:5" x14ac:dyDescent="0.25">
      <c r="A2698" s="21">
        <v>2697</v>
      </c>
      <c r="B2698" s="5" cm="1">
        <f t="array" aca="1" ref="B2698" ca="1">interpolexp(A2698,serie_du,Taxas_DI)</f>
        <v>0.1279360229991644</v>
      </c>
      <c r="C2698" s="32">
        <f ca="1">((((1+B2698)^(A2698/252))/((1+B2697)^(A2697/252)))^(252/1))-1</f>
        <v>0.12578528005947498</v>
      </c>
      <c r="D2698" s="30">
        <v>0.1279360229991644</v>
      </c>
      <c r="E2698" s="31">
        <f ca="1">B2698-D2698</f>
        <v>0</v>
      </c>
    </row>
    <row r="2699" spans="1:5" x14ac:dyDescent="0.25">
      <c r="A2699" s="21">
        <v>2698</v>
      </c>
      <c r="B2699" s="5" cm="1">
        <f t="array" aca="1" ref="B2699" ca="1">interpolexp(A2699,serie_du,Taxas_DI)</f>
        <v>0.12793522507594801</v>
      </c>
      <c r="C2699" s="32">
        <f ca="1">((((1+B2699)^(A2699/252))/((1+B2698)^(A2698/252)))^(252/1))-1</f>
        <v>0.12578527852623234</v>
      </c>
      <c r="D2699" s="30">
        <v>0.12793522507594801</v>
      </c>
      <c r="E2699" s="31">
        <f ca="1">B2699-D2699</f>
        <v>0</v>
      </c>
    </row>
    <row r="2700" spans="1:5" x14ac:dyDescent="0.25">
      <c r="A2700" s="21">
        <v>2699</v>
      </c>
      <c r="B2700" s="5" cm="1">
        <f t="array" aca="1" ref="B2700" ca="1">interpolexp(A2700,serie_du,Taxas_DI)</f>
        <v>0.12793442774403641</v>
      </c>
      <c r="C2700" s="32">
        <f ca="1">((((1+B2700)^(A2700/252))/((1+B2699)^(A2699/252)))^(252/1))-1</f>
        <v>0.12578527709242349</v>
      </c>
      <c r="D2700" s="30">
        <v>0.12793442774403641</v>
      </c>
      <c r="E2700" s="31">
        <f ca="1">B2700-D2700</f>
        <v>0</v>
      </c>
    </row>
    <row r="2701" spans="1:5" x14ac:dyDescent="0.25">
      <c r="A2701" s="21">
        <v>2700</v>
      </c>
      <c r="B2701" s="5" cm="1">
        <f t="array" aca="1" ref="B2701" ca="1">interpolexp(A2701,serie_du,Taxas_DI)</f>
        <v>0.12793363100271904</v>
      </c>
      <c r="C2701" s="32">
        <f ca="1">((((1+B2701)^(A2701/252))/((1+B2700)^(A2700/252)))^(252/1))-1</f>
        <v>0.12578527551579977</v>
      </c>
      <c r="D2701" s="30">
        <v>0.12793363100271904</v>
      </c>
      <c r="E2701" s="31">
        <f ca="1">B2701-D2701</f>
        <v>0</v>
      </c>
    </row>
    <row r="2702" spans="1:5" x14ac:dyDescent="0.25">
      <c r="A2702" s="21">
        <v>2701</v>
      </c>
      <c r="B2702" s="5" cm="1">
        <f t="array" aca="1" ref="B2702" ca="1">interpolexp(A2702,serie_du,Taxas_DI)</f>
        <v>0.12793283485139639</v>
      </c>
      <c r="C2702" s="32">
        <f ca="1">((((1+B2702)^(A2702/252))/((1+B2701)^(A2701/252)))^(252/1))-1</f>
        <v>0.12578527409332252</v>
      </c>
      <c r="D2702" s="30">
        <v>0.12793283485139639</v>
      </c>
      <c r="E2702" s="31">
        <f ca="1">B2702-D2702</f>
        <v>0</v>
      </c>
    </row>
    <row r="2703" spans="1:5" x14ac:dyDescent="0.25">
      <c r="A2703" s="21">
        <v>2702</v>
      </c>
      <c r="B2703" s="5" cm="1">
        <f t="array" aca="1" ref="B2703" ca="1">interpolexp(A2703,serie_du,Taxas_DI)</f>
        <v>0.12793203928935792</v>
      </c>
      <c r="C2703" s="32">
        <f ca="1">((((1+B2703)^(A2703/252))/((1+B2702)^(A2702/252)))^(252/1))-1</f>
        <v>0.12578527252273175</v>
      </c>
      <c r="D2703" s="30">
        <v>0.12793203928935792</v>
      </c>
      <c r="E2703" s="31">
        <f ca="1">B2703-D2703</f>
        <v>0</v>
      </c>
    </row>
    <row r="2704" spans="1:5" x14ac:dyDescent="0.25">
      <c r="A2704" s="21">
        <v>2703</v>
      </c>
      <c r="B2704" s="5" cm="1">
        <f t="array" aca="1" ref="B2704" ca="1">interpolexp(A2704,serie_du,Taxas_DI)</f>
        <v>0.12793124431598191</v>
      </c>
      <c r="C2704" s="32">
        <f ca="1">((((1+B2704)^(A2704/252))/((1+B2703)^(A2703/252)))^(252/1))-1</f>
        <v>0.12578527104106296</v>
      </c>
      <c r="D2704" s="30">
        <v>0.12793124431598191</v>
      </c>
      <c r="E2704" s="31">
        <f ca="1">B2704-D2704</f>
        <v>0</v>
      </c>
    </row>
    <row r="2705" spans="1:5" x14ac:dyDescent="0.25">
      <c r="A2705" s="21">
        <v>2704</v>
      </c>
      <c r="B2705" s="5" cm="1">
        <f t="array" aca="1" ref="B2705" ca="1">interpolexp(A2705,serie_du,Taxas_DI)</f>
        <v>0.12793044993062441</v>
      </c>
      <c r="C2705" s="32">
        <f ca="1">((((1+B2705)^(A2705/252))/((1+B2704)^(A2704/252)))^(252/1))-1</f>
        <v>0.12578526958572978</v>
      </c>
      <c r="D2705" s="30">
        <v>0.12793044993062441</v>
      </c>
      <c r="E2705" s="31">
        <f ca="1">B2705-D2705</f>
        <v>0</v>
      </c>
    </row>
    <row r="2706" spans="1:5" x14ac:dyDescent="0.25">
      <c r="A2706" s="21">
        <v>2705</v>
      </c>
      <c r="B2706" s="5" cm="1">
        <f t="array" aca="1" ref="B2706" ca="1">interpolexp(A2706,serie_du,Taxas_DI)</f>
        <v>0.12792965613261931</v>
      </c>
      <c r="C2706" s="32">
        <f ca="1">((((1+B2706)^(A2706/252))/((1+B2705)^(A2705/252)))^(252/1))-1</f>
        <v>0.12578526809447532</v>
      </c>
      <c r="D2706" s="30">
        <v>0.12792965613261931</v>
      </c>
      <c r="E2706" s="31">
        <f ca="1">B2706-D2706</f>
        <v>0</v>
      </c>
    </row>
    <row r="2707" spans="1:5" x14ac:dyDescent="0.25">
      <c r="A2707" s="21">
        <v>2706</v>
      </c>
      <c r="B2707" s="5" cm="1">
        <f t="array" aca="1" ref="B2707" ca="1">interpolexp(A2707,serie_du,Taxas_DI)</f>
        <v>0.12792886292130046</v>
      </c>
      <c r="C2707" s="32">
        <f ca="1">((((1+B2707)^(A2707/252))/((1+B2706)^(A2706/252)))^(252/1))-1</f>
        <v>0.1257852665642698</v>
      </c>
      <c r="D2707" s="30">
        <v>0.12792886292130046</v>
      </c>
      <c r="E2707" s="31">
        <f ca="1">B2707-D2707</f>
        <v>0</v>
      </c>
    </row>
    <row r="2708" spans="1:5" x14ac:dyDescent="0.25">
      <c r="A2708" s="21">
        <v>2707</v>
      </c>
      <c r="B2708" s="5" cm="1">
        <f t="array" aca="1" ref="B2708" ca="1">interpolexp(A2708,serie_du,Taxas_DI)</f>
        <v>0.12792807029604614</v>
      </c>
      <c r="C2708" s="32">
        <f ca="1">((((1+B2708)^(A2708/252))/((1+B2707)^(A2707/252)))^(252/1))-1</f>
        <v>0.12578526511277377</v>
      </c>
      <c r="D2708" s="30">
        <v>0.12792807029604614</v>
      </c>
      <c r="E2708" s="31">
        <f ca="1">B2708-D2708</f>
        <v>0</v>
      </c>
    </row>
    <row r="2709" spans="1:5" x14ac:dyDescent="0.25">
      <c r="A2709" s="21">
        <v>2708</v>
      </c>
      <c r="B2709" s="5" cm="1">
        <f t="array" aca="1" ref="B2709" ca="1">interpolexp(A2709,serie_du,Taxas_DI)</f>
        <v>0.12792727825619021</v>
      </c>
      <c r="C2709" s="32">
        <f ca="1">((((1+B2709)^(A2709/252))/((1+B2708)^(A2708/252)))^(252/1))-1</f>
        <v>0.12578526361722497</v>
      </c>
      <c r="D2709" s="30">
        <v>0.12792727825619021</v>
      </c>
      <c r="E2709" s="31">
        <f ca="1">B2709-D2709</f>
        <v>0</v>
      </c>
    </row>
    <row r="2710" spans="1:5" x14ac:dyDescent="0.25">
      <c r="A2710" s="21">
        <v>2709</v>
      </c>
      <c r="B2710" s="5" cm="1">
        <f t="array" aca="1" ref="B2710" ca="1">interpolexp(A2710,serie_du,Taxas_DI)</f>
        <v>0.12792648680108876</v>
      </c>
      <c r="C2710" s="32">
        <f ca="1">((((1+B2710)^(A2710/252))/((1+B2709)^(A2709/252)))^(252/1))-1</f>
        <v>0.12578526213519337</v>
      </c>
      <c r="D2710" s="30">
        <v>0.12792648680108876</v>
      </c>
      <c r="E2710" s="31">
        <f ca="1">B2710-D2710</f>
        <v>0</v>
      </c>
    </row>
    <row r="2711" spans="1:5" x14ac:dyDescent="0.25">
      <c r="A2711" s="21">
        <v>2710</v>
      </c>
      <c r="B2711" s="5" cm="1">
        <f t="array" aca="1" ref="B2711" ca="1">interpolexp(A2711,serie_du,Taxas_DI)</f>
        <v>0.12792569593007563</v>
      </c>
      <c r="C2711" s="32">
        <f ca="1">((((1+B2711)^(A2711/252))/((1+B2710)^(A2710/252)))^(252/1))-1</f>
        <v>0.12578526060396</v>
      </c>
      <c r="D2711" s="30">
        <v>0.12792569593007563</v>
      </c>
      <c r="E2711" s="31">
        <f ca="1">B2711-D2711</f>
        <v>0</v>
      </c>
    </row>
    <row r="2712" spans="1:5" x14ac:dyDescent="0.25">
      <c r="A2712" s="21">
        <v>2711</v>
      </c>
      <c r="B2712" s="5" cm="1">
        <f t="array" aca="1" ref="B2712" ca="1">interpolexp(A2712,serie_du,Taxas_DI)</f>
        <v>0.12792490564255132</v>
      </c>
      <c r="C2712" s="32">
        <f ca="1">((((1+B2712)^(A2712/252))/((1+B2711)^(A2711/252)))^(252/1))-1</f>
        <v>0.12578525920099337</v>
      </c>
      <c r="D2712" s="30">
        <v>0.12792490564255132</v>
      </c>
      <c r="E2712" s="31">
        <f ca="1">B2712-D2712</f>
        <v>0</v>
      </c>
    </row>
    <row r="2713" spans="1:5" x14ac:dyDescent="0.25">
      <c r="A2713" s="21">
        <v>2712</v>
      </c>
      <c r="B2713" s="5" cm="1">
        <f t="array" aca="1" ref="B2713" ca="1">interpolexp(A2713,serie_du,Taxas_DI)</f>
        <v>0.12792411593782749</v>
      </c>
      <c r="C2713" s="32">
        <f ca="1">((((1+B2713)^(A2713/252))/((1+B2712)^(A2712/252)))^(252/1))-1</f>
        <v>0.12578525768384941</v>
      </c>
      <c r="D2713" s="30">
        <v>0.12792411593782749</v>
      </c>
      <c r="E2713" s="31">
        <f ca="1">B2713-D2713</f>
        <v>0</v>
      </c>
    </row>
    <row r="2714" spans="1:5" x14ac:dyDescent="0.25">
      <c r="A2714" s="21">
        <v>2713</v>
      </c>
      <c r="B2714" s="5" cm="1">
        <f t="array" aca="1" ref="B2714" ca="1">interpolexp(A2714,serie_du,Taxas_DI)</f>
        <v>0.1279233268152602</v>
      </c>
      <c r="C2714" s="32">
        <f ca="1">((((1+B2714)^(A2714/252))/((1+B2713)^(A2713/252)))^(252/1))-1</f>
        <v>0.125785256169483</v>
      </c>
      <c r="D2714" s="30">
        <v>0.1279233268152602</v>
      </c>
      <c r="E2714" s="31">
        <f ca="1">B2714-D2714</f>
        <v>0</v>
      </c>
    </row>
    <row r="2715" spans="1:5" x14ac:dyDescent="0.25">
      <c r="A2715" s="21">
        <v>2714</v>
      </c>
      <c r="B2715" s="5" cm="1">
        <f t="array" aca="1" ref="B2715" ca="1">interpolexp(A2715,serie_du,Taxas_DI)</f>
        <v>0.12792253827422773</v>
      </c>
      <c r="C2715" s="32">
        <f ca="1">((((1+B2715)^(A2715/252))/((1+B2714)^(A2714/252)))^(252/1))-1</f>
        <v>0.12578525471600943</v>
      </c>
      <c r="D2715" s="30">
        <v>0.12792253827422773</v>
      </c>
      <c r="E2715" s="31">
        <f ca="1">B2715-D2715</f>
        <v>0</v>
      </c>
    </row>
    <row r="2716" spans="1:5" x14ac:dyDescent="0.25">
      <c r="A2716" s="21">
        <v>2715</v>
      </c>
      <c r="B2716" s="5" cm="1">
        <f t="array" aca="1" ref="B2716" ca="1">interpolexp(A2716,serie_du,Taxas_DI)</f>
        <v>0.12792175031408615</v>
      </c>
      <c r="C2716" s="32">
        <f ca="1">((((1+B2716)^(A2716/252))/((1+B2715)^(A2715/252)))^(252/1))-1</f>
        <v>0.12578525326030632</v>
      </c>
      <c r="D2716" s="30">
        <v>0.12792175031408615</v>
      </c>
      <c r="E2716" s="31">
        <f ca="1">B2716-D2716</f>
        <v>0</v>
      </c>
    </row>
    <row r="2717" spans="1:5" x14ac:dyDescent="0.25">
      <c r="A2717" s="21">
        <v>2716</v>
      </c>
      <c r="B2717" s="5" cm="1">
        <f t="array" aca="1" ref="B2717" ca="1">interpolexp(A2717,serie_du,Taxas_DI)</f>
        <v>0.12792096293416932</v>
      </c>
      <c r="C2717" s="32">
        <f ca="1">((((1+B2717)^(A2717/252))/((1+B2716)^(A2716/252)))^(252/1))-1</f>
        <v>0.12578525174003041</v>
      </c>
      <c r="D2717" s="30">
        <v>0.12792096293416932</v>
      </c>
      <c r="E2717" s="31">
        <f ca="1">B2717-D2717</f>
        <v>0</v>
      </c>
    </row>
    <row r="2718" spans="1:5" x14ac:dyDescent="0.25">
      <c r="A2718" s="21">
        <v>2717</v>
      </c>
      <c r="B2718" s="5" cm="1">
        <f t="array" aca="1" ref="B2718" ca="1">interpolexp(A2718,serie_du,Taxas_DI)</f>
        <v>0.12792017613387774</v>
      </c>
      <c r="C2718" s="32">
        <f ca="1">((((1+B2718)^(A2718/252))/((1+B2717)^(A2717/252)))^(252/1))-1</f>
        <v>0.12578525033272658</v>
      </c>
      <c r="D2718" s="30">
        <v>0.12792017613387774</v>
      </c>
      <c r="E2718" s="31">
        <f ca="1">B2718-D2718</f>
        <v>0</v>
      </c>
    </row>
    <row r="2719" spans="1:5" x14ac:dyDescent="0.25">
      <c r="A2719" s="21">
        <v>2718</v>
      </c>
      <c r="B2719" s="5" cm="1">
        <f t="array" aca="1" ref="B2719" ca="1">interpolexp(A2719,serie_du,Taxas_DI)</f>
        <v>0.12791938991254526</v>
      </c>
      <c r="C2719" s="32">
        <f ca="1">((((1+B2719)^(A2719/252))/((1+B2718)^(A2718/252)))^(252/1))-1</f>
        <v>0.12578524885578535</v>
      </c>
      <c r="D2719" s="30">
        <v>0.12791938991254526</v>
      </c>
      <c r="E2719" s="31">
        <f ca="1">B2719-D2719</f>
        <v>0</v>
      </c>
    </row>
    <row r="2720" spans="1:5" x14ac:dyDescent="0.25">
      <c r="A2720" s="21">
        <v>2719</v>
      </c>
      <c r="B2720" s="5" cm="1">
        <f t="array" aca="1" ref="B2720" ca="1">interpolexp(A2720,serie_du,Taxas_DI)</f>
        <v>0.12791860426952795</v>
      </c>
      <c r="C2720" s="32">
        <f ca="1">((((1+B2720)^(A2720/252))/((1+B2719)^(A2719/252)))^(252/1))-1</f>
        <v>0.12578524736644892</v>
      </c>
      <c r="D2720" s="30">
        <v>0.12791860426952795</v>
      </c>
      <c r="E2720" s="31">
        <f ca="1">B2720-D2720</f>
        <v>0</v>
      </c>
    </row>
    <row r="2721" spans="1:5" x14ac:dyDescent="0.25">
      <c r="A2721" s="21">
        <v>2720</v>
      </c>
      <c r="B2721" s="5" cm="1">
        <f t="array" aca="1" ref="B2721" ca="1">interpolexp(A2721,serie_du,Taxas_DI)</f>
        <v>0.12791781920418188</v>
      </c>
      <c r="C2721" s="32">
        <f ca="1">((((1+B2721)^(A2721/252))/((1+B2720)^(A2720/252)))^(252/1))-1</f>
        <v>0.1257852458622184</v>
      </c>
      <c r="D2721" s="30">
        <v>0.12791781920418188</v>
      </c>
      <c r="E2721" s="31">
        <f ca="1">B2721-D2721</f>
        <v>0</v>
      </c>
    </row>
    <row r="2722" spans="1:5" x14ac:dyDescent="0.25">
      <c r="A2722" s="21">
        <v>2721</v>
      </c>
      <c r="B2722" s="5" cm="1">
        <f t="array" aca="1" ref="B2722" ca="1">interpolexp(A2722,serie_du,Taxas_DI)</f>
        <v>0.12791703471590754</v>
      </c>
      <c r="C2722" s="32">
        <f ca="1">((((1+B2722)^(A2722/252))/((1+B2721)^(A2721/252)))^(252/1))-1</f>
        <v>0.12578524446101658</v>
      </c>
      <c r="D2722" s="30">
        <v>0.12791703471590754</v>
      </c>
      <c r="E2722" s="31">
        <f ca="1">B2722-D2722</f>
        <v>0</v>
      </c>
    </row>
    <row r="2723" spans="1:5" x14ac:dyDescent="0.25">
      <c r="A2723" s="21">
        <v>2722</v>
      </c>
      <c r="B2723" s="5" cm="1">
        <f t="array" aca="1" ref="B2723" ca="1">interpolexp(A2723,serie_du,Taxas_DI)</f>
        <v>0.12791625080401658</v>
      </c>
      <c r="C2723" s="32">
        <f ca="1">((((1+B2723)^(A2723/252))/((1+B2722)^(A2722/252)))^(252/1))-1</f>
        <v>0.12578524291953785</v>
      </c>
      <c r="D2723" s="30">
        <v>0.12791625080401658</v>
      </c>
      <c r="E2723" s="31">
        <f ca="1">B2723-D2723</f>
        <v>0</v>
      </c>
    </row>
    <row r="2724" spans="1:5" x14ac:dyDescent="0.25">
      <c r="A2724" s="21">
        <v>2723</v>
      </c>
      <c r="B2724" s="5" cm="1">
        <f t="array" aca="1" ref="B2724" ca="1">interpolexp(A2724,serie_du,Taxas_DI)</f>
        <v>0.1279154674679317</v>
      </c>
      <c r="C2724" s="32">
        <f ca="1">((((1+B2724)^(A2724/252))/((1+B2723)^(A2723/252)))^(252/1))-1</f>
        <v>0.12578524153629367</v>
      </c>
      <c r="D2724" s="30">
        <v>0.1279154674679317</v>
      </c>
      <c r="E2724" s="31">
        <f ca="1">B2724-D2724</f>
        <v>0</v>
      </c>
    </row>
    <row r="2725" spans="1:5" x14ac:dyDescent="0.25">
      <c r="A2725" s="21">
        <v>2724</v>
      </c>
      <c r="B2725" s="5" cm="1">
        <f t="array" aca="1" ref="B2725" ca="1">interpolexp(A2725,serie_du,Taxas_DI)</f>
        <v>0.12791468470696454</v>
      </c>
      <c r="C2725" s="32">
        <f ca="1">((((1+B2725)^(A2725/252))/((1+B2724)^(A2724/252)))^(252/1))-1</f>
        <v>0.12578524000752989</v>
      </c>
      <c r="D2725" s="30">
        <v>0.12791468470696454</v>
      </c>
      <c r="E2725" s="31">
        <f ca="1">B2725-D2725</f>
        <v>0</v>
      </c>
    </row>
    <row r="2726" spans="1:5" x14ac:dyDescent="0.25">
      <c r="A2726" s="21">
        <v>2725</v>
      </c>
      <c r="B2726" s="5" cm="1">
        <f t="array" aca="1" ref="B2726" ca="1">interpolexp(A2726,serie_du,Taxas_DI)</f>
        <v>0.1279139025205378</v>
      </c>
      <c r="C2726" s="32">
        <f ca="1">((((1+B2726)^(A2726/252))/((1+B2725)^(A2725/252)))^(252/1))-1</f>
        <v>0.12578523863206126</v>
      </c>
      <c r="D2726" s="30">
        <v>0.1279139025205378</v>
      </c>
      <c r="E2726" s="31">
        <f ca="1">B2726-D2726</f>
        <v>0</v>
      </c>
    </row>
    <row r="2727" spans="1:5" x14ac:dyDescent="0.25">
      <c r="A2727" s="21">
        <v>2726</v>
      </c>
      <c r="B2727" s="5" cm="1">
        <f t="array" aca="1" ref="B2727" ca="1">interpolexp(A2727,serie_du,Taxas_DI)</f>
        <v>0.12791312090796314</v>
      </c>
      <c r="C2727" s="32">
        <f ca="1">((((1+B2727)^(A2727/252))/((1+B2726)^(A2726/252)))^(252/1))-1</f>
        <v>0.12578523710586742</v>
      </c>
      <c r="D2727" s="30">
        <v>0.12791312090796314</v>
      </c>
      <c r="E2727" s="31">
        <f ca="1">B2727-D2727</f>
        <v>0</v>
      </c>
    </row>
    <row r="2728" spans="1:5" x14ac:dyDescent="0.25">
      <c r="A2728" s="21">
        <v>2727</v>
      </c>
      <c r="B2728" s="5" cm="1">
        <f t="array" aca="1" ref="B2728" ca="1">interpolexp(A2728,serie_du,Taxas_DI)</f>
        <v>0.12791233986864103</v>
      </c>
      <c r="C2728" s="32">
        <f ca="1">((((1+B2728)^(A2728/252))/((1+B2727)^(A2727/252)))^(252/1))-1</f>
        <v>0.12578523566760502</v>
      </c>
      <c r="D2728" s="30">
        <v>0.12791233986864103</v>
      </c>
      <c r="E2728" s="31">
        <f ca="1">B2728-D2728</f>
        <v>0</v>
      </c>
    </row>
    <row r="2729" spans="1:5" x14ac:dyDescent="0.25">
      <c r="A2729" s="21">
        <v>2728</v>
      </c>
      <c r="B2729" s="5" cm="1">
        <f t="array" aca="1" ref="B2729" ca="1">interpolexp(A2729,serie_du,Taxas_DI)</f>
        <v>0.12791155940192755</v>
      </c>
      <c r="C2729" s="32">
        <f ca="1">((((1+B2729)^(A2729/252))/((1+B2728)^(A2728/252)))^(252/1))-1</f>
        <v>0.12578523419443366</v>
      </c>
      <c r="D2729" s="30">
        <v>0.12791155940192755</v>
      </c>
      <c r="E2729" s="31">
        <f ca="1">B2729-D2729</f>
        <v>0</v>
      </c>
    </row>
    <row r="2730" spans="1:5" x14ac:dyDescent="0.25">
      <c r="A2730" s="21">
        <v>2729</v>
      </c>
      <c r="B2730" s="5" cm="1">
        <f t="array" aca="1" ref="B2730" ca="1">interpolexp(A2730,serie_du,Taxas_DI)</f>
        <v>0.12791077950722318</v>
      </c>
      <c r="C2730" s="32">
        <f ca="1">((((1+B2730)^(A2730/252))/((1+B2729)^(A2729/252)))^(252/1))-1</f>
        <v>0.12578523280418619</v>
      </c>
      <c r="D2730" s="30">
        <v>0.12791077950722318</v>
      </c>
      <c r="E2730" s="31">
        <f ca="1">B2730-D2730</f>
        <v>0</v>
      </c>
    </row>
    <row r="2731" spans="1:5" x14ac:dyDescent="0.25">
      <c r="A2731" s="21">
        <v>2730</v>
      </c>
      <c r="B2731" s="5" cm="1">
        <f t="array" aca="1" ref="B2731" ca="1">interpolexp(A2731,serie_du,Taxas_DI)</f>
        <v>0.12791000018386178</v>
      </c>
      <c r="C2731" s="32">
        <f ca="1">((((1+B2731)^(A2731/252))/((1+B2730)^(A2730/252)))^(252/1))-1</f>
        <v>0.12578523131345953</v>
      </c>
      <c r="D2731" s="30">
        <v>0.12791000018386178</v>
      </c>
      <c r="E2731" s="31">
        <f ca="1">B2731-D2731</f>
        <v>0</v>
      </c>
    </row>
    <row r="2732" spans="1:5" x14ac:dyDescent="0.25">
      <c r="A2732" s="21">
        <v>2731</v>
      </c>
      <c r="B2732" s="5" cm="1">
        <f t="array" aca="1" ref="B2732" ca="1">interpolexp(A2732,serie_du,Taxas_DI)</f>
        <v>0.12790922143122163</v>
      </c>
      <c r="C2732" s="32">
        <f ca="1">((((1+B2732)^(A2732/252))/((1+B2731)^(A2731/252)))^(252/1))-1</f>
        <v>0.12578522984029372</v>
      </c>
      <c r="D2732" s="30">
        <v>0.12790922143122163</v>
      </c>
      <c r="E2732" s="31">
        <f ca="1">B2732-D2732</f>
        <v>0</v>
      </c>
    </row>
    <row r="2733" spans="1:5" x14ac:dyDescent="0.25">
      <c r="A2733" s="21">
        <v>2732</v>
      </c>
      <c r="B2733" s="5" cm="1">
        <f t="array" aca="1" ref="B2733" ca="1">interpolexp(A2733,serie_du,Taxas_DI)</f>
        <v>0.127908443248681</v>
      </c>
      <c r="C2733" s="32">
        <f ca="1">((((1+B2733)^(A2733/252))/((1+B2732)^(A2732/252)))^(252/1))-1</f>
        <v>0.12578522838235862</v>
      </c>
      <c r="D2733" s="30">
        <v>0.127908443248681</v>
      </c>
      <c r="E2733" s="31">
        <f ca="1">B2733-D2733</f>
        <v>0</v>
      </c>
    </row>
    <row r="2734" spans="1:5" x14ac:dyDescent="0.25">
      <c r="A2734" s="21">
        <v>2733</v>
      </c>
      <c r="B2734" s="5" cm="1">
        <f t="array" aca="1" ref="B2734" ca="1">interpolexp(A2734,serie_du,Taxas_DI)</f>
        <v>0.12790766563564038</v>
      </c>
      <c r="C2734" s="32">
        <f ca="1">((((1+B2734)^(A2734/252))/((1+B2733)^(A2733/252)))^(252/1))-1</f>
        <v>0.12578522699757744</v>
      </c>
      <c r="D2734" s="30">
        <v>0.12790766563564038</v>
      </c>
      <c r="E2734" s="31">
        <f ca="1">B2734-D2734</f>
        <v>0</v>
      </c>
    </row>
    <row r="2735" spans="1:5" x14ac:dyDescent="0.25">
      <c r="A2735" s="21">
        <v>2734</v>
      </c>
      <c r="B2735" s="5" cm="1">
        <f t="array" aca="1" ref="B2735" ca="1">interpolexp(A2735,serie_du,Taxas_DI)</f>
        <v>0.12790688859143362</v>
      </c>
      <c r="C2735" s="32">
        <f ca="1">((((1+B2735)^(A2735/252))/((1+B2734)^(A2734/252)))^(252/1))-1</f>
        <v>0.12578522550205973</v>
      </c>
      <c r="D2735" s="30">
        <v>0.12790688859143362</v>
      </c>
      <c r="E2735" s="31">
        <f ca="1">B2735-D2735</f>
        <v>0</v>
      </c>
    </row>
    <row r="2736" spans="1:5" x14ac:dyDescent="0.25">
      <c r="A2736" s="21">
        <v>2735</v>
      </c>
      <c r="B2736" s="5" cm="1">
        <f t="array" aca="1" ref="B2736" ca="1">interpolexp(A2736,serie_du,Taxas_DI)</f>
        <v>0.12790611211546121</v>
      </c>
      <c r="C2736" s="32">
        <f ca="1">((((1+B2736)^(A2736/252))/((1+B2735)^(A2735/252)))^(252/1))-1</f>
        <v>0.1257852240746824</v>
      </c>
      <c r="D2736" s="30">
        <v>0.12790611211546121</v>
      </c>
      <c r="E2736" s="31">
        <f ca="1">B2736-D2736</f>
        <v>0</v>
      </c>
    </row>
    <row r="2737" spans="1:5" x14ac:dyDescent="0.25">
      <c r="A2737" s="21">
        <v>2736</v>
      </c>
      <c r="B2737" s="5" cm="1">
        <f t="array" aca="1" ref="B2737" ca="1">interpolexp(A2737,serie_du,Taxas_DI)</f>
        <v>0.12790533620710143</v>
      </c>
      <c r="C2737" s="32">
        <f ca="1">((((1+B2737)^(A2737/252))/((1+B2736)^(A2736/252)))^(252/1))-1</f>
        <v>0.12578522265267456</v>
      </c>
      <c r="D2737" s="30">
        <v>0.12790533620710143</v>
      </c>
      <c r="E2737" s="31">
        <f ca="1">B2737-D2737</f>
        <v>0</v>
      </c>
    </row>
    <row r="2738" spans="1:5" x14ac:dyDescent="0.25">
      <c r="A2738" s="21">
        <v>2737</v>
      </c>
      <c r="B2738" s="5" cm="1">
        <f t="array" aca="1" ref="B2738" ca="1">interpolexp(A2738,serie_du,Taxas_DI)</f>
        <v>0.12790456086571034</v>
      </c>
      <c r="C2738" s="32">
        <f ca="1">((((1+B2738)^(A2738/252))/((1+B2737)^(A2737/252)))^(252/1))-1</f>
        <v>0.12578522117278701</v>
      </c>
      <c r="D2738" s="30">
        <v>0.12790456086571034</v>
      </c>
      <c r="E2738" s="31">
        <f ca="1">B2738-D2738</f>
        <v>0</v>
      </c>
    </row>
    <row r="2739" spans="1:5" x14ac:dyDescent="0.25">
      <c r="A2739" s="21">
        <v>2738</v>
      </c>
      <c r="B2739" s="5" cm="1">
        <f t="array" aca="1" ref="B2739" ca="1">interpolexp(A2739,serie_du,Taxas_DI)</f>
        <v>0.12790378609068842</v>
      </c>
      <c r="C2739" s="32">
        <f ca="1">((((1+B2739)^(A2739/252))/((1+B2738)^(A2738/252)))^(252/1))-1</f>
        <v>0.12578521975376833</v>
      </c>
      <c r="D2739" s="30">
        <v>0.12790378609068842</v>
      </c>
      <c r="E2739" s="31">
        <f ca="1">B2739-D2739</f>
        <v>0</v>
      </c>
    </row>
    <row r="2740" spans="1:5" x14ac:dyDescent="0.25">
      <c r="A2740" s="21">
        <v>2739</v>
      </c>
      <c r="B2740" s="5" cm="1">
        <f t="array" aca="1" ref="B2740" ca="1">interpolexp(A2740,serie_du,Taxas_DI)</f>
        <v>0.12790301188141395</v>
      </c>
      <c r="C2740" s="32">
        <f ca="1">((((1+B2740)^(A2740/252))/((1+B2739)^(A2739/252)))^(252/1))-1</f>
        <v>0.12578521833255696</v>
      </c>
      <c r="D2740" s="30">
        <v>0.12790301188141395</v>
      </c>
      <c r="E2740" s="31">
        <f ca="1">B2740-D2740</f>
        <v>0</v>
      </c>
    </row>
    <row r="2741" spans="1:5" x14ac:dyDescent="0.25">
      <c r="A2741" s="21">
        <v>2740</v>
      </c>
      <c r="B2741" s="5" cm="1">
        <f t="array" aca="1" ref="B2741" ca="1">interpolexp(A2741,serie_du,Taxas_DI)</f>
        <v>0.12790223823726521</v>
      </c>
      <c r="C2741" s="32">
        <f ca="1">((((1+B2741)^(A2741/252))/((1+B2740)^(A2740/252)))^(252/1))-1</f>
        <v>0.12578521690666822</v>
      </c>
      <c r="D2741" s="30">
        <v>0.12790223823726521</v>
      </c>
      <c r="E2741" s="31">
        <f ca="1">B2741-D2741</f>
        <v>0</v>
      </c>
    </row>
    <row r="2742" spans="1:5" x14ac:dyDescent="0.25">
      <c r="A2742" s="21">
        <v>2741</v>
      </c>
      <c r="B2742" s="5" cm="1">
        <f t="array" aca="1" ref="B2742" ca="1">interpolexp(A2742,serie_du,Taxas_DI)</f>
        <v>0.12790146515759826</v>
      </c>
      <c r="C2742" s="32">
        <f ca="1">((((1+B2742)^(A2742/252))/((1+B2741)^(A2741/252)))^(252/1))-1</f>
        <v>0.12578521541270682</v>
      </c>
      <c r="D2742" s="30">
        <v>0.12790146515759826</v>
      </c>
      <c r="E2742" s="31">
        <f ca="1">B2742-D2742</f>
        <v>0</v>
      </c>
    </row>
    <row r="2743" spans="1:5" x14ac:dyDescent="0.25">
      <c r="A2743" s="21">
        <v>2742</v>
      </c>
      <c r="B2743" s="5" cm="1">
        <f t="array" aca="1" ref="B2743" ca="1">interpolexp(A2743,serie_du,Taxas_DI)</f>
        <v>0.12790069264183579</v>
      </c>
      <c r="C2743" s="32">
        <f ca="1">((((1+B2743)^(A2743/252))/((1+B2742)^(A2742/252)))^(252/1))-1</f>
        <v>0.12578521403091059</v>
      </c>
      <c r="D2743" s="30">
        <v>0.12790069264183579</v>
      </c>
      <c r="E2743" s="31">
        <f ca="1">B2743-D2743</f>
        <v>0</v>
      </c>
    </row>
    <row r="2744" spans="1:5" x14ac:dyDescent="0.25">
      <c r="A2744" s="21">
        <v>2743</v>
      </c>
      <c r="B2744" s="5" cm="1">
        <f t="array" aca="1" ref="B2744" ca="1">interpolexp(A2744,serie_du,Taxas_DI)</f>
        <v>0.12789992068933387</v>
      </c>
      <c r="C2744" s="32">
        <f ca="1">((((1+B2744)^(A2744/252))/((1+B2743)^(A2743/252)))^(252/1))-1</f>
        <v>0.125785212575934</v>
      </c>
      <c r="D2744" s="30">
        <v>0.12789992068933387</v>
      </c>
      <c r="E2744" s="31">
        <f ca="1">B2744-D2744</f>
        <v>0</v>
      </c>
    </row>
    <row r="2745" spans="1:5" x14ac:dyDescent="0.25">
      <c r="A2745" s="21">
        <v>2744</v>
      </c>
      <c r="B2745" s="5" cm="1">
        <f t="array" aca="1" ref="B2745" ca="1">interpolexp(A2745,serie_du,Taxas_DI)</f>
        <v>0.12789914929949298</v>
      </c>
      <c r="C2745" s="32">
        <f ca="1">((((1+B2745)^(A2745/252))/((1+B2744)^(A2744/252)))^(252/1))-1</f>
        <v>0.12578521116737562</v>
      </c>
      <c r="D2745" s="30">
        <v>0.12789914929949298</v>
      </c>
      <c r="E2745" s="31">
        <f ca="1">B2745-D2745</f>
        <v>0</v>
      </c>
    </row>
    <row r="2746" spans="1:5" x14ac:dyDescent="0.25">
      <c r="A2746" s="21">
        <v>2745</v>
      </c>
      <c r="B2746" s="5" cm="1">
        <f t="array" aca="1" ref="B2746" ca="1">interpolexp(A2746,serie_du,Taxas_DI)</f>
        <v>0.12789837847169139</v>
      </c>
      <c r="C2746" s="32">
        <f ca="1">((((1+B2746)^(A2746/252))/((1+B2745)^(A2745/252)))^(252/1))-1</f>
        <v>0.12578520974156593</v>
      </c>
      <c r="D2746" s="30">
        <v>0.12789837847169139</v>
      </c>
      <c r="E2746" s="31">
        <f ca="1">B2746-D2746</f>
        <v>0</v>
      </c>
    </row>
    <row r="2747" spans="1:5" x14ac:dyDescent="0.25">
      <c r="A2747" s="21">
        <v>2746</v>
      </c>
      <c r="B2747" s="5" cm="1">
        <f t="array" aca="1" ref="B2747" ca="1">interpolexp(A2747,serie_du,Taxas_DI)</f>
        <v>0.12789760820530738</v>
      </c>
      <c r="C2747" s="32">
        <f ca="1">((((1+B2747)^(A2747/252))/((1+B2746)^(A2746/252)))^(252/1))-1</f>
        <v>0.12578520829635131</v>
      </c>
      <c r="D2747" s="30">
        <v>0.12789760820530738</v>
      </c>
      <c r="E2747" s="31">
        <f ca="1">B2747-D2747</f>
        <v>0</v>
      </c>
    </row>
    <row r="2748" spans="1:5" x14ac:dyDescent="0.25">
      <c r="A2748" s="21">
        <v>2747</v>
      </c>
      <c r="B2748" s="5" cm="1">
        <f t="array" aca="1" ref="B2748" ca="1">interpolexp(A2748,serie_du,Taxas_DI)</f>
        <v>0.12789683849974143</v>
      </c>
      <c r="C2748" s="32">
        <f ca="1">((((1+B2748)^(A2748/252))/((1+B2747)^(A2747/252)))^(252/1))-1</f>
        <v>0.12578520689003048</v>
      </c>
      <c r="D2748" s="30">
        <v>0.12789683849974143</v>
      </c>
      <c r="E2748" s="31">
        <f ca="1">B2748-D2748</f>
        <v>0</v>
      </c>
    </row>
    <row r="2749" spans="1:5" x14ac:dyDescent="0.25">
      <c r="A2749" s="21">
        <v>2748</v>
      </c>
      <c r="B2749" s="5" cm="1">
        <f t="array" aca="1" ref="B2749" ca="1">interpolexp(A2749,serie_du,Taxas_DI)</f>
        <v>0.12789606935437181</v>
      </c>
      <c r="C2749" s="32">
        <f ca="1">((((1+B2749)^(A2749/252))/((1+B2748)^(A2748/252)))^(252/1))-1</f>
        <v>0.12578520545925853</v>
      </c>
      <c r="D2749" s="30">
        <v>0.12789606935437181</v>
      </c>
      <c r="E2749" s="31">
        <f ca="1">B2749-D2749</f>
        <v>0</v>
      </c>
    </row>
    <row r="2750" spans="1:5" x14ac:dyDescent="0.25">
      <c r="A2750" s="21">
        <v>2749</v>
      </c>
      <c r="B2750" s="5" cm="1">
        <f t="array" aca="1" ref="B2750" ca="1">interpolexp(A2750,serie_du,Taxas_DI)</f>
        <v>0.12789530076859901</v>
      </c>
      <c r="C2750" s="32">
        <f ca="1">((((1+B2750)^(A2750/252))/((1+B2749)^(A2749/252)))^(252/1))-1</f>
        <v>0.12578520406239502</v>
      </c>
      <c r="D2750" s="30">
        <v>0.12789530076859901</v>
      </c>
      <c r="E2750" s="31">
        <f ca="1">B2750-D2750</f>
        <v>0</v>
      </c>
    </row>
    <row r="2751" spans="1:5" x14ac:dyDescent="0.25">
      <c r="A2751" s="21">
        <v>2750</v>
      </c>
      <c r="B2751" s="5" cm="1">
        <f t="array" aca="1" ref="B2751" ca="1">interpolexp(A2751,serie_du,Taxas_DI)</f>
        <v>0.12789453274177909</v>
      </c>
      <c r="C2751" s="32">
        <f ca="1">((((1+B2751)^(A2751/252))/((1+B2750)^(A2750/252)))^(252/1))-1</f>
        <v>0.1257852025755215</v>
      </c>
      <c r="D2751" s="30">
        <v>0.12789453274177909</v>
      </c>
      <c r="E2751" s="31">
        <f ca="1">B2751-D2751</f>
        <v>0</v>
      </c>
    </row>
    <row r="2752" spans="1:5" x14ac:dyDescent="0.25">
      <c r="A2752" s="21">
        <v>2751</v>
      </c>
      <c r="B2752" s="5" cm="1">
        <f t="array" aca="1" ref="B2752" ca="1">interpolexp(A2752,serie_du,Taxas_DI)</f>
        <v>0.12789376527335694</v>
      </c>
      <c r="C2752" s="32">
        <f ca="1">((((1+B2752)^(A2752/252))/((1+B2751)^(A2751/252)))^(252/1))-1</f>
        <v>0.12578520123942538</v>
      </c>
      <c r="D2752" s="30">
        <v>0.12789376527335694</v>
      </c>
      <c r="E2752" s="31">
        <f ca="1">B2752-D2752</f>
        <v>0</v>
      </c>
    </row>
    <row r="2753" spans="1:5" x14ac:dyDescent="0.25">
      <c r="A2753" s="21">
        <v>2752</v>
      </c>
      <c r="B2753" s="5" cm="1">
        <f t="array" aca="1" ref="B2753" ca="1">interpolexp(A2753,serie_du,Taxas_DI)</f>
        <v>0.12789299836266643</v>
      </c>
      <c r="C2753" s="32">
        <f ca="1">((((1+B2753)^(A2753/252))/((1+B2752)^(A2752/252)))^(252/1))-1</f>
        <v>0.12578519974726321</v>
      </c>
      <c r="D2753" s="30">
        <v>0.12789299836266643</v>
      </c>
      <c r="E2753" s="31">
        <f ca="1">B2753-D2753</f>
        <v>0</v>
      </c>
    </row>
    <row r="2754" spans="1:5" x14ac:dyDescent="0.25">
      <c r="A2754" s="21">
        <v>2753</v>
      </c>
      <c r="B2754" s="5" cm="1">
        <f t="array" aca="1" ref="B2754" ca="1">interpolexp(A2754,serie_du,Taxas_DI)</f>
        <v>0.12789223200915245</v>
      </c>
      <c r="C2754" s="32">
        <f ca="1">((((1+B2754)^(A2754/252))/((1+B2753)^(A2753/252)))^(252/1))-1</f>
        <v>0.12578519840129876</v>
      </c>
      <c r="D2754" s="30">
        <v>0.12789223200915245</v>
      </c>
      <c r="E2754" s="31">
        <f ca="1">B2754-D2754</f>
        <v>0</v>
      </c>
    </row>
    <row r="2755" spans="1:5" x14ac:dyDescent="0.25">
      <c r="A2755" s="21">
        <v>2754</v>
      </c>
      <c r="B2755" s="5" cm="1">
        <f t="array" aca="1" ref="B2755" ca="1">interpolexp(A2755,serie_du,Taxas_DI)</f>
        <v>0.12789146621217107</v>
      </c>
      <c r="C2755" s="32">
        <f ca="1">((((1+B2755)^(A2755/252))/((1+B2754)^(A2754/252)))^(252/1))-1</f>
        <v>0.12578519695540735</v>
      </c>
      <c r="D2755" s="30">
        <v>0.12789146621217107</v>
      </c>
      <c r="E2755" s="31">
        <f ca="1">B2755-D2755</f>
        <v>0</v>
      </c>
    </row>
    <row r="2756" spans="1:5" x14ac:dyDescent="0.25">
      <c r="A2756" s="21">
        <v>2755</v>
      </c>
      <c r="B2756" s="5" cm="1">
        <f t="array" aca="1" ref="B2756" ca="1">interpolexp(A2756,serie_du,Taxas_DI)</f>
        <v>0.12789070097112276</v>
      </c>
      <c r="C2756" s="32">
        <f ca="1">((((1+B2756)^(A2756/252))/((1+B2755)^(A2755/252)))^(252/1))-1</f>
        <v>0.12578519552874901</v>
      </c>
      <c r="D2756" s="30">
        <v>0.12789070097112276</v>
      </c>
      <c r="E2756" s="31">
        <f ca="1">B2756-D2756</f>
        <v>0</v>
      </c>
    </row>
    <row r="2757" spans="1:5" x14ac:dyDescent="0.25">
      <c r="A2757" s="21">
        <v>2756</v>
      </c>
      <c r="B2757" s="5" cm="1">
        <f t="array" aca="1" ref="B2757" ca="1">interpolexp(A2757,serie_du,Taxas_DI)</f>
        <v>0.12788993628540801</v>
      </c>
      <c r="C2757" s="32">
        <f ca="1">((((1+B2757)^(A2757/252))/((1+B2756)^(A2756/252)))^(252/1))-1</f>
        <v>0.12578519411936528</v>
      </c>
      <c r="D2757" s="30">
        <v>0.12788993628540801</v>
      </c>
      <c r="E2757" s="31">
        <f ca="1">B2757-D2757</f>
        <v>0</v>
      </c>
    </row>
    <row r="2758" spans="1:5" x14ac:dyDescent="0.25">
      <c r="A2758" s="21">
        <v>2757</v>
      </c>
      <c r="B2758" s="5" cm="1">
        <f t="array" aca="1" ref="B2758" ca="1">interpolexp(A2758,serie_du,Taxas_DI)</f>
        <v>0.1278891721544273</v>
      </c>
      <c r="C2758" s="32">
        <f ca="1">((((1+B2758)^(A2758/252))/((1+B2757)^(A2757/252)))^(252/1))-1</f>
        <v>0.12578519272438671</v>
      </c>
      <c r="D2758" s="30">
        <v>0.1278891721544273</v>
      </c>
      <c r="E2758" s="31">
        <f ca="1">B2758-D2758</f>
        <v>0</v>
      </c>
    </row>
    <row r="2759" spans="1:5" x14ac:dyDescent="0.25">
      <c r="A2759" s="21">
        <v>2758</v>
      </c>
      <c r="B2759" s="5" cm="1">
        <f t="array" aca="1" ref="B2759" ca="1">interpolexp(A2759,serie_du,Taxas_DI)</f>
        <v>0.1278884085775811</v>
      </c>
      <c r="C2759" s="32">
        <f ca="1">((((1+B2759)^(A2759/252))/((1+B2758)^(A2758/252)))^(252/1))-1</f>
        <v>0.12578519134185151</v>
      </c>
      <c r="D2759" s="30">
        <v>0.1278884085775811</v>
      </c>
      <c r="E2759" s="31">
        <f ca="1">B2759-D2759</f>
        <v>0</v>
      </c>
    </row>
    <row r="2760" spans="1:5" x14ac:dyDescent="0.25">
      <c r="A2760" s="21">
        <v>2759</v>
      </c>
      <c r="B2760" s="5" cm="1">
        <f t="array" aca="1" ref="B2760" ca="1">interpolexp(A2760,serie_du,Taxas_DI)</f>
        <v>0.12788764555422549</v>
      </c>
      <c r="C2760" s="32">
        <f ca="1">((((1+B2760)^(A2760/252))/((1+B2759)^(A2759/252)))^(252/1))-1</f>
        <v>0.12578518984668263</v>
      </c>
      <c r="D2760" s="30">
        <v>0.12788764555422549</v>
      </c>
      <c r="E2760" s="31">
        <f ca="1">B2760-D2760</f>
        <v>0</v>
      </c>
    </row>
    <row r="2761" spans="1:5" x14ac:dyDescent="0.25">
      <c r="A2761" s="21">
        <v>2760</v>
      </c>
      <c r="B2761" s="5" cm="1">
        <f t="array" aca="1" ref="B2761" ca="1">interpolexp(A2761,serie_du,Taxas_DI)</f>
        <v>0.12788688308382756</v>
      </c>
      <c r="C2761" s="32">
        <f ca="1">((((1+B2761)^(A2761/252))/((1+B2760)^(A2760/252)))^(252/1))-1</f>
        <v>0.1257851885425274</v>
      </c>
      <c r="D2761" s="30">
        <v>0.12788688308382756</v>
      </c>
      <c r="E2761" s="31">
        <f ca="1">B2761-D2761</f>
        <v>0</v>
      </c>
    </row>
    <row r="2762" spans="1:5" x14ac:dyDescent="0.25">
      <c r="A2762" s="21">
        <v>2761</v>
      </c>
      <c r="B2762" s="5" cm="1">
        <f t="array" aca="1" ref="B2762" ca="1">interpolexp(A2762,serie_du,Taxas_DI)</f>
        <v>0.12788612116574338</v>
      </c>
      <c r="C2762" s="32">
        <f ca="1">((((1+B2762)^(A2762/252))/((1+B2761)^(A2761/252)))^(252/1))-1</f>
        <v>0.12578518712099207</v>
      </c>
      <c r="D2762" s="30">
        <v>0.12788612116574338</v>
      </c>
      <c r="E2762" s="31">
        <f ca="1">B2762-D2762</f>
        <v>0</v>
      </c>
    </row>
    <row r="2763" spans="1:5" x14ac:dyDescent="0.25">
      <c r="A2763" s="21">
        <v>2762</v>
      </c>
      <c r="B2763" s="5" cm="1">
        <f t="array" aca="1" ref="B2763" ca="1">interpolexp(A2763,serie_du,Taxas_DI)</f>
        <v>0.12788535979935123</v>
      </c>
      <c r="C2763" s="32">
        <f ca="1">((((1+B2763)^(A2763/252))/((1+B2762)^(A2762/252)))^(252/1))-1</f>
        <v>0.12578518564097552</v>
      </c>
      <c r="D2763" s="30">
        <v>0.12788535979935123</v>
      </c>
      <c r="E2763" s="31">
        <f ca="1">B2763-D2763</f>
        <v>0</v>
      </c>
    </row>
    <row r="2764" spans="1:5" x14ac:dyDescent="0.25">
      <c r="A2764" s="21">
        <v>2763</v>
      </c>
      <c r="B2764" s="5" cm="1">
        <f t="array" aca="1" ref="B2764" ca="1">interpolexp(A2764,serie_du,Taxas_DI)</f>
        <v>0.12788459898411819</v>
      </c>
      <c r="C2764" s="32">
        <f ca="1">((((1+B2764)^(A2764/252))/((1+B2763)^(A2763/252)))^(252/1))-1</f>
        <v>0.12578518434476771</v>
      </c>
      <c r="D2764" s="30">
        <v>0.12788459898411819</v>
      </c>
      <c r="E2764" s="31">
        <f ca="1">B2764-D2764</f>
        <v>0</v>
      </c>
    </row>
    <row r="2765" spans="1:5" x14ac:dyDescent="0.25">
      <c r="A2765" s="21">
        <v>2764</v>
      </c>
      <c r="B2765" s="5" cm="1">
        <f t="array" aca="1" ref="B2765" ca="1">interpolexp(A2765,serie_du,Taxas_DI)</f>
        <v>0.12788383871937814</v>
      </c>
      <c r="C2765" s="32">
        <f ca="1">((((1+B2765)^(A2765/252))/((1+B2764)^(A2764/252)))^(252/1))-1</f>
        <v>0.12578518286267237</v>
      </c>
      <c r="D2765" s="30">
        <v>0.12788383871937814</v>
      </c>
      <c r="E2765" s="31">
        <f ca="1">B2765-D2765</f>
        <v>0</v>
      </c>
    </row>
    <row r="2766" spans="1:5" x14ac:dyDescent="0.25">
      <c r="A2766" s="21">
        <v>2765</v>
      </c>
      <c r="B2766" s="5" cm="1">
        <f t="array" aca="1" ref="B2766" ca="1">interpolexp(A2766,serie_du,Taxas_DI)</f>
        <v>0.12788307900457596</v>
      </c>
      <c r="C2766" s="32">
        <f ca="1">((((1+B2766)^(A2766/252))/((1+B2765)^(A2765/252)))^(252/1))-1</f>
        <v>0.12578518149857199</v>
      </c>
      <c r="D2766" s="30">
        <v>0.12788307900457596</v>
      </c>
      <c r="E2766" s="31">
        <f ca="1">B2766-D2766</f>
        <v>0</v>
      </c>
    </row>
    <row r="2767" spans="1:5" x14ac:dyDescent="0.25">
      <c r="A2767" s="21">
        <v>2766</v>
      </c>
      <c r="B2767" s="5" cm="1">
        <f t="array" aca="1" ref="B2767" ca="1">interpolexp(A2767,serie_du,Taxas_DI)</f>
        <v>0.12788231983911214</v>
      </c>
      <c r="C2767" s="32">
        <f ca="1">((((1+B2767)^(A2767/252))/((1+B2766)^(A2766/252)))^(252/1))-1</f>
        <v>0.12578518012744344</v>
      </c>
      <c r="D2767" s="30">
        <v>0.12788231983911214</v>
      </c>
      <c r="E2767" s="31">
        <f ca="1">B2767-D2767</f>
        <v>0</v>
      </c>
    </row>
    <row r="2768" spans="1:5" x14ac:dyDescent="0.25">
      <c r="A2768" s="21">
        <v>2767</v>
      </c>
      <c r="B2768" s="5" cm="1">
        <f t="array" aca="1" ref="B2768" ca="1">interpolexp(A2768,serie_du,Taxas_DI)</f>
        <v>0.12788156122238714</v>
      </c>
      <c r="C2768" s="32">
        <f ca="1">((((1+B2768)^(A2768/252))/((1+B2767)^(A2767/252)))^(252/1))-1</f>
        <v>0.12578517874711825</v>
      </c>
      <c r="D2768" s="30">
        <v>0.12788156122238714</v>
      </c>
      <c r="E2768" s="31">
        <f ca="1">B2768-D2768</f>
        <v>0</v>
      </c>
    </row>
    <row r="2769" spans="1:5" x14ac:dyDescent="0.25">
      <c r="A2769" s="21">
        <v>2768</v>
      </c>
      <c r="B2769" s="5" cm="1">
        <f t="array" aca="1" ref="B2769" ca="1">interpolexp(A2769,serie_du,Taxas_DI)</f>
        <v>0.12788080315377925</v>
      </c>
      <c r="C2769" s="32">
        <f ca="1">((((1+B2769)^(A2769/252))/((1+B2768)^(A2768/252)))^(252/1))-1</f>
        <v>0.12578517729364314</v>
      </c>
      <c r="D2769" s="30">
        <v>0.12788080315377925</v>
      </c>
      <c r="E2769" s="31">
        <f ca="1">B2769-D2769</f>
        <v>0</v>
      </c>
    </row>
    <row r="2770" spans="1:5" x14ac:dyDescent="0.25">
      <c r="A2770" s="21">
        <v>2769</v>
      </c>
      <c r="B2770" s="5" cm="1">
        <f t="array" aca="1" ref="B2770" ca="1">interpolexp(A2770,serie_du,Taxas_DI)</f>
        <v>0.12788004563273336</v>
      </c>
      <c r="C2770" s="32">
        <f ca="1">((((1+B2770)^(A2770/252))/((1+B2769)^(A2769/252)))^(252/1))-1</f>
        <v>0.12578517594878913</v>
      </c>
      <c r="D2770" s="30">
        <v>0.12788004563273336</v>
      </c>
      <c r="E2770" s="31">
        <f ca="1">B2770-D2770</f>
        <v>0</v>
      </c>
    </row>
    <row r="2771" spans="1:5" x14ac:dyDescent="0.25">
      <c r="A2771" s="21">
        <v>2770</v>
      </c>
      <c r="B2771" s="5" cm="1">
        <f t="array" aca="1" ref="B2771" ca="1">interpolexp(A2771,serie_du,Taxas_DI)</f>
        <v>0.12787928865862774</v>
      </c>
      <c r="C2771" s="32">
        <f ca="1">((((1+B2771)^(A2771/252))/((1+B2770)^(A2770/252)))^(252/1))-1</f>
        <v>0.12578517452613336</v>
      </c>
      <c r="D2771" s="30">
        <v>0.12787928865862774</v>
      </c>
      <c r="E2771" s="31">
        <f ca="1">B2771-D2771</f>
        <v>0</v>
      </c>
    </row>
    <row r="2772" spans="1:5" x14ac:dyDescent="0.25">
      <c r="A2772" s="21">
        <v>2771</v>
      </c>
      <c r="B2772" s="5" cm="1">
        <f t="array" aca="1" ref="B2772" ca="1">interpolexp(A2772,serie_du,Taxas_DI)</f>
        <v>0.12787853223088508</v>
      </c>
      <c r="C2772" s="32">
        <f ca="1">((((1+B2772)^(A2772/252))/((1+B2771)^(A2771/252)))^(252/1))-1</f>
        <v>0.12578517314595561</v>
      </c>
      <c r="D2772" s="30">
        <v>0.12787853223088508</v>
      </c>
      <c r="E2772" s="31">
        <f ca="1">B2772-D2772</f>
        <v>0</v>
      </c>
    </row>
    <row r="2773" spans="1:5" x14ac:dyDescent="0.25">
      <c r="A2773" s="21">
        <v>2772</v>
      </c>
      <c r="B2773" s="5" cm="1">
        <f t="array" aca="1" ref="B2773" ca="1">interpolexp(A2773,serie_du,Taxas_DI)</f>
        <v>0.12787777634892805</v>
      </c>
      <c r="C2773" s="32">
        <f ca="1">((((1+B2773)^(A2773/252))/((1+B2772)^(A2772/252)))^(252/1))-1</f>
        <v>0.12578517180608029</v>
      </c>
      <c r="D2773" s="30">
        <v>0.12787777634892805</v>
      </c>
      <c r="E2773" s="31">
        <f ca="1">B2773-D2773</f>
        <v>0</v>
      </c>
    </row>
    <row r="2774" spans="1:5" x14ac:dyDescent="0.25">
      <c r="A2774" s="21">
        <v>2773</v>
      </c>
      <c r="B2774" s="5" cm="1">
        <f t="array" aca="1" ref="B2774" ca="1">interpolexp(A2774,serie_du,Taxas_DI)</f>
        <v>0.12787702101213494</v>
      </c>
      <c r="C2774" s="32">
        <f ca="1">((((1+B2774)^(A2774/252))/((1+B2773)^(A2773/252)))^(252/1))-1</f>
        <v>0.12578517038115677</v>
      </c>
      <c r="D2774" s="30">
        <v>0.12787702101213494</v>
      </c>
      <c r="E2774" s="31">
        <f ca="1">B2774-D2774</f>
        <v>0</v>
      </c>
    </row>
    <row r="2775" spans="1:5" x14ac:dyDescent="0.25">
      <c r="A2775" s="21">
        <v>2774</v>
      </c>
      <c r="B2775" s="5" cm="1">
        <f t="array" aca="1" ref="B2775" ca="1">interpolexp(A2775,serie_du,Taxas_DI)</f>
        <v>0.12787626621992843</v>
      </c>
      <c r="C2775" s="32">
        <f ca="1">((((1+B2775)^(A2775/252))/((1+B2774)^(A2774/252)))^(252/1))-1</f>
        <v>0.1257851689915821</v>
      </c>
      <c r="D2775" s="30">
        <v>0.12787626621992843</v>
      </c>
      <c r="E2775" s="31">
        <f ca="1">B2775-D2775</f>
        <v>0</v>
      </c>
    </row>
    <row r="2776" spans="1:5" x14ac:dyDescent="0.25">
      <c r="A2776" s="21">
        <v>2775</v>
      </c>
      <c r="B2776" s="5" cm="1">
        <f t="array" aca="1" ref="B2776" ca="1">interpolexp(A2776,serie_du,Taxas_DI)</f>
        <v>0.12787551197170899</v>
      </c>
      <c r="C2776" s="32">
        <f ca="1">((((1+B2776)^(A2776/252))/((1+B2775)^(A2775/252)))^(252/1))-1</f>
        <v>0.12578516757383862</v>
      </c>
      <c r="D2776" s="30">
        <v>0.12787551197170899</v>
      </c>
      <c r="E2776" s="31">
        <f ca="1">B2776-D2776</f>
        <v>0</v>
      </c>
    </row>
    <row r="2777" spans="1:5" x14ac:dyDescent="0.25">
      <c r="A2777" s="21">
        <v>2776</v>
      </c>
      <c r="B2777" s="5" cm="1">
        <f t="array" aca="1" ref="B2777" ca="1">interpolexp(A2777,serie_du,Taxas_DI)</f>
        <v>0.12787475826692152</v>
      </c>
      <c r="C2777" s="32">
        <f ca="1">((((1+B2777)^(A2777/252))/((1+B2776)^(A2776/252)))^(252/1))-1</f>
        <v>0.12578516624818348</v>
      </c>
      <c r="D2777" s="30">
        <v>0.12787475826692152</v>
      </c>
      <c r="E2777" s="31">
        <f ca="1">B2777-D2777</f>
        <v>0</v>
      </c>
    </row>
    <row r="2778" spans="1:5" x14ac:dyDescent="0.25">
      <c r="A2778" s="21">
        <v>2777</v>
      </c>
      <c r="B2778" s="5" cm="1">
        <f t="array" aca="1" ref="B2778" ca="1">interpolexp(A2778,serie_du,Taxas_DI)</f>
        <v>0.12787400510496649</v>
      </c>
      <c r="C2778" s="32">
        <f ca="1">((((1+B2778)^(A2778/252))/((1+B2777)^(A2777/252)))^(252/1))-1</f>
        <v>0.12578516488975011</v>
      </c>
      <c r="D2778" s="30">
        <v>0.12787400510496649</v>
      </c>
      <c r="E2778" s="31">
        <f ca="1">B2778-D2778</f>
        <v>0</v>
      </c>
    </row>
    <row r="2779" spans="1:5" x14ac:dyDescent="0.25">
      <c r="A2779" s="21">
        <v>2778</v>
      </c>
      <c r="B2779" s="5" cm="1">
        <f t="array" aca="1" ref="B2779" ca="1">interpolexp(A2779,serie_du,Taxas_DI)</f>
        <v>0.12787325248522219</v>
      </c>
      <c r="C2779" s="32">
        <f ca="1">((((1+B2779)^(A2779/252))/((1+B2778)^(A2778/252)))^(252/1))-1</f>
        <v>0.12578516343419976</v>
      </c>
      <c r="D2779" s="30">
        <v>0.12787325248522219</v>
      </c>
      <c r="E2779" s="31">
        <f ca="1">B2779-D2779</f>
        <v>0</v>
      </c>
    </row>
    <row r="2780" spans="1:5" x14ac:dyDescent="0.25">
      <c r="A2780" s="21">
        <v>2779</v>
      </c>
      <c r="B2780" s="5" cm="1">
        <f t="array" aca="1" ref="B2780" ca="1">interpolexp(A2780,serie_du,Taxas_DI)</f>
        <v>0.1278725004071557</v>
      </c>
      <c r="C2780" s="32">
        <f ca="1">((((1+B2780)^(A2780/252))/((1+B2779)^(A2779/252)))^(252/1))-1</f>
        <v>0.12578516212566893</v>
      </c>
      <c r="D2780" s="30">
        <v>0.1278725004071557</v>
      </c>
      <c r="E2780" s="31">
        <f ca="1">B2780-D2780</f>
        <v>0</v>
      </c>
    </row>
    <row r="2781" spans="1:5" x14ac:dyDescent="0.25">
      <c r="A2781" s="21">
        <v>2780</v>
      </c>
      <c r="B2781" s="5" cm="1">
        <f t="array" aca="1" ref="B2781" ca="1">interpolexp(A2781,serie_du,Taxas_DI)</f>
        <v>0.1278717488701453</v>
      </c>
      <c r="C2781" s="32">
        <f ca="1">((((1+B2781)^(A2781/252))/((1+B2780)^(A2780/252)))^(252/1))-1</f>
        <v>0.12578516071541501</v>
      </c>
      <c r="D2781" s="30">
        <v>0.1278717488701453</v>
      </c>
      <c r="E2781" s="31">
        <f ca="1">B2781-D2781</f>
        <v>0</v>
      </c>
    </row>
    <row r="2782" spans="1:5" x14ac:dyDescent="0.25">
      <c r="A2782" s="21">
        <v>2781</v>
      </c>
      <c r="B2782" s="5" cm="1">
        <f t="array" aca="1" ref="B2782" ca="1">interpolexp(A2782,serie_du,Taxas_DI)</f>
        <v>0.12787099787363587</v>
      </c>
      <c r="C2782" s="32">
        <f ca="1">((((1+B2782)^(A2782/252))/((1+B2781)^(A2781/252)))^(252/1))-1</f>
        <v>0.12578515938591428</v>
      </c>
      <c r="D2782" s="30">
        <v>0.12787099787363587</v>
      </c>
      <c r="E2782" s="31">
        <f ca="1">B2782-D2782</f>
        <v>0</v>
      </c>
    </row>
    <row r="2783" spans="1:5" x14ac:dyDescent="0.25">
      <c r="A2783" s="21">
        <v>2782</v>
      </c>
      <c r="B2783" s="5" cm="1">
        <f t="array" aca="1" ref="B2783" ca="1">interpolexp(A2783,serie_du,Taxas_DI)</f>
        <v>0.1278702474170057</v>
      </c>
      <c r="C2783" s="32">
        <f ca="1">((((1+B2783)^(A2783/252))/((1+B2782)^(A2782/252)))^(252/1))-1</f>
        <v>0.12578515794996781</v>
      </c>
      <c r="D2783" s="30">
        <v>0.1278702474170057</v>
      </c>
      <c r="E2783" s="31">
        <f ca="1">B2783-D2783</f>
        <v>0</v>
      </c>
    </row>
    <row r="2784" spans="1:5" x14ac:dyDescent="0.25">
      <c r="A2784" s="21">
        <v>2783</v>
      </c>
      <c r="B2784" s="5" cm="1">
        <f t="array" aca="1" ref="B2784" ca="1">interpolexp(A2784,serie_du,Taxas_DI)</f>
        <v>0.12786949749972187</v>
      </c>
      <c r="C2784" s="32">
        <f ca="1">((((1+B2784)^(A2784/252))/((1+B2783)^(A2783/252)))^(252/1))-1</f>
        <v>0.12578515665192391</v>
      </c>
      <c r="D2784" s="30">
        <v>0.12786949749972187</v>
      </c>
      <c r="E2784" s="31">
        <f ca="1">B2784-D2784</f>
        <v>0</v>
      </c>
    </row>
    <row r="2785" spans="1:5" x14ac:dyDescent="0.25">
      <c r="A2785" s="21">
        <v>2784</v>
      </c>
      <c r="B2785" s="5" cm="1">
        <f t="array" aca="1" ref="B2785" ca="1">interpolexp(A2785,serie_du,Taxas_DI)</f>
        <v>0.12786874812116267</v>
      </c>
      <c r="C2785" s="32">
        <f ca="1">((((1+B2785)^(A2785/252))/((1+B2784)^(A2784/252)))^(252/1))-1</f>
        <v>0.12578515524259748</v>
      </c>
      <c r="D2785" s="30">
        <v>0.12786874812116267</v>
      </c>
      <c r="E2785" s="31">
        <f ca="1">B2785-D2785</f>
        <v>0</v>
      </c>
    </row>
    <row r="2786" spans="1:5" x14ac:dyDescent="0.25">
      <c r="A2786" s="21">
        <v>2785</v>
      </c>
      <c r="B2786" s="5" cm="1">
        <f t="array" aca="1" ref="B2786" ca="1">interpolexp(A2786,serie_du,Taxas_DI)</f>
        <v>0.12786873057710757</v>
      </c>
      <c r="C2786" s="32">
        <f ca="1">((((1+B2786)^(A2786/252))/((1+B2785)^(A2785/252)))^(252/1))-1</f>
        <v>0.12781988898570051</v>
      </c>
      <c r="D2786" s="30">
        <v>0.12786873057710757</v>
      </c>
      <c r="E2786" s="31">
        <f ca="1">B2786-D2786</f>
        <v>0</v>
      </c>
    </row>
    <row r="2787" spans="1:5" x14ac:dyDescent="0.25">
      <c r="A2787" s="21">
        <v>2786</v>
      </c>
      <c r="B2787" s="5" cm="1">
        <f t="array" aca="1" ref="B2787" ca="1">interpolexp(A2787,serie_du,Taxas_DI)</f>
        <v>0.12786871304566461</v>
      </c>
      <c r="C2787" s="32">
        <f ca="1">((((1+B2787)^(A2787/252))/((1+B2786)^(A2786/252)))^(252/1))-1</f>
        <v>0.12781988903415309</v>
      </c>
      <c r="D2787" s="30">
        <v>0.12786871304566461</v>
      </c>
      <c r="E2787" s="31">
        <f ca="1">B2787-D2787</f>
        <v>0</v>
      </c>
    </row>
    <row r="2788" spans="1:5" x14ac:dyDescent="0.25">
      <c r="A2788" s="21">
        <v>2787</v>
      </c>
      <c r="B2788" s="5" cm="1">
        <f t="array" aca="1" ref="B2788" ca="1">interpolexp(A2788,serie_du,Taxas_DI)</f>
        <v>0.12786869552678937</v>
      </c>
      <c r="C2788" s="32">
        <f ca="1">((((1+B2788)^(A2788/252))/((1+B2787)^(A2787/252)))^(252/1))-1</f>
        <v>0.12781988899680408</v>
      </c>
      <c r="D2788" s="30">
        <v>0.12786869552678937</v>
      </c>
      <c r="E2788" s="31">
        <f ca="1">B2788-D2788</f>
        <v>0</v>
      </c>
    </row>
    <row r="2789" spans="1:5" x14ac:dyDescent="0.25">
      <c r="A2789" s="21">
        <v>2788</v>
      </c>
      <c r="B2789" s="5" cm="1">
        <f t="array" aca="1" ref="B2789" ca="1">interpolexp(A2789,serie_du,Taxas_DI)</f>
        <v>0.12786867802048185</v>
      </c>
      <c r="C2789" s="32">
        <f ca="1">((((1+B2789)^(A2789/252))/((1+B2788)^(A2788/252)))^(252/1))-1</f>
        <v>0.12781988899711716</v>
      </c>
      <c r="D2789" s="30">
        <v>0.12786867802048185</v>
      </c>
      <c r="E2789" s="31">
        <f ca="1">B2789-D2789</f>
        <v>0</v>
      </c>
    </row>
    <row r="2790" spans="1:5" x14ac:dyDescent="0.25">
      <c r="A2790" s="21">
        <v>2789</v>
      </c>
      <c r="B2790" s="5" cm="1">
        <f t="array" aca="1" ref="B2790" ca="1">interpolexp(A2790,serie_du,Taxas_DI)</f>
        <v>0.12786866052674206</v>
      </c>
      <c r="C2790" s="32">
        <f ca="1">((((1+B2790)^(A2790/252))/((1+B2789)^(A2789/252)))^(252/1))-1</f>
        <v>0.127819889035097</v>
      </c>
      <c r="D2790" s="30">
        <v>0.12786866052674206</v>
      </c>
      <c r="E2790" s="31">
        <f ca="1">B2790-D2790</f>
        <v>0</v>
      </c>
    </row>
    <row r="2791" spans="1:5" x14ac:dyDescent="0.25">
      <c r="A2791" s="21">
        <v>2790</v>
      </c>
      <c r="B2791" s="5" cm="1">
        <f t="array" aca="1" ref="B2791" ca="1">interpolexp(A2791,serie_du,Taxas_DI)</f>
        <v>0.12786864304552559</v>
      </c>
      <c r="C2791" s="32">
        <f ca="1">((((1+B2791)^(A2791/252))/((1+B2790)^(A2790/252)))^(252/1))-1</f>
        <v>0.12781988898690111</v>
      </c>
      <c r="D2791" s="30">
        <v>0.12786864304552559</v>
      </c>
      <c r="E2791" s="31">
        <f ca="1">B2791-D2791</f>
        <v>0</v>
      </c>
    </row>
    <row r="2792" spans="1:5" x14ac:dyDescent="0.25">
      <c r="A2792" s="21">
        <v>2791</v>
      </c>
      <c r="B2792" s="5" cm="1">
        <f t="array" aca="1" ref="B2792" ca="1">interpolexp(A2792,serie_du,Taxas_DI)</f>
        <v>0.12786862557683243</v>
      </c>
      <c r="C2792" s="32">
        <f ca="1">((((1+B2792)^(A2792/252))/((1+B2791)^(A2791/252)))^(252/1))-1</f>
        <v>0.12781988897630203</v>
      </c>
      <c r="D2792" s="30">
        <v>0.12786862557683243</v>
      </c>
      <c r="E2792" s="31">
        <f ca="1">B2792-D2792</f>
        <v>0</v>
      </c>
    </row>
    <row r="2793" spans="1:5" x14ac:dyDescent="0.25">
      <c r="A2793" s="21">
        <v>2792</v>
      </c>
      <c r="B2793" s="5" cm="1">
        <f t="array" aca="1" ref="B2793" ca="1">interpolexp(A2793,serie_du,Taxas_DI)</f>
        <v>0.12786860812066259</v>
      </c>
      <c r="C2793" s="32">
        <f ca="1">((((1+B2793)^(A2793/252))/((1+B2792)^(A2792/252)))^(252/1))-1</f>
        <v>0.12781988900326247</v>
      </c>
      <c r="D2793" s="30">
        <v>0.12786860812066259</v>
      </c>
      <c r="E2793" s="31">
        <f ca="1">B2793-D2793</f>
        <v>0</v>
      </c>
    </row>
    <row r="2794" spans="1:5" x14ac:dyDescent="0.25">
      <c r="A2794" s="21">
        <v>2793</v>
      </c>
      <c r="B2794" s="5" cm="1">
        <f t="array" aca="1" ref="B2794" ca="1">interpolexp(A2794,serie_du,Taxas_DI)</f>
        <v>0.12786859067699385</v>
      </c>
      <c r="C2794" s="32">
        <f ca="1">((((1+B2794)^(A2794/252))/((1+B2793)^(A2793/252)))^(252/1))-1</f>
        <v>0.12781988900583996</v>
      </c>
      <c r="D2794" s="30">
        <v>0.12786859067699385</v>
      </c>
      <c r="E2794" s="31">
        <f ca="1">B2794-D2794</f>
        <v>0</v>
      </c>
    </row>
    <row r="2795" spans="1:5" x14ac:dyDescent="0.25">
      <c r="A2795" s="21">
        <v>2794</v>
      </c>
      <c r="B2795" s="5" cm="1">
        <f t="array" aca="1" ref="B2795" ca="1">interpolexp(A2795,serie_du,Taxas_DI)</f>
        <v>0.12786857324582623</v>
      </c>
      <c r="C2795" s="32">
        <f ca="1">((((1+B2795)^(A2795/252))/((1+B2794)^(A2794/252)))^(252/1))-1</f>
        <v>0.12781988904580666</v>
      </c>
      <c r="D2795" s="30">
        <v>0.12786857324582623</v>
      </c>
      <c r="E2795" s="31">
        <f ca="1">B2795-D2795</f>
        <v>0</v>
      </c>
    </row>
    <row r="2796" spans="1:5" x14ac:dyDescent="0.25">
      <c r="A2796" s="21">
        <v>2795</v>
      </c>
      <c r="B2796" s="5" cm="1">
        <f t="array" aca="1" ref="B2796" ca="1">interpolexp(A2796,serie_du,Taxas_DI)</f>
        <v>0.12786855582711532</v>
      </c>
      <c r="C2796" s="32">
        <f ca="1">((((1+B2796)^(A2796/252))/((1+B2795)^(A2795/252)))^(252/1))-1</f>
        <v>0.12781988899920083</v>
      </c>
      <c r="D2796" s="30">
        <v>0.12786855582711532</v>
      </c>
      <c r="E2796" s="31">
        <f ca="1">B2796-D2796</f>
        <v>0</v>
      </c>
    </row>
    <row r="2797" spans="1:5" x14ac:dyDescent="0.25">
      <c r="A2797" s="21">
        <v>2796</v>
      </c>
      <c r="B2797" s="5" cm="1">
        <f t="array" aca="1" ref="B2797" ca="1">interpolexp(A2797,serie_du,Taxas_DI)</f>
        <v>0.1278685384208611</v>
      </c>
      <c r="C2797" s="32">
        <f ca="1">((((1+B2797)^(A2797/252))/((1+B2796)^(A2796/252)))^(252/1))-1</f>
        <v>0.12781988898991914</v>
      </c>
      <c r="D2797" s="30">
        <v>0.1278685384208611</v>
      </c>
      <c r="E2797" s="31">
        <f ca="1">B2797-D2797</f>
        <v>0</v>
      </c>
    </row>
    <row r="2798" spans="1:5" x14ac:dyDescent="0.25">
      <c r="A2798" s="21">
        <v>2797</v>
      </c>
      <c r="B2798" s="5" cm="1">
        <f t="array" aca="1" ref="B2798" ca="1">interpolexp(A2798,serie_du,Taxas_DI)</f>
        <v>0.12786852102706359</v>
      </c>
      <c r="C2798" s="32">
        <f ca="1">((((1+B2798)^(A2798/252))/((1+B2797)^(A2797/252)))^(252/1))-1</f>
        <v>0.12781988901807595</v>
      </c>
      <c r="D2798" s="30">
        <v>0.12786852102706359</v>
      </c>
      <c r="E2798" s="31">
        <f ca="1">B2798-D2798</f>
        <v>0</v>
      </c>
    </row>
    <row r="2799" spans="1:5" x14ac:dyDescent="0.25">
      <c r="A2799" s="21">
        <v>2798</v>
      </c>
      <c r="B2799" s="5" cm="1">
        <f t="array" aca="1" ref="B2799" ca="1">interpolexp(A2799,serie_du,Taxas_DI)</f>
        <v>0.12786850364567837</v>
      </c>
      <c r="C2799" s="32">
        <f ca="1">((((1+B2799)^(A2799/252))/((1+B2798)^(A2798/252)))^(252/1))-1</f>
        <v>0.1278198889593416</v>
      </c>
      <c r="D2799" s="30">
        <v>0.12786850364567837</v>
      </c>
      <c r="E2799" s="31">
        <f ca="1">B2799-D2799</f>
        <v>0</v>
      </c>
    </row>
    <row r="2800" spans="1:5" x14ac:dyDescent="0.25">
      <c r="A2800" s="21">
        <v>2799</v>
      </c>
      <c r="B2800" s="5" cm="1">
        <f t="array" aca="1" ref="B2800" ca="1">interpolexp(A2800,serie_du,Taxas_DI)</f>
        <v>0.12786848627672764</v>
      </c>
      <c r="C2800" s="32">
        <f ca="1">((((1+B2800)^(A2800/252))/((1+B2799)^(A2799/252)))^(252/1))-1</f>
        <v>0.12781988900001839</v>
      </c>
      <c r="D2800" s="30">
        <v>0.12786848627672764</v>
      </c>
      <c r="E2800" s="31">
        <f ca="1">B2800-D2800</f>
        <v>0</v>
      </c>
    </row>
    <row r="2801" spans="1:5" x14ac:dyDescent="0.25">
      <c r="A2801" s="21">
        <v>2800</v>
      </c>
      <c r="B2801" s="5" cm="1">
        <f t="array" aca="1" ref="B2801" ca="1">interpolexp(A2801,serie_du,Taxas_DI)</f>
        <v>0.12786846892018922</v>
      </c>
      <c r="C2801" s="32">
        <f ca="1">((((1+B2801)^(A2801/252))/((1+B2800)^(A2800/252)))^(252/1))-1</f>
        <v>0.12781988901574914</v>
      </c>
      <c r="D2801" s="30">
        <v>0.12786846892018922</v>
      </c>
      <c r="E2801" s="31">
        <f ca="1">B2801-D2801</f>
        <v>0</v>
      </c>
    </row>
    <row r="2802" spans="1:5" x14ac:dyDescent="0.25">
      <c r="A2802" s="21">
        <v>2801</v>
      </c>
      <c r="B2802" s="5" cm="1">
        <f t="array" aca="1" ref="B2802" ca="1">interpolexp(A2802,serie_du,Taxas_DI)</f>
        <v>0.12786845157604088</v>
      </c>
      <c r="C2802" s="32">
        <f ca="1">((((1+B2802)^(A2802/252))/((1+B2801)^(A2801/252)))^(252/1))-1</f>
        <v>0.12781988900660313</v>
      </c>
      <c r="D2802" s="30">
        <v>0.12786845157604088</v>
      </c>
      <c r="E2802" s="31">
        <f ca="1">B2802-D2802</f>
        <v>0</v>
      </c>
    </row>
    <row r="2803" spans="1:5" x14ac:dyDescent="0.25">
      <c r="A2803" s="21">
        <v>2802</v>
      </c>
      <c r="B2803" s="5" cm="1">
        <f t="array" aca="1" ref="B2803" ca="1">interpolexp(A2803,serie_du,Taxas_DI)</f>
        <v>0.12786843424426042</v>
      </c>
      <c r="C2803" s="32">
        <f ca="1">((((1+B2803)^(A2803/252))/((1+B2802)^(A2802/252)))^(252/1))-1</f>
        <v>0.12781988897227081</v>
      </c>
      <c r="D2803" s="30">
        <v>0.12786843424426042</v>
      </c>
      <c r="E2803" s="31">
        <f ca="1">B2803-D2803</f>
        <v>0</v>
      </c>
    </row>
    <row r="2804" spans="1:5" x14ac:dyDescent="0.25">
      <c r="A2804" s="21">
        <v>2803</v>
      </c>
      <c r="B2804" s="5" cm="1">
        <f t="array" aca="1" ref="B2804" ca="1">interpolexp(A2804,serie_du,Taxas_DI)</f>
        <v>0.12786841692484785</v>
      </c>
      <c r="C2804" s="32">
        <f ca="1">((((1+B2804)^(A2804/252))/((1+B2803)^(A2803/252)))^(252/1))-1</f>
        <v>0.12781988897523444</v>
      </c>
      <c r="D2804" s="30">
        <v>0.12786841692484785</v>
      </c>
      <c r="E2804" s="31">
        <f ca="1">B2804-D2804</f>
        <v>0</v>
      </c>
    </row>
    <row r="2805" spans="1:5" x14ac:dyDescent="0.25">
      <c r="A2805" s="21">
        <v>2804</v>
      </c>
      <c r="B2805" s="5" cm="1">
        <f t="array" aca="1" ref="B2805" ca="1">interpolexp(A2805,serie_du,Taxas_DI)</f>
        <v>0.12786839961780316</v>
      </c>
      <c r="C2805" s="32">
        <f ca="1">((((1+B2805)^(A2805/252))/((1+B2804)^(A2804/252)))^(252/1))-1</f>
        <v>0.12781988901518559</v>
      </c>
      <c r="D2805" s="30">
        <v>0.12786839961780316</v>
      </c>
      <c r="E2805" s="31">
        <f ca="1">B2805-D2805</f>
        <v>0</v>
      </c>
    </row>
    <row r="2806" spans="1:5" x14ac:dyDescent="0.25">
      <c r="A2806" s="21">
        <v>2805</v>
      </c>
      <c r="B2806" s="5" cm="1">
        <f t="array" aca="1" ref="B2806" ca="1">interpolexp(A2806,serie_du,Taxas_DI)</f>
        <v>0.12786838232308195</v>
      </c>
      <c r="C2806" s="32">
        <f ca="1">((((1+B2806)^(A2806/252))/((1+B2805)^(A2805/252)))^(252/1))-1</f>
        <v>0.127819888967734</v>
      </c>
      <c r="D2806" s="30">
        <v>0.12786838232308195</v>
      </c>
      <c r="E2806" s="31">
        <f ca="1">B2806-D2806</f>
        <v>0</v>
      </c>
    </row>
    <row r="2807" spans="1:5" x14ac:dyDescent="0.25">
      <c r="A2807" s="21">
        <v>2806</v>
      </c>
      <c r="B2807" s="5" cm="1">
        <f t="array" aca="1" ref="B2807" ca="1">interpolexp(A2807,serie_du,Taxas_DI)</f>
        <v>0.12786836504070642</v>
      </c>
      <c r="C2807" s="32">
        <f ca="1">((((1+B2807)^(A2807/252))/((1+B2806)^(A2806/252)))^(252/1))-1</f>
        <v>0.12781988901946884</v>
      </c>
      <c r="D2807" s="30">
        <v>0.12786836504070642</v>
      </c>
      <c r="E2807" s="31">
        <f ca="1">B2807-D2807</f>
        <v>0</v>
      </c>
    </row>
    <row r="2808" spans="1:5" x14ac:dyDescent="0.25">
      <c r="A2808" s="21">
        <v>2807</v>
      </c>
      <c r="B2808" s="5" cm="1">
        <f t="array" aca="1" ref="B2808" ca="1">interpolexp(A2808,serie_du,Taxas_DI)</f>
        <v>0.12786834777063216</v>
      </c>
      <c r="C2808" s="32">
        <f ca="1">((((1+B2808)^(A2808/252))/((1+B2807)^(A2807/252)))^(252/1))-1</f>
        <v>0.12781988898368923</v>
      </c>
      <c r="D2808" s="30">
        <v>0.12786834777063216</v>
      </c>
      <c r="E2808" s="31">
        <f ca="1">B2808-D2808</f>
        <v>0</v>
      </c>
    </row>
    <row r="2809" spans="1:5" x14ac:dyDescent="0.25">
      <c r="A2809" s="21">
        <v>2808</v>
      </c>
      <c r="B2809" s="5" cm="1">
        <f t="array" aca="1" ref="B2809" ca="1">interpolexp(A2809,serie_du,Taxas_DI)</f>
        <v>0.12786833051285917</v>
      </c>
      <c r="C2809" s="32">
        <f ca="1">((((1+B2809)^(A2809/252))/((1+B2808)^(A2808/252)))^(252/1))-1</f>
        <v>0.12781988898475682</v>
      </c>
      <c r="D2809" s="30">
        <v>0.12786833051285917</v>
      </c>
      <c r="E2809" s="31">
        <f ca="1">B2809-D2809</f>
        <v>0</v>
      </c>
    </row>
    <row r="2810" spans="1:5" x14ac:dyDescent="0.25">
      <c r="A2810" s="21">
        <v>2809</v>
      </c>
      <c r="B2810" s="5" cm="1">
        <f t="array" aca="1" ref="B2810" ca="1">interpolexp(A2810,serie_du,Taxas_DI)</f>
        <v>0.12786831326738746</v>
      </c>
      <c r="C2810" s="32">
        <f ca="1">((((1+B2810)^(A2810/252))/((1+B2809)^(A2809/252)))^(252/1))-1</f>
        <v>0.12781988902273667</v>
      </c>
      <c r="D2810" s="30">
        <v>0.12786831326738746</v>
      </c>
      <c r="E2810" s="31">
        <f ca="1">B2810-D2810</f>
        <v>0</v>
      </c>
    </row>
    <row r="2811" spans="1:5" x14ac:dyDescent="0.25">
      <c r="A2811" s="21">
        <v>2810</v>
      </c>
      <c r="B2811" s="5" cm="1">
        <f t="array" aca="1" ref="B2811" ca="1">interpolexp(A2811,serie_du,Taxas_DI)</f>
        <v>0.1278682960341726</v>
      </c>
      <c r="C2811" s="32">
        <f ca="1">((((1+B2811)^(A2811/252))/((1+B2810)^(A2810/252)))^(252/1))-1</f>
        <v>0.1278198889727713</v>
      </c>
      <c r="D2811" s="30">
        <v>0.1278682960341726</v>
      </c>
      <c r="E2811" s="31">
        <f ca="1">B2811-D2811</f>
        <v>0</v>
      </c>
    </row>
    <row r="2812" spans="1:5" x14ac:dyDescent="0.25">
      <c r="A2812" s="21">
        <v>2811</v>
      </c>
      <c r="B2812" s="5" cm="1">
        <f t="array" aca="1" ref="B2812" ca="1">interpolexp(A2812,serie_du,Taxas_DI)</f>
        <v>0.12786827881321461</v>
      </c>
      <c r="C2812" s="32">
        <f ca="1">((((1+B2812)^(A2812/252))/((1+B2811)^(A2811/252)))^(252/1))-1</f>
        <v>0.12781988895972218</v>
      </c>
      <c r="D2812" s="30">
        <v>0.12786827881321461</v>
      </c>
      <c r="E2812" s="31">
        <f ca="1">B2812-D2812</f>
        <v>0</v>
      </c>
    </row>
    <row r="2813" spans="1:5" x14ac:dyDescent="0.25">
      <c r="A2813" s="21">
        <v>2812</v>
      </c>
      <c r="B2813" s="5" cm="1">
        <f t="array" aca="1" ref="B2813" ca="1">interpolexp(A2813,serie_du,Taxas_DI)</f>
        <v>0.12786826160451348</v>
      </c>
      <c r="C2813" s="32">
        <f ca="1">((((1+B2813)^(A2813/252))/((1+B2812)^(A2812/252)))^(252/1))-1</f>
        <v>0.12781988898331242</v>
      </c>
      <c r="D2813" s="30">
        <v>0.12786826160451348</v>
      </c>
      <c r="E2813" s="31">
        <f ca="1">B2813-D2813</f>
        <v>0</v>
      </c>
    </row>
    <row r="2814" spans="1:5" x14ac:dyDescent="0.25">
      <c r="A2814" s="21">
        <v>2813</v>
      </c>
      <c r="B2814" s="5" cm="1">
        <f t="array" aca="1" ref="B2814" ca="1">interpolexp(A2814,serie_du,Taxas_DI)</f>
        <v>0.127868244408047</v>
      </c>
      <c r="C2814" s="32">
        <f ca="1">((((1+B2814)^(A2814/252))/((1+B2813)^(A2813/252)))^(252/1))-1</f>
        <v>0.12781988898129248</v>
      </c>
      <c r="D2814" s="30">
        <v>0.127868244408047</v>
      </c>
      <c r="E2814" s="31">
        <f ca="1">B2814-D2814</f>
        <v>0</v>
      </c>
    </row>
    <row r="2815" spans="1:5" x14ac:dyDescent="0.25">
      <c r="A2815" s="21">
        <v>2814</v>
      </c>
      <c r="B2815" s="5" cm="1">
        <f t="array" aca="1" ref="B2815" ca="1">interpolexp(A2815,serie_du,Taxas_DI)</f>
        <v>0.12786822722381519</v>
      </c>
      <c r="C2815" s="32">
        <f ca="1">((((1+B2815)^(A2815/252))/((1+B2814)^(A2814/252)))^(252/1))-1</f>
        <v>0.12781988901593766</v>
      </c>
      <c r="D2815" s="30">
        <v>0.12786822722381519</v>
      </c>
      <c r="E2815" s="31">
        <f ca="1">B2815-D2815</f>
        <v>0</v>
      </c>
    </row>
    <row r="2816" spans="1:5" x14ac:dyDescent="0.25">
      <c r="A2816" s="21">
        <v>2815</v>
      </c>
      <c r="B2816" s="5" cm="1">
        <f t="array" aca="1" ref="B2816" ca="1">interpolexp(A2816,serie_du,Taxas_DI)</f>
        <v>0.12786821005177362</v>
      </c>
      <c r="C2816" s="32">
        <f ca="1">((((1+B2816)^(A2816/252))/((1+B2815)^(A2815/252)))^(252/1))-1</f>
        <v>0.12781988896243179</v>
      </c>
      <c r="D2816" s="30">
        <v>0.12786821005177362</v>
      </c>
      <c r="E2816" s="31">
        <f ca="1">B2816-D2816</f>
        <v>0</v>
      </c>
    </row>
    <row r="2817" spans="1:5" x14ac:dyDescent="0.25">
      <c r="A2817" s="21">
        <v>2816</v>
      </c>
      <c r="B2817" s="5" cm="1">
        <f t="array" aca="1" ref="B2817" ca="1">interpolexp(A2817,serie_du,Taxas_DI)</f>
        <v>0.12786819289194451</v>
      </c>
      <c r="C2817" s="32">
        <f ca="1">((((1+B2817)^(A2817/252))/((1+B2816)^(A2816/252)))^(252/1))-1</f>
        <v>0.12781988900767116</v>
      </c>
      <c r="D2817" s="30">
        <v>0.12786819289194451</v>
      </c>
      <c r="E2817" s="31">
        <f ca="1">B2817-D2817</f>
        <v>0</v>
      </c>
    </row>
    <row r="2818" spans="1:5" x14ac:dyDescent="0.25">
      <c r="A2818" s="21">
        <v>2817</v>
      </c>
      <c r="B2818" s="5" cm="1">
        <f t="array" aca="1" ref="B2818" ca="1">interpolexp(A2818,serie_du,Taxas_DI)</f>
        <v>0.12786817574428344</v>
      </c>
      <c r="C2818" s="32">
        <f ca="1">((((1+B2818)^(A2818/252))/((1+B2817)^(A2817/252)))^(252/1))-1</f>
        <v>0.12781988896483787</v>
      </c>
      <c r="D2818" s="30">
        <v>0.12786817574428344</v>
      </c>
      <c r="E2818" s="31">
        <f ca="1">B2818-D2818</f>
        <v>0</v>
      </c>
    </row>
    <row r="2819" spans="1:5" x14ac:dyDescent="0.25">
      <c r="A2819" s="21">
        <v>2818</v>
      </c>
      <c r="B2819" s="5" cm="1">
        <f t="array" aca="1" ref="B2819" ca="1">interpolexp(A2819,serie_du,Taxas_DI)</f>
        <v>0.12786815860881262</v>
      </c>
      <c r="C2819" s="32">
        <f ca="1">((((1+B2819)^(A2819/252))/((1+B2818)^(A2818/252)))^(252/1))-1</f>
        <v>0.12781988902078734</v>
      </c>
      <c r="D2819" s="30">
        <v>0.12786815860881262</v>
      </c>
      <c r="E2819" s="31">
        <f ca="1">B2819-D2819</f>
        <v>0</v>
      </c>
    </row>
    <row r="2820" spans="1:5" x14ac:dyDescent="0.25">
      <c r="A2820" s="21">
        <v>2819</v>
      </c>
      <c r="B2820" s="5" cm="1">
        <f t="array" aca="1" ref="B2820" ca="1">interpolexp(A2820,serie_du,Taxas_DI)</f>
        <v>0.12786814148548764</v>
      </c>
      <c r="C2820" s="32">
        <f ca="1">((((1+B2820)^(A2820/252))/((1+B2819)^(A2819/252)))^(252/1))-1</f>
        <v>0.127819888988284</v>
      </c>
      <c r="D2820" s="30">
        <v>0.12786814148548764</v>
      </c>
      <c r="E2820" s="31">
        <f ca="1">B2820-D2820</f>
        <v>0</v>
      </c>
    </row>
    <row r="2821" spans="1:5" x14ac:dyDescent="0.25">
      <c r="A2821" s="21">
        <v>2820</v>
      </c>
      <c r="B2821" s="5" cm="1">
        <f t="array" aca="1" ref="B2821" ca="1">interpolexp(A2821,serie_du,Taxas_DI)</f>
        <v>0.1278681243743085</v>
      </c>
      <c r="C2821" s="32">
        <f ca="1">((((1+B2821)^(A2821/252))/((1+B2820)^(A2820/252)))^(252/1))-1</f>
        <v>0.12781988899206498</v>
      </c>
      <c r="D2821" s="30">
        <v>0.1278681243743085</v>
      </c>
      <c r="E2821" s="31">
        <f ca="1">B2821-D2821</f>
        <v>0</v>
      </c>
    </row>
    <row r="2822" spans="1:5" x14ac:dyDescent="0.25">
      <c r="A2822" s="21">
        <v>2821</v>
      </c>
      <c r="B2822" s="5" cm="1">
        <f t="array" aca="1" ref="B2822" ca="1">interpolexp(A2822,serie_du,Taxas_DI)</f>
        <v>0.127868107275253</v>
      </c>
      <c r="C2822" s="32">
        <f ca="1">((((1+B2822)^(A2822/252))/((1+B2821)^(A2821/252)))^(252/1))-1</f>
        <v>0.12781988896987984</v>
      </c>
      <c r="D2822" s="30">
        <v>0.127868107275253</v>
      </c>
      <c r="E2822" s="31">
        <f ca="1">B2822-D2822</f>
        <v>0</v>
      </c>
    </row>
    <row r="2823" spans="1:5" x14ac:dyDescent="0.25">
      <c r="A2823" s="21">
        <v>2822</v>
      </c>
      <c r="B2823" s="5" cm="1">
        <f t="array" aca="1" ref="B2823" ca="1">interpolexp(A2823,serie_du,Taxas_DI)</f>
        <v>0.12786809018832113</v>
      </c>
      <c r="C2823" s="32">
        <f ca="1">((((1+B2823)^(A2823/252))/((1+B2822)^(A2822/252)))^(252/1))-1</f>
        <v>0.12781988898387753</v>
      </c>
      <c r="D2823" s="30">
        <v>0.12786809018832113</v>
      </c>
      <c r="E2823" s="31">
        <f ca="1">B2823-D2823</f>
        <v>0</v>
      </c>
    </row>
    <row r="2824" spans="1:5" x14ac:dyDescent="0.25">
      <c r="A2824" s="21">
        <v>2823</v>
      </c>
      <c r="B2824" s="5" cm="1">
        <f t="array" aca="1" ref="B2824" ca="1">interpolexp(A2824,serie_du,Taxas_DI)</f>
        <v>0.12786807311349069</v>
      </c>
      <c r="C2824" s="32">
        <f ca="1">((((1+B2824)^(A2824/252))/((1+B2823)^(A2823/252)))^(252/1))-1</f>
        <v>0.12781988897170393</v>
      </c>
      <c r="D2824" s="30">
        <v>0.12786807311349069</v>
      </c>
      <c r="E2824" s="31">
        <f ca="1">B2824-D2824</f>
        <v>0</v>
      </c>
    </row>
    <row r="2825" spans="1:5" x14ac:dyDescent="0.25">
      <c r="A2825" s="21">
        <v>2824</v>
      </c>
      <c r="B2825" s="5" cm="1">
        <f t="array" aca="1" ref="B2825" ca="1">interpolexp(A2825,serie_du,Taxas_DI)</f>
        <v>0.12786805605076168</v>
      </c>
      <c r="C2825" s="32">
        <f ca="1">((((1+B2825)^(A2825/252))/((1+B2824)^(A2824/252)))^(252/1))-1</f>
        <v>0.1278198889955906</v>
      </c>
      <c r="D2825" s="30">
        <v>0.12786805605076168</v>
      </c>
      <c r="E2825" s="31">
        <f ca="1">B2825-D2825</f>
        <v>0</v>
      </c>
    </row>
    <row r="2826" spans="1:5" x14ac:dyDescent="0.25">
      <c r="A2826" s="21">
        <v>2825</v>
      </c>
      <c r="B2826" s="5" cm="1">
        <f t="array" aca="1" ref="B2826" ca="1">interpolexp(A2826,serie_du,Taxas_DI)</f>
        <v>0.12786803900008969</v>
      </c>
      <c r="C2826" s="32">
        <f ca="1">((((1+B2826)^(A2826/252))/((1+B2825)^(A2825/252)))^(252/1))-1</f>
        <v>0.12781988893061946</v>
      </c>
      <c r="D2826" s="30">
        <v>0.12786803900008969</v>
      </c>
      <c r="E2826" s="31">
        <f ca="1">B2826-D2826</f>
        <v>0</v>
      </c>
    </row>
    <row r="2827" spans="1:5" x14ac:dyDescent="0.25">
      <c r="A2827" s="21">
        <v>2826</v>
      </c>
      <c r="B2827" s="5" cm="1">
        <f t="array" aca="1" ref="B2827" ca="1">interpolexp(A2827,serie_du,Taxas_DI)</f>
        <v>0.12786802196151914</v>
      </c>
      <c r="C2827" s="32">
        <f ca="1">((((1+B2827)^(A2827/252))/((1+B2826)^(A2826/252)))^(252/1))-1</f>
        <v>0.12781988902708163</v>
      </c>
      <c r="D2827" s="30">
        <v>0.12786802196151914</v>
      </c>
      <c r="E2827" s="31">
        <f ca="1">B2827-D2827</f>
        <v>0</v>
      </c>
    </row>
    <row r="2828" spans="1:5" x14ac:dyDescent="0.25">
      <c r="A2828" s="21">
        <v>2827</v>
      </c>
      <c r="B2828" s="5" cm="1">
        <f t="array" aca="1" ref="B2828" ca="1">interpolexp(A2828,serie_du,Taxas_DI)</f>
        <v>0.1278680049349834</v>
      </c>
      <c r="C2828" s="32">
        <f ca="1">((((1+B2828)^(A2828/252))/((1+B2827)^(A2827/252)))^(252/1))-1</f>
        <v>0.12781988897170393</v>
      </c>
      <c r="D2828" s="30">
        <v>0.1278680049349834</v>
      </c>
      <c r="E2828" s="31">
        <f ca="1">B2828-D2828</f>
        <v>0</v>
      </c>
    </row>
    <row r="2829" spans="1:5" x14ac:dyDescent="0.25">
      <c r="A2829" s="21">
        <v>2828</v>
      </c>
      <c r="B2829" s="5" cm="1">
        <f t="array" aca="1" ref="B2829" ca="1">interpolexp(A2829,serie_du,Taxas_DI)</f>
        <v>0.12786798792048248</v>
      </c>
      <c r="C2829" s="32">
        <f ca="1">((((1+B2829)^(A2829/252))/((1+B2828)^(A2828/252)))^(252/1))-1</f>
        <v>0.12781988895240959</v>
      </c>
      <c r="D2829" s="30">
        <v>0.12786798792048248</v>
      </c>
      <c r="E2829" s="31">
        <f ca="1">B2829-D2829</f>
        <v>0</v>
      </c>
    </row>
    <row r="2830" spans="1:5" x14ac:dyDescent="0.25">
      <c r="A2830" s="21">
        <v>2829</v>
      </c>
      <c r="B2830" s="5" cm="1">
        <f t="array" aca="1" ref="B2830" ca="1">interpolexp(A2830,serie_du,Taxas_DI)</f>
        <v>0.12786797091801638</v>
      </c>
      <c r="C2830" s="32">
        <f ca="1">((((1+B2830)^(A2830/252))/((1+B2829)^(A2829/252)))^(252/1))-1</f>
        <v>0.12781988896918262</v>
      </c>
      <c r="D2830" s="30">
        <v>0.12786797091801638</v>
      </c>
      <c r="E2830" s="31">
        <f ca="1">B2830-D2830</f>
        <v>0</v>
      </c>
    </row>
    <row r="2831" spans="1:5" x14ac:dyDescent="0.25">
      <c r="A2831" s="21">
        <v>2830</v>
      </c>
      <c r="B2831" s="5" cm="1">
        <f t="array" aca="1" ref="B2831" ca="1">interpolexp(A2831,serie_du,Taxas_DI)</f>
        <v>0.12786795392756289</v>
      </c>
      <c r="C2831" s="32">
        <f ca="1">((((1+B2831)^(A2831/252))/((1+B2830)^(A2830/252)))^(252/1))-1</f>
        <v>0.12781988895915486</v>
      </c>
      <c r="D2831" s="30">
        <v>0.12786795392756289</v>
      </c>
      <c r="E2831" s="31">
        <f ca="1">B2831-D2831</f>
        <v>0</v>
      </c>
    </row>
    <row r="2832" spans="1:5" x14ac:dyDescent="0.25">
      <c r="A2832" s="21">
        <v>2831</v>
      </c>
      <c r="B2832" s="5" cm="1">
        <f t="array" aca="1" ref="B2832" ca="1">interpolexp(A2832,serie_du,Taxas_DI)</f>
        <v>0.12786793694912202</v>
      </c>
      <c r="C2832" s="32">
        <f ca="1">((((1+B2832)^(A2832/252))/((1+B2831)^(A2831/252)))^(252/1))-1</f>
        <v>0.12781988898532015</v>
      </c>
      <c r="D2832" s="30">
        <v>0.12786793694912202</v>
      </c>
      <c r="E2832" s="31">
        <f ca="1">B2832-D2832</f>
        <v>0</v>
      </c>
    </row>
    <row r="2833" spans="1:5" x14ac:dyDescent="0.25">
      <c r="A2833" s="21">
        <v>2832</v>
      </c>
      <c r="B2833" s="5" cm="1">
        <f t="array" aca="1" ref="B2833" ca="1">interpolexp(A2833,serie_du,Taxas_DI)</f>
        <v>0.12786791998267155</v>
      </c>
      <c r="C2833" s="32">
        <f ca="1">((((1+B2833)^(A2833/252))/((1+B2832)^(A2832/252)))^(252/1))-1</f>
        <v>0.12781988898450591</v>
      </c>
      <c r="D2833" s="30">
        <v>0.12786791998267155</v>
      </c>
      <c r="E2833" s="31">
        <f ca="1">B2833-D2833</f>
        <v>0</v>
      </c>
    </row>
    <row r="2834" spans="1:5" x14ac:dyDescent="0.25">
      <c r="A2834" s="21">
        <v>2833</v>
      </c>
      <c r="B2834" s="5" cm="1">
        <f t="array" aca="1" ref="B2834" ca="1">interpolexp(A2834,serie_du,Taxas_DI)</f>
        <v>0.12786790302818929</v>
      </c>
      <c r="C2834" s="32">
        <f ca="1">((((1+B2834)^(A2834/252))/((1+B2833)^(A2833/252)))^(252/1))-1</f>
        <v>0.12781988895688445</v>
      </c>
      <c r="D2834" s="30">
        <v>0.12786790302818929</v>
      </c>
      <c r="E2834" s="31">
        <f ca="1">B2834-D2834</f>
        <v>0</v>
      </c>
    </row>
    <row r="2835" spans="1:5" x14ac:dyDescent="0.25">
      <c r="A2835" s="21">
        <v>2834</v>
      </c>
      <c r="B2835" s="5" cm="1">
        <f t="array" aca="1" ref="B2835" ca="1">interpolexp(A2835,serie_du,Taxas_DI)</f>
        <v>0.12786788608567523</v>
      </c>
      <c r="C2835" s="32">
        <f ca="1">((((1+B2835)^(A2835/252))/((1+B2834)^(A2834/252)))^(252/1))-1</f>
        <v>0.12781988896496221</v>
      </c>
      <c r="D2835" s="30">
        <v>0.12786788608567523</v>
      </c>
      <c r="E2835" s="31">
        <f ca="1">B2835-D2835</f>
        <v>0</v>
      </c>
    </row>
    <row r="2836" spans="1:5" x14ac:dyDescent="0.25">
      <c r="A2836" s="21">
        <v>2835</v>
      </c>
      <c r="B2836" s="5" cm="1">
        <f t="array" aca="1" ref="B2836" ca="1">interpolexp(A2836,serie_du,Taxas_DI)</f>
        <v>0.12786786915512938</v>
      </c>
      <c r="C2836" s="32">
        <f ca="1">((((1+B2836)^(A2836/252))/((1+B2835)^(A2835/252)))^(252/1))-1</f>
        <v>0.12781988900924479</v>
      </c>
      <c r="D2836" s="30">
        <v>0.12786786915512938</v>
      </c>
      <c r="E2836" s="31">
        <f ca="1">B2836-D2836</f>
        <v>0</v>
      </c>
    </row>
    <row r="2837" spans="1:5" x14ac:dyDescent="0.25">
      <c r="A2837" s="21">
        <v>2836</v>
      </c>
      <c r="B2837" s="5" cm="1">
        <f t="array" aca="1" ref="B2837" ca="1">interpolexp(A2837,serie_du,Taxas_DI)</f>
        <v>0.12786785223650732</v>
      </c>
      <c r="C2837" s="32">
        <f ca="1">((((1+B2837)^(A2837/252))/((1+B2836)^(A2836/252)))^(252/1))-1</f>
        <v>0.12781988896318519</v>
      </c>
      <c r="D2837" s="30">
        <v>0.12786785223650732</v>
      </c>
      <c r="E2837" s="31">
        <f ca="1">B2837-D2837</f>
        <v>0</v>
      </c>
    </row>
    <row r="2838" spans="1:5" x14ac:dyDescent="0.25">
      <c r="A2838" s="21">
        <v>2837</v>
      </c>
      <c r="B2838" s="5" cm="1">
        <f t="array" aca="1" ref="B2838" ca="1">interpolexp(A2838,serie_du,Taxas_DI)</f>
        <v>0.12786783532980905</v>
      </c>
      <c r="C2838" s="32">
        <f ca="1">((((1+B2838)^(A2838/252))/((1+B2837)^(A2837/252)))^(252/1))-1</f>
        <v>0.12781988895304863</v>
      </c>
      <c r="D2838" s="30">
        <v>0.12786783532980905</v>
      </c>
      <c r="E2838" s="31">
        <f ca="1">B2838-D2838</f>
        <v>0</v>
      </c>
    </row>
    <row r="2839" spans="1:5" x14ac:dyDescent="0.25">
      <c r="A2839" s="21">
        <v>2838</v>
      </c>
      <c r="B2839" s="5" cm="1">
        <f t="array" aca="1" ref="B2839" ca="1">interpolexp(A2839,serie_du,Taxas_DI)</f>
        <v>0.12786781843503459</v>
      </c>
      <c r="C2839" s="32">
        <f ca="1">((((1+B2839)^(A2839/252))/((1+B2838)^(A2838/252)))^(252/1))-1</f>
        <v>0.12781988897863483</v>
      </c>
      <c r="D2839" s="30">
        <v>0.12786781843503459</v>
      </c>
      <c r="E2839" s="31">
        <f ca="1">B2839-D2839</f>
        <v>0</v>
      </c>
    </row>
    <row r="2840" spans="1:5" x14ac:dyDescent="0.25">
      <c r="A2840" s="21">
        <v>2839</v>
      </c>
      <c r="B2840" s="5" cm="1">
        <f t="array" aca="1" ref="B2840" ca="1">interpolexp(A2840,serie_du,Taxas_DI)</f>
        <v>0.12786780155216171</v>
      </c>
      <c r="C2840" s="32">
        <f ca="1">((((1+B2840)^(A2840/252))/((1+B2839)^(A2839/252)))^(252/1))-1</f>
        <v>0.12781988897699148</v>
      </c>
      <c r="D2840" s="30">
        <v>0.12786780155216171</v>
      </c>
      <c r="E2840" s="31">
        <f ca="1">B2840-D2840</f>
        <v>0</v>
      </c>
    </row>
    <row r="2841" spans="1:5" x14ac:dyDescent="0.25">
      <c r="A2841" s="21">
        <v>2840</v>
      </c>
      <c r="B2841" s="5" cm="1">
        <f t="array" aca="1" ref="B2841" ca="1">interpolexp(A2841,serie_du,Taxas_DI)</f>
        <v>0.12786778468116822</v>
      </c>
      <c r="C2841" s="32">
        <f ca="1">((((1+B2841)^(A2841/252))/((1+B2840)^(A2840/252)))^(252/1))-1</f>
        <v>0.1278198889479405</v>
      </c>
      <c r="D2841" s="30">
        <v>0.12786778468116822</v>
      </c>
      <c r="E2841" s="31">
        <f ca="1">B2841-D2841</f>
        <v>0</v>
      </c>
    </row>
    <row r="2842" spans="1:5" x14ac:dyDescent="0.25">
      <c r="A2842" s="21">
        <v>2841</v>
      </c>
      <c r="B2842" s="5" cm="1">
        <f t="array" aca="1" ref="B2842" ca="1">interpolexp(A2842,serie_du,Taxas_DI)</f>
        <v>0.12786776782205411</v>
      </c>
      <c r="C2842" s="32">
        <f ca="1">((((1+B2842)^(A2842/252))/((1+B2841)^(A2841/252)))^(252/1))-1</f>
        <v>0.12781988895468377</v>
      </c>
      <c r="D2842" s="30">
        <v>0.12786776782205411</v>
      </c>
      <c r="E2842" s="31">
        <f ca="1">B2842-D2842</f>
        <v>0</v>
      </c>
    </row>
    <row r="2843" spans="1:5" x14ac:dyDescent="0.25">
      <c r="A2843" s="21">
        <v>2842</v>
      </c>
      <c r="B2843" s="5" cm="1">
        <f t="array" aca="1" ref="B2843" ca="1">interpolexp(A2843,serie_du,Taxas_DI)</f>
        <v>0.12786775097481939</v>
      </c>
      <c r="C2843" s="32">
        <f ca="1">((((1+B2843)^(A2843/252))/((1+B2842)^(A2842/252)))^(252/1))-1</f>
        <v>0.1278198889969302</v>
      </c>
      <c r="D2843" s="30">
        <v>0.12786775097481939</v>
      </c>
      <c r="E2843" s="31">
        <f ca="1">B2843-D2843</f>
        <v>0</v>
      </c>
    </row>
    <row r="2844" spans="1:5" x14ac:dyDescent="0.25">
      <c r="A2844" s="21">
        <v>2843</v>
      </c>
      <c r="B2844" s="5" cm="1">
        <f t="array" aca="1" ref="B2844" ca="1">interpolexp(A2844,serie_du,Taxas_DI)</f>
        <v>0.12786773413941965</v>
      </c>
      <c r="C2844" s="32">
        <f ca="1">((((1+B2844)^(A2844/252))/((1+B2843)^(A2843/252)))^(252/1))-1</f>
        <v>0.1278198889484452</v>
      </c>
      <c r="D2844" s="30">
        <v>0.12786773413941965</v>
      </c>
      <c r="E2844" s="31">
        <f ca="1">B2844-D2844</f>
        <v>0</v>
      </c>
    </row>
    <row r="2845" spans="1:5" x14ac:dyDescent="0.25">
      <c r="A2845" s="21">
        <v>2844</v>
      </c>
      <c r="B2845" s="5" cm="1">
        <f t="array" aca="1" ref="B2845" ca="1">interpolexp(A2845,serie_du,Taxas_DI)</f>
        <v>0.12786771731587709</v>
      </c>
      <c r="C2845" s="32">
        <f ca="1">((((1+B2845)^(A2845/252))/((1+B2844)^(A2844/252)))^(252/1))-1</f>
        <v>0.12781988899888641</v>
      </c>
      <c r="D2845" s="30">
        <v>0.12786771731587709</v>
      </c>
      <c r="E2845" s="31">
        <f ca="1">B2845-D2845</f>
        <v>0</v>
      </c>
    </row>
    <row r="2846" spans="1:5" x14ac:dyDescent="0.25">
      <c r="A2846" s="21">
        <v>2845</v>
      </c>
      <c r="B2846" s="5" cm="1">
        <f t="array" aca="1" ref="B2846" ca="1">interpolexp(A2846,serie_du,Taxas_DI)</f>
        <v>0.12786770050414731</v>
      </c>
      <c r="C2846" s="32">
        <f ca="1">((((1+B2846)^(A2846/252))/((1+B2845)^(A2845/252)))^(252/1))-1</f>
        <v>0.12781988895839946</v>
      </c>
      <c r="D2846" s="30">
        <v>0.12786770050414731</v>
      </c>
      <c r="E2846" s="31">
        <f ca="1">B2846-D2846</f>
        <v>0</v>
      </c>
    </row>
    <row r="2847" spans="1:5" x14ac:dyDescent="0.25">
      <c r="A2847" s="21">
        <v>2846</v>
      </c>
      <c r="B2847" s="5" cm="1">
        <f t="array" aca="1" ref="B2847" ca="1">interpolexp(A2847,serie_du,Taxas_DI)</f>
        <v>0.12786768370423029</v>
      </c>
      <c r="C2847" s="32">
        <f ca="1">((((1+B2847)^(A2847/252))/((1+B2846)^(A2846/252)))^(252/1))-1</f>
        <v>0.12781988895342344</v>
      </c>
      <c r="D2847" s="30">
        <v>0.12786768370423029</v>
      </c>
      <c r="E2847" s="31">
        <f ca="1">B2847-D2847</f>
        <v>0</v>
      </c>
    </row>
    <row r="2848" spans="1:5" x14ac:dyDescent="0.25">
      <c r="A2848" s="21">
        <v>2847</v>
      </c>
      <c r="B2848" s="5" cm="1">
        <f t="array" aca="1" ref="B2848" ca="1">interpolexp(A2848,serie_du,Taxas_DI)</f>
        <v>0.12786766691612605</v>
      </c>
      <c r="C2848" s="32">
        <f ca="1">((((1+B2848)^(A2848/252))/((1+B2847)^(A2847/252)))^(252/1))-1</f>
        <v>0.12781988898381269</v>
      </c>
      <c r="D2848" s="30">
        <v>0.12786766691612605</v>
      </c>
      <c r="E2848" s="31">
        <f ca="1">B2848-D2848</f>
        <v>0</v>
      </c>
    </row>
    <row r="2849" spans="1:5" x14ac:dyDescent="0.25">
      <c r="A2849" s="21">
        <v>2848</v>
      </c>
      <c r="B2849" s="5" cm="1">
        <f t="array" aca="1" ref="B2849" ca="1">interpolexp(A2849,serie_du,Taxas_DI)</f>
        <v>0.12786765013979018</v>
      </c>
      <c r="C2849" s="32">
        <f ca="1">((((1+B2849)^(A2849/252))/((1+B2848)^(A2848/252)))^(252/1))-1</f>
        <v>0.12781988892318696</v>
      </c>
      <c r="D2849" s="30">
        <v>0.12786765013979018</v>
      </c>
      <c r="E2849" s="31">
        <f ca="1">B2849-D2849</f>
        <v>0</v>
      </c>
    </row>
    <row r="2850" spans="1:5" x14ac:dyDescent="0.25">
      <c r="A2850" s="21">
        <v>2849</v>
      </c>
      <c r="B2850" s="5" cm="1">
        <f t="array" aca="1" ref="B2850" ca="1">interpolexp(A2850,serie_du,Taxas_DI)</f>
        <v>0.12786763337524487</v>
      </c>
      <c r="C2850" s="32">
        <f ca="1">((((1+B2850)^(A2850/252))/((1+B2849)^(A2849/252)))^(252/1))-1</f>
        <v>0.12781988896110308</v>
      </c>
      <c r="D2850" s="30">
        <v>0.12786763337524487</v>
      </c>
      <c r="E2850" s="31">
        <f ca="1">B2850-D2850</f>
        <v>0</v>
      </c>
    </row>
    <row r="2851" spans="1:5" x14ac:dyDescent="0.25">
      <c r="A2851" s="21">
        <v>2850</v>
      </c>
      <c r="B2851" s="5" cm="1">
        <f t="array" aca="1" ref="B2851" ca="1">interpolexp(A2851,serie_du,Taxas_DI)</f>
        <v>0.12786761662246793</v>
      </c>
      <c r="C2851" s="32">
        <f ca="1">((((1+B2851)^(A2851/252))/((1+B2850)^(A2850/252)))^(252/1))-1</f>
        <v>0.12781988897126451</v>
      </c>
      <c r="D2851" s="30">
        <v>0.12786761662246793</v>
      </c>
      <c r="E2851" s="31">
        <f ca="1">B2851-D2851</f>
        <v>0</v>
      </c>
    </row>
    <row r="2852" spans="1:5" x14ac:dyDescent="0.25">
      <c r="A2852" s="21">
        <v>2851</v>
      </c>
      <c r="B2852" s="5" cm="1">
        <f t="array" aca="1" ref="B2852" ca="1">interpolexp(A2852,serie_du,Taxas_DI)</f>
        <v>0.12786759988143714</v>
      </c>
      <c r="C2852" s="32">
        <f ca="1">((((1+B2852)^(A2852/252))/((1+B2851)^(A2851/252)))^(252/1))-1</f>
        <v>0.1278198889532367</v>
      </c>
      <c r="D2852" s="30">
        <v>0.12786759988143714</v>
      </c>
      <c r="E2852" s="31">
        <f ca="1">B2852-D2852</f>
        <v>0</v>
      </c>
    </row>
    <row r="2853" spans="1:5" x14ac:dyDescent="0.25">
      <c r="A2853" s="21">
        <v>2852</v>
      </c>
      <c r="B2853" s="5" cm="1">
        <f t="array" aca="1" ref="B2853" ca="1">interpolexp(A2853,serie_du,Taxas_DI)</f>
        <v>0.12786758315215252</v>
      </c>
      <c r="C2853" s="32">
        <f ca="1">((((1+B2853)^(A2853/252))/((1+B2852)^(A2852/252)))^(252/1))-1</f>
        <v>0.12781988897044716</v>
      </c>
      <c r="D2853" s="30">
        <v>0.12786758315215252</v>
      </c>
      <c r="E2853" s="31">
        <f ca="1">B2853-D2853</f>
        <v>0</v>
      </c>
    </row>
    <row r="2854" spans="1:5" x14ac:dyDescent="0.25">
      <c r="A2854" s="21">
        <v>2853</v>
      </c>
      <c r="B2854" s="5" cm="1">
        <f t="array" aca="1" ref="B2854" ca="1">interpolexp(A2854,serie_du,Taxas_DI)</f>
        <v>0.12786756643459185</v>
      </c>
      <c r="C2854" s="32">
        <f ca="1">((((1+B2854)^(A2854/252))/((1+B2853)^(A2853/252)))^(252/1))-1</f>
        <v>0.12781988895965601</v>
      </c>
      <c r="D2854" s="30">
        <v>0.12786756643459185</v>
      </c>
      <c r="E2854" s="31">
        <f ca="1">B2854-D2854</f>
        <v>0</v>
      </c>
    </row>
    <row r="2855" spans="1:5" x14ac:dyDescent="0.25">
      <c r="A2855" s="21">
        <v>2854</v>
      </c>
      <c r="B2855" s="5" cm="1">
        <f t="array" aca="1" ref="B2855" ca="1">interpolexp(A2855,serie_du,Taxas_DI)</f>
        <v>0.12786754972875514</v>
      </c>
      <c r="C2855" s="32">
        <f ca="1">((((1+B2855)^(A2855/252))/((1+B2854)^(A2854/252)))^(252/1))-1</f>
        <v>0.12781988898400143</v>
      </c>
      <c r="D2855" s="30">
        <v>0.12786754972875514</v>
      </c>
      <c r="E2855" s="31">
        <f ca="1">B2855-D2855</f>
        <v>0</v>
      </c>
    </row>
    <row r="2856" spans="1:5" x14ac:dyDescent="0.25">
      <c r="A2856" s="21">
        <v>2855</v>
      </c>
      <c r="B2856" s="5" cm="1">
        <f t="array" aca="1" ref="B2856" ca="1">interpolexp(A2856,serie_du,Taxas_DI)</f>
        <v>0.12786753303459797</v>
      </c>
      <c r="C2856" s="32">
        <f ca="1">((((1+B2856)^(A2856/252))/((1+B2855)^(A2855/252)))^(252/1))-1</f>
        <v>0.12781988891664176</v>
      </c>
      <c r="D2856" s="30">
        <v>0.12786753303459797</v>
      </c>
      <c r="E2856" s="31">
        <f ca="1">B2856-D2856</f>
        <v>0</v>
      </c>
    </row>
    <row r="2857" spans="1:5" x14ac:dyDescent="0.25">
      <c r="A2857" s="21">
        <v>2856</v>
      </c>
      <c r="B2857" s="5" cm="1">
        <f t="array" aca="1" ref="B2857" ca="1">interpolexp(A2857,serie_du,Taxas_DI)</f>
        <v>0.12786751635214255</v>
      </c>
      <c r="C2857" s="32">
        <f ca="1">((((1+B2857)^(A2857/252))/((1+B2856)^(A2856/252)))^(252/1))-1</f>
        <v>0.12781988894806484</v>
      </c>
      <c r="D2857" s="30">
        <v>0.12786751635214255</v>
      </c>
      <c r="E2857" s="31">
        <f ca="1">B2857-D2857</f>
        <v>0</v>
      </c>
    </row>
    <row r="2858" spans="1:5" x14ac:dyDescent="0.25">
      <c r="A2858" s="21">
        <v>2857</v>
      </c>
      <c r="B2858" s="5" cm="1">
        <f t="array" aca="1" ref="B2858" ca="1">interpolexp(A2858,serie_du,Taxas_DI)</f>
        <v>0.12786749968136668</v>
      </c>
      <c r="C2858" s="32">
        <f ca="1">((((1+B2858)^(A2858/252))/((1+B2857)^(A2857/252)))^(252/1))-1</f>
        <v>0.12781988895071561</v>
      </c>
      <c r="D2858" s="30">
        <v>0.12786749968136668</v>
      </c>
      <c r="E2858" s="31">
        <f ca="1">B2858-D2858</f>
        <v>0</v>
      </c>
    </row>
    <row r="2859" spans="1:5" x14ac:dyDescent="0.25">
      <c r="A2859" s="21">
        <v>2858</v>
      </c>
      <c r="B2859" s="5" cm="1">
        <f t="array" aca="1" ref="B2859" ca="1">interpolexp(A2859,serie_du,Taxas_DI)</f>
        <v>0.12786748302227036</v>
      </c>
      <c r="C2859" s="32">
        <f ca="1">((((1+B2859)^(A2859/252))/((1+B2858)^(A2858/252)))^(252/1))-1</f>
        <v>0.12781988898872654</v>
      </c>
      <c r="D2859" s="30">
        <v>0.12786748302227036</v>
      </c>
      <c r="E2859" s="31">
        <f ca="1">B2859-D2859</f>
        <v>0</v>
      </c>
    </row>
    <row r="2860" spans="1:5" x14ac:dyDescent="0.25">
      <c r="A2860" s="21">
        <v>2859</v>
      </c>
      <c r="B2860" s="5" cm="1">
        <f t="array" aca="1" ref="B2860" ca="1">interpolexp(A2860,serie_du,Taxas_DI)</f>
        <v>0.12786746637480917</v>
      </c>
      <c r="C2860" s="32">
        <f ca="1">((((1+B2860)^(A2860/252))/((1+B2859)^(A2859/252)))^(252/1))-1</f>
        <v>0.12781988893447926</v>
      </c>
      <c r="D2860" s="30">
        <v>0.12786746637480917</v>
      </c>
      <c r="E2860" s="31">
        <f ca="1">B2860-D2860</f>
        <v>0</v>
      </c>
    </row>
    <row r="2861" spans="1:5" x14ac:dyDescent="0.25">
      <c r="A2861" s="21">
        <v>2860</v>
      </c>
      <c r="B2861" s="5" cm="1">
        <f t="array" aca="1" ref="B2861" ca="1">interpolexp(A2861,serie_du,Taxas_DI)</f>
        <v>0.12786744973900532</v>
      </c>
      <c r="C2861" s="32">
        <f ca="1">((((1+B2861)^(A2861/252))/((1+B2860)^(A2860/252)))^(252/1))-1</f>
        <v>0.12781988897900987</v>
      </c>
      <c r="D2861" s="30">
        <v>0.12786744973900532</v>
      </c>
      <c r="E2861" s="31">
        <f ca="1">B2861-D2861</f>
        <v>0</v>
      </c>
    </row>
    <row r="2862" spans="1:5" x14ac:dyDescent="0.25">
      <c r="A2862" s="21">
        <v>2861</v>
      </c>
      <c r="B2862" s="5" cm="1">
        <f t="array" aca="1" ref="B2862" ca="1">interpolexp(A2862,serie_du,Taxas_DI)</f>
        <v>0.12786743311481441</v>
      </c>
      <c r="C2862" s="32">
        <f ca="1">((((1+B2862)^(A2862/252))/((1+B2861)^(A2861/252)))^(252/1))-1</f>
        <v>0.12781988893126495</v>
      </c>
      <c r="D2862" s="30">
        <v>0.12786743311481441</v>
      </c>
      <c r="E2862" s="31">
        <f ca="1">B2862-D2862</f>
        <v>0</v>
      </c>
    </row>
    <row r="2863" spans="1:5" x14ac:dyDescent="0.25">
      <c r="A2863" s="21">
        <v>2862</v>
      </c>
      <c r="B2863" s="5" cm="1">
        <f t="array" aca="1" ref="B2863" ca="1">interpolexp(A2863,serie_du,Taxas_DI)</f>
        <v>0.12786741650225864</v>
      </c>
      <c r="C2863" s="32">
        <f ca="1">((((1+B2863)^(A2863/252))/((1+B2862)^(A2862/252)))^(252/1))-1</f>
        <v>0.12781988898198993</v>
      </c>
      <c r="D2863" s="30">
        <v>0.12786741650225864</v>
      </c>
      <c r="E2863" s="31">
        <f ca="1">B2863-D2863</f>
        <v>0</v>
      </c>
    </row>
    <row r="2864" spans="1:5" x14ac:dyDescent="0.25">
      <c r="A2864" s="21">
        <v>2863</v>
      </c>
      <c r="B2864" s="5" cm="1">
        <f t="array" aca="1" ref="B2864" ca="1">interpolexp(A2864,serie_du,Taxas_DI)</f>
        <v>0.12786739990129359</v>
      </c>
      <c r="C2864" s="32">
        <f ca="1">((((1+B2864)^(A2864/252))/((1+B2863)^(A2863/252)))^(252/1))-1</f>
        <v>0.12781988894036589</v>
      </c>
      <c r="D2864" s="30">
        <v>0.12786739990129359</v>
      </c>
      <c r="E2864" s="31">
        <f ca="1">B2864-D2864</f>
        <v>0</v>
      </c>
    </row>
    <row r="2865" spans="1:5" x14ac:dyDescent="0.25">
      <c r="A2865" s="21">
        <v>2864</v>
      </c>
      <c r="B2865" s="5" cm="1">
        <f t="array" aca="1" ref="B2865" ca="1">interpolexp(A2865,serie_du,Taxas_DI)</f>
        <v>0.12786738331191927</v>
      </c>
      <c r="C2865" s="32">
        <f ca="1">((((1+B2865)^(A2865/252))/((1+B2864)^(A2864/252)))^(252/1))-1</f>
        <v>0.12781988893366147</v>
      </c>
      <c r="D2865" s="30">
        <v>0.12786738331191927</v>
      </c>
      <c r="E2865" s="31">
        <f ca="1">B2865-D2865</f>
        <v>0</v>
      </c>
    </row>
    <row r="2866" spans="1:5" x14ac:dyDescent="0.25">
      <c r="A2866" s="21">
        <v>2865</v>
      </c>
      <c r="B2866" s="5" cm="1">
        <f t="array" aca="1" ref="B2866" ca="1">interpolexp(A2866,serie_du,Taxas_DI)</f>
        <v>0.12786736673413568</v>
      </c>
      <c r="C2866" s="32">
        <f ca="1">((((1+B2866)^(A2866/252))/((1+B2865)^(A2865/252)))^(252/1))-1</f>
        <v>0.12781988896161178</v>
      </c>
      <c r="D2866" s="30">
        <v>0.12786736673413568</v>
      </c>
      <c r="E2866" s="31">
        <f ca="1">B2866-D2866</f>
        <v>0</v>
      </c>
    </row>
    <row r="2867" spans="1:5" x14ac:dyDescent="0.25">
      <c r="A2867" s="21">
        <v>2866</v>
      </c>
      <c r="B2867" s="5" cm="1">
        <f t="array" aca="1" ref="B2867" ca="1">interpolexp(A2867,serie_du,Taxas_DI)</f>
        <v>0.12786735016792061</v>
      </c>
      <c r="C2867" s="32">
        <f ca="1">((((1+B2867)^(A2867/252))/((1+B2866)^(A2866/252)))^(252/1))-1</f>
        <v>0.12781988896072805</v>
      </c>
      <c r="D2867" s="30">
        <v>0.12786735016792061</v>
      </c>
      <c r="E2867" s="31">
        <f ca="1">B2867-D2867</f>
        <v>0</v>
      </c>
    </row>
    <row r="2868" spans="1:5" x14ac:dyDescent="0.25">
      <c r="A2868" s="21">
        <v>2867</v>
      </c>
      <c r="B2868" s="5" cm="1">
        <f t="array" aca="1" ref="B2868" ca="1">interpolexp(A2868,serie_du,Taxas_DI)</f>
        <v>0.12786733361325187</v>
      </c>
      <c r="C2868" s="32">
        <f ca="1">((((1+B2868)^(A2868/252))/((1+B2867)^(A2867/252)))^(252/1))-1</f>
        <v>0.12781988893082397</v>
      </c>
      <c r="D2868" s="30">
        <v>0.12786733361325187</v>
      </c>
      <c r="E2868" s="31">
        <f ca="1">B2868-D2868</f>
        <v>0</v>
      </c>
    </row>
    <row r="2869" spans="1:5" x14ac:dyDescent="0.25">
      <c r="A2869" s="21">
        <v>2868</v>
      </c>
      <c r="B2869" s="5" cm="1">
        <f t="array" aca="1" ref="B2869" ca="1">interpolexp(A2869,serie_du,Taxas_DI)</f>
        <v>0.12786731707012944</v>
      </c>
      <c r="C2869" s="32">
        <f ca="1">((((1+B2869)^(A2869/252))/((1+B2868)^(A2868/252)))^(252/1))-1</f>
        <v>0.12781988893576646</v>
      </c>
      <c r="D2869" s="30">
        <v>0.12786731707012944</v>
      </c>
      <c r="E2869" s="31">
        <f ca="1">B2869-D2869</f>
        <v>0</v>
      </c>
    </row>
    <row r="2870" spans="1:5" x14ac:dyDescent="0.25">
      <c r="A2870" s="21">
        <v>2869</v>
      </c>
      <c r="B2870" s="5" cm="1">
        <f t="array" aca="1" ref="B2870" ca="1">interpolexp(A2870,serie_du,Taxas_DI)</f>
        <v>0.12786730053855333</v>
      </c>
      <c r="C2870" s="32">
        <f ca="1">((((1+B2870)^(A2870/252))/((1+B2869)^(A2869/252)))^(252/1))-1</f>
        <v>0.12781988897517049</v>
      </c>
      <c r="D2870" s="30">
        <v>0.12786730053855333</v>
      </c>
      <c r="E2870" s="31">
        <f ca="1">B2870-D2870</f>
        <v>0</v>
      </c>
    </row>
    <row r="2871" spans="1:5" x14ac:dyDescent="0.25">
      <c r="A2871" s="21">
        <v>2870</v>
      </c>
      <c r="B2871" s="5" cm="1">
        <f t="array" aca="1" ref="B2871" ca="1">interpolexp(A2871,serie_du,Taxas_DI)</f>
        <v>0.12786728401847913</v>
      </c>
      <c r="C2871" s="32">
        <f ca="1">((((1+B2871)^(A2871/252))/((1+B2870)^(A2870/252)))^(252/1))-1</f>
        <v>0.12781988892180385</v>
      </c>
      <c r="D2871" s="30">
        <v>0.12786728401847913</v>
      </c>
      <c r="E2871" s="31">
        <f ca="1">B2871-D2871</f>
        <v>0</v>
      </c>
    </row>
    <row r="2872" spans="1:5" x14ac:dyDescent="0.25">
      <c r="A2872" s="21">
        <v>2871</v>
      </c>
      <c r="B2872" s="5" cm="1">
        <f t="array" aca="1" ref="B2872" ca="1">interpolexp(A2872,serie_du,Taxas_DI)</f>
        <v>0.12786726750992905</v>
      </c>
      <c r="C2872" s="32">
        <f ca="1">((((1+B2872)^(A2872/252))/((1+B2871)^(A2871/252)))^(252/1))-1</f>
        <v>0.12781988896666552</v>
      </c>
      <c r="D2872" s="30">
        <v>0.12786726750992905</v>
      </c>
      <c r="E2872" s="31">
        <f ca="1">B2872-D2872</f>
        <v>0</v>
      </c>
    </row>
    <row r="2873" spans="1:5" x14ac:dyDescent="0.25">
      <c r="A2873" s="21">
        <v>2872</v>
      </c>
      <c r="B2873" s="5" cm="1">
        <f t="array" aca="1" ref="B2873" ca="1">interpolexp(A2873,serie_du,Taxas_DI)</f>
        <v>0.12786725101285867</v>
      </c>
      <c r="C2873" s="32">
        <f ca="1">((((1+B2873)^(A2873/252))/((1+B2872)^(A2872/252)))^(252/1))-1</f>
        <v>0.12781988891865392</v>
      </c>
      <c r="D2873" s="30">
        <v>0.12786725101285867</v>
      </c>
      <c r="E2873" s="31">
        <f ca="1">B2873-D2873</f>
        <v>0</v>
      </c>
    </row>
    <row r="2874" spans="1:5" x14ac:dyDescent="0.25">
      <c r="A2874" s="21">
        <v>2873</v>
      </c>
      <c r="B2874" s="5" cm="1">
        <f t="array" aca="1" ref="B2874" ca="1">interpolexp(A2874,serie_du,Taxas_DI)</f>
        <v>0.12786723452729021</v>
      </c>
      <c r="C2874" s="32">
        <f ca="1">((((1+B2874)^(A2874/252))/((1+B2873)^(A2873/252)))^(252/1))-1</f>
        <v>0.12781988896874008</v>
      </c>
      <c r="D2874" s="30">
        <v>0.12786723452729021</v>
      </c>
      <c r="E2874" s="31">
        <f ca="1">B2874-D2874</f>
        <v>0</v>
      </c>
    </row>
    <row r="2875" spans="1:5" x14ac:dyDescent="0.25">
      <c r="A2875" s="21">
        <v>2874</v>
      </c>
      <c r="B2875" s="5" cm="1">
        <f t="array" aca="1" ref="B2875" ca="1">interpolexp(A2875,serie_du,Taxas_DI)</f>
        <v>0.12786721805317924</v>
      </c>
      <c r="C2875" s="32">
        <f ca="1">((((1+B2875)^(A2875/252))/((1+B2874)^(A2874/252)))^(252/1))-1</f>
        <v>0.12781988892577023</v>
      </c>
      <c r="D2875" s="30">
        <v>0.12786721805317924</v>
      </c>
      <c r="E2875" s="31">
        <f ca="1">B2875-D2875</f>
        <v>0</v>
      </c>
    </row>
    <row r="2876" spans="1:5" x14ac:dyDescent="0.25">
      <c r="A2876" s="21">
        <v>2875</v>
      </c>
      <c r="B2876" s="5" cm="1">
        <f t="array" aca="1" ref="B2876" ca="1">interpolexp(A2876,serie_du,Taxas_DI)</f>
        <v>0.12786720159054799</v>
      </c>
      <c r="C2876" s="32">
        <f ca="1">((((1+B2876)^(A2876/252))/((1+B2875)^(A2875/252)))^(252/1))-1</f>
        <v>0.12781988898097629</v>
      </c>
      <c r="D2876" s="30">
        <v>0.12786720159054799</v>
      </c>
      <c r="E2876" s="31">
        <f ca="1">B2876-D2876</f>
        <v>0</v>
      </c>
    </row>
    <row r="2877" spans="1:5" x14ac:dyDescent="0.25">
      <c r="A2877" s="21">
        <v>2876</v>
      </c>
      <c r="B2877" s="5" cm="1">
        <f t="array" aca="1" ref="B2877" ca="1">interpolexp(A2877,serie_du,Taxas_DI)</f>
        <v>0.12786718513935202</v>
      </c>
      <c r="C2877" s="32">
        <f ca="1">((((1+B2877)^(A2877/252))/((1+B2876)^(A2876/252)))^(252/1))-1</f>
        <v>0.1278198889430755</v>
      </c>
      <c r="D2877" s="30">
        <v>0.12786718513935202</v>
      </c>
      <c r="E2877" s="31">
        <f ca="1">B2877-D2877</f>
        <v>0</v>
      </c>
    </row>
    <row r="2878" spans="1:5" x14ac:dyDescent="0.25">
      <c r="A2878" s="21">
        <v>2877</v>
      </c>
      <c r="B2878" s="5" cm="1">
        <f t="array" aca="1" ref="B2878" ca="1">interpolexp(A2878,serie_du,Taxas_DI)</f>
        <v>0.12786716869959136</v>
      </c>
      <c r="C2878" s="32">
        <f ca="1">((((1+B2878)^(A2878/252))/((1+B2877)^(A2877/252)))^(252/1))-1</f>
        <v>0.12781988893923524</v>
      </c>
      <c r="D2878" s="30">
        <v>0.12786716869959136</v>
      </c>
      <c r="E2878" s="31">
        <f ca="1">B2878-D2878</f>
        <v>0</v>
      </c>
    </row>
    <row r="2879" spans="1:5" x14ac:dyDescent="0.25">
      <c r="A2879" s="21">
        <v>2878</v>
      </c>
      <c r="B2879" s="5" cm="1">
        <f t="array" aca="1" ref="B2879" ca="1">interpolexp(A2879,serie_du,Taxas_DI)</f>
        <v>0.12786715227124379</v>
      </c>
      <c r="C2879" s="32">
        <f ca="1">((((1+B2879)^(A2879/252))/((1+B2878)^(A2878/252)))^(252/1))-1</f>
        <v>0.1278198889059754</v>
      </c>
      <c r="D2879" s="30">
        <v>0.12786715227124379</v>
      </c>
      <c r="E2879" s="31">
        <f ca="1">B2879-D2879</f>
        <v>0</v>
      </c>
    </row>
    <row r="2880" spans="1:5" x14ac:dyDescent="0.25">
      <c r="A2880" s="21">
        <v>2879</v>
      </c>
      <c r="B2880" s="5" cm="1">
        <f t="array" aca="1" ref="B2880" ca="1">interpolexp(A2880,serie_du,Taxas_DI)</f>
        <v>0.12786713585433152</v>
      </c>
      <c r="C2880" s="32">
        <f ca="1">((((1+B2880)^(A2880/252))/((1+B2879)^(A2879/252)))^(252/1))-1</f>
        <v>0.12781988897076002</v>
      </c>
      <c r="D2880" s="30">
        <v>0.12786713585433152</v>
      </c>
      <c r="E2880" s="31">
        <f ca="1">B2880-D2880</f>
        <v>0</v>
      </c>
    </row>
    <row r="2881" spans="1:5" x14ac:dyDescent="0.25">
      <c r="A2881" s="21">
        <v>2880</v>
      </c>
      <c r="B2881" s="5" cm="1">
        <f t="array" aca="1" ref="B2881" ca="1">interpolexp(A2881,serie_du,Taxas_DI)</f>
        <v>0.12786711944881013</v>
      </c>
      <c r="C2881" s="32">
        <f ca="1">((((1+B2881)^(A2881/252))/((1+B2880)^(A2880/252)))^(252/1))-1</f>
        <v>0.12781988894200702</v>
      </c>
      <c r="D2881" s="30">
        <v>0.12786711944881013</v>
      </c>
      <c r="E2881" s="31">
        <f ca="1">B2881-D2881</f>
        <v>0</v>
      </c>
    </row>
    <row r="2882" spans="1:5" x14ac:dyDescent="0.25">
      <c r="A2882" s="21">
        <v>2881</v>
      </c>
      <c r="B2882" s="5" cm="1">
        <f t="array" aca="1" ref="B2882" ca="1">interpolexp(A2882,serie_du,Taxas_DI)</f>
        <v>0.12786710305467963</v>
      </c>
      <c r="C2882" s="32">
        <f ca="1">((((1+B2882)^(A2882/252))/((1+B2881)^(A2881/252)))^(252/1))-1</f>
        <v>0.12781988894743934</v>
      </c>
      <c r="D2882" s="30">
        <v>0.12786710305467963</v>
      </c>
      <c r="E2882" s="31">
        <f ca="1">B2882-D2882</f>
        <v>0</v>
      </c>
    </row>
    <row r="2883" spans="1:5" x14ac:dyDescent="0.25">
      <c r="A2883" s="21">
        <v>2882</v>
      </c>
      <c r="B2883" s="5" cm="1">
        <f t="array" aca="1" ref="B2883" ca="1">interpolexp(A2883,serie_du,Taxas_DI)</f>
        <v>0.12786708667191782</v>
      </c>
      <c r="C2883" s="32">
        <f ca="1">((((1+B2883)^(A2883/252))/((1+B2882)^(A2882/252)))^(252/1))-1</f>
        <v>0.12781988892299911</v>
      </c>
      <c r="D2883" s="30">
        <v>0.12786708667191782</v>
      </c>
      <c r="E2883" s="31">
        <f ca="1">B2883-D2883</f>
        <v>0</v>
      </c>
    </row>
    <row r="2884" spans="1:5" x14ac:dyDescent="0.25">
      <c r="A2884" s="21">
        <v>2883</v>
      </c>
      <c r="B2884" s="5" cm="1">
        <f t="array" aca="1" ref="B2884" ca="1">interpolexp(A2884,serie_du,Taxas_DI)</f>
        <v>0.12786707030052469</v>
      </c>
      <c r="C2884" s="32">
        <f ca="1">((((1+B2884)^(A2884/252))/((1+B2883)^(A2883/252)))^(252/1))-1</f>
        <v>0.12781988893271756</v>
      </c>
      <c r="D2884" s="30">
        <v>0.12786707030052469</v>
      </c>
      <c r="E2884" s="31">
        <f ca="1">B2884-D2884</f>
        <v>0</v>
      </c>
    </row>
    <row r="2885" spans="1:5" x14ac:dyDescent="0.25">
      <c r="A2885" s="21">
        <v>2884</v>
      </c>
      <c r="B2885" s="5" cm="1">
        <f t="array" aca="1" ref="B2885" ca="1">interpolexp(A2885,serie_du,Taxas_DI)</f>
        <v>0.12786705394047804</v>
      </c>
      <c r="C2885" s="32">
        <f ca="1">((((1+B2885)^(A2885/252))/((1+B2884)^(A2884/252)))^(252/1))-1</f>
        <v>0.12781988891259433</v>
      </c>
      <c r="D2885" s="30">
        <v>0.12786705394047804</v>
      </c>
      <c r="E2885" s="31">
        <f ca="1">B2885-D2885</f>
        <v>0</v>
      </c>
    </row>
    <row r="2886" spans="1:5" x14ac:dyDescent="0.25">
      <c r="A2886" s="21">
        <v>2885</v>
      </c>
      <c r="B2886" s="5" cm="1">
        <f t="array" aca="1" ref="B2886" ca="1">interpolexp(A2886,serie_du,Taxas_DI)</f>
        <v>0.12786703759180007</v>
      </c>
      <c r="C2886" s="32">
        <f ca="1">((((1+B2886)^(A2886/252))/((1+B2885)^(A2885/252)))^(252/1))-1</f>
        <v>0.12781988899036612</v>
      </c>
      <c r="D2886" s="30">
        <v>0.12786703759180007</v>
      </c>
      <c r="E2886" s="31">
        <f ca="1">B2886-D2886</f>
        <v>0</v>
      </c>
    </row>
    <row r="2887" spans="1:5" x14ac:dyDescent="0.25">
      <c r="A2887" s="21">
        <v>2886</v>
      </c>
      <c r="B2887" s="5" cm="1">
        <f t="array" aca="1" ref="B2887" ca="1">interpolexp(A2887,serie_du,Taxas_DI)</f>
        <v>0.12786702125442417</v>
      </c>
      <c r="C2887" s="32">
        <f ca="1">((((1+B2887)^(A2887/252))/((1+B2886)^(A2886/252)))^(252/1))-1</f>
        <v>0.1278198889101958</v>
      </c>
      <c r="D2887" s="30">
        <v>0.12786702125442417</v>
      </c>
      <c r="E2887" s="31">
        <f ca="1">B2887-D2887</f>
        <v>0</v>
      </c>
    </row>
    <row r="2888" spans="1:5" x14ac:dyDescent="0.25">
      <c r="A2888" s="21">
        <v>2887</v>
      </c>
      <c r="B2888" s="5" cm="1">
        <f t="array" aca="1" ref="B2888" ca="1">interpolexp(A2888,serie_du,Taxas_DI)</f>
        <v>0.12786700492837255</v>
      </c>
      <c r="C2888" s="32">
        <f ca="1">((((1+B2888)^(A2888/252))/((1+B2887)^(A2887/252)))^(252/1))-1</f>
        <v>0.12781988892778218</v>
      </c>
      <c r="D2888" s="30">
        <v>0.12786700492837255</v>
      </c>
      <c r="E2888" s="31">
        <f ca="1">B2888-D2888</f>
        <v>0</v>
      </c>
    </row>
    <row r="2889" spans="1:5" x14ac:dyDescent="0.25">
      <c r="A2889" s="21">
        <v>2888</v>
      </c>
      <c r="B2889" s="5" cm="1">
        <f t="array" aca="1" ref="B2889" ca="1">interpolexp(A2889,serie_du,Taxas_DI)</f>
        <v>0.127866988613623</v>
      </c>
      <c r="C2889" s="32">
        <f ca="1">((((1+B2889)^(A2889/252))/((1+B2888)^(A2888/252)))^(252/1))-1</f>
        <v>0.12781988891556573</v>
      </c>
      <c r="D2889" s="30">
        <v>0.127866988613623</v>
      </c>
      <c r="E2889" s="31">
        <f ca="1">B2889-D2889</f>
        <v>0</v>
      </c>
    </row>
    <row r="2890" spans="1:5" x14ac:dyDescent="0.25">
      <c r="A2890" s="21">
        <v>2889</v>
      </c>
      <c r="B2890" s="5" cm="1">
        <f t="array" aca="1" ref="B2890" ca="1">interpolexp(A2890,serie_du,Taxas_DI)</f>
        <v>0.12786697231017552</v>
      </c>
      <c r="C2890" s="32">
        <f ca="1">((((1+B2890)^(A2890/252))/((1+B2889)^(A2889/252)))^(252/1))-1</f>
        <v>0.12781988893696883</v>
      </c>
      <c r="D2890" s="30">
        <v>0.12786697231017552</v>
      </c>
      <c r="E2890" s="31">
        <f ca="1">B2890-D2890</f>
        <v>0</v>
      </c>
    </row>
    <row r="2891" spans="1:5" x14ac:dyDescent="0.25">
      <c r="A2891" s="21">
        <v>2890</v>
      </c>
      <c r="B2891" s="5" cm="1">
        <f t="array" aca="1" ref="B2891" ca="1">interpolexp(A2891,serie_du,Taxas_DI)</f>
        <v>0.1278669560180079</v>
      </c>
      <c r="C2891" s="32">
        <f ca="1">((((1+B2891)^(A2891/252))/((1+B2890)^(A2890/252)))^(252/1))-1</f>
        <v>0.12781988892822449</v>
      </c>
      <c r="D2891" s="30">
        <v>0.1278669560180079</v>
      </c>
      <c r="E2891" s="31">
        <f ca="1">B2891-D2891</f>
        <v>0</v>
      </c>
    </row>
    <row r="2892" spans="1:5" x14ac:dyDescent="0.25">
      <c r="A2892" s="21">
        <v>2891</v>
      </c>
      <c r="B2892" s="5" cm="1">
        <f t="array" aca="1" ref="B2892" ca="1">interpolexp(A2892,serie_du,Taxas_DI)</f>
        <v>0.12786693973712016</v>
      </c>
      <c r="C2892" s="32">
        <f ca="1">((((1+B2892)^(A2892/252))/((1+B2891)^(A2891/252)))^(252/1))-1</f>
        <v>0.1278198889532367</v>
      </c>
      <c r="D2892" s="30">
        <v>0.12786693973712016</v>
      </c>
      <c r="E2892" s="31">
        <f ca="1">B2892-D2892</f>
        <v>0</v>
      </c>
    </row>
    <row r="2893" spans="1:5" x14ac:dyDescent="0.25">
      <c r="A2893" s="21">
        <v>2892</v>
      </c>
      <c r="B2893" s="5" cm="1">
        <f t="array" aca="1" ref="B2893" ca="1">interpolexp(A2893,serie_du,Taxas_DI)</f>
        <v>0.12786692346749007</v>
      </c>
      <c r="C2893" s="32">
        <f ca="1">((((1+B2893)^(A2893/252))/((1+B2892)^(A2892/252)))^(252/1))-1</f>
        <v>0.12781988894806484</v>
      </c>
      <c r="D2893" s="30">
        <v>0.12786692346749007</v>
      </c>
      <c r="E2893" s="31">
        <f ca="1">B2893-D2893</f>
        <v>0</v>
      </c>
    </row>
    <row r="2894" spans="1:5" x14ac:dyDescent="0.25">
      <c r="A2894" s="21">
        <v>2893</v>
      </c>
      <c r="B2894" s="5" cm="1">
        <f t="array" aca="1" ref="B2894" ca="1">interpolexp(A2894,serie_du,Taxas_DI)</f>
        <v>0.12786690720909544</v>
      </c>
      <c r="C2894" s="32">
        <f ca="1">((((1+B2894)^(A2894/252))/((1+B2893)^(A2893/252)))^(252/1))-1</f>
        <v>0.12781988891215312</v>
      </c>
      <c r="D2894" s="30">
        <v>0.12786690720909544</v>
      </c>
      <c r="E2894" s="31">
        <f ca="1">B2894-D2894</f>
        <v>0</v>
      </c>
    </row>
    <row r="2895" spans="1:5" x14ac:dyDescent="0.25">
      <c r="A2895" s="21">
        <v>2894</v>
      </c>
      <c r="B2895" s="5" cm="1">
        <f t="array" aca="1" ref="B2895" ca="1">interpolexp(A2895,serie_du,Taxas_DI)</f>
        <v>0.12786689096193626</v>
      </c>
      <c r="C2895" s="32">
        <f ca="1">((((1+B2895)^(A2895/252))/((1+B2894)^(A2894/252)))^(252/1))-1</f>
        <v>0.12781988891025775</v>
      </c>
      <c r="D2895" s="30">
        <v>0.12786689096193626</v>
      </c>
      <c r="E2895" s="31">
        <f ca="1">B2895-D2895</f>
        <v>0</v>
      </c>
    </row>
    <row r="2896" spans="1:5" x14ac:dyDescent="0.25">
      <c r="A2896" s="21">
        <v>2895</v>
      </c>
      <c r="B2896" s="5" cm="1">
        <f t="array" aca="1" ref="B2896" ca="1">interpolexp(A2896,serie_du,Taxas_DI)</f>
        <v>0.12786687472601255</v>
      </c>
      <c r="C2896" s="32">
        <f ca="1">((((1+B2896)^(A2896/252))/((1+B2895)^(A2895/252)))^(252/1))-1</f>
        <v>0.12781988894175611</v>
      </c>
      <c r="D2896" s="30">
        <v>0.12786687472601255</v>
      </c>
      <c r="E2896" s="31">
        <f ca="1">B2896-D2896</f>
        <v>0</v>
      </c>
    </row>
    <row r="2897" spans="1:5" x14ac:dyDescent="0.25">
      <c r="A2897" s="21">
        <v>2896</v>
      </c>
      <c r="B2897" s="5" cm="1">
        <f t="array" aca="1" ref="B2897" ca="1">interpolexp(A2897,serie_du,Taxas_DI)</f>
        <v>0.12786685850130208</v>
      </c>
      <c r="C2897" s="32">
        <f ca="1">((((1+B2897)^(A2897/252))/((1+B2896)^(A2896/252)))^(252/1))-1</f>
        <v>0.12781988894294938</v>
      </c>
      <c r="D2897" s="30">
        <v>0.12786685850130208</v>
      </c>
      <c r="E2897" s="31">
        <f ca="1">B2897-D2897</f>
        <v>0</v>
      </c>
    </row>
    <row r="2898" spans="1:5" x14ac:dyDescent="0.25">
      <c r="A2898" s="21">
        <v>2897</v>
      </c>
      <c r="B2898" s="5" cm="1">
        <f t="array" aca="1" ref="B2898" ca="1">interpolexp(A2898,serie_du,Taxas_DI)</f>
        <v>0.12786684228778267</v>
      </c>
      <c r="C2898" s="32">
        <f ca="1">((((1+B2898)^(A2898/252))/((1+B2897)^(A2897/252)))^(252/1))-1</f>
        <v>0.12781988891322138</v>
      </c>
      <c r="D2898" s="30">
        <v>0.12786684228778267</v>
      </c>
      <c r="E2898" s="31">
        <f ca="1">B2898-D2898</f>
        <v>0</v>
      </c>
    </row>
    <row r="2899" spans="1:5" x14ac:dyDescent="0.25">
      <c r="A2899" s="21">
        <v>2898</v>
      </c>
      <c r="B2899" s="5" cm="1">
        <f t="array" aca="1" ref="B2899" ca="1">interpolexp(A2899,serie_du,Taxas_DI)</f>
        <v>0.1278668260854543</v>
      </c>
      <c r="C2899" s="32">
        <f ca="1">((((1+B2899)^(A2899/252))/((1+B2898)^(A2898/252)))^(252/1))-1</f>
        <v>0.12781988891720508</v>
      </c>
      <c r="D2899" s="30">
        <v>0.1278668260854543</v>
      </c>
      <c r="E2899" s="31">
        <f ca="1">B2899-D2899</f>
        <v>0</v>
      </c>
    </row>
    <row r="2900" spans="1:5" x14ac:dyDescent="0.25">
      <c r="A2900" s="21">
        <v>2899</v>
      </c>
      <c r="B2900" s="5" cm="1">
        <f t="array" aca="1" ref="B2900" ca="1">interpolexp(A2900,serie_du,Taxas_DI)</f>
        <v>0.12786680989431698</v>
      </c>
      <c r="C2900" s="32">
        <f ca="1">((((1+B2900)^(A2900/252))/((1+B2899)^(A2899/252)))^(252/1))-1</f>
        <v>0.12781988895480989</v>
      </c>
      <c r="D2900" s="30">
        <v>0.12786680989431698</v>
      </c>
      <c r="E2900" s="31">
        <f ca="1">B2900-D2900</f>
        <v>0</v>
      </c>
    </row>
    <row r="2901" spans="1:5" x14ac:dyDescent="0.25">
      <c r="A2901" s="21">
        <v>2900</v>
      </c>
      <c r="B2901" s="5" cm="1">
        <f t="array" aca="1" ref="B2901" ca="1">interpolexp(A2901,serie_du,Taxas_DI)</f>
        <v>0.1278667937143263</v>
      </c>
      <c r="C2901" s="32">
        <f ca="1">((((1+B2901)^(A2901/252))/((1+B2900)^(A2900/252)))^(252/1))-1</f>
        <v>0.12781988889695328</v>
      </c>
      <c r="D2901" s="30">
        <v>0.1278667937143263</v>
      </c>
      <c r="E2901" s="31">
        <f ca="1">B2901-D2901</f>
        <v>0</v>
      </c>
    </row>
    <row r="2902" spans="1:5" x14ac:dyDescent="0.25">
      <c r="A2902" s="21">
        <v>2901</v>
      </c>
      <c r="B2902" s="5" cm="1">
        <f t="array" aca="1" ref="B2902" ca="1">interpolexp(A2902,serie_du,Taxas_DI)</f>
        <v>0.12786677754550446</v>
      </c>
      <c r="C2902" s="32">
        <f ca="1">((((1+B2902)^(A2902/252))/((1+B2901)^(A2901/252)))^(252/1))-1</f>
        <v>0.12781988893722329</v>
      </c>
      <c r="D2902" s="30">
        <v>0.12786677754550446</v>
      </c>
      <c r="E2902" s="31">
        <f ca="1">B2902-D2902</f>
        <v>0</v>
      </c>
    </row>
    <row r="2903" spans="1:5" x14ac:dyDescent="0.25">
      <c r="A2903" s="21">
        <v>2902</v>
      </c>
      <c r="B2903" s="5" cm="1">
        <f t="array" aca="1" ref="B2903" ca="1">interpolexp(A2903,serie_du,Taxas_DI)</f>
        <v>0.12786676138782926</v>
      </c>
      <c r="C2903" s="32">
        <f ca="1">((((1+B2903)^(A2903/252))/((1+B2902)^(A2902/252)))^(252/1))-1</f>
        <v>0.12781988894641771</v>
      </c>
      <c r="D2903" s="30">
        <v>0.12786676138782926</v>
      </c>
      <c r="E2903" s="31">
        <f ca="1">B2903-D2903</f>
        <v>0</v>
      </c>
    </row>
    <row r="2904" spans="1:5" x14ac:dyDescent="0.25">
      <c r="A2904" s="21">
        <v>2903</v>
      </c>
      <c r="B2904" s="5" cm="1">
        <f t="array" aca="1" ref="B2904" ca="1">interpolexp(A2904,serie_du,Taxas_DI)</f>
        <v>0.1278667452412785</v>
      </c>
      <c r="C2904" s="32">
        <f ca="1">((((1+B2904)^(A2904/252))/((1+B2903)^(A2903/252)))^(252/1))-1</f>
        <v>0.12781988892457585</v>
      </c>
      <c r="D2904" s="30">
        <v>0.1278667452412785</v>
      </c>
      <c r="E2904" s="31">
        <f ca="1">B2904-D2904</f>
        <v>0</v>
      </c>
    </row>
    <row r="2905" spans="1:5" x14ac:dyDescent="0.25">
      <c r="A2905" s="21">
        <v>2904</v>
      </c>
      <c r="B2905" s="5" cm="1">
        <f t="array" aca="1" ref="B2905" ca="1">interpolexp(A2905,serie_du,Taxas_DI)</f>
        <v>0.12786672910585217</v>
      </c>
      <c r="C2905" s="32">
        <f ca="1">((((1+B2905)^(A2905/252))/((1+B2904)^(A2904/252)))^(252/1))-1</f>
        <v>0.12781988893620944</v>
      </c>
      <c r="D2905" s="30">
        <v>0.12786672910585217</v>
      </c>
      <c r="E2905" s="31">
        <f ca="1">B2905-D2905</f>
        <v>0</v>
      </c>
    </row>
    <row r="2906" spans="1:5" x14ac:dyDescent="0.25">
      <c r="A2906" s="21">
        <v>2905</v>
      </c>
      <c r="B2906" s="5" cm="1">
        <f t="array" aca="1" ref="B2906" ca="1">interpolexp(A2906,serie_du,Taxas_DI)</f>
        <v>0.12786671298152807</v>
      </c>
      <c r="C2906" s="32">
        <f ca="1">((((1+B2906)^(A2906/252))/((1+B2905)^(A2905/252)))^(252/1))-1</f>
        <v>0.12781988891670371</v>
      </c>
      <c r="D2906" s="30">
        <v>0.12786671298152807</v>
      </c>
      <c r="E2906" s="31">
        <f ca="1">B2906-D2906</f>
        <v>0</v>
      </c>
    </row>
    <row r="2907" spans="1:5" x14ac:dyDescent="0.25">
      <c r="A2907" s="21">
        <v>2906</v>
      </c>
      <c r="B2907" s="5" cm="1">
        <f t="array" aca="1" ref="B2907" ca="1">interpolexp(A2907,serie_du,Taxas_DI)</f>
        <v>0.12786669686830621</v>
      </c>
      <c r="C2907" s="32">
        <f ca="1">((((1+B2907)^(A2907/252))/((1+B2906)^(A2906/252)))^(252/1))-1</f>
        <v>0.12781988893036877</v>
      </c>
      <c r="D2907" s="30">
        <v>0.12786669686830621</v>
      </c>
      <c r="E2907" s="31">
        <f ca="1">B2907-D2907</f>
        <v>0</v>
      </c>
    </row>
    <row r="2908" spans="1:5" x14ac:dyDescent="0.25">
      <c r="A2908" s="21">
        <v>2907</v>
      </c>
      <c r="B2908" s="5" cm="1">
        <f t="array" aca="1" ref="B2908" ca="1">interpolexp(A2908,serie_du,Taxas_DI)</f>
        <v>0.12786668076616436</v>
      </c>
      <c r="C2908" s="32">
        <f ca="1">((((1+B2908)^(A2908/252))/((1+B2907)^(A2907/252)))^(252/1))-1</f>
        <v>0.12781988891303331</v>
      </c>
      <c r="D2908" s="30">
        <v>0.12786668076616436</v>
      </c>
      <c r="E2908" s="31">
        <f ca="1">B2908-D2908</f>
        <v>0</v>
      </c>
    </row>
    <row r="2909" spans="1:5" x14ac:dyDescent="0.25">
      <c r="A2909" s="21">
        <v>2908</v>
      </c>
      <c r="B2909" s="5" cm="1">
        <f t="array" aca="1" ref="B2909" ca="1">interpolexp(A2909,serie_du,Taxas_DI)</f>
        <v>0.12786666467510255</v>
      </c>
      <c r="C2909" s="32">
        <f ca="1">((((1+B2909)^(A2909/252))/((1+B2908)^(A2908/252)))^(252/1))-1</f>
        <v>0.12781988892866947</v>
      </c>
      <c r="D2909" s="30">
        <v>0.12786666467510255</v>
      </c>
      <c r="E2909" s="31">
        <f ca="1">B2909-D2909</f>
        <v>0</v>
      </c>
    </row>
    <row r="2910" spans="1:5" x14ac:dyDescent="0.25">
      <c r="A2910" s="21">
        <v>2909</v>
      </c>
      <c r="B2910" s="5" cm="1">
        <f t="array" aca="1" ref="B2910" ca="1">interpolexp(A2910,serie_du,Taxas_DI)</f>
        <v>0.12786664859509855</v>
      </c>
      <c r="C2910" s="32">
        <f ca="1">((((1+B2910)^(A2910/252))/((1+B2909)^(A2909/252)))^(252/1))-1</f>
        <v>0.12781988891315943</v>
      </c>
      <c r="D2910" s="30">
        <v>0.12786664859509855</v>
      </c>
      <c r="E2910" s="31">
        <f ca="1">B2910-D2910</f>
        <v>0</v>
      </c>
    </row>
    <row r="2911" spans="1:5" x14ac:dyDescent="0.25">
      <c r="A2911" s="21">
        <v>2910</v>
      </c>
      <c r="B2911" s="5" cm="1">
        <f t="array" aca="1" ref="B2911" ca="1">interpolexp(A2911,serie_du,Taxas_DI)</f>
        <v>0.12786663252615238</v>
      </c>
      <c r="C2911" s="32">
        <f ca="1">((((1+B2911)^(A2911/252))/((1+B2910)^(A2910/252)))^(252/1))-1</f>
        <v>0.12781988893069784</v>
      </c>
      <c r="D2911" s="30">
        <v>0.12786663252615238</v>
      </c>
      <c r="E2911" s="31">
        <f ca="1">B2911-D2911</f>
        <v>0</v>
      </c>
    </row>
    <row r="2912" spans="1:5" x14ac:dyDescent="0.25">
      <c r="A2912" s="21">
        <v>2911</v>
      </c>
      <c r="B2912" s="5" cm="1">
        <f t="array" aca="1" ref="B2912" ca="1">interpolexp(A2912,serie_du,Taxas_DI)</f>
        <v>0.12786661646824182</v>
      </c>
      <c r="C2912" s="32">
        <f ca="1">((((1+B2912)^(A2912/252))/((1+B2911)^(A2911/252)))^(252/1))-1</f>
        <v>0.12781988891682983</v>
      </c>
      <c r="D2912" s="30">
        <v>0.12786661646824182</v>
      </c>
      <c r="E2912" s="31">
        <f ca="1">B2912-D2912</f>
        <v>0</v>
      </c>
    </row>
    <row r="2913" spans="1:5" x14ac:dyDescent="0.25">
      <c r="A2913" s="21">
        <v>2912</v>
      </c>
      <c r="B2913" s="5" cm="1">
        <f t="array" aca="1" ref="B2913" ca="1">interpolexp(A2913,serie_du,Taxas_DI)</f>
        <v>0.12786660042134468</v>
      </c>
      <c r="C2913" s="32">
        <f ca="1">((((1+B2913)^(A2913/252))/((1+B2912)^(A2912/252)))^(252/1))-1</f>
        <v>0.12781988887137019</v>
      </c>
      <c r="D2913" s="30">
        <v>0.12786660042134468</v>
      </c>
      <c r="E2913" s="31">
        <f ca="1">B2913-D2913</f>
        <v>0</v>
      </c>
    </row>
    <row r="2914" spans="1:5" x14ac:dyDescent="0.25">
      <c r="A2914" s="21">
        <v>2913</v>
      </c>
      <c r="B2914" s="5" cm="1">
        <f t="array" aca="1" ref="B2914" ca="1">interpolexp(A2914,serie_du,Taxas_DI)</f>
        <v>0.12786658438548315</v>
      </c>
      <c r="C2914" s="32">
        <f ca="1">((((1+B2914)^(A2914/252))/((1+B2913)^(A2913/252)))^(252/1))-1</f>
        <v>0.12781988892381646</v>
      </c>
      <c r="D2914" s="30">
        <v>0.12786658438548315</v>
      </c>
      <c r="E2914" s="31">
        <f ca="1">B2914-D2914</f>
        <v>0</v>
      </c>
    </row>
    <row r="2915" spans="1:5" x14ac:dyDescent="0.25">
      <c r="A2915" s="21">
        <v>2914</v>
      </c>
      <c r="B2915" s="5" cm="1">
        <f t="array" aca="1" ref="B2915" ca="1">interpolexp(A2915,serie_du,Taxas_DI)</f>
        <v>0.12786656836063504</v>
      </c>
      <c r="C2915" s="32">
        <f ca="1">((((1+B2915)^(A2915/252))/((1+B2914)^(A2914/252)))^(252/1))-1</f>
        <v>0.127819888944398</v>
      </c>
      <c r="D2915" s="30">
        <v>0.12786656836063504</v>
      </c>
      <c r="E2915" s="31">
        <f ca="1">B2915-D2915</f>
        <v>0</v>
      </c>
    </row>
    <row r="2916" spans="1:5" x14ac:dyDescent="0.25">
      <c r="A2916" s="21">
        <v>2915</v>
      </c>
      <c r="B2916" s="5" cm="1">
        <f t="array" aca="1" ref="B2916" ca="1">interpolexp(A2916,serie_du,Taxas_DI)</f>
        <v>0.12786655234677813</v>
      </c>
      <c r="C2916" s="32">
        <f ca="1">((((1+B2916)^(A2916/252))/((1+B2915)^(A2915/252)))^(252/1))-1</f>
        <v>0.12781988893334884</v>
      </c>
      <c r="D2916" s="30">
        <v>0.12786655234677813</v>
      </c>
      <c r="E2916" s="31">
        <f ca="1">B2916-D2916</f>
        <v>0</v>
      </c>
    </row>
    <row r="2917" spans="1:5" x14ac:dyDescent="0.25">
      <c r="A2917" s="21">
        <v>2916</v>
      </c>
      <c r="B2917" s="5" cm="1">
        <f t="array" aca="1" ref="B2917" ca="1">interpolexp(A2917,serie_du,Taxas_DI)</f>
        <v>0.12786653634389022</v>
      </c>
      <c r="C2917" s="32">
        <f ca="1">((((1+B2917)^(A2917/252))/((1+B2916)^(A2916/252)))^(252/1))-1</f>
        <v>0.12781988889071516</v>
      </c>
      <c r="D2917" s="30">
        <v>0.12786653634389022</v>
      </c>
      <c r="E2917" s="31">
        <f ca="1">B2917-D2917</f>
        <v>0</v>
      </c>
    </row>
    <row r="2918" spans="1:5" x14ac:dyDescent="0.25">
      <c r="A2918" s="21">
        <v>2917</v>
      </c>
      <c r="B2918" s="5" cm="1">
        <f t="array" aca="1" ref="B2918" ca="1">interpolexp(A2918,serie_du,Taxas_DI)</f>
        <v>0.12786652035199353</v>
      </c>
      <c r="C2918" s="32">
        <f ca="1">((((1+B2918)^(A2918/252))/((1+B2917)^(A2917/252)))^(252/1))-1</f>
        <v>0.12781988894560015</v>
      </c>
      <c r="D2918" s="30">
        <v>0.12786652035199353</v>
      </c>
      <c r="E2918" s="31">
        <f ca="1">B2918-D2918</f>
        <v>0</v>
      </c>
    </row>
    <row r="2919" spans="1:5" x14ac:dyDescent="0.25">
      <c r="A2919" s="21">
        <v>2918</v>
      </c>
      <c r="B2919" s="5" cm="1">
        <f t="array" aca="1" ref="B2919" ca="1">interpolexp(A2919,serie_du,Taxas_DI)</f>
        <v>0.12786650437104363</v>
      </c>
      <c r="C2919" s="32">
        <f ca="1">((((1+B2919)^(A2919/252))/((1+B2918)^(A2918/252)))^(252/1))-1</f>
        <v>0.12781988890383889</v>
      </c>
      <c r="D2919" s="30">
        <v>0.12786650437104363</v>
      </c>
      <c r="E2919" s="31">
        <f ca="1">B2919-D2919</f>
        <v>0</v>
      </c>
    </row>
    <row r="2920" spans="1:5" x14ac:dyDescent="0.25">
      <c r="A2920" s="21">
        <v>2919</v>
      </c>
      <c r="B2920" s="5" cm="1">
        <f t="array" aca="1" ref="B2920" ca="1">interpolexp(A2920,serie_du,Taxas_DI)</f>
        <v>0.12786648840104053</v>
      </c>
      <c r="C2920" s="32">
        <f ca="1">((((1+B2920)^(A2920/252))/((1+B2919)^(A2919/252)))^(252/1))-1</f>
        <v>0.12781988889506368</v>
      </c>
      <c r="D2920" s="30">
        <v>0.12786648840104053</v>
      </c>
      <c r="E2920" s="31">
        <f ca="1">B2920-D2920</f>
        <v>0</v>
      </c>
    </row>
    <row r="2921" spans="1:5" x14ac:dyDescent="0.25">
      <c r="A2921" s="21">
        <v>2920</v>
      </c>
      <c r="B2921" s="5" cm="1">
        <f t="array" aca="1" ref="B2921" ca="1">interpolexp(A2921,serie_du,Taxas_DI)</f>
        <v>0.12786647244198424</v>
      </c>
      <c r="C2921" s="32">
        <f ca="1">((((1+B2921)^(A2921/252))/((1+B2920)^(A2920/252)))^(252/1))-1</f>
        <v>0.12781988891896678</v>
      </c>
      <c r="D2921" s="30">
        <v>0.12786647244198424</v>
      </c>
      <c r="E2921" s="31">
        <f ca="1">B2921-D2921</f>
        <v>0</v>
      </c>
    </row>
    <row r="2922" spans="1:5" x14ac:dyDescent="0.25">
      <c r="A2922" s="21">
        <v>2921</v>
      </c>
      <c r="B2922" s="5" cm="1">
        <f t="array" aca="1" ref="B2922" ca="1">interpolexp(A2922,serie_du,Taxas_DI)</f>
        <v>0.12786645649385253</v>
      </c>
      <c r="C2922" s="32">
        <f ca="1">((((1+B2922)^(A2922/252))/((1+B2921)^(A2921/252)))^(252/1))-1</f>
        <v>0.12781988891101359</v>
      </c>
      <c r="D2922" s="30">
        <v>0.12786645649385253</v>
      </c>
      <c r="E2922" s="31">
        <f ca="1">B2922-D2922</f>
        <v>0</v>
      </c>
    </row>
    <row r="2923" spans="1:5" x14ac:dyDescent="0.25">
      <c r="A2923" s="21">
        <v>2922</v>
      </c>
      <c r="B2923" s="5" cm="1">
        <f t="array" aca="1" ref="B2923" ca="1">interpolexp(A2923,serie_du,Taxas_DI)</f>
        <v>0.12786644055664542</v>
      </c>
      <c r="C2923" s="32">
        <f ca="1">((((1+B2923)^(A2923/252))/((1+B2922)^(A2922/252)))^(252/1))-1</f>
        <v>0.12781988893564233</v>
      </c>
      <c r="D2923" s="30">
        <v>0.12786644055664542</v>
      </c>
      <c r="E2923" s="31">
        <f ca="1">B2923-D2923</f>
        <v>0</v>
      </c>
    </row>
    <row r="2924" spans="1:5" x14ac:dyDescent="0.25">
      <c r="A2924" s="21">
        <v>2923</v>
      </c>
      <c r="B2924" s="5" cm="1">
        <f t="array" aca="1" ref="B2924" ca="1">interpolexp(A2924,serie_du,Taxas_DI)</f>
        <v>0.1278664246303185</v>
      </c>
      <c r="C2924" s="32">
        <f ca="1">((((1+B2924)^(A2924/252))/((1+B2923)^(A2923/252)))^(252/1))-1</f>
        <v>0.12781988886344853</v>
      </c>
      <c r="D2924" s="30">
        <v>0.1278664246303185</v>
      </c>
      <c r="E2924" s="31">
        <f ca="1">B2924-D2924</f>
        <v>0</v>
      </c>
    </row>
    <row r="2925" spans="1:5" x14ac:dyDescent="0.25">
      <c r="A2925" s="21">
        <v>2924</v>
      </c>
      <c r="B2925" s="5" cm="1">
        <f t="array" aca="1" ref="B2925" ca="1">interpolexp(A2925,serie_du,Taxas_DI)</f>
        <v>0.12786640871491617</v>
      </c>
      <c r="C2925" s="32">
        <f ca="1">((((1+B2925)^(A2925/252))/((1+B2924)^(A2924/252)))^(252/1))-1</f>
        <v>0.12781988895361573</v>
      </c>
      <c r="D2925" s="30">
        <v>0.12786640871491617</v>
      </c>
      <c r="E2925" s="31">
        <f ca="1">B2925-D2925</f>
        <v>0</v>
      </c>
    </row>
    <row r="2926" spans="1:5" x14ac:dyDescent="0.25">
      <c r="A2926" s="21">
        <v>2925</v>
      </c>
      <c r="B2926" s="5" cm="1">
        <f t="array" aca="1" ref="B2926" ca="1">interpolexp(A2926,serie_du,Taxas_DI)</f>
        <v>0.12786639281037182</v>
      </c>
      <c r="C2926" s="32">
        <f ca="1">((((1+B2926)^(A2926/252))/((1+B2925)^(A2925/252)))^(252/1))-1</f>
        <v>0.12781988888183693</v>
      </c>
      <c r="D2926" s="30">
        <v>0.12786639281037182</v>
      </c>
      <c r="E2926" s="31">
        <f ca="1">B2926-D2926</f>
        <v>0</v>
      </c>
    </row>
    <row r="2927" spans="1:5" x14ac:dyDescent="0.25">
      <c r="A2927" s="21">
        <v>2926</v>
      </c>
      <c r="B2927" s="5" cm="1">
        <f t="array" aca="1" ref="B2927" ca="1">interpolexp(A2927,serie_du,Taxas_DI)</f>
        <v>0.12786637691670766</v>
      </c>
      <c r="C2927" s="32">
        <f ca="1">((((1+B2927)^(A2927/252))/((1+B2926)^(A2926/252)))^(252/1))-1</f>
        <v>0.12781988890736162</v>
      </c>
      <c r="D2927" s="30">
        <v>0.12786637691670766</v>
      </c>
      <c r="E2927" s="31">
        <f ca="1">B2927-D2927</f>
        <v>0</v>
      </c>
    </row>
    <row r="2928" spans="1:5" x14ac:dyDescent="0.25">
      <c r="A2928" s="21">
        <v>2927</v>
      </c>
      <c r="B2928" s="5" cm="1">
        <f t="array" aca="1" ref="B2928" ca="1">interpolexp(A2928,serie_du,Taxas_DI)</f>
        <v>0.12786636103390148</v>
      </c>
      <c r="C2928" s="32">
        <f ca="1">((((1+B2928)^(A2928/252))/((1+B2927)^(A2927/252)))^(252/1))-1</f>
        <v>0.12781988890075047</v>
      </c>
      <c r="D2928" s="30">
        <v>0.12786636103390148</v>
      </c>
      <c r="E2928" s="31">
        <f ca="1">B2928-D2928</f>
        <v>0</v>
      </c>
    </row>
    <row r="2929" spans="1:5" x14ac:dyDescent="0.25">
      <c r="A2929" s="21">
        <v>2928</v>
      </c>
      <c r="B2929" s="5" cm="1">
        <f t="array" aca="1" ref="B2929" ca="1">interpolexp(A2929,serie_du,Taxas_DI)</f>
        <v>0.12786634516195328</v>
      </c>
      <c r="C2929" s="32">
        <f ca="1">((((1+B2929)^(A2929/252))/((1+B2928)^(A2928/252)))^(252/1))-1</f>
        <v>0.12781988892671392</v>
      </c>
      <c r="D2929" s="30">
        <v>0.12786634516195328</v>
      </c>
      <c r="E2929" s="31">
        <f ca="1">B2929-D2929</f>
        <v>0</v>
      </c>
    </row>
    <row r="2930" spans="1:5" x14ac:dyDescent="0.25">
      <c r="A2930" s="21">
        <v>2929</v>
      </c>
      <c r="B2930" s="5" cm="1">
        <f t="array" aca="1" ref="B2930" ca="1">interpolexp(A2930,serie_du,Taxas_DI)</f>
        <v>0.12786632930084085</v>
      </c>
      <c r="C2930" s="32">
        <f ca="1">((((1+B2930)^(A2930/252))/((1+B2929)^(A2929/252)))^(252/1))-1</f>
        <v>0.12781988892010632</v>
      </c>
      <c r="D2930" s="30">
        <v>0.12786632930084085</v>
      </c>
      <c r="E2930" s="31">
        <f ca="1">B2930-D2930</f>
        <v>0</v>
      </c>
    </row>
    <row r="2931" spans="1:5" x14ac:dyDescent="0.25">
      <c r="A2931" s="21">
        <v>2930</v>
      </c>
      <c r="B2931" s="5" cm="1">
        <f t="array" aca="1" ref="B2931" ca="1">interpolexp(A2931,serie_du,Taxas_DI)</f>
        <v>0.127866313450542</v>
      </c>
      <c r="C2931" s="32">
        <f ca="1">((((1+B2931)^(A2931/252))/((1+B2930)^(A2930/252)))^(252/1))-1</f>
        <v>0.12781988888093965</v>
      </c>
      <c r="D2931" s="30">
        <v>0.127866313450542</v>
      </c>
      <c r="E2931" s="31">
        <f ca="1">B2931-D2931</f>
        <v>0</v>
      </c>
    </row>
    <row r="2932" spans="1:5" x14ac:dyDescent="0.25">
      <c r="A2932" s="21">
        <v>2931</v>
      </c>
      <c r="B2932" s="5" cm="1">
        <f t="array" aca="1" ref="B2932" ca="1">interpolexp(A2932,serie_du,Taxas_DI)</f>
        <v>0.12786629761107893</v>
      </c>
      <c r="C2932" s="32">
        <f ca="1">((((1+B2932)^(A2932/252))/((1+B2931)^(A2931/252)))^(252/1))-1</f>
        <v>0.1278198889395481</v>
      </c>
      <c r="D2932" s="30">
        <v>0.12786629761107893</v>
      </c>
      <c r="E2932" s="31">
        <f ca="1">B2932-D2932</f>
        <v>0</v>
      </c>
    </row>
    <row r="2933" spans="1:5" x14ac:dyDescent="0.25">
      <c r="A2933" s="21">
        <v>2932</v>
      </c>
      <c r="B2933" s="5" cm="1">
        <f t="array" aca="1" ref="B2933" ca="1">interpolexp(A2933,serie_du,Taxas_DI)</f>
        <v>0.12786628178240722</v>
      </c>
      <c r="C2933" s="32">
        <f ca="1">((((1+B2933)^(A2933/252))/((1+B2932)^(A2932/252)))^(252/1))-1</f>
        <v>0.12781988890012341</v>
      </c>
      <c r="D2933" s="30">
        <v>0.12786628178240722</v>
      </c>
      <c r="E2933" s="31">
        <f ca="1">B2933-D2933</f>
        <v>0</v>
      </c>
    </row>
    <row r="2934" spans="1:5" x14ac:dyDescent="0.25">
      <c r="A2934" s="21">
        <v>2933</v>
      </c>
      <c r="B2934" s="5" cm="1">
        <f t="array" aca="1" ref="B2934" ca="1">interpolexp(A2934,serie_du,Taxas_DI)</f>
        <v>0.12786626596452688</v>
      </c>
      <c r="C2934" s="32">
        <f ca="1">((((1+B2934)^(A2934/252))/((1+B2933)^(A2933/252)))^(252/1))-1</f>
        <v>0.12781988889317586</v>
      </c>
      <c r="D2934" s="30">
        <v>0.12786626596452688</v>
      </c>
      <c r="E2934" s="31">
        <f ca="1">B2934-D2934</f>
        <v>0</v>
      </c>
    </row>
    <row r="2935" spans="1:5" x14ac:dyDescent="0.25">
      <c r="A2935" s="21">
        <v>2934</v>
      </c>
      <c r="B2935" s="5" cm="1">
        <f t="array" aca="1" ref="B2935" ca="1">interpolexp(A2935,serie_du,Taxas_DI)</f>
        <v>0.12786625015743791</v>
      </c>
      <c r="C2935" s="32">
        <f ca="1">((((1+B2935)^(A2935/252))/((1+B2934)^(A2934/252)))^(252/1))-1</f>
        <v>0.1278198889187161</v>
      </c>
      <c r="D2935" s="30">
        <v>0.12786625015743791</v>
      </c>
      <c r="E2935" s="31">
        <f ca="1">B2935-D2935</f>
        <v>0</v>
      </c>
    </row>
    <row r="2936" spans="1:5" x14ac:dyDescent="0.25">
      <c r="A2936" s="21">
        <v>2935</v>
      </c>
      <c r="B2936" s="5" cm="1">
        <f t="array" aca="1" ref="B2936" ca="1">interpolexp(A2936,serie_du,Taxas_DI)</f>
        <v>0.1278662343611181</v>
      </c>
      <c r="C2936" s="32">
        <f ca="1">((((1+B2936)^(A2936/252))/((1+B2935)^(A2935/252)))^(252/1))-1</f>
        <v>0.12781988891132623</v>
      </c>
      <c r="D2936" s="30">
        <v>0.1278662343611181</v>
      </c>
      <c r="E2936" s="31">
        <f ca="1">B2936-D2936</f>
        <v>0</v>
      </c>
    </row>
    <row r="2937" spans="1:5" x14ac:dyDescent="0.25">
      <c r="A2937" s="21">
        <v>2936</v>
      </c>
      <c r="B2937" s="5" cm="1">
        <f t="array" aca="1" ref="B2937" ca="1">interpolexp(A2937,serie_du,Taxas_DI)</f>
        <v>0.12786621857554525</v>
      </c>
      <c r="C2937" s="32">
        <f ca="1">((((1+B2937)^(A2937/252))/((1+B2936)^(A2936/252)))^(252/1))-1</f>
        <v>0.12781988887111595</v>
      </c>
      <c r="D2937" s="30">
        <v>0.12786621857554525</v>
      </c>
      <c r="E2937" s="31">
        <f ca="1">B2937-D2937</f>
        <v>0</v>
      </c>
    </row>
    <row r="2938" spans="1:5" x14ac:dyDescent="0.25">
      <c r="A2938" s="21">
        <v>2937</v>
      </c>
      <c r="B2938" s="5" cm="1">
        <f t="array" aca="1" ref="B2938" ca="1">interpolexp(A2938,serie_du,Taxas_DI)</f>
        <v>0.12786620280074157</v>
      </c>
      <c r="C2938" s="32">
        <f ca="1">((((1+B2938)^(A2938/252))/((1+B2937)^(A2937/252)))^(252/1))-1</f>
        <v>0.12781988892841967</v>
      </c>
      <c r="D2938" s="30">
        <v>0.12786620280074157</v>
      </c>
      <c r="E2938" s="31">
        <f ca="1">B2938-D2938</f>
        <v>0</v>
      </c>
    </row>
    <row r="2939" spans="1:5" x14ac:dyDescent="0.25">
      <c r="A2939" s="21">
        <v>2938</v>
      </c>
      <c r="B2939" s="5" cm="1">
        <f t="array" aca="1" ref="B2939" ca="1">interpolexp(A2939,serie_du,Taxas_DI)</f>
        <v>0.12786618703666264</v>
      </c>
      <c r="C2939" s="32">
        <f ca="1">((((1+B2939)^(A2939/252))/((1+B2938)^(A2938/252)))^(252/1))-1</f>
        <v>0.12781988888744622</v>
      </c>
      <c r="D2939" s="30">
        <v>0.12786618703666264</v>
      </c>
      <c r="E2939" s="31">
        <f ca="1">B2939-D2939</f>
        <v>0</v>
      </c>
    </row>
    <row r="2940" spans="1:5" x14ac:dyDescent="0.25">
      <c r="A2940" s="21">
        <v>2939</v>
      </c>
      <c r="B2940" s="5" cm="1">
        <f t="array" aca="1" ref="B2940" ca="1">interpolexp(A2940,serie_du,Taxas_DI)</f>
        <v>0.12786617128330846</v>
      </c>
      <c r="C2940" s="32">
        <f ca="1">((((1+B2940)^(A2940/252))/((1+B2939)^(A2939/252)))^(252/1))-1</f>
        <v>0.12781988887873341</v>
      </c>
      <c r="D2940" s="30">
        <v>0.12786617128330846</v>
      </c>
      <c r="E2940" s="31">
        <f ca="1">B2940-D2940</f>
        <v>0</v>
      </c>
    </row>
    <row r="2941" spans="1:5" x14ac:dyDescent="0.25">
      <c r="A2941" s="21">
        <v>2940</v>
      </c>
      <c r="B2941" s="5" cm="1">
        <f t="array" aca="1" ref="B2941" ca="1">interpolexp(A2941,serie_du,Taxas_DI)</f>
        <v>0.12786615554067904</v>
      </c>
      <c r="C2941" s="32">
        <f ca="1">((((1+B2941)^(A2941/252))/((1+B2940)^(A2940/252)))^(252/1))-1</f>
        <v>0.12781988890206941</v>
      </c>
      <c r="D2941" s="30">
        <v>0.12786615554067904</v>
      </c>
      <c r="E2941" s="31">
        <f ca="1">B2941-D2941</f>
        <v>0</v>
      </c>
    </row>
    <row r="2942" spans="1:5" x14ac:dyDescent="0.25">
      <c r="A2942" s="21">
        <v>2941</v>
      </c>
      <c r="B2942" s="5" cm="1">
        <f t="array" aca="1" ref="B2942" ca="1">interpolexp(A2942,serie_du,Taxas_DI)</f>
        <v>0.12786613980877437</v>
      </c>
      <c r="C2942" s="32">
        <f ca="1">((((1+B2942)^(A2942/252))/((1+B2941)^(A2941/252)))^(252/1))-1</f>
        <v>0.12781988895777197</v>
      </c>
      <c r="D2942" s="30">
        <v>0.12786613980877437</v>
      </c>
      <c r="E2942" s="31">
        <f ca="1">B2942-D2942</f>
        <v>0</v>
      </c>
    </row>
    <row r="2943" spans="1:5" x14ac:dyDescent="0.25">
      <c r="A2943" s="21">
        <v>2942</v>
      </c>
      <c r="B2943" s="5" cm="1">
        <f t="array" aca="1" ref="B2943" ca="1">interpolexp(A2943,serie_du,Taxas_DI)</f>
        <v>0.12786612408752784</v>
      </c>
      <c r="C2943" s="32">
        <f ca="1">((((1+B2943)^(A2943/252))/((1+B2942)^(A2942/252)))^(252/1))-1</f>
        <v>0.12781988884945839</v>
      </c>
      <c r="D2943" s="30">
        <v>0.12786612408752784</v>
      </c>
      <c r="E2943" s="31">
        <f ca="1">B2943-D2943</f>
        <v>0</v>
      </c>
    </row>
    <row r="2944" spans="1:5" x14ac:dyDescent="0.25">
      <c r="A2944" s="21">
        <v>2943</v>
      </c>
      <c r="B2944" s="5" cm="1">
        <f t="array" aca="1" ref="B2944" ca="1">interpolexp(A2944,serie_du,Taxas_DI)</f>
        <v>0.12786610837698387</v>
      </c>
      <c r="C2944" s="32">
        <f ca="1">((((1+B2944)^(A2944/252))/((1+B2943)^(A2943/252)))^(252/1))-1</f>
        <v>0.12781988890402718</v>
      </c>
      <c r="D2944" s="30">
        <v>0.12786610837698387</v>
      </c>
      <c r="E2944" s="31">
        <f ca="1">B2944-D2944</f>
        <v>0</v>
      </c>
    </row>
    <row r="2945" spans="1:5" x14ac:dyDescent="0.25">
      <c r="A2945" s="21">
        <v>2944</v>
      </c>
      <c r="B2945" s="5" cm="1">
        <f t="array" aca="1" ref="B2945" ca="1">interpolexp(A2945,serie_du,Taxas_DI)</f>
        <v>0.12786609267712024</v>
      </c>
      <c r="C2945" s="32">
        <f ca="1">((((1+B2945)^(A2945/252))/((1+B2944)^(A2944/252)))^(252/1))-1</f>
        <v>0.12781988892508078</v>
      </c>
      <c r="D2945" s="30">
        <v>0.12786609267712024</v>
      </c>
      <c r="E2945" s="31">
        <f ca="1">B2945-D2945</f>
        <v>0</v>
      </c>
    </row>
    <row r="2946" spans="1:5" x14ac:dyDescent="0.25">
      <c r="A2946" s="21">
        <v>2945</v>
      </c>
      <c r="B2946" s="5" cm="1">
        <f t="array" aca="1" ref="B2946" ca="1">interpolexp(A2946,serie_du,Taxas_DI)</f>
        <v>0.12786607698791475</v>
      </c>
      <c r="C2946" s="32">
        <f ca="1">((((1+B2946)^(A2946/252))/((1+B2945)^(A2945/252)))^(252/1))-1</f>
        <v>0.12781988891309548</v>
      </c>
      <c r="D2946" s="30">
        <v>0.12786607698791475</v>
      </c>
      <c r="E2946" s="31">
        <f ca="1">B2946-D2946</f>
        <v>0</v>
      </c>
    </row>
    <row r="2947" spans="1:5" x14ac:dyDescent="0.25">
      <c r="A2947" s="21">
        <v>2946</v>
      </c>
      <c r="B2947" s="5" cm="1">
        <f t="array" aca="1" ref="B2947" ca="1">interpolexp(A2947,serie_du,Taxas_DI)</f>
        <v>0.12786606130934519</v>
      </c>
      <c r="C2947" s="32">
        <f ca="1">((((1+B2947)^(A2947/252))/((1+B2946)^(A2946/252)))^(252/1))-1</f>
        <v>0.12781988886743201</v>
      </c>
      <c r="D2947" s="30">
        <v>0.12786606130934519</v>
      </c>
      <c r="E2947" s="31">
        <f ca="1">B2947-D2947</f>
        <v>0</v>
      </c>
    </row>
    <row r="2948" spans="1:5" x14ac:dyDescent="0.25">
      <c r="A2948" s="21">
        <v>2947</v>
      </c>
      <c r="B2948" s="5" cm="1">
        <f t="array" aca="1" ref="B2948" ca="1">interpolexp(A2948,serie_du,Taxas_DI)</f>
        <v>0.12786604564143378</v>
      </c>
      <c r="C2948" s="32">
        <f ca="1">((((1+B2948)^(A2948/252))/((1+B2947)^(A2947/252)))^(252/1))-1</f>
        <v>0.12781988891921725</v>
      </c>
      <c r="D2948" s="30">
        <v>0.12786604564143378</v>
      </c>
      <c r="E2948" s="31">
        <f ca="1">B2948-D2948</f>
        <v>0</v>
      </c>
    </row>
    <row r="2949" spans="1:5" x14ac:dyDescent="0.25">
      <c r="A2949" s="21">
        <v>2948</v>
      </c>
      <c r="B2949" s="5" cm="1">
        <f t="array" aca="1" ref="B2949" ca="1">interpolexp(A2949,serie_du,Taxas_DI)</f>
        <v>0.1278660299841361</v>
      </c>
      <c r="C2949" s="32">
        <f ca="1">((((1+B2949)^(A2949/252))/((1+B2948)^(A2948/252)))^(252/1))-1</f>
        <v>0.12781988887199569</v>
      </c>
      <c r="D2949" s="30">
        <v>0.1278660299841361</v>
      </c>
      <c r="E2949" s="31">
        <f ca="1">B2949-D2949</f>
        <v>0</v>
      </c>
    </row>
    <row r="2950" spans="1:5" x14ac:dyDescent="0.25">
      <c r="A2950" s="21">
        <v>2949</v>
      </c>
      <c r="B2950" s="5" cm="1">
        <f t="array" aca="1" ref="B2950" ca="1">interpolexp(A2950,serie_du,Taxas_DI)</f>
        <v>0.12786601433745215</v>
      </c>
      <c r="C2950" s="32">
        <f ca="1">((((1+B2950)^(A2950/252))/((1+B2949)^(A2949/252)))^(252/1))-1</f>
        <v>0.12781988885664108</v>
      </c>
      <c r="D2950" s="30">
        <v>0.12786601433745215</v>
      </c>
      <c r="E2950" s="31">
        <f ca="1">B2950-D2950</f>
        <v>0</v>
      </c>
    </row>
    <row r="2951" spans="1:5" x14ac:dyDescent="0.25">
      <c r="A2951" s="21">
        <v>2950</v>
      </c>
      <c r="B2951" s="5" cm="1">
        <f t="array" aca="1" ref="B2951" ca="1">interpolexp(A2951,serie_du,Taxas_DI)</f>
        <v>0.12786599870140414</v>
      </c>
      <c r="C2951" s="32">
        <f ca="1">((((1+B2951)^(A2951/252))/((1+B2950)^(A2950/252)))^(252/1))-1</f>
        <v>0.12781988893873053</v>
      </c>
      <c r="D2951" s="30">
        <v>0.12786599870140414</v>
      </c>
      <c r="E2951" s="31">
        <f ca="1">B2951-D2951</f>
        <v>0</v>
      </c>
    </row>
    <row r="2952" spans="1:5" x14ac:dyDescent="0.25">
      <c r="A2952" s="21">
        <v>2951</v>
      </c>
      <c r="B2952" s="5" cm="1">
        <f t="array" aca="1" ref="B2952" ca="1">interpolexp(A2952,serie_du,Taxas_DI)</f>
        <v>0.12786598307592545</v>
      </c>
      <c r="C2952" s="32">
        <f ca="1">((((1+B2952)^(A2952/252))/((1+B2951)^(A2951/252)))^(252/1))-1</f>
        <v>0.12781988885607753</v>
      </c>
      <c r="D2952" s="30">
        <v>0.12786598307592545</v>
      </c>
      <c r="E2952" s="31">
        <f ca="1">B2952-D2952</f>
        <v>0</v>
      </c>
    </row>
    <row r="2953" spans="1:5" x14ac:dyDescent="0.25">
      <c r="A2953" s="21">
        <v>2952</v>
      </c>
      <c r="B2953" s="5" cm="1">
        <f t="array" aca="1" ref="B2953" ca="1">interpolexp(A2953,serie_du,Taxas_DI)</f>
        <v>0.12786596746106049</v>
      </c>
      <c r="C2953" s="32">
        <f ca="1">((((1+B2953)^(A2953/252))/((1+B2952)^(A2952/252)))^(252/1))-1</f>
        <v>0.12781988893620944</v>
      </c>
      <c r="D2953" s="30">
        <v>0.12786596746106049</v>
      </c>
      <c r="E2953" s="31">
        <f ca="1">B2953-D2953</f>
        <v>0</v>
      </c>
    </row>
    <row r="2954" spans="1:5" x14ac:dyDescent="0.25">
      <c r="A2954" s="21">
        <v>2953</v>
      </c>
      <c r="B2954" s="5" cm="1">
        <f t="array" aca="1" ref="B2954" ca="1">interpolexp(A2954,serie_du,Taxas_DI)</f>
        <v>0.12786595185674265</v>
      </c>
      <c r="C2954" s="32">
        <f ca="1">((((1+B2954)^(A2954/252))/((1+B2953)^(A2953/252)))^(252/1))-1</f>
        <v>0.12781988885147832</v>
      </c>
      <c r="D2954" s="30">
        <v>0.12786595185674265</v>
      </c>
      <c r="E2954" s="31">
        <f ca="1">B2954-D2954</f>
        <v>0</v>
      </c>
    </row>
    <row r="2955" spans="1:5" x14ac:dyDescent="0.25">
      <c r="A2955" s="21">
        <v>2954</v>
      </c>
      <c r="B2955" s="5" cm="1">
        <f t="array" aca="1" ref="B2955" ca="1">interpolexp(A2955,serie_du,Taxas_DI)</f>
        <v>0.12786593626301634</v>
      </c>
      <c r="C2955" s="32">
        <f ca="1">((((1+B2955)^(A2955/252))/((1+B2954)^(A2954/252)))^(252/1))-1</f>
        <v>0.12781988892948726</v>
      </c>
      <c r="D2955" s="30">
        <v>0.12786593626301634</v>
      </c>
      <c r="E2955" s="31">
        <f ca="1">B2955-D2955</f>
        <v>0</v>
      </c>
    </row>
    <row r="2956" spans="1:5" x14ac:dyDescent="0.25">
      <c r="A2956" s="21">
        <v>2955</v>
      </c>
      <c r="B2956" s="5" cm="1">
        <f t="array" aca="1" ref="B2956" ca="1">interpolexp(A2956,serie_du,Taxas_DI)</f>
        <v>0.12786592067983715</v>
      </c>
      <c r="C2956" s="32">
        <f ca="1">((((1+B2956)^(A2956/252))/((1+B2955)^(A2955/252)))^(252/1))-1</f>
        <v>0.12781988890818319</v>
      </c>
      <c r="D2956" s="30">
        <v>0.12786592067983715</v>
      </c>
      <c r="E2956" s="31">
        <f ca="1">B2956-D2956</f>
        <v>0</v>
      </c>
    </row>
    <row r="2957" spans="1:5" x14ac:dyDescent="0.25">
      <c r="A2957" s="21">
        <v>2956</v>
      </c>
      <c r="B2957" s="5" cm="1">
        <f t="array" aca="1" ref="B2957" ca="1">interpolexp(A2957,serie_du,Taxas_DI)</f>
        <v>0.12786590510718288</v>
      </c>
      <c r="C2957" s="32">
        <f ca="1">((((1+B2957)^(A2957/252))/((1+B2956)^(A2956/252)))^(252/1))-1</f>
        <v>0.12781988885285966</v>
      </c>
      <c r="D2957" s="30">
        <v>0.12786590510718288</v>
      </c>
      <c r="E2957" s="31">
        <f ca="1">B2957-D2957</f>
        <v>0</v>
      </c>
    </row>
    <row r="2958" spans="1:5" x14ac:dyDescent="0.25">
      <c r="A2958" s="21">
        <v>2957</v>
      </c>
      <c r="B2958" s="5" cm="1">
        <f t="array" aca="1" ref="B2958" ca="1">interpolexp(A2958,serie_du,Taxas_DI)</f>
        <v>0.12786588954507572</v>
      </c>
      <c r="C2958" s="32">
        <f ca="1">((((1+B2958)^(A2958/252))/((1+B2957)^(A2957/252)))^(252/1))-1</f>
        <v>0.12781988889474527</v>
      </c>
      <c r="D2958" s="30">
        <v>0.12786588954507572</v>
      </c>
      <c r="E2958" s="31">
        <f ca="1">B2958-D2958</f>
        <v>0</v>
      </c>
    </row>
    <row r="2959" spans="1:5" x14ac:dyDescent="0.25">
      <c r="A2959" s="21">
        <v>2958</v>
      </c>
      <c r="B2959" s="5" cm="1">
        <f t="array" aca="1" ref="B2959" ca="1">interpolexp(A2959,serie_du,Taxas_DI)</f>
        <v>0.12786587399349347</v>
      </c>
      <c r="C2959" s="32">
        <f ca="1">((((1+B2959)^(A2959/252))/((1+B2958)^(A2958/252)))^(252/1))-1</f>
        <v>0.12781988890257456</v>
      </c>
      <c r="D2959" s="30">
        <v>0.12786587399349347</v>
      </c>
      <c r="E2959" s="31">
        <f ca="1">B2959-D2959</f>
        <v>0</v>
      </c>
    </row>
    <row r="2960" spans="1:5" x14ac:dyDescent="0.25">
      <c r="A2960" s="21">
        <v>2959</v>
      </c>
      <c r="B2960" s="5" cm="1">
        <f t="array" aca="1" ref="B2960" ca="1">interpolexp(A2960,serie_du,Taxas_DI)</f>
        <v>0.12786585845241394</v>
      </c>
      <c r="C2960" s="32">
        <f ca="1">((((1+B2960)^(A2960/252))/((1+B2959)^(A2959/252)))^(252/1))-1</f>
        <v>0.12781988887634066</v>
      </c>
      <c r="D2960" s="30">
        <v>0.12786585845241394</v>
      </c>
      <c r="E2960" s="31">
        <f ca="1">B2960-D2960</f>
        <v>0</v>
      </c>
    </row>
    <row r="2961" spans="1:5" x14ac:dyDescent="0.25">
      <c r="A2961" s="21">
        <v>2960</v>
      </c>
      <c r="B2961" s="5" cm="1">
        <f t="array" aca="1" ref="B2961" ca="1">interpolexp(A2961,serie_du,Taxas_DI)</f>
        <v>0.12786584292183711</v>
      </c>
      <c r="C2961" s="32">
        <f ca="1">((((1+B2961)^(A2961/252))/((1+B2960)^(A2960/252)))^(252/1))-1</f>
        <v>0.12781988888152052</v>
      </c>
      <c r="D2961" s="30">
        <v>0.12786584292183711</v>
      </c>
      <c r="E2961" s="31">
        <f ca="1">B2961-D2961</f>
        <v>0</v>
      </c>
    </row>
    <row r="2962" spans="1:5" x14ac:dyDescent="0.25">
      <c r="A2962" s="21">
        <v>2961</v>
      </c>
      <c r="B2962" s="5" cm="1">
        <f t="array" aca="1" ref="B2962" ca="1">interpolexp(A2962,serie_du,Taxas_DI)</f>
        <v>0.127865827401763</v>
      </c>
      <c r="C2962" s="32">
        <f ca="1">((((1+B2962)^(A2962/252))/((1+B2961)^(A2961/252)))^(252/1))-1</f>
        <v>0.12781988891833729</v>
      </c>
      <c r="D2962" s="30">
        <v>0.127865827401763</v>
      </c>
      <c r="E2962" s="31">
        <f ca="1">B2962-D2962</f>
        <v>0</v>
      </c>
    </row>
    <row r="2963" spans="1:5" x14ac:dyDescent="0.25">
      <c r="A2963" s="21">
        <v>2962</v>
      </c>
      <c r="B2963" s="5" cm="1">
        <f t="array" aca="1" ref="B2963" ca="1">interpolexp(A2963,serie_du,Taxas_DI)</f>
        <v>0.12786581189214719</v>
      </c>
      <c r="C2963" s="32">
        <f ca="1">((((1+B2963)^(A2963/252))/((1+B2962)^(A2962/252)))^(252/1))-1</f>
        <v>0.12781988885500906</v>
      </c>
      <c r="D2963" s="30">
        <v>0.12786581189214719</v>
      </c>
      <c r="E2963" s="31">
        <f ca="1">B2963-D2963</f>
        <v>0</v>
      </c>
    </row>
    <row r="2964" spans="1:5" x14ac:dyDescent="0.25">
      <c r="A2964" s="21">
        <v>2963</v>
      </c>
      <c r="B2964" s="5" cm="1">
        <f t="array" aca="1" ref="B2964" ca="1">interpolexp(A2964,serie_du,Taxas_DI)</f>
        <v>0.12786579639301188</v>
      </c>
      <c r="C2964" s="32">
        <f ca="1">((((1+B2964)^(A2964/252))/((1+B2963)^(A2963/252)))^(252/1))-1</f>
        <v>0.12781988888883089</v>
      </c>
      <c r="D2964" s="30">
        <v>0.12786579639301188</v>
      </c>
      <c r="E2964" s="31">
        <f ca="1">B2964-D2964</f>
        <v>0</v>
      </c>
    </row>
    <row r="2965" spans="1:5" x14ac:dyDescent="0.25">
      <c r="A2965" s="21">
        <v>2964</v>
      </c>
      <c r="B2965" s="5" cm="1">
        <f t="array" aca="1" ref="B2965" ca="1">interpolexp(A2965,serie_du,Taxas_DI)</f>
        <v>0.12786578090433487</v>
      </c>
      <c r="C2965" s="32">
        <f ca="1">((((1+B2965)^(A2965/252))/((1+B2964)^(A2964/252)))^(252/1))-1</f>
        <v>0.1278198888884523</v>
      </c>
      <c r="D2965" s="30">
        <v>0.12786578090433487</v>
      </c>
      <c r="E2965" s="31">
        <f ca="1">B2965-D2965</f>
        <v>0</v>
      </c>
    </row>
    <row r="2966" spans="1:5" x14ac:dyDescent="0.25">
      <c r="A2966" s="21">
        <v>2965</v>
      </c>
      <c r="B2966" s="5" cm="1">
        <f t="array" aca="1" ref="B2966" ca="1">interpolexp(A2966,serie_du,Taxas_DI)</f>
        <v>0.12786576542611616</v>
      </c>
      <c r="C2966" s="32">
        <f ca="1">((((1+B2966)^(A2966/252))/((1+B2965)^(A2965/252)))^(252/1))-1</f>
        <v>0.12781988891921725</v>
      </c>
      <c r="D2966" s="30">
        <v>0.12786576542611616</v>
      </c>
      <c r="E2966" s="31">
        <f ca="1">B2966-D2966</f>
        <v>0</v>
      </c>
    </row>
    <row r="2967" spans="1:5" x14ac:dyDescent="0.25">
      <c r="A2967" s="21">
        <v>2966</v>
      </c>
      <c r="B2967" s="5" cm="1">
        <f t="array" aca="1" ref="B2967" ca="1">interpolexp(A2967,serie_du,Taxas_DI)</f>
        <v>0.12786574995831135</v>
      </c>
      <c r="C2967" s="32">
        <f ca="1">((((1+B2967)^(A2967/252))/((1+B2966)^(A2966/252)))^(252/1))-1</f>
        <v>0.12781988884977147</v>
      </c>
      <c r="D2967" s="30">
        <v>0.12786574995831135</v>
      </c>
      <c r="E2967" s="31">
        <f ca="1">B2967-D2967</f>
        <v>0</v>
      </c>
    </row>
    <row r="2968" spans="1:5" x14ac:dyDescent="0.25">
      <c r="A2968" s="21">
        <v>2967</v>
      </c>
      <c r="B2968" s="5" cm="1">
        <f t="array" aca="1" ref="B2968" ca="1">interpolexp(A2968,serie_du,Taxas_DI)</f>
        <v>0.12786573450094263</v>
      </c>
      <c r="C2968" s="32">
        <f ca="1">((((1+B2968)^(A2968/252))/((1+B2967)^(A2967/252)))^(252/1))-1</f>
        <v>0.12781988887740892</v>
      </c>
      <c r="D2968" s="30">
        <v>0.12786573450094263</v>
      </c>
      <c r="E2968" s="31">
        <f ca="1">B2968-D2968</f>
        <v>0</v>
      </c>
    </row>
    <row r="2969" spans="1:5" x14ac:dyDescent="0.25">
      <c r="A2969" s="21">
        <v>2968</v>
      </c>
      <c r="B2969" s="5" cm="1">
        <f t="array" aca="1" ref="B2969" ca="1">interpolexp(A2969,serie_du,Taxas_DI)</f>
        <v>0.1278657190539878</v>
      </c>
      <c r="C2969" s="32">
        <f ca="1">((((1+B2969)^(A2969/252))/((1+B2968)^(A2968/252)))^(252/1))-1</f>
        <v>0.12781988887054485</v>
      </c>
      <c r="D2969" s="30">
        <v>0.1278657190539878</v>
      </c>
      <c r="E2969" s="31">
        <f ca="1">B2969-D2969</f>
        <v>0</v>
      </c>
    </row>
    <row r="2970" spans="1:5" x14ac:dyDescent="0.25">
      <c r="A2970" s="21">
        <v>2969</v>
      </c>
      <c r="B2970" s="5" cm="1">
        <f t="array" aca="1" ref="B2970" ca="1">interpolexp(A2970,serie_du,Taxas_DI)</f>
        <v>0.12786570361744687</v>
      </c>
      <c r="C2970" s="32">
        <f ca="1">((((1+B2970)^(A2970/252))/((1+B2969)^(A2969/252)))^(252/1))-1</f>
        <v>0.12781988889474527</v>
      </c>
      <c r="D2970" s="30">
        <v>0.12786570361744687</v>
      </c>
      <c r="E2970" s="31">
        <f ca="1">B2970-D2970</f>
        <v>0</v>
      </c>
    </row>
    <row r="2971" spans="1:5" x14ac:dyDescent="0.25">
      <c r="A2971" s="21">
        <v>2970</v>
      </c>
      <c r="B2971" s="5" cm="1">
        <f t="array" aca="1" ref="B2971" ca="1">interpolexp(A2971,serie_du,Taxas_DI)</f>
        <v>0.12786568819129762</v>
      </c>
      <c r="C2971" s="32">
        <f ca="1">((((1+B2971)^(A2971/252))/((1+B2970)^(A2970/252)))^(252/1))-1</f>
        <v>0.1278198888844202</v>
      </c>
      <c r="D2971" s="30">
        <v>0.12786568819129762</v>
      </c>
      <c r="E2971" s="31">
        <f ca="1">B2971-D2971</f>
        <v>0</v>
      </c>
    </row>
    <row r="2972" spans="1:5" x14ac:dyDescent="0.25">
      <c r="A2972" s="21">
        <v>2971</v>
      </c>
      <c r="B2972" s="5" cm="1">
        <f t="array" aca="1" ref="B2972" ca="1">interpolexp(A2972,serie_du,Taxas_DI)</f>
        <v>0.12786567277554006</v>
      </c>
      <c r="C2972" s="32">
        <f ca="1">((((1+B2972)^(A2972/252))/((1+B2971)^(A2971/252)))^(252/1))-1</f>
        <v>0.12781988890515783</v>
      </c>
      <c r="D2972" s="30">
        <v>0.12786567277554006</v>
      </c>
      <c r="E2972" s="31">
        <f ca="1">B2972-D2972</f>
        <v>0</v>
      </c>
    </row>
    <row r="2973" spans="1:5" x14ac:dyDescent="0.25">
      <c r="A2973" s="21">
        <v>2972</v>
      </c>
      <c r="B2973" s="5" cm="1">
        <f t="array" aca="1" ref="B2973" ca="1">interpolexp(A2973,serie_du,Taxas_DI)</f>
        <v>0.12786565737015199</v>
      </c>
      <c r="C2973" s="32">
        <f ca="1">((((1+B2973)^(A2973/252))/((1+B2972)^(A2972/252)))^(252/1))-1</f>
        <v>0.12781988889122786</v>
      </c>
      <c r="D2973" s="30">
        <v>0.12786565737015199</v>
      </c>
      <c r="E2973" s="31">
        <f ca="1">B2973-D2973</f>
        <v>0</v>
      </c>
    </row>
    <row r="2974" spans="1:5" x14ac:dyDescent="0.25">
      <c r="A2974" s="21">
        <v>2973</v>
      </c>
      <c r="B2974" s="5" cm="1">
        <f t="array" aca="1" ref="B2974" ca="1">interpolexp(A2974,serie_du,Taxas_DI)</f>
        <v>0.12786564197511119</v>
      </c>
      <c r="C2974" s="32">
        <f ca="1">((((1+B2974)^(A2974/252))/((1+B2973)^(A2973/252)))^(252/1))-1</f>
        <v>0.12781988884214246</v>
      </c>
      <c r="D2974" s="30">
        <v>0.12786564197511119</v>
      </c>
      <c r="E2974" s="31">
        <f ca="1">B2974-D2974</f>
        <v>0</v>
      </c>
    </row>
    <row r="2975" spans="1:5" x14ac:dyDescent="0.25">
      <c r="A2975" s="21">
        <v>2974</v>
      </c>
      <c r="B2975" s="5" cm="1">
        <f t="array" aca="1" ref="B2975" ca="1">interpolexp(A2975,serie_du,Taxas_DI)</f>
        <v>0.12786562659043987</v>
      </c>
      <c r="C2975" s="32">
        <f ca="1">((((1+B2975)^(A2975/252))/((1+B2974)^(A2974/252)))^(252/1))-1</f>
        <v>0.12781988889033835</v>
      </c>
      <c r="D2975" s="30">
        <v>0.12786562659043987</v>
      </c>
      <c r="E2975" s="31">
        <f ca="1">B2975-D2975</f>
        <v>0</v>
      </c>
    </row>
    <row r="2976" spans="1:5" x14ac:dyDescent="0.25">
      <c r="A2976" s="21">
        <v>2975</v>
      </c>
      <c r="B2976" s="5" cm="1">
        <f t="array" aca="1" ref="B2976" ca="1">interpolexp(A2976,serie_du,Taxas_DI)</f>
        <v>0.12786561121611584</v>
      </c>
      <c r="C2976" s="32">
        <f ca="1">((((1+B2976)^(A2976/252))/((1+B2975)^(A2975/252)))^(252/1))-1</f>
        <v>0.12781988890352558</v>
      </c>
      <c r="D2976" s="30">
        <v>0.12786561121611584</v>
      </c>
      <c r="E2976" s="31">
        <f ca="1">B2976-D2976</f>
        <v>0</v>
      </c>
    </row>
    <row r="2977" spans="1:5" x14ac:dyDescent="0.25">
      <c r="A2977" s="21">
        <v>2976</v>
      </c>
      <c r="B2977" s="5" cm="1">
        <f t="array" aca="1" ref="B2977" ca="1">interpolexp(A2977,serie_du,Taxas_DI)</f>
        <v>0.12786559585211688</v>
      </c>
      <c r="C2977" s="32">
        <f ca="1">((((1+B2977)^(A2977/252))/((1+B2976)^(A2976/252)))^(252/1))-1</f>
        <v>0.12781988888171103</v>
      </c>
      <c r="D2977" s="30">
        <v>0.12786559585211688</v>
      </c>
      <c r="E2977" s="31">
        <f ca="1">B2977-D2977</f>
        <v>0</v>
      </c>
    </row>
    <row r="2978" spans="1:5" x14ac:dyDescent="0.25">
      <c r="A2978" s="21">
        <v>2977</v>
      </c>
      <c r="B2978" s="5" cm="1">
        <f t="array" aca="1" ref="B2978" ca="1">interpolexp(A2978,serie_du,Taxas_DI)</f>
        <v>0.12786558049842078</v>
      </c>
      <c r="C2978" s="32">
        <f ca="1">((((1+B2978)^(A2978/252))/((1+B2977)^(A2977/252)))^(252/1))-1</f>
        <v>0.12781988882473616</v>
      </c>
      <c r="D2978" s="30">
        <v>0.12786558049842078</v>
      </c>
      <c r="E2978" s="31">
        <f ca="1">B2978-D2978</f>
        <v>0</v>
      </c>
    </row>
    <row r="2979" spans="1:5" x14ac:dyDescent="0.25">
      <c r="A2979" s="21">
        <v>2978</v>
      </c>
      <c r="B2979" s="5" cm="1">
        <f t="array" aca="1" ref="B2979" ca="1">interpolexp(A2979,serie_du,Taxas_DI)</f>
        <v>0.12786556515507197</v>
      </c>
      <c r="C2979" s="32">
        <f ca="1">((((1+B2979)^(A2979/252))/((1+B2978)^(A2978/252)))^(252/1))-1</f>
        <v>0.12781988893088614</v>
      </c>
      <c r="D2979" s="30">
        <v>0.12786556515507197</v>
      </c>
      <c r="E2979" s="31">
        <f ca="1">B2979-D2979</f>
        <v>0</v>
      </c>
    </row>
    <row r="2980" spans="1:5" x14ac:dyDescent="0.25">
      <c r="A2980" s="21">
        <v>2979</v>
      </c>
      <c r="B2980" s="5" cm="1">
        <f t="array" aca="1" ref="B2980" ca="1">interpolexp(A2980,serie_du,Taxas_DI)</f>
        <v>0.12786554982200382</v>
      </c>
      <c r="C2980" s="32">
        <f ca="1">((((1+B2980)^(A2980/252))/((1+B2979)^(A2979/252)))^(252/1))-1</f>
        <v>0.12781988886960094</v>
      </c>
      <c r="D2980" s="30">
        <v>0.12786554982200382</v>
      </c>
      <c r="E2980" s="31">
        <f ca="1">B2980-D2980</f>
        <v>0</v>
      </c>
    </row>
    <row r="2981" spans="1:5" x14ac:dyDescent="0.25">
      <c r="A2981" s="21">
        <v>2980</v>
      </c>
      <c r="B2981" s="5" cm="1">
        <f t="array" aca="1" ref="B2981" ca="1">interpolexp(A2981,serie_du,Taxas_DI)</f>
        <v>0.12786553449921634</v>
      </c>
      <c r="C2981" s="32">
        <f ca="1">((((1+B2981)^(A2981/252))/((1+B2980)^(A2980/252)))^(252/1))-1</f>
        <v>0.12781988883936668</v>
      </c>
      <c r="D2981" s="30">
        <v>0.12786553449921634</v>
      </c>
      <c r="E2981" s="31">
        <f ca="1">B2981-D2981</f>
        <v>0</v>
      </c>
    </row>
    <row r="2982" spans="1:5" x14ac:dyDescent="0.25">
      <c r="A2982" s="21">
        <v>2981</v>
      </c>
      <c r="B2982" s="5" cm="1">
        <f t="array" aca="1" ref="B2982" ca="1">interpolexp(A2982,serie_du,Taxas_DI)</f>
        <v>0.12786551918673172</v>
      </c>
      <c r="C2982" s="32">
        <f ca="1">((((1+B2982)^(A2982/252))/((1+B2981)^(A2981/252)))^(252/1))-1</f>
        <v>0.127819888905913</v>
      </c>
      <c r="D2982" s="30">
        <v>0.12786551918673172</v>
      </c>
      <c r="E2982" s="31">
        <f ca="1">B2982-D2982</f>
        <v>0</v>
      </c>
    </row>
    <row r="2983" spans="1:5" x14ac:dyDescent="0.25">
      <c r="A2983" s="21">
        <v>2982</v>
      </c>
      <c r="B2983" s="5" cm="1">
        <f t="array" aca="1" ref="B2983" ca="1">interpolexp(A2983,serie_du,Taxas_DI)</f>
        <v>0.12786550388450557</v>
      </c>
      <c r="C2983" s="32">
        <f ca="1">((((1+B2983)^(A2983/252))/((1+B2982)^(A2982/252)))^(252/1))-1</f>
        <v>0.12781988887111595</v>
      </c>
      <c r="D2983" s="30">
        <v>0.12786550388450557</v>
      </c>
      <c r="E2983" s="31">
        <f ca="1">B2983-D2983</f>
        <v>0</v>
      </c>
    </row>
    <row r="2984" spans="1:5" x14ac:dyDescent="0.25">
      <c r="A2984" s="21">
        <v>2983</v>
      </c>
      <c r="B2984" s="5" cm="1">
        <f t="array" aca="1" ref="B2984" ca="1">interpolexp(A2984,serie_du,Taxas_DI)</f>
        <v>0.12786548859253788</v>
      </c>
      <c r="C2984" s="32">
        <f ca="1">((((1+B2984)^(A2984/252))/((1+B2983)^(A2983/252)))^(252/1))-1</f>
        <v>0.12781988886699103</v>
      </c>
      <c r="D2984" s="30">
        <v>0.12786548859253788</v>
      </c>
      <c r="E2984" s="31">
        <f ca="1">B2984-D2984</f>
        <v>0</v>
      </c>
    </row>
    <row r="2985" spans="1:5" x14ac:dyDescent="0.25">
      <c r="A2985" s="21">
        <v>2984</v>
      </c>
      <c r="B2985" s="5" cm="1">
        <f t="array" aca="1" ref="B2985" ca="1">interpolexp(A2985,serie_du,Taxas_DI)</f>
        <v>0.12786547331082865</v>
      </c>
      <c r="C2985" s="32">
        <f ca="1">((((1+B2985)^(A2985/252))/((1+B2984)^(A2984/252)))^(252/1))-1</f>
        <v>0.12781988889373919</v>
      </c>
      <c r="D2985" s="30">
        <v>0.12786547331082865</v>
      </c>
      <c r="E2985" s="31">
        <f ca="1">B2985-D2985</f>
        <v>0</v>
      </c>
    </row>
    <row r="2986" spans="1:5" x14ac:dyDescent="0.25">
      <c r="A2986" s="21">
        <v>2985</v>
      </c>
      <c r="B2986" s="5" cm="1">
        <f t="array" aca="1" ref="B2986" ca="1">interpolexp(A2986,serie_du,Taxas_DI)</f>
        <v>0.12786545803933347</v>
      </c>
      <c r="C2986" s="32">
        <f ca="1">((((1+B2986)^(A2986/252))/((1+B2985)^(A2985/252)))^(252/1))-1</f>
        <v>0.12781988881862949</v>
      </c>
      <c r="D2986" s="30">
        <v>0.12786545803933347</v>
      </c>
      <c r="E2986" s="31">
        <f ca="1">B2986-D2986</f>
        <v>0</v>
      </c>
    </row>
    <row r="2987" spans="1:5" x14ac:dyDescent="0.25">
      <c r="A2987" s="21">
        <v>2986</v>
      </c>
      <c r="B2987" s="5" cm="1">
        <f t="array" aca="1" ref="B2987" ca="1">interpolexp(A2987,serie_du,Taxas_DI)</f>
        <v>0.12786544277809675</v>
      </c>
      <c r="C2987" s="32">
        <f ca="1">((((1+B2987)^(A2987/252))/((1+B2986)^(A2986/252)))^(252/1))-1</f>
        <v>0.12781988890679452</v>
      </c>
      <c r="D2987" s="30">
        <v>0.12786544277809675</v>
      </c>
      <c r="E2987" s="31">
        <f ca="1">B2987-D2987</f>
        <v>0</v>
      </c>
    </row>
    <row r="2988" spans="1:5" x14ac:dyDescent="0.25">
      <c r="A2988" s="21">
        <v>2987</v>
      </c>
      <c r="B2988" s="5" cm="1">
        <f t="array" aca="1" ref="B2988" ca="1">interpolexp(A2988,serie_du,Taxas_DI)</f>
        <v>0.12786542752707408</v>
      </c>
      <c r="C2988" s="32">
        <f ca="1">((((1+B2988)^(A2988/252))/((1+B2987)^(A2987/252)))^(252/1))-1</f>
        <v>0.12781988889305129</v>
      </c>
      <c r="D2988" s="30">
        <v>0.12786542752707408</v>
      </c>
      <c r="E2988" s="31">
        <f ca="1">B2988-D2988</f>
        <v>0</v>
      </c>
    </row>
    <row r="2989" spans="1:5" x14ac:dyDescent="0.25">
      <c r="A2989" s="21">
        <v>2988</v>
      </c>
      <c r="B2989" s="5" cm="1">
        <f t="array" aca="1" ref="B2989" ca="1">interpolexp(A2989,serie_du,Taxas_DI)</f>
        <v>0.12786541228624326</v>
      </c>
      <c r="C2989" s="32">
        <f ca="1">((((1+B2989)^(A2989/252))/((1+B2988)^(A2988/252)))^(252/1))-1</f>
        <v>0.1278198888435873</v>
      </c>
      <c r="D2989" s="30">
        <v>0.12786541228624326</v>
      </c>
      <c r="E2989" s="31">
        <f ca="1">B2989-D2989</f>
        <v>0</v>
      </c>
    </row>
    <row r="2990" spans="1:5" x14ac:dyDescent="0.25">
      <c r="A2990" s="21">
        <v>2989</v>
      </c>
      <c r="B2990" s="5" cm="1">
        <f t="array" aca="1" ref="B2990" ca="1">interpolexp(A2990,serie_du,Taxas_DI)</f>
        <v>0.1278653970556265</v>
      </c>
      <c r="C2990" s="32">
        <f ca="1">((((1+B2990)^(A2990/252))/((1+B2989)^(A2989/252)))^(252/1))-1</f>
        <v>0.12781988889116347</v>
      </c>
      <c r="D2990" s="30">
        <v>0.1278653970556265</v>
      </c>
      <c r="E2990" s="31">
        <f ca="1">B2990-D2990</f>
        <v>0</v>
      </c>
    </row>
    <row r="2991" spans="1:5" x14ac:dyDescent="0.25">
      <c r="A2991" s="21">
        <v>2990</v>
      </c>
      <c r="B2991" s="5" cm="1">
        <f t="array" aca="1" ref="B2991" ca="1">interpolexp(A2991,serie_du,Taxas_DI)</f>
        <v>0.12786538183517937</v>
      </c>
      <c r="C2991" s="32">
        <f ca="1">((((1+B2991)^(A2991/252))/((1+B2990)^(A2990/252)))^(252/1))-1</f>
        <v>0.1278198888365969</v>
      </c>
      <c r="D2991" s="30">
        <v>0.12786538183517937</v>
      </c>
      <c r="E2991" s="31">
        <f ca="1">B2991-D2991</f>
        <v>0</v>
      </c>
    </row>
    <row r="2992" spans="1:5" x14ac:dyDescent="0.25">
      <c r="A2992" s="21">
        <v>2991</v>
      </c>
      <c r="B2992" s="5" cm="1">
        <f t="array" aca="1" ref="B2992" ca="1">interpolexp(A2992,serie_du,Taxas_DI)</f>
        <v>0.12786536662492409</v>
      </c>
      <c r="C2992" s="32">
        <f ca="1">((((1+B2992)^(A2992/252))/((1+B2991)^(A2991/252)))^(252/1))-1</f>
        <v>0.12781988887886531</v>
      </c>
      <c r="D2992" s="30">
        <v>0.12786536662492409</v>
      </c>
      <c r="E2992" s="31">
        <f ca="1">B2992-D2992</f>
        <v>0</v>
      </c>
    </row>
    <row r="2993" spans="1:5" x14ac:dyDescent="0.25">
      <c r="A2993" s="21">
        <v>2992</v>
      </c>
      <c r="B2993" s="5" cm="1">
        <f t="array" aca="1" ref="B2993" ca="1">interpolexp(A2993,serie_du,Taxas_DI)</f>
        <v>0.12786535142483846</v>
      </c>
      <c r="C2993" s="32">
        <f ca="1">((((1+B2993)^(A2993/252))/((1+B2992)^(A2992/252)))^(252/1))-1</f>
        <v>0.12781988888530038</v>
      </c>
      <c r="D2993" s="30">
        <v>0.12786535142483846</v>
      </c>
      <c r="E2993" s="31">
        <f ca="1">B2993-D2993</f>
        <v>0</v>
      </c>
    </row>
    <row r="2994" spans="1:5" x14ac:dyDescent="0.25">
      <c r="A2994" s="21">
        <v>2993</v>
      </c>
      <c r="B2994" s="5" cm="1">
        <f t="array" aca="1" ref="B2994" ca="1">interpolexp(A2994,serie_du,Taxas_DI)</f>
        <v>0.12786533623490026</v>
      </c>
      <c r="C2994" s="32">
        <f ca="1">((((1+B2994)^(A2994/252))/((1+B2993)^(A2993/252)))^(252/1))-1</f>
        <v>0.12781988885582329</v>
      </c>
      <c r="D2994" s="30">
        <v>0.12786533623490026</v>
      </c>
      <c r="E2994" s="31">
        <f ca="1">B2994-D2994</f>
        <v>0</v>
      </c>
    </row>
    <row r="2995" spans="1:5" x14ac:dyDescent="0.25">
      <c r="A2995" s="21">
        <v>2994</v>
      </c>
      <c r="B2995" s="5" cm="1">
        <f t="array" aca="1" ref="B2995" ca="1">interpolexp(A2995,serie_du,Taxas_DI)</f>
        <v>0.1278653210551095</v>
      </c>
      <c r="C2995" s="32">
        <f ca="1">((((1+B2995)^(A2995/252))/((1+B2994)^(A2994/252)))^(252/1))-1</f>
        <v>0.12781988885676721</v>
      </c>
      <c r="D2995" s="30">
        <v>0.1278653210551095</v>
      </c>
      <c r="E2995" s="31">
        <f ca="1">B2995-D2995</f>
        <v>0</v>
      </c>
    </row>
    <row r="2996" spans="1:5" x14ac:dyDescent="0.25">
      <c r="A2996" s="21">
        <v>2995</v>
      </c>
      <c r="B2996" s="5" cm="1">
        <f t="array" aca="1" ref="B2996" ca="1">interpolexp(A2996,serie_du,Taxas_DI)</f>
        <v>0.12786530588546619</v>
      </c>
      <c r="C2996" s="32">
        <f ca="1">((((1+B2996)^(A2996/252))/((1+B2995)^(A2995/252)))^(252/1))-1</f>
        <v>0.12781988888813944</v>
      </c>
      <c r="D2996" s="30">
        <v>0.12786530588546619</v>
      </c>
      <c r="E2996" s="31">
        <f ca="1">B2996-D2996</f>
        <v>0</v>
      </c>
    </row>
    <row r="2997" spans="1:5" x14ac:dyDescent="0.25">
      <c r="A2997" s="21">
        <v>2996</v>
      </c>
      <c r="B2997" s="5" cm="1">
        <f t="array" aca="1" ref="B2997" ca="1">interpolexp(A2997,serie_du,Taxas_DI)</f>
        <v>0.1278652907259259</v>
      </c>
      <c r="C2997" s="32">
        <f ca="1">((((1+B2997)^(A2997/252))/((1+B2996)^(A2996/252)))^(252/1))-1</f>
        <v>0.12781988881692818</v>
      </c>
      <c r="D2997" s="30">
        <v>0.1278652907259259</v>
      </c>
      <c r="E2997" s="31">
        <f ca="1">B2997-D2997</f>
        <v>0</v>
      </c>
    </row>
    <row r="2998" spans="1:5" x14ac:dyDescent="0.25">
      <c r="A2998" s="21">
        <v>2997</v>
      </c>
      <c r="B2998" s="5" cm="1">
        <f t="array" aca="1" ref="B2998" ca="1">interpolexp(A2998,serie_du,Taxas_DI)</f>
        <v>0.12786527557653304</v>
      </c>
      <c r="C2998" s="32">
        <f ca="1">((((1+B2998)^(A2998/252))/((1+B2997)^(A2997/252)))^(252/1))-1</f>
        <v>0.12781988890906359</v>
      </c>
      <c r="D2998" s="30">
        <v>0.12786527557653304</v>
      </c>
      <c r="E2998" s="31">
        <f ca="1">B2998-D2998</f>
        <v>0</v>
      </c>
    </row>
    <row r="2999" spans="1:5" x14ac:dyDescent="0.25">
      <c r="A2999" s="21">
        <v>2998</v>
      </c>
      <c r="B2999" s="5" cm="1">
        <f t="array" aca="1" ref="B2999" ca="1">interpolexp(A2999,serie_du,Taxas_DI)</f>
        <v>0.12786526043722102</v>
      </c>
      <c r="C2999" s="32">
        <f ca="1">((((1+B2999)^(A2999/252))/((1+B2998)^(A2998/252)))^(252/1))-1</f>
        <v>0.12781988883205986</v>
      </c>
      <c r="D2999" s="30">
        <v>0.12786526043722102</v>
      </c>
      <c r="E2999" s="31">
        <f ca="1">B2999-D2999</f>
        <v>0</v>
      </c>
    </row>
    <row r="3000" spans="1:5" x14ac:dyDescent="0.25">
      <c r="A3000" s="21">
        <v>2999</v>
      </c>
      <c r="B3000" s="5" cm="1">
        <f t="array" aca="1" ref="B3000" ca="1">interpolexp(A3000,serie_du,Taxas_DI)</f>
        <v>0.12786524530801202</v>
      </c>
      <c r="C3000" s="32">
        <f ca="1">((((1+B3000)^(A3000/252))/((1+B2999)^(A2999/252)))^(252/1))-1</f>
        <v>0.12781988885166684</v>
      </c>
      <c r="D3000" s="30">
        <v>0.12786524530801202</v>
      </c>
      <c r="E3000" s="31">
        <f ca="1">B3000-D3000</f>
        <v>0</v>
      </c>
    </row>
    <row r="3001" spans="1:5" x14ac:dyDescent="0.25">
      <c r="A3001" s="21">
        <v>3000</v>
      </c>
      <c r="B3001" s="5" cm="1">
        <f t="array" aca="1" ref="B3001" ca="1">interpolexp(A3001,serie_du,Taxas_DI)</f>
        <v>0.12786523018890605</v>
      </c>
      <c r="C3001" s="32">
        <f ca="1">((((1+B3001)^(A3001/252))/((1+B3000)^(A3000/252)))^(252/1))-1</f>
        <v>0.12781988890181895</v>
      </c>
      <c r="D3001" s="30">
        <v>0.12786523018890605</v>
      </c>
      <c r="E3001" s="31">
        <f ca="1">B3001-D3001</f>
        <v>0</v>
      </c>
    </row>
    <row r="3002" spans="1:5" x14ac:dyDescent="0.25">
      <c r="A3002" s="21">
        <v>3001</v>
      </c>
      <c r="B3002" s="5" cm="1">
        <f t="array" aca="1" ref="B3002" ca="1">interpolexp(A3002,serie_du,Taxas_DI)</f>
        <v>0.12786521507985871</v>
      </c>
      <c r="C3002" s="32">
        <f ca="1">((((1+B3002)^(A3002/252))/((1+B3001)^(A3001/252)))^(252/1))-1</f>
        <v>0.12781988884889484</v>
      </c>
      <c r="D3002" s="30">
        <v>0.12786521507985871</v>
      </c>
      <c r="E3002" s="31">
        <f ca="1">B3002-D3002</f>
        <v>0</v>
      </c>
    </row>
    <row r="3003" spans="1:5" x14ac:dyDescent="0.25">
      <c r="A3003" s="21">
        <v>3002</v>
      </c>
      <c r="B3003" s="5" cm="1">
        <f t="array" aca="1" ref="B3003" ca="1">interpolexp(A3003,serie_du,Taxas_DI)</f>
        <v>0.12786519998089219</v>
      </c>
      <c r="C3003" s="32">
        <f ca="1">((((1+B3003)^(A3003/252))/((1+B3002)^(A3002/252)))^(252/1))-1</f>
        <v>0.12781988889292539</v>
      </c>
      <c r="D3003" s="30">
        <v>0.12786519998089219</v>
      </c>
      <c r="E3003" s="31">
        <f ca="1">B3003-D3003</f>
        <v>0</v>
      </c>
    </row>
    <row r="3004" spans="1:5" x14ac:dyDescent="0.25">
      <c r="A3004" s="21">
        <v>3003</v>
      </c>
      <c r="B3004" s="5" cm="1">
        <f t="array" aca="1" ref="B3004" ca="1">interpolexp(A3004,serie_du,Taxas_DI)</f>
        <v>0.12786518489196208</v>
      </c>
      <c r="C3004" s="32">
        <f ca="1">((((1+B3004)^(A3004/252))/((1+B3003)^(A3003/252)))^(252/1))-1</f>
        <v>0.12781988883364059</v>
      </c>
      <c r="D3004" s="30">
        <v>0.12786518489196208</v>
      </c>
      <c r="E3004" s="31">
        <f ca="1">B3004-D3004</f>
        <v>0</v>
      </c>
    </row>
    <row r="3005" spans="1:5" x14ac:dyDescent="0.25">
      <c r="A3005" s="21">
        <v>3004</v>
      </c>
      <c r="B3005" s="5" cm="1">
        <f t="array" aca="1" ref="B3005" ca="1">interpolexp(A3005,serie_du,Taxas_DI)</f>
        <v>0.1278651698130906</v>
      </c>
      <c r="C3005" s="32">
        <f ca="1">((((1+B3005)^(A3005/252))/((1+B3004)^(A3004/252)))^(252/1))-1</f>
        <v>0.12781988887143259</v>
      </c>
      <c r="D3005" s="30">
        <v>0.1278651698130906</v>
      </c>
      <c r="E3005" s="31">
        <f ca="1">B3005-D3005</f>
        <v>0</v>
      </c>
    </row>
    <row r="3006" spans="1:5" x14ac:dyDescent="0.25">
      <c r="A3006" s="21">
        <v>3005</v>
      </c>
      <c r="B3006" s="5" cm="1">
        <f t="array" aca="1" ref="B3006" ca="1">interpolexp(A3006,serie_du,Taxas_DI)</f>
        <v>0.12786515474425553</v>
      </c>
      <c r="C3006" s="32">
        <f ca="1">((((1+B3006)^(A3006/252))/((1+B3005)^(A3005/252)))^(252/1))-1</f>
        <v>0.1278198888723725</v>
      </c>
      <c r="D3006" s="30">
        <v>0.12786515474425553</v>
      </c>
      <c r="E3006" s="31">
        <f ca="1">B3006-D3006</f>
        <v>0</v>
      </c>
    </row>
    <row r="3007" spans="1:5" x14ac:dyDescent="0.25">
      <c r="A3007" s="21">
        <v>3006</v>
      </c>
      <c r="B3007" s="5" cm="1">
        <f t="array" aca="1" ref="B3007" ca="1">interpolexp(A3007,serie_du,Taxas_DI)</f>
        <v>0.12786513968543467</v>
      </c>
      <c r="C3007" s="32">
        <f ca="1">((((1+B3007)^(A3007/252))/((1+B3006)^(A3006/252)))^(252/1))-1</f>
        <v>0.12781988883684758</v>
      </c>
      <c r="D3007" s="30">
        <v>0.12786513968543467</v>
      </c>
      <c r="E3007" s="31">
        <f ca="1">B3007-D3007</f>
        <v>0</v>
      </c>
    </row>
    <row r="3008" spans="1:5" x14ac:dyDescent="0.25">
      <c r="A3008" s="21">
        <v>3007</v>
      </c>
      <c r="B3008" s="5" cm="1">
        <f t="array" aca="1" ref="B3008" ca="1">interpolexp(A3008,serie_du,Taxas_DI)</f>
        <v>0.12786512463662802</v>
      </c>
      <c r="C3008" s="32">
        <f ca="1">((((1+B3008)^(A3008/252))/((1+B3007)^(A3007/252)))^(252/1))-1</f>
        <v>0.12781988883128914</v>
      </c>
      <c r="D3008" s="30">
        <v>0.12786512463662802</v>
      </c>
      <c r="E3008" s="31">
        <f ca="1">B3008-D3008</f>
        <v>0</v>
      </c>
    </row>
    <row r="3009" spans="1:5" x14ac:dyDescent="0.25">
      <c r="A3009" s="21">
        <v>3008</v>
      </c>
      <c r="B3009" s="5" cm="1">
        <f t="array" aca="1" ref="B3009" ca="1">interpolexp(A3009,serie_du,Taxas_DI)</f>
        <v>0.1278651095978578</v>
      </c>
      <c r="C3009" s="32">
        <f ca="1">((((1+B3009)^(A3009/252))/((1+B3008)^(A3008/252)))^(252/1))-1</f>
        <v>0.12781988892262008</v>
      </c>
      <c r="D3009" s="30">
        <v>0.1278651095978578</v>
      </c>
      <c r="E3009" s="31">
        <f ca="1">B3009-D3009</f>
        <v>0</v>
      </c>
    </row>
    <row r="3010" spans="1:5" x14ac:dyDescent="0.25">
      <c r="A3010" s="21">
        <v>3009</v>
      </c>
      <c r="B3010" s="5" cm="1">
        <f t="array" aca="1" ref="B3010" ca="1">interpolexp(A3010,serie_du,Taxas_DI)</f>
        <v>0.12786509456905737</v>
      </c>
      <c r="C3010" s="32">
        <f ca="1">((((1+B3010)^(A3010/252))/((1+B3009)^(A3009/252)))^(252/1))-1</f>
        <v>0.1278198888435873</v>
      </c>
      <c r="D3010" s="30">
        <v>0.12786509456905737</v>
      </c>
      <c r="E3010" s="31">
        <f ca="1">B3010-D3010</f>
        <v>0</v>
      </c>
    </row>
    <row r="3011" spans="1:5" x14ac:dyDescent="0.25">
      <c r="A3011" s="21">
        <v>3010</v>
      </c>
      <c r="B3011" s="5" cm="1">
        <f t="array" aca="1" ref="B3011" ca="1">interpolexp(A3011,serie_du,Taxas_DI)</f>
        <v>0.12786507955024895</v>
      </c>
      <c r="C3011" s="32">
        <f ca="1">((((1+B3011)^(A3011/252))/((1+B3010)^(A3010/252)))^(252/1))-1</f>
        <v>0.12781988886142837</v>
      </c>
      <c r="D3011" s="30">
        <v>0.12786507955024895</v>
      </c>
      <c r="E3011" s="31">
        <f ca="1">B3011-D3011</f>
        <v>0</v>
      </c>
    </row>
    <row r="3012" spans="1:5" x14ac:dyDescent="0.25">
      <c r="A3012" s="21">
        <v>3011</v>
      </c>
      <c r="B3012" s="5" cm="1">
        <f t="array" aca="1" ref="B3012" ca="1">interpolexp(A3012,serie_du,Taxas_DI)</f>
        <v>0.12786506454141033</v>
      </c>
      <c r="C3012" s="32">
        <f ca="1">((((1+B3012)^(A3012/252))/((1+B3011)^(A3011/252)))^(252/1))-1</f>
        <v>0.12781988884214246</v>
      </c>
      <c r="D3012" s="30">
        <v>0.12786506454141033</v>
      </c>
      <c r="E3012" s="31">
        <f ca="1">B3012-D3012</f>
        <v>0</v>
      </c>
    </row>
    <row r="3013" spans="1:5" x14ac:dyDescent="0.25">
      <c r="A3013" s="21">
        <v>3012</v>
      </c>
      <c r="B3013" s="5" cm="1">
        <f t="array" aca="1" ref="B3013" ca="1">interpolexp(A3013,serie_du,Taxas_DI)</f>
        <v>0.12786504954254152</v>
      </c>
      <c r="C3013" s="32">
        <f ca="1">((((1+B3013)^(A3013/252))/((1+B3012)^(A3012/252)))^(252/1))-1</f>
        <v>0.12781988885305173</v>
      </c>
      <c r="D3013" s="30">
        <v>0.12786504954254152</v>
      </c>
      <c r="E3013" s="31">
        <f ca="1">B3013-D3013</f>
        <v>0</v>
      </c>
    </row>
    <row r="3014" spans="1:5" x14ac:dyDescent="0.25">
      <c r="A3014" s="21">
        <v>3013</v>
      </c>
      <c r="B3014" s="5" cm="1">
        <f t="array" aca="1" ref="B3014" ca="1">interpolexp(A3014,serie_du,Taxas_DI)</f>
        <v>0.1278650345536203</v>
      </c>
      <c r="C3014" s="32">
        <f ca="1">((((1+B3014)^(A3014/252))/((1+B3013)^(A3013/252)))^(252/1))-1</f>
        <v>0.12781988882675588</v>
      </c>
      <c r="D3014" s="30">
        <v>0.1278650345536203</v>
      </c>
      <c r="E3014" s="31">
        <f ca="1">B3014-D3014</f>
        <v>0</v>
      </c>
    </row>
    <row r="3015" spans="1:5" x14ac:dyDescent="0.25">
      <c r="A3015" s="21">
        <v>3014</v>
      </c>
      <c r="B3015" s="5" cm="1">
        <f t="array" aca="1" ref="B3015" ca="1">interpolexp(A3015,serie_du,Taxas_DI)</f>
        <v>0.12786501957466889</v>
      </c>
      <c r="C3015" s="32">
        <f ca="1">((((1+B3015)^(A3015/252))/((1+B3014)^(A3014/252)))^(252/1))-1</f>
        <v>0.12781988889733409</v>
      </c>
      <c r="D3015" s="30">
        <v>0.12786501957466889</v>
      </c>
      <c r="E3015" s="31">
        <f ca="1">B3015-D3015</f>
        <v>0</v>
      </c>
    </row>
    <row r="3016" spans="1:5" x14ac:dyDescent="0.25">
      <c r="A3016" s="21">
        <v>3015</v>
      </c>
      <c r="B3016" s="5" cm="1">
        <f t="array" aca="1" ref="B3016" ca="1">interpolexp(A3016,serie_du,Taxas_DI)</f>
        <v>0.12786500460564287</v>
      </c>
      <c r="C3016" s="32">
        <f ca="1">((((1+B3016)^(A3016/252))/((1+B3015)^(A3015/252)))^(252/1))-1</f>
        <v>0.12781988886382334</v>
      </c>
      <c r="D3016" s="30">
        <v>0.12786500460564287</v>
      </c>
      <c r="E3016" s="31">
        <f ca="1">B3016-D3016</f>
        <v>0</v>
      </c>
    </row>
    <row r="3017" spans="1:5" x14ac:dyDescent="0.25">
      <c r="A3017" s="21">
        <v>3016</v>
      </c>
      <c r="B3017" s="5" cm="1">
        <f t="array" aca="1" ref="B3017" ca="1">interpolexp(A3017,serie_du,Taxas_DI)</f>
        <v>0.12786498964654225</v>
      </c>
      <c r="C3017" s="32">
        <f ca="1">((((1+B3017)^(A3017/252))/((1+B3016)^(A3016/252)))^(252/1))-1</f>
        <v>0.12781988886029616</v>
      </c>
      <c r="D3017" s="30">
        <v>0.12786498964654225</v>
      </c>
      <c r="E3017" s="31">
        <f ca="1">B3017-D3017</f>
        <v>0</v>
      </c>
    </row>
    <row r="3018" spans="1:5" x14ac:dyDescent="0.25">
      <c r="A3018" s="21">
        <v>3017</v>
      </c>
      <c r="B3018" s="5" cm="1">
        <f t="array" aca="1" ref="B3018" ca="1">interpolexp(A3018,serie_du,Taxas_DI)</f>
        <v>0.12786497469734481</v>
      </c>
      <c r="C3018" s="32">
        <f ca="1">((((1+B3018)^(A3018/252))/((1+B3017)^(A3017/252)))^(252/1))-1</f>
        <v>0.12781988881926054</v>
      </c>
      <c r="D3018" s="30">
        <v>0.12786497469734481</v>
      </c>
      <c r="E3018" s="31">
        <f ca="1">B3018-D3018</f>
        <v>0</v>
      </c>
    </row>
    <row r="3019" spans="1:5" x14ac:dyDescent="0.25">
      <c r="A3019" s="21">
        <v>3018</v>
      </c>
      <c r="B3019" s="5" cm="1">
        <f t="array" aca="1" ref="B3019" ca="1">interpolexp(A3019,serie_du,Taxas_DI)</f>
        <v>0.12786495975807277</v>
      </c>
      <c r="C3019" s="32">
        <f ca="1">((((1+B3019)^(A3019/252))/((1+B3018)^(A3018/252)))^(252/1))-1</f>
        <v>0.12781988887521045</v>
      </c>
      <c r="D3019" s="30">
        <v>0.12786495975807277</v>
      </c>
      <c r="E3019" s="31">
        <f ca="1">B3019-D3019</f>
        <v>0</v>
      </c>
    </row>
    <row r="3020" spans="1:5" x14ac:dyDescent="0.25">
      <c r="A3020" s="21">
        <v>3019</v>
      </c>
      <c r="B3020" s="5" cm="1">
        <f t="array" aca="1" ref="B3020" ca="1">interpolexp(A3020,serie_du,Taxas_DI)</f>
        <v>0.12786494482868171</v>
      </c>
      <c r="C3020" s="32">
        <f ca="1">((((1+B3020)^(A3020/252))/((1+B3019)^(A3019/252)))^(252/1))-1</f>
        <v>0.12781988882675588</v>
      </c>
      <c r="D3020" s="30">
        <v>0.12786494482868171</v>
      </c>
      <c r="E3020" s="31">
        <f ca="1">B3020-D3020</f>
        <v>0</v>
      </c>
    </row>
    <row r="3021" spans="1:5" x14ac:dyDescent="0.25">
      <c r="A3021" s="21">
        <v>3020</v>
      </c>
      <c r="B3021" s="5" cm="1">
        <f t="array" aca="1" ref="B3021" ca="1">interpolexp(A3021,serie_du,Taxas_DI)</f>
        <v>0.12786492990919385</v>
      </c>
      <c r="C3021" s="32">
        <f ca="1">((((1+B3021)^(A3021/252))/((1+B3020)^(A3020/252)))^(252/1))-1</f>
        <v>0.12781988887502171</v>
      </c>
      <c r="D3021" s="30">
        <v>0.12786492990919385</v>
      </c>
      <c r="E3021" s="31">
        <f ca="1">B3021-D3021</f>
        <v>0</v>
      </c>
    </row>
    <row r="3022" spans="1:5" x14ac:dyDescent="0.25">
      <c r="A3022" s="21">
        <v>3021</v>
      </c>
      <c r="B3022" s="5" cm="1">
        <f t="array" aca="1" ref="B3022" ca="1">interpolexp(A3022,serie_du,Taxas_DI)</f>
        <v>0.12786491499956476</v>
      </c>
      <c r="C3022" s="32">
        <f ca="1">((((1+B3022)^(A3022/252))/((1+B3021)^(A3021/252)))^(252/1))-1</f>
        <v>0.12781988881881778</v>
      </c>
      <c r="D3022" s="30">
        <v>0.12786491499956476</v>
      </c>
      <c r="E3022" s="31">
        <f ca="1">B3022-D3022</f>
        <v>0</v>
      </c>
    </row>
    <row r="3023" spans="1:5" x14ac:dyDescent="0.25">
      <c r="A3023" s="21">
        <v>3022</v>
      </c>
      <c r="B3023" s="5" cm="1">
        <f t="array" aca="1" ref="B3023" ca="1">interpolexp(A3023,serie_du,Taxas_DI)</f>
        <v>0.12786490009981666</v>
      </c>
      <c r="C3023" s="32">
        <f ca="1">((((1+B3023)^(A3023/252))/((1+B3022)^(A3022/252)))^(252/1))-1</f>
        <v>0.12781988885929185</v>
      </c>
      <c r="D3023" s="30">
        <v>0.12786490009981666</v>
      </c>
      <c r="E3023" s="31">
        <f ca="1">B3023-D3023</f>
        <v>0</v>
      </c>
    </row>
    <row r="3024" spans="1:5" x14ac:dyDescent="0.25">
      <c r="A3024" s="21">
        <v>3023</v>
      </c>
      <c r="B3024" s="5" cm="1">
        <f t="array" aca="1" ref="B3024" ca="1">interpolexp(A3024,serie_du,Taxas_DI)</f>
        <v>0.12786488520992734</v>
      </c>
      <c r="C3024" s="32">
        <f ca="1">((((1+B3024)^(A3024/252))/((1+B3023)^(A3023/252)))^(252/1))-1</f>
        <v>0.12781988886224638</v>
      </c>
      <c r="D3024" s="30">
        <v>0.12786488520992734</v>
      </c>
      <c r="E3024" s="31">
        <f ca="1">B3024-D3024</f>
        <v>0</v>
      </c>
    </row>
    <row r="3025" spans="1:5" x14ac:dyDescent="0.25">
      <c r="A3025" s="21">
        <v>3024</v>
      </c>
      <c r="B3025" s="5" cm="1">
        <f t="array" aca="1" ref="B3025" ca="1">interpolexp(A3025,serie_du,Taxas_DI)</f>
        <v>0.12786487032987459</v>
      </c>
      <c r="C3025" s="32">
        <f ca="1">((((1+B3025)^(A3025/252))/((1+B3024)^(A3024/252)))^(252/1))-1</f>
        <v>0.12781988882763762</v>
      </c>
      <c r="D3025" s="30">
        <v>0.12786487032987459</v>
      </c>
      <c r="E3025" s="31">
        <f ca="1">B3025-D3025</f>
        <v>0</v>
      </c>
    </row>
    <row r="3026" spans="1:5" x14ac:dyDescent="0.25">
      <c r="A3026" s="21">
        <v>3025</v>
      </c>
      <c r="B3026" s="5" cm="1">
        <f t="array" aca="1" ref="B3026" ca="1">interpolexp(A3026,serie_du,Taxas_DI)</f>
        <v>0.12786485545968063</v>
      </c>
      <c r="C3026" s="32">
        <f ca="1">((((1+B3026)^(A3026/252))/((1+B3025)^(A3025/252)))^(252/1))-1</f>
        <v>0.12781988889002571</v>
      </c>
      <c r="D3026" s="30">
        <v>0.12786485545968063</v>
      </c>
      <c r="E3026" s="31">
        <f ca="1">B3026-D3026</f>
        <v>0</v>
      </c>
    </row>
    <row r="3027" spans="1:5" x14ac:dyDescent="0.25">
      <c r="A3027" s="21">
        <v>3026</v>
      </c>
      <c r="B3027" s="5" cm="1">
        <f t="array" aca="1" ref="B3027" ca="1">interpolexp(A3027,serie_du,Taxas_DI)</f>
        <v>0.12786484059930103</v>
      </c>
      <c r="C3027" s="32">
        <f ca="1">((((1+B3027)^(A3027/252))/((1+B3026)^(A3026/252)))^(252/1))-1</f>
        <v>0.12781988884705586</v>
      </c>
      <c r="D3027" s="30">
        <v>0.12786484059930103</v>
      </c>
      <c r="E3027" s="31">
        <f ca="1">B3027-D3027</f>
        <v>0</v>
      </c>
    </row>
    <row r="3028" spans="1:5" x14ac:dyDescent="0.25">
      <c r="A3028" s="21">
        <v>3027</v>
      </c>
      <c r="B3028" s="5" cm="1">
        <f t="array" aca="1" ref="B3028" ca="1">interpolexp(A3028,serie_du,Taxas_DI)</f>
        <v>0.12786482574873581</v>
      </c>
      <c r="C3028" s="32">
        <f ca="1">((((1+B3028)^(A3028/252))/((1+B3027)^(A3027/252)))^(252/1))-1</f>
        <v>0.12781988883395412</v>
      </c>
      <c r="D3028" s="30">
        <v>0.12786482574873581</v>
      </c>
      <c r="E3028" s="31">
        <f ca="1">B3028-D3028</f>
        <v>0</v>
      </c>
    </row>
    <row r="3029" spans="1:5" x14ac:dyDescent="0.25">
      <c r="A3029" s="21">
        <v>3028</v>
      </c>
      <c r="B3029" s="5" cm="1">
        <f t="array" aca="1" ref="B3029" ca="1">interpolexp(A3029,serie_du,Taxas_DI)</f>
        <v>0.12786481090798496</v>
      </c>
      <c r="C3029" s="32">
        <f ca="1">((((1+B3029)^(A3029/252))/((1+B3028)^(A3028/252)))^(252/1))-1</f>
        <v>0.12781988885009543</v>
      </c>
      <c r="D3029" s="30">
        <v>0.12786481090798496</v>
      </c>
      <c r="E3029" s="31">
        <f ca="1">B3029-D3029</f>
        <v>0</v>
      </c>
    </row>
    <row r="3030" spans="1:5" x14ac:dyDescent="0.25">
      <c r="A3030" s="21">
        <v>3029</v>
      </c>
      <c r="B3030" s="5" cm="1">
        <f t="array" aca="1" ref="B3030" ca="1">interpolexp(A3030,serie_du,Taxas_DI)</f>
        <v>0.12786479607702628</v>
      </c>
      <c r="C3030" s="32">
        <f ca="1">((((1+B3030)^(A3030/252))/((1+B3029)^(A3029/252)))^(252/1))-1</f>
        <v>0.12781988882851758</v>
      </c>
      <c r="D3030" s="30">
        <v>0.12786479607702628</v>
      </c>
      <c r="E3030" s="31">
        <f ca="1">B3030-D3030</f>
        <v>0</v>
      </c>
    </row>
    <row r="3031" spans="1:5" x14ac:dyDescent="0.25">
      <c r="A3031" s="21">
        <v>3030</v>
      </c>
      <c r="B3031" s="5" cm="1">
        <f t="array" aca="1" ref="B3031" ca="1">interpolexp(A3031,serie_du,Taxas_DI)</f>
        <v>0.12786478125585976</v>
      </c>
      <c r="C3031" s="32">
        <f ca="1">((((1+B3031)^(A3031/252))/((1+B3030)^(A3030/252)))^(252/1))-1</f>
        <v>0.12781988883621653</v>
      </c>
      <c r="D3031" s="30">
        <v>0.12786478125585976</v>
      </c>
      <c r="E3031" s="31">
        <f ca="1">B3031-D3031</f>
        <v>0</v>
      </c>
    </row>
    <row r="3032" spans="1:5" x14ac:dyDescent="0.25">
      <c r="A3032" s="21">
        <v>3031</v>
      </c>
      <c r="B3032" s="5" cm="1">
        <f t="array" aca="1" ref="B3032" ca="1">interpolexp(A3032,serie_du,Taxas_DI)</f>
        <v>0.12786476644448541</v>
      </c>
      <c r="C3032" s="32">
        <f ca="1">((((1+B3032)^(A3032/252))/((1+B3031)^(A3031/252)))^(252/1))-1</f>
        <v>0.12781988887337881</v>
      </c>
      <c r="D3032" s="30">
        <v>0.12786476644448541</v>
      </c>
      <c r="E3032" s="31">
        <f ca="1">B3032-D3032</f>
        <v>0</v>
      </c>
    </row>
    <row r="3033" spans="1:5" x14ac:dyDescent="0.25">
      <c r="A3033" s="21">
        <v>3032</v>
      </c>
      <c r="B3033" s="5" cm="1">
        <f t="array" aca="1" ref="B3033" ca="1">interpolexp(A3033,serie_du,Taxas_DI)</f>
        <v>0.12786475164285882</v>
      </c>
      <c r="C3033" s="32">
        <f ca="1">((((1+B3033)^(A3033/252))/((1+B3032)^(A3032/252)))^(252/1))-1</f>
        <v>0.12781988880520134</v>
      </c>
      <c r="D3033" s="30">
        <v>0.12786475164285882</v>
      </c>
      <c r="E3033" s="31">
        <f ca="1">B3033-D3033</f>
        <v>0</v>
      </c>
    </row>
    <row r="3034" spans="1:5" x14ac:dyDescent="0.25">
      <c r="A3034" s="21">
        <v>3033</v>
      </c>
      <c r="B3034" s="5" cm="1">
        <f t="array" aca="1" ref="B3034" ca="1">interpolexp(A3034,serie_du,Taxas_DI)</f>
        <v>0.12786473685100219</v>
      </c>
      <c r="C3034" s="32">
        <f ca="1">((((1+B3034)^(A3034/252))/((1+B3033)^(A3033/252)))^(252/1))-1</f>
        <v>0.12781988883370299</v>
      </c>
      <c r="D3034" s="30">
        <v>0.12786473685100219</v>
      </c>
      <c r="E3034" s="31">
        <f ca="1">B3034-D3034</f>
        <v>0</v>
      </c>
    </row>
    <row r="3035" spans="1:5" x14ac:dyDescent="0.25">
      <c r="A3035" s="21">
        <v>3034</v>
      </c>
      <c r="B3035" s="5" cm="1">
        <f t="array" aca="1" ref="B3035" ca="1">interpolexp(A3035,serie_du,Taxas_DI)</f>
        <v>0.12786472206891553</v>
      </c>
      <c r="C3035" s="32">
        <f ca="1">((((1+B3035)^(A3035/252))/((1+B3034)^(A3034/252)))^(252/1))-1</f>
        <v>0.12781988889147833</v>
      </c>
      <c r="D3035" s="30">
        <v>0.12786472206891553</v>
      </c>
      <c r="E3035" s="31">
        <f ca="1">B3035-D3035</f>
        <v>0</v>
      </c>
    </row>
    <row r="3036" spans="1:5" x14ac:dyDescent="0.25">
      <c r="A3036" s="21">
        <v>3035</v>
      </c>
      <c r="B3036" s="5" cm="1">
        <f t="array" aca="1" ref="B3036" ca="1">interpolexp(A3036,serie_du,Taxas_DI)</f>
        <v>0.12786470729655441</v>
      </c>
      <c r="C3036" s="32">
        <f ca="1">((((1+B3036)^(A3036/252))/((1+B3035)^(A3035/252)))^(252/1))-1</f>
        <v>0.12781988884371698</v>
      </c>
      <c r="D3036" s="30">
        <v>0.12786470729655441</v>
      </c>
      <c r="E3036" s="31">
        <f ca="1">B3036-D3036</f>
        <v>0</v>
      </c>
    </row>
    <row r="3037" spans="1:5" x14ac:dyDescent="0.25">
      <c r="A3037" s="21">
        <v>3036</v>
      </c>
      <c r="B3037" s="5" cm="1">
        <f t="array" aca="1" ref="B3037" ca="1">interpolexp(A3037,serie_du,Taxas_DI)</f>
        <v>0.12786469253391886</v>
      </c>
      <c r="C3037" s="32">
        <f ca="1">((((1+B3037)^(A3037/252))/((1+B3036)^(A3036/252)))^(252/1))-1</f>
        <v>0.12781988882524842</v>
      </c>
      <c r="D3037" s="30">
        <v>0.12786469253391886</v>
      </c>
      <c r="E3037" s="31">
        <f ca="1">B3037-D3037</f>
        <v>0</v>
      </c>
    </row>
    <row r="3038" spans="1:5" x14ac:dyDescent="0.25">
      <c r="A3038" s="21">
        <v>3037</v>
      </c>
      <c r="B3038" s="5" cm="1">
        <f t="array" aca="1" ref="B3038" ca="1">interpolexp(A3038,serie_du,Taxas_DI)</f>
        <v>0.12786467778100885</v>
      </c>
      <c r="C3038" s="32">
        <f ca="1">((((1+B3038)^(A3038/252))/((1+B3037)^(A3037/252)))^(252/1))-1</f>
        <v>0.12781988883590389</v>
      </c>
      <c r="D3038" s="30">
        <v>0.12786467778100885</v>
      </c>
      <c r="E3038" s="31">
        <f ca="1">B3038-D3038</f>
        <v>0</v>
      </c>
    </row>
    <row r="3039" spans="1:5" x14ac:dyDescent="0.25">
      <c r="A3039" s="21">
        <v>3038</v>
      </c>
      <c r="B3039" s="5" cm="1">
        <f t="array" aca="1" ref="B3039" ca="1">interpolexp(A3039,serie_du,Taxas_DI)</f>
        <v>0.12786466311367484</v>
      </c>
      <c r="C3039" s="32">
        <f ca="1">((((1+B3039)^(A3039/252))/((1+B3038)^(A3038/252)))^(252/1))-1</f>
        <v>0.12782011930013271</v>
      </c>
      <c r="D3039" s="30">
        <v>0.12786466311367484</v>
      </c>
      <c r="E3039" s="31">
        <f ca="1">B3039-D3039</f>
        <v>0</v>
      </c>
    </row>
    <row r="3040" spans="1:5" x14ac:dyDescent="0.25">
      <c r="A3040" s="21">
        <v>3039</v>
      </c>
      <c r="B3040" s="5" cm="1">
        <f t="array" aca="1" ref="B3040" ca="1">interpolexp(A3040,serie_du,Taxas_DI)</f>
        <v>0.12786464845599976</v>
      </c>
      <c r="C3040" s="32">
        <f ca="1">((((1+B3040)^(A3040/252))/((1+B3039)^(A3039/252)))^(252/1))-1</f>
        <v>0.12782011931847892</v>
      </c>
      <c r="D3040" s="30">
        <v>0.12786464845599976</v>
      </c>
      <c r="E3040" s="31">
        <f ca="1">B3040-D3040</f>
        <v>0</v>
      </c>
    </row>
    <row r="3041" spans="1:5" x14ac:dyDescent="0.25">
      <c r="A3041" s="21">
        <v>3040</v>
      </c>
      <c r="B3041" s="5" cm="1">
        <f t="array" aca="1" ref="B3041" ca="1">interpolexp(A3041,serie_du,Taxas_DI)</f>
        <v>0.12786463380793922</v>
      </c>
      <c r="C3041" s="32">
        <f ca="1">((((1+B3041)^(A3041/252))/((1+B3040)^(A3040/252)))^(252/1))-1</f>
        <v>0.12782011923069381</v>
      </c>
      <c r="D3041" s="30">
        <v>0.12786463380793922</v>
      </c>
      <c r="E3041" s="31">
        <f ca="1">B3041-D3041</f>
        <v>0</v>
      </c>
    </row>
    <row r="3042" spans="1:5" x14ac:dyDescent="0.25">
      <c r="A3042" s="21">
        <v>3041</v>
      </c>
      <c r="B3042" s="5" cm="1">
        <f t="array" aca="1" ref="B3042" ca="1">interpolexp(A3042,serie_du,Taxas_DI)</f>
        <v>0.12786461916953762</v>
      </c>
      <c r="C3042" s="32">
        <f ca="1">((((1+B3042)^(A3042/252))/((1+B3041)^(A3041/252)))^(252/1))-1</f>
        <v>0.12782011930688775</v>
      </c>
      <c r="D3042" s="30">
        <v>0.12786461916953762</v>
      </c>
      <c r="E3042" s="31">
        <f ca="1">B3042-D3042</f>
        <v>0</v>
      </c>
    </row>
    <row r="3043" spans="1:5" x14ac:dyDescent="0.25">
      <c r="A3043" s="21">
        <v>3042</v>
      </c>
      <c r="B3043" s="5" cm="1">
        <f t="array" aca="1" ref="B3043" ca="1">interpolexp(A3043,serie_du,Taxas_DI)</f>
        <v>0.12786460454077275</v>
      </c>
      <c r="C3043" s="32">
        <f ca="1">((((1+B3043)^(A3043/252))/((1+B3042)^(A3042/252)))^(252/1))-1</f>
        <v>0.12782011934436643</v>
      </c>
      <c r="D3043" s="30">
        <v>0.12786460454077275</v>
      </c>
      <c r="E3043" s="31">
        <f ca="1">B3043-D3043</f>
        <v>0</v>
      </c>
    </row>
    <row r="3044" spans="1:5" x14ac:dyDescent="0.25">
      <c r="A3044" s="21">
        <v>3043</v>
      </c>
      <c r="B3044" s="5" cm="1">
        <f t="array" aca="1" ref="B3044" ca="1">interpolexp(A3044,serie_du,Taxas_DI)</f>
        <v>0.12786458992160021</v>
      </c>
      <c r="C3044" s="32">
        <f ca="1">((((1+B3044)^(A3044/252))/((1+B3043)^(A3043/252)))^(252/1))-1</f>
        <v>0.12782011927584125</v>
      </c>
      <c r="D3044" s="30">
        <v>0.12786458992160021</v>
      </c>
      <c r="E3044" s="31">
        <f ca="1">B3044-D3044</f>
        <v>0</v>
      </c>
    </row>
    <row r="3045" spans="1:5" x14ac:dyDescent="0.25">
      <c r="A3045" s="21">
        <v>3044</v>
      </c>
      <c r="B3045" s="5" cm="1">
        <f t="array" aca="1" ref="B3045" ca="1">interpolexp(A3045,serie_du,Taxas_DI)</f>
        <v>0.12786457531204221</v>
      </c>
      <c r="C3045" s="32">
        <f ca="1">((((1+B3045)^(A3045/252))/((1+B3044)^(A3044/252)))^(252/1))-1</f>
        <v>0.12782011930340897</v>
      </c>
      <c r="D3045" s="30">
        <v>0.12786457531204221</v>
      </c>
      <c r="E3045" s="31">
        <f ca="1">B3045-D3045</f>
        <v>0</v>
      </c>
    </row>
    <row r="3046" spans="1:5" x14ac:dyDescent="0.25">
      <c r="A3046" s="21">
        <v>3045</v>
      </c>
      <c r="B3046" s="5" cm="1">
        <f t="array" aca="1" ref="B3046" ca="1">interpolexp(A3046,serie_du,Taxas_DI)</f>
        <v>0.12786456071207652</v>
      </c>
      <c r="C3046" s="32">
        <f ca="1">((((1+B3046)^(A3046/252))/((1+B3045)^(A3045/252)))^(252/1))-1</f>
        <v>0.12782011929245285</v>
      </c>
      <c r="D3046" s="30">
        <v>0.12786456071207652</v>
      </c>
      <c r="E3046" s="31">
        <f ca="1">B3046-D3046</f>
        <v>0</v>
      </c>
    </row>
    <row r="3047" spans="1:5" x14ac:dyDescent="0.25">
      <c r="A3047" s="21">
        <v>3046</v>
      </c>
      <c r="B3047" s="5" cm="1">
        <f t="array" aca="1" ref="B3047" ca="1">interpolexp(A3047,serie_du,Taxas_DI)</f>
        <v>0.12786454612168097</v>
      </c>
      <c r="C3047" s="32">
        <f ca="1">((((1+B3047)^(A3047/252))/((1+B3046)^(A3046/252)))^(252/1))-1</f>
        <v>0.12782011924248748</v>
      </c>
      <c r="D3047" s="30">
        <v>0.12786454612168097</v>
      </c>
      <c r="E3047" s="31">
        <f ca="1">B3047-D3047</f>
        <v>0</v>
      </c>
    </row>
    <row r="3048" spans="1:5" x14ac:dyDescent="0.25">
      <c r="A3048" s="21">
        <v>3047</v>
      </c>
      <c r="B3048" s="5" cm="1">
        <f t="array" aca="1" ref="B3048" ca="1">interpolexp(A3048,serie_du,Taxas_DI)</f>
        <v>0.12786453154087773</v>
      </c>
      <c r="C3048" s="32">
        <f ca="1">((((1+B3048)^(A3048/252))/((1+B3047)^(A3047/252)))^(252/1))-1</f>
        <v>0.1278201192889723</v>
      </c>
      <c r="D3048" s="30">
        <v>0.12786453154087773</v>
      </c>
      <c r="E3048" s="31">
        <f ca="1">B3048-D3048</f>
        <v>0</v>
      </c>
    </row>
    <row r="3049" spans="1:5" x14ac:dyDescent="0.25">
      <c r="A3049" s="21">
        <v>3048</v>
      </c>
      <c r="B3049" s="5" cm="1">
        <f t="array" aca="1" ref="B3049" ca="1">interpolexp(A3049,serie_du,Taxas_DI)</f>
        <v>0.12786451696964463</v>
      </c>
      <c r="C3049" s="32">
        <f ca="1">((((1+B3049)^(A3049/252))/((1+B3048)^(A3048/252)))^(252/1))-1</f>
        <v>0.12782011929648474</v>
      </c>
      <c r="D3049" s="30">
        <v>0.12786451696964463</v>
      </c>
      <c r="E3049" s="31">
        <f ca="1">B3049-D3049</f>
        <v>0</v>
      </c>
    </row>
    <row r="3050" spans="1:5" x14ac:dyDescent="0.25">
      <c r="A3050" s="21">
        <v>3049</v>
      </c>
      <c r="B3050" s="5" cm="1">
        <f t="array" aca="1" ref="B3050" ca="1">interpolexp(A3050,serie_du,Taxas_DI)</f>
        <v>0.12786450240798164</v>
      </c>
      <c r="C3050" s="32">
        <f ca="1">((((1+B3050)^(A3050/252))/((1+B3049)^(A3049/252)))^(252/1))-1</f>
        <v>0.12782011933278858</v>
      </c>
      <c r="D3050" s="30">
        <v>0.12786450240798164</v>
      </c>
      <c r="E3050" s="31">
        <f ca="1">B3050-D3050</f>
        <v>0</v>
      </c>
    </row>
    <row r="3051" spans="1:5" x14ac:dyDescent="0.25">
      <c r="A3051" s="21">
        <v>3050</v>
      </c>
      <c r="B3051" s="5" cm="1">
        <f t="array" aca="1" ref="B3051" ca="1">interpolexp(A3051,serie_du,Taxas_DI)</f>
        <v>0.12786448785584437</v>
      </c>
      <c r="C3051" s="32">
        <f ca="1">((((1+B3051)^(A3051/252))/((1+B3050)^(A3050/252)))^(252/1))-1</f>
        <v>0.12782011926227854</v>
      </c>
      <c r="D3051" s="30">
        <v>0.12786448785584437</v>
      </c>
      <c r="E3051" s="31">
        <f ca="1">B3051-D3051</f>
        <v>0</v>
      </c>
    </row>
    <row r="3052" spans="1:5" x14ac:dyDescent="0.25">
      <c r="A3052" s="21">
        <v>3051</v>
      </c>
      <c r="B3052" s="5" cm="1">
        <f t="array" aca="1" ref="B3052" ca="1">interpolexp(A3052,serie_du,Taxas_DI)</f>
        <v>0.12786447331325501</v>
      </c>
      <c r="C3052" s="32">
        <f ca="1">((((1+B3052)^(A3052/252))/((1+B3051)^(A3051/252)))^(252/1))-1</f>
        <v>0.12782011928815473</v>
      </c>
      <c r="D3052" s="30">
        <v>0.12786447331325501</v>
      </c>
      <c r="E3052" s="31">
        <f ca="1">B3052-D3052</f>
        <v>0</v>
      </c>
    </row>
    <row r="3053" spans="1:5" x14ac:dyDescent="0.25">
      <c r="A3053" s="21">
        <v>3052</v>
      </c>
      <c r="B3053" s="5" cm="1">
        <f t="array" aca="1" ref="B3053" ca="1">interpolexp(A3053,serie_du,Taxas_DI)</f>
        <v>0.12786445878019137</v>
      </c>
      <c r="C3053" s="32">
        <f ca="1">((((1+B3053)^(A3053/252))/((1+B3052)^(A3052/252)))^(252/1))-1</f>
        <v>0.12782011927488957</v>
      </c>
      <c r="D3053" s="30">
        <v>0.12786445878019137</v>
      </c>
      <c r="E3053" s="31">
        <f ca="1">B3053-D3053</f>
        <v>0</v>
      </c>
    </row>
    <row r="3054" spans="1:5" x14ac:dyDescent="0.25">
      <c r="A3054" s="21">
        <v>3053</v>
      </c>
      <c r="B3054" s="5" cm="1">
        <f t="array" aca="1" ref="B3054" ca="1">interpolexp(A3054,serie_du,Taxas_DI)</f>
        <v>0.12786444425665344</v>
      </c>
      <c r="C3054" s="32">
        <f ca="1">((((1+B3054)^(A3054/252))/((1+B3053)^(A3053/252)))^(252/1))-1</f>
        <v>0.12782011929022907</v>
      </c>
      <c r="D3054" s="30">
        <v>0.12786444425665344</v>
      </c>
      <c r="E3054" s="31">
        <f ca="1">B3054-D3054</f>
        <v>0</v>
      </c>
    </row>
    <row r="3055" spans="1:5" x14ac:dyDescent="0.25">
      <c r="A3055" s="21">
        <v>3054</v>
      </c>
      <c r="B3055" s="5" cm="1">
        <f t="array" aca="1" ref="B3055" ca="1">interpolexp(A3055,serie_du,Taxas_DI)</f>
        <v>0.12786442974261902</v>
      </c>
      <c r="C3055" s="32">
        <f ca="1">((((1+B3055)^(A3055/252))/((1+B3054)^(A3054/252)))^(252/1))-1</f>
        <v>0.12782011926624692</v>
      </c>
      <c r="D3055" s="30">
        <v>0.12786442974261902</v>
      </c>
      <c r="E3055" s="31">
        <f ca="1">B3055-D3055</f>
        <v>0</v>
      </c>
    </row>
    <row r="3056" spans="1:5" x14ac:dyDescent="0.25">
      <c r="A3056" s="21">
        <v>3055</v>
      </c>
      <c r="B3056" s="5" cm="1">
        <f t="array" aca="1" ref="B3056" ca="1">interpolexp(A3056,serie_du,Taxas_DI)</f>
        <v>0.12786441523811032</v>
      </c>
      <c r="C3056" s="32">
        <f ca="1">((((1+B3056)^(A3056/252))/((1+B3055)^(A3055/252)))^(252/1))-1</f>
        <v>0.12782011933871429</v>
      </c>
      <c r="D3056" s="30">
        <v>0.12786441523811032</v>
      </c>
      <c r="E3056" s="31">
        <f ca="1">B3056-D3056</f>
        <v>0</v>
      </c>
    </row>
    <row r="3057" spans="1:5" x14ac:dyDescent="0.25">
      <c r="A3057" s="21">
        <v>3056</v>
      </c>
      <c r="B3057" s="5" cm="1">
        <f t="array" aca="1" ref="B3057" ca="1">interpolexp(A3057,serie_du,Taxas_DI)</f>
        <v>0.12786440074306071</v>
      </c>
      <c r="C3057" s="32">
        <f ca="1">((((1+B3057)^(A3057/252))/((1+B3056)^(A3056/252)))^(252/1))-1</f>
        <v>0.1278201192360453</v>
      </c>
      <c r="D3057" s="30">
        <v>0.12786440074306071</v>
      </c>
      <c r="E3057" s="31">
        <f ca="1">B3057-D3057</f>
        <v>0</v>
      </c>
    </row>
    <row r="3058" spans="1:5" x14ac:dyDescent="0.25">
      <c r="A3058" s="21">
        <v>3057</v>
      </c>
      <c r="B3058" s="5" cm="1">
        <f t="array" aca="1" ref="B3058" ca="1">interpolexp(A3058,serie_du,Taxas_DI)</f>
        <v>0.12786438625751462</v>
      </c>
      <c r="C3058" s="32">
        <f ca="1">((((1+B3058)^(A3058/252))/((1+B3057)^(A3057/252)))^(252/1))-1</f>
        <v>0.12782011929774151</v>
      </c>
      <c r="D3058" s="30">
        <v>0.12786438625751462</v>
      </c>
      <c r="E3058" s="31">
        <f ca="1">B3058-D3058</f>
        <v>0</v>
      </c>
    </row>
    <row r="3059" spans="1:5" x14ac:dyDescent="0.25">
      <c r="A3059" s="21">
        <v>3058</v>
      </c>
      <c r="B3059" s="5" cm="1">
        <f t="array" aca="1" ref="B3059" ca="1">interpolexp(A3059,serie_du,Taxas_DI)</f>
        <v>0.12786437178144983</v>
      </c>
      <c r="C3059" s="32">
        <f ca="1">((((1+B3059)^(A3059/252))/((1+B3058)^(A3058/252)))^(252/1))-1</f>
        <v>0.12782011931973836</v>
      </c>
      <c r="D3059" s="30">
        <v>0.12786437178144983</v>
      </c>
      <c r="E3059" s="31">
        <f ca="1">B3059-D3059</f>
        <v>0</v>
      </c>
    </row>
    <row r="3060" spans="1:5" x14ac:dyDescent="0.25">
      <c r="A3060" s="21">
        <v>3059</v>
      </c>
      <c r="B3060" s="5" cm="1">
        <f t="array" aca="1" ref="B3060" ca="1">interpolexp(A3060,serie_du,Taxas_DI)</f>
        <v>0.12786435731482193</v>
      </c>
      <c r="C3060" s="32">
        <f ca="1">((((1+B3060)^(A3060/252))/((1+B3059)^(A3059/252)))^(252/1))-1</f>
        <v>0.12782011923472614</v>
      </c>
      <c r="D3060" s="30">
        <v>0.12786435731482193</v>
      </c>
      <c r="E3060" s="31">
        <f ca="1">B3060-D3060</f>
        <v>0</v>
      </c>
    </row>
    <row r="3061" spans="1:5" x14ac:dyDescent="0.25">
      <c r="A3061" s="21">
        <v>3060</v>
      </c>
      <c r="B3061" s="5" cm="1">
        <f t="array" aca="1" ref="B3061" ca="1">interpolexp(A3061,serie_du,Taxas_DI)</f>
        <v>0.12786434285767534</v>
      </c>
      <c r="C3061" s="32">
        <f ca="1">((((1+B3061)^(A3061/252))/((1+B3060)^(A3060/252)))^(252/1))-1</f>
        <v>0.12782011931350623</v>
      </c>
      <c r="D3061" s="30">
        <v>0.12786434285767534</v>
      </c>
      <c r="E3061" s="31">
        <f ca="1">B3061-D3061</f>
        <v>0</v>
      </c>
    </row>
    <row r="3062" spans="1:5" x14ac:dyDescent="0.25">
      <c r="A3062" s="21">
        <v>3061</v>
      </c>
      <c r="B3062" s="5" cm="1">
        <f t="array" aca="1" ref="B3062" ca="1">interpolexp(A3062,serie_du,Taxas_DI)</f>
        <v>0.12786432840996564</v>
      </c>
      <c r="C3062" s="32">
        <f ca="1">((((1+B3062)^(A3062/252))/((1+B3061)^(A3061/252)))^(252/1))-1</f>
        <v>0.12782011928500436</v>
      </c>
      <c r="D3062" s="30">
        <v>0.12786432840996564</v>
      </c>
      <c r="E3062" s="31">
        <f ca="1">B3062-D3062</f>
        <v>0</v>
      </c>
    </row>
    <row r="3063" spans="1:5" x14ac:dyDescent="0.25">
      <c r="A3063" s="21">
        <v>3062</v>
      </c>
      <c r="B3063" s="5" cm="1">
        <f t="array" aca="1" ref="B3063" ca="1">interpolexp(A3063,serie_du,Taxas_DI)</f>
        <v>0.12786431397169284</v>
      </c>
      <c r="C3063" s="32">
        <f ca="1">((((1+B3063)^(A3063/252))/((1+B3062)^(A3062/252)))^(252/1))-1</f>
        <v>0.12782011928487802</v>
      </c>
      <c r="D3063" s="30">
        <v>0.12786431397169284</v>
      </c>
      <c r="E3063" s="31">
        <f ca="1">B3063-D3063</f>
        <v>0</v>
      </c>
    </row>
    <row r="3064" spans="1:5" x14ac:dyDescent="0.25">
      <c r="A3064" s="21">
        <v>3063</v>
      </c>
      <c r="B3064" s="5" cm="1">
        <f t="array" aca="1" ref="B3064" ca="1">interpolexp(A3064,serie_du,Taxas_DI)</f>
        <v>0.12786429954283474</v>
      </c>
      <c r="C3064" s="32">
        <f ca="1">((((1+B3064)^(A3064/252))/((1+B3063)^(A3063/252)))^(252/1))-1</f>
        <v>0.12782011924488024</v>
      </c>
      <c r="D3064" s="30">
        <v>0.12786429954283474</v>
      </c>
      <c r="E3064" s="31">
        <f ca="1">B3064-D3064</f>
        <v>0</v>
      </c>
    </row>
    <row r="3065" spans="1:5" x14ac:dyDescent="0.25">
      <c r="A3065" s="21">
        <v>3064</v>
      </c>
      <c r="B3065" s="5" cm="1">
        <f t="array" aca="1" ref="B3065" ca="1">interpolexp(A3065,serie_du,Taxas_DI)</f>
        <v>0.12786428512341352</v>
      </c>
      <c r="C3065" s="32">
        <f ca="1">((((1+B3065)^(A3065/252))/((1+B3064)^(A3064/252)))^(252/1))-1</f>
        <v>0.12782011930133486</v>
      </c>
      <c r="D3065" s="30">
        <v>0.12786428512341352</v>
      </c>
      <c r="E3065" s="31">
        <f ca="1">B3065-D3065</f>
        <v>0</v>
      </c>
    </row>
    <row r="3066" spans="1:5" x14ac:dyDescent="0.25">
      <c r="A3066" s="21">
        <v>3065</v>
      </c>
      <c r="B3066" s="5" cm="1">
        <f t="array" aca="1" ref="B3066" ca="1">interpolexp(A3066,serie_du,Taxas_DI)</f>
        <v>0.1278642707133848</v>
      </c>
      <c r="C3066" s="32">
        <f ca="1">((((1+B3066)^(A3066/252))/((1+B3065)^(A3065/252)))^(252/1))-1</f>
        <v>0.12782011924985426</v>
      </c>
      <c r="D3066" s="30">
        <v>0.1278642707133848</v>
      </c>
      <c r="E3066" s="31">
        <f ca="1">B3066-D3066</f>
        <v>0</v>
      </c>
    </row>
    <row r="3067" spans="1:5" x14ac:dyDescent="0.25">
      <c r="A3067" s="21">
        <v>3066</v>
      </c>
      <c r="B3067" s="5" cm="1">
        <f t="array" aca="1" ref="B3067" ca="1">interpolexp(A3067,serie_du,Taxas_DI)</f>
        <v>0.12786425631277076</v>
      </c>
      <c r="C3067" s="32">
        <f ca="1">((((1+B3067)^(A3067/252))/((1+B3066)^(A3066/252)))^(252/1))-1</f>
        <v>0.12782011929465154</v>
      </c>
      <c r="D3067" s="30">
        <v>0.12786425631277076</v>
      </c>
      <c r="E3067" s="31">
        <f ca="1">B3067-D3067</f>
        <v>0</v>
      </c>
    </row>
    <row r="3068" spans="1:5" x14ac:dyDescent="0.25">
      <c r="A3068" s="21">
        <v>3067</v>
      </c>
      <c r="B3068" s="5" cm="1">
        <f t="array" aca="1" ref="B3068" ca="1">interpolexp(A3068,serie_du,Taxas_DI)</f>
        <v>0.12786424192154922</v>
      </c>
      <c r="C3068" s="32">
        <f ca="1">((((1+B3068)^(A3068/252))/((1+B3067)^(A3067/252)))^(252/1))-1</f>
        <v>0.12782011929962778</v>
      </c>
      <c r="D3068" s="30">
        <v>0.12786424192154922</v>
      </c>
      <c r="E3068" s="31">
        <f ca="1">B3068-D3068</f>
        <v>0</v>
      </c>
    </row>
    <row r="3069" spans="1:5" x14ac:dyDescent="0.25">
      <c r="A3069" s="21">
        <v>3068</v>
      </c>
      <c r="B3069" s="5" cm="1">
        <f t="array" aca="1" ref="B3069" ca="1">interpolexp(A3069,serie_du,Taxas_DI)</f>
        <v>0.12786422753969795</v>
      </c>
      <c r="C3069" s="32">
        <f ca="1">((((1+B3069)^(A3069/252))/((1+B3068)^(A3068/252)))^(252/1))-1</f>
        <v>0.12782011926461112</v>
      </c>
      <c r="D3069" s="30">
        <v>0.12786422753969795</v>
      </c>
      <c r="E3069" s="31">
        <f ca="1">B3069-D3069</f>
        <v>0</v>
      </c>
    </row>
    <row r="3070" spans="1:5" x14ac:dyDescent="0.25">
      <c r="A3070" s="21">
        <v>3069</v>
      </c>
      <c r="B3070" s="5" cm="1">
        <f t="array" aca="1" ref="B3070" ca="1">interpolexp(A3070,serie_du,Taxas_DI)</f>
        <v>0.12786421316721697</v>
      </c>
      <c r="C3070" s="32">
        <f ca="1">((((1+B3070)^(A3070/252))/((1+B3069)^(A3069/252)))^(252/1))-1</f>
        <v>0.1278201192578039</v>
      </c>
      <c r="D3070" s="30">
        <v>0.12786421316721697</v>
      </c>
      <c r="E3070" s="31">
        <f ca="1">B3070-D3070</f>
        <v>0</v>
      </c>
    </row>
    <row r="3071" spans="1:5" x14ac:dyDescent="0.25">
      <c r="A3071" s="21">
        <v>3070</v>
      </c>
      <c r="B3071" s="5" cm="1">
        <f t="array" aca="1" ref="B3071" ca="1">interpolexp(A3071,serie_du,Taxas_DI)</f>
        <v>0.12786419880410627</v>
      </c>
      <c r="C3071" s="32">
        <f ca="1">((((1+B3071)^(A3071/252))/((1+B3070)^(A3070/252)))^(252/1))-1</f>
        <v>0.12782011927907688</v>
      </c>
      <c r="D3071" s="30">
        <v>0.12786419880410627</v>
      </c>
      <c r="E3071" s="31">
        <f ca="1">B3071-D3071</f>
        <v>0</v>
      </c>
    </row>
    <row r="3072" spans="1:5" x14ac:dyDescent="0.25">
      <c r="A3072" s="21">
        <v>3071</v>
      </c>
      <c r="B3072" s="5" cm="1">
        <f t="array" aca="1" ref="B3072" ca="1">interpolexp(A3072,serie_du,Taxas_DI)</f>
        <v>0.12786418445036585</v>
      </c>
      <c r="C3072" s="32">
        <f ca="1">((((1+B3072)^(A3072/252))/((1+B3071)^(A3071/252)))^(252/1))-1</f>
        <v>0.12782011932844362</v>
      </c>
      <c r="D3072" s="30">
        <v>0.12786418445036585</v>
      </c>
      <c r="E3072" s="31">
        <f ca="1">B3072-D3072</f>
        <v>0</v>
      </c>
    </row>
    <row r="3073" spans="1:5" x14ac:dyDescent="0.25">
      <c r="A3073" s="21">
        <v>3072</v>
      </c>
      <c r="B3073" s="5" cm="1">
        <f t="array" aca="1" ref="B3073" ca="1">interpolexp(A3073,serie_du,Taxas_DI)</f>
        <v>0.1278641701059513</v>
      </c>
      <c r="C3073" s="32">
        <f ca="1">((((1+B3073)^(A3073/252))/((1+B3072)^(A3072/252)))^(252/1))-1</f>
        <v>0.12782011926939885</v>
      </c>
      <c r="D3073" s="30">
        <v>0.1278641701059513</v>
      </c>
      <c r="E3073" s="31">
        <f ca="1">B3073-D3073</f>
        <v>0</v>
      </c>
    </row>
    <row r="3074" spans="1:5" x14ac:dyDescent="0.25">
      <c r="A3074" s="21">
        <v>3073</v>
      </c>
      <c r="B3074" s="5" cm="1">
        <f t="array" aca="1" ref="B3074" ca="1">interpolexp(A3074,serie_du,Taxas_DI)</f>
        <v>0.12786415577086263</v>
      </c>
      <c r="C3074" s="32">
        <f ca="1">((((1+B3074)^(A3074/252))/((1+B3073)^(A3073/252)))^(252/1))-1</f>
        <v>0.12782011923844006</v>
      </c>
      <c r="D3074" s="30">
        <v>0.12786415577086263</v>
      </c>
      <c r="E3074" s="31">
        <f ca="1">B3074-D3074</f>
        <v>0</v>
      </c>
    </row>
    <row r="3075" spans="1:5" x14ac:dyDescent="0.25">
      <c r="A3075" s="21">
        <v>3074</v>
      </c>
      <c r="B3075" s="5" cm="1">
        <f t="array" aca="1" ref="B3075" ca="1">interpolexp(A3075,serie_du,Taxas_DI)</f>
        <v>0.12786414144512204</v>
      </c>
      <c r="C3075" s="32">
        <f ca="1">((((1+B3075)^(A3075/252))/((1+B3074)^(A3074/252)))^(252/1))-1</f>
        <v>0.12782011930365988</v>
      </c>
      <c r="D3075" s="30">
        <v>0.12786414144512204</v>
      </c>
      <c r="E3075" s="31">
        <f ca="1">B3075-D3075</f>
        <v>0</v>
      </c>
    </row>
    <row r="3076" spans="1:5" x14ac:dyDescent="0.25">
      <c r="A3076" s="21">
        <v>3075</v>
      </c>
      <c r="B3076" s="5" cm="1">
        <f t="array" aca="1" ref="B3076" ca="1">interpolexp(A3076,serie_du,Taxas_DI)</f>
        <v>0.12786412712868511</v>
      </c>
      <c r="C3076" s="32">
        <f ca="1">((((1+B3076)^(A3076/252))/((1+B3075)^(A3075/252)))^(252/1))-1</f>
        <v>0.12782011926051684</v>
      </c>
      <c r="D3076" s="30">
        <v>0.12786412712868511</v>
      </c>
      <c r="E3076" s="31">
        <f ca="1">B3076-D3076</f>
        <v>0</v>
      </c>
    </row>
    <row r="3077" spans="1:5" x14ac:dyDescent="0.25">
      <c r="A3077" s="21">
        <v>3076</v>
      </c>
      <c r="B3077" s="5" cm="1">
        <f t="array" aca="1" ref="B3077" ca="1">interpolexp(A3077,serie_du,Taxas_DI)</f>
        <v>0.12786411282155186</v>
      </c>
      <c r="C3077" s="32">
        <f ca="1">((((1+B3077)^(A3077/252))/((1+B3076)^(A3076/252)))^(252/1))-1</f>
        <v>0.12782011924500458</v>
      </c>
      <c r="D3077" s="30">
        <v>0.12786411282155186</v>
      </c>
      <c r="E3077" s="31">
        <f ca="1">B3077-D3077</f>
        <v>0</v>
      </c>
    </row>
    <row r="3078" spans="1:5" x14ac:dyDescent="0.25">
      <c r="A3078" s="21">
        <v>3077</v>
      </c>
      <c r="B3078" s="5" cm="1">
        <f t="array" aca="1" ref="B3078" ca="1">interpolexp(A3078,serie_du,Taxas_DI)</f>
        <v>0.12786409852374447</v>
      </c>
      <c r="C3078" s="32">
        <f ca="1">((((1+B3078)^(A3078/252))/((1+B3077)^(A3077/252)))^(252/1))-1</f>
        <v>0.12782011932605553</v>
      </c>
      <c r="D3078" s="30">
        <v>0.12786409852374447</v>
      </c>
      <c r="E3078" s="31">
        <f ca="1">B3078-D3078</f>
        <v>0</v>
      </c>
    </row>
    <row r="3079" spans="1:5" x14ac:dyDescent="0.25">
      <c r="A3079" s="21">
        <v>3078</v>
      </c>
      <c r="B3079" s="5" cm="1">
        <f t="array" aca="1" ref="B3079" ca="1">interpolexp(A3079,serie_du,Taxas_DI)</f>
        <v>0.12786408423519635</v>
      </c>
      <c r="C3079" s="32">
        <f ca="1">((((1+B3079)^(A3079/252))/((1+B3078)^(A3078/252)))^(252/1))-1</f>
        <v>0.12782011922980518</v>
      </c>
      <c r="D3079" s="30">
        <v>0.12786408423519635</v>
      </c>
      <c r="E3079" s="31">
        <f ca="1">B3079-D3079</f>
        <v>0</v>
      </c>
    </row>
    <row r="3080" spans="1:5" x14ac:dyDescent="0.25">
      <c r="A3080" s="21">
        <v>3079</v>
      </c>
      <c r="B3080" s="5" cm="1">
        <f t="array" aca="1" ref="B3080" ca="1">interpolexp(A3080,serie_du,Taxas_DI)</f>
        <v>0.1278640699559519</v>
      </c>
      <c r="C3080" s="32">
        <f ca="1">((((1+B3080)^(A3080/252))/((1+B3079)^(A3079/252)))^(252/1))-1</f>
        <v>0.12782011929812009</v>
      </c>
      <c r="D3080" s="30">
        <v>0.1278640699559519</v>
      </c>
      <c r="E3080" s="31">
        <f ca="1">B3080-D3080</f>
        <v>0</v>
      </c>
    </row>
    <row r="3081" spans="1:5" x14ac:dyDescent="0.25">
      <c r="A3081" s="21">
        <v>3080</v>
      </c>
      <c r="B3081" s="5" cm="1">
        <f t="array" aca="1" ref="B3081" ca="1">interpolexp(A3081,serie_du,Taxas_DI)</f>
        <v>0.1278640556859667</v>
      </c>
      <c r="C3081" s="32">
        <f ca="1">((((1+B3081)^(A3081/252))/((1+B3080)^(A3080/252)))^(252/1))-1</f>
        <v>0.12782011925767978</v>
      </c>
      <c r="D3081" s="30">
        <v>0.1278640556859667</v>
      </c>
      <c r="E3081" s="31">
        <f ca="1">B3081-D3081</f>
        <v>0</v>
      </c>
    </row>
    <row r="3082" spans="1:5" x14ac:dyDescent="0.25">
      <c r="A3082" s="21">
        <v>3081</v>
      </c>
      <c r="B3082" s="5" cm="1">
        <f t="array" aca="1" ref="B3082" ca="1">interpolexp(A3082,serie_du,Taxas_DI)</f>
        <v>0.12786404142524077</v>
      </c>
      <c r="C3082" s="32">
        <f ca="1">((((1+B3082)^(A3082/252))/((1+B3081)^(A3081/252)))^(252/1))-1</f>
        <v>0.12782011924488024</v>
      </c>
      <c r="D3082" s="30">
        <v>0.12786404142524077</v>
      </c>
      <c r="E3082" s="31">
        <f ca="1">B3082-D3082</f>
        <v>0</v>
      </c>
    </row>
    <row r="3083" spans="1:5" x14ac:dyDescent="0.25">
      <c r="A3083" s="21">
        <v>3082</v>
      </c>
      <c r="B3083" s="5" cm="1">
        <f t="array" aca="1" ref="B3083" ca="1">interpolexp(A3083,serie_du,Taxas_DI)</f>
        <v>0.1278640271737963</v>
      </c>
      <c r="C3083" s="32">
        <f ca="1">((((1+B3083)^(A3083/252))/((1+B3082)^(A3082/252)))^(252/1))-1</f>
        <v>0.12782011932838122</v>
      </c>
      <c r="D3083" s="30">
        <v>0.1278640271737963</v>
      </c>
      <c r="E3083" s="31">
        <f ca="1">B3083-D3083</f>
        <v>0</v>
      </c>
    </row>
    <row r="3084" spans="1:5" x14ac:dyDescent="0.25">
      <c r="A3084" s="21">
        <v>3083</v>
      </c>
      <c r="B3084" s="5" cm="1">
        <f t="array" aca="1" ref="B3084" ca="1">interpolexp(A3084,serie_du,Taxas_DI)</f>
        <v>0.12786401293156668</v>
      </c>
      <c r="C3084" s="32">
        <f ca="1">((((1+B3084)^(A3084/252))/((1+B3083)^(A3083/252)))^(252/1))-1</f>
        <v>0.12782011923434555</v>
      </c>
      <c r="D3084" s="30">
        <v>0.12786401293156668</v>
      </c>
      <c r="E3084" s="31">
        <f ca="1">B3084-D3084</f>
        <v>0</v>
      </c>
    </row>
    <row r="3085" spans="1:5" x14ac:dyDescent="0.25">
      <c r="A3085" s="21">
        <v>3084</v>
      </c>
      <c r="B3085" s="5" cm="1">
        <f t="array" aca="1" ref="B3085" ca="1">interpolexp(A3085,serie_du,Taxas_DI)</f>
        <v>0.12786399869859633</v>
      </c>
      <c r="C3085" s="32">
        <f ca="1">((((1+B3085)^(A3085/252))/((1+B3084)^(A3084/252)))^(252/1))-1</f>
        <v>0.12782011930473569</v>
      </c>
      <c r="D3085" s="30">
        <v>0.12786399869859633</v>
      </c>
      <c r="E3085" s="31">
        <f ca="1">B3085-D3085</f>
        <v>0</v>
      </c>
    </row>
    <row r="3086" spans="1:5" x14ac:dyDescent="0.25">
      <c r="A3086" s="21">
        <v>3085</v>
      </c>
      <c r="B3086" s="5" cm="1">
        <f t="array" aca="1" ref="B3086" ca="1">interpolexp(A3086,serie_du,Taxas_DI)</f>
        <v>0.12786398447484082</v>
      </c>
      <c r="C3086" s="32">
        <f ca="1">((((1+B3086)^(A3086/252))/((1+B3085)^(A3085/252)))^(252/1))-1</f>
        <v>0.12782011926624692</v>
      </c>
      <c r="D3086" s="30">
        <v>0.12786398447484082</v>
      </c>
      <c r="E3086" s="31">
        <f ca="1">B3086-D3086</f>
        <v>0</v>
      </c>
    </row>
    <row r="3087" spans="1:5" x14ac:dyDescent="0.25">
      <c r="A3087" s="21">
        <v>3086</v>
      </c>
      <c r="B3087" s="5" cm="1">
        <f t="array" aca="1" ref="B3087" ca="1">interpolexp(A3087,serie_du,Taxas_DI)</f>
        <v>0.12786397026030016</v>
      </c>
      <c r="C3087" s="32">
        <f ca="1">((((1+B3087)^(A3087/252))/((1+B3086)^(A3086/252)))^(252/1))-1</f>
        <v>0.12782011925508674</v>
      </c>
      <c r="D3087" s="30">
        <v>0.12786397026030016</v>
      </c>
      <c r="E3087" s="31">
        <f ca="1">B3087-D3087</f>
        <v>0</v>
      </c>
    </row>
    <row r="3088" spans="1:5" x14ac:dyDescent="0.25">
      <c r="A3088" s="21">
        <v>3087</v>
      </c>
      <c r="B3088" s="5" cm="1">
        <f t="array" aca="1" ref="B3088" ca="1">interpolexp(A3088,serie_du,Taxas_DI)</f>
        <v>0.12786395605497436</v>
      </c>
      <c r="C3088" s="32">
        <f ca="1">((((1+B3088)^(A3088/252))/((1+B3087)^(A3087/252)))^(252/1))-1</f>
        <v>0.12782011927179404</v>
      </c>
      <c r="D3088" s="30">
        <v>0.12786395605497436</v>
      </c>
      <c r="E3088" s="31">
        <f ca="1">B3088-D3088</f>
        <v>0</v>
      </c>
    </row>
    <row r="3089" spans="1:5" x14ac:dyDescent="0.25">
      <c r="A3089" s="21">
        <v>3088</v>
      </c>
      <c r="B3089" s="5" cm="1">
        <f t="array" aca="1" ref="B3089" ca="1">interpolexp(A3089,serie_du,Taxas_DI)</f>
        <v>0.1278639418588412</v>
      </c>
      <c r="C3089" s="32">
        <f ca="1">((((1+B3089)^(A3089/252))/((1+B3088)^(A3088/252)))^(252/1))-1</f>
        <v>0.1278201192474635</v>
      </c>
      <c r="D3089" s="30">
        <v>0.1278639418588412</v>
      </c>
      <c r="E3089" s="31">
        <f ca="1">B3089-D3089</f>
        <v>0</v>
      </c>
    </row>
    <row r="3090" spans="1:5" x14ac:dyDescent="0.25">
      <c r="A3090" s="21">
        <v>3089</v>
      </c>
      <c r="B3090" s="5" cm="1">
        <f t="array" aca="1" ref="B3090" ca="1">interpolexp(A3090,serie_du,Taxas_DI)</f>
        <v>0.12786392767190069</v>
      </c>
      <c r="C3090" s="32">
        <f ca="1">((((1+B3090)^(A3090/252))/((1+B3089)^(A3089/252)))^(252/1))-1</f>
        <v>0.12782011925060632</v>
      </c>
      <c r="D3090" s="30">
        <v>0.12786392767190069</v>
      </c>
      <c r="E3090" s="31">
        <f ca="1">B3090-D3090</f>
        <v>0</v>
      </c>
    </row>
    <row r="3091" spans="1:5" x14ac:dyDescent="0.25">
      <c r="A3091" s="21">
        <v>3090</v>
      </c>
      <c r="B3091" s="5" cm="1">
        <f t="array" aca="1" ref="B3091" ca="1">interpolexp(A3091,serie_du,Taxas_DI)</f>
        <v>0.12786391349415283</v>
      </c>
      <c r="C3091" s="32">
        <f ca="1">((((1+B3091)^(A3091/252))/((1+B3090)^(A3090/252)))^(252/1))-1</f>
        <v>0.1278201192815982</v>
      </c>
      <c r="D3091" s="30">
        <v>0.12786391349415283</v>
      </c>
      <c r="E3091" s="31">
        <f ca="1">B3091-D3091</f>
        <v>0</v>
      </c>
    </row>
    <row r="3092" spans="1:5" x14ac:dyDescent="0.25">
      <c r="A3092" s="21">
        <v>3091</v>
      </c>
      <c r="B3092" s="5" cm="1">
        <f t="array" aca="1" ref="B3092" ca="1">interpolexp(A3092,serie_du,Taxas_DI)</f>
        <v>0.1278638993255754</v>
      </c>
      <c r="C3092" s="32">
        <f ca="1">((((1+B3092)^(A3092/252))/((1+B3091)^(A3091/252)))^(252/1))-1</f>
        <v>0.12782011927128067</v>
      </c>
      <c r="D3092" s="30">
        <v>0.1278638993255754</v>
      </c>
      <c r="E3092" s="31">
        <f ca="1">B3092-D3092</f>
        <v>0</v>
      </c>
    </row>
    <row r="3093" spans="1:5" x14ac:dyDescent="0.25">
      <c r="A3093" s="21">
        <v>3092</v>
      </c>
      <c r="B3093" s="5" cm="1">
        <f t="array" aca="1" ref="B3093" ca="1">interpolexp(A3093,serie_du,Taxas_DI)</f>
        <v>0.12786388516616842</v>
      </c>
      <c r="C3093" s="32">
        <f ca="1">((((1+B3093)^(A3093/252))/((1+B3092)^(A3092/252)))^(252/1))-1</f>
        <v>0.12782011928865611</v>
      </c>
      <c r="D3093" s="30">
        <v>0.12786388516616842</v>
      </c>
      <c r="E3093" s="31">
        <f ca="1">B3093-D3093</f>
        <v>0</v>
      </c>
    </row>
    <row r="3094" spans="1:5" x14ac:dyDescent="0.25">
      <c r="A3094" s="21">
        <v>3093</v>
      </c>
      <c r="B3094" s="5" cm="1">
        <f t="array" aca="1" ref="B3094" ca="1">interpolexp(A3094,serie_du,Taxas_DI)</f>
        <v>0.12786387101590968</v>
      </c>
      <c r="C3094" s="32">
        <f ca="1">((((1+B3094)^(A3094/252))/((1+B3093)^(A3093/252)))^(252/1))-1</f>
        <v>0.12782011926473591</v>
      </c>
      <c r="D3094" s="30">
        <v>0.12786387101590968</v>
      </c>
      <c r="E3094" s="31">
        <f ca="1">B3094-D3094</f>
        <v>0</v>
      </c>
    </row>
    <row r="3095" spans="1:5" x14ac:dyDescent="0.25">
      <c r="A3095" s="21">
        <v>3094</v>
      </c>
      <c r="B3095" s="5" cm="1">
        <f t="array" aca="1" ref="B3095" ca="1">interpolexp(A3095,serie_du,Taxas_DI)</f>
        <v>0.12786385687479918</v>
      </c>
      <c r="C3095" s="32">
        <f ca="1">((((1+B3095)^(A3095/252))/((1+B3094)^(A3094/252)))^(252/1))-1</f>
        <v>0.12782011926839254</v>
      </c>
      <c r="D3095" s="30">
        <v>0.12786385687479918</v>
      </c>
      <c r="E3095" s="31">
        <f ca="1">B3095-D3095</f>
        <v>0</v>
      </c>
    </row>
    <row r="3096" spans="1:5" x14ac:dyDescent="0.25">
      <c r="A3096" s="21">
        <v>3095</v>
      </c>
      <c r="B3096" s="5" cm="1">
        <f t="array" aca="1" ref="B3096" ca="1">interpolexp(A3096,serie_du,Taxas_DI)</f>
        <v>0.1278638427428147</v>
      </c>
      <c r="C3096" s="32">
        <f ca="1">((((1+B3096)^(A3096/252))/((1+B3095)^(A3095/252)))^(252/1))-1</f>
        <v>0.12782011923056791</v>
      </c>
      <c r="D3096" s="30">
        <v>0.1278638427428147</v>
      </c>
      <c r="E3096" s="31">
        <f ca="1">B3096-D3096</f>
        <v>0</v>
      </c>
    </row>
    <row r="3097" spans="1:5" x14ac:dyDescent="0.25">
      <c r="A3097" s="21">
        <v>3096</v>
      </c>
      <c r="B3097" s="5" cm="1">
        <f t="array" aca="1" ref="B3097" ca="1">interpolexp(A3097,serie_du,Taxas_DI)</f>
        <v>0.12786382861997847</v>
      </c>
      <c r="C3097" s="32">
        <f ca="1">((((1+B3097)^(A3097/252))/((1+B3096)^(A3096/252)))^(252/1))-1</f>
        <v>0.12782011928916059</v>
      </c>
      <c r="D3097" s="30">
        <v>0.12786382861997847</v>
      </c>
      <c r="E3097" s="31">
        <f ca="1">B3097-D3097</f>
        <v>0</v>
      </c>
    </row>
    <row r="3098" spans="1:5" x14ac:dyDescent="0.25">
      <c r="A3098" s="21">
        <v>3097</v>
      </c>
      <c r="B3098" s="5" cm="1">
        <f t="array" aca="1" ref="B3098" ca="1">interpolexp(A3098,serie_du,Taxas_DI)</f>
        <v>0.12786381450624607</v>
      </c>
      <c r="C3098" s="32">
        <f ca="1">((((1+B3098)^(A3098/252))/((1+B3097)^(A3097/252)))^(252/1))-1</f>
        <v>0.12782011923736403</v>
      </c>
      <c r="D3098" s="30">
        <v>0.12786381450624607</v>
      </c>
      <c r="E3098" s="31">
        <f ca="1">B3098-D3098</f>
        <v>0</v>
      </c>
    </row>
    <row r="3099" spans="1:5" x14ac:dyDescent="0.25">
      <c r="A3099" s="21">
        <v>3098</v>
      </c>
      <c r="B3099" s="5" cm="1">
        <f t="array" aca="1" ref="B3099" ca="1">interpolexp(A3099,serie_du,Taxas_DI)</f>
        <v>0.12786380040163969</v>
      </c>
      <c r="C3099" s="32">
        <f ca="1">((((1+B3099)^(A3099/252))/((1+B3098)^(A3098/252)))^(252/1))-1</f>
        <v>0.12782011928197856</v>
      </c>
      <c r="D3099" s="30">
        <v>0.12786380040163969</v>
      </c>
      <c r="E3099" s="31">
        <f ca="1">B3099-D3099</f>
        <v>0</v>
      </c>
    </row>
    <row r="3100" spans="1:5" x14ac:dyDescent="0.25">
      <c r="A3100" s="21">
        <v>3099</v>
      </c>
      <c r="B3100" s="5" cm="1">
        <f t="array" aca="1" ref="B3100" ca="1">interpolexp(A3100,serie_du,Taxas_DI)</f>
        <v>0.12786378630611495</v>
      </c>
      <c r="C3100" s="32">
        <f ca="1">((((1+B3100)^(A3100/252))/((1+B3099)^(A3099/252)))^(252/1))-1</f>
        <v>0.12782011921599934</v>
      </c>
      <c r="D3100" s="30">
        <v>0.12786378630611495</v>
      </c>
      <c r="E3100" s="31">
        <f ca="1">B3100-D3100</f>
        <v>0</v>
      </c>
    </row>
    <row r="3101" spans="1:5" x14ac:dyDescent="0.25">
      <c r="A3101" s="21">
        <v>3100</v>
      </c>
      <c r="B3101" s="5" cm="1">
        <f t="array" aca="1" ref="B3101" ca="1">interpolexp(A3101,serie_du,Taxas_DI)</f>
        <v>0.12786377221971623</v>
      </c>
      <c r="C3101" s="32">
        <f ca="1">((((1+B3101)^(A3101/252))/((1+B3100)^(A3100/252)))^(252/1))-1</f>
        <v>0.12782011931520221</v>
      </c>
      <c r="D3101" s="30">
        <v>0.12786377221971623</v>
      </c>
      <c r="E3101" s="31">
        <f ca="1">B3101-D3101</f>
        <v>0</v>
      </c>
    </row>
    <row r="3102" spans="1:5" x14ac:dyDescent="0.25">
      <c r="A3102" s="21">
        <v>3101</v>
      </c>
      <c r="B3102" s="5" cm="1">
        <f t="array" aca="1" ref="B3102" ca="1">interpolexp(A3102,serie_du,Taxas_DI)</f>
        <v>0.12786375814237694</v>
      </c>
      <c r="C3102" s="32">
        <f ca="1">((((1+B3102)^(A3102/252))/((1+B3101)^(A3101/252)))^(252/1))-1</f>
        <v>0.12782011923510095</v>
      </c>
      <c r="D3102" s="30">
        <v>0.12786375814237694</v>
      </c>
      <c r="E3102" s="31">
        <f ca="1">B3102-D3102</f>
        <v>0</v>
      </c>
    </row>
    <row r="3103" spans="1:5" x14ac:dyDescent="0.25">
      <c r="A3103" s="21">
        <v>3102</v>
      </c>
      <c r="B3103" s="5" cm="1">
        <f t="array" aca="1" ref="B3103" ca="1">interpolexp(A3103,serie_du,Taxas_DI)</f>
        <v>0.12786374407411927</v>
      </c>
      <c r="C3103" s="32">
        <f ca="1">((((1+B3103)^(A3103/252))/((1+B3102)^(A3102/252)))^(252/1))-1</f>
        <v>0.12782011925111836</v>
      </c>
      <c r="D3103" s="30">
        <v>0.12786374407411927</v>
      </c>
      <c r="E3103" s="31">
        <f ca="1">B3103-D3103</f>
        <v>0</v>
      </c>
    </row>
    <row r="3104" spans="1:5" x14ac:dyDescent="0.25">
      <c r="A3104" s="21">
        <v>3103</v>
      </c>
      <c r="B3104" s="5" cm="1">
        <f t="array" aca="1" ref="B3104" ca="1">interpolexp(A3104,serie_du,Taxas_DI)</f>
        <v>0.12786373001492102</v>
      </c>
      <c r="C3104" s="32">
        <f ca="1">((((1+B3104)^(A3104/252))/((1+B3103)^(A3103/252)))^(252/1))-1</f>
        <v>0.12782011922539782</v>
      </c>
      <c r="D3104" s="30">
        <v>0.12786373001492102</v>
      </c>
      <c r="E3104" s="31">
        <f ca="1">B3104-D3104</f>
        <v>0</v>
      </c>
    </row>
    <row r="3105" spans="1:5" x14ac:dyDescent="0.25">
      <c r="A3105" s="21">
        <v>3104</v>
      </c>
      <c r="B3105" s="5" cm="1">
        <f t="array" aca="1" ref="B3105" ca="1">interpolexp(A3105,serie_du,Taxas_DI)</f>
        <v>0.12786371596480439</v>
      </c>
      <c r="C3105" s="32">
        <f ca="1">((((1+B3105)^(A3105/252))/((1+B3104)^(A3104/252)))^(252/1))-1</f>
        <v>0.12782011929578418</v>
      </c>
      <c r="D3105" s="30">
        <v>0.12786371596480439</v>
      </c>
      <c r="E3105" s="31">
        <f ca="1">B3105-D3105</f>
        <v>0</v>
      </c>
    </row>
    <row r="3106" spans="1:5" x14ac:dyDescent="0.25">
      <c r="A3106" s="21">
        <v>3105</v>
      </c>
      <c r="B3106" s="5" cm="1">
        <f t="array" aca="1" ref="B3106" ca="1">interpolexp(A3106,serie_du,Taxas_DI)</f>
        <v>0.12786370192372498</v>
      </c>
      <c r="C3106" s="32">
        <f ca="1">((((1+B3106)^(A3106/252))/((1+B3105)^(A3105/252)))^(252/1))-1</f>
        <v>0.1278201192555255</v>
      </c>
      <c r="D3106" s="30">
        <v>0.12786370192372498</v>
      </c>
      <c r="E3106" s="31">
        <f ca="1">B3106-D3106</f>
        <v>0</v>
      </c>
    </row>
    <row r="3107" spans="1:5" x14ac:dyDescent="0.25">
      <c r="A3107" s="21">
        <v>3106</v>
      </c>
      <c r="B3107" s="5" cm="1">
        <f t="array" aca="1" ref="B3107" ca="1">interpolexp(A3107,serie_du,Taxas_DI)</f>
        <v>0.12786368789168279</v>
      </c>
      <c r="C3107" s="32">
        <f ca="1">((((1+B3107)^(A3107/252))/((1+B3106)^(A3106/252)))^(252/1))-1</f>
        <v>0.12782011924254966</v>
      </c>
      <c r="D3107" s="30">
        <v>0.12786368789168279</v>
      </c>
      <c r="E3107" s="31">
        <f ca="1">B3107-D3107</f>
        <v>0</v>
      </c>
    </row>
    <row r="3108" spans="1:5" x14ac:dyDescent="0.25">
      <c r="A3108" s="21">
        <v>3107</v>
      </c>
      <c r="B3108" s="5" cm="1">
        <f t="array" aca="1" ref="B3108" ca="1">interpolexp(A3108,serie_du,Taxas_DI)</f>
        <v>0.12786367386867781</v>
      </c>
      <c r="C3108" s="32">
        <f ca="1">((((1+B3108)^(A3108/252))/((1+B3107)^(A3107/252)))^(252/1))-1</f>
        <v>0.12782011925640702</v>
      </c>
      <c r="D3108" s="30">
        <v>0.12786367386867781</v>
      </c>
      <c r="E3108" s="31">
        <f ca="1">B3108-D3108</f>
        <v>0</v>
      </c>
    </row>
    <row r="3109" spans="1:5" x14ac:dyDescent="0.25">
      <c r="A3109" s="21">
        <v>3108</v>
      </c>
      <c r="B3109" s="5" cm="1">
        <f t="array" aca="1" ref="B3109" ca="1">interpolexp(A3109,serie_du,Taxas_DI)</f>
        <v>0.12786365985471004</v>
      </c>
      <c r="C3109" s="32">
        <f ca="1">((((1+B3109)^(A3109/252))/((1+B3108)^(A3108/252)))^(252/1))-1</f>
        <v>0.12782011929761561</v>
      </c>
      <c r="D3109" s="30">
        <v>0.12786365985471004</v>
      </c>
      <c r="E3109" s="31">
        <f ca="1">B3109-D3109</f>
        <v>0</v>
      </c>
    </row>
    <row r="3110" spans="1:5" x14ac:dyDescent="0.25">
      <c r="A3110" s="21">
        <v>3109</v>
      </c>
      <c r="B3110" s="5" cm="1">
        <f t="array" aca="1" ref="B3110" ca="1">interpolexp(A3110,serie_du,Taxas_DI)</f>
        <v>0.12786364584973509</v>
      </c>
      <c r="C3110" s="32">
        <f ca="1">((((1+B3110)^(A3110/252))/((1+B3109)^(A3109/252)))^(252/1))-1</f>
        <v>0.12782011922773062</v>
      </c>
      <c r="D3110" s="30">
        <v>0.12786364584973509</v>
      </c>
      <c r="E3110" s="31">
        <f ca="1">B3110-D3110</f>
        <v>0</v>
      </c>
    </row>
    <row r="3111" spans="1:5" x14ac:dyDescent="0.25">
      <c r="A3111" s="21">
        <v>3110</v>
      </c>
      <c r="B3111" s="5" cm="1">
        <f t="array" aca="1" ref="B3111" ca="1">interpolexp(A3111,serie_du,Taxas_DI)</f>
        <v>0.12786363185377514</v>
      </c>
      <c r="C3111" s="32">
        <f ca="1">((((1+B3111)^(A3111/252))/((1+B3110)^(A3110/252)))^(252/1))-1</f>
        <v>0.12782011925394854</v>
      </c>
      <c r="D3111" s="30">
        <v>0.12786363185377514</v>
      </c>
      <c r="E3111" s="31">
        <f ca="1">B3111-D3111</f>
        <v>0</v>
      </c>
    </row>
    <row r="3112" spans="1:5" x14ac:dyDescent="0.25">
      <c r="A3112" s="21">
        <v>3111</v>
      </c>
      <c r="B3112" s="5" cm="1">
        <f t="array" aca="1" ref="B3112" ca="1">interpolexp(A3112,serie_du,Taxas_DI)</f>
        <v>0.127863617866808</v>
      </c>
      <c r="C3112" s="32">
        <f ca="1">((((1+B3112)^(A3112/252))/((1+B3111)^(A3111/252)))^(252/1))-1</f>
        <v>0.12782011923805747</v>
      </c>
      <c r="D3112" s="30">
        <v>0.127863617866808</v>
      </c>
      <c r="E3112" s="31">
        <f ca="1">B3112-D3112</f>
        <v>0</v>
      </c>
    </row>
    <row r="3113" spans="1:5" x14ac:dyDescent="0.25">
      <c r="A3113" s="21">
        <v>3112</v>
      </c>
      <c r="B3113" s="5" cm="1">
        <f t="array" aca="1" ref="B3113" ca="1">interpolexp(A3113,serie_du,Taxas_DI)</f>
        <v>0.12786360388883367</v>
      </c>
      <c r="C3113" s="32">
        <f ca="1">((((1+B3113)^(A3113/252))/((1+B3112)^(A3112/252)))^(252/1))-1</f>
        <v>0.12782011924934955</v>
      </c>
      <c r="D3113" s="30">
        <v>0.12786360388883367</v>
      </c>
      <c r="E3113" s="31">
        <f ca="1">B3113-D3113</f>
        <v>0</v>
      </c>
    </row>
    <row r="3114" spans="1:5" x14ac:dyDescent="0.25">
      <c r="A3114" s="21">
        <v>3113</v>
      </c>
      <c r="B3114" s="5" cm="1">
        <f t="array" aca="1" ref="B3114" ca="1">interpolexp(A3114,serie_du,Taxas_DI)</f>
        <v>0.12786358991985214</v>
      </c>
      <c r="C3114" s="32">
        <f ca="1">((((1+B3114)^(A3114/252))/((1+B3113)^(A3113/252)))^(252/1))-1</f>
        <v>0.12782011928726678</v>
      </c>
      <c r="D3114" s="30">
        <v>0.12786358991985214</v>
      </c>
      <c r="E3114" s="31">
        <f ca="1">B3114-D3114</f>
        <v>0</v>
      </c>
    </row>
    <row r="3115" spans="1:5" x14ac:dyDescent="0.25">
      <c r="A3115" s="21">
        <v>3114</v>
      </c>
      <c r="B3115" s="5" cm="1">
        <f t="array" aca="1" ref="B3115" ca="1">interpolexp(A3115,serie_du,Taxas_DI)</f>
        <v>0.12786357595984121</v>
      </c>
      <c r="C3115" s="32">
        <f ca="1">((((1+B3115)^(A3115/252))/((1+B3114)^(A3114/252)))^(252/1))-1</f>
        <v>0.1278201192833599</v>
      </c>
      <c r="D3115" s="30">
        <v>0.12786357595984121</v>
      </c>
      <c r="E3115" s="31">
        <f ca="1">B3115-D3115</f>
        <v>0</v>
      </c>
    </row>
    <row r="3116" spans="1:5" x14ac:dyDescent="0.25">
      <c r="A3116" s="21">
        <v>3115</v>
      </c>
      <c r="B3116" s="5" cm="1">
        <f t="array" aca="1" ref="B3116" ca="1">interpolexp(A3116,serie_du,Taxas_DI)</f>
        <v>0.12786356200877869</v>
      </c>
      <c r="C3116" s="32">
        <f ca="1">((((1+B3116)^(A3116/252))/((1+B3115)^(A3115/252)))^(252/1))-1</f>
        <v>0.12782011923705117</v>
      </c>
      <c r="D3116" s="30">
        <v>0.12786356200877869</v>
      </c>
      <c r="E3116" s="31">
        <f ca="1">B3116-D3116</f>
        <v>0</v>
      </c>
    </row>
    <row r="3117" spans="1:5" x14ac:dyDescent="0.25">
      <c r="A3117" s="21">
        <v>3116</v>
      </c>
      <c r="B3117" s="5" cm="1">
        <f t="array" aca="1" ref="B3117" ca="1">interpolexp(A3117,serie_du,Taxas_DI)</f>
        <v>0.12786354806666456</v>
      </c>
      <c r="C3117" s="32">
        <f ca="1">((((1+B3117)^(A3117/252))/((1+B3116)^(A3116/252)))^(252/1))-1</f>
        <v>0.12782011921750702</v>
      </c>
      <c r="D3117" s="30">
        <v>0.12786354806666456</v>
      </c>
      <c r="E3117" s="31">
        <f ca="1">B3117-D3117</f>
        <v>0</v>
      </c>
    </row>
    <row r="3118" spans="1:5" x14ac:dyDescent="0.25">
      <c r="A3118" s="21">
        <v>3117</v>
      </c>
      <c r="B3118" s="5" cm="1">
        <f t="array" aca="1" ref="B3118" ca="1">interpolexp(A3118,serie_du,Taxas_DI)</f>
        <v>0.12786353413352103</v>
      </c>
      <c r="C3118" s="32">
        <f ca="1">((((1+B3118)^(A3118/252))/((1+B3117)^(A3117/252)))^(252/1))-1</f>
        <v>0.12782011929415216</v>
      </c>
      <c r="D3118" s="30">
        <v>0.12786353413352103</v>
      </c>
      <c r="E3118" s="31">
        <f ca="1">B3118-D3118</f>
        <v>0</v>
      </c>
    </row>
    <row r="3119" spans="1:5" x14ac:dyDescent="0.25">
      <c r="A3119" s="21">
        <v>3118</v>
      </c>
      <c r="B3119" s="5" cm="1">
        <f t="array" aca="1" ref="B3119" ca="1">interpolexp(A3119,serie_du,Taxas_DI)</f>
        <v>0.12786352020928149</v>
      </c>
      <c r="C3119" s="32">
        <f ca="1">((((1+B3119)^(A3119/252))/((1+B3118)^(A3118/252)))^(252/1))-1</f>
        <v>0.12782011919004943</v>
      </c>
      <c r="D3119" s="30">
        <v>0.12786352020928149</v>
      </c>
      <c r="E3119" s="31">
        <f ca="1">B3119-D3119</f>
        <v>0</v>
      </c>
    </row>
    <row r="3120" spans="1:5" x14ac:dyDescent="0.25">
      <c r="A3120" s="21">
        <v>3119</v>
      </c>
      <c r="B3120" s="5" cm="1">
        <f t="array" aca="1" ref="B3120" ca="1">interpolexp(A3120,serie_du,Taxas_DI)</f>
        <v>0.12786350629399035</v>
      </c>
      <c r="C3120" s="32">
        <f ca="1">((((1+B3120)^(A3120/252))/((1+B3119)^(A3119/252)))^(252/1))-1</f>
        <v>0.12782011925093051</v>
      </c>
      <c r="D3120" s="30">
        <v>0.12786350629399035</v>
      </c>
      <c r="E3120" s="31">
        <f ca="1">B3120-D3120</f>
        <v>0</v>
      </c>
    </row>
    <row r="3121" spans="1:5" x14ac:dyDescent="0.25">
      <c r="A3121" s="21">
        <v>3120</v>
      </c>
      <c r="B3121" s="5" cm="1">
        <f t="array" aca="1" ref="B3121" ca="1">interpolexp(A3121,serie_du,Taxas_DI)</f>
        <v>0.1278634923876254</v>
      </c>
      <c r="C3121" s="32">
        <f ca="1">((((1+B3121)^(A3121/252))/((1+B3120)^(A3120/252)))^(252/1))-1</f>
        <v>0.12782011926971193</v>
      </c>
      <c r="D3121" s="30">
        <v>0.1278634923876254</v>
      </c>
      <c r="E3121" s="31">
        <f ca="1">B3121-D3121</f>
        <v>0</v>
      </c>
    </row>
    <row r="3122" spans="1:5" x14ac:dyDescent="0.25">
      <c r="A3122" s="21">
        <v>3121</v>
      </c>
      <c r="B3122" s="5" cm="1">
        <f t="array" aca="1" ref="B3122" ca="1">interpolexp(A3122,serie_du,Taxas_DI)</f>
        <v>0.12786347849016444</v>
      </c>
      <c r="C3122" s="32">
        <f ca="1">((((1+B3122)^(A3122/252))/((1+B3121)^(A3121/252)))^(252/1))-1</f>
        <v>0.12782011924556769</v>
      </c>
      <c r="D3122" s="30">
        <v>0.12786347849016444</v>
      </c>
      <c r="E3122" s="31">
        <f ca="1">B3122-D3122</f>
        <v>0</v>
      </c>
    </row>
    <row r="3123" spans="1:5" x14ac:dyDescent="0.25">
      <c r="A3123" s="21">
        <v>3122</v>
      </c>
      <c r="B3123" s="5" cm="1">
        <f t="array" aca="1" ref="B3123" ca="1">interpolexp(A3123,serie_du,Taxas_DI)</f>
        <v>0.12786346460160747</v>
      </c>
      <c r="C3123" s="32">
        <f ca="1">((((1+B3123)^(A3123/252))/((1+B3122)^(A3122/252)))^(252/1))-1</f>
        <v>0.12782011924859416</v>
      </c>
      <c r="D3123" s="30">
        <v>0.12786346460160747</v>
      </c>
      <c r="E3123" s="31">
        <f ca="1">B3123-D3123</f>
        <v>0</v>
      </c>
    </row>
    <row r="3124" spans="1:5" x14ac:dyDescent="0.25">
      <c r="A3124" s="21">
        <v>3123</v>
      </c>
      <c r="B3124" s="5" cm="1">
        <f t="array" aca="1" ref="B3124" ca="1">interpolexp(A3124,serie_du,Taxas_DI)</f>
        <v>0.12786345072195449</v>
      </c>
      <c r="C3124" s="32">
        <f ca="1">((((1+B3124)^(A3124/252))/((1+B3123)^(A3123/252)))^(252/1))-1</f>
        <v>0.12782011927791559</v>
      </c>
      <c r="D3124" s="30">
        <v>0.12786345072195449</v>
      </c>
      <c r="E3124" s="31">
        <f ca="1">B3124-D3124</f>
        <v>0</v>
      </c>
    </row>
    <row r="3125" spans="1:5" x14ac:dyDescent="0.25">
      <c r="A3125" s="21">
        <v>3124</v>
      </c>
      <c r="B3125" s="5" cm="1">
        <f t="array" aca="1" ref="B3125" ca="1">interpolexp(A3125,serie_du,Taxas_DI)</f>
        <v>0.12786343685118329</v>
      </c>
      <c r="C3125" s="32">
        <f ca="1">((((1+B3125)^(A3125/252))/((1+B3124)^(A3124/252)))^(252/1))-1</f>
        <v>0.12782011926486225</v>
      </c>
      <c r="D3125" s="30">
        <v>0.12786343685118329</v>
      </c>
      <c r="E3125" s="31">
        <f ca="1">B3125-D3125</f>
        <v>0</v>
      </c>
    </row>
    <row r="3126" spans="1:5" x14ac:dyDescent="0.25">
      <c r="A3126" s="21">
        <v>3125</v>
      </c>
      <c r="B3126" s="5" cm="1">
        <f t="array" aca="1" ref="B3126" ca="1">interpolexp(A3126,serie_du,Taxas_DI)</f>
        <v>0.12786342298927167</v>
      </c>
      <c r="C3126" s="32">
        <f ca="1">((((1+B3126)^(A3126/252))/((1+B3125)^(A3125/252)))^(252/1))-1</f>
        <v>0.12782011920891234</v>
      </c>
      <c r="D3126" s="30">
        <v>0.12786342298927167</v>
      </c>
      <c r="E3126" s="31">
        <f ca="1">B3126-D3126</f>
        <v>0</v>
      </c>
    </row>
    <row r="3127" spans="1:5" x14ac:dyDescent="0.25">
      <c r="A3127" s="21">
        <v>3126</v>
      </c>
      <c r="B3127" s="5" cm="1">
        <f t="array" aca="1" ref="B3127" ca="1">interpolexp(A3127,serie_du,Taxas_DI)</f>
        <v>0.12786340913624183</v>
      </c>
      <c r="C3127" s="32">
        <f ca="1">((((1+B3127)^(A3127/252))/((1+B3126)^(A3126/252)))^(252/1))-1</f>
        <v>0.12782011924909842</v>
      </c>
      <c r="D3127" s="30">
        <v>0.12786340913624183</v>
      </c>
      <c r="E3127" s="31">
        <f ca="1">B3127-D3127</f>
        <v>0</v>
      </c>
    </row>
    <row r="3128" spans="1:5" x14ac:dyDescent="0.25">
      <c r="A3128" s="21">
        <v>3127</v>
      </c>
      <c r="B3128" s="5" cm="1">
        <f t="array" aca="1" ref="B3128" ca="1">interpolexp(A3128,serie_du,Taxas_DI)</f>
        <v>0.12786339529207158</v>
      </c>
      <c r="C3128" s="32">
        <f ca="1">((((1+B3128)^(A3128/252))/((1+B3127)^(A3127/252)))^(252/1))-1</f>
        <v>0.12782011924638614</v>
      </c>
      <c r="D3128" s="30">
        <v>0.12786339529207158</v>
      </c>
      <c r="E3128" s="31">
        <f ca="1">B3128-D3128</f>
        <v>0</v>
      </c>
    </row>
    <row r="3129" spans="1:5" x14ac:dyDescent="0.25">
      <c r="A3129" s="21">
        <v>3128</v>
      </c>
      <c r="B3129" s="5" cm="1">
        <f t="array" aca="1" ref="B3129" ca="1">interpolexp(A3129,serie_du,Taxas_DI)</f>
        <v>0.12786338145676091</v>
      </c>
      <c r="C3129" s="32">
        <f ca="1">((((1+B3129)^(A3129/252))/((1+B3128)^(A3128/252)))^(252/1))-1</f>
        <v>0.12782011927027437</v>
      </c>
      <c r="D3129" s="30">
        <v>0.12786338145676091</v>
      </c>
      <c r="E3129" s="31">
        <f ca="1">B3129-D3129</f>
        <v>0</v>
      </c>
    </row>
    <row r="3130" spans="1:5" x14ac:dyDescent="0.25">
      <c r="A3130" s="21">
        <v>3129</v>
      </c>
      <c r="B3130" s="5" cm="1">
        <f t="array" aca="1" ref="B3130" ca="1">interpolexp(A3130,serie_du,Taxas_DI)</f>
        <v>0.12786336763028761</v>
      </c>
      <c r="C3130" s="32">
        <f ca="1">((((1+B3130)^(A3130/252))/((1+B3129)^(A3129/252)))^(252/1))-1</f>
        <v>0.12782011925124315</v>
      </c>
      <c r="D3130" s="30">
        <v>0.12786336763028761</v>
      </c>
      <c r="E3130" s="31">
        <f ca="1">B3130-D3130</f>
        <v>0</v>
      </c>
    </row>
    <row r="3131" spans="1:5" x14ac:dyDescent="0.25">
      <c r="A3131" s="21">
        <v>3130</v>
      </c>
      <c r="B3131" s="5" cm="1">
        <f t="array" aca="1" ref="B3131" ca="1">interpolexp(A3131,serie_du,Taxas_DI)</f>
        <v>0.12786335381262948</v>
      </c>
      <c r="C3131" s="32">
        <f ca="1">((((1+B3131)^(A3131/252))/((1+B3130)^(A3130/252)))^(252/1))-1</f>
        <v>0.12782011918935998</v>
      </c>
      <c r="D3131" s="30">
        <v>0.12786335381262948</v>
      </c>
      <c r="E3131" s="31">
        <f ca="1">B3131-D3131</f>
        <v>0</v>
      </c>
    </row>
    <row r="3132" spans="1:5" x14ac:dyDescent="0.25">
      <c r="A3132" s="21">
        <v>3131</v>
      </c>
      <c r="B3132" s="5" cm="1">
        <f t="array" aca="1" ref="B3132" ca="1">interpolexp(A3132,serie_du,Taxas_DI)</f>
        <v>0.12786334000383093</v>
      </c>
      <c r="C3132" s="32">
        <f ca="1">((((1+B3132)^(A3132/252))/((1+B3131)^(A3131/252)))^(252/1))-1</f>
        <v>0.12782011929276571</v>
      </c>
      <c r="D3132" s="30">
        <v>0.12786334000383093</v>
      </c>
      <c r="E3132" s="31">
        <f ca="1">B3132-D3132</f>
        <v>0</v>
      </c>
    </row>
    <row r="3133" spans="1:5" x14ac:dyDescent="0.25">
      <c r="A3133" s="21">
        <v>3132</v>
      </c>
      <c r="B3133" s="5" cm="1">
        <f t="array" aca="1" ref="B3133" ca="1">interpolexp(A3133,serie_du,Taxas_DI)</f>
        <v>0.12786332620382534</v>
      </c>
      <c r="C3133" s="32">
        <f ca="1">((((1+B3133)^(A3133/252))/((1+B3132)^(A3132/252)))^(252/1))-1</f>
        <v>0.12782011921430136</v>
      </c>
      <c r="D3133" s="30">
        <v>0.12786332620382534</v>
      </c>
      <c r="E3133" s="31">
        <f ca="1">B3133-D3133</f>
        <v>0</v>
      </c>
    </row>
    <row r="3134" spans="1:5" x14ac:dyDescent="0.25">
      <c r="A3134" s="21">
        <v>3133</v>
      </c>
      <c r="B3134" s="5" cm="1">
        <f t="array" aca="1" ref="B3134" ca="1">interpolexp(A3134,serie_du,Taxas_DI)</f>
        <v>0.12786331241263493</v>
      </c>
      <c r="C3134" s="32">
        <f ca="1">((((1+B3134)^(A3134/252))/((1+B3133)^(A3133/252)))^(252/1))-1</f>
        <v>0.12782011923157421</v>
      </c>
      <c r="D3134" s="30">
        <v>0.12786331241263493</v>
      </c>
      <c r="E3134" s="31">
        <f ca="1">B3134-D3134</f>
        <v>0</v>
      </c>
    </row>
    <row r="3135" spans="1:5" x14ac:dyDescent="0.25">
      <c r="A3135" s="21">
        <v>3134</v>
      </c>
      <c r="B3135" s="5" cm="1">
        <f t="array" aca="1" ref="B3135" ca="1">interpolexp(A3135,serie_du,Taxas_DI)</f>
        <v>0.12786329863025969</v>
      </c>
      <c r="C3135" s="32">
        <f ca="1">((((1+B3135)^(A3135/252))/((1+B3134)^(A3134/252)))^(252/1))-1</f>
        <v>0.12782011927539094</v>
      </c>
      <c r="D3135" s="30">
        <v>0.12786329863025969</v>
      </c>
      <c r="E3135" s="31">
        <f ca="1">B3135-D3135</f>
        <v>0</v>
      </c>
    </row>
    <row r="3136" spans="1:5" x14ac:dyDescent="0.25">
      <c r="A3136" s="21">
        <v>3135</v>
      </c>
      <c r="B3136" s="5" cm="1">
        <f t="array" aca="1" ref="B3136" ca="1">interpolexp(A3136,serie_du,Taxas_DI)</f>
        <v>0.12786328485665521</v>
      </c>
      <c r="C3136" s="32">
        <f ca="1">((((1+B3136)^(A3136/252))/((1+B3135)^(A3135/252)))^(252/1))-1</f>
        <v>0.12782011920656622</v>
      </c>
      <c r="D3136" s="30">
        <v>0.12786328485665521</v>
      </c>
      <c r="E3136" s="31">
        <f ca="1">B3136-D3136</f>
        <v>0</v>
      </c>
    </row>
    <row r="3137" spans="1:5" x14ac:dyDescent="0.25">
      <c r="A3137" s="21">
        <v>3136</v>
      </c>
      <c r="B3137" s="5" cm="1">
        <f t="array" aca="1" ref="B3137" ca="1">interpolexp(A3137,serie_du,Taxas_DI)</f>
        <v>0.1278632710918437</v>
      </c>
      <c r="C3137" s="32">
        <f ca="1">((((1+B3137)^(A3137/252))/((1+B3136)^(A3136/252)))^(252/1))-1</f>
        <v>0.12782011923352421</v>
      </c>
      <c r="D3137" s="30">
        <v>0.1278632710918437</v>
      </c>
      <c r="E3137" s="31">
        <f ca="1">B3137-D3137</f>
        <v>0</v>
      </c>
    </row>
    <row r="3138" spans="1:5" x14ac:dyDescent="0.25">
      <c r="A3138" s="21">
        <v>3137</v>
      </c>
      <c r="B3138" s="5" cm="1">
        <f t="array" aca="1" ref="B3138" ca="1">interpolexp(A3138,serie_du,Taxas_DI)</f>
        <v>0.12786325733582515</v>
      </c>
      <c r="C3138" s="32">
        <f ca="1">((((1+B3138)^(A3138/252))/((1+B3137)^(A3137/252)))^(252/1))-1</f>
        <v>0.12782011928689019</v>
      </c>
      <c r="D3138" s="30">
        <v>0.12786325733582515</v>
      </c>
      <c r="E3138" s="31">
        <f ca="1">B3138-D3138</f>
        <v>0</v>
      </c>
    </row>
    <row r="3139" spans="1:5" x14ac:dyDescent="0.25">
      <c r="A3139" s="21">
        <v>3138</v>
      </c>
      <c r="B3139" s="5" cm="1">
        <f t="array" aca="1" ref="B3139" ca="1">interpolexp(A3139,serie_du,Taxas_DI)</f>
        <v>0.12786324358855516</v>
      </c>
      <c r="C3139" s="32">
        <f ca="1">((((1+B3139)^(A3139/252))/((1+B3138)^(A3138/252)))^(252/1))-1</f>
        <v>0.12782011922735537</v>
      </c>
      <c r="D3139" s="30">
        <v>0.12786324358855516</v>
      </c>
      <c r="E3139" s="31">
        <f ca="1">B3139-D3139</f>
        <v>0</v>
      </c>
    </row>
    <row r="3140" spans="1:5" x14ac:dyDescent="0.25">
      <c r="A3140" s="21">
        <v>3139</v>
      </c>
      <c r="B3140" s="5" cm="1">
        <f t="array" aca="1" ref="B3140" ca="1">interpolexp(A3140,serie_du,Taxas_DI)</f>
        <v>0.12786322985005594</v>
      </c>
      <c r="C3140" s="32">
        <f ca="1">((((1+B3140)^(A3140/252))/((1+B3139)^(A3139/252)))^(252/1))-1</f>
        <v>0.12782011926366721</v>
      </c>
      <c r="D3140" s="30">
        <v>0.12786322985005594</v>
      </c>
      <c r="E3140" s="31">
        <f ca="1">B3140-D3140</f>
        <v>0</v>
      </c>
    </row>
    <row r="3141" spans="1:5" x14ac:dyDescent="0.25">
      <c r="A3141" s="21">
        <v>3140</v>
      </c>
      <c r="B3141" s="5" cm="1">
        <f t="array" aca="1" ref="B3141" ca="1">interpolexp(A3141,serie_du,Taxas_DI)</f>
        <v>0.12786321612028306</v>
      </c>
      <c r="C3141" s="32">
        <f ca="1">((((1+B3141)^(A3141/252))/((1+B3140)^(A3140/252)))^(252/1))-1</f>
        <v>0.12782011918689751</v>
      </c>
      <c r="D3141" s="30">
        <v>0.12786321612028306</v>
      </c>
      <c r="E3141" s="31">
        <f ca="1">B3141-D3141</f>
        <v>0</v>
      </c>
    </row>
    <row r="3142" spans="1:5" x14ac:dyDescent="0.25">
      <c r="A3142" s="21">
        <v>3141</v>
      </c>
      <c r="B3142" s="5" cm="1">
        <f t="array" aca="1" ref="B3142" ca="1">interpolexp(A3142,serie_du,Taxas_DI)</f>
        <v>0.12786320239928095</v>
      </c>
      <c r="C3142" s="32">
        <f ca="1">((((1+B3142)^(A3142/252))/((1+B3141)^(A3141/252)))^(252/1))-1</f>
        <v>0.12782011927577908</v>
      </c>
      <c r="D3142" s="30">
        <v>0.12786320239928095</v>
      </c>
      <c r="E3142" s="31">
        <f ca="1">B3142-D3142</f>
        <v>0</v>
      </c>
    </row>
    <row r="3143" spans="1:5" x14ac:dyDescent="0.25">
      <c r="A3143" s="21">
        <v>3142</v>
      </c>
      <c r="B3143" s="5" cm="1">
        <f t="array" aca="1" ref="B3143" ca="1">interpolexp(A3143,serie_du,Taxas_DI)</f>
        <v>0.12786318868700519</v>
      </c>
      <c r="C3143" s="32">
        <f ca="1">((((1+B3143)^(A3143/252))/((1+B3142)^(A3142/252)))^(252/1))-1</f>
        <v>0.12782011925149384</v>
      </c>
      <c r="D3143" s="30">
        <v>0.12786318868700519</v>
      </c>
      <c r="E3143" s="31">
        <f ca="1">B3143-D3143</f>
        <v>0</v>
      </c>
    </row>
    <row r="3144" spans="1:5" x14ac:dyDescent="0.25">
      <c r="A3144" s="21">
        <v>3143</v>
      </c>
      <c r="B3144" s="5" cm="1">
        <f t="array" aca="1" ref="B3144" ca="1">interpolexp(A3144,serie_du,Taxas_DI)</f>
        <v>0.12786317498343358</v>
      </c>
      <c r="C3144" s="32">
        <f ca="1">((((1+B3144)^(A3144/252))/((1+B3143)^(A3143/252)))^(252/1))-1</f>
        <v>0.12782011918349689</v>
      </c>
      <c r="D3144" s="30">
        <v>0.12786317498343358</v>
      </c>
      <c r="E3144" s="31">
        <f ca="1">B3144-D3144</f>
        <v>0</v>
      </c>
    </row>
    <row r="3145" spans="1:5" x14ac:dyDescent="0.25">
      <c r="A3145" s="21">
        <v>3144</v>
      </c>
      <c r="B3145" s="5" cm="1">
        <f t="array" aca="1" ref="B3145" ca="1">interpolexp(A3145,serie_du,Taxas_DI)</f>
        <v>0.12786316128861053</v>
      </c>
      <c r="C3145" s="32">
        <f ca="1">((((1+B3145)^(A3145/252))/((1+B3144)^(A3144/252)))^(252/1))-1</f>
        <v>0.12782011928134751</v>
      </c>
      <c r="D3145" s="30">
        <v>0.12786316128861053</v>
      </c>
      <c r="E3145" s="31">
        <f ca="1">B3145-D3145</f>
        <v>0</v>
      </c>
    </row>
    <row r="3146" spans="1:5" x14ac:dyDescent="0.25">
      <c r="A3146" s="21">
        <v>3145</v>
      </c>
      <c r="B3146" s="5" cm="1">
        <f t="array" aca="1" ref="B3146" ca="1">interpolexp(A3146,serie_du,Taxas_DI)</f>
        <v>0.12786314760246942</v>
      </c>
      <c r="C3146" s="32">
        <f ca="1">((((1+B3146)^(A3146/252))/((1+B3145)^(A3145/252)))^(252/1))-1</f>
        <v>0.12782011919579483</v>
      </c>
      <c r="D3146" s="30">
        <v>0.12786314760246942</v>
      </c>
      <c r="E3146" s="31">
        <f ca="1">B3146-D3146</f>
        <v>0</v>
      </c>
    </row>
    <row r="3147" spans="1:5" x14ac:dyDescent="0.25">
      <c r="A3147" s="21">
        <v>3146</v>
      </c>
      <c r="B3147" s="5" cm="1">
        <f t="array" aca="1" ref="B3147" ca="1">interpolexp(A3147,serie_du,Taxas_DI)</f>
        <v>0.12786313392505466</v>
      </c>
      <c r="C3147" s="32">
        <f ca="1">((((1+B3147)^(A3147/252))/((1+B3146)^(A3146/252)))^(252/1))-1</f>
        <v>0.12782011927621606</v>
      </c>
      <c r="D3147" s="30">
        <v>0.12786313392505466</v>
      </c>
      <c r="E3147" s="31">
        <f ca="1">B3147-D3147</f>
        <v>0</v>
      </c>
    </row>
    <row r="3148" spans="1:5" x14ac:dyDescent="0.25">
      <c r="A3148" s="21">
        <v>3147</v>
      </c>
      <c r="B3148" s="5" cm="1">
        <f t="array" aca="1" ref="B3148" ca="1">interpolexp(A3148,serie_du,Taxas_DI)</f>
        <v>0.12786312025632185</v>
      </c>
      <c r="C3148" s="32">
        <f ca="1">((((1+B3148)^(A3148/252))/((1+B3147)^(A3147/252)))^(252/1))-1</f>
        <v>0.12782011924286785</v>
      </c>
      <c r="D3148" s="30">
        <v>0.12786312025632185</v>
      </c>
      <c r="E3148" s="31">
        <f ca="1">B3148-D3148</f>
        <v>0</v>
      </c>
    </row>
    <row r="3149" spans="1:5" x14ac:dyDescent="0.25">
      <c r="A3149" s="21">
        <v>3148</v>
      </c>
      <c r="B3149" s="5" cm="1">
        <f t="array" aca="1" ref="B3149" ca="1">interpolexp(A3149,serie_du,Taxas_DI)</f>
        <v>0.12786310659627098</v>
      </c>
      <c r="C3149" s="32">
        <f ca="1">((((1+B3149)^(A3149/252))/((1+B3148)^(A3148/252)))^(252/1))-1</f>
        <v>0.12782011923579417</v>
      </c>
      <c r="D3149" s="30">
        <v>0.12786310659627098</v>
      </c>
      <c r="E3149" s="31">
        <f ca="1">B3149-D3149</f>
        <v>0</v>
      </c>
    </row>
    <row r="3150" spans="1:5" x14ac:dyDescent="0.25">
      <c r="A3150" s="21">
        <v>3149</v>
      </c>
      <c r="B3150" s="5" cm="1">
        <f t="array" aca="1" ref="B3150" ca="1">interpolexp(A3150,serie_du,Taxas_DI)</f>
        <v>0.12786309294487985</v>
      </c>
      <c r="C3150" s="32">
        <f ca="1">((((1+B3150)^(A3150/252))/((1+B3149)^(A3149/252)))^(252/1))-1</f>
        <v>0.12782011918450298</v>
      </c>
      <c r="D3150" s="30">
        <v>0.12786309294487985</v>
      </c>
      <c r="E3150" s="31">
        <f ca="1">B3150-D3150</f>
        <v>0</v>
      </c>
    </row>
    <row r="3151" spans="1:5" x14ac:dyDescent="0.25">
      <c r="A3151" s="21">
        <v>3150</v>
      </c>
      <c r="B3151" s="5" cm="1">
        <f t="array" aca="1" ref="B3151" ca="1">interpolexp(A3151,serie_du,Taxas_DI)</f>
        <v>0.12786307930219287</v>
      </c>
      <c r="C3151" s="32">
        <f ca="1">((((1+B3151)^(A3151/252))/((1+B3150)^(A3150/252)))^(252/1))-1</f>
        <v>0.12782011929937709</v>
      </c>
      <c r="D3151" s="30">
        <v>0.12786307930219287</v>
      </c>
      <c r="E3151" s="31">
        <f ca="1">B3151-D3151</f>
        <v>0</v>
      </c>
    </row>
    <row r="3152" spans="1:5" x14ac:dyDescent="0.25">
      <c r="A3152" s="21">
        <v>3151</v>
      </c>
      <c r="B3152" s="5" cm="1">
        <f t="array" aca="1" ref="B3152" ca="1">interpolexp(A3152,serie_du,Taxas_DI)</f>
        <v>0.12786306566814343</v>
      </c>
      <c r="C3152" s="32">
        <f ca="1">((((1+B3152)^(A3152/252))/((1+B3151)^(A3151/252)))^(252/1))-1</f>
        <v>0.12782011923038139</v>
      </c>
      <c r="D3152" s="30">
        <v>0.12786306566814343</v>
      </c>
      <c r="E3152" s="31">
        <f ca="1">B3152-D3152</f>
        <v>0</v>
      </c>
    </row>
    <row r="3153" spans="1:5" x14ac:dyDescent="0.25">
      <c r="A3153" s="21">
        <v>3152</v>
      </c>
      <c r="B3153" s="5" cm="1">
        <f t="array" aca="1" ref="B3153" ca="1">interpolexp(A3153,serie_du,Taxas_DI)</f>
        <v>0.12786305204273152</v>
      </c>
      <c r="C3153" s="32">
        <f ca="1">((((1+B3153)^(A3153/252))/((1+B3152)^(A3152/252)))^(252/1))-1</f>
        <v>0.1278201191872157</v>
      </c>
      <c r="D3153" s="30">
        <v>0.12786305204273152</v>
      </c>
      <c r="E3153" s="31">
        <f ca="1">B3153-D3153</f>
        <v>0</v>
      </c>
    </row>
    <row r="3154" spans="1:5" x14ac:dyDescent="0.25">
      <c r="A3154" s="21">
        <v>3153</v>
      </c>
      <c r="B3154" s="5" cm="1">
        <f t="array" aca="1" ref="B3154" ca="1">interpolexp(A3154,serie_du,Taxas_DI)</f>
        <v>0.12786303842597935</v>
      </c>
      <c r="C3154" s="32">
        <f ca="1">((((1+B3154)^(A3154/252))/((1+B3153)^(A3153/252)))^(252/1))-1</f>
        <v>0.12782011924007741</v>
      </c>
      <c r="D3154" s="30">
        <v>0.12786303842597935</v>
      </c>
      <c r="E3154" s="31">
        <f ca="1">B3154-D3154</f>
        <v>0</v>
      </c>
    </row>
    <row r="3155" spans="1:5" x14ac:dyDescent="0.25">
      <c r="A3155" s="21">
        <v>3154</v>
      </c>
      <c r="B3155" s="5" cm="1">
        <f t="array" aca="1" ref="B3155" ca="1">interpolexp(A3155,serie_du,Taxas_DI)</f>
        <v>0.12786302481786471</v>
      </c>
      <c r="C3155" s="32">
        <f ca="1">((((1+B3155)^(A3155/252))/((1+B3154)^(A3154/252)))^(252/1))-1</f>
        <v>0.127820119248786</v>
      </c>
      <c r="D3155" s="30">
        <v>0.12786302481786471</v>
      </c>
      <c r="E3155" s="31">
        <f ca="1">B3155-D3155</f>
        <v>0</v>
      </c>
    </row>
    <row r="3156" spans="1:5" x14ac:dyDescent="0.25">
      <c r="A3156" s="21">
        <v>3155</v>
      </c>
      <c r="B3156" s="5" cm="1">
        <f t="array" aca="1" ref="B3156" ca="1">interpolexp(A3156,serie_du,Taxas_DI)</f>
        <v>0.12786301121836541</v>
      </c>
      <c r="C3156" s="32">
        <f ca="1">((((1+B3156)^(A3156/252))/((1+B3155)^(A3155/252)))^(252/1))-1</f>
        <v>0.12782011921341252</v>
      </c>
      <c r="D3156" s="30">
        <v>0.12786301121836541</v>
      </c>
      <c r="E3156" s="31">
        <f ca="1">B3156-D3156</f>
        <v>0</v>
      </c>
    </row>
    <row r="3157" spans="1:5" x14ac:dyDescent="0.25">
      <c r="A3157" s="21">
        <v>3156</v>
      </c>
      <c r="B3157" s="5" cm="1">
        <f t="array" aca="1" ref="B3157" ca="1">interpolexp(A3157,serie_du,Taxas_DI)</f>
        <v>0.12786299762750364</v>
      </c>
      <c r="C3157" s="32">
        <f ca="1">((((1+B3157)^(A3157/252))/((1+B3156)^(A3156/252)))^(252/1))-1</f>
        <v>0.12782011927394543</v>
      </c>
      <c r="D3157" s="30">
        <v>0.12786299762750364</v>
      </c>
      <c r="E3157" s="31">
        <f ca="1">B3157-D3157</f>
        <v>0</v>
      </c>
    </row>
    <row r="3158" spans="1:5" x14ac:dyDescent="0.25">
      <c r="A3158" s="21">
        <v>3157</v>
      </c>
      <c r="B3158" s="5" cm="1">
        <f t="array" aca="1" ref="B3158" ca="1">interpolexp(A3158,serie_du,Taxas_DI)</f>
        <v>0.127862984045235</v>
      </c>
      <c r="C3158" s="32">
        <f ca="1">((((1+B3158)^(A3158/252))/((1+B3157)^(A3157/252)))^(252/1))-1</f>
        <v>0.12782011922028191</v>
      </c>
      <c r="D3158" s="30">
        <v>0.127862984045235</v>
      </c>
      <c r="E3158" s="31">
        <f ca="1">B3158-D3158</f>
        <v>0</v>
      </c>
    </row>
    <row r="3159" spans="1:5" x14ac:dyDescent="0.25">
      <c r="A3159" s="21">
        <v>3158</v>
      </c>
      <c r="B3159" s="5" cm="1">
        <f t="array" aca="1" ref="B3159" ca="1">interpolexp(A3159,serie_du,Taxas_DI)</f>
        <v>0.12786297047155948</v>
      </c>
      <c r="C3159" s="32">
        <f ca="1">((((1+B3159)^(A3159/252))/((1+B3158)^(A3158/252)))^(252/1))-1</f>
        <v>0.12782011919220149</v>
      </c>
      <c r="D3159" s="30">
        <v>0.12786297047155948</v>
      </c>
      <c r="E3159" s="31">
        <f ca="1">B3159-D3159</f>
        <v>0</v>
      </c>
    </row>
    <row r="3160" spans="1:5" x14ac:dyDescent="0.25">
      <c r="A3160" s="21">
        <v>3159</v>
      </c>
      <c r="B3160" s="5" cm="1">
        <f t="array" aca="1" ref="B3160" ca="1">interpolexp(A3160,serie_du,Taxas_DI)</f>
        <v>0.12786295690649929</v>
      </c>
      <c r="C3160" s="32">
        <f ca="1">((((1+B3160)^(A3160/252))/((1+B3159)^(A3159/252)))^(252/1))-1</f>
        <v>0.12782011926026637</v>
      </c>
      <c r="D3160" s="30">
        <v>0.12786295690649929</v>
      </c>
      <c r="E3160" s="31">
        <f ca="1">B3160-D3160</f>
        <v>0</v>
      </c>
    </row>
    <row r="3161" spans="1:5" x14ac:dyDescent="0.25">
      <c r="A3161" s="21">
        <v>3160</v>
      </c>
      <c r="B3161" s="5" cm="1">
        <f t="array" aca="1" ref="B3161" ca="1">interpolexp(A3161,serie_du,Taxas_DI)</f>
        <v>0.12786294335001003</v>
      </c>
      <c r="C3161" s="32">
        <f ca="1">((((1+B3161)^(A3161/252))/((1+B3160)^(A3160/252)))^(252/1))-1</f>
        <v>0.12782011921367098</v>
      </c>
      <c r="D3161" s="30">
        <v>0.12786294335001003</v>
      </c>
      <c r="E3161" s="31">
        <f ca="1">B3161-D3161</f>
        <v>0</v>
      </c>
    </row>
    <row r="3162" spans="1:5" x14ac:dyDescent="0.25">
      <c r="A3162" s="21">
        <v>3161</v>
      </c>
      <c r="B3162" s="5" cm="1">
        <f t="array" aca="1" ref="B3162" ca="1">interpolexp(A3162,serie_du,Taxas_DI)</f>
        <v>0.12786292980211389</v>
      </c>
      <c r="C3162" s="32">
        <f ca="1">((((1+B3162)^(A3162/252))/((1+B3161)^(A3161/252)))^(252/1))-1</f>
        <v>0.1278201192631665</v>
      </c>
      <c r="D3162" s="30">
        <v>0.12786292980211389</v>
      </c>
      <c r="E3162" s="31">
        <f ca="1">B3162-D3162</f>
        <v>0</v>
      </c>
    </row>
    <row r="3163" spans="1:5" x14ac:dyDescent="0.25">
      <c r="A3163" s="21">
        <v>3162</v>
      </c>
      <c r="B3163" s="5" cm="1">
        <f t="array" aca="1" ref="B3163" ca="1">interpolexp(A3163,serie_du,Taxas_DI)</f>
        <v>0.12786291626276647</v>
      </c>
      <c r="C3163" s="32">
        <f ca="1">((((1+B3163)^(A3163/252))/((1+B3162)^(A3162/252)))^(252/1))-1</f>
        <v>0.12782011919768999</v>
      </c>
      <c r="D3163" s="30">
        <v>0.12786291626276647</v>
      </c>
      <c r="E3163" s="31">
        <f ca="1">B3163-D3163</f>
        <v>0</v>
      </c>
    </row>
    <row r="3164" spans="1:5" x14ac:dyDescent="0.25">
      <c r="A3164" s="21">
        <v>3163</v>
      </c>
      <c r="B3164" s="5" cm="1">
        <f t="array" aca="1" ref="B3164" ca="1">interpolexp(A3164,serie_du,Taxas_DI)</f>
        <v>0.12786290273198997</v>
      </c>
      <c r="C3164" s="32">
        <f ca="1">((((1+B3164)^(A3164/252))/((1+B3163)^(A3163/252)))^(252/1))-1</f>
        <v>0.12782011922848602</v>
      </c>
      <c r="D3164" s="30">
        <v>0.12786290273198997</v>
      </c>
      <c r="E3164" s="31">
        <f ca="1">B3164-D3164</f>
        <v>0</v>
      </c>
    </row>
    <row r="3165" spans="1:5" x14ac:dyDescent="0.25">
      <c r="A3165" s="21">
        <v>3164</v>
      </c>
      <c r="B3165" s="5" cm="1">
        <f t="array" aca="1" ref="B3165" ca="1">interpolexp(A3165,serie_du,Taxas_DI)</f>
        <v>0.12786288920976219</v>
      </c>
      <c r="C3165" s="32">
        <f ca="1">((((1+B3165)^(A3165/252))/((1+B3164)^(A3164/252)))^(252/1))-1</f>
        <v>0.12782011921448833</v>
      </c>
      <c r="D3165" s="30">
        <v>0.12786288920976219</v>
      </c>
      <c r="E3165" s="31">
        <f ca="1">B3165-D3165</f>
        <v>0</v>
      </c>
    </row>
    <row r="3166" spans="1:5" x14ac:dyDescent="0.25">
      <c r="A3166" s="21">
        <v>3165</v>
      </c>
      <c r="B3166" s="5" cm="1">
        <f t="array" aca="1" ref="B3166" ca="1">interpolexp(A3166,serie_du,Taxas_DI)</f>
        <v>0.12786287569608312</v>
      </c>
      <c r="C3166" s="32">
        <f ca="1">((((1+B3166)^(A3166/252))/((1+B3165)^(A3165/252)))^(252/1))-1</f>
        <v>0.12782011922628711</v>
      </c>
      <c r="D3166" s="30">
        <v>0.12786287569608312</v>
      </c>
      <c r="E3166" s="31">
        <f ca="1">B3166-D3166</f>
        <v>0</v>
      </c>
    </row>
    <row r="3167" spans="1:5" x14ac:dyDescent="0.25">
      <c r="A3167" s="21">
        <v>3166</v>
      </c>
      <c r="B3167" s="5" cm="1">
        <f t="array" aca="1" ref="B3167" ca="1">interpolexp(A3167,serie_du,Taxas_DI)</f>
        <v>0.12786286219095278</v>
      </c>
      <c r="C3167" s="32">
        <f ca="1">((((1+B3167)^(A3167/252))/((1+B3166)^(A3166/252)))^(252/1))-1</f>
        <v>0.12782011926354309</v>
      </c>
      <c r="D3167" s="30">
        <v>0.12786286219095278</v>
      </c>
      <c r="E3167" s="31">
        <f ca="1">B3167-D3167</f>
        <v>0</v>
      </c>
    </row>
    <row r="3168" spans="1:5" x14ac:dyDescent="0.25">
      <c r="A3168" s="21">
        <v>3167</v>
      </c>
      <c r="B3168" s="5" cm="1">
        <f t="array" aca="1" ref="B3168" ca="1">interpolexp(A3168,serie_du,Taxas_DI)</f>
        <v>0.12786284869432674</v>
      </c>
      <c r="C3168" s="32">
        <f ca="1">((((1+B3168)^(A3168/252))/((1+B3167)^(A3167/252)))^(252/1))-1</f>
        <v>0.12782011918601754</v>
      </c>
      <c r="D3168" s="30">
        <v>0.12786284869432674</v>
      </c>
      <c r="E3168" s="31">
        <f ca="1">B3168-D3168</f>
        <v>0</v>
      </c>
    </row>
    <row r="3169" spans="1:5" x14ac:dyDescent="0.25">
      <c r="A3169" s="21">
        <v>3168</v>
      </c>
      <c r="B3169" s="5" cm="1">
        <f t="array" aca="1" ref="B3169" ca="1">interpolexp(A3169,serie_du,Taxas_DI)</f>
        <v>0.12786283520624941</v>
      </c>
      <c r="C3169" s="32">
        <f ca="1">((((1+B3169)^(A3169/252))/((1+B3168)^(A3168/252)))^(252/1))-1</f>
        <v>0.12782011927451453</v>
      </c>
      <c r="D3169" s="30">
        <v>0.12786283520624941</v>
      </c>
      <c r="E3169" s="31">
        <f ca="1">B3169-D3169</f>
        <v>0</v>
      </c>
    </row>
    <row r="3170" spans="1:5" x14ac:dyDescent="0.25">
      <c r="A3170" s="21">
        <v>3169</v>
      </c>
      <c r="B3170" s="5" cm="1">
        <f t="array" aca="1" ref="B3170" ca="1">interpolexp(A3170,serie_du,Taxas_DI)</f>
        <v>0.1278628217266542</v>
      </c>
      <c r="C3170" s="32">
        <f ca="1">((((1+B3170)^(A3170/252))/((1+B3169)^(A3169/252)))^(252/1))-1</f>
        <v>0.12782011917764091</v>
      </c>
      <c r="D3170" s="30">
        <v>0.1278628217266542</v>
      </c>
      <c r="E3170" s="31">
        <f ca="1">B3170-D3170</f>
        <v>0</v>
      </c>
    </row>
    <row r="3171" spans="1:5" x14ac:dyDescent="0.25">
      <c r="A3171" s="21">
        <v>3170</v>
      </c>
      <c r="B3171" s="5" cm="1">
        <f t="array" aca="1" ref="B3171" ca="1">interpolexp(A3171,serie_du,Taxas_DI)</f>
        <v>0.12786280825558549</v>
      </c>
      <c r="C3171" s="32">
        <f ca="1">((((1+B3171)^(A3171/252))/((1+B3170)^(A3170/252)))^(252/1))-1</f>
        <v>0.12782011924702408</v>
      </c>
      <c r="D3171" s="30">
        <v>0.12786280825558549</v>
      </c>
      <c r="E3171" s="31">
        <f ca="1">B3171-D3171</f>
        <v>0</v>
      </c>
    </row>
    <row r="3172" spans="1:5" x14ac:dyDescent="0.25">
      <c r="A3172" s="21">
        <v>3171</v>
      </c>
      <c r="B3172" s="5" cm="1">
        <f t="array" aca="1" ref="B3172" ca="1">interpolexp(A3172,serie_du,Taxas_DI)</f>
        <v>0.12786279479299889</v>
      </c>
      <c r="C3172" s="32">
        <f ca="1">((((1+B3172)^(A3172/252))/((1+B3171)^(A3171/252)))^(252/1))-1</f>
        <v>0.12782011920108394</v>
      </c>
      <c r="D3172" s="30">
        <v>0.12786279479299889</v>
      </c>
      <c r="E3172" s="31">
        <f ca="1">B3172-D3172</f>
        <v>0</v>
      </c>
    </row>
    <row r="3173" spans="1:5" x14ac:dyDescent="0.25">
      <c r="A3173" s="21">
        <v>3172</v>
      </c>
      <c r="B3173" s="5" cm="1">
        <f t="array" aca="1" ref="B3173" ca="1">interpolexp(A3173,serie_du,Taxas_DI)</f>
        <v>0.1278627813389166</v>
      </c>
      <c r="C3173" s="32">
        <f ca="1">((((1+B3173)^(A3173/252))/((1+B3172)^(A3172/252)))^(252/1))-1</f>
        <v>0.12782011925105619</v>
      </c>
      <c r="D3173" s="30">
        <v>0.1278627813389166</v>
      </c>
      <c r="E3173" s="31">
        <f ca="1">B3173-D3173</f>
        <v>0</v>
      </c>
    </row>
    <row r="3174" spans="1:5" x14ac:dyDescent="0.25">
      <c r="A3174" s="21">
        <v>3173</v>
      </c>
      <c r="B3174" s="5" cm="1">
        <f t="array" aca="1" ref="B3174" ca="1">interpolexp(A3174,serie_du,Taxas_DI)</f>
        <v>0.1278627678932942</v>
      </c>
      <c r="C3174" s="32">
        <f ca="1">((((1+B3174)^(A3174/252))/((1+B3173)^(A3173/252)))^(252/1))-1</f>
        <v>0.12782011918570491</v>
      </c>
      <c r="D3174" s="30">
        <v>0.1278627678932942</v>
      </c>
      <c r="E3174" s="31">
        <f ca="1">B3174-D3174</f>
        <v>0</v>
      </c>
    </row>
    <row r="3175" spans="1:5" x14ac:dyDescent="0.25">
      <c r="A3175" s="21">
        <v>3174</v>
      </c>
      <c r="B3175" s="5" cm="1">
        <f t="array" aca="1" ref="B3175" ca="1">interpolexp(A3175,serie_du,Taxas_DI)</f>
        <v>0.12786275445615392</v>
      </c>
      <c r="C3175" s="32">
        <f ca="1">((((1+B3175)^(A3175/252))/((1+B3174)^(A3174/252)))^(252/1))-1</f>
        <v>0.12782011921612568</v>
      </c>
      <c r="D3175" s="30">
        <v>0.12786275445615392</v>
      </c>
      <c r="E3175" s="31">
        <f ca="1">B3175-D3175</f>
        <v>0</v>
      </c>
    </row>
    <row r="3176" spans="1:5" x14ac:dyDescent="0.25">
      <c r="A3176" s="21">
        <v>3175</v>
      </c>
      <c r="B3176" s="5" cm="1">
        <f t="array" aca="1" ref="B3176" ca="1">interpolexp(A3176,serie_du,Taxas_DI)</f>
        <v>0.12786274102749573</v>
      </c>
      <c r="C3176" s="32">
        <f ca="1">((((1+B3176)^(A3176/252))/((1+B3175)^(A3175/252)))^(252/1))-1</f>
        <v>0.12782011927204451</v>
      </c>
      <c r="D3176" s="30">
        <v>0.12786274102749573</v>
      </c>
      <c r="E3176" s="31">
        <f ca="1">B3176-D3176</f>
        <v>0</v>
      </c>
    </row>
    <row r="3177" spans="1:5" x14ac:dyDescent="0.25">
      <c r="A3177" s="21">
        <v>3176</v>
      </c>
      <c r="B3177" s="5" cm="1">
        <f t="array" aca="1" ref="B3177" ca="1">interpolexp(A3177,serie_du,Taxas_DI)</f>
        <v>0.12786272760727524</v>
      </c>
      <c r="C3177" s="32">
        <f ca="1">((((1+B3177)^(A3177/252))/((1+B3176)^(A3176/252)))^(252/1))-1</f>
        <v>0.12782011921234404</v>
      </c>
      <c r="D3177" s="30">
        <v>0.12786272760727524</v>
      </c>
      <c r="E3177" s="31">
        <f ca="1">B3177-D3177</f>
        <v>0</v>
      </c>
    </row>
    <row r="3178" spans="1:5" x14ac:dyDescent="0.25">
      <c r="A3178" s="21">
        <v>3177</v>
      </c>
      <c r="B3178" s="5" cm="1">
        <f t="array" aca="1" ref="B3178" ca="1">interpolexp(A3178,serie_du,Taxas_DI)</f>
        <v>0.12786271419549244</v>
      </c>
      <c r="C3178" s="32">
        <f ca="1">((((1+B3178)^(A3178/252))/((1+B3177)^(A3177/252)))^(252/1))-1</f>
        <v>0.12782011917789116</v>
      </c>
      <c r="D3178" s="30">
        <v>0.12786271419549244</v>
      </c>
      <c r="E3178" s="31">
        <f ca="1">B3178-D3178</f>
        <v>0</v>
      </c>
    </row>
    <row r="3179" spans="1:5" x14ac:dyDescent="0.25">
      <c r="A3179" s="21">
        <v>3178</v>
      </c>
      <c r="B3179" s="5" cm="1">
        <f t="array" aca="1" ref="B3179" ca="1">interpolexp(A3179,serie_du,Taxas_DI)</f>
        <v>0.12786270079216955</v>
      </c>
      <c r="C3179" s="32">
        <f ca="1">((((1+B3179)^(A3179/252))/((1+B3178)^(A3178/252)))^(252/1))-1</f>
        <v>0.12782011923938374</v>
      </c>
      <c r="D3179" s="30">
        <v>0.12786270079216955</v>
      </c>
      <c r="E3179" s="31">
        <f ca="1">B3179-D3179</f>
        <v>0</v>
      </c>
    </row>
    <row r="3180" spans="1:5" x14ac:dyDescent="0.25">
      <c r="A3180" s="21">
        <v>3179</v>
      </c>
      <c r="B3180" s="5" cm="1">
        <f t="array" aca="1" ref="B3180" ca="1">interpolexp(A3180,serie_du,Taxas_DI)</f>
        <v>0.12786268739728435</v>
      </c>
      <c r="C3180" s="32">
        <f ca="1">((((1+B3180)^(A3180/252))/((1+B3179)^(A3179/252)))^(252/1))-1</f>
        <v>0.12782011925571402</v>
      </c>
      <c r="D3180" s="30">
        <v>0.12786268739728435</v>
      </c>
      <c r="E3180" s="31">
        <f ca="1">B3180-D3180</f>
        <v>0</v>
      </c>
    </row>
    <row r="3181" spans="1:5" x14ac:dyDescent="0.25">
      <c r="A3181" s="21">
        <v>3180</v>
      </c>
      <c r="B3181" s="5" cm="1">
        <f t="array" aca="1" ref="B3181" ca="1">interpolexp(A3181,serie_du,Taxas_DI)</f>
        <v>0.12786267401079243</v>
      </c>
      <c r="C3181" s="32">
        <f ca="1">((((1+B3181)^(A3181/252))/((1+B3180)^(A3180/252)))^(252/1))-1</f>
        <v>0.12782011915613278</v>
      </c>
      <c r="D3181" s="30">
        <v>0.12786267401079243</v>
      </c>
      <c r="E3181" s="31">
        <f ca="1">B3181-D3181</f>
        <v>0</v>
      </c>
    </row>
    <row r="3182" spans="1:5" x14ac:dyDescent="0.25">
      <c r="A3182" s="21">
        <v>3181</v>
      </c>
      <c r="B3182" s="5" cm="1">
        <f t="array" aca="1" ref="B3182" ca="1">interpolexp(A3182,serie_du,Taxas_DI)</f>
        <v>0.12786266063273821</v>
      </c>
      <c r="C3182" s="32">
        <f ca="1">((((1+B3182)^(A3182/252))/((1+B3181)^(A3181/252)))^(252/1))-1</f>
        <v>0.1278201192228654</v>
      </c>
      <c r="D3182" s="30">
        <v>0.12786266063273821</v>
      </c>
      <c r="E3182" s="31">
        <f ca="1">B3182-D3182</f>
        <v>0</v>
      </c>
    </row>
    <row r="3183" spans="1:5" x14ac:dyDescent="0.25">
      <c r="A3183" s="21">
        <v>3182</v>
      </c>
      <c r="B3183" s="5" cm="1">
        <f t="array" aca="1" ref="B3183" ca="1">interpolexp(A3183,serie_du,Taxas_DI)</f>
        <v>0.12786264726309948</v>
      </c>
      <c r="C3183" s="32">
        <f ca="1">((((1+B3183)^(A3183/252))/((1+B3182)^(A3182/252)))^(252/1))-1</f>
        <v>0.12782011924431136</v>
      </c>
      <c r="D3183" s="30">
        <v>0.12786264726309948</v>
      </c>
      <c r="E3183" s="31">
        <f ca="1">B3183-D3183</f>
        <v>0</v>
      </c>
    </row>
    <row r="3184" spans="1:5" x14ac:dyDescent="0.25">
      <c r="A3184" s="21">
        <v>3183</v>
      </c>
      <c r="B3184" s="5" cm="1">
        <f t="array" aca="1" ref="B3184" ca="1">interpolexp(A3184,serie_du,Taxas_DI)</f>
        <v>0.12786263390185404</v>
      </c>
      <c r="C3184" s="32">
        <f ca="1">((((1+B3184)^(A3184/252))/((1+B3183)^(A3183/252)))^(252/1))-1</f>
        <v>0.12782011922053282</v>
      </c>
      <c r="D3184" s="30">
        <v>0.12786263390185404</v>
      </c>
      <c r="E3184" s="31">
        <f ca="1">B3184-D3184</f>
        <v>0</v>
      </c>
    </row>
    <row r="3185" spans="1:5" x14ac:dyDescent="0.25">
      <c r="A3185" s="21">
        <v>3184</v>
      </c>
      <c r="B3185" s="5" cm="1">
        <f t="array" aca="1" ref="B3185" ca="1">interpolexp(A3185,serie_du,Taxas_DI)</f>
        <v>0.12786262054900188</v>
      </c>
      <c r="C3185" s="32">
        <f ca="1">((((1+B3185)^(A3185/252))/((1+B3184)^(A3184/252)))^(252/1))-1</f>
        <v>0.1278201192216013</v>
      </c>
      <c r="D3185" s="30">
        <v>0.12786262054900188</v>
      </c>
      <c r="E3185" s="31">
        <f ca="1">B3185-D3185</f>
        <v>0</v>
      </c>
    </row>
    <row r="3186" spans="1:5" x14ac:dyDescent="0.25">
      <c r="A3186" s="21">
        <v>3185</v>
      </c>
      <c r="B3186" s="5" cm="1">
        <f t="array" aca="1" ref="B3186" ca="1">interpolexp(A3186,serie_du,Taxas_DI)</f>
        <v>0.12786260720452081</v>
      </c>
      <c r="C3186" s="32">
        <f ca="1">((((1+B3186)^(A3186/252))/((1+B3185)^(A3185/252)))^(252/1))-1</f>
        <v>0.12782011917732783</v>
      </c>
      <c r="D3186" s="30">
        <v>0.12786260720452081</v>
      </c>
      <c r="E3186" s="31">
        <f ca="1">B3186-D3186</f>
        <v>0</v>
      </c>
    </row>
    <row r="3187" spans="1:5" x14ac:dyDescent="0.25">
      <c r="A3187" s="21">
        <v>3186</v>
      </c>
      <c r="B3187" s="5" cm="1">
        <f t="array" aca="1" ref="B3187" ca="1">interpolexp(A3187,serie_du,Taxas_DI)</f>
        <v>0.12786259386843302</v>
      </c>
      <c r="C3187" s="32">
        <f ca="1">((((1+B3187)^(A3187/252))/((1+B3186)^(A3186/252)))^(252/1))-1</f>
        <v>0.127820119228925</v>
      </c>
      <c r="D3187" s="30">
        <v>0.12786259386843302</v>
      </c>
      <c r="E3187" s="31">
        <f ca="1">B3187-D3187</f>
        <v>0</v>
      </c>
    </row>
    <row r="3188" spans="1:5" x14ac:dyDescent="0.25">
      <c r="A3188" s="21">
        <v>3187</v>
      </c>
      <c r="B3188" s="5" cm="1">
        <f t="array" aca="1" ref="B3188" ca="1">interpolexp(A3188,serie_du,Taxas_DI)</f>
        <v>0.12786258054071631</v>
      </c>
      <c r="C3188" s="32">
        <f ca="1">((((1+B3188)^(A3188/252))/((1+B3187)^(A3187/252)))^(252/1))-1</f>
        <v>0.12782011923478853</v>
      </c>
      <c r="D3188" s="30">
        <v>0.12786258054071631</v>
      </c>
      <c r="E3188" s="31">
        <f ca="1">B3188-D3188</f>
        <v>0</v>
      </c>
    </row>
    <row r="3189" spans="1:5" x14ac:dyDescent="0.25">
      <c r="A3189" s="21">
        <v>3188</v>
      </c>
      <c r="B3189" s="5" cm="1">
        <f t="array" aca="1" ref="B3189" ca="1">interpolexp(A3189,serie_du,Taxas_DI)</f>
        <v>0.12786256722134848</v>
      </c>
      <c r="C3189" s="32">
        <f ca="1">((((1+B3189)^(A3189/252))/((1+B3188)^(A3188/252)))^(252/1))-1</f>
        <v>0.12782011919510317</v>
      </c>
      <c r="D3189" s="30">
        <v>0.12786256722134848</v>
      </c>
      <c r="E3189" s="31">
        <f ca="1">B3189-D3189</f>
        <v>0</v>
      </c>
    </row>
    <row r="3190" spans="1:5" x14ac:dyDescent="0.25">
      <c r="A3190" s="21">
        <v>3189</v>
      </c>
      <c r="B3190" s="5" cm="1">
        <f t="array" aca="1" ref="B3190" ca="1">interpolexp(A3190,serie_du,Taxas_DI)</f>
        <v>0.12786255391035173</v>
      </c>
      <c r="C3190" s="32">
        <f ca="1">((((1+B3190)^(A3190/252))/((1+B3189)^(A3189/252)))^(252/1))-1</f>
        <v>0.12782011925130732</v>
      </c>
      <c r="D3190" s="30">
        <v>0.12786255391035173</v>
      </c>
      <c r="E3190" s="31">
        <f ca="1">B3190-D3190</f>
        <v>0</v>
      </c>
    </row>
    <row r="3191" spans="1:5" x14ac:dyDescent="0.25">
      <c r="A3191" s="21">
        <v>3190</v>
      </c>
      <c r="B3191" s="5" cm="1">
        <f t="array" aca="1" ref="B3191" ca="1">interpolexp(A3191,serie_du,Taxas_DI)</f>
        <v>0.12786254060768165</v>
      </c>
      <c r="C3191" s="32">
        <f ca="1">((((1+B3191)^(A3191/252))/((1+B3190)^(A3190/252)))^(252/1))-1</f>
        <v>0.12782011919086766</v>
      </c>
      <c r="D3191" s="30">
        <v>0.12786254060768165</v>
      </c>
      <c r="E3191" s="31">
        <f ca="1">B3191-D3191</f>
        <v>0</v>
      </c>
    </row>
    <row r="3192" spans="1:5" x14ac:dyDescent="0.25">
      <c r="A3192" s="21">
        <v>3191</v>
      </c>
      <c r="B3192" s="5" cm="1">
        <f t="array" aca="1" ref="B3192" ca="1">interpolexp(A3192,serie_du,Taxas_DI)</f>
        <v>0.12786252731336045</v>
      </c>
      <c r="C3192" s="32">
        <f ca="1">((((1+B3192)^(A3192/252))/((1+B3191)^(A3191/252)))^(252/1))-1</f>
        <v>0.12782011922628711</v>
      </c>
      <c r="D3192" s="30">
        <v>0.12786252731336045</v>
      </c>
      <c r="E3192" s="31">
        <f ca="1">B3192-D3192</f>
        <v>0</v>
      </c>
    </row>
    <row r="3193" spans="1:5" x14ac:dyDescent="0.25">
      <c r="A3193" s="21">
        <v>3192</v>
      </c>
      <c r="B3193" s="5" cm="1">
        <f t="array" aca="1" ref="B3193" ca="1">interpolexp(A3193,serie_du,Taxas_DI)</f>
        <v>0.12786251402736593</v>
      </c>
      <c r="C3193" s="32">
        <f ca="1">((((1+B3193)^(A3193/252))/((1+B3192)^(A3192/252)))^(252/1))-1</f>
        <v>0.12782011921580927</v>
      </c>
      <c r="D3193" s="30">
        <v>0.12786251402736593</v>
      </c>
      <c r="E3193" s="31">
        <f ca="1">B3193-D3193</f>
        <v>0</v>
      </c>
    </row>
    <row r="3194" spans="1:5" x14ac:dyDescent="0.25">
      <c r="A3194" s="21">
        <v>3193</v>
      </c>
      <c r="B3194" s="5" cm="1">
        <f t="array" aca="1" ref="B3194" ca="1">interpolexp(A3194,serie_du,Taxas_DI)</f>
        <v>0.12786250074969807</v>
      </c>
      <c r="C3194" s="32">
        <f ca="1">((((1+B3194)^(A3194/252))/((1+B3193)^(A3193/252)))^(252/1))-1</f>
        <v>0.12782011923050574</v>
      </c>
      <c r="D3194" s="30">
        <v>0.12786250074969807</v>
      </c>
      <c r="E3194" s="31">
        <f ca="1">B3194-D3194</f>
        <v>0</v>
      </c>
    </row>
    <row r="3195" spans="1:5" x14ac:dyDescent="0.25">
      <c r="A3195" s="21">
        <v>3194</v>
      </c>
      <c r="B3195" s="5" cm="1">
        <f t="array" aca="1" ref="B3195" ca="1">interpolexp(A3195,serie_du,Taxas_DI)</f>
        <v>0.12786248748033469</v>
      </c>
      <c r="C3195" s="32">
        <f ca="1">((((1+B3195)^(A3195/252))/((1+B3194)^(A3194/252)))^(252/1))-1</f>
        <v>0.12782011919907132</v>
      </c>
      <c r="D3195" s="30">
        <v>0.12786248748033469</v>
      </c>
      <c r="E3195" s="31">
        <f ca="1">B3195-D3195</f>
        <v>0</v>
      </c>
    </row>
    <row r="3196" spans="1:5" x14ac:dyDescent="0.25">
      <c r="A3196" s="21">
        <v>3195</v>
      </c>
      <c r="B3196" s="5" cm="1">
        <f t="array" aca="1" ref="B3196" ca="1">interpolexp(A3196,serie_du,Taxas_DI)</f>
        <v>0.12786247421927577</v>
      </c>
      <c r="C3196" s="32">
        <f ca="1">((((1+B3196)^(A3196/252))/((1+B3195)^(A3195/252)))^(252/1))-1</f>
        <v>0.12782011919270664</v>
      </c>
      <c r="D3196" s="30">
        <v>0.12786247421927577</v>
      </c>
      <c r="E3196" s="31">
        <f ca="1">B3196-D3196</f>
        <v>0</v>
      </c>
    </row>
    <row r="3197" spans="1:5" x14ac:dyDescent="0.25">
      <c r="A3197" s="21">
        <v>3196</v>
      </c>
      <c r="B3197" s="5" cm="1">
        <f t="array" aca="1" ref="B3197" ca="1">interpolexp(A3197,serie_du,Taxas_DI)</f>
        <v>0.12786246096652132</v>
      </c>
      <c r="C3197" s="32">
        <f ca="1">((((1+B3197)^(A3197/252))/((1+B3196)^(A3196/252)))^(252/1))-1</f>
        <v>0.12782011921099445</v>
      </c>
      <c r="D3197" s="30">
        <v>0.12786246096652132</v>
      </c>
      <c r="E3197" s="31">
        <f ca="1">B3197-D3197</f>
        <v>0</v>
      </c>
    </row>
    <row r="3198" spans="1:5" x14ac:dyDescent="0.25">
      <c r="A3198" s="21">
        <v>3197</v>
      </c>
      <c r="B3198" s="5" cm="1">
        <f t="array" aca="1" ref="B3198" ca="1">interpolexp(A3198,serie_du,Taxas_DI)</f>
        <v>0.12786244772204913</v>
      </c>
      <c r="C3198" s="32">
        <f ca="1">((((1+B3198)^(A3198/252))/((1+B3197)^(A3197/252)))^(252/1))-1</f>
        <v>0.12782011918355884</v>
      </c>
      <c r="D3198" s="30">
        <v>0.12786244772204913</v>
      </c>
      <c r="E3198" s="31">
        <f ca="1">B3198-D3198</f>
        <v>0</v>
      </c>
    </row>
    <row r="3199" spans="1:5" x14ac:dyDescent="0.25">
      <c r="A3199" s="21">
        <v>3198</v>
      </c>
      <c r="B3199" s="5" cm="1">
        <f t="array" aca="1" ref="B3199" ca="1">interpolexp(A3199,serie_du,Taxas_DI)</f>
        <v>0.12786243448588142</v>
      </c>
      <c r="C3199" s="32">
        <f ca="1">((((1+B3199)^(A3199/252))/((1+B3198)^(A3198/252)))^(252/1))-1</f>
        <v>0.12782011925168191</v>
      </c>
      <c r="D3199" s="30">
        <v>0.12786243448588142</v>
      </c>
      <c r="E3199" s="31">
        <f ca="1">B3199-D3199</f>
        <v>0</v>
      </c>
    </row>
    <row r="3200" spans="1:5" x14ac:dyDescent="0.25">
      <c r="A3200" s="21">
        <v>3199</v>
      </c>
      <c r="B3200" s="5" cm="1">
        <f t="array" aca="1" ref="B3200" ca="1">interpolexp(A3200,serie_du,Taxas_DI)</f>
        <v>0.12786242125797376</v>
      </c>
      <c r="C3200" s="32">
        <f ca="1">((((1+B3200)^(A3200/252))/((1+B3199)^(A3199/252)))^(252/1))-1</f>
        <v>0.12782011920285252</v>
      </c>
      <c r="D3200" s="30">
        <v>0.12786242125797376</v>
      </c>
      <c r="E3200" s="31">
        <f ca="1">B3200-D3200</f>
        <v>0</v>
      </c>
    </row>
    <row r="3201" spans="1:5" x14ac:dyDescent="0.25">
      <c r="A3201" s="21">
        <v>3200</v>
      </c>
      <c r="B3201" s="5" cm="1">
        <f t="array" aca="1" ref="B3201" ca="1">interpolexp(A3201,serie_du,Taxas_DI)</f>
        <v>0.12786240803832616</v>
      </c>
      <c r="C3201" s="32">
        <f ca="1">((((1+B3201)^(A3201/252))/((1+B3200)^(A3200/252)))^(252/1))-1</f>
        <v>0.12782011917870895</v>
      </c>
      <c r="D3201" s="30">
        <v>0.12786240803832616</v>
      </c>
      <c r="E3201" s="31">
        <f ca="1">B3201-D3201</f>
        <v>0</v>
      </c>
    </row>
    <row r="3202" spans="1:5" x14ac:dyDescent="0.25">
      <c r="A3202" s="21">
        <v>3201</v>
      </c>
      <c r="B3202" s="5" cm="1">
        <f t="array" aca="1" ref="B3202" ca="1">interpolexp(A3202,serie_du,Taxas_DI)</f>
        <v>0.12786239482696082</v>
      </c>
      <c r="C3202" s="32">
        <f ca="1">((((1+B3202)^(A3202/252))/((1+B3201)^(A3201/252)))^(252/1))-1</f>
        <v>0.12782011925041781</v>
      </c>
      <c r="D3202" s="30">
        <v>0.12786239482696082</v>
      </c>
      <c r="E3202" s="31">
        <f ca="1">B3202-D3202</f>
        <v>0</v>
      </c>
    </row>
    <row r="3203" spans="1:5" x14ac:dyDescent="0.25">
      <c r="A3203" s="21">
        <v>3202</v>
      </c>
      <c r="B3203" s="5" cm="1">
        <f t="array" aca="1" ref="B3203" ca="1">interpolexp(A3203,serie_du,Taxas_DI)</f>
        <v>0.12786238162383334</v>
      </c>
      <c r="C3203" s="32">
        <f ca="1">((((1+B3203)^(A3203/252))/((1+B3202)^(A3202/252)))^(252/1))-1</f>
        <v>0.12782011920480274</v>
      </c>
      <c r="D3203" s="30">
        <v>0.12786238162383334</v>
      </c>
      <c r="E3203" s="31">
        <f ca="1">B3203-D3203</f>
        <v>0</v>
      </c>
    </row>
    <row r="3204" spans="1:5" x14ac:dyDescent="0.25">
      <c r="A3204" s="21">
        <v>3203</v>
      </c>
      <c r="B3204" s="5" cm="1">
        <f t="array" aca="1" ref="B3204" ca="1">interpolexp(A3204,serie_du,Taxas_DI)</f>
        <v>0.12786236842894372</v>
      </c>
      <c r="C3204" s="32">
        <f ca="1">((((1+B3204)^(A3204/252))/((1+B3203)^(A3203/252)))^(252/1))-1</f>
        <v>0.12782011918399783</v>
      </c>
      <c r="D3204" s="30">
        <v>0.12786236842894372</v>
      </c>
      <c r="E3204" s="31">
        <f ca="1">B3204-D3204</f>
        <v>0</v>
      </c>
    </row>
    <row r="3205" spans="1:5" x14ac:dyDescent="0.25">
      <c r="A3205" s="21">
        <v>3204</v>
      </c>
      <c r="B3205" s="5" cm="1">
        <f t="array" aca="1" ref="B3205" ca="1">interpolexp(A3205,serie_du,Taxas_DI)</f>
        <v>0.12786235524229195</v>
      </c>
      <c r="C3205" s="32">
        <f ca="1">((((1+B3205)^(A3205/252))/((1+B3204)^(A3204/252)))^(252/1))-1</f>
        <v>0.1278201191876529</v>
      </c>
      <c r="D3205" s="30">
        <v>0.12786235524229195</v>
      </c>
      <c r="E3205" s="31">
        <f ca="1">B3205-D3205</f>
        <v>0</v>
      </c>
    </row>
    <row r="3206" spans="1:5" x14ac:dyDescent="0.25">
      <c r="A3206" s="21">
        <v>3205</v>
      </c>
      <c r="B3206" s="5" cm="1">
        <f t="array" aca="1" ref="B3206" ca="1">interpolexp(A3206,serie_du,Taxas_DI)</f>
        <v>0.12786234206387803</v>
      </c>
      <c r="C3206" s="32">
        <f ca="1">((((1+B3206)^(A3206/252))/((1+B3205)^(A3205/252)))^(252/1))-1</f>
        <v>0.12782011921631375</v>
      </c>
      <c r="D3206" s="30">
        <v>0.12786234206387803</v>
      </c>
      <c r="E3206" s="31">
        <f ca="1">B3206-D3206</f>
        <v>0</v>
      </c>
    </row>
    <row r="3207" spans="1:5" x14ac:dyDescent="0.25">
      <c r="A3207" s="21">
        <v>3206</v>
      </c>
      <c r="B3207" s="5" cm="1">
        <f t="array" aca="1" ref="B3207" ca="1">interpolexp(A3207,serie_du,Taxas_DI)</f>
        <v>0.12786232889367977</v>
      </c>
      <c r="C3207" s="32">
        <f ca="1">((((1+B3207)^(A3207/252))/((1+B3206)^(A3206/252)))^(252/1))-1</f>
        <v>0.12782011919837788</v>
      </c>
      <c r="D3207" s="30">
        <v>0.12786232889367977</v>
      </c>
      <c r="E3207" s="31">
        <f ca="1">B3207-D3207</f>
        <v>0</v>
      </c>
    </row>
    <row r="3208" spans="1:5" x14ac:dyDescent="0.25">
      <c r="A3208" s="21">
        <v>3207</v>
      </c>
      <c r="B3208" s="5" cm="1">
        <f t="array" aca="1" ref="B3208" ca="1">interpolexp(A3208,serie_du,Taxas_DI)</f>
        <v>0.12786231573169715</v>
      </c>
      <c r="C3208" s="32">
        <f ca="1">((((1+B3208)^(A3208/252))/((1+B3207)^(A3207/252)))^(252/1))-1</f>
        <v>0.12782011920498926</v>
      </c>
      <c r="D3208" s="30">
        <v>0.12786231573169715</v>
      </c>
      <c r="E3208" s="31">
        <f ca="1">B3208-D3208</f>
        <v>0</v>
      </c>
    </row>
    <row r="3209" spans="1:5" x14ac:dyDescent="0.25">
      <c r="A3209" s="21">
        <v>3208</v>
      </c>
      <c r="B3209" s="5" cm="1">
        <f t="array" aca="1" ref="B3209" ca="1">interpolexp(A3209,serie_du,Taxas_DI)</f>
        <v>0.12786230257793019</v>
      </c>
      <c r="C3209" s="32">
        <f ca="1">((((1+B3209)^(A3209/252))/((1+B3208)^(A3208/252)))^(252/1))-1</f>
        <v>0.12782011923642012</v>
      </c>
      <c r="D3209" s="30">
        <v>0.12786230257793019</v>
      </c>
      <c r="E3209" s="31">
        <f ca="1">B3209-D3209</f>
        <v>0</v>
      </c>
    </row>
    <row r="3210" spans="1:5" x14ac:dyDescent="0.25">
      <c r="A3210" s="21">
        <v>3209</v>
      </c>
      <c r="B3210" s="5" cm="1">
        <f t="array" aca="1" ref="B3210" ca="1">interpolexp(A3210,serie_du,Taxas_DI)</f>
        <v>0.12786228943235667</v>
      </c>
      <c r="C3210" s="32">
        <f ca="1">((((1+B3210)^(A3210/252))/((1+B3209)^(A3209/252)))^(252/1))-1</f>
        <v>0.12782011922103398</v>
      </c>
      <c r="D3210" s="30">
        <v>0.12786228943235667</v>
      </c>
      <c r="E3210" s="31">
        <f ca="1">B3210-D3210</f>
        <v>0</v>
      </c>
    </row>
    <row r="3211" spans="1:5" x14ac:dyDescent="0.25">
      <c r="A3211" s="21">
        <v>3210</v>
      </c>
      <c r="B3211" s="5" cm="1">
        <f t="array" aca="1" ref="B3211" ca="1">interpolexp(A3211,serie_du,Taxas_DI)</f>
        <v>0.12786227629495439</v>
      </c>
      <c r="C3211" s="32">
        <f ca="1">((((1+B3211)^(A3211/252))/((1+B3210)^(A3210/252)))^(252/1))-1</f>
        <v>0.12782011915916613</v>
      </c>
      <c r="D3211" s="30">
        <v>0.12786227629495439</v>
      </c>
      <c r="E3211" s="31">
        <f ca="1">B3211-D3211</f>
        <v>0</v>
      </c>
    </row>
    <row r="3212" spans="1:5" x14ac:dyDescent="0.25">
      <c r="A3212" s="21">
        <v>3211</v>
      </c>
      <c r="B3212" s="5" cm="1">
        <f t="array" aca="1" ref="B3212" ca="1">interpolexp(A3212,serie_du,Taxas_DI)</f>
        <v>0.12786226316576776</v>
      </c>
      <c r="C3212" s="32">
        <f ca="1">((((1+B3212)^(A3212/252))/((1+B3211)^(A3211/252)))^(252/1))-1</f>
        <v>0.127820119264485</v>
      </c>
      <c r="D3212" s="30">
        <v>0.12786226316576776</v>
      </c>
      <c r="E3212" s="31">
        <f ca="1">B3212-D3212</f>
        <v>0</v>
      </c>
    </row>
    <row r="3213" spans="1:5" x14ac:dyDescent="0.25">
      <c r="A3213" s="21">
        <v>3212</v>
      </c>
      <c r="B3213" s="5" cm="1">
        <f t="array" aca="1" ref="B3213" ca="1">interpolexp(A3213,serie_du,Taxas_DI)</f>
        <v>0.12786225004473017</v>
      </c>
      <c r="C3213" s="32">
        <f ca="1">((((1+B3213)^(A3213/252))/((1+B3212)^(A3212/252)))^(252/1))-1</f>
        <v>0.12782011918009561</v>
      </c>
      <c r="D3213" s="30">
        <v>0.12786225004473017</v>
      </c>
      <c r="E3213" s="31">
        <f ca="1">B3213-D3213</f>
        <v>0</v>
      </c>
    </row>
    <row r="3214" spans="1:5" x14ac:dyDescent="0.25">
      <c r="A3214" s="21">
        <v>3213</v>
      </c>
      <c r="B3214" s="5" cm="1">
        <f t="array" aca="1" ref="B3214" ca="1">interpolexp(A3214,serie_du,Taxas_DI)</f>
        <v>0.12786223693186383</v>
      </c>
      <c r="C3214" s="32">
        <f ca="1">((((1+B3214)^(A3214/252))/((1+B3213)^(A3213/252)))^(252/1))-1</f>
        <v>0.12782011919188885</v>
      </c>
      <c r="D3214" s="30">
        <v>0.12786223693186383</v>
      </c>
      <c r="E3214" s="31">
        <f ca="1">B3214-D3214</f>
        <v>0</v>
      </c>
    </row>
    <row r="3215" spans="1:5" x14ac:dyDescent="0.25">
      <c r="A3215" s="21">
        <v>3214</v>
      </c>
      <c r="B3215" s="5" cm="1">
        <f t="array" aca="1" ref="B3215" ca="1">interpolexp(A3215,serie_du,Taxas_DI)</f>
        <v>0.12786222382716872</v>
      </c>
      <c r="C3215" s="32">
        <f ca="1">((((1+B3215)^(A3215/252))/((1+B3214)^(A3214/252)))^(252/1))-1</f>
        <v>0.12782011922791869</v>
      </c>
      <c r="D3215" s="30">
        <v>0.12786222382716872</v>
      </c>
      <c r="E3215" s="31">
        <f ca="1">B3215-D3215</f>
        <v>0</v>
      </c>
    </row>
    <row r="3216" spans="1:5" x14ac:dyDescent="0.25">
      <c r="A3216" s="21">
        <v>3215</v>
      </c>
      <c r="B3216" s="5" cm="1">
        <f t="array" aca="1" ref="B3216" ca="1">interpolexp(A3216,serie_du,Taxas_DI)</f>
        <v>0.12786221073062265</v>
      </c>
      <c r="C3216" s="32">
        <f ca="1">((((1+B3216)^(A3216/252))/((1+B3215)^(A3215/252)))^(252/1))-1</f>
        <v>0.12782011921725611</v>
      </c>
      <c r="D3216" s="30">
        <v>0.12786221073062265</v>
      </c>
      <c r="E3216" s="31">
        <f ca="1">B3216-D3216</f>
        <v>0</v>
      </c>
    </row>
    <row r="3217" spans="1:5" x14ac:dyDescent="0.25">
      <c r="A3217" s="21">
        <v>3216</v>
      </c>
      <c r="B3217" s="5" cm="1">
        <f t="array" aca="1" ref="B3217" ca="1">interpolexp(A3217,serie_du,Taxas_DI)</f>
        <v>0.12786219764220341</v>
      </c>
      <c r="C3217" s="32">
        <f ca="1">((((1+B3217)^(A3217/252))/((1+B3216)^(A3216/252)))^(252/1))-1</f>
        <v>0.12782011915954494</v>
      </c>
      <c r="D3217" s="30">
        <v>0.12786219764220341</v>
      </c>
      <c r="E3217" s="31">
        <f ca="1">B3217-D3217</f>
        <v>0</v>
      </c>
    </row>
    <row r="3218" spans="1:5" x14ac:dyDescent="0.25">
      <c r="A3218" s="21">
        <v>3217</v>
      </c>
      <c r="B3218" s="5" cm="1">
        <f t="array" aca="1" ref="B3218" ca="1">interpolexp(A3218,serie_du,Taxas_DI)</f>
        <v>0.12786218456193321</v>
      </c>
      <c r="C3218" s="32">
        <f ca="1">((((1+B3218)^(A3218/252))/((1+B3217)^(A3217/252)))^(252/1))-1</f>
        <v>0.12782011919768999</v>
      </c>
      <c r="D3218" s="30">
        <v>0.12786218456193321</v>
      </c>
      <c r="E3218" s="31">
        <f ca="1">B3218-D3218</f>
        <v>0</v>
      </c>
    </row>
    <row r="3219" spans="1:5" x14ac:dyDescent="0.25">
      <c r="A3219" s="21">
        <v>3218</v>
      </c>
      <c r="B3219" s="5" cm="1">
        <f t="array" aca="1" ref="B3219" ca="1">interpolexp(A3219,serie_du,Taxas_DI)</f>
        <v>0.12786217148978984</v>
      </c>
      <c r="C3219" s="32">
        <f ca="1">((((1+B3219)^(A3219/252))/((1+B3218)^(A3218/252)))^(252/1))-1</f>
        <v>0.12782011918884773</v>
      </c>
      <c r="D3219" s="30">
        <v>0.12786217148978984</v>
      </c>
      <c r="E3219" s="31">
        <f ca="1">B3219-D3219</f>
        <v>0</v>
      </c>
    </row>
    <row r="3220" spans="1:5" x14ac:dyDescent="0.25">
      <c r="A3220" s="21">
        <v>3219</v>
      </c>
      <c r="B3220" s="5" cm="1">
        <f t="array" aca="1" ref="B3220" ca="1">interpolexp(A3220,serie_du,Taxas_DI)</f>
        <v>0.12786215842577331</v>
      </c>
      <c r="C3220" s="32">
        <f ca="1">((((1+B3220)^(A3220/252))/((1+B3219)^(A3219/252)))^(252/1))-1</f>
        <v>0.12782011920429781</v>
      </c>
      <c r="D3220" s="30">
        <v>0.12786215842577331</v>
      </c>
      <c r="E3220" s="31">
        <f ca="1">B3220-D3220</f>
        <v>0</v>
      </c>
    </row>
    <row r="3221" spans="1:5" x14ac:dyDescent="0.25">
      <c r="A3221" s="21">
        <v>3220</v>
      </c>
      <c r="B3221" s="5" cm="1">
        <f t="array" aca="1" ref="B3221" ca="1">interpolexp(A3221,serie_du,Taxas_DI)</f>
        <v>0.12786214536988361</v>
      </c>
      <c r="C3221" s="32">
        <f ca="1">((((1+B3221)^(A3221/252))/((1+B3220)^(A3220/252)))^(252/1))-1</f>
        <v>0.12782011924418701</v>
      </c>
      <c r="D3221" s="30">
        <v>0.12786214536988361</v>
      </c>
      <c r="E3221" s="31">
        <f ca="1">B3221-D3221</f>
        <v>0</v>
      </c>
    </row>
    <row r="3222" spans="1:5" x14ac:dyDescent="0.25">
      <c r="A3222" s="21">
        <v>3221</v>
      </c>
      <c r="B3222" s="5" cm="1">
        <f t="array" aca="1" ref="B3222" ca="1">interpolexp(A3222,serie_du,Taxas_DI)</f>
        <v>0.12786213232207633</v>
      </c>
      <c r="C3222" s="32">
        <f ca="1">((((1+B3222)^(A3222/252))/((1+B3221)^(A3221/252)))^(252/1))-1</f>
        <v>0.1278201191654047</v>
      </c>
      <c r="D3222" s="30">
        <v>0.12786213232207633</v>
      </c>
      <c r="E3222" s="31">
        <f ca="1">B3222-D3222</f>
        <v>0</v>
      </c>
    </row>
    <row r="3223" spans="1:5" x14ac:dyDescent="0.25">
      <c r="A3223" s="21">
        <v>3222</v>
      </c>
      <c r="B3223" s="5" cm="1">
        <f t="array" aca="1" ref="B3223" ca="1">interpolexp(A3223,serie_du,Taxas_DI)</f>
        <v>0.12786211928237368</v>
      </c>
      <c r="C3223" s="32">
        <f ca="1">((((1+B3223)^(A3223/252))/((1+B3222)^(A3222/252)))^(252/1))-1</f>
        <v>0.12782011918249037</v>
      </c>
      <c r="D3223" s="30">
        <v>0.12786211928237368</v>
      </c>
      <c r="E3223" s="31">
        <f ca="1">B3223-D3223</f>
        <v>0</v>
      </c>
    </row>
    <row r="3224" spans="1:5" x14ac:dyDescent="0.25">
      <c r="A3224" s="21">
        <v>3223</v>
      </c>
      <c r="B3224" s="5" cm="1">
        <f t="array" aca="1" ref="B3224" ca="1">interpolexp(A3224,serie_du,Taxas_DI)</f>
        <v>0.12786210625077565</v>
      </c>
      <c r="C3224" s="32">
        <f ca="1">((((1+B3224)^(A3224/252))/((1+B3223)^(A3223/252)))^(252/1))-1</f>
        <v>0.12782011922368319</v>
      </c>
      <c r="D3224" s="30">
        <v>0.12786210625077565</v>
      </c>
      <c r="E3224" s="31">
        <f ca="1">B3224-D3224</f>
        <v>0</v>
      </c>
    </row>
    <row r="3225" spans="1:5" x14ac:dyDescent="0.25">
      <c r="A3225" s="21">
        <v>3224</v>
      </c>
      <c r="B3225" s="5" cm="1">
        <f t="array" aca="1" ref="B3225" ca="1">interpolexp(A3225,serie_du,Taxas_DI)</f>
        <v>0.12786209322726005</v>
      </c>
      <c r="C3225" s="32">
        <f ca="1">((((1+B3225)^(A3225/252))/((1+B3224)^(A3224/252)))^(252/1))-1</f>
        <v>0.12782011921789116</v>
      </c>
      <c r="D3225" s="30">
        <v>0.12786209322726005</v>
      </c>
      <c r="E3225" s="31">
        <f ca="1">B3225-D3225</f>
        <v>0</v>
      </c>
    </row>
    <row r="3226" spans="1:5" x14ac:dyDescent="0.25">
      <c r="A3226" s="21">
        <v>3225</v>
      </c>
      <c r="B3226" s="5" cm="1">
        <f t="array" aca="1" ref="B3226" ca="1">interpolexp(A3226,serie_du,Taxas_DI)</f>
        <v>0.12786208021180467</v>
      </c>
      <c r="C3226" s="32">
        <f ca="1">((((1+B3226)^(A3226/252))/((1+B3225)^(A3225/252)))^(252/1))-1</f>
        <v>0.12782011916446079</v>
      </c>
      <c r="D3226" s="30">
        <v>0.12786208021180467</v>
      </c>
      <c r="E3226" s="31">
        <f ca="1">B3226-D3226</f>
        <v>0</v>
      </c>
    </row>
    <row r="3227" spans="1:5" x14ac:dyDescent="0.25">
      <c r="A3227" s="21">
        <v>3226</v>
      </c>
      <c r="B3227" s="5" cm="1">
        <f t="array" aca="1" ref="B3227" ca="1">interpolexp(A3227,serie_du,Taxas_DI)</f>
        <v>0.12786206720443172</v>
      </c>
      <c r="C3227" s="32">
        <f ca="1">((((1+B3227)^(A3227/252))/((1+B3226)^(A3226/252)))^(252/1))-1</f>
        <v>0.1278201192069468</v>
      </c>
      <c r="D3227" s="30">
        <v>0.12786206720443172</v>
      </c>
      <c r="E3227" s="31">
        <f ca="1">B3227-D3227</f>
        <v>0</v>
      </c>
    </row>
    <row r="3228" spans="1:5" x14ac:dyDescent="0.25">
      <c r="A3228" s="21">
        <v>3227</v>
      </c>
      <c r="B3228" s="5" cm="1">
        <f t="array" aca="1" ref="B3228" ca="1">interpolexp(A3228,serie_du,Taxas_DI)</f>
        <v>0.12786205420511898</v>
      </c>
      <c r="C3228" s="32">
        <f ca="1">((((1+B3228)^(A3228/252))/((1+B3227)^(A3227/252)))^(252/1))-1</f>
        <v>0.12782011920209713</v>
      </c>
      <c r="D3228" s="30">
        <v>0.12786205420511898</v>
      </c>
      <c r="E3228" s="31">
        <f ca="1">B3228-D3228</f>
        <v>0</v>
      </c>
    </row>
    <row r="3229" spans="1:5" x14ac:dyDescent="0.25">
      <c r="A3229" s="21">
        <v>3228</v>
      </c>
      <c r="B3229" s="5" cm="1">
        <f t="array" aca="1" ref="B3229" ca="1">interpolexp(A3229,serie_du,Taxas_DI)</f>
        <v>0.12786204121386646</v>
      </c>
      <c r="C3229" s="32">
        <f ca="1">((((1+B3229)^(A3229/252))/((1+B3228)^(A3228/252)))^(252/1))-1</f>
        <v>0.12782011922141412</v>
      </c>
      <c r="D3229" s="30">
        <v>0.12786204121386646</v>
      </c>
      <c r="E3229" s="31">
        <f ca="1">B3229-D3229</f>
        <v>0</v>
      </c>
    </row>
    <row r="3230" spans="1:5" x14ac:dyDescent="0.25">
      <c r="A3230" s="21">
        <v>3229</v>
      </c>
      <c r="B3230" s="5" cm="1">
        <f t="array" aca="1" ref="B3230" ca="1">interpolexp(A3230,serie_du,Taxas_DI)</f>
        <v>0.12786202823065196</v>
      </c>
      <c r="C3230" s="32">
        <f ca="1">((((1+B3230)^(A3230/252))/((1+B3229)^(A3229/252)))^(252/1))-1</f>
        <v>0.12782011919302705</v>
      </c>
      <c r="D3230" s="30">
        <v>0.12786202823065196</v>
      </c>
      <c r="E3230" s="31">
        <f ca="1">B3230-D3230</f>
        <v>0</v>
      </c>
    </row>
    <row r="3231" spans="1:5" x14ac:dyDescent="0.25">
      <c r="A3231" s="21">
        <v>3230</v>
      </c>
      <c r="B3231" s="5" cm="1">
        <f t="array" aca="1" ref="B3231" ca="1">interpolexp(A3231,serie_du,Taxas_DI)</f>
        <v>0.12786201525547547</v>
      </c>
      <c r="C3231" s="32">
        <f ca="1">((((1+B3231)^(A3231/252))/((1+B3230)^(A3230/252)))^(252/1))-1</f>
        <v>0.12782011918910574</v>
      </c>
      <c r="D3231" s="30">
        <v>0.12786201525547547</v>
      </c>
      <c r="E3231" s="31">
        <f ca="1">B3231-D3231</f>
        <v>0</v>
      </c>
    </row>
    <row r="3232" spans="1:5" x14ac:dyDescent="0.25">
      <c r="A3232" s="21">
        <v>3231</v>
      </c>
      <c r="B3232" s="5" cm="1">
        <f t="array" aca="1" ref="B3232" ca="1">interpolexp(A3232,serie_du,Taxas_DI)</f>
        <v>0.12786200228831479</v>
      </c>
      <c r="C3232" s="32">
        <f ca="1">((((1+B3232)^(A3232/252))/((1+B3231)^(A3231/252)))^(252/1))-1</f>
        <v>0.12782011913712443</v>
      </c>
      <c r="D3232" s="30">
        <v>0.12786200228831479</v>
      </c>
      <c r="E3232" s="31">
        <f ca="1">B3232-D3232</f>
        <v>0</v>
      </c>
    </row>
    <row r="3233" spans="1:5" x14ac:dyDescent="0.25">
      <c r="A3233" s="21">
        <v>3232</v>
      </c>
      <c r="B3233" s="5" cm="1">
        <f t="array" aca="1" ref="B3233" ca="1">interpolexp(A3233,serie_du,Taxas_DI)</f>
        <v>0.12786198932921433</v>
      </c>
      <c r="C3233" s="32">
        <f ca="1">((((1+B3233)^(A3233/252))/((1+B3232)^(A3232/252)))^(252/1))-1</f>
        <v>0.12782011925313075</v>
      </c>
      <c r="D3233" s="30">
        <v>0.12786198932921433</v>
      </c>
      <c r="E3233" s="31">
        <f ca="1">B3233-D3233</f>
        <v>0</v>
      </c>
    </row>
    <row r="3234" spans="1:5" x14ac:dyDescent="0.25">
      <c r="A3234" s="21">
        <v>3233</v>
      </c>
      <c r="B3234" s="5" cm="1">
        <f t="array" aca="1" ref="B3234" ca="1">interpolexp(A3234,serie_du,Taxas_DI)</f>
        <v>0.12786197637810748</v>
      </c>
      <c r="C3234" s="32">
        <f ca="1">((((1+B3234)^(A3234/252))/((1+B3233)^(A3233/252)))^(252/1))-1</f>
        <v>0.12782011917764091</v>
      </c>
      <c r="D3234" s="30">
        <v>0.12786197637810748</v>
      </c>
      <c r="E3234" s="31">
        <f ca="1">B3234-D3234</f>
        <v>0</v>
      </c>
    </row>
    <row r="3235" spans="1:5" x14ac:dyDescent="0.25">
      <c r="A3235" s="21">
        <v>3234</v>
      </c>
      <c r="B3235" s="5" cm="1">
        <f t="array" aca="1" ref="B3235" ca="1">interpolexp(A3235,serie_du,Taxas_DI)</f>
        <v>0.12786196343501643</v>
      </c>
      <c r="C3235" s="32">
        <f ca="1">((((1+B3235)^(A3235/252))/((1+B3234)^(A3234/252)))^(252/1))-1</f>
        <v>0.12782011919819114</v>
      </c>
      <c r="D3235" s="30">
        <v>0.12786196343501643</v>
      </c>
      <c r="E3235" s="31">
        <f ca="1">B3235-D3235</f>
        <v>0</v>
      </c>
    </row>
    <row r="3236" spans="1:5" x14ac:dyDescent="0.25">
      <c r="A3236" s="21">
        <v>3235</v>
      </c>
      <c r="B3236" s="5" cm="1">
        <f t="array" aca="1" ref="B3236" ca="1">interpolexp(A3236,serie_du,Taxas_DI)</f>
        <v>0.127861950499919</v>
      </c>
      <c r="C3236" s="32">
        <f ca="1">((((1+B3236)^(A3236/252))/((1+B3235)^(A3235/252)))^(252/1))-1</f>
        <v>0.12782011917075931</v>
      </c>
      <c r="D3236" s="30">
        <v>0.127861950499919</v>
      </c>
      <c r="E3236" s="31">
        <f ca="1">B3236-D3236</f>
        <v>0</v>
      </c>
    </row>
    <row r="3237" spans="1:5" x14ac:dyDescent="0.25">
      <c r="A3237" s="21">
        <v>3236</v>
      </c>
      <c r="B3237" s="5" cm="1">
        <f t="array" aca="1" ref="B3237" ca="1">interpolexp(A3237,serie_du,Taxas_DI)</f>
        <v>0.12786193757281517</v>
      </c>
      <c r="C3237" s="32">
        <f ca="1">((((1+B3237)^(A3237/252))/((1+B3236)^(A3236/252)))^(252/1))-1</f>
        <v>0.12782011916747926</v>
      </c>
      <c r="D3237" s="30">
        <v>0.12786193757281517</v>
      </c>
      <c r="E3237" s="31">
        <f ca="1">B3237-D3237</f>
        <v>0</v>
      </c>
    </row>
    <row r="3238" spans="1:5" x14ac:dyDescent="0.25">
      <c r="A3238" s="21">
        <v>3237</v>
      </c>
      <c r="B3238" s="5" cm="1">
        <f t="array" aca="1" ref="B3238" ca="1">interpolexp(A3238,serie_du,Taxas_DI)</f>
        <v>0.12786192465370494</v>
      </c>
      <c r="C3238" s="32">
        <f ca="1">((((1+B3238)^(A3238/252))/((1+B3237)^(A3237/252)))^(252/1))-1</f>
        <v>0.12782011918802971</v>
      </c>
      <c r="D3238" s="30">
        <v>0.12786192465370494</v>
      </c>
      <c r="E3238" s="31">
        <f ca="1">B3238-D3238</f>
        <v>0</v>
      </c>
    </row>
    <row r="3239" spans="1:5" x14ac:dyDescent="0.25">
      <c r="A3239" s="21">
        <v>3238</v>
      </c>
      <c r="B3239" s="5" cm="1">
        <f t="array" aca="1" ref="B3239" ca="1">interpolexp(A3239,serie_du,Taxas_DI)</f>
        <v>0.12786191174258832</v>
      </c>
      <c r="C3239" s="32">
        <f ca="1">((((1+B3239)^(A3239/252))/((1+B3238)^(A3238/252)))^(252/1))-1</f>
        <v>0.1278201192327062</v>
      </c>
      <c r="D3239" s="30">
        <v>0.12786191174258832</v>
      </c>
      <c r="E3239" s="31">
        <f ca="1">B3239-D3239</f>
        <v>0</v>
      </c>
    </row>
    <row r="3240" spans="1:5" x14ac:dyDescent="0.25">
      <c r="A3240" s="21">
        <v>3239</v>
      </c>
      <c r="B3240" s="5" cm="1">
        <f t="array" aca="1" ref="B3240" ca="1">interpolexp(A3240,serie_du,Taxas_DI)</f>
        <v>0.1278618988394209</v>
      </c>
      <c r="C3240" s="32">
        <f ca="1">((((1+B3240)^(A3240/252))/((1+B3239)^(A3239/252)))^(252/1))-1</f>
        <v>0.12782011915732672</v>
      </c>
      <c r="D3240" s="30">
        <v>0.1278618988394209</v>
      </c>
      <c r="E3240" s="31">
        <f ca="1">B3240-D3240</f>
        <v>0</v>
      </c>
    </row>
    <row r="3241" spans="1:5" x14ac:dyDescent="0.25">
      <c r="A3241" s="21">
        <v>3240</v>
      </c>
      <c r="B3241" s="5" cm="1">
        <f t="array" aca="1" ref="B3241" ca="1">interpolexp(A3241,serie_du,Taxas_DI)</f>
        <v>0.12786188594422487</v>
      </c>
      <c r="C3241" s="32">
        <f ca="1">((((1+B3241)^(A3241/252))/((1+B3240)^(A3240/252)))^(252/1))-1</f>
        <v>0.12782011917802105</v>
      </c>
      <c r="D3241" s="30">
        <v>0.12786188594422487</v>
      </c>
      <c r="E3241" s="31">
        <f ca="1">B3241-D3241</f>
        <v>0</v>
      </c>
    </row>
    <row r="3242" spans="1:5" x14ac:dyDescent="0.25">
      <c r="A3242" s="21">
        <v>3241</v>
      </c>
      <c r="B3242" s="5" cm="1">
        <f t="array" aca="1" ref="B3242" ca="1">interpolexp(A3242,serie_du,Taxas_DI)</f>
        <v>0.12786187305700025</v>
      </c>
      <c r="C3242" s="32">
        <f ca="1">((((1+B3242)^(A3242/252))/((1+B3241)^(A3241/252)))^(252/1))-1</f>
        <v>0.12782011922230185</v>
      </c>
      <c r="D3242" s="30">
        <v>0.12786187305700025</v>
      </c>
      <c r="E3242" s="31">
        <f ca="1">B3242-D3242</f>
        <v>0</v>
      </c>
    </row>
    <row r="3243" spans="1:5" x14ac:dyDescent="0.25">
      <c r="A3243" s="21">
        <v>3242</v>
      </c>
      <c r="B3243" s="5" cm="1">
        <f t="array" aca="1" ref="B3243" ca="1">interpolexp(A3243,serie_du,Taxas_DI)</f>
        <v>0.12786186017772483</v>
      </c>
      <c r="C3243" s="32">
        <f ca="1">((((1+B3243)^(A3243/252))/((1+B3242)^(A3242/252)))^(252/1))-1</f>
        <v>0.12782011921877112</v>
      </c>
      <c r="D3243" s="30">
        <v>0.12786186017772483</v>
      </c>
      <c r="E3243" s="31">
        <f ca="1">B3243-D3243</f>
        <v>0</v>
      </c>
    </row>
    <row r="3244" spans="1:5" x14ac:dyDescent="0.25">
      <c r="A3244" s="21">
        <v>3243</v>
      </c>
      <c r="B3244" s="5" cm="1">
        <f t="array" aca="1" ref="B3244" ca="1">interpolexp(A3244,serie_du,Taxas_DI)</f>
        <v>0.1278618473063764</v>
      </c>
      <c r="C3244" s="32">
        <f ca="1">((((1+B3244)^(A3244/252))/((1+B3243)^(A3243/252)))^(252/1))-1</f>
        <v>0.12782011916685332</v>
      </c>
      <c r="D3244" s="30">
        <v>0.1278618473063764</v>
      </c>
      <c r="E3244" s="31">
        <f ca="1">B3244-D3244</f>
        <v>0</v>
      </c>
    </row>
    <row r="3245" spans="1:5" x14ac:dyDescent="0.25">
      <c r="A3245" s="21">
        <v>3244</v>
      </c>
      <c r="B3245" s="5" cm="1">
        <f t="array" aca="1" ref="B3245" ca="1">interpolexp(A3245,serie_du,Taxas_DI)</f>
        <v>0.12786183444295496</v>
      </c>
      <c r="C3245" s="32">
        <f ca="1">((((1+B3245)^(A3245/252))/((1+B3244)^(A3244/252)))^(252/1))-1</f>
        <v>0.12782011913901203</v>
      </c>
      <c r="D3245" s="30">
        <v>0.12786183444295496</v>
      </c>
      <c r="E3245" s="31">
        <f ca="1">B3245-D3245</f>
        <v>0</v>
      </c>
    </row>
    <row r="3246" spans="1:5" x14ac:dyDescent="0.25">
      <c r="A3246" s="21">
        <v>3245</v>
      </c>
      <c r="B3246" s="5" cm="1">
        <f t="array" aca="1" ref="B3246" ca="1">interpolexp(A3246,serie_du,Taxas_DI)</f>
        <v>0.12786182158748272</v>
      </c>
      <c r="C3246" s="32">
        <f ca="1">((((1+B3246)^(A3246/252))/((1+B3245)^(A3245/252)))^(252/1))-1</f>
        <v>0.12782011920669634</v>
      </c>
      <c r="D3246" s="30">
        <v>0.12786182158748272</v>
      </c>
      <c r="E3246" s="31">
        <f ca="1">B3246-D3246</f>
        <v>0</v>
      </c>
    </row>
    <row r="3247" spans="1:5" x14ac:dyDescent="0.25">
      <c r="A3247" s="21">
        <v>3246</v>
      </c>
      <c r="B3247" s="5" cm="1">
        <f t="array" aca="1" ref="B3247" ca="1">interpolexp(A3247,serie_du,Taxas_DI)</f>
        <v>0.12786180873993747</v>
      </c>
      <c r="C3247" s="32">
        <f ca="1">((((1+B3247)^(A3247/252))/((1+B3246)^(A3246/252)))^(252/1))-1</f>
        <v>0.1278201192263495</v>
      </c>
      <c r="D3247" s="30">
        <v>0.12786180873993747</v>
      </c>
      <c r="E3247" s="31">
        <f ca="1">B3247-D3247</f>
        <v>0</v>
      </c>
    </row>
    <row r="3248" spans="1:5" x14ac:dyDescent="0.25">
      <c r="A3248" s="21">
        <v>3247</v>
      </c>
      <c r="B3248" s="5" cm="1">
        <f t="array" aca="1" ref="B3248" ca="1">interpolexp(A3248,serie_du,Taxas_DI)</f>
        <v>0.127861795900297</v>
      </c>
      <c r="C3248" s="32">
        <f ca="1">((((1+B3248)^(A3248/252))/((1+B3247)^(A3247/252)))^(252/1))-1</f>
        <v>0.12782011919762604</v>
      </c>
      <c r="D3248" s="30">
        <v>0.127861795900297</v>
      </c>
      <c r="E3248" s="31">
        <f ca="1">B3248-D3248</f>
        <v>0</v>
      </c>
    </row>
    <row r="3249" spans="1:5" x14ac:dyDescent="0.25">
      <c r="A3249" s="21">
        <v>3248</v>
      </c>
      <c r="B3249" s="5" cm="1">
        <f t="array" aca="1" ref="B3249" ca="1">interpolexp(A3249,serie_du,Taxas_DI)</f>
        <v>0.12786178306853913</v>
      </c>
      <c r="C3249" s="32">
        <f ca="1">((((1+B3249)^(A3249/252))/((1+B3248)^(A3248/252)))^(252/1))-1</f>
        <v>0.12782011912048108</v>
      </c>
      <c r="D3249" s="30">
        <v>0.12786178306853913</v>
      </c>
      <c r="E3249" s="31">
        <f ca="1">B3249-D3249</f>
        <v>0</v>
      </c>
    </row>
    <row r="3250" spans="1:5" x14ac:dyDescent="0.25">
      <c r="A3250" s="21">
        <v>3249</v>
      </c>
      <c r="B3250" s="5" cm="1">
        <f t="array" aca="1" ref="B3250" ca="1">interpolexp(A3250,serie_du,Taxas_DI)</f>
        <v>0.12786177024470824</v>
      </c>
      <c r="C3250" s="32">
        <f ca="1">((((1+B3250)^(A3250/252))/((1+B3249)^(A3249/252)))^(252/1))-1</f>
        <v>0.12782011921136971</v>
      </c>
      <c r="D3250" s="30">
        <v>0.12786177024470824</v>
      </c>
      <c r="E3250" s="31">
        <f ca="1">B3250-D3250</f>
        <v>0</v>
      </c>
    </row>
    <row r="3251" spans="1:5" x14ac:dyDescent="0.25">
      <c r="A3251" s="21">
        <v>3250</v>
      </c>
      <c r="B3251" s="5" cm="1">
        <f t="array" aca="1" ref="B3251" ca="1">interpolexp(A3251,serie_du,Taxas_DI)</f>
        <v>0.12786175742875994</v>
      </c>
      <c r="C3251" s="32">
        <f ca="1">((((1+B3251)^(A3251/252))/((1+B3250)^(A3250/252)))^(252/1))-1</f>
        <v>0.12782011918154645</v>
      </c>
      <c r="D3251" s="30">
        <v>0.12786175742875994</v>
      </c>
      <c r="E3251" s="31">
        <f ca="1">B3251-D3251</f>
        <v>0</v>
      </c>
    </row>
    <row r="3252" spans="1:5" x14ac:dyDescent="0.25">
      <c r="A3252" s="21">
        <v>3251</v>
      </c>
      <c r="B3252" s="5" cm="1">
        <f t="array" aca="1" ref="B3252" ca="1">interpolexp(A3252,serie_du,Taxas_DI)</f>
        <v>0.12786174462069422</v>
      </c>
      <c r="C3252" s="32">
        <f ca="1">((((1+B3252)^(A3252/252))/((1+B3251)^(A3251/252)))^(252/1))-1</f>
        <v>0.12782011917549663</v>
      </c>
      <c r="D3252" s="30">
        <v>0.12786174462069422</v>
      </c>
      <c r="E3252" s="31">
        <f ca="1">B3252-D3252</f>
        <v>0</v>
      </c>
    </row>
    <row r="3253" spans="1:5" x14ac:dyDescent="0.25">
      <c r="A3253" s="21">
        <v>3252</v>
      </c>
      <c r="B3253" s="5" cm="1">
        <f t="array" aca="1" ref="B3253" ca="1">interpolexp(A3253,serie_du,Taxas_DI)</f>
        <v>0.12786173182051108</v>
      </c>
      <c r="C3253" s="32">
        <f ca="1">((((1+B3253)^(A3253/252))/((1+B3252)^(A3252/252)))^(252/1))-1</f>
        <v>0.12782011919302705</v>
      </c>
      <c r="D3253" s="30">
        <v>0.12786173182051108</v>
      </c>
      <c r="E3253" s="31">
        <f ca="1">B3253-D3253</f>
        <v>0</v>
      </c>
    </row>
    <row r="3254" spans="1:5" x14ac:dyDescent="0.25">
      <c r="A3254" s="21">
        <v>3253</v>
      </c>
      <c r="B3254" s="5" cm="1">
        <f t="array" aca="1" ref="B3254" ca="1">interpolexp(A3254,serie_du,Taxas_DI)</f>
        <v>0.12786171902818833</v>
      </c>
      <c r="C3254" s="32">
        <f ca="1">((((1+B3254)^(A3254/252))/((1+B3253)^(A3253/252)))^(252/1))-1</f>
        <v>0.12782011916206604</v>
      </c>
      <c r="D3254" s="30">
        <v>0.12786171902818833</v>
      </c>
      <c r="E3254" s="31">
        <f ca="1">B3254-D3254</f>
        <v>0</v>
      </c>
    </row>
    <row r="3255" spans="1:5" x14ac:dyDescent="0.25">
      <c r="A3255" s="21">
        <v>3254</v>
      </c>
      <c r="B3255" s="5" cm="1">
        <f t="array" aca="1" ref="B3255" ca="1">interpolexp(A3255,serie_du,Taxas_DI)</f>
        <v>0.12786170624374815</v>
      </c>
      <c r="C3255" s="32">
        <f ca="1">((((1+B3255)^(A3255/252))/((1+B3254)^(A3254/252)))^(252/1))-1</f>
        <v>0.12782011922691261</v>
      </c>
      <c r="D3255" s="30">
        <v>0.12786170624374815</v>
      </c>
      <c r="E3255" s="31">
        <f ca="1">B3255-D3255</f>
        <v>0</v>
      </c>
    </row>
    <row r="3256" spans="1:5" x14ac:dyDescent="0.25">
      <c r="A3256" s="21">
        <v>3255</v>
      </c>
      <c r="B3256" s="5" cm="1">
        <f t="array" aca="1" ref="B3256" ca="1">interpolexp(A3256,serie_du,Taxas_DI)</f>
        <v>0.12786169346714615</v>
      </c>
      <c r="C3256" s="32">
        <f ca="1">((((1+B3256)^(A3256/252))/((1+B3255)^(A3255/252)))^(252/1))-1</f>
        <v>0.12782011917069336</v>
      </c>
      <c r="D3256" s="30">
        <v>0.12786169346714615</v>
      </c>
      <c r="E3256" s="31">
        <f ca="1">B3256-D3256</f>
        <v>0</v>
      </c>
    </row>
    <row r="3257" spans="1:5" x14ac:dyDescent="0.25">
      <c r="A3257" s="21">
        <v>3256</v>
      </c>
      <c r="B3257" s="5" cm="1">
        <f t="array" aca="1" ref="B3257" ca="1">interpolexp(A3257,serie_du,Taxas_DI)</f>
        <v>0.12786168069840453</v>
      </c>
      <c r="C3257" s="32">
        <f ca="1">((((1+B3257)^(A3257/252))/((1+B3256)^(A3256/252)))^(252/1))-1</f>
        <v>0.12782011921042735</v>
      </c>
      <c r="D3257" s="30">
        <v>0.12786168069840453</v>
      </c>
      <c r="E3257" s="31">
        <f ca="1">B3257-D3257</f>
        <v>0</v>
      </c>
    </row>
    <row r="3258" spans="1:5" x14ac:dyDescent="0.25">
      <c r="A3258" s="21">
        <v>3257</v>
      </c>
      <c r="B3258" s="5" cm="1">
        <f t="array" aca="1" ref="B3258" ca="1">interpolexp(A3258,serie_du,Taxas_DI)</f>
        <v>0.12786166793747888</v>
      </c>
      <c r="C3258" s="32">
        <f ca="1">((((1+B3258)^(A3258/252))/((1+B3257)^(A3257/252)))^(252/1))-1</f>
        <v>0.12782011912912461</v>
      </c>
      <c r="D3258" s="30">
        <v>0.12786166793747888</v>
      </c>
      <c r="E3258" s="31">
        <f ca="1">B3258-D3258</f>
        <v>0</v>
      </c>
    </row>
    <row r="3259" spans="1:5" x14ac:dyDescent="0.25">
      <c r="A3259" s="21">
        <v>3258</v>
      </c>
      <c r="B3259" s="5" cm="1">
        <f t="array" aca="1" ref="B3259" ca="1">interpolexp(A3259,serie_du,Taxas_DI)</f>
        <v>0.12786165518441361</v>
      </c>
      <c r="C3259" s="32">
        <f ca="1">((((1+B3259)^(A3259/252))/((1+B3258)^(A3258/252)))^(252/1))-1</f>
        <v>0.12782011921593717</v>
      </c>
      <c r="D3259" s="30">
        <v>0.12786165518441361</v>
      </c>
      <c r="E3259" s="31">
        <f ca="1">B3259-D3259</f>
        <v>0</v>
      </c>
    </row>
    <row r="3260" spans="1:5" x14ac:dyDescent="0.25">
      <c r="A3260" s="21">
        <v>3259</v>
      </c>
      <c r="B3260" s="5" cm="1">
        <f t="array" aca="1" ref="B3260" ca="1">interpolexp(A3260,serie_du,Taxas_DI)</f>
        <v>0.12786164243916431</v>
      </c>
      <c r="C3260" s="32">
        <f ca="1">((((1+B3260)^(A3260/252))/((1+B3259)^(A3259/252)))^(252/1))-1</f>
        <v>0.12782011918148428</v>
      </c>
      <c r="D3260" s="30">
        <v>0.12786164243916431</v>
      </c>
      <c r="E3260" s="31">
        <f ca="1">B3260-D3260</f>
        <v>0</v>
      </c>
    </row>
    <row r="3261" spans="1:5" x14ac:dyDescent="0.25">
      <c r="A3261" s="21">
        <v>3260</v>
      </c>
      <c r="B3261" s="5" cm="1">
        <f t="array" aca="1" ref="B3261" ca="1">interpolexp(A3261,serie_du,Taxas_DI)</f>
        <v>0.12786162970173098</v>
      </c>
      <c r="C3261" s="32">
        <f ca="1">((((1+B3261)^(A3261/252))/((1+B3260)^(A3260/252)))^(252/1))-1</f>
        <v>0.12782011917069336</v>
      </c>
      <c r="D3261" s="30">
        <v>0.12786162970173098</v>
      </c>
      <c r="E3261" s="31">
        <f ca="1">B3261-D3261</f>
        <v>0</v>
      </c>
    </row>
    <row r="3262" spans="1:5" x14ac:dyDescent="0.25">
      <c r="A3262" s="21">
        <v>3261</v>
      </c>
      <c r="B3262" s="5" cm="1">
        <f t="array" aca="1" ref="B3262" ca="1">interpolexp(A3262,serie_du,Taxas_DI)</f>
        <v>0.12786161697211362</v>
      </c>
      <c r="C3262" s="32">
        <f ca="1">((((1+B3262)^(A3262/252))/((1+B3261)^(A3261/252)))^(252/1))-1</f>
        <v>0.12782011918312164</v>
      </c>
      <c r="D3262" s="30">
        <v>0.12786161697211362</v>
      </c>
      <c r="E3262" s="31">
        <f ca="1">B3262-D3262</f>
        <v>0</v>
      </c>
    </row>
    <row r="3263" spans="1:5" x14ac:dyDescent="0.25">
      <c r="A3263" s="21">
        <v>3262</v>
      </c>
      <c r="B3263" s="5" cm="1">
        <f t="array" aca="1" ref="B3263" ca="1">interpolexp(A3263,serie_du,Taxas_DI)</f>
        <v>0.12786160425029003</v>
      </c>
      <c r="C3263" s="32">
        <f ca="1">((((1+B3263)^(A3263/252))/((1+B3262)^(A3262/252)))^(252/1))-1</f>
        <v>0.12782011914686864</v>
      </c>
      <c r="D3263" s="30">
        <v>0.12786160425029003</v>
      </c>
      <c r="E3263" s="31">
        <f ca="1">B3263-D3263</f>
        <v>0</v>
      </c>
    </row>
    <row r="3264" spans="1:5" x14ac:dyDescent="0.25">
      <c r="A3264" s="21">
        <v>3263</v>
      </c>
      <c r="B3264" s="5" cm="1">
        <f t="array" aca="1" ref="B3264" ca="1">interpolexp(A3264,serie_du,Taxas_DI)</f>
        <v>0.1278615915362824</v>
      </c>
      <c r="C3264" s="32">
        <f ca="1">((((1+B3264)^(A3264/252))/((1+B3263)^(A3263/252)))^(252/1))-1</f>
        <v>0.12782011920612923</v>
      </c>
      <c r="D3264" s="30">
        <v>0.1278615915362824</v>
      </c>
      <c r="E3264" s="31">
        <f ca="1">B3264-D3264</f>
        <v>0</v>
      </c>
    </row>
    <row r="3265" spans="1:5" x14ac:dyDescent="0.25">
      <c r="A3265" s="21">
        <v>3264</v>
      </c>
      <c r="B3265" s="5" cm="1">
        <f t="array" aca="1" ref="B3265" ca="1">interpolexp(A3265,serie_du,Taxas_DI)</f>
        <v>0.12786157883006855</v>
      </c>
      <c r="C3265" s="32">
        <f ca="1">((((1+B3265)^(A3265/252))/((1+B3264)^(A3264/252)))^(252/1))-1</f>
        <v>0.12782011921650072</v>
      </c>
      <c r="D3265" s="30">
        <v>0.12786157883006855</v>
      </c>
      <c r="E3265" s="31">
        <f ca="1">B3265-D3265</f>
        <v>0</v>
      </c>
    </row>
    <row r="3266" spans="1:5" x14ac:dyDescent="0.25">
      <c r="A3266" s="21">
        <v>3265</v>
      </c>
      <c r="B3266" s="5" cm="1">
        <f t="array" aca="1" ref="B3266" ca="1">interpolexp(A3266,serie_du,Taxas_DI)</f>
        <v>0.12786156613162625</v>
      </c>
      <c r="C3266" s="32">
        <f ca="1">((((1+B3266)^(A3266/252))/((1+B3265)^(A3265/252)))^(252/1))-1</f>
        <v>0.12782011917770286</v>
      </c>
      <c r="D3266" s="30">
        <v>0.12786156613162625</v>
      </c>
      <c r="E3266" s="31">
        <f ca="1">B3266-D3266</f>
        <v>0</v>
      </c>
    </row>
    <row r="3267" spans="1:5" x14ac:dyDescent="0.25">
      <c r="A3267" s="21">
        <v>3266</v>
      </c>
      <c r="B3267" s="5" cm="1">
        <f t="array" aca="1" ref="B3267" ca="1">interpolexp(A3267,serie_du,Taxas_DI)</f>
        <v>0.12786155344095551</v>
      </c>
      <c r="C3267" s="32">
        <f ca="1">((((1+B3267)^(A3267/252))/((1+B3266)^(A3266/252)))^(252/1))-1</f>
        <v>0.12782011916237868</v>
      </c>
      <c r="D3267" s="30">
        <v>0.12786155344095551</v>
      </c>
      <c r="E3267" s="31">
        <f ca="1">B3267-D3267</f>
        <v>0</v>
      </c>
    </row>
    <row r="3268" spans="1:5" x14ac:dyDescent="0.25">
      <c r="A3268" s="21">
        <v>3267</v>
      </c>
      <c r="B3268" s="5" cm="1">
        <f t="array" aca="1" ref="B3268" ca="1">interpolexp(A3268,serie_du,Taxas_DI)</f>
        <v>0.12786154075805634</v>
      </c>
      <c r="C3268" s="32">
        <f ca="1">((((1+B3268)^(A3268/252))/((1+B3267)^(A3267/252)))^(252/1))-1</f>
        <v>0.12782011917019243</v>
      </c>
      <c r="D3268" s="30">
        <v>0.12786154075805634</v>
      </c>
      <c r="E3268" s="31">
        <f ca="1">B3268-D3268</f>
        <v>0</v>
      </c>
    </row>
    <row r="3269" spans="1:5" x14ac:dyDescent="0.25">
      <c r="A3269" s="21">
        <v>3268</v>
      </c>
      <c r="B3269" s="5" cm="1">
        <f t="array" aca="1" ref="B3269" ca="1">interpolexp(A3269,serie_du,Taxas_DI)</f>
        <v>0.12786152808292872</v>
      </c>
      <c r="C3269" s="32">
        <f ca="1">((((1+B3269)^(A3269/252))/((1+B3268)^(A3268/252)))^(252/1))-1</f>
        <v>0.1278201192014663</v>
      </c>
      <c r="D3269" s="30">
        <v>0.12786152808292872</v>
      </c>
      <c r="E3269" s="31">
        <f ca="1">B3269-D3269</f>
        <v>0</v>
      </c>
    </row>
    <row r="3270" spans="1:5" x14ac:dyDescent="0.25">
      <c r="A3270" s="21">
        <v>3269</v>
      </c>
      <c r="B3270" s="5" cm="1">
        <f t="array" aca="1" ref="B3270" ca="1">interpolexp(A3270,serie_du,Taxas_DI)</f>
        <v>0.12786151541552826</v>
      </c>
      <c r="C3270" s="32">
        <f ca="1">((((1+B3270)^(A3270/252))/((1+B3269)^(A3269/252)))^(252/1))-1</f>
        <v>0.12782011911072044</v>
      </c>
      <c r="D3270" s="30">
        <v>0.12786151541552826</v>
      </c>
      <c r="E3270" s="31">
        <f ca="1">B3270-D3270</f>
        <v>0</v>
      </c>
    </row>
    <row r="3271" spans="1:5" x14ac:dyDescent="0.25">
      <c r="A3271" s="21">
        <v>3270</v>
      </c>
      <c r="B3271" s="5" cm="1">
        <f t="array" aca="1" ref="B3271" ca="1">interpolexp(A3271,serie_du,Taxas_DI)</f>
        <v>0.12786150275589936</v>
      </c>
      <c r="C3271" s="32">
        <f ca="1">((((1+B3271)^(A3271/252))/((1+B3270)^(A3270/252)))^(252/1))-1</f>
        <v>0.12782011918847269</v>
      </c>
      <c r="D3271" s="30">
        <v>0.12786150275589936</v>
      </c>
      <c r="E3271" s="31">
        <f ca="1">B3271-D3271</f>
        <v>0</v>
      </c>
    </row>
    <row r="3272" spans="1:5" x14ac:dyDescent="0.25">
      <c r="A3272" s="21">
        <v>3271</v>
      </c>
      <c r="B3272" s="5" cm="1">
        <f t="array" aca="1" ref="B3272" ca="1">interpolexp(A3272,serie_du,Taxas_DI)</f>
        <v>0.12786149010401981</v>
      </c>
      <c r="C3272" s="32">
        <f ca="1">((((1+B3272)^(A3272/252))/((1+B3271)^(A3271/252)))^(252/1))-1</f>
        <v>0.1278201192168773</v>
      </c>
      <c r="D3272" s="30">
        <v>0.12786149010401981</v>
      </c>
      <c r="E3272" s="31">
        <f ca="1">B3272-D3272</f>
        <v>0</v>
      </c>
    </row>
    <row r="3273" spans="1:5" x14ac:dyDescent="0.25">
      <c r="A3273" s="21">
        <v>3272</v>
      </c>
      <c r="B3273" s="5" cm="1">
        <f t="array" aca="1" ref="B3273" ca="1">interpolexp(A3273,serie_du,Taxas_DI)</f>
        <v>0.12786147745984522</v>
      </c>
      <c r="C3273" s="32">
        <f ca="1">((((1+B3273)^(A3273/252))/((1+B3272)^(A3272/252)))^(252/1))-1</f>
        <v>0.12782011912331503</v>
      </c>
      <c r="D3273" s="30">
        <v>0.12786147745984522</v>
      </c>
      <c r="E3273" s="31">
        <f ca="1">B3273-D3273</f>
        <v>0</v>
      </c>
    </row>
    <row r="3274" spans="1:5" x14ac:dyDescent="0.25">
      <c r="A3274" s="21">
        <v>3273</v>
      </c>
      <c r="B3274" s="5" cm="1">
        <f t="array" aca="1" ref="B3274" ca="1">interpolexp(A3274,serie_du,Taxas_DI)</f>
        <v>0.12786146482341998</v>
      </c>
      <c r="C3274" s="32">
        <f ca="1">((((1+B3274)^(A3274/252))/((1+B3273)^(A3273/252)))^(252/1))-1</f>
        <v>0.12782011919806502</v>
      </c>
      <c r="D3274" s="30">
        <v>0.12786146482341998</v>
      </c>
      <c r="E3274" s="31">
        <f ca="1">B3274-D3274</f>
        <v>0</v>
      </c>
    </row>
    <row r="3275" spans="1:5" x14ac:dyDescent="0.25">
      <c r="A3275" s="21">
        <v>3274</v>
      </c>
      <c r="B3275" s="5" cm="1">
        <f t="array" aca="1" ref="B3275" ca="1">interpolexp(A3275,serie_du,Taxas_DI)</f>
        <v>0.12786145219469969</v>
      </c>
      <c r="C3275" s="32">
        <f ca="1">((((1+B3275)^(A3275/252))/((1+B3274)^(A3274/252)))^(252/1))-1</f>
        <v>0.12782011915089808</v>
      </c>
      <c r="D3275" s="30">
        <v>0.12786145219469969</v>
      </c>
      <c r="E3275" s="31">
        <f ca="1">B3275-D3275</f>
        <v>0</v>
      </c>
    </row>
    <row r="3276" spans="1:5" x14ac:dyDescent="0.25">
      <c r="A3276" s="21">
        <v>3275</v>
      </c>
      <c r="B3276" s="5" cm="1">
        <f t="array" aca="1" ref="B3276" ca="1">interpolexp(A3276,serie_du,Taxas_DI)</f>
        <v>0.12786143957370655</v>
      </c>
      <c r="C3276" s="32">
        <f ca="1">((((1+B3276)^(A3276/252))/((1+B3275)^(A3275/252)))^(252/1))-1</f>
        <v>0.12782011919925962</v>
      </c>
      <c r="D3276" s="30">
        <v>0.12786143957370655</v>
      </c>
      <c r="E3276" s="31">
        <f ca="1">B3276-D3276</f>
        <v>0</v>
      </c>
    </row>
    <row r="3277" spans="1:5" x14ac:dyDescent="0.25">
      <c r="A3277" s="21">
        <v>3276</v>
      </c>
      <c r="B3277" s="5" cm="1">
        <f t="array" aca="1" ref="B3277" ca="1">interpolexp(A3277,serie_du,Taxas_DI)</f>
        <v>0.12786142696041836</v>
      </c>
      <c r="C3277" s="32">
        <f ca="1">((((1+B3277)^(A3277/252))/((1+B3276)^(A3276/252)))^(252/1))-1</f>
        <v>0.12782011919819114</v>
      </c>
      <c r="D3277" s="30">
        <v>0.12786142696041836</v>
      </c>
      <c r="E3277" s="31">
        <f ca="1">B3277-D3277</f>
        <v>0</v>
      </c>
    </row>
    <row r="3278" spans="1:5" x14ac:dyDescent="0.25">
      <c r="A3278" s="21">
        <v>3277</v>
      </c>
      <c r="B3278" s="5" cm="1">
        <f t="array" aca="1" ref="B3278" ca="1">interpolexp(A3278,serie_du,Taxas_DI)</f>
        <v>0.12786141435481291</v>
      </c>
      <c r="C3278" s="32">
        <f ca="1">((((1+B3278)^(A3278/252))/((1+B3277)^(A3277/252)))^(252/1))-1</f>
        <v>0.12782011914775637</v>
      </c>
      <c r="D3278" s="30">
        <v>0.12786141435481291</v>
      </c>
      <c r="E3278" s="31">
        <f ca="1">B3278-D3278</f>
        <v>0</v>
      </c>
    </row>
    <row r="3279" spans="1:5" x14ac:dyDescent="0.25">
      <c r="A3279" s="21">
        <v>3278</v>
      </c>
      <c r="B3279" s="5" cm="1">
        <f t="array" aca="1" ref="B3279" ca="1">interpolexp(A3279,serie_du,Taxas_DI)</f>
        <v>0.12786140175691241</v>
      </c>
      <c r="C3279" s="32">
        <f ca="1">((((1+B3279)^(A3279/252))/((1+B3278)^(A3278/252)))^(252/1))-1</f>
        <v>0.12782011919276881</v>
      </c>
      <c r="D3279" s="30">
        <v>0.12786140175691241</v>
      </c>
      <c r="E3279" s="31">
        <f ca="1">B3279-D3279</f>
        <v>0</v>
      </c>
    </row>
    <row r="3280" spans="1:5" x14ac:dyDescent="0.25">
      <c r="A3280" s="21">
        <v>3279</v>
      </c>
      <c r="B3280" s="5" cm="1">
        <f t="array" aca="1" ref="B3280" ca="1">interpolexp(A3280,serie_du,Taxas_DI)</f>
        <v>0.12786138916669465</v>
      </c>
      <c r="C3280" s="32">
        <f ca="1">((((1+B3280)^(A3280/252))/((1+B3279)^(A3279/252)))^(252/1))-1</f>
        <v>0.12782011918815428</v>
      </c>
      <c r="D3280" s="30">
        <v>0.12786138916669465</v>
      </c>
      <c r="E3280" s="31">
        <f ca="1">B3280-D3280</f>
        <v>0</v>
      </c>
    </row>
    <row r="3281" spans="1:5" x14ac:dyDescent="0.25">
      <c r="A3281" s="21">
        <v>3280</v>
      </c>
      <c r="B3281" s="5" cm="1">
        <f t="array" aca="1" ref="B3281" ca="1">interpolexp(A3281,serie_du,Taxas_DI)</f>
        <v>0.12786137658413743</v>
      </c>
      <c r="C3281" s="32">
        <f ca="1">((((1+B3281)^(A3281/252))/((1+B3280)^(A3280/252)))^(252/1))-1</f>
        <v>0.12782011913391167</v>
      </c>
      <c r="D3281" s="30">
        <v>0.12786137658413743</v>
      </c>
      <c r="E3281" s="31">
        <f ca="1">B3281-D3281</f>
        <v>0</v>
      </c>
    </row>
    <row r="3282" spans="1:5" x14ac:dyDescent="0.25">
      <c r="A3282" s="21">
        <v>3281</v>
      </c>
      <c r="B3282" s="5" cm="1">
        <f t="array" aca="1" ref="B3282" ca="1">interpolexp(A3282,serie_du,Taxas_DI)</f>
        <v>0.12786136400926296</v>
      </c>
      <c r="C3282" s="32">
        <f ca="1">((((1+B3282)^(A3282/252))/((1+B3281)^(A3281/252)))^(252/1))-1</f>
        <v>0.12782011917537028</v>
      </c>
      <c r="D3282" s="30">
        <v>0.12786136400926296</v>
      </c>
      <c r="E3282" s="31">
        <f ca="1">B3282-D3282</f>
        <v>0</v>
      </c>
    </row>
    <row r="3283" spans="1:5" x14ac:dyDescent="0.25">
      <c r="A3283" s="21">
        <v>3282</v>
      </c>
      <c r="B3283" s="5" cm="1">
        <f t="array" aca="1" ref="B3283" ca="1">interpolexp(A3283,serie_du,Taxas_DI)</f>
        <v>0.12786135144204902</v>
      </c>
      <c r="C3283" s="32">
        <f ca="1">((((1+B3283)^(A3283/252))/((1+B3282)^(A3282/252)))^(252/1))-1</f>
        <v>0.12782011916704183</v>
      </c>
      <c r="D3283" s="30">
        <v>0.12786135144204902</v>
      </c>
      <c r="E3283" s="31">
        <f ca="1">B3283-D3283</f>
        <v>0</v>
      </c>
    </row>
    <row r="3284" spans="1:5" x14ac:dyDescent="0.25">
      <c r="A3284" s="21">
        <v>3283</v>
      </c>
      <c r="B3284" s="5" cm="1">
        <f t="array" aca="1" ref="B3284" ca="1">interpolexp(A3284,serie_du,Taxas_DI)</f>
        <v>0.12786133888249562</v>
      </c>
      <c r="C3284" s="32">
        <f ca="1">((((1+B3284)^(A3284/252))/((1+B3283)^(A3283/252)))^(252/1))-1</f>
        <v>0.12782011918173475</v>
      </c>
      <c r="D3284" s="30">
        <v>0.12786133888249562</v>
      </c>
      <c r="E3284" s="31">
        <f ca="1">B3284-D3284</f>
        <v>0</v>
      </c>
    </row>
    <row r="3285" spans="1:5" x14ac:dyDescent="0.25">
      <c r="A3285" s="21">
        <v>3284</v>
      </c>
      <c r="B3285" s="5" cm="1">
        <f t="array" aca="1" ref="B3285" ca="1">interpolexp(A3285,serie_du,Taxas_DI)</f>
        <v>0.12786132633058056</v>
      </c>
      <c r="C3285" s="32">
        <f ca="1">((((1+B3285)^(A3285/252))/((1+B3284)^(A3284/252)))^(252/1))-1</f>
        <v>0.12782011914642943</v>
      </c>
      <c r="D3285" s="30">
        <v>0.12786132633058056</v>
      </c>
      <c r="E3285" s="31">
        <f ca="1">B3285-D3285</f>
        <v>0</v>
      </c>
    </row>
    <row r="3286" spans="1:5" x14ac:dyDescent="0.25">
      <c r="A3286" s="21">
        <v>3285</v>
      </c>
      <c r="B3286" s="5" cm="1">
        <f t="array" aca="1" ref="B3286" ca="1">interpolexp(A3286,serie_du,Taxas_DI)</f>
        <v>0.12786131378632604</v>
      </c>
      <c r="C3286" s="32">
        <f ca="1">((((1+B3286)^(A3286/252))/((1+B3285)^(A3285/252)))^(252/1))-1</f>
        <v>0.12782011920700898</v>
      </c>
      <c r="D3286" s="30">
        <v>0.12786131378632604</v>
      </c>
      <c r="E3286" s="31">
        <f ca="1">B3286-D3286</f>
        <v>0</v>
      </c>
    </row>
    <row r="3287" spans="1:5" x14ac:dyDescent="0.25">
      <c r="A3287" s="21">
        <v>3286</v>
      </c>
      <c r="B3287" s="5" cm="1">
        <f t="array" aca="1" ref="B3287" ca="1">interpolexp(A3287,serie_du,Taxas_DI)</f>
        <v>0.12786130124968764</v>
      </c>
      <c r="C3287" s="32">
        <f ca="1">((((1+B3287)^(A3287/252))/((1+B3286)^(A3286/252)))^(252/1))-1</f>
        <v>0.1278201191446986</v>
      </c>
      <c r="D3287" s="30">
        <v>0.12786130124968764</v>
      </c>
      <c r="E3287" s="31">
        <f ca="1">B3287-D3287</f>
        <v>0</v>
      </c>
    </row>
    <row r="3288" spans="1:5" x14ac:dyDescent="0.25">
      <c r="A3288" s="21">
        <v>3287</v>
      </c>
      <c r="B3288" s="5" cm="1">
        <f t="array" aca="1" ref="B3288" ca="1">interpolexp(A3288,serie_du,Taxas_DI)</f>
        <v>0.12786128864914481</v>
      </c>
      <c r="C3288" s="32">
        <f ca="1">((((1+B3288)^(A3288/252))/((1+B3287)^(A3287/252)))^(252/1))-1</f>
        <v>0.12781988402561106</v>
      </c>
      <c r="D3288" s="30">
        <v>0.12786128864914481</v>
      </c>
      <c r="E3288" s="31">
        <f ca="1">B3288-D3288</f>
        <v>0</v>
      </c>
    </row>
    <row r="3289" spans="1:5" x14ac:dyDescent="0.25">
      <c r="A3289" s="21">
        <v>3288</v>
      </c>
      <c r="B3289" s="5" cm="1">
        <f t="array" aca="1" ref="B3289" ca="1">interpolexp(A3289,serie_du,Taxas_DI)</f>
        <v>0.12786127605628472</v>
      </c>
      <c r="C3289" s="32">
        <f ca="1">((((1+B3289)^(A3289/252))/((1+B3288)^(A3288/252)))^(252/1))-1</f>
        <v>0.12781988408491829</v>
      </c>
      <c r="D3289" s="30">
        <v>0.12786127605628472</v>
      </c>
      <c r="E3289" s="31">
        <f ca="1">B3289-D3289</f>
        <v>0</v>
      </c>
    </row>
    <row r="3290" spans="1:5" x14ac:dyDescent="0.25">
      <c r="A3290" s="21">
        <v>3289</v>
      </c>
      <c r="B3290" s="5" cm="1">
        <f t="array" aca="1" ref="B3290" ca="1">interpolexp(A3290,serie_du,Taxas_DI)</f>
        <v>0.12786126347108517</v>
      </c>
      <c r="C3290" s="32">
        <f ca="1">((((1+B3290)^(A3290/252))/((1+B3289)^(A3289/252)))^(252/1))-1</f>
        <v>0.12781988409430056</v>
      </c>
      <c r="D3290" s="30">
        <v>0.12786126347108517</v>
      </c>
      <c r="E3290" s="31">
        <f ca="1">B3290-D3290</f>
        <v>0</v>
      </c>
    </row>
    <row r="3291" spans="1:5" x14ac:dyDescent="0.25">
      <c r="A3291" s="21">
        <v>3290</v>
      </c>
      <c r="B3291" s="5" cm="1">
        <f t="array" aca="1" ref="B3291" ca="1">interpolexp(A3291,serie_du,Taxas_DI)</f>
        <v>0.12786125089352396</v>
      </c>
      <c r="C3291" s="32">
        <f ca="1">((((1+B3291)^(A3291/252))/((1+B3290)^(A3290/252)))^(252/1))-1</f>
        <v>0.12781988405351452</v>
      </c>
      <c r="D3291" s="30">
        <v>0.12786125089352396</v>
      </c>
      <c r="E3291" s="31">
        <f ca="1">B3291-D3291</f>
        <v>0</v>
      </c>
    </row>
    <row r="3292" spans="1:5" x14ac:dyDescent="0.25">
      <c r="A3292" s="21">
        <v>3291</v>
      </c>
      <c r="B3292" s="5" cm="1">
        <f t="array" aca="1" ref="B3292" ca="1">interpolexp(A3292,serie_du,Taxas_DI)</f>
        <v>0.12786123832360108</v>
      </c>
      <c r="C3292" s="32">
        <f ca="1">((((1+B3292)^(A3292/252))/((1+B3291)^(A3291/252)))^(252/1))-1</f>
        <v>0.12781988403577249</v>
      </c>
      <c r="D3292" s="30">
        <v>0.12786123832360108</v>
      </c>
      <c r="E3292" s="31">
        <f ca="1">B3292-D3292</f>
        <v>0</v>
      </c>
    </row>
    <row r="3293" spans="1:5" x14ac:dyDescent="0.25">
      <c r="A3293" s="21">
        <v>3292</v>
      </c>
      <c r="B3293" s="5" cm="1">
        <f t="array" aca="1" ref="B3293" ca="1">interpolexp(A3293,serie_du,Taxas_DI)</f>
        <v>0.12786122576131653</v>
      </c>
      <c r="C3293" s="32">
        <f ca="1">((((1+B3293)^(A3293/252))/((1+B3292)^(A3292/252)))^(252/1))-1</f>
        <v>0.12781988404080802</v>
      </c>
      <c r="D3293" s="30">
        <v>0.12786122576131653</v>
      </c>
      <c r="E3293" s="31">
        <f ca="1">B3293-D3293</f>
        <v>0</v>
      </c>
    </row>
    <row r="3294" spans="1:5" x14ac:dyDescent="0.25">
      <c r="A3294" s="21">
        <v>3293</v>
      </c>
      <c r="B3294" s="5" cm="1">
        <f t="array" aca="1" ref="B3294" ca="1">interpolexp(A3294,serie_du,Taxas_DI)</f>
        <v>0.12786121320667032</v>
      </c>
      <c r="C3294" s="32">
        <f ca="1">((((1+B3294)^(A3294/252))/((1+B3293)^(A3293/252)))^(252/1))-1</f>
        <v>0.12781988406883871</v>
      </c>
      <c r="D3294" s="30">
        <v>0.12786121320667032</v>
      </c>
      <c r="E3294" s="31">
        <f ca="1">B3294-D3294</f>
        <v>0</v>
      </c>
    </row>
    <row r="3295" spans="1:5" x14ac:dyDescent="0.25">
      <c r="A3295" s="21">
        <v>3294</v>
      </c>
      <c r="B3295" s="5" cm="1">
        <f t="array" aca="1" ref="B3295" ca="1">interpolexp(A3295,serie_du,Taxas_DI)</f>
        <v>0.12786120065964024</v>
      </c>
      <c r="C3295" s="32">
        <f ca="1">((((1+B3295)^(A3295/252))/((1+B3294)^(A3294/252)))^(252/1))-1</f>
        <v>0.12781988404656341</v>
      </c>
      <c r="D3295" s="30">
        <v>0.12786120065964024</v>
      </c>
      <c r="E3295" s="31">
        <f ca="1">B3295-D3295</f>
        <v>0</v>
      </c>
    </row>
    <row r="3296" spans="1:5" x14ac:dyDescent="0.25">
      <c r="A3296" s="21">
        <v>3295</v>
      </c>
      <c r="B3296" s="5" cm="1">
        <f t="array" aca="1" ref="B3296" ca="1">interpolexp(A3296,serie_du,Taxas_DI)</f>
        <v>0.12786118812022629</v>
      </c>
      <c r="C3296" s="32">
        <f ca="1">((((1+B3296)^(A3296/252))/((1+B3295)^(A3295/252)))^(252/1))-1</f>
        <v>0.12781988404721978</v>
      </c>
      <c r="D3296" s="30">
        <v>0.12786118812022629</v>
      </c>
      <c r="E3296" s="31">
        <f ca="1">B3296-D3296</f>
        <v>0</v>
      </c>
    </row>
    <row r="3297" spans="1:5" x14ac:dyDescent="0.25">
      <c r="A3297" s="21">
        <v>3296</v>
      </c>
      <c r="B3297" s="5" cm="1">
        <f t="array" aca="1" ref="B3297" ca="1">interpolexp(A3297,serie_du,Taxas_DI)</f>
        <v>0.12786117558842847</v>
      </c>
      <c r="C3297" s="32">
        <f ca="1">((((1+B3297)^(A3297/252))/((1+B3296)^(A3296/252)))^(252/1))-1</f>
        <v>0.12781988407072475</v>
      </c>
      <c r="D3297" s="30">
        <v>0.12786117558842847</v>
      </c>
      <c r="E3297" s="31">
        <f ca="1">B3297-D3297</f>
        <v>0</v>
      </c>
    </row>
    <row r="3298" spans="1:5" x14ac:dyDescent="0.25">
      <c r="A3298" s="21">
        <v>3297</v>
      </c>
      <c r="B3298" s="5" cm="1">
        <f t="array" aca="1" ref="B3298" ca="1">interpolexp(A3298,serie_du,Taxas_DI)</f>
        <v>0.12786116306422457</v>
      </c>
      <c r="C3298" s="32">
        <f ca="1">((((1+B3298)^(A3298/252))/((1+B3297)^(A3297/252)))^(252/1))-1</f>
        <v>0.12781988404383404</v>
      </c>
      <c r="D3298" s="30">
        <v>0.12786116306422457</v>
      </c>
      <c r="E3298" s="31">
        <f ca="1">B3298-D3298</f>
        <v>0</v>
      </c>
    </row>
    <row r="3299" spans="1:5" x14ac:dyDescent="0.25">
      <c r="A3299" s="21">
        <v>3298</v>
      </c>
      <c r="B3299" s="5" cm="1">
        <f t="array" aca="1" ref="B3299" ca="1">interpolexp(A3299,serie_du,Taxas_DI)</f>
        <v>0.1278611505476368</v>
      </c>
      <c r="C3299" s="32">
        <f ca="1">((((1+B3299)^(A3299/252))/((1+B3298)^(A3298/252)))^(252/1))-1</f>
        <v>0.12781988411294787</v>
      </c>
      <c r="D3299" s="30">
        <v>0.1278611505476368</v>
      </c>
      <c r="E3299" s="31">
        <f ca="1">B3299-D3299</f>
        <v>0</v>
      </c>
    </row>
    <row r="3300" spans="1:5" x14ac:dyDescent="0.25">
      <c r="A3300" s="21">
        <v>3299</v>
      </c>
      <c r="B3300" s="5" cm="1">
        <f t="array" aca="1" ref="B3300" ca="1">interpolexp(A3300,serie_du,Taxas_DI)</f>
        <v>0.12786113803862076</v>
      </c>
      <c r="C3300" s="32">
        <f ca="1">((((1+B3300)^(A3300/252))/((1+B3299)^(A3299/252)))^(252/1))-1</f>
        <v>0.12781988405842637</v>
      </c>
      <c r="D3300" s="30">
        <v>0.12786113803862076</v>
      </c>
      <c r="E3300" s="31">
        <f ca="1">B3300-D3300</f>
        <v>0</v>
      </c>
    </row>
    <row r="3301" spans="1:5" x14ac:dyDescent="0.25">
      <c r="A3301" s="21">
        <v>3300</v>
      </c>
      <c r="B3301" s="5" cm="1">
        <f t="array" aca="1" ref="B3301" ca="1">interpolexp(A3301,serie_du,Taxas_DI)</f>
        <v>0.12786112553717643</v>
      </c>
      <c r="C3301" s="32">
        <f ca="1">((((1+B3301)^(A3301/252))/((1+B3300)^(A3300/252)))^(252/1))-1</f>
        <v>0.12781988402662448</v>
      </c>
      <c r="D3301" s="30">
        <v>0.12786112553717643</v>
      </c>
      <c r="E3301" s="31">
        <f ca="1">B3301-D3301</f>
        <v>0</v>
      </c>
    </row>
    <row r="3302" spans="1:5" x14ac:dyDescent="0.25">
      <c r="A3302" s="21">
        <v>3301</v>
      </c>
      <c r="B3302" s="5" cm="1">
        <f t="array" aca="1" ref="B3302" ca="1">interpolexp(A3302,serie_du,Taxas_DI)</f>
        <v>0.12786111304330383</v>
      </c>
      <c r="C3302" s="32">
        <f ca="1">((((1+B3302)^(A3302/252))/((1+B3301)^(A3301/252)))^(252/1))-1</f>
        <v>0.1278198840175544</v>
      </c>
      <c r="D3302" s="30">
        <v>0.12786111304330383</v>
      </c>
      <c r="E3302" s="31">
        <f ca="1">B3302-D3302</f>
        <v>0</v>
      </c>
    </row>
    <row r="3303" spans="1:5" x14ac:dyDescent="0.25">
      <c r="A3303" s="21">
        <v>3302</v>
      </c>
      <c r="B3303" s="5" cm="1">
        <f t="array" aca="1" ref="B3303" ca="1">interpolexp(A3303,serie_du,Taxas_DI)</f>
        <v>0.12786110055702515</v>
      </c>
      <c r="C3303" s="32">
        <f ca="1">((((1+B3303)^(A3303/252))/((1+B3302)^(A3302/252)))^(252/1))-1</f>
        <v>0.12781988410439804</v>
      </c>
      <c r="D3303" s="30">
        <v>0.12786110055702515</v>
      </c>
      <c r="E3303" s="31">
        <f ca="1">B3303-D3303</f>
        <v>0</v>
      </c>
    </row>
    <row r="3304" spans="1:5" x14ac:dyDescent="0.25">
      <c r="A3304" s="21">
        <v>3303</v>
      </c>
      <c r="B3304" s="5" cm="1">
        <f t="array" aca="1" ref="B3304" ca="1">interpolexp(A3304,serie_du,Taxas_DI)</f>
        <v>0.12786108807827379</v>
      </c>
      <c r="C3304" s="32">
        <f ca="1">((((1+B3304)^(A3304/252))/((1+B3303)^(A3303/252)))^(252/1))-1</f>
        <v>0.1278198839942184</v>
      </c>
      <c r="D3304" s="30">
        <v>0.12786108807827379</v>
      </c>
      <c r="E3304" s="31">
        <f ca="1">B3304-D3304</f>
        <v>0</v>
      </c>
    </row>
    <row r="3305" spans="1:5" x14ac:dyDescent="0.25">
      <c r="A3305" s="21">
        <v>3304</v>
      </c>
      <c r="B3305" s="5" cm="1">
        <f t="array" aca="1" ref="B3305" ca="1">interpolexp(A3305,serie_du,Taxas_DI)</f>
        <v>0.12786107560711635</v>
      </c>
      <c r="C3305" s="32">
        <f ca="1">((((1+B3305)^(A3305/252))/((1+B3304)^(A3304/252)))^(252/1))-1</f>
        <v>0.12781988412648704</v>
      </c>
      <c r="D3305" s="30">
        <v>0.12786107560711635</v>
      </c>
      <c r="E3305" s="31">
        <f ca="1">B3305-D3305</f>
        <v>0</v>
      </c>
    </row>
    <row r="3306" spans="1:5" x14ac:dyDescent="0.25">
      <c r="A3306" s="21">
        <v>3305</v>
      </c>
      <c r="B3306" s="5" cm="1">
        <f t="array" aca="1" ref="B3306" ca="1">interpolexp(A3306,serie_du,Taxas_DI)</f>
        <v>0.12786106314346402</v>
      </c>
      <c r="C3306" s="32">
        <f ca="1">((((1+B3306)^(A3306/252))/((1+B3305)^(A3305/252)))^(252/1))-1</f>
        <v>0.12781988398816657</v>
      </c>
      <c r="D3306" s="30">
        <v>0.12786106314346402</v>
      </c>
      <c r="E3306" s="31">
        <f ca="1">B3306-D3306</f>
        <v>0</v>
      </c>
    </row>
    <row r="3307" spans="1:5" x14ac:dyDescent="0.25">
      <c r="A3307" s="21">
        <v>3306</v>
      </c>
      <c r="B3307" s="5" cm="1">
        <f t="array" aca="1" ref="B3307" ca="1">interpolexp(A3307,serie_du,Taxas_DI)</f>
        <v>0.1278610506873834</v>
      </c>
      <c r="C3307" s="32">
        <f ca="1">((((1+B3307)^(A3307/252))/((1+B3306)^(A3306/252)))^(252/1))-1</f>
        <v>0.12781988409241274</v>
      </c>
      <c r="D3307" s="30">
        <v>0.1278610506873834</v>
      </c>
      <c r="E3307" s="31">
        <f ca="1">B3307-D3307</f>
        <v>0</v>
      </c>
    </row>
    <row r="3308" spans="1:5" x14ac:dyDescent="0.25">
      <c r="A3308" s="21">
        <v>3307</v>
      </c>
      <c r="B3308" s="5" cm="1">
        <f t="array" aca="1" ref="B3308" ca="1">interpolexp(A3308,serie_du,Taxas_DI)</f>
        <v>0.1278610382388301</v>
      </c>
      <c r="C3308" s="32">
        <f ca="1">((((1+B3308)^(A3308/252))/((1+B3307)^(A3307/252)))^(252/1))-1</f>
        <v>0.12781988407280864</v>
      </c>
      <c r="D3308" s="30">
        <v>0.1278610382388301</v>
      </c>
      <c r="E3308" s="31">
        <f ca="1">B3308-D3308</f>
        <v>0</v>
      </c>
    </row>
    <row r="3309" spans="1:5" x14ac:dyDescent="0.25">
      <c r="A3309" s="21">
        <v>3308</v>
      </c>
      <c r="B3309" s="5" cm="1">
        <f t="array" aca="1" ref="B3309" ca="1">interpolexp(A3309,serie_du,Taxas_DI)</f>
        <v>0.12786102579778191</v>
      </c>
      <c r="C3309" s="32">
        <f ca="1">((((1+B3309)^(A3309/252))/((1+B3308)^(A3308/252)))^(252/1))-1</f>
        <v>0.1278198840019793</v>
      </c>
      <c r="D3309" s="30">
        <v>0.12786102579778191</v>
      </c>
      <c r="E3309" s="31">
        <f ca="1">B3309-D3309</f>
        <v>0</v>
      </c>
    </row>
    <row r="3310" spans="1:5" x14ac:dyDescent="0.25">
      <c r="A3310" s="21">
        <v>3309</v>
      </c>
      <c r="B3310" s="5" cm="1">
        <f t="array" aca="1" ref="B3310" ca="1">interpolexp(A3310,serie_du,Taxas_DI)</f>
        <v>0.12786101336426103</v>
      </c>
      <c r="C3310" s="32">
        <f ca="1">((((1+B3310)^(A3310/252))/((1+B3309)^(A3309/252)))^(252/1))-1</f>
        <v>0.12781988402738009</v>
      </c>
      <c r="D3310" s="30">
        <v>0.12786101336426103</v>
      </c>
      <c r="E3310" s="31">
        <f ca="1">B3310-D3310</f>
        <v>0</v>
      </c>
    </row>
    <row r="3311" spans="1:5" x14ac:dyDescent="0.25">
      <c r="A3311" s="21">
        <v>3310</v>
      </c>
      <c r="B3311" s="5" cm="1">
        <f t="array" aca="1" ref="B3311" ca="1">interpolexp(A3311,serie_du,Taxas_DI)</f>
        <v>0.12786100093826747</v>
      </c>
      <c r="C3311" s="32">
        <f ca="1">((((1+B3311)^(A3311/252))/((1+B3310)^(A3310/252)))^(252/1))-1</f>
        <v>0.12781988407520317</v>
      </c>
      <c r="D3311" s="30">
        <v>0.12786100093826747</v>
      </c>
      <c r="E3311" s="31">
        <f ca="1">B3311-D3311</f>
        <v>0</v>
      </c>
    </row>
    <row r="3312" spans="1:5" x14ac:dyDescent="0.25">
      <c r="A3312" s="21">
        <v>3311</v>
      </c>
      <c r="B3312" s="5" cm="1">
        <f t="array" aca="1" ref="B3312" ca="1">interpolexp(A3312,serie_du,Taxas_DI)</f>
        <v>0.12786098851977901</v>
      </c>
      <c r="C3312" s="32">
        <f ca="1">((((1+B3312)^(A3312/252))/((1+B3311)^(A3311/252)))^(252/1))-1</f>
        <v>0.12781988407230727</v>
      </c>
      <c r="D3312" s="30">
        <v>0.12786098851977901</v>
      </c>
      <c r="E3312" s="31">
        <f ca="1">B3312-D3312</f>
        <v>0</v>
      </c>
    </row>
    <row r="3313" spans="1:5" x14ac:dyDescent="0.25">
      <c r="A3313" s="21">
        <v>3312</v>
      </c>
      <c r="B3313" s="5" cm="1">
        <f t="array" aca="1" ref="B3313" ca="1">interpolexp(A3313,serie_du,Taxas_DI)</f>
        <v>0.12786097610877345</v>
      </c>
      <c r="C3313" s="32">
        <f ca="1">((((1+B3313)^(A3313/252))/((1+B3312)^(A3312/252)))^(252/1))-1</f>
        <v>0.1278198840181215</v>
      </c>
      <c r="D3313" s="30">
        <v>0.12786097610877345</v>
      </c>
      <c r="E3313" s="31">
        <f ca="1">B3313-D3313</f>
        <v>0</v>
      </c>
    </row>
    <row r="3314" spans="1:5" x14ac:dyDescent="0.25">
      <c r="A3314" s="21">
        <v>3313</v>
      </c>
      <c r="B3314" s="5" cm="1">
        <f t="array" aca="1" ref="B3314" ca="1">interpolexp(A3314,serie_du,Taxas_DI)</f>
        <v>0.127860963705273</v>
      </c>
      <c r="C3314" s="32">
        <f ca="1">((((1+B3314)^(A3314/252))/((1+B3313)^(A3313/252)))^(252/1))-1</f>
        <v>0.12781988406019607</v>
      </c>
      <c r="D3314" s="30">
        <v>0.127860963705273</v>
      </c>
      <c r="E3314" s="31">
        <f ca="1">B3314-D3314</f>
        <v>0</v>
      </c>
    </row>
    <row r="3315" spans="1:5" x14ac:dyDescent="0.25">
      <c r="A3315" s="21">
        <v>3314</v>
      </c>
      <c r="B3315" s="5" cm="1">
        <f t="array" aca="1" ref="B3315" ca="1">interpolexp(A3315,serie_du,Taxas_DI)</f>
        <v>0.12786095130925546</v>
      </c>
      <c r="C3315" s="32">
        <f ca="1">((((1+B3315)^(A3315/252))/((1+B3314)^(A3314/252)))^(252/1))-1</f>
        <v>0.1278198840509388</v>
      </c>
      <c r="D3315" s="30">
        <v>0.12786095130925546</v>
      </c>
      <c r="E3315" s="31">
        <f ca="1">B3315-D3315</f>
        <v>0</v>
      </c>
    </row>
    <row r="3316" spans="1:5" x14ac:dyDescent="0.25">
      <c r="A3316" s="21">
        <v>3315</v>
      </c>
      <c r="B3316" s="5" cm="1">
        <f t="array" aca="1" ref="B3316" ca="1">interpolexp(A3316,serie_du,Taxas_DI)</f>
        <v>0.12786093892072081</v>
      </c>
      <c r="C3316" s="32">
        <f ca="1">((((1+B3316)^(A3316/252))/((1+B3315)^(A3315/252)))^(252/1))-1</f>
        <v>0.12781988406443157</v>
      </c>
      <c r="D3316" s="30">
        <v>0.12786093892072081</v>
      </c>
      <c r="E3316" s="31">
        <f ca="1">B3316-D3316</f>
        <v>0</v>
      </c>
    </row>
    <row r="3317" spans="1:5" x14ac:dyDescent="0.25">
      <c r="A3317" s="21">
        <v>3316</v>
      </c>
      <c r="B3317" s="5" cm="1">
        <f t="array" aca="1" ref="B3317" ca="1">interpolexp(A3317,serie_du,Taxas_DI)</f>
        <v>0.12786092653964687</v>
      </c>
      <c r="C3317" s="32">
        <f ca="1">((((1+B3317)^(A3317/252))/((1+B3316)^(A3316/252)))^(252/1))-1</f>
        <v>0.12781988402649835</v>
      </c>
      <c r="D3317" s="30">
        <v>0.12786092653964687</v>
      </c>
      <c r="E3317" s="31">
        <f ca="1">B3317-D3317</f>
        <v>0</v>
      </c>
    </row>
    <row r="3318" spans="1:5" x14ac:dyDescent="0.25">
      <c r="A3318" s="21">
        <v>3317</v>
      </c>
      <c r="B3318" s="5" cm="1">
        <f t="array" aca="1" ref="B3318" ca="1">interpolexp(A3318,serie_du,Taxas_DI)</f>
        <v>0.12786091416605583</v>
      </c>
      <c r="C3318" s="32">
        <f ca="1">((((1+B3318)^(A3318/252))/((1+B3317)^(A3317/252)))^(252/1))-1</f>
        <v>0.12781988408473</v>
      </c>
      <c r="D3318" s="30">
        <v>0.12786091416605583</v>
      </c>
      <c r="E3318" s="31">
        <f ca="1">B3318-D3318</f>
        <v>0</v>
      </c>
    </row>
    <row r="3319" spans="1:5" x14ac:dyDescent="0.25">
      <c r="A3319" s="21">
        <v>3318</v>
      </c>
      <c r="B3319" s="5" cm="1">
        <f t="array" aca="1" ref="B3319" ca="1">interpolexp(A3319,serie_du,Taxas_DI)</f>
        <v>0.12786090179990328</v>
      </c>
      <c r="C3319" s="32">
        <f ca="1">((((1+B3319)^(A3319/252))/((1+B3318)^(A3318/252)))^(252/1))-1</f>
        <v>0.12781988401799693</v>
      </c>
      <c r="D3319" s="30">
        <v>0.12786090179990328</v>
      </c>
      <c r="E3319" s="31">
        <f ca="1">B3319-D3319</f>
        <v>0</v>
      </c>
    </row>
    <row r="3320" spans="1:5" x14ac:dyDescent="0.25">
      <c r="A3320" s="21">
        <v>3319</v>
      </c>
      <c r="B3320" s="5" cm="1">
        <f t="array" aca="1" ref="B3320" ca="1">interpolexp(A3320,serie_du,Taxas_DI)</f>
        <v>0.12786088944121143</v>
      </c>
      <c r="C3320" s="32">
        <f ca="1">((((1+B3320)^(A3320/252))/((1+B3319)^(A3319/252)))^(252/1))-1</f>
        <v>0.12781988404740807</v>
      </c>
      <c r="D3320" s="30">
        <v>0.12786088944121143</v>
      </c>
      <c r="E3320" s="31">
        <f ca="1">B3320-D3320</f>
        <v>0</v>
      </c>
    </row>
    <row r="3321" spans="1:5" x14ac:dyDescent="0.25">
      <c r="A3321" s="21">
        <v>3320</v>
      </c>
      <c r="B3321" s="5" cm="1">
        <f t="array" aca="1" ref="B3321" ca="1">interpolexp(A3321,serie_du,Taxas_DI)</f>
        <v>0.12786087708995808</v>
      </c>
      <c r="C3321" s="32">
        <f ca="1">((((1+B3321)^(A3321/252))/((1+B3320)^(A3320/252)))^(252/1))-1</f>
        <v>0.12781988402529798</v>
      </c>
      <c r="D3321" s="30">
        <v>0.12786087708995808</v>
      </c>
      <c r="E3321" s="31">
        <f ca="1">B3321-D3321</f>
        <v>0</v>
      </c>
    </row>
    <row r="3322" spans="1:5" x14ac:dyDescent="0.25">
      <c r="A3322" s="21">
        <v>3321</v>
      </c>
      <c r="B3322" s="5" cm="1">
        <f t="array" aca="1" ref="B3322" ca="1">interpolexp(A3322,serie_du,Taxas_DI)</f>
        <v>0.12786086474614322</v>
      </c>
      <c r="C3322" s="32">
        <f ca="1">((((1+B3322)^(A3322/252))/((1+B3321)^(A3321/252)))^(252/1))-1</f>
        <v>0.12781988402554867</v>
      </c>
      <c r="D3322" s="30">
        <v>0.12786086474614322</v>
      </c>
      <c r="E3322" s="31">
        <f ca="1">B3322-D3322</f>
        <v>0</v>
      </c>
    </row>
    <row r="3323" spans="1:5" x14ac:dyDescent="0.25">
      <c r="A3323" s="21">
        <v>3322</v>
      </c>
      <c r="B3323" s="5" cm="1">
        <f t="array" aca="1" ref="B3323" ca="1">interpolexp(A3323,serie_du,Taxas_DI)</f>
        <v>0.12786085240976686</v>
      </c>
      <c r="C3323" s="32">
        <f ca="1">((((1+B3323)^(A3323/252))/((1+B3322)^(A3322/252)))^(252/1))-1</f>
        <v>0.12781988404822586</v>
      </c>
      <c r="D3323" s="30">
        <v>0.12786085240976686</v>
      </c>
      <c r="E3323" s="31">
        <f ca="1">B3323-D3323</f>
        <v>0</v>
      </c>
    </row>
    <row r="3324" spans="1:5" x14ac:dyDescent="0.25">
      <c r="A3324" s="21">
        <v>3323</v>
      </c>
      <c r="B3324" s="5" cm="1">
        <f t="array" aca="1" ref="B3324" ca="1">interpolexp(A3324,serie_du,Taxas_DI)</f>
        <v>0.12786084008082899</v>
      </c>
      <c r="C3324" s="32">
        <f ca="1">((((1+B3324)^(A3324/252))/((1+B3323)^(A3323/252)))^(252/1))-1</f>
        <v>0.12781988409304423</v>
      </c>
      <c r="D3324" s="30">
        <v>0.12786084008082899</v>
      </c>
      <c r="E3324" s="31">
        <f ca="1">B3324-D3324</f>
        <v>0</v>
      </c>
    </row>
    <row r="3325" spans="1:5" x14ac:dyDescent="0.25">
      <c r="A3325" s="21">
        <v>3324</v>
      </c>
      <c r="B3325" s="5" cm="1">
        <f t="array" aca="1" ref="B3325" ca="1">interpolexp(A3325,serie_du,Taxas_DI)</f>
        <v>0.1278608277592852</v>
      </c>
      <c r="C3325" s="32">
        <f ca="1">((((1+B3325)^(A3325/252))/((1+B3324)^(A3324/252)))^(252/1))-1</f>
        <v>0.12781988401268563</v>
      </c>
      <c r="D3325" s="30">
        <v>0.1278608277592852</v>
      </c>
      <c r="E3325" s="31">
        <f ca="1">B3325-D3325</f>
        <v>0</v>
      </c>
    </row>
    <row r="3326" spans="1:5" x14ac:dyDescent="0.25">
      <c r="A3326" s="21">
        <v>3325</v>
      </c>
      <c r="B3326" s="5" cm="1">
        <f t="array" aca="1" ref="B3326" ca="1">interpolexp(A3326,serie_du,Taxas_DI)</f>
        <v>0.12786081544515771</v>
      </c>
      <c r="C3326" s="32">
        <f ca="1">((((1+B3326)^(A3326/252))/((1+B3325)^(A3325/252)))^(252/1))-1</f>
        <v>0.12781988402832201</v>
      </c>
      <c r="D3326" s="30">
        <v>0.12786081544515771</v>
      </c>
      <c r="E3326" s="31">
        <f ca="1">B3326-D3326</f>
        <v>0</v>
      </c>
    </row>
    <row r="3327" spans="1:5" x14ac:dyDescent="0.25">
      <c r="A3327" s="21">
        <v>3326</v>
      </c>
      <c r="B3327" s="5" cm="1">
        <f t="array" aca="1" ref="B3327" ca="1">interpolexp(A3327,serie_du,Taxas_DI)</f>
        <v>0.1278608031384465</v>
      </c>
      <c r="C3327" s="32">
        <f ca="1">((((1+B3327)^(A3327/252))/((1+B3326)^(A3326/252)))^(252/1))-1</f>
        <v>0.12781988406619327</v>
      </c>
      <c r="D3327" s="30">
        <v>0.1278608031384465</v>
      </c>
      <c r="E3327" s="31">
        <f ca="1">B3327-D3327</f>
        <v>0</v>
      </c>
    </row>
    <row r="3328" spans="1:5" x14ac:dyDescent="0.25">
      <c r="A3328" s="21">
        <v>3327</v>
      </c>
      <c r="B3328" s="5" cm="1">
        <f t="array" aca="1" ref="B3328" ca="1">interpolexp(A3328,serie_du,Taxas_DI)</f>
        <v>0.12786079083912938</v>
      </c>
      <c r="C3328" s="32">
        <f ca="1">((((1+B3328)^(A3328/252))/((1+B3327)^(A3327/252)))^(252/1))-1</f>
        <v>0.12781988405250844</v>
      </c>
      <c r="D3328" s="30">
        <v>0.12786079083912938</v>
      </c>
      <c r="E3328" s="31">
        <f ca="1">B3328-D3328</f>
        <v>0</v>
      </c>
    </row>
    <row r="3329" spans="1:5" x14ac:dyDescent="0.25">
      <c r="A3329" s="21">
        <v>3328</v>
      </c>
      <c r="B3329" s="5" cm="1">
        <f t="array" aca="1" ref="B3329" ca="1">interpolexp(A3329,serie_du,Taxas_DI)</f>
        <v>0.12786077854720634</v>
      </c>
      <c r="C3329" s="32">
        <f ca="1">((((1+B3329)^(A3329/252))/((1+B3328)^(A3328/252)))^(252/1))-1</f>
        <v>0.12781988406095124</v>
      </c>
      <c r="D3329" s="30">
        <v>0.12786077854720634</v>
      </c>
      <c r="E3329" s="31">
        <f ca="1">B3329-D3329</f>
        <v>0</v>
      </c>
    </row>
    <row r="3330" spans="1:5" x14ac:dyDescent="0.25">
      <c r="A3330" s="21">
        <v>3329</v>
      </c>
      <c r="B3330" s="5" cm="1">
        <f t="array" aca="1" ref="B3330" ca="1">interpolexp(A3330,serie_du,Taxas_DI)</f>
        <v>0.12786076626265519</v>
      </c>
      <c r="C3330" s="32">
        <f ca="1">((((1+B3330)^(A3330/252))/((1+B3329)^(A3329/252)))^(252/1))-1</f>
        <v>0.1278198840175544</v>
      </c>
      <c r="D3330" s="30">
        <v>0.12786076626265519</v>
      </c>
      <c r="E3330" s="31">
        <f ca="1">B3330-D3330</f>
        <v>0</v>
      </c>
    </row>
    <row r="3331" spans="1:5" x14ac:dyDescent="0.25">
      <c r="A3331" s="21">
        <v>3330</v>
      </c>
      <c r="B3331" s="5" cm="1">
        <f t="array" aca="1" ref="B3331" ca="1">interpolexp(A3331,serie_du,Taxas_DI)</f>
        <v>0.12786075398549812</v>
      </c>
      <c r="C3331" s="32">
        <f ca="1">((((1+B3331)^(A3331/252))/((1+B3330)^(A3330/252)))^(252/1))-1</f>
        <v>0.12781988407028755</v>
      </c>
      <c r="D3331" s="30">
        <v>0.12786075398549812</v>
      </c>
      <c r="E3331" s="31">
        <f ca="1">B3331-D3331</f>
        <v>0</v>
      </c>
    </row>
    <row r="3332" spans="1:5" x14ac:dyDescent="0.25">
      <c r="A3332" s="21">
        <v>3331</v>
      </c>
      <c r="B3332" s="5" cm="1">
        <f t="array" aca="1" ref="B3332" ca="1">interpolexp(A3332,serie_du,Taxas_DI)</f>
        <v>0.12786074171569073</v>
      </c>
      <c r="C3332" s="32">
        <f ca="1">((((1+B3332)^(A3332/252))/((1+B3331)^(A3331/252)))^(252/1))-1</f>
        <v>0.12781988399744648</v>
      </c>
      <c r="D3332" s="30">
        <v>0.12786074171569073</v>
      </c>
      <c r="E3332" s="31">
        <f ca="1">B3332-D3332</f>
        <v>0</v>
      </c>
    </row>
    <row r="3333" spans="1:5" x14ac:dyDescent="0.25">
      <c r="A3333" s="21">
        <v>3332</v>
      </c>
      <c r="B3333" s="5" cm="1">
        <f t="array" aca="1" ref="B3333" ca="1">interpolexp(A3333,serie_du,Taxas_DI)</f>
        <v>0.12786072945325522</v>
      </c>
      <c r="C3333" s="32">
        <f ca="1">((((1+B3333)^(A3333/252))/((1+B3332)^(A3332/252)))^(252/1))-1</f>
        <v>0.12781988402032196</v>
      </c>
      <c r="D3333" s="30">
        <v>0.12786072945325522</v>
      </c>
      <c r="E3333" s="31">
        <f ca="1">B3333-D3333</f>
        <v>0</v>
      </c>
    </row>
    <row r="3334" spans="1:5" x14ac:dyDescent="0.25">
      <c r="A3334" s="21">
        <v>3333</v>
      </c>
      <c r="B3334" s="5" cm="1">
        <f t="array" aca="1" ref="B3334" ca="1">interpolexp(A3334,serie_du,Taxas_DI)</f>
        <v>0.12786071719819159</v>
      </c>
      <c r="C3334" s="32">
        <f ca="1">((((1+B3334)^(A3334/252))/((1+B3333)^(A3333/252)))^(252/1))-1</f>
        <v>0.12781988406562461</v>
      </c>
      <c r="D3334" s="30">
        <v>0.12786071719819159</v>
      </c>
      <c r="E3334" s="31">
        <f ca="1">B3334-D3334</f>
        <v>0</v>
      </c>
    </row>
    <row r="3335" spans="1:5" x14ac:dyDescent="0.25">
      <c r="A3335" s="21">
        <v>3334</v>
      </c>
      <c r="B3335" s="5" cm="1">
        <f t="array" aca="1" ref="B3335" ca="1">interpolexp(A3335,serie_du,Taxas_DI)</f>
        <v>0.12786070495047763</v>
      </c>
      <c r="C3335" s="32">
        <f ca="1">((((1+B3335)^(A3335/252))/((1+B3334)^(A3334/252)))^(252/1))-1</f>
        <v>0.12781988405874878</v>
      </c>
      <c r="D3335" s="30">
        <v>0.12786070495047763</v>
      </c>
      <c r="E3335" s="31">
        <f ca="1">B3335-D3335</f>
        <v>0</v>
      </c>
    </row>
    <row r="3336" spans="1:5" x14ac:dyDescent="0.25">
      <c r="A3336" s="21">
        <v>3335</v>
      </c>
      <c r="B3336" s="5" cm="1">
        <f t="array" aca="1" ref="B3336" ca="1">interpolexp(A3336,serie_du,Taxas_DI)</f>
        <v>0.12786069271009115</v>
      </c>
      <c r="C3336" s="32">
        <f ca="1">((((1+B3336)^(A3336/252))/((1+B3335)^(A3335/252)))^(252/1))-1</f>
        <v>0.12781988400014854</v>
      </c>
      <c r="D3336" s="30">
        <v>0.12786069271009115</v>
      </c>
      <c r="E3336" s="31">
        <f ca="1">B3336-D3336</f>
        <v>0</v>
      </c>
    </row>
    <row r="3337" spans="1:5" x14ac:dyDescent="0.25">
      <c r="A3337" s="21">
        <v>3336</v>
      </c>
      <c r="B3337" s="5" cm="1">
        <f t="array" aca="1" ref="B3337" ca="1">interpolexp(A3337,serie_du,Taxas_DI)</f>
        <v>0.12786068047705434</v>
      </c>
      <c r="C3337" s="32">
        <f ca="1">((((1+B3337)^(A3337/252))/((1+B3336)^(A3336/252)))^(252/1))-1</f>
        <v>0.12781988403727795</v>
      </c>
      <c r="D3337" s="30">
        <v>0.12786068047705434</v>
      </c>
      <c r="E3337" s="31">
        <f ca="1">B3337-D3337</f>
        <v>0</v>
      </c>
    </row>
    <row r="3338" spans="1:5" x14ac:dyDescent="0.25">
      <c r="A3338" s="21">
        <v>3337</v>
      </c>
      <c r="B3338" s="5" cm="1">
        <f t="array" aca="1" ref="B3338" ca="1">interpolexp(A3338,serie_du,Taxas_DI)</f>
        <v>0.12786066825136722</v>
      </c>
      <c r="C3338" s="32">
        <f ca="1">((((1+B3338)^(A3338/252))/((1+B3337)^(A3337/252)))^(252/1))-1</f>
        <v>0.12781988409677547</v>
      </c>
      <c r="D3338" s="30">
        <v>0.12786066825136722</v>
      </c>
      <c r="E3338" s="31">
        <f ca="1">B3338-D3338</f>
        <v>0</v>
      </c>
    </row>
    <row r="3339" spans="1:5" x14ac:dyDescent="0.25">
      <c r="A3339" s="21">
        <v>3338</v>
      </c>
      <c r="B3339" s="5" cm="1">
        <f t="array" aca="1" ref="B3339" ca="1">interpolexp(A3339,serie_du,Taxas_DI)</f>
        <v>0.12786065603298535</v>
      </c>
      <c r="C3339" s="32">
        <f ca="1">((((1+B3339)^(A3339/252))/((1+B3338)^(A3338/252)))^(252/1))-1</f>
        <v>0.12781988402991651</v>
      </c>
      <c r="D3339" s="30">
        <v>0.12786065603298535</v>
      </c>
      <c r="E3339" s="31">
        <f ca="1">B3339-D3339</f>
        <v>0</v>
      </c>
    </row>
    <row r="3340" spans="1:5" x14ac:dyDescent="0.25">
      <c r="A3340" s="21">
        <v>3339</v>
      </c>
      <c r="B3340" s="5" cm="1">
        <f t="array" aca="1" ref="B3340" ca="1">interpolexp(A3340,serie_du,Taxas_DI)</f>
        <v>0.12786064382190876</v>
      </c>
      <c r="C3340" s="32">
        <f ca="1">((((1+B3340)^(A3340/252))/((1+B3339)^(A3339/252)))^(252/1))-1</f>
        <v>0.12781988398508592</v>
      </c>
      <c r="D3340" s="30">
        <v>0.12786064382190876</v>
      </c>
      <c r="E3340" s="31">
        <f ca="1">B3340-D3340</f>
        <v>0</v>
      </c>
    </row>
    <row r="3341" spans="1:5" x14ac:dyDescent="0.25">
      <c r="A3341" s="21">
        <v>3340</v>
      </c>
      <c r="B3341" s="5" cm="1">
        <f t="array" aca="1" ref="B3341" ca="1">interpolexp(A3341,serie_du,Taxas_DI)</f>
        <v>0.12786063161815964</v>
      </c>
      <c r="C3341" s="32">
        <f ca="1">((((1+B3341)^(A3341/252))/((1+B3340)^(A3340/252)))^(252/1))-1</f>
        <v>0.12781988403614752</v>
      </c>
      <c r="D3341" s="30">
        <v>0.12786063161815964</v>
      </c>
      <c r="E3341" s="31">
        <f ca="1">B3341-D3341</f>
        <v>0</v>
      </c>
    </row>
    <row r="3342" spans="1:5" x14ac:dyDescent="0.25">
      <c r="A3342" s="21">
        <v>3341</v>
      </c>
      <c r="B3342" s="5" cm="1">
        <f t="array" aca="1" ref="B3342" ca="1">interpolexp(A3342,serie_du,Taxas_DI)</f>
        <v>0.12786061942171578</v>
      </c>
      <c r="C3342" s="32">
        <f ca="1">((((1+B3342)^(A3342/252))/((1+B3341)^(A3341/252)))^(252/1))-1</f>
        <v>0.12781988403514144</v>
      </c>
      <c r="D3342" s="30">
        <v>0.12786061942171578</v>
      </c>
      <c r="E3342" s="31">
        <f ca="1">B3342-D3342</f>
        <v>0</v>
      </c>
    </row>
    <row r="3343" spans="1:5" x14ac:dyDescent="0.25">
      <c r="A3343" s="21">
        <v>3342</v>
      </c>
      <c r="B3343" s="5" cm="1">
        <f t="array" aca="1" ref="B3343" ca="1">interpolexp(A3343,serie_du,Taxas_DI)</f>
        <v>0.12786060723257719</v>
      </c>
      <c r="C3343" s="32">
        <f ca="1">((((1+B3343)^(A3343/252))/((1+B3342)^(A3342/252)))^(252/1))-1</f>
        <v>0.127819884055977</v>
      </c>
      <c r="D3343" s="30">
        <v>0.12786060723257719</v>
      </c>
      <c r="E3343" s="31">
        <f ca="1">B3343-D3343</f>
        <v>0</v>
      </c>
    </row>
    <row r="3344" spans="1:5" x14ac:dyDescent="0.25">
      <c r="A3344" s="21">
        <v>3343</v>
      </c>
      <c r="B3344" s="5" cm="1">
        <f t="array" aca="1" ref="B3344" ca="1">interpolexp(A3344,serie_du,Taxas_DI)</f>
        <v>0.12786059505072167</v>
      </c>
      <c r="C3344" s="32">
        <f ca="1">((((1+B3344)^(A3344/252))/((1+B3343)^(A3343/252)))^(252/1))-1</f>
        <v>0.12781988402454258</v>
      </c>
      <c r="D3344" s="30">
        <v>0.12786059505072167</v>
      </c>
      <c r="E3344" s="31">
        <f ca="1">B3344-D3344</f>
        <v>0</v>
      </c>
    </row>
    <row r="3345" spans="1:5" x14ac:dyDescent="0.25">
      <c r="A3345" s="21">
        <v>3344</v>
      </c>
      <c r="B3345" s="5" cm="1">
        <f t="array" aca="1" ref="B3345" ca="1">interpolexp(A3345,serie_du,Taxas_DI)</f>
        <v>0.12786058287617141</v>
      </c>
      <c r="C3345" s="32">
        <f ca="1">((((1+B3345)^(A3345/252))/((1+B3344)^(A3344/252)))^(252/1))-1</f>
        <v>0.12781988408932454</v>
      </c>
      <c r="D3345" s="30">
        <v>0.12786058287617141</v>
      </c>
      <c r="E3345" s="31">
        <f ca="1">B3345-D3345</f>
        <v>0</v>
      </c>
    </row>
    <row r="3346" spans="1:5" x14ac:dyDescent="0.25">
      <c r="A3346" s="21">
        <v>3345</v>
      </c>
      <c r="B3346" s="5" cm="1">
        <f t="array" aca="1" ref="B3346" ca="1">interpolexp(A3346,serie_du,Taxas_DI)</f>
        <v>0.12786057070888202</v>
      </c>
      <c r="C3346" s="32">
        <f ca="1">((((1+B3346)^(A3346/252))/((1+B3345)^(A3345/252)))^(252/1))-1</f>
        <v>0.12781988402712985</v>
      </c>
      <c r="D3346" s="30">
        <v>0.12786057070888202</v>
      </c>
      <c r="E3346" s="31">
        <f ca="1">B3346-D3346</f>
        <v>0</v>
      </c>
    </row>
    <row r="3347" spans="1:5" x14ac:dyDescent="0.25">
      <c r="A3347" s="21">
        <v>3346</v>
      </c>
      <c r="B3347" s="5" cm="1">
        <f t="array" aca="1" ref="B3347" ca="1">interpolexp(A3347,serie_du,Taxas_DI)</f>
        <v>0.12786055854885348</v>
      </c>
      <c r="C3347" s="32">
        <f ca="1">((((1+B3347)^(A3347/252))/((1+B3346)^(A3346/252)))^(252/1))-1</f>
        <v>0.12781988398716004</v>
      </c>
      <c r="D3347" s="30">
        <v>0.12786055854885348</v>
      </c>
      <c r="E3347" s="31">
        <f ca="1">B3347-D3347</f>
        <v>0</v>
      </c>
    </row>
    <row r="3348" spans="1:5" x14ac:dyDescent="0.25">
      <c r="A3348" s="21">
        <v>3347</v>
      </c>
      <c r="B3348" s="5" cm="1">
        <f t="array" aca="1" ref="B3348" ca="1">interpolexp(A3348,serie_du,Taxas_DI)</f>
        <v>0.127860546396108</v>
      </c>
      <c r="C3348" s="32">
        <f ca="1">((((1+B3348)^(A3348/252))/((1+B3347)^(A3347/252)))^(252/1))-1</f>
        <v>0.12781988404295475</v>
      </c>
      <c r="D3348" s="30">
        <v>0.127860546396108</v>
      </c>
      <c r="E3348" s="31">
        <f ca="1">B3348-D3348</f>
        <v>0</v>
      </c>
    </row>
    <row r="3349" spans="1:5" x14ac:dyDescent="0.25">
      <c r="A3349" s="21">
        <v>3348</v>
      </c>
      <c r="B3349" s="5" cm="1">
        <f t="array" aca="1" ref="B3349" ca="1">interpolexp(A3349,serie_du,Taxas_DI)</f>
        <v>0.12786053425062338</v>
      </c>
      <c r="C3349" s="32">
        <f ca="1">((((1+B3349)^(A3349/252))/((1+B3348)^(A3348/252)))^(252/1))-1</f>
        <v>0.12781988404637112</v>
      </c>
      <c r="D3349" s="30">
        <v>0.12786053425062338</v>
      </c>
      <c r="E3349" s="31">
        <f ca="1">B3349-D3349</f>
        <v>0</v>
      </c>
    </row>
    <row r="3350" spans="1:5" x14ac:dyDescent="0.25">
      <c r="A3350" s="21">
        <v>3349</v>
      </c>
      <c r="B3350" s="5" cm="1">
        <f t="array" aca="1" ref="B3350" ca="1">interpolexp(A3350,serie_du,Taxas_DI)</f>
        <v>0.12786052211237742</v>
      </c>
      <c r="C3350" s="32">
        <f ca="1">((((1+B3350)^(A3350/252))/((1+B3349)^(A3349/252)))^(252/1))-1</f>
        <v>0.12781988399732191</v>
      </c>
      <c r="D3350" s="30">
        <v>0.12786052211237742</v>
      </c>
      <c r="E3350" s="31">
        <f ca="1">B3350-D3350</f>
        <v>0</v>
      </c>
    </row>
    <row r="3351" spans="1:5" x14ac:dyDescent="0.25">
      <c r="A3351" s="21">
        <v>3350</v>
      </c>
      <c r="B3351" s="5" cm="1">
        <f t="array" aca="1" ref="B3351" ca="1">interpolexp(A3351,serie_du,Taxas_DI)</f>
        <v>0.12786050998139231</v>
      </c>
      <c r="C3351" s="32">
        <f ca="1">((((1+B3351)^(A3351/252))/((1+B3350)^(A3350/252)))^(252/1))-1</f>
        <v>0.12781988404408451</v>
      </c>
      <c r="D3351" s="30">
        <v>0.12786050998139231</v>
      </c>
      <c r="E3351" s="31">
        <f ca="1">B3351-D3351</f>
        <v>0</v>
      </c>
    </row>
    <row r="3352" spans="1:5" x14ac:dyDescent="0.25">
      <c r="A3352" s="21">
        <v>3351</v>
      </c>
      <c r="B3352" s="5" cm="1">
        <f t="array" aca="1" ref="B3352" ca="1">interpolexp(A3352,serie_du,Taxas_DI)</f>
        <v>0.12786049785764586</v>
      </c>
      <c r="C3352" s="32">
        <f ca="1">((((1+B3352)^(A3352/252))/((1+B3351)^(A3351/252)))^(252/1))-1</f>
        <v>0.12781988403848366</v>
      </c>
      <c r="D3352" s="30">
        <v>0.12786049785764586</v>
      </c>
      <c r="E3352" s="31">
        <f ca="1">B3352-D3352</f>
        <v>0</v>
      </c>
    </row>
    <row r="3353" spans="1:5" x14ac:dyDescent="0.25">
      <c r="A3353" s="21">
        <v>3352</v>
      </c>
      <c r="B3353" s="5" cm="1">
        <f t="array" aca="1" ref="B3353" ca="1">interpolexp(A3353,serie_du,Taxas_DI)</f>
        <v>0.12786048574113806</v>
      </c>
      <c r="C3353" s="32">
        <f ca="1">((((1+B3353)^(A3353/252))/((1+B3352)^(A3352/252)))^(252/1))-1</f>
        <v>0.12781988405465405</v>
      </c>
      <c r="D3353" s="30">
        <v>0.12786048574113806</v>
      </c>
      <c r="E3353" s="31">
        <f ca="1">B3353-D3353</f>
        <v>0</v>
      </c>
    </row>
    <row r="3354" spans="1:5" x14ac:dyDescent="0.25">
      <c r="A3354" s="21">
        <v>3353</v>
      </c>
      <c r="B3354" s="5" cm="1">
        <f t="array" aca="1" ref="B3354" ca="1">interpolexp(A3354,serie_du,Taxas_DI)</f>
        <v>0.12786047363184672</v>
      </c>
      <c r="C3354" s="32">
        <f ca="1">((((1+B3354)^(A3354/252))/((1+B3353)^(A3353/252)))^(252/1))-1</f>
        <v>0.12781988401774291</v>
      </c>
      <c r="D3354" s="30">
        <v>0.12786047363184672</v>
      </c>
      <c r="E3354" s="31">
        <f ca="1">B3354-D3354</f>
        <v>0</v>
      </c>
    </row>
    <row r="3355" spans="1:5" x14ac:dyDescent="0.25">
      <c r="A3355" s="21">
        <v>3354</v>
      </c>
      <c r="B3355" s="5" cm="1">
        <f t="array" aca="1" ref="B3355" ca="1">interpolexp(A3355,serie_du,Taxas_DI)</f>
        <v>0.12786046152977182</v>
      </c>
      <c r="C3355" s="32">
        <f ca="1">((((1+B3355)^(A3355/252))/((1+B3354)^(A3354/252)))^(252/1))-1</f>
        <v>0.12781988400292366</v>
      </c>
      <c r="D3355" s="30">
        <v>0.12786046152977182</v>
      </c>
      <c r="E3355" s="31">
        <f ca="1">B3355-D3355</f>
        <v>0</v>
      </c>
    </row>
    <row r="3356" spans="1:5" x14ac:dyDescent="0.25">
      <c r="A3356" s="21">
        <v>3355</v>
      </c>
      <c r="B3356" s="5" cm="1">
        <f t="array" aca="1" ref="B3356" ca="1">interpolexp(A3356,serie_du,Taxas_DI)</f>
        <v>0.12786044943493557</v>
      </c>
      <c r="C3356" s="32">
        <f ca="1">((((1+B3356)^(A3356/252))/((1+B3355)^(A3355/252)))^(252/1))-1</f>
        <v>0.12781988408391198</v>
      </c>
      <c r="D3356" s="30">
        <v>0.12786044943493557</v>
      </c>
      <c r="E3356" s="31">
        <f ca="1">B3356-D3356</f>
        <v>0</v>
      </c>
    </row>
    <row r="3357" spans="1:5" x14ac:dyDescent="0.25">
      <c r="A3357" s="21">
        <v>3356</v>
      </c>
      <c r="B3357" s="5" cm="1">
        <f t="array" aca="1" ref="B3357" ca="1">interpolexp(A3357,serie_du,Taxas_DI)</f>
        <v>0.12786043734729358</v>
      </c>
      <c r="C3357" s="32">
        <f ca="1">((((1+B3357)^(A3357/252))/((1+B3356)^(A3356/252)))^(252/1))-1</f>
        <v>0.12781988403772071</v>
      </c>
      <c r="D3357" s="30">
        <v>0.12786043734729358</v>
      </c>
      <c r="E3357" s="31">
        <f ca="1">B3357-D3357</f>
        <v>0</v>
      </c>
    </row>
    <row r="3358" spans="1:5" x14ac:dyDescent="0.25">
      <c r="A3358" s="21">
        <v>3357</v>
      </c>
      <c r="B3358" s="5" cm="1">
        <f t="array" aca="1" ref="B3358" ca="1">interpolexp(A3358,serie_du,Taxas_DI)</f>
        <v>0.12786042526684582</v>
      </c>
      <c r="C3358" s="32">
        <f ca="1">((((1+B3358)^(A3358/252))/((1+B3357)^(A3357/252)))^(252/1))-1</f>
        <v>0.12781988401295141</v>
      </c>
      <c r="D3358" s="30">
        <v>0.12786042526684582</v>
      </c>
      <c r="E3358" s="31">
        <f ca="1">B3358-D3358</f>
        <v>0</v>
      </c>
    </row>
    <row r="3359" spans="1:5" x14ac:dyDescent="0.25">
      <c r="A3359" s="21">
        <v>3358</v>
      </c>
      <c r="B3359" s="5" cm="1">
        <f t="array" aca="1" ref="B3359" ca="1">interpolexp(A3359,serie_du,Taxas_DI)</f>
        <v>0.12786041319359231</v>
      </c>
      <c r="C3359" s="32">
        <f ca="1">((((1+B3359)^(A3359/252))/((1+B3358)^(A3358/252)))^(252/1))-1</f>
        <v>0.12781988401004374</v>
      </c>
      <c r="D3359" s="30">
        <v>0.12786041319359231</v>
      </c>
      <c r="E3359" s="31">
        <f ca="1">B3359-D3359</f>
        <v>0</v>
      </c>
    </row>
    <row r="3360" spans="1:5" x14ac:dyDescent="0.25">
      <c r="A3360" s="21">
        <v>3359</v>
      </c>
      <c r="B3360" s="5" cm="1">
        <f t="array" aca="1" ref="B3360" ca="1">interpolexp(A3360,serie_du,Taxas_DI)</f>
        <v>0.12786040112753305</v>
      </c>
      <c r="C3360" s="32">
        <f ca="1">((((1+B3360)^(A3360/252))/((1+B3359)^(A3359/252)))^(252/1))-1</f>
        <v>0.12781988402851074</v>
      </c>
      <c r="D3360" s="30">
        <v>0.12786040112753305</v>
      </c>
      <c r="E3360" s="31">
        <f ca="1">B3360-D3360</f>
        <v>0</v>
      </c>
    </row>
    <row r="3361" spans="1:5" x14ac:dyDescent="0.25">
      <c r="A3361" s="21">
        <v>3360</v>
      </c>
      <c r="B3361" s="5" cm="1">
        <f t="array" aca="1" ref="B3361" ca="1">interpolexp(A3361,serie_du,Taxas_DI)</f>
        <v>0.12786038906866803</v>
      </c>
      <c r="C3361" s="32">
        <f ca="1">((((1+B3361)^(A3361/252))/((1+B3360)^(A3360/252)))^(252/1))-1</f>
        <v>0.12781988406871436</v>
      </c>
      <c r="D3361" s="30">
        <v>0.12786038906866803</v>
      </c>
      <c r="E3361" s="31">
        <f ca="1">B3361-D3361</f>
        <v>0</v>
      </c>
    </row>
    <row r="3362" spans="1:5" x14ac:dyDescent="0.25">
      <c r="A3362" s="21">
        <v>3361</v>
      </c>
      <c r="B3362" s="5" cm="1">
        <f t="array" aca="1" ref="B3362" ca="1">interpolexp(A3362,serie_du,Taxas_DI)</f>
        <v>0.12786037701695285</v>
      </c>
      <c r="C3362" s="32">
        <f ca="1">((((1+B3362)^(A3362/252))/((1+B3361)^(A3361/252)))^(252/1))-1</f>
        <v>0.12781988398105404</v>
      </c>
      <c r="D3362" s="30">
        <v>0.12786037701695285</v>
      </c>
      <c r="E3362" s="31">
        <f ca="1">B3362-D3362</f>
        <v>0</v>
      </c>
    </row>
    <row r="3363" spans="1:5" x14ac:dyDescent="0.25">
      <c r="A3363" s="21">
        <v>3362</v>
      </c>
      <c r="B3363" s="5" cm="1">
        <f t="array" aca="1" ref="B3363" ca="1">interpolexp(A3363,serie_du,Taxas_DI)</f>
        <v>0.12786036497243192</v>
      </c>
      <c r="C3363" s="32">
        <f ca="1">((((1+B3363)^(A3363/252))/((1+B3362)^(A3362/252)))^(252/1))-1</f>
        <v>0.12781988406430544</v>
      </c>
      <c r="D3363" s="30">
        <v>0.12786036497243192</v>
      </c>
      <c r="E3363" s="31">
        <f ca="1">B3363-D3363</f>
        <v>0</v>
      </c>
    </row>
    <row r="3364" spans="1:5" x14ac:dyDescent="0.25">
      <c r="A3364" s="21">
        <v>3363</v>
      </c>
      <c r="B3364" s="5" cm="1">
        <f t="array" aca="1" ref="B3364" ca="1">interpolexp(A3364,serie_du,Taxas_DI)</f>
        <v>0.12786035293506082</v>
      </c>
      <c r="C3364" s="32">
        <f ca="1">((((1+B3364)^(A3364/252))/((1+B3363)^(A3363/252)))^(252/1))-1</f>
        <v>0.12781988401962874</v>
      </c>
      <c r="D3364" s="30">
        <v>0.12786035293506082</v>
      </c>
      <c r="E3364" s="31">
        <f ca="1">B3364-D3364</f>
        <v>0</v>
      </c>
    </row>
    <row r="3365" spans="1:5" x14ac:dyDescent="0.25">
      <c r="A3365" s="21">
        <v>3364</v>
      </c>
      <c r="B3365" s="5" cm="1">
        <f t="array" aca="1" ref="B3365" ca="1">interpolexp(A3365,serie_du,Taxas_DI)</f>
        <v>0.12786034090483955</v>
      </c>
      <c r="C3365" s="32">
        <f ca="1">((((1+B3365)^(A3365/252))/((1+B3364)^(A3364/252)))^(252/1))-1</f>
        <v>0.12781988399662114</v>
      </c>
      <c r="D3365" s="30">
        <v>0.12786034090483955</v>
      </c>
      <c r="E3365" s="31">
        <f ca="1">B3365-D3365</f>
        <v>0</v>
      </c>
    </row>
    <row r="3366" spans="1:5" x14ac:dyDescent="0.25">
      <c r="A3366" s="21">
        <v>3365</v>
      </c>
      <c r="B3366" s="5" cm="1">
        <f t="array" aca="1" ref="B3366" ca="1">interpolexp(A3366,serie_du,Taxas_DI)</f>
        <v>0.12786032888179033</v>
      </c>
      <c r="C3366" s="32">
        <f ca="1">((((1+B3366)^(A3366/252))/((1+B3365)^(A3365/252)))^(252/1))-1</f>
        <v>0.12781988406959433</v>
      </c>
      <c r="D3366" s="30">
        <v>0.12786032888179033</v>
      </c>
      <c r="E3366" s="31">
        <f ca="1">B3366-D3366</f>
        <v>0</v>
      </c>
    </row>
    <row r="3367" spans="1:5" x14ac:dyDescent="0.25">
      <c r="A3367" s="21">
        <v>3366</v>
      </c>
      <c r="B3367" s="5" cm="1">
        <f t="array" aca="1" ref="B3367" ca="1">interpolexp(A3367,serie_du,Taxas_DI)</f>
        <v>0.12786031686586874</v>
      </c>
      <c r="C3367" s="32">
        <f ca="1">((((1+B3367)^(A3367/252))/((1+B3366)^(A3366/252)))^(252/1))-1</f>
        <v>0.12781988401478284</v>
      </c>
      <c r="D3367" s="30">
        <v>0.12786031686586874</v>
      </c>
      <c r="E3367" s="31">
        <f ca="1">B3367-D3367</f>
        <v>0</v>
      </c>
    </row>
    <row r="3368" spans="1:5" x14ac:dyDescent="0.25">
      <c r="A3368" s="21">
        <v>3367</v>
      </c>
      <c r="B3368" s="5" cm="1">
        <f t="array" aca="1" ref="B3368" ca="1">interpolexp(A3368,serie_du,Taxas_DI)</f>
        <v>0.12786030485707478</v>
      </c>
      <c r="C3368" s="32">
        <f ca="1">((((1+B3368)^(A3368/252))/((1+B3367)^(A3367/252)))^(252/1))-1</f>
        <v>0.12781988398105404</v>
      </c>
      <c r="D3368" s="30">
        <v>0.12786030485707478</v>
      </c>
      <c r="E3368" s="31">
        <f ca="1">B3368-D3368</f>
        <v>0</v>
      </c>
    </row>
    <row r="3369" spans="1:5" x14ac:dyDescent="0.25">
      <c r="A3369" s="21">
        <v>3368</v>
      </c>
      <c r="B3369" s="5" cm="1">
        <f t="array" aca="1" ref="B3369" ca="1">interpolexp(A3369,serie_du,Taxas_DI)</f>
        <v>0.12786029285543066</v>
      </c>
      <c r="C3369" s="32">
        <f ca="1">((((1+B3369)^(A3369/252))/((1+B3368)^(A3368/252)))^(252/1))-1</f>
        <v>0.12781988404383404</v>
      </c>
      <c r="D3369" s="30">
        <v>0.12786029285543066</v>
      </c>
      <c r="E3369" s="31">
        <f ca="1">B3369-D3369</f>
        <v>0</v>
      </c>
    </row>
    <row r="3370" spans="1:5" x14ac:dyDescent="0.25">
      <c r="A3370" s="21">
        <v>3369</v>
      </c>
      <c r="B3370" s="5" cm="1">
        <f t="array" aca="1" ref="B3370" ca="1">interpolexp(A3370,serie_du,Taxas_DI)</f>
        <v>0.12786028086091417</v>
      </c>
      <c r="C3370" s="32">
        <f ca="1">((((1+B3370)^(A3370/252))/((1+B3369)^(A3369/252)))^(252/1))-1</f>
        <v>0.12781988405307554</v>
      </c>
      <c r="D3370" s="30">
        <v>0.12786028086091417</v>
      </c>
      <c r="E3370" s="31">
        <f ca="1">B3370-D3370</f>
        <v>0</v>
      </c>
    </row>
    <row r="3371" spans="1:5" x14ac:dyDescent="0.25">
      <c r="A3371" s="21">
        <v>3370</v>
      </c>
      <c r="B3371" s="5" cm="1">
        <f t="array" aca="1" ref="B3371" ca="1">interpolexp(A3371,serie_du,Taxas_DI)</f>
        <v>0.1278602688735031</v>
      </c>
      <c r="C3371" s="32">
        <f ca="1">((((1+B3371)^(A3371/252))/((1+B3370)^(A3370/252)))^(252/1))-1</f>
        <v>0.12781988400890398</v>
      </c>
      <c r="D3371" s="30">
        <v>0.1278602688735031</v>
      </c>
      <c r="E3371" s="31">
        <f ca="1">B3371-D3371</f>
        <v>0</v>
      </c>
    </row>
    <row r="3372" spans="1:5" x14ac:dyDescent="0.25">
      <c r="A3372" s="21">
        <v>3371</v>
      </c>
      <c r="B3372" s="5" cm="1">
        <f t="array" aca="1" ref="B3372" ca="1">interpolexp(A3372,serie_du,Taxas_DI)</f>
        <v>0.12786025689319747</v>
      </c>
      <c r="C3372" s="32">
        <f ca="1">((((1+B3372)^(A3372/252))/((1+B3371)^(A3371/252)))^(252/1))-1</f>
        <v>0.12781988398603006</v>
      </c>
      <c r="D3372" s="30">
        <v>0.12786025689319747</v>
      </c>
      <c r="E3372" s="31">
        <f ca="1">B3372-D3372</f>
        <v>0</v>
      </c>
    </row>
    <row r="3373" spans="1:5" x14ac:dyDescent="0.25">
      <c r="A3373" s="21">
        <v>3372</v>
      </c>
      <c r="B3373" s="5" cm="1">
        <f t="array" aca="1" ref="B3373" ca="1">interpolexp(A3373,serie_du,Taxas_DI)</f>
        <v>0.12786024492001946</v>
      </c>
      <c r="C3373" s="32">
        <f ca="1">((((1+B3373)^(A3373/252))/((1+B3372)^(A3372/252)))^(252/1))-1</f>
        <v>0.12781988405944</v>
      </c>
      <c r="D3373" s="30">
        <v>0.12786024492001946</v>
      </c>
      <c r="E3373" s="31">
        <f ca="1">B3373-D3373</f>
        <v>0</v>
      </c>
    </row>
    <row r="3374" spans="1:5" x14ac:dyDescent="0.25">
      <c r="A3374" s="21">
        <v>3373</v>
      </c>
      <c r="B3374" s="5" cm="1">
        <f t="array" aca="1" ref="B3374" ca="1">interpolexp(A3374,serie_du,Taxas_DI)</f>
        <v>0.12786023295392468</v>
      </c>
      <c r="C3374" s="32">
        <f ca="1">((((1+B3374)^(A3374/252))/((1+B3373)^(A3373/252)))^(252/1))-1</f>
        <v>0.12781988400424282</v>
      </c>
      <c r="D3374" s="30">
        <v>0.12786023295392468</v>
      </c>
      <c r="E3374" s="31">
        <f ca="1">B3374-D3374</f>
        <v>0</v>
      </c>
    </row>
    <row r="3375" spans="1:5" x14ac:dyDescent="0.25">
      <c r="A3375" s="21">
        <v>3374</v>
      </c>
      <c r="B3375" s="5" cm="1">
        <f t="array" aca="1" ref="B3375" ca="1">interpolexp(A3375,serie_du,Taxas_DI)</f>
        <v>0.12786022099493533</v>
      </c>
      <c r="C3375" s="32">
        <f ca="1">((((1+B3375)^(A3375/252))/((1+B3374)^(A3374/252)))^(252/1))-1</f>
        <v>0.12781988404540368</v>
      </c>
      <c r="D3375" s="30">
        <v>0.12786022099493533</v>
      </c>
      <c r="E3375" s="31">
        <f ca="1">B3375-D3375</f>
        <v>0</v>
      </c>
    </row>
    <row r="3376" spans="1:5" x14ac:dyDescent="0.25">
      <c r="A3376" s="21">
        <v>3375</v>
      </c>
      <c r="B3376" s="5" cm="1">
        <f t="array" aca="1" ref="B3376" ca="1">interpolexp(A3376,serie_du,Taxas_DI)</f>
        <v>0.12786020904302919</v>
      </c>
      <c r="C3376" s="32">
        <f ca="1">((((1+B3376)^(A3376/252))/((1+B3375)^(A3375/252)))^(252/1))-1</f>
        <v>0.12781988403280842</v>
      </c>
      <c r="D3376" s="30">
        <v>0.12786020904302919</v>
      </c>
      <c r="E3376" s="31">
        <f ca="1">B3376-D3376</f>
        <v>0</v>
      </c>
    </row>
    <row r="3377" spans="1:5" x14ac:dyDescent="0.25">
      <c r="A3377" s="21">
        <v>3376</v>
      </c>
      <c r="B3377" s="5" cm="1">
        <f t="array" aca="1" ref="B3377" ca="1">interpolexp(A3377,serie_du,Taxas_DI)</f>
        <v>0.12786019709818408</v>
      </c>
      <c r="C3377" s="32">
        <f ca="1">((((1+B3377)^(A3377/252))/((1+B3376)^(A3376/252)))^(252/1))-1</f>
        <v>0.12781988396658073</v>
      </c>
      <c r="D3377" s="30">
        <v>0.12786019709818408</v>
      </c>
      <c r="E3377" s="31">
        <f ca="1">B3377-D3377</f>
        <v>0</v>
      </c>
    </row>
    <row r="3378" spans="1:5" x14ac:dyDescent="0.25">
      <c r="A3378" s="21">
        <v>3377</v>
      </c>
      <c r="B3378" s="5" cm="1">
        <f t="array" aca="1" ref="B3378" ca="1">interpolexp(A3378,serie_du,Taxas_DI)</f>
        <v>0.1278601851604444</v>
      </c>
      <c r="C3378" s="32">
        <f ca="1">((((1+B3378)^(A3378/252))/((1+B3377)^(A3377/252)))^(252/1))-1</f>
        <v>0.12781988407155165</v>
      </c>
      <c r="D3378" s="30">
        <v>0.1278601851604444</v>
      </c>
      <c r="E3378" s="31">
        <f ca="1">B3378-D3378</f>
        <v>0</v>
      </c>
    </row>
    <row r="3379" spans="1:5" x14ac:dyDescent="0.25">
      <c r="A3379" s="21">
        <v>3378</v>
      </c>
      <c r="B3379" s="5" cm="1">
        <f t="array" aca="1" ref="B3379" ca="1">interpolexp(A3379,serie_du,Taxas_DI)</f>
        <v>0.12786017322974352</v>
      </c>
      <c r="C3379" s="32">
        <f ca="1">((((1+B3379)^(A3379/252))/((1+B3378)^(A3378/252)))^(252/1))-1</f>
        <v>0.12781988397275712</v>
      </c>
      <c r="D3379" s="30">
        <v>0.12786017322974352</v>
      </c>
      <c r="E3379" s="31">
        <f ca="1">B3379-D3379</f>
        <v>0</v>
      </c>
    </row>
    <row r="3380" spans="1:5" x14ac:dyDescent="0.25">
      <c r="A3380" s="21">
        <v>3379</v>
      </c>
      <c r="B3380" s="5" cm="1">
        <f t="array" aca="1" ref="B3380" ca="1">interpolexp(A3380,serie_du,Taxas_DI)</f>
        <v>0.12786016130612587</v>
      </c>
      <c r="C3380" s="32">
        <f ca="1">((((1+B3380)^(A3380/252))/((1+B3379)^(A3379/252)))^(252/1))-1</f>
        <v>0.12781988404509059</v>
      </c>
      <c r="D3380" s="30">
        <v>0.12786016130612587</v>
      </c>
      <c r="E3380" s="31">
        <f ca="1">B3380-D3380</f>
        <v>0</v>
      </c>
    </row>
    <row r="3381" spans="1:5" x14ac:dyDescent="0.25">
      <c r="A3381" s="21">
        <v>3380</v>
      </c>
      <c r="B3381" s="5" cm="1">
        <f t="array" aca="1" ref="B3381" ca="1">interpolexp(A3381,serie_du,Taxas_DI)</f>
        <v>0.12786014938954704</v>
      </c>
      <c r="C3381" s="32">
        <f ca="1">((((1+B3381)^(A3381/252))/((1+B3380)^(A3380/252)))^(252/1))-1</f>
        <v>0.1278198839886755</v>
      </c>
      <c r="D3381" s="30">
        <v>0.12786014938954704</v>
      </c>
      <c r="E3381" s="31">
        <f ca="1">B3381-D3381</f>
        <v>0</v>
      </c>
    </row>
    <row r="3382" spans="1:5" x14ac:dyDescent="0.25">
      <c r="A3382" s="21">
        <v>3381</v>
      </c>
      <c r="B3382" s="5" cm="1">
        <f t="array" aca="1" ref="B3382" ca="1">interpolexp(A3382,serie_du,Taxas_DI)</f>
        <v>0.12786013748002922</v>
      </c>
      <c r="C3382" s="32">
        <f ca="1">((((1+B3382)^(A3382/252))/((1+B3381)^(A3381/252)))^(252/1))-1</f>
        <v>0.12781988402832201</v>
      </c>
      <c r="D3382" s="30">
        <v>0.12786013748002922</v>
      </c>
      <c r="E3382" s="31">
        <f ca="1">B3382-D3382</f>
        <v>0</v>
      </c>
    </row>
    <row r="3383" spans="1:5" x14ac:dyDescent="0.25">
      <c r="A3383" s="21">
        <v>3382</v>
      </c>
      <c r="B3383" s="5" cm="1">
        <f t="array" aca="1" ref="B3383" ca="1">interpolexp(A3383,serie_du,Taxas_DI)</f>
        <v>0.12786012557755022</v>
      </c>
      <c r="C3383" s="32">
        <f ca="1">((((1+B3383)^(A3383/252))/((1+B3382)^(A3382/252)))^(252/1))-1</f>
        <v>0.12781988401421573</v>
      </c>
      <c r="D3383" s="30">
        <v>0.12786012557755022</v>
      </c>
      <c r="E3383" s="31">
        <f ca="1">B3383-D3383</f>
        <v>0</v>
      </c>
    </row>
    <row r="3384" spans="1:5" x14ac:dyDescent="0.25">
      <c r="A3384" s="21">
        <v>3383</v>
      </c>
      <c r="B3384" s="5" cm="1">
        <f t="array" aca="1" ref="B3384" ca="1">interpolexp(A3384,serie_du,Taxas_DI)</f>
        <v>0.12786011368211003</v>
      </c>
      <c r="C3384" s="32">
        <f ca="1">((((1+B3384)^(A3384/252))/((1+B3383)^(A3383/252)))^(252/1))-1</f>
        <v>0.12781988402101541</v>
      </c>
      <c r="D3384" s="30">
        <v>0.12786011368211003</v>
      </c>
      <c r="E3384" s="31">
        <f ca="1">B3384-D3384</f>
        <v>0</v>
      </c>
    </row>
    <row r="3385" spans="1:5" x14ac:dyDescent="0.25">
      <c r="A3385" s="21">
        <v>3384</v>
      </c>
      <c r="B3385" s="5" cm="1">
        <f t="array" aca="1" ref="B3385" ca="1">interpolexp(A3385,serie_du,Taxas_DI)</f>
        <v>0.12786010179370866</v>
      </c>
      <c r="C3385" s="32">
        <f ca="1">((((1+B3385)^(A3385/252))/((1+B3384)^(A3384/252)))^(252/1))-1</f>
        <v>0.12781988404916955</v>
      </c>
      <c r="D3385" s="30">
        <v>0.12786010179370866</v>
      </c>
      <c r="E3385" s="31">
        <f ca="1">B3385-D3385</f>
        <v>0</v>
      </c>
    </row>
    <row r="3386" spans="1:5" x14ac:dyDescent="0.25">
      <c r="A3386" s="21">
        <v>3385</v>
      </c>
      <c r="B3386" s="5" cm="1">
        <f t="array" aca="1" ref="B3386" ca="1">interpolexp(A3386,serie_du,Taxas_DI)</f>
        <v>0.12786008991232389</v>
      </c>
      <c r="C3386" s="32">
        <f ca="1">((((1+B3386)^(A3386/252))/((1+B3385)^(A3385/252)))^(252/1))-1</f>
        <v>0.12781988402309752</v>
      </c>
      <c r="D3386" s="30">
        <v>0.12786008991232389</v>
      </c>
      <c r="E3386" s="31">
        <f ca="1">B3386-D3386</f>
        <v>0</v>
      </c>
    </row>
    <row r="3387" spans="1:5" x14ac:dyDescent="0.25">
      <c r="A3387" s="21">
        <v>3386</v>
      </c>
      <c r="B3387" s="5" cm="1">
        <f t="array" aca="1" ref="B3387" ca="1">interpolexp(A3387,serie_du,Taxas_DI)</f>
        <v>0.12786007803795574</v>
      </c>
      <c r="C3387" s="32">
        <f ca="1">((((1+B3387)^(A3387/252))/((1+B3386)^(A3386/252)))^(252/1))-1</f>
        <v>0.12781988401818545</v>
      </c>
      <c r="D3387" s="30">
        <v>0.12786007803795574</v>
      </c>
      <c r="E3387" s="31">
        <f ca="1">B3387-D3387</f>
        <v>0</v>
      </c>
    </row>
    <row r="3388" spans="1:5" x14ac:dyDescent="0.25">
      <c r="A3388" s="21">
        <v>3387</v>
      </c>
      <c r="B3388" s="5" cm="1">
        <f t="array" aca="1" ref="B3388" ca="1">interpolexp(A3388,serie_du,Taxas_DI)</f>
        <v>0.12786006617058199</v>
      </c>
      <c r="C3388" s="32">
        <f ca="1">((((1+B3388)^(A3388/252))/((1+B3387)^(A3387/252)))^(252/1))-1</f>
        <v>0.12781988395906496</v>
      </c>
      <c r="D3388" s="30">
        <v>0.12786006617058199</v>
      </c>
      <c r="E3388" s="31">
        <f ca="1">B3388-D3388</f>
        <v>0</v>
      </c>
    </row>
    <row r="3389" spans="1:5" x14ac:dyDescent="0.25">
      <c r="A3389" s="21">
        <v>3388</v>
      </c>
      <c r="B3389" s="5" cm="1">
        <f t="array" aca="1" ref="B3389" ca="1">interpolexp(A3389,serie_du,Taxas_DI)</f>
        <v>0.12786005431024705</v>
      </c>
      <c r="C3389" s="32">
        <f ca="1">((((1+B3389)^(A3389/252))/((1+B3388)^(A3388/252)))^(252/1))-1</f>
        <v>0.12781988407148792</v>
      </c>
      <c r="D3389" s="30">
        <v>0.12786005431024705</v>
      </c>
      <c r="E3389" s="31">
        <f ca="1">B3389-D3389</f>
        <v>0</v>
      </c>
    </row>
    <row r="3390" spans="1:5" x14ac:dyDescent="0.25">
      <c r="A3390" s="21">
        <v>3389</v>
      </c>
      <c r="B3390" s="5" cm="1">
        <f t="array" aca="1" ref="B3390" ca="1">interpolexp(A3390,serie_du,Taxas_DI)</f>
        <v>0.12786004245688432</v>
      </c>
      <c r="C3390" s="32">
        <f ca="1">((((1+B3390)^(A3390/252))/((1+B3389)^(A3389/252)))^(252/1))-1</f>
        <v>0.12781988397905031</v>
      </c>
      <c r="D3390" s="30">
        <v>0.12786004245688432</v>
      </c>
      <c r="E3390" s="31">
        <f ca="1">B3390-D3390</f>
        <v>0</v>
      </c>
    </row>
    <row r="3391" spans="1:5" x14ac:dyDescent="0.25">
      <c r="A3391" s="21">
        <v>3390</v>
      </c>
      <c r="B3391" s="5" cm="1">
        <f t="array" aca="1" ref="B3391" ca="1">interpolexp(A3391,serie_du,Taxas_DI)</f>
        <v>0.12786003061053819</v>
      </c>
      <c r="C3391" s="32">
        <f ca="1">((((1+B3391)^(A3391/252))/((1+B3390)^(A3390/252)))^(252/1))-1</f>
        <v>0.12781988405830202</v>
      </c>
      <c r="D3391" s="30">
        <v>0.12786003061053819</v>
      </c>
      <c r="E3391" s="31">
        <f ca="1">B3391-D3391</f>
        <v>0</v>
      </c>
    </row>
    <row r="3392" spans="1:5" x14ac:dyDescent="0.25">
      <c r="A3392" s="21">
        <v>3391</v>
      </c>
      <c r="B3392" s="5" cm="1">
        <f t="array" aca="1" ref="B3392" ca="1">interpolexp(A3392,serie_du,Taxas_DI)</f>
        <v>0.12786001877116426</v>
      </c>
      <c r="C3392" s="32">
        <f ca="1">((((1+B3392)^(A3392/252))/((1+B3391)^(A3391/252)))^(252/1))-1</f>
        <v>0.12781988400783528</v>
      </c>
      <c r="D3392" s="30">
        <v>0.12786001877116426</v>
      </c>
      <c r="E3392" s="31">
        <f ca="1">B3392-D3392</f>
        <v>0</v>
      </c>
    </row>
    <row r="3393" spans="1:5" x14ac:dyDescent="0.25">
      <c r="A3393" s="21">
        <v>3392</v>
      </c>
      <c r="B3393" s="5" cm="1">
        <f t="array" aca="1" ref="B3393" ca="1">interpolexp(A3393,serie_du,Taxas_DI)</f>
        <v>0.12786000693876254</v>
      </c>
      <c r="C3393" s="32">
        <f ca="1">((((1+B3393)^(A3393/252))/((1+B3392)^(A3392/252)))^(252/1))-1</f>
        <v>0.12781988397842103</v>
      </c>
      <c r="D3393" s="30">
        <v>0.12786000693876254</v>
      </c>
      <c r="E3393" s="31">
        <f ca="1">B3393-D3393</f>
        <v>0</v>
      </c>
    </row>
    <row r="3394" spans="1:5" x14ac:dyDescent="0.25">
      <c r="A3394" s="21">
        <v>3393</v>
      </c>
      <c r="B3394" s="5" cm="1">
        <f t="array" aca="1" ref="B3394" ca="1">interpolexp(A3394,serie_du,Taxas_DI)</f>
        <v>0.12785999511335522</v>
      </c>
      <c r="C3394" s="32">
        <f ca="1">((((1+B3394)^(A3394/252))/((1+B3393)^(A3393/252)))^(252/1))-1</f>
        <v>0.12781988404509059</v>
      </c>
      <c r="D3394" s="30">
        <v>0.12785999511335522</v>
      </c>
      <c r="E3394" s="31">
        <f ca="1">B3394-D3394</f>
        <v>0</v>
      </c>
    </row>
    <row r="3395" spans="1:5" x14ac:dyDescent="0.25">
      <c r="A3395" s="21">
        <v>3394</v>
      </c>
      <c r="B3395" s="5" cm="1">
        <f t="array" aca="1" ref="B3395" ca="1">interpolexp(A3395,serie_du,Taxas_DI)</f>
        <v>0.12785998329489789</v>
      </c>
      <c r="C3395" s="32">
        <f ca="1">((((1+B3395)^(A3395/252))/((1+B3394)^(A3394/252)))^(252/1))-1</f>
        <v>0.12781988398231059</v>
      </c>
      <c r="D3395" s="30">
        <v>0.12785998329489789</v>
      </c>
      <c r="E3395" s="31">
        <f ca="1">B3395-D3395</f>
        <v>0</v>
      </c>
    </row>
    <row r="3396" spans="1:5" x14ac:dyDescent="0.25">
      <c r="A3396" s="21">
        <v>3395</v>
      </c>
      <c r="B3396" s="5" cm="1">
        <f t="array" aca="1" ref="B3396" ca="1">interpolexp(A3396,serie_du,Taxas_DI)</f>
        <v>0.12785997148341277</v>
      </c>
      <c r="C3396" s="32">
        <f ca="1">((((1+B3396)^(A3396/252))/((1+B3395)^(A3395/252)))^(252/1))-1</f>
        <v>0.12781988401553468</v>
      </c>
      <c r="D3396" s="30">
        <v>0.12785997148341277</v>
      </c>
      <c r="E3396" s="31">
        <f ca="1">B3396-D3396</f>
        <v>0</v>
      </c>
    </row>
    <row r="3397" spans="1:5" x14ac:dyDescent="0.25">
      <c r="A3397" s="21">
        <v>3396</v>
      </c>
      <c r="B3397" s="5" cm="1">
        <f t="array" aca="1" ref="B3397" ca="1">interpolexp(A3397,serie_du,Taxas_DI)</f>
        <v>0.12785995967887764</v>
      </c>
      <c r="C3397" s="32">
        <f ca="1">((((1+B3397)^(A3397/252))/((1+B3396)^(A3396/252)))^(252/1))-1</f>
        <v>0.12781988399434296</v>
      </c>
      <c r="D3397" s="30">
        <v>0.12785995967887764</v>
      </c>
      <c r="E3397" s="31">
        <f ca="1">B3397-D3397</f>
        <v>0</v>
      </c>
    </row>
    <row r="3398" spans="1:5" x14ac:dyDescent="0.25">
      <c r="A3398" s="21">
        <v>3397</v>
      </c>
      <c r="B3398" s="5" cm="1">
        <f t="array" aca="1" ref="B3398" ca="1">interpolexp(A3398,serie_du,Taxas_DI)</f>
        <v>0.12785994788131472</v>
      </c>
      <c r="C3398" s="32">
        <f ca="1">((((1+B3398)^(A3398/252))/((1+B3397)^(A3397/252)))^(252/1))-1</f>
        <v>0.12781988406940559</v>
      </c>
      <c r="D3398" s="30">
        <v>0.12785994788131472</v>
      </c>
      <c r="E3398" s="31">
        <f ca="1">B3398-D3398</f>
        <v>0</v>
      </c>
    </row>
    <row r="3399" spans="1:5" x14ac:dyDescent="0.25">
      <c r="A3399" s="21">
        <v>3398</v>
      </c>
      <c r="B3399" s="5" cm="1">
        <f t="array" aca="1" ref="B3399" ca="1">interpolexp(A3399,serie_du,Taxas_DI)</f>
        <v>0.12785993609067958</v>
      </c>
      <c r="C3399" s="32">
        <f ca="1">((((1+B3399)^(A3399/252))/((1+B3398)^(A3398/252)))^(252/1))-1</f>
        <v>0.1278198840145286</v>
      </c>
      <c r="D3399" s="30">
        <v>0.12785993609067958</v>
      </c>
      <c r="E3399" s="31">
        <f ca="1">B3399-D3399</f>
        <v>0</v>
      </c>
    </row>
    <row r="3400" spans="1:5" x14ac:dyDescent="0.25">
      <c r="A3400" s="21">
        <v>3399</v>
      </c>
      <c r="B3400" s="5" cm="1">
        <f t="array" aca="1" ref="B3400" ca="1">interpolexp(A3400,serie_du,Taxas_DI)</f>
        <v>0.12785992430697224</v>
      </c>
      <c r="C3400" s="32">
        <f ca="1">((((1+B3400)^(A3400/252))/((1+B3399)^(A3399/252)))^(252/1))-1</f>
        <v>0.12781988398038635</v>
      </c>
      <c r="D3400" s="30">
        <v>0.12785992430697224</v>
      </c>
      <c r="E3400" s="31">
        <f ca="1">B3400-D3400</f>
        <v>0</v>
      </c>
    </row>
    <row r="3401" spans="1:5" x14ac:dyDescent="0.25">
      <c r="A3401" s="21">
        <v>3400</v>
      </c>
      <c r="B3401" s="5" cm="1">
        <f t="array" aca="1" ref="B3401" ca="1">interpolexp(A3401,serie_du,Taxas_DI)</f>
        <v>0.12785991253021489</v>
      </c>
      <c r="C3401" s="32">
        <f ca="1">((((1+B3401)^(A3401/252))/((1+B3400)^(A3400/252)))^(252/1))-1</f>
        <v>0.12781988404245359</v>
      </c>
      <c r="D3401" s="30">
        <v>0.12785991253021489</v>
      </c>
      <c r="E3401" s="31">
        <f ca="1">B3401-D3401</f>
        <v>0</v>
      </c>
    </row>
    <row r="3402" spans="1:5" x14ac:dyDescent="0.25">
      <c r="A3402" s="21">
        <v>3401</v>
      </c>
      <c r="B3402" s="5" cm="1">
        <f t="array" aca="1" ref="B3402" ca="1">interpolexp(A3402,serie_du,Taxas_DI)</f>
        <v>0.12785990076036313</v>
      </c>
      <c r="C3402" s="32">
        <f ca="1">((((1+B3402)^(A3402/252))/((1+B3401)^(A3401/252)))^(252/1))-1</f>
        <v>0.12781988397451505</v>
      </c>
      <c r="D3402" s="30">
        <v>0.12785990076036313</v>
      </c>
      <c r="E3402" s="31">
        <f ca="1">B3402-D3402</f>
        <v>0</v>
      </c>
    </row>
    <row r="3403" spans="1:5" x14ac:dyDescent="0.25">
      <c r="A3403" s="21">
        <v>3402</v>
      </c>
      <c r="B3403" s="5" cm="1">
        <f t="array" aca="1" ref="B3403" ca="1">interpolexp(A3403,serie_du,Taxas_DI)</f>
        <v>0.12785988899743916</v>
      </c>
      <c r="C3403" s="32">
        <f ca="1">((((1+B3403)^(A3403/252))/((1+B3402)^(A3402/252)))^(252/1))-1</f>
        <v>0.12781988400273514</v>
      </c>
      <c r="D3403" s="30">
        <v>0.12785988899743916</v>
      </c>
      <c r="E3403" s="31">
        <f ca="1">B3403-D3403</f>
        <v>0</v>
      </c>
    </row>
    <row r="3404" spans="1:5" x14ac:dyDescent="0.25">
      <c r="A3404" s="21">
        <v>3403</v>
      </c>
      <c r="B3404" s="5" cm="1">
        <f t="array" aca="1" ref="B3404" ca="1">interpolexp(A3404,serie_du,Taxas_DI)</f>
        <v>0.12785987724144299</v>
      </c>
      <c r="C3404" s="32">
        <f ca="1">((((1+B3404)^(A3404/252))/((1+B3403)^(A3403/252)))^(252/1))-1</f>
        <v>0.12781988405181877</v>
      </c>
      <c r="D3404" s="30">
        <v>0.12785987724144299</v>
      </c>
      <c r="E3404" s="31">
        <f ca="1">B3404-D3404</f>
        <v>0</v>
      </c>
    </row>
    <row r="3405" spans="1:5" x14ac:dyDescent="0.25">
      <c r="A3405" s="21">
        <v>3404</v>
      </c>
      <c r="B3405" s="5" cm="1">
        <f t="array" aca="1" ref="B3405" ca="1">interpolexp(A3405,serie_du,Taxas_DI)</f>
        <v>0.12785986549233019</v>
      </c>
      <c r="C3405" s="32">
        <f ca="1">((((1+B3405)^(A3405/252))/((1+B3404)^(A3404/252)))^(252/1))-1</f>
        <v>0.12781988397029465</v>
      </c>
      <c r="D3405" s="30">
        <v>0.12785986549233019</v>
      </c>
      <c r="E3405" s="31">
        <f ca="1">B3405-D3405</f>
        <v>0</v>
      </c>
    </row>
    <row r="3406" spans="1:5" x14ac:dyDescent="0.25">
      <c r="A3406" s="21">
        <v>3405</v>
      </c>
      <c r="B3406" s="5" cm="1">
        <f t="array" aca="1" ref="B3406" ca="1">interpolexp(A3406,serie_du,Taxas_DI)</f>
        <v>0.12785985375014519</v>
      </c>
      <c r="C3406" s="32">
        <f ca="1">((((1+B3406)^(A3406/252))/((1+B3405)^(A3405/252)))^(252/1))-1</f>
        <v>0.12781988406095124</v>
      </c>
      <c r="D3406" s="30">
        <v>0.12785985375014519</v>
      </c>
      <c r="E3406" s="31">
        <f ca="1">B3406-D3406</f>
        <v>0</v>
      </c>
    </row>
    <row r="3407" spans="1:5" x14ac:dyDescent="0.25">
      <c r="A3407" s="21">
        <v>3406</v>
      </c>
      <c r="B3407" s="5" cm="1">
        <f t="array" aca="1" ref="B3407" ca="1">interpolexp(A3407,serie_du,Taxas_DI)</f>
        <v>0.12785984201482137</v>
      </c>
      <c r="C3407" s="32">
        <f ca="1">((((1+B3407)^(A3407/252))/((1+B3406)^(A3406/252)))^(252/1))-1</f>
        <v>0.12781988394519694</v>
      </c>
      <c r="D3407" s="30">
        <v>0.12785984201482137</v>
      </c>
      <c r="E3407" s="31">
        <f ca="1">B3407-D3407</f>
        <v>0</v>
      </c>
    </row>
    <row r="3408" spans="1:5" x14ac:dyDescent="0.25">
      <c r="A3408" s="21">
        <v>3407</v>
      </c>
      <c r="B3408" s="5" cm="1">
        <f t="array" aca="1" ref="B3408" ca="1">interpolexp(A3408,serie_du,Taxas_DI)</f>
        <v>0.12785983028640313</v>
      </c>
      <c r="C3408" s="32">
        <f ca="1">((((1+B3408)^(A3408/252))/((1+B3407)^(A3407/252)))^(252/1))-1</f>
        <v>0.12781988400160449</v>
      </c>
      <c r="D3408" s="30">
        <v>0.12785983028640313</v>
      </c>
      <c r="E3408" s="31">
        <f ca="1">B3408-D3408</f>
        <v>0</v>
      </c>
    </row>
    <row r="3409" spans="1:5" x14ac:dyDescent="0.25">
      <c r="A3409" s="21">
        <v>3408</v>
      </c>
      <c r="B3409" s="5" cm="1">
        <f t="array" aca="1" ref="B3409" ca="1">interpolexp(A3409,serie_du,Taxas_DI)</f>
        <v>0.12785981856489048</v>
      </c>
      <c r="C3409" s="32">
        <f ca="1">((((1+B3409)^(A3409/252))/((1+B3408)^(A3408/252)))^(252/1))-1</f>
        <v>0.12781988407847611</v>
      </c>
      <c r="D3409" s="30">
        <v>0.12785981856489048</v>
      </c>
      <c r="E3409" s="31">
        <f ca="1">B3409-D3409</f>
        <v>0</v>
      </c>
    </row>
    <row r="3410" spans="1:5" x14ac:dyDescent="0.25">
      <c r="A3410" s="21">
        <v>3409</v>
      </c>
      <c r="B3410" s="5" cm="1">
        <f t="array" aca="1" ref="B3410" ca="1">interpolexp(A3410,serie_du,Taxas_DI)</f>
        <v>0.12785980685021681</v>
      </c>
      <c r="C3410" s="32">
        <f ca="1">((((1+B3410)^(A3410/252))/((1+B3409)^(A3409/252)))^(252/1))-1</f>
        <v>0.12781988394911825</v>
      </c>
      <c r="D3410" s="30">
        <v>0.12785980685021681</v>
      </c>
      <c r="E3410" s="31">
        <f ca="1">B3410-D3410</f>
        <v>0</v>
      </c>
    </row>
    <row r="3411" spans="1:5" x14ac:dyDescent="0.25">
      <c r="A3411" s="21">
        <v>3410</v>
      </c>
      <c r="B3411" s="5" cm="1">
        <f t="array" aca="1" ref="B3411" ca="1">interpolexp(A3411,serie_du,Taxas_DI)</f>
        <v>0.12785979514244872</v>
      </c>
      <c r="C3411" s="32">
        <f ca="1">((((1+B3411)^(A3411/252))/((1+B3410)^(A3410/252)))^(252/1))-1</f>
        <v>0.12781988406745737</v>
      </c>
      <c r="D3411" s="30">
        <v>0.12785979514244872</v>
      </c>
      <c r="E3411" s="31">
        <f ca="1">B3411-D3411</f>
        <v>0</v>
      </c>
    </row>
    <row r="3412" spans="1:5" x14ac:dyDescent="0.25">
      <c r="A3412" s="21">
        <v>3411</v>
      </c>
      <c r="B3412" s="5" cm="1">
        <f t="array" aca="1" ref="B3412" ca="1">interpolexp(A3412,serie_du,Taxas_DI)</f>
        <v>0.1278597834415196</v>
      </c>
      <c r="C3412" s="32">
        <f ca="1">((((1+B3412)^(A3412/252))/((1+B3411)^(A3411/252)))^(252/1))-1</f>
        <v>0.12781988397917643</v>
      </c>
      <c r="D3412" s="30">
        <v>0.1278597834415196</v>
      </c>
      <c r="E3412" s="31">
        <f ca="1">B3412-D3412</f>
        <v>0</v>
      </c>
    </row>
    <row r="3413" spans="1:5" x14ac:dyDescent="0.25">
      <c r="A3413" s="21">
        <v>3412</v>
      </c>
      <c r="B3413" s="5" cm="1">
        <f t="array" aca="1" ref="B3413" ca="1">interpolexp(A3413,serie_du,Taxas_DI)</f>
        <v>0.12785977174745167</v>
      </c>
      <c r="C3413" s="32">
        <f ca="1">((((1+B3413)^(A3413/252))/((1+B3412)^(A3412/252)))^(252/1))-1</f>
        <v>0.12781988398722266</v>
      </c>
      <c r="D3413" s="30">
        <v>0.12785977174745167</v>
      </c>
      <c r="E3413" s="31">
        <f ca="1">B3413-D3413</f>
        <v>0</v>
      </c>
    </row>
    <row r="3414" spans="1:5" x14ac:dyDescent="0.25">
      <c r="A3414" s="21">
        <v>3413</v>
      </c>
      <c r="B3414" s="5" cm="1">
        <f t="array" aca="1" ref="B3414" ca="1">interpolexp(A3414,serie_du,Taxas_DI)</f>
        <v>0.12785976006024491</v>
      </c>
      <c r="C3414" s="32">
        <f ca="1">((((1+B3414)^(A3414/252))/((1+B3413)^(A3413/252)))^(252/1))-1</f>
        <v>0.12781988401603916</v>
      </c>
      <c r="D3414" s="30">
        <v>0.12785976006024491</v>
      </c>
      <c r="E3414" s="31">
        <f ca="1">B3414-D3414</f>
        <v>0</v>
      </c>
    </row>
    <row r="3415" spans="1:5" x14ac:dyDescent="0.25">
      <c r="A3415" s="21">
        <v>3414</v>
      </c>
      <c r="B3415" s="5" cm="1">
        <f t="array" aca="1" ref="B3415" ca="1">interpolexp(A3415,serie_du,Taxas_DI)</f>
        <v>0.12785974837987713</v>
      </c>
      <c r="C3415" s="32">
        <f ca="1">((((1+B3415)^(A3415/252))/((1+B3414)^(A3414/252)))^(252/1))-1</f>
        <v>0.12781988398930633</v>
      </c>
      <c r="D3415" s="30">
        <v>0.12785974837987713</v>
      </c>
      <c r="E3415" s="31">
        <f ca="1">B3415-D3415</f>
        <v>0</v>
      </c>
    </row>
    <row r="3416" spans="1:5" x14ac:dyDescent="0.25">
      <c r="A3416" s="21">
        <v>3415</v>
      </c>
      <c r="B3416" s="5" cm="1">
        <f t="array" aca="1" ref="B3416" ca="1">interpolexp(A3416,serie_du,Taxas_DI)</f>
        <v>0.12785973670634831</v>
      </c>
      <c r="C3416" s="32">
        <f ca="1">((((1+B3416)^(A3416/252))/((1+B3415)^(A3415/252)))^(252/1))-1</f>
        <v>0.12781988398337907</v>
      </c>
      <c r="D3416" s="30">
        <v>0.12785973670634831</v>
      </c>
      <c r="E3416" s="31">
        <f ca="1">B3416-D3416</f>
        <v>0</v>
      </c>
    </row>
    <row r="3417" spans="1:5" x14ac:dyDescent="0.25">
      <c r="A3417" s="21">
        <v>3416</v>
      </c>
      <c r="B3417" s="5" cm="1">
        <f t="array" aca="1" ref="B3417" ca="1">interpolexp(A3417,serie_du,Taxas_DI)</f>
        <v>0.12785972503968068</v>
      </c>
      <c r="C3417" s="32">
        <f ca="1">((((1+B3417)^(A3417/252))/((1+B3416)^(A3416/252)))^(252/1))-1</f>
        <v>0.12781988407350009</v>
      </c>
      <c r="D3417" s="30">
        <v>0.12785972503968068</v>
      </c>
      <c r="E3417" s="31">
        <f ca="1">B3417-D3417</f>
        <v>0</v>
      </c>
    </row>
    <row r="3418" spans="1:5" x14ac:dyDescent="0.25">
      <c r="A3418" s="21">
        <v>3417</v>
      </c>
      <c r="B3418" s="5" cm="1">
        <f t="array" aca="1" ref="B3418" ca="1">interpolexp(A3418,serie_du,Taxas_DI)</f>
        <v>0.12785971337980762</v>
      </c>
      <c r="C3418" s="32">
        <f ca="1">((((1+B3418)^(A3418/252))/((1+B3417)^(A3417/252)))^(252/1))-1</f>
        <v>0.12781988395692845</v>
      </c>
      <c r="D3418" s="30">
        <v>0.12785971337980762</v>
      </c>
      <c r="E3418" s="31">
        <f ca="1">B3418-D3418</f>
        <v>0</v>
      </c>
    </row>
    <row r="3419" spans="1:5" x14ac:dyDescent="0.25">
      <c r="A3419" s="21">
        <v>3418</v>
      </c>
      <c r="B3419" s="5" cm="1">
        <f t="array" aca="1" ref="B3419" ca="1">interpolexp(A3419,serie_du,Taxas_DI)</f>
        <v>0.12785970172677352</v>
      </c>
      <c r="C3419" s="32">
        <f ca="1">((((1+B3419)^(A3419/252))/((1+B3418)^(A3418/252)))^(252/1))-1</f>
        <v>0.12781988401230659</v>
      </c>
      <c r="D3419" s="30">
        <v>0.12785970172677352</v>
      </c>
      <c r="E3419" s="31">
        <f ca="1">B3419-D3419</f>
        <v>0</v>
      </c>
    </row>
    <row r="3420" spans="1:5" x14ac:dyDescent="0.25">
      <c r="A3420" s="21">
        <v>3419</v>
      </c>
      <c r="B3420" s="5" cm="1">
        <f t="array" aca="1" ref="B3420" ca="1">interpolexp(A3420,serie_du,Taxas_DI)</f>
        <v>0.1278596900805562</v>
      </c>
      <c r="C3420" s="32">
        <f ca="1">((((1+B3420)^(A3420/252))/((1+B3419)^(A3419/252)))^(252/1))-1</f>
        <v>0.12781988401249333</v>
      </c>
      <c r="D3420" s="30">
        <v>0.1278596900805562</v>
      </c>
      <c r="E3420" s="31">
        <f ca="1">B3420-D3420</f>
        <v>0</v>
      </c>
    </row>
    <row r="3421" spans="1:5" x14ac:dyDescent="0.25">
      <c r="A3421" s="21">
        <v>3420</v>
      </c>
      <c r="B3421" s="5" cm="1">
        <f t="array" aca="1" ref="B3421" ca="1">interpolexp(A3421,serie_du,Taxas_DI)</f>
        <v>0.12785967844115564</v>
      </c>
      <c r="C3421" s="32">
        <f ca="1">((((1+B3421)^(A3421/252))/((1+B3420)^(A3420/252)))^(252/1))-1</f>
        <v>0.12781988403287103</v>
      </c>
      <c r="D3421" s="30">
        <v>0.12785967844115564</v>
      </c>
      <c r="E3421" s="31">
        <f ca="1">B3421-D3421</f>
        <v>0</v>
      </c>
    </row>
    <row r="3422" spans="1:5" x14ac:dyDescent="0.25">
      <c r="A3422" s="21">
        <v>3421</v>
      </c>
      <c r="B3422" s="5" cm="1">
        <f t="array" aca="1" ref="B3422" ca="1">interpolexp(A3422,serie_du,Taxas_DI)</f>
        <v>0.12785966680854965</v>
      </c>
      <c r="C3422" s="32">
        <f ca="1">((((1+B3422)^(A3422/252))/((1+B3421)^(A3421/252)))^(252/1))-1</f>
        <v>0.12781988399794786</v>
      </c>
      <c r="D3422" s="30">
        <v>0.12785966680854965</v>
      </c>
      <c r="E3422" s="31">
        <f ca="1">B3422-D3422</f>
        <v>0</v>
      </c>
    </row>
    <row r="3423" spans="1:5" x14ac:dyDescent="0.25">
      <c r="A3423" s="21">
        <v>3422</v>
      </c>
      <c r="B3423" s="5" cm="1">
        <f t="array" aca="1" ref="B3423" ca="1">interpolexp(A3423,serie_du,Taxas_DI)</f>
        <v>0.12785965518273823</v>
      </c>
      <c r="C3423" s="32">
        <f ca="1">((((1+B3423)^(A3423/252))/((1+B3422)^(A3422/252)))^(252/1))-1</f>
        <v>0.1278198839832545</v>
      </c>
      <c r="D3423" s="30">
        <v>0.12785965518273823</v>
      </c>
      <c r="E3423" s="31">
        <f ca="1">B3423-D3423</f>
        <v>0</v>
      </c>
    </row>
    <row r="3424" spans="1:5" x14ac:dyDescent="0.25">
      <c r="A3424" s="21">
        <v>3423</v>
      </c>
      <c r="B3424" s="5" cm="1">
        <f t="array" aca="1" ref="B3424" ca="1">interpolexp(A3424,serie_du,Taxas_DI)</f>
        <v>0.12785964356372137</v>
      </c>
      <c r="C3424" s="32">
        <f ca="1">((((1+B3424)^(A3424/252))/((1+B3423)^(A3423/252)))^(252/1))-1</f>
        <v>0.12781988398911781</v>
      </c>
      <c r="D3424" s="30">
        <v>0.12785964356372137</v>
      </c>
      <c r="E3424" s="31">
        <f ca="1">B3424-D3424</f>
        <v>0</v>
      </c>
    </row>
    <row r="3425" spans="1:5" x14ac:dyDescent="0.25">
      <c r="A3425" s="21">
        <v>3424</v>
      </c>
      <c r="B3425" s="5" cm="1">
        <f t="array" aca="1" ref="B3425" ca="1">interpolexp(A3425,serie_du,Taxas_DI)</f>
        <v>0.12785963195149908</v>
      </c>
      <c r="C3425" s="32">
        <f ca="1">((((1+B3425)^(A3425/252))/((1+B3424)^(A3424/252)))^(252/1))-1</f>
        <v>0.12781988401515965</v>
      </c>
      <c r="D3425" s="30">
        <v>0.12785963195149908</v>
      </c>
      <c r="E3425" s="31">
        <f ca="1">B3425-D3425</f>
        <v>0</v>
      </c>
    </row>
    <row r="3426" spans="1:5" x14ac:dyDescent="0.25">
      <c r="A3426" s="21">
        <v>3425</v>
      </c>
      <c r="B3426" s="5" cm="1">
        <f t="array" aca="1" ref="B3426" ca="1">interpolexp(A3426,serie_du,Taxas_DI)</f>
        <v>0.12785962034604914</v>
      </c>
      <c r="C3426" s="32">
        <f ca="1">((((1+B3426)^(A3426/252))/((1+B3425)^(A3425/252)))^(252/1))-1</f>
        <v>0.12781988398571187</v>
      </c>
      <c r="D3426" s="30">
        <v>0.12785962034604914</v>
      </c>
      <c r="E3426" s="31">
        <f ca="1">B3426-D3426</f>
        <v>0</v>
      </c>
    </row>
    <row r="3427" spans="1:5" x14ac:dyDescent="0.25">
      <c r="A3427" s="21">
        <v>3426</v>
      </c>
      <c r="B3427" s="5" cm="1">
        <f t="array" aca="1" ref="B3427" ca="1">interpolexp(A3427,serie_du,Taxas_DI)</f>
        <v>0.12785960874737157</v>
      </c>
      <c r="C3427" s="32">
        <f ca="1">((((1+B3427)^(A3427/252))/((1+B3426)^(A3426/252)))^(252/1))-1</f>
        <v>0.12781988397653476</v>
      </c>
      <c r="D3427" s="30">
        <v>0.12785960874737157</v>
      </c>
      <c r="E3427" s="31">
        <f ca="1">B3427-D3427</f>
        <v>0</v>
      </c>
    </row>
    <row r="3428" spans="1:5" x14ac:dyDescent="0.25">
      <c r="A3428" s="21">
        <v>3427</v>
      </c>
      <c r="B3428" s="5" cm="1">
        <f t="array" aca="1" ref="B3428" ca="1">interpolexp(A3428,serie_du,Taxas_DI)</f>
        <v>0.12785959715548856</v>
      </c>
      <c r="C3428" s="32">
        <f ca="1">((((1+B3428)^(A3428/252))/((1+B3427)^(A3427/252)))^(252/1))-1</f>
        <v>0.12781988406380074</v>
      </c>
      <c r="D3428" s="30">
        <v>0.12785959715548856</v>
      </c>
      <c r="E3428" s="31">
        <f ca="1">B3428-D3428</f>
        <v>0</v>
      </c>
    </row>
    <row r="3429" spans="1:5" x14ac:dyDescent="0.25">
      <c r="A3429" s="21">
        <v>3428</v>
      </c>
      <c r="B3429" s="5" cm="1">
        <f t="array" aca="1" ref="B3429" ca="1">interpolexp(A3429,serie_du,Taxas_DI)</f>
        <v>0.1278595855703335</v>
      </c>
      <c r="C3429" s="32">
        <f ca="1">((((1+B3429)^(A3429/252))/((1+B3428)^(A3428/252)))^(252/1))-1</f>
        <v>0.12781988394279664</v>
      </c>
      <c r="D3429" s="30">
        <v>0.1278595855703335</v>
      </c>
      <c r="E3429" s="31">
        <f ca="1">B3429-D3429</f>
        <v>0</v>
      </c>
    </row>
    <row r="3430" spans="1:5" x14ac:dyDescent="0.25">
      <c r="A3430" s="21">
        <v>3429</v>
      </c>
      <c r="B3430" s="5" cm="1">
        <f t="array" aca="1" ref="B3430" ca="1">interpolexp(A3430,serie_du,Taxas_DI)</f>
        <v>0.1278595739919508</v>
      </c>
      <c r="C3430" s="32">
        <f ca="1">((((1+B3430)^(A3430/252))/((1+B3429)^(A3429/252)))^(252/1))-1</f>
        <v>0.1278198839946556</v>
      </c>
      <c r="D3430" s="30">
        <v>0.1278595739919508</v>
      </c>
      <c r="E3430" s="31">
        <f ca="1">B3430-D3430</f>
        <v>0</v>
      </c>
    </row>
    <row r="3431" spans="1:5" x14ac:dyDescent="0.25">
      <c r="A3431" s="21">
        <v>3430</v>
      </c>
      <c r="B3431" s="5" cm="1">
        <f t="array" aca="1" ref="B3431" ca="1">interpolexp(A3431,serie_du,Taxas_DI)</f>
        <v>0.12785956242031826</v>
      </c>
      <c r="C3431" s="32">
        <f ca="1">((((1+B3431)^(A3431/252))/((1+B3430)^(A3430/252)))^(252/1))-1</f>
        <v>0.12781988399049915</v>
      </c>
      <c r="D3431" s="30">
        <v>0.12785956242031826</v>
      </c>
      <c r="E3431" s="31">
        <f ca="1">B3431-D3431</f>
        <v>0</v>
      </c>
    </row>
    <row r="3432" spans="1:5" x14ac:dyDescent="0.25">
      <c r="A3432" s="21">
        <v>3431</v>
      </c>
      <c r="B3432" s="5" cm="1">
        <f t="array" aca="1" ref="B3432" ca="1">interpolexp(A3432,serie_du,Taxas_DI)</f>
        <v>0.12785955085543588</v>
      </c>
      <c r="C3432" s="32">
        <f ca="1">((((1+B3432)^(A3432/252))/((1+B3431)^(A3431/252)))^(252/1))-1</f>
        <v>0.12781988400664135</v>
      </c>
      <c r="D3432" s="30">
        <v>0.12785955085543588</v>
      </c>
      <c r="E3432" s="31">
        <f ca="1">B3432-D3432</f>
        <v>0</v>
      </c>
    </row>
    <row r="3433" spans="1:5" x14ac:dyDescent="0.25">
      <c r="A3433" s="21">
        <v>3432</v>
      </c>
      <c r="B3433" s="5" cm="1">
        <f t="array" aca="1" ref="B3433" ca="1">interpolexp(A3433,serie_du,Taxas_DI)</f>
        <v>0.12785953929730365</v>
      </c>
      <c r="C3433" s="32">
        <f ca="1">((((1+B3433)^(A3433/252))/((1+B3432)^(A3432/252)))^(252/1))-1</f>
        <v>0.12781988404295475</v>
      </c>
      <c r="D3433" s="30">
        <v>0.12785953929730365</v>
      </c>
      <c r="E3433" s="31">
        <f ca="1">B3433-D3433</f>
        <v>0</v>
      </c>
    </row>
    <row r="3434" spans="1:5" x14ac:dyDescent="0.25">
      <c r="A3434" s="21">
        <v>3433</v>
      </c>
      <c r="B3434" s="5" cm="1">
        <f t="array" aca="1" ref="B3434" ca="1">interpolexp(A3434,serie_du,Taxas_DI)</f>
        <v>0.12785952774587717</v>
      </c>
      <c r="C3434" s="32">
        <f ca="1">((((1+B3434)^(A3434/252))/((1+B3433)^(A3433/252)))^(252/1))-1</f>
        <v>0.12781988394722443</v>
      </c>
      <c r="D3434" s="30">
        <v>0.12785952774587717</v>
      </c>
      <c r="E3434" s="31">
        <f ca="1">B3434-D3434</f>
        <v>0</v>
      </c>
    </row>
    <row r="3435" spans="1:5" x14ac:dyDescent="0.25">
      <c r="A3435" s="21">
        <v>3434</v>
      </c>
      <c r="B3435" s="5" cm="1">
        <f t="array" aca="1" ref="B3435" ca="1">interpolexp(A3435,serie_du,Taxas_DI)</f>
        <v>0.12785951620120084</v>
      </c>
      <c r="C3435" s="32">
        <f ca="1">((((1+B3435)^(A3435/252))/((1+B3434)^(A3434/252)))^(252/1))-1</f>
        <v>0.12781988402378697</v>
      </c>
      <c r="D3435" s="30">
        <v>0.12785951620120084</v>
      </c>
      <c r="E3435" s="31">
        <f ca="1">B3435-D3435</f>
        <v>0</v>
      </c>
    </row>
    <row r="3436" spans="1:5" x14ac:dyDescent="0.25">
      <c r="A3436" s="21">
        <v>3435</v>
      </c>
      <c r="B3436" s="5" cm="1">
        <f t="array" aca="1" ref="B3436" ca="1">interpolexp(A3436,serie_du,Taxas_DI)</f>
        <v>0.12785950466323026</v>
      </c>
      <c r="C3436" s="32">
        <f ca="1">((((1+B3436)^(A3436/252))/((1+B3435)^(A3435/252)))^(252/1))-1</f>
        <v>0.12781988396847099</v>
      </c>
      <c r="D3436" s="30">
        <v>0.12785950466323026</v>
      </c>
      <c r="E3436" s="31">
        <f ca="1">B3436-D3436</f>
        <v>0</v>
      </c>
    </row>
    <row r="3437" spans="1:5" x14ac:dyDescent="0.25">
      <c r="A3437" s="21">
        <v>3436</v>
      </c>
      <c r="B3437" s="5" cm="1">
        <f t="array" aca="1" ref="B3437" ca="1">interpolexp(A3437,serie_du,Taxas_DI)</f>
        <v>0.12785949313198763</v>
      </c>
      <c r="C3437" s="32">
        <f ca="1">((((1+B3437)^(A3437/252))/((1+B3436)^(A3436/252)))^(252/1))-1</f>
        <v>0.12781988400921862</v>
      </c>
      <c r="D3437" s="30">
        <v>0.12785949313198763</v>
      </c>
      <c r="E3437" s="31">
        <f ca="1">B3437-D3437</f>
        <v>0</v>
      </c>
    </row>
    <row r="3438" spans="1:5" x14ac:dyDescent="0.25">
      <c r="A3438" s="21">
        <v>3437</v>
      </c>
      <c r="B3438" s="5" cm="1">
        <f t="array" aca="1" ref="B3438" ca="1">interpolexp(A3438,serie_du,Taxas_DI)</f>
        <v>0.12785948160745075</v>
      </c>
      <c r="C3438" s="32">
        <f ca="1">((((1+B3438)^(A3438/252))/((1+B3437)^(A3437/252)))^(252/1))-1</f>
        <v>0.12781988399408872</v>
      </c>
      <c r="D3438" s="30">
        <v>0.12785948160745075</v>
      </c>
      <c r="E3438" s="31">
        <f ca="1">B3438-D3438</f>
        <v>0</v>
      </c>
    </row>
    <row r="3439" spans="1:5" x14ac:dyDescent="0.25">
      <c r="A3439" s="21">
        <v>3438</v>
      </c>
      <c r="B3439" s="5" cm="1">
        <f t="array" aca="1" ref="B3439" ca="1">interpolexp(A3439,serie_du,Taxas_DI)</f>
        <v>0.12785947008961962</v>
      </c>
      <c r="C3439" s="32">
        <f ca="1">((((1+B3439)^(A3439/252))/((1+B3438)^(A3438/252)))^(252/1))-1</f>
        <v>0.12781988399895372</v>
      </c>
      <c r="D3439" s="30">
        <v>0.12785947008961962</v>
      </c>
      <c r="E3439" s="31">
        <f ca="1">B3439-D3439</f>
        <v>0</v>
      </c>
    </row>
    <row r="3440" spans="1:5" x14ac:dyDescent="0.25">
      <c r="A3440" s="21">
        <v>3439</v>
      </c>
      <c r="B3440" s="5" cm="1">
        <f t="array" aca="1" ref="B3440" ca="1">interpolexp(A3440,serie_du,Taxas_DI)</f>
        <v>0.12785945857849423</v>
      </c>
      <c r="C3440" s="32">
        <f ca="1">((((1+B3440)^(A3440/252))/((1+B3439)^(A3439/252)))^(252/1))-1</f>
        <v>0.12781988402391131</v>
      </c>
      <c r="D3440" s="30">
        <v>0.12785945857849423</v>
      </c>
      <c r="E3440" s="31">
        <f ca="1">B3440-D3440</f>
        <v>0</v>
      </c>
    </row>
    <row r="3441" spans="1:5" x14ac:dyDescent="0.25">
      <c r="A3441" s="21">
        <v>3440</v>
      </c>
      <c r="B3441" s="5" cm="1">
        <f t="array" aca="1" ref="B3441" ca="1">interpolexp(A3441,serie_du,Taxas_DI)</f>
        <v>0.12785944707405239</v>
      </c>
      <c r="C3441" s="32">
        <f ca="1">((((1+B3441)^(A3441/252))/((1+B3440)^(A3440/252)))^(252/1))-1</f>
        <v>0.12781988399257349</v>
      </c>
      <c r="D3441" s="30">
        <v>0.12785944707405239</v>
      </c>
      <c r="E3441" s="31">
        <f ca="1">B3441-D3441</f>
        <v>0</v>
      </c>
    </row>
    <row r="3442" spans="1:5" x14ac:dyDescent="0.25">
      <c r="A3442" s="21">
        <v>3441</v>
      </c>
      <c r="B3442" s="5" cm="1">
        <f t="array" aca="1" ref="B3442" ca="1">interpolexp(A3442,serie_du,Taxas_DI)</f>
        <v>0.12785943557629409</v>
      </c>
      <c r="C3442" s="32">
        <f ca="1">((((1+B3442)^(A3442/252))/((1+B3441)^(A3441/252)))^(252/1))-1</f>
        <v>0.12781988398155519</v>
      </c>
      <c r="D3442" s="30">
        <v>0.12785943557629409</v>
      </c>
      <c r="E3442" s="31">
        <f ca="1">B3442-D3442</f>
        <v>0</v>
      </c>
    </row>
    <row r="3443" spans="1:5" x14ac:dyDescent="0.25">
      <c r="A3443" s="21">
        <v>3442</v>
      </c>
      <c r="B3443" s="5" cm="1">
        <f t="array" aca="1" ref="B3443" ca="1">interpolexp(A3443,serie_du,Taxas_DI)</f>
        <v>0.12785942408521933</v>
      </c>
      <c r="C3443" s="32">
        <f ca="1">((((1+B3443)^(A3443/252))/((1+B3442)^(A3442/252)))^(252/1))-1</f>
        <v>0.12781988399024846</v>
      </c>
      <c r="D3443" s="30">
        <v>0.12785942408521933</v>
      </c>
      <c r="E3443" s="31">
        <f ca="1">B3443-D3443</f>
        <v>0</v>
      </c>
    </row>
    <row r="3444" spans="1:5" x14ac:dyDescent="0.25">
      <c r="A3444" s="21">
        <v>3443</v>
      </c>
      <c r="B3444" s="5" cm="1">
        <f t="array" aca="1" ref="B3444" ca="1">interpolexp(A3444,serie_du,Taxas_DI)</f>
        <v>0.12785941260082812</v>
      </c>
      <c r="C3444" s="32">
        <f ca="1">((((1+B3444)^(A3444/252))/((1+B3443)^(A3443/252)))^(252/1))-1</f>
        <v>0.12781988401919175</v>
      </c>
      <c r="D3444" s="30">
        <v>0.12785941260082812</v>
      </c>
      <c r="E3444" s="31">
        <f ca="1">B3444-D3444</f>
        <v>0</v>
      </c>
    </row>
    <row r="3445" spans="1:5" x14ac:dyDescent="0.25">
      <c r="A3445" s="21">
        <v>3444</v>
      </c>
      <c r="B3445" s="5" cm="1">
        <f t="array" aca="1" ref="B3445" ca="1">interpolexp(A3445,serie_du,Taxas_DI)</f>
        <v>0.12785940112309824</v>
      </c>
      <c r="C3445" s="32">
        <f ca="1">((((1+B3445)^(A3445/252))/((1+B3444)^(A3444/252)))^(252/1))-1</f>
        <v>0.12781988399169375</v>
      </c>
      <c r="D3445" s="30">
        <v>0.12785940112309824</v>
      </c>
      <c r="E3445" s="31">
        <f ca="1">B3445-D3445</f>
        <v>0</v>
      </c>
    </row>
    <row r="3446" spans="1:5" x14ac:dyDescent="0.25">
      <c r="A3446" s="21">
        <v>3445</v>
      </c>
      <c r="B3446" s="5" cm="1">
        <f t="array" aca="1" ref="B3446" ca="1">interpolexp(A3446,serie_du,Taxas_DI)</f>
        <v>0.1278593896520297</v>
      </c>
      <c r="C3446" s="32">
        <f ca="1">((((1+B3446)^(A3446/252))/((1+B3445)^(A3445/252)))^(252/1))-1</f>
        <v>0.12781988398407229</v>
      </c>
      <c r="D3446" s="30">
        <v>0.1278593896520297</v>
      </c>
      <c r="E3446" s="31">
        <f ca="1">B3446-D3446</f>
        <v>0</v>
      </c>
    </row>
    <row r="3447" spans="1:5" x14ac:dyDescent="0.25">
      <c r="A3447" s="21">
        <v>3446</v>
      </c>
      <c r="B3447" s="5" cm="1">
        <f t="array" aca="1" ref="B3447" ca="1">interpolexp(A3447,serie_du,Taxas_DI)</f>
        <v>0.1278593781876225</v>
      </c>
      <c r="C3447" s="32">
        <f ca="1">((((1+B3447)^(A3447/252))/((1+B3446)^(A3446/252)))^(252/1))-1</f>
        <v>0.12781988399649657</v>
      </c>
      <c r="D3447" s="30">
        <v>0.1278593781876225</v>
      </c>
      <c r="E3447" s="31">
        <f ca="1">B3447-D3447</f>
        <v>0</v>
      </c>
    </row>
    <row r="3448" spans="1:5" x14ac:dyDescent="0.25">
      <c r="A3448" s="21">
        <v>3447</v>
      </c>
      <c r="B3448" s="5" cm="1">
        <f t="array" aca="1" ref="B3448" ca="1">interpolexp(A3448,serie_du,Taxas_DI)</f>
        <v>0.12785936672985443</v>
      </c>
      <c r="C3448" s="32">
        <f ca="1">((((1+B3448)^(A3448/252))/((1+B3447)^(A3447/252)))^(252/1))-1</f>
        <v>0.12781988395245714</v>
      </c>
      <c r="D3448" s="30">
        <v>0.12785936672985443</v>
      </c>
      <c r="E3448" s="31">
        <f ca="1">B3448-D3448</f>
        <v>0</v>
      </c>
    </row>
    <row r="3449" spans="1:5" x14ac:dyDescent="0.25">
      <c r="A3449" s="21">
        <v>3448</v>
      </c>
      <c r="B3449" s="5" cm="1">
        <f t="array" aca="1" ref="B3449" ca="1">interpolexp(A3449,serie_du,Taxas_DI)</f>
        <v>0.1278593552787477</v>
      </c>
      <c r="C3449" s="32">
        <f ca="1">((((1+B3449)^(A3449/252))/((1+B3448)^(A3448/252)))^(252/1))-1</f>
        <v>0.12781988400468536</v>
      </c>
      <c r="D3449" s="30">
        <v>0.1278593552787477</v>
      </c>
      <c r="E3449" s="31">
        <f ca="1">B3449-D3449</f>
        <v>0</v>
      </c>
    </row>
    <row r="3450" spans="1:5" x14ac:dyDescent="0.25">
      <c r="A3450" s="21">
        <v>3449</v>
      </c>
      <c r="B3450" s="5" cm="1">
        <f t="array" aca="1" ref="B3450" ca="1">interpolexp(A3450,serie_du,Taxas_DI)</f>
        <v>0.1278593438342801</v>
      </c>
      <c r="C3450" s="32">
        <f ca="1">((((1+B3450)^(A3450/252))/((1+B3449)^(A3449/252)))^(252/1))-1</f>
        <v>0.12781988400052691</v>
      </c>
      <c r="D3450" s="30">
        <v>0.1278593438342801</v>
      </c>
      <c r="E3450" s="31">
        <f ca="1">B3450-D3450</f>
        <v>0</v>
      </c>
    </row>
    <row r="3451" spans="1:5" x14ac:dyDescent="0.25">
      <c r="A3451" s="21">
        <v>3450</v>
      </c>
      <c r="B3451" s="5" cm="1">
        <f t="array" aca="1" ref="B3451" ca="1">interpolexp(A3451,serie_du,Taxas_DI)</f>
        <v>0.12785933239645164</v>
      </c>
      <c r="C3451" s="32">
        <f ca="1">((((1+B3451)^(A3451/252))/((1+B3450)^(A3450/252)))^(252/1))-1</f>
        <v>0.12781988401616573</v>
      </c>
      <c r="D3451" s="30">
        <v>0.12785933239645164</v>
      </c>
      <c r="E3451" s="31">
        <f ca="1">B3451-D3451</f>
        <v>0</v>
      </c>
    </row>
    <row r="3452" spans="1:5" x14ac:dyDescent="0.25">
      <c r="A3452" s="21">
        <v>3451</v>
      </c>
      <c r="B3452" s="5" cm="1">
        <f t="array" aca="1" ref="B3452" ca="1">interpolexp(A3452,serie_du,Taxas_DI)</f>
        <v>0.12785932096524011</v>
      </c>
      <c r="C3452" s="32">
        <f ca="1">((((1+B3452)^(A3452/252))/((1+B3451)^(A3451/252)))^(252/1))-1</f>
        <v>0.12781988397514432</v>
      </c>
      <c r="D3452" s="30">
        <v>0.12785932096524011</v>
      </c>
      <c r="E3452" s="31">
        <f ca="1">B3452-D3452</f>
        <v>0</v>
      </c>
    </row>
    <row r="3453" spans="1:5" x14ac:dyDescent="0.25">
      <c r="A3453" s="21">
        <v>3452</v>
      </c>
      <c r="B3453" s="5" cm="1">
        <f t="array" aca="1" ref="B3453" ca="1">interpolexp(A3453,serie_du,Taxas_DI)</f>
        <v>0.1278593095406455</v>
      </c>
      <c r="C3453" s="32">
        <f ca="1">((((1+B3453)^(A3453/252))/((1+B3452)^(A3452/252)))^(252/1))-1</f>
        <v>0.12781988395396437</v>
      </c>
      <c r="D3453" s="30">
        <v>0.1278593095406455</v>
      </c>
      <c r="E3453" s="31">
        <f ca="1">B3453-D3453</f>
        <v>0</v>
      </c>
    </row>
    <row r="3454" spans="1:5" x14ac:dyDescent="0.25">
      <c r="A3454" s="21">
        <v>3453</v>
      </c>
      <c r="B3454" s="5" cm="1">
        <f t="array" aca="1" ref="B3454" ca="1">interpolexp(A3454,serie_du,Taxas_DI)</f>
        <v>0.12785929812269003</v>
      </c>
      <c r="C3454" s="32">
        <f ca="1">((((1+B3454)^(A3454/252))/((1+B3453)^(A3453/252)))^(252/1))-1</f>
        <v>0.12781988402932853</v>
      </c>
      <c r="D3454" s="30">
        <v>0.12785929812269003</v>
      </c>
      <c r="E3454" s="31">
        <f ca="1">B3454-D3454</f>
        <v>0</v>
      </c>
    </row>
    <row r="3455" spans="1:5" x14ac:dyDescent="0.25">
      <c r="A3455" s="21">
        <v>3454</v>
      </c>
      <c r="B3455" s="5" cm="1">
        <f t="array" aca="1" ref="B3455" ca="1">interpolexp(A3455,serie_du,Taxas_DI)</f>
        <v>0.12785928671132929</v>
      </c>
      <c r="C3455" s="32">
        <f ca="1">((((1+B3455)^(A3455/252))/((1+B3454)^(A3454/252)))^(252/1))-1</f>
        <v>0.12781988397117661</v>
      </c>
      <c r="D3455" s="30">
        <v>0.12785928671132929</v>
      </c>
      <c r="E3455" s="31">
        <f ca="1">B3455-D3455</f>
        <v>0</v>
      </c>
    </row>
    <row r="3456" spans="1:5" x14ac:dyDescent="0.25">
      <c r="A3456" s="21">
        <v>3455</v>
      </c>
      <c r="B3456" s="5" cm="1">
        <f t="array" aca="1" ref="B3456" ca="1">interpolexp(A3456,serie_du,Taxas_DI)</f>
        <v>0.12785927530658547</v>
      </c>
      <c r="C3456" s="32">
        <f ca="1">((((1+B3456)^(A3456/252))/((1+B3455)^(A3455/252)))^(252/1))-1</f>
        <v>0.12781988400953903</v>
      </c>
      <c r="D3456" s="30">
        <v>0.12785927530658547</v>
      </c>
      <c r="E3456" s="31">
        <f ca="1">B3456-D3456</f>
        <v>0</v>
      </c>
    </row>
    <row r="3457" spans="1:5" x14ac:dyDescent="0.25">
      <c r="A3457" s="21">
        <v>3456</v>
      </c>
      <c r="B3457" s="5" cm="1">
        <f t="array" aca="1" ref="B3457" ca="1">interpolexp(A3457,serie_du,Taxas_DI)</f>
        <v>0.12785926390843638</v>
      </c>
      <c r="C3457" s="32">
        <f ca="1">((((1+B3457)^(A3457/252))/((1+B3456)^(A3456/252)))^(252/1))-1</f>
        <v>0.12781988399100053</v>
      </c>
      <c r="D3457" s="30">
        <v>0.12785926390843638</v>
      </c>
      <c r="E3457" s="31">
        <f ca="1">B3457-D3457</f>
        <v>0</v>
      </c>
    </row>
    <row r="3458" spans="1:5" x14ac:dyDescent="0.25">
      <c r="A3458" s="21">
        <v>3457</v>
      </c>
      <c r="B3458" s="5" cm="1">
        <f t="array" aca="1" ref="B3458" ca="1">interpolexp(A3458,serie_du,Taxas_DI)</f>
        <v>0.12785925251688202</v>
      </c>
      <c r="C3458" s="32">
        <f ca="1">((((1+B3458)^(A3458/252))/((1+B3457)^(A3457/252)))^(252/1))-1</f>
        <v>0.12781988399232325</v>
      </c>
      <c r="D3458" s="30">
        <v>0.12785925251688202</v>
      </c>
      <c r="E3458" s="31">
        <f ca="1">B3458-D3458</f>
        <v>0</v>
      </c>
    </row>
    <row r="3459" spans="1:5" x14ac:dyDescent="0.25">
      <c r="A3459" s="21">
        <v>3458</v>
      </c>
      <c r="B3459" s="5" cm="1">
        <f t="array" aca="1" ref="B3459" ca="1">interpolexp(A3459,serie_du,Taxas_DI)</f>
        <v>0.12785924113190017</v>
      </c>
      <c r="C3459" s="32">
        <f ca="1">((((1+B3459)^(A3459/252))/((1+B3458)^(A3458/252)))^(252/1))-1</f>
        <v>0.12781988393656607</v>
      </c>
      <c r="D3459" s="30">
        <v>0.12785924113190017</v>
      </c>
      <c r="E3459" s="31">
        <f ca="1">B3459-D3459</f>
        <v>0</v>
      </c>
    </row>
    <row r="3460" spans="1:5" x14ac:dyDescent="0.25">
      <c r="A3460" s="21">
        <v>3459</v>
      </c>
      <c r="B3460" s="5" cm="1">
        <f t="array" aca="1" ref="B3460" ca="1">interpolexp(A3460,serie_du,Taxas_DI)</f>
        <v>0.12785922975353525</v>
      </c>
      <c r="C3460" s="32">
        <f ca="1">((((1+B3460)^(A3460/252))/((1+B3459)^(A3459/252)))^(252/1))-1</f>
        <v>0.12781988405414557</v>
      </c>
      <c r="D3460" s="30">
        <v>0.12785922975353525</v>
      </c>
      <c r="E3460" s="31">
        <f ca="1">B3460-D3460</f>
        <v>0</v>
      </c>
    </row>
    <row r="3461" spans="1:5" x14ac:dyDescent="0.25">
      <c r="A3461" s="21">
        <v>3460</v>
      </c>
      <c r="B3461" s="5" cm="1">
        <f t="array" aca="1" ref="B3461" ca="1">interpolexp(A3461,serie_du,Taxas_DI)</f>
        <v>0.12785921838172065</v>
      </c>
      <c r="C3461" s="32">
        <f ca="1">((((1+B3461)^(A3461/252))/((1+B3460)^(A3460/252)))^(252/1))-1</f>
        <v>0.12781988396108468</v>
      </c>
      <c r="D3461" s="30">
        <v>0.12785921838172065</v>
      </c>
      <c r="E3461" s="31">
        <f ca="1">B3461-D3461</f>
        <v>0</v>
      </c>
    </row>
    <row r="3462" spans="1:5" x14ac:dyDescent="0.25">
      <c r="A3462" s="21">
        <v>3461</v>
      </c>
      <c r="B3462" s="5" cm="1">
        <f t="array" aca="1" ref="B3462" ca="1">interpolexp(A3462,serie_du,Taxas_DI)</f>
        <v>0.12785920701647857</v>
      </c>
      <c r="C3462" s="32">
        <f ca="1">((((1+B3462)^(A3462/252))/((1+B3461)^(A3461/252)))^(252/1))-1</f>
        <v>0.12781988396456856</v>
      </c>
      <c r="D3462" s="30">
        <v>0.12785920701647857</v>
      </c>
      <c r="E3462" s="31">
        <f ca="1">B3462-D3462</f>
        <v>0</v>
      </c>
    </row>
    <row r="3463" spans="1:5" x14ac:dyDescent="0.25">
      <c r="A3463" s="21">
        <v>3462</v>
      </c>
      <c r="B3463" s="5" cm="1">
        <f t="array" aca="1" ref="B3463" ca="1">interpolexp(A3463,serie_du,Taxas_DI)</f>
        <v>0.12785919565780901</v>
      </c>
      <c r="C3463" s="32">
        <f ca="1">((((1+B3463)^(A3463/252))/((1+B3462)^(A3462/252)))^(252/1))-1</f>
        <v>0.12781988398772426</v>
      </c>
      <c r="D3463" s="30">
        <v>0.12785919565780901</v>
      </c>
      <c r="E3463" s="31">
        <f ca="1">B3463-D3463</f>
        <v>0</v>
      </c>
    </row>
    <row r="3464" spans="1:5" x14ac:dyDescent="0.25">
      <c r="A3464" s="21">
        <v>3463</v>
      </c>
      <c r="B3464" s="5" cm="1">
        <f t="array" aca="1" ref="B3464" ca="1">interpolexp(A3464,serie_du,Taxas_DI)</f>
        <v>0.12785918430571197</v>
      </c>
      <c r="C3464" s="32">
        <f ca="1">((((1+B3464)^(A3464/252))/((1+B3463)^(A3463/252)))^(252/1))-1</f>
        <v>0.12781988403079603</v>
      </c>
      <c r="D3464" s="30">
        <v>0.12785918430571197</v>
      </c>
      <c r="E3464" s="31">
        <f ca="1">B3464-D3464</f>
        <v>0</v>
      </c>
    </row>
    <row r="3465" spans="1:5" x14ac:dyDescent="0.25">
      <c r="A3465" s="21">
        <v>3464</v>
      </c>
      <c r="B3465" s="5" cm="1">
        <f t="array" aca="1" ref="B3465" ca="1">interpolexp(A3465,serie_du,Taxas_DI)</f>
        <v>0.12785917296014304</v>
      </c>
      <c r="C3465" s="32">
        <f ca="1">((((1+B3465)^(A3465/252))/((1+B3464)^(A3464/252)))^(252/1))-1</f>
        <v>0.12781988393946553</v>
      </c>
      <c r="D3465" s="30">
        <v>0.12785917296014304</v>
      </c>
      <c r="E3465" s="31">
        <f ca="1">B3465-D3465</f>
        <v>0</v>
      </c>
    </row>
    <row r="3466" spans="1:5" x14ac:dyDescent="0.25">
      <c r="A3466" s="21">
        <v>3465</v>
      </c>
      <c r="B3466" s="5" cm="1">
        <f t="array" aca="1" ref="B3466" ca="1">interpolexp(A3466,serie_du,Taxas_DI)</f>
        <v>0.12785916162114663</v>
      </c>
      <c r="C3466" s="32">
        <f ca="1">((((1+B3466)^(A3466/252))/((1+B3465)^(A3465/252)))^(252/1))-1</f>
        <v>0.12781988402171107</v>
      </c>
      <c r="D3466" s="30">
        <v>0.12785916162114663</v>
      </c>
      <c r="E3466" s="31">
        <f ca="1">B3466-D3466</f>
        <v>0</v>
      </c>
    </row>
    <row r="3467" spans="1:5" x14ac:dyDescent="0.25">
      <c r="A3467" s="21">
        <v>3466</v>
      </c>
      <c r="B3467" s="5" cm="1">
        <f t="array" aca="1" ref="B3467" ca="1">interpolexp(A3467,serie_du,Taxas_DI)</f>
        <v>0.12785915028867834</v>
      </c>
      <c r="C3467" s="32">
        <f ca="1">((((1+B3467)^(A3467/252))/((1+B3466)^(A3466/252)))^(252/1))-1</f>
        <v>0.12781988396985611</v>
      </c>
      <c r="D3467" s="30">
        <v>0.12785915028867834</v>
      </c>
      <c r="E3467" s="31">
        <f ca="1">B3467-D3467</f>
        <v>0</v>
      </c>
    </row>
    <row r="3468" spans="1:5" x14ac:dyDescent="0.25">
      <c r="A3468" s="21">
        <v>3467</v>
      </c>
      <c r="B3468" s="5" cm="1">
        <f t="array" aca="1" ref="B3468" ca="1">interpolexp(A3468,serie_du,Taxas_DI)</f>
        <v>0.12785913896276035</v>
      </c>
      <c r="C3468" s="32">
        <f ca="1">((((1+B3468)^(A3468/252))/((1+B3467)^(A3467/252)))^(252/1))-1</f>
        <v>0.12781988401434163</v>
      </c>
      <c r="D3468" s="30">
        <v>0.12785913896276035</v>
      </c>
      <c r="E3468" s="31">
        <f ca="1">B3468-D3468</f>
        <v>0</v>
      </c>
    </row>
    <row r="3469" spans="1:5" x14ac:dyDescent="0.25">
      <c r="A3469" s="21">
        <v>3468</v>
      </c>
      <c r="B3469" s="5" cm="1">
        <f t="array" aca="1" ref="B3469" ca="1">interpolexp(A3469,serie_du,Taxas_DI)</f>
        <v>0.12785912764334828</v>
      </c>
      <c r="C3469" s="32">
        <f ca="1">((((1+B3469)^(A3469/252))/((1+B3468)^(A3468/252)))^(252/1))-1</f>
        <v>0.12781988392464627</v>
      </c>
      <c r="D3469" s="30">
        <v>0.12785912764334828</v>
      </c>
      <c r="E3469" s="31">
        <f ca="1">B3469-D3469</f>
        <v>0</v>
      </c>
    </row>
    <row r="3470" spans="1:5" x14ac:dyDescent="0.25">
      <c r="A3470" s="21">
        <v>3469</v>
      </c>
      <c r="B3470" s="5" cm="1">
        <f t="array" aca="1" ref="B3470" ca="1">interpolexp(A3470,serie_du,Taxas_DI)</f>
        <v>0.12785911633048652</v>
      </c>
      <c r="C3470" s="32">
        <f ca="1">((((1+B3470)^(A3470/252))/((1+B3469)^(A3469/252)))^(252/1))-1</f>
        <v>0.12781988400839905</v>
      </c>
      <c r="D3470" s="30">
        <v>0.12785911633048652</v>
      </c>
      <c r="E3470" s="31">
        <f ca="1">B3470-D3470</f>
        <v>0</v>
      </c>
    </row>
    <row r="3471" spans="1:5" x14ac:dyDescent="0.25">
      <c r="A3471" s="21">
        <v>3470</v>
      </c>
      <c r="B3471" s="5" cm="1">
        <f t="array" aca="1" ref="B3471" ca="1">interpolexp(A3471,serie_du,Taxas_DI)</f>
        <v>0.12785910502413067</v>
      </c>
      <c r="C3471" s="32">
        <f ca="1">((((1+B3471)^(A3471/252))/((1+B3470)^(A3470/252)))^(252/1))-1</f>
        <v>0.12781988395793409</v>
      </c>
      <c r="D3471" s="30">
        <v>0.12785910502413067</v>
      </c>
      <c r="E3471" s="31">
        <f ca="1">B3471-D3471</f>
        <v>0</v>
      </c>
    </row>
    <row r="3472" spans="1:5" x14ac:dyDescent="0.25">
      <c r="A3472" s="21">
        <v>3471</v>
      </c>
      <c r="B3472" s="5" cm="1">
        <f t="array" aca="1" ref="B3472" ca="1">interpolexp(A3472,serie_du,Taxas_DI)</f>
        <v>0.12785909372430293</v>
      </c>
      <c r="C3472" s="32">
        <f ca="1">((((1+B3472)^(A3472/252))/((1+B3471)^(A3471/252)))^(252/1))-1</f>
        <v>0.12781988400374122</v>
      </c>
      <c r="D3472" s="30">
        <v>0.12785909372430293</v>
      </c>
      <c r="E3472" s="31">
        <f ca="1">B3472-D3472</f>
        <v>0</v>
      </c>
    </row>
    <row r="3473" spans="1:5" x14ac:dyDescent="0.25">
      <c r="A3473" s="21">
        <v>3472</v>
      </c>
      <c r="B3473" s="5" cm="1">
        <f t="array" aca="1" ref="B3473" ca="1">interpolexp(A3473,serie_du,Taxas_DI)</f>
        <v>0.1278590824309811</v>
      </c>
      <c r="C3473" s="32">
        <f ca="1">((((1+B3473)^(A3473/252))/((1+B3472)^(A3472/252)))^(252/1))-1</f>
        <v>0.1278198839923872</v>
      </c>
      <c r="D3473" s="30">
        <v>0.1278590824309811</v>
      </c>
      <c r="E3473" s="31">
        <f ca="1">B3473-D3473</f>
        <v>0</v>
      </c>
    </row>
    <row r="3474" spans="1:5" x14ac:dyDescent="0.25">
      <c r="A3474" s="21">
        <v>3473</v>
      </c>
      <c r="B3474" s="5" cm="1">
        <f t="array" aca="1" ref="B3474" ca="1">interpolexp(A3474,serie_du,Taxas_DI)</f>
        <v>0.12785907114416517</v>
      </c>
      <c r="C3474" s="32">
        <f ca="1">((((1+B3474)^(A3474/252))/((1+B3473)^(A3473/252)))^(252/1))-1</f>
        <v>0.12781988400021072</v>
      </c>
      <c r="D3474" s="30">
        <v>0.12785907114416517</v>
      </c>
      <c r="E3474" s="31">
        <f ca="1">B3474-D3474</f>
        <v>0</v>
      </c>
    </row>
    <row r="3475" spans="1:5" x14ac:dyDescent="0.25">
      <c r="A3475" s="21">
        <v>3474</v>
      </c>
      <c r="B3475" s="5" cm="1">
        <f t="array" aca="1" ref="B3475" ca="1">interpolexp(A3475,serie_du,Taxas_DI)</f>
        <v>0.12785905986383295</v>
      </c>
      <c r="C3475" s="32">
        <f ca="1">((((1+B3475)^(A3475/252))/((1+B3474)^(A3474/252)))^(252/1))-1</f>
        <v>0.12781988395068788</v>
      </c>
      <c r="D3475" s="30">
        <v>0.12785905986383295</v>
      </c>
      <c r="E3475" s="31">
        <f ca="1">B3475-D3475</f>
        <v>0</v>
      </c>
    </row>
    <row r="3476" spans="1:5" x14ac:dyDescent="0.25">
      <c r="A3476" s="21">
        <v>3475</v>
      </c>
      <c r="B3476" s="5" cm="1">
        <f t="array" aca="1" ref="B3476" ca="1">interpolexp(A3476,serie_du,Taxas_DI)</f>
        <v>0.12785904859000663</v>
      </c>
      <c r="C3476" s="32">
        <f ca="1">((((1+B3476)^(A3476/252))/((1+B3475)^(A3475/252)))^(252/1))-1</f>
        <v>0.12781988399750999</v>
      </c>
      <c r="D3476" s="30">
        <v>0.12785904859000663</v>
      </c>
      <c r="E3476" s="31">
        <f ca="1">B3476-D3476</f>
        <v>0</v>
      </c>
    </row>
    <row r="3477" spans="1:5" x14ac:dyDescent="0.25">
      <c r="A3477" s="21">
        <v>3476</v>
      </c>
      <c r="B3477" s="5" cm="1">
        <f t="array" aca="1" ref="B3477" ca="1">interpolexp(A3477,serie_du,Taxas_DI)</f>
        <v>0.12785903732266402</v>
      </c>
      <c r="C3477" s="32">
        <f ca="1">((((1+B3477)^(A3477/252))/((1+B3476)^(A3476/252)))^(252/1))-1</f>
        <v>0.12781988398696864</v>
      </c>
      <c r="D3477" s="30">
        <v>0.12785903732266402</v>
      </c>
      <c r="E3477" s="31">
        <f ca="1">B3477-D3477</f>
        <v>0</v>
      </c>
    </row>
    <row r="3478" spans="1:5" x14ac:dyDescent="0.25">
      <c r="A3478" s="21">
        <v>3477</v>
      </c>
      <c r="B3478" s="5" cm="1">
        <f t="array" aca="1" ref="B3478" ca="1">interpolexp(A3478,serie_du,Taxas_DI)</f>
        <v>0.1278590260618051</v>
      </c>
      <c r="C3478" s="32">
        <f ca="1">((((1+B3478)^(A3478/252))/((1+B3477)^(A3477/252)))^(252/1))-1</f>
        <v>0.12781988399559951</v>
      </c>
      <c r="D3478" s="30">
        <v>0.1278590260618051</v>
      </c>
      <c r="E3478" s="31">
        <f ca="1">B3478-D3478</f>
        <v>0</v>
      </c>
    </row>
    <row r="3479" spans="1:5" x14ac:dyDescent="0.25">
      <c r="A3479" s="21">
        <v>3478</v>
      </c>
      <c r="B3479" s="5" cm="1">
        <f t="array" aca="1" ref="B3479" ca="1">interpolexp(A3479,serie_du,Taxas_DI)</f>
        <v>0.12785901480740769</v>
      </c>
      <c r="C3479" s="32">
        <f ca="1">((((1+B3479)^(A3479/252))/((1+B3478)^(A3478/252)))^(252/1))-1</f>
        <v>0.12781988394657828</v>
      </c>
      <c r="D3479" s="30">
        <v>0.12785901480740769</v>
      </c>
      <c r="E3479" s="31">
        <f ca="1">B3479-D3479</f>
        <v>0</v>
      </c>
    </row>
    <row r="3480" spans="1:5" x14ac:dyDescent="0.25">
      <c r="A3480" s="21">
        <v>3479</v>
      </c>
      <c r="B3480" s="5" cm="1">
        <f t="array" aca="1" ref="B3480" ca="1">interpolexp(A3480,serie_du,Taxas_DI)</f>
        <v>0.12785900355949398</v>
      </c>
      <c r="C3480" s="32">
        <f ca="1">((((1+B3480)^(A3480/252))/((1+B3479)^(A3479/252)))^(252/1))-1</f>
        <v>0.1278198839942184</v>
      </c>
      <c r="D3480" s="30">
        <v>0.12785900355949398</v>
      </c>
      <c r="E3480" s="31">
        <f ca="1">B3480-D3480</f>
        <v>0</v>
      </c>
    </row>
    <row r="3481" spans="1:5" x14ac:dyDescent="0.25">
      <c r="A3481" s="21">
        <v>3480</v>
      </c>
      <c r="B3481" s="5" cm="1">
        <f t="array" aca="1" ref="B3481" ca="1">interpolexp(A3481,serie_du,Taxas_DI)</f>
        <v>0.12785899231804176</v>
      </c>
      <c r="C3481" s="32">
        <f ca="1">((((1+B3481)^(A3481/252))/((1+B3480)^(A3480/252)))^(252/1))-1</f>
        <v>0.12781988398407229</v>
      </c>
      <c r="D3481" s="30">
        <v>0.12785899231804176</v>
      </c>
      <c r="E3481" s="31">
        <f ca="1">B3481-D3481</f>
        <v>0</v>
      </c>
    </row>
    <row r="3482" spans="1:5" x14ac:dyDescent="0.25">
      <c r="A3482" s="21">
        <v>3481</v>
      </c>
      <c r="B3482" s="5" cm="1">
        <f t="array" aca="1" ref="B3482" ca="1">interpolexp(A3482,serie_du,Taxas_DI)</f>
        <v>0.12785898108305105</v>
      </c>
      <c r="C3482" s="32">
        <f ca="1">((((1+B3482)^(A3482/252))/((1+B3481)^(A3481/252)))^(252/1))-1</f>
        <v>0.12781988399327449</v>
      </c>
      <c r="D3482" s="30">
        <v>0.12785898108305105</v>
      </c>
      <c r="E3482" s="31">
        <f ca="1">B3482-D3482</f>
        <v>0</v>
      </c>
    </row>
    <row r="3483" spans="1:5" x14ac:dyDescent="0.25">
      <c r="A3483" s="21">
        <v>3482</v>
      </c>
      <c r="B3483" s="5" cm="1">
        <f t="array" aca="1" ref="B3483" ca="1">interpolexp(A3483,serie_du,Taxas_DI)</f>
        <v>0.12785896985449963</v>
      </c>
      <c r="C3483" s="32">
        <f ca="1">((((1+B3483)^(A3483/252))/((1+B3482)^(A3482/252)))^(252/1))-1</f>
        <v>0.12781988394444155</v>
      </c>
      <c r="D3483" s="30">
        <v>0.12785896985449963</v>
      </c>
      <c r="E3483" s="31">
        <f ca="1">B3483-D3483</f>
        <v>0</v>
      </c>
    </row>
    <row r="3484" spans="1:5" x14ac:dyDescent="0.25">
      <c r="A3484" s="21">
        <v>3483</v>
      </c>
      <c r="B3484" s="5" cm="1">
        <f t="array" aca="1" ref="B3484" ca="1">interpolexp(A3484,serie_du,Taxas_DI)</f>
        <v>0.1278589586324097</v>
      </c>
      <c r="C3484" s="32">
        <f ca="1">((((1+B3484)^(A3484/252))/((1+B3483)^(A3483/252)))^(252/1))-1</f>
        <v>0.12781988399232325</v>
      </c>
      <c r="D3484" s="30">
        <v>0.1278589586324097</v>
      </c>
      <c r="E3484" s="31">
        <f ca="1">B3484-D3484</f>
        <v>0</v>
      </c>
    </row>
    <row r="3485" spans="1:5" x14ac:dyDescent="0.25">
      <c r="A3485" s="21">
        <v>3484</v>
      </c>
      <c r="B3485" s="5" cm="1">
        <f t="array" aca="1" ref="B3485" ca="1">interpolexp(A3485,serie_du,Taxas_DI)</f>
        <v>0.12785894741675907</v>
      </c>
      <c r="C3485" s="32">
        <f ca="1">((((1+B3485)^(A3485/252))/((1+B3484)^(A3484/252)))^(252/1))-1</f>
        <v>0.12781988398237298</v>
      </c>
      <c r="D3485" s="30">
        <v>0.12785894741675907</v>
      </c>
      <c r="E3485" s="31">
        <f ca="1">B3485-D3485</f>
        <v>0</v>
      </c>
    </row>
    <row r="3486" spans="1:5" x14ac:dyDescent="0.25">
      <c r="A3486" s="21">
        <v>3485</v>
      </c>
      <c r="B3486" s="5" cm="1">
        <f t="array" aca="1" ref="B3486" ca="1">interpolexp(A3486,serie_du,Taxas_DI)</f>
        <v>0.12785893620754774</v>
      </c>
      <c r="C3486" s="32">
        <f ca="1">((((1+B3486)^(A3486/252))/((1+B3485)^(A3485/252)))^(252/1))-1</f>
        <v>0.12781988399150501</v>
      </c>
      <c r="D3486" s="30">
        <v>0.12785893620754774</v>
      </c>
      <c r="E3486" s="31">
        <f ca="1">B3486-D3486</f>
        <v>0</v>
      </c>
    </row>
    <row r="3487" spans="1:5" x14ac:dyDescent="0.25">
      <c r="A3487" s="21">
        <v>3486</v>
      </c>
      <c r="B3487" s="5" cm="1">
        <f t="array" aca="1" ref="B3487" ca="1">interpolexp(A3487,serie_du,Taxas_DI)</f>
        <v>0.12785892500475349</v>
      </c>
      <c r="C3487" s="32">
        <f ca="1">((((1+B3487)^(A3487/252))/((1+B3486)^(A3486/252)))^(252/1))-1</f>
        <v>0.12781988394279664</v>
      </c>
      <c r="D3487" s="30">
        <v>0.12785892500475349</v>
      </c>
      <c r="E3487" s="31">
        <f ca="1">B3487-D3487</f>
        <v>0</v>
      </c>
    </row>
    <row r="3488" spans="1:5" x14ac:dyDescent="0.25">
      <c r="A3488" s="21">
        <v>3487</v>
      </c>
      <c r="B3488" s="5" cm="1">
        <f t="array" aca="1" ref="B3488" ca="1">interpolexp(A3488,serie_du,Taxas_DI)</f>
        <v>0.12785891380839853</v>
      </c>
      <c r="C3488" s="32">
        <f ca="1">((((1+B3488)^(A3488/252))/((1+B3487)^(A3487/252)))^(252/1))-1</f>
        <v>0.12781988399049915</v>
      </c>
      <c r="D3488" s="30">
        <v>0.12785891380839853</v>
      </c>
      <c r="E3488" s="31">
        <f ca="1">B3488-D3488</f>
        <v>0</v>
      </c>
    </row>
    <row r="3489" spans="1:5" x14ac:dyDescent="0.25">
      <c r="A3489" s="21">
        <v>3488</v>
      </c>
      <c r="B3489" s="5" cm="1">
        <f t="array" aca="1" ref="B3489" ca="1">interpolexp(A3489,serie_du,Taxas_DI)</f>
        <v>0.12785890261846067</v>
      </c>
      <c r="C3489" s="32">
        <f ca="1">((((1+B3489)^(A3489/252))/((1+B3488)^(A3488/252)))^(252/1))-1</f>
        <v>0.12781988398026001</v>
      </c>
      <c r="D3489" s="30">
        <v>0.12785890261846067</v>
      </c>
      <c r="E3489" s="31">
        <f ca="1">B3489-D3489</f>
        <v>0</v>
      </c>
    </row>
    <row r="3490" spans="1:5" x14ac:dyDescent="0.25">
      <c r="A3490" s="21">
        <v>3489</v>
      </c>
      <c r="B3490" s="5" cm="1">
        <f t="array" aca="1" ref="B3490" ca="1">interpolexp(A3490,serie_du,Taxas_DI)</f>
        <v>0.12785889143493989</v>
      </c>
      <c r="C3490" s="32">
        <f ca="1">((((1+B3490)^(A3490/252))/((1+B3489)^(A3489/252)))^(252/1))-1</f>
        <v>0.1278198839892426</v>
      </c>
      <c r="D3490" s="30">
        <v>0.12785889143493989</v>
      </c>
      <c r="E3490" s="31">
        <f ca="1">B3490-D3490</f>
        <v>0</v>
      </c>
    </row>
    <row r="3491" spans="1:5" x14ac:dyDescent="0.25">
      <c r="A3491" s="21">
        <v>3490</v>
      </c>
      <c r="B3491" s="5" cm="1">
        <f t="array" aca="1" ref="B3491" ca="1">interpolexp(A3491,serie_du,Taxas_DI)</f>
        <v>0.127858880257814</v>
      </c>
      <c r="C3491" s="32">
        <f ca="1">((((1+B3491)^(A3491/252))/((1+B3490)^(A3490/252)))^(252/1))-1</f>
        <v>0.12781988393997046</v>
      </c>
      <c r="D3491" s="30">
        <v>0.127858880257814</v>
      </c>
      <c r="E3491" s="31">
        <f ca="1">B3491-D3491</f>
        <v>0</v>
      </c>
    </row>
    <row r="3492" spans="1:5" x14ac:dyDescent="0.25">
      <c r="A3492" s="21">
        <v>3491</v>
      </c>
      <c r="B3492" s="5" cm="1">
        <f t="array" aca="1" ref="B3492" ca="1">interpolexp(A3492,serie_du,Taxas_DI)</f>
        <v>0.1278588690871052</v>
      </c>
      <c r="C3492" s="32">
        <f ca="1">((((1+B3492)^(A3492/252))/((1+B3491)^(A3491/252)))^(252/1))-1</f>
        <v>0.12781988398734878</v>
      </c>
      <c r="D3492" s="30">
        <v>0.1278588690871052</v>
      </c>
      <c r="E3492" s="31">
        <f ca="1">B3492-D3492</f>
        <v>0</v>
      </c>
    </row>
    <row r="3493" spans="1:5" x14ac:dyDescent="0.25">
      <c r="A3493" s="21">
        <v>3492</v>
      </c>
      <c r="B3493" s="5" cm="1">
        <f t="array" aca="1" ref="B3493" ca="1">interpolexp(A3493,serie_du,Taxas_DI)</f>
        <v>0.12785885792279128</v>
      </c>
      <c r="C3493" s="32">
        <f ca="1">((((1+B3493)^(A3493/252))/((1+B3492)^(A3492/252)))^(252/1))-1</f>
        <v>0.12781988397647082</v>
      </c>
      <c r="D3493" s="30">
        <v>0.12785885792279128</v>
      </c>
      <c r="E3493" s="31">
        <f ca="1">B3493-D3493</f>
        <v>0</v>
      </c>
    </row>
    <row r="3494" spans="1:5" x14ac:dyDescent="0.25">
      <c r="A3494" s="21">
        <v>3493</v>
      </c>
      <c r="B3494" s="5" cm="1">
        <f t="array" aca="1" ref="B3494" ca="1">interpolexp(A3494,serie_du,Taxas_DI)</f>
        <v>0.12785884676487225</v>
      </c>
      <c r="C3494" s="32">
        <f ca="1">((((1+B3494)^(A3494/252))/((1+B3493)^(A3493/252)))^(252/1))-1</f>
        <v>0.12781988398483168</v>
      </c>
      <c r="D3494" s="30">
        <v>0.12785884676487225</v>
      </c>
      <c r="E3494" s="31">
        <f ca="1">B3494-D3494</f>
        <v>0</v>
      </c>
    </row>
    <row r="3495" spans="1:5" x14ac:dyDescent="0.25">
      <c r="A3495" s="21">
        <v>3494</v>
      </c>
      <c r="B3495" s="5" cm="1">
        <f t="array" aca="1" ref="B3495" ca="1">interpolexp(A3495,serie_du,Taxas_DI)</f>
        <v>0.12785883561332589</v>
      </c>
      <c r="C3495" s="32">
        <f ca="1">((((1+B3495)^(A3495/252))/((1+B3494)^(A3494/252)))^(252/1))-1</f>
        <v>0.12781988393480037</v>
      </c>
      <c r="D3495" s="30">
        <v>0.12785883561332589</v>
      </c>
      <c r="E3495" s="31">
        <f ca="1">B3495-D3495</f>
        <v>0</v>
      </c>
    </row>
    <row r="3496" spans="1:5" x14ac:dyDescent="0.25">
      <c r="A3496" s="21">
        <v>3495</v>
      </c>
      <c r="B3496" s="5" cm="1">
        <f t="array" aca="1" ref="B3496" ca="1">interpolexp(A3496,serie_du,Taxas_DI)</f>
        <v>0.12785882446817443</v>
      </c>
      <c r="C3496" s="32">
        <f ca="1">((((1+B3496)^(A3496/252))/((1+B3495)^(A3495/252)))^(252/1))-1</f>
        <v>0.12781988398143085</v>
      </c>
      <c r="D3496" s="30">
        <v>0.12785882446817443</v>
      </c>
      <c r="E3496" s="31">
        <f ca="1">B3496-D3496</f>
        <v>0</v>
      </c>
    </row>
    <row r="3497" spans="1:5" x14ac:dyDescent="0.25">
      <c r="A3497" s="21">
        <v>3496</v>
      </c>
      <c r="B3497" s="5" cm="1">
        <f t="array" aca="1" ref="B3497" ca="1">interpolexp(A3497,serie_du,Taxas_DI)</f>
        <v>0.12785881332939564</v>
      </c>
      <c r="C3497" s="32">
        <f ca="1">((((1+B3497)^(A3497/252))/((1+B3496)^(A3496/252)))^(252/1))-1</f>
        <v>0.1278198839695428</v>
      </c>
      <c r="D3497" s="30">
        <v>0.12785881332939564</v>
      </c>
      <c r="E3497" s="31">
        <f ca="1">B3497-D3497</f>
        <v>0</v>
      </c>
    </row>
    <row r="3498" spans="1:5" x14ac:dyDescent="0.25">
      <c r="A3498" s="21">
        <v>3497</v>
      </c>
      <c r="B3498" s="5" cm="1">
        <f t="array" aca="1" ref="B3498" ca="1">interpolexp(A3498,serie_du,Taxas_DI)</f>
        <v>0.12785880219698953</v>
      </c>
      <c r="C3498" s="32">
        <f ca="1">((((1+B3498)^(A3498/252))/((1+B3497)^(A3497/252)))^(252/1))-1</f>
        <v>0.12781988397685096</v>
      </c>
      <c r="D3498" s="30">
        <v>0.12785880219698953</v>
      </c>
      <c r="E3498" s="31">
        <f ca="1">B3498-D3498</f>
        <v>0</v>
      </c>
    </row>
    <row r="3499" spans="1:5" x14ac:dyDescent="0.25">
      <c r="A3499" s="21">
        <v>3498</v>
      </c>
      <c r="B3499" s="5" cm="1">
        <f t="array" aca="1" ref="B3499" ca="1">interpolexp(A3499,serie_du,Taxas_DI)</f>
        <v>0.1278587910709561</v>
      </c>
      <c r="C3499" s="32">
        <f ca="1">((((1+B3499)^(A3499/252))/((1+B3498)^(A3498/252)))^(252/1))-1</f>
        <v>0.12781988400336264</v>
      </c>
      <c r="D3499" s="30">
        <v>0.1278587910709561</v>
      </c>
      <c r="E3499" s="31">
        <f ca="1">B3499-D3499</f>
        <v>0</v>
      </c>
    </row>
    <row r="3500" spans="1:5" x14ac:dyDescent="0.25">
      <c r="A3500" s="21">
        <v>3499</v>
      </c>
      <c r="B3500" s="5" cm="1">
        <f t="array" aca="1" ref="B3500" ca="1">interpolexp(A3500,serie_du,Taxas_DI)</f>
        <v>0.12785877995127315</v>
      </c>
      <c r="C3500" s="32">
        <f ca="1">((((1+B3500)^(A3500/252))/((1+B3499)^(A3499/252)))^(252/1))-1</f>
        <v>0.12781988397117661</v>
      </c>
      <c r="D3500" s="30">
        <v>0.12785877995127315</v>
      </c>
      <c r="E3500" s="31">
        <f ca="1">B3500-D3500</f>
        <v>0</v>
      </c>
    </row>
    <row r="3501" spans="1:5" x14ac:dyDescent="0.25">
      <c r="A3501" s="21">
        <v>3500</v>
      </c>
      <c r="B3501" s="5" cm="1">
        <f t="array" aca="1" ref="B3501" ca="1">interpolexp(A3501,serie_du,Taxas_DI)</f>
        <v>0.12785876883794067</v>
      </c>
      <c r="C3501" s="32">
        <f ca="1">((((1+B3501)^(A3501/252))/((1+B3500)^(A3500/252)))^(252/1))-1</f>
        <v>0.12781988395818455</v>
      </c>
      <c r="D3501" s="30">
        <v>0.12785876883794067</v>
      </c>
      <c r="E3501" s="31">
        <f ca="1">B3501-D3501</f>
        <v>0</v>
      </c>
    </row>
    <row r="3502" spans="1:5" x14ac:dyDescent="0.25">
      <c r="A3502" s="21">
        <v>3501</v>
      </c>
      <c r="B3502" s="5" cm="1">
        <f t="array" aca="1" ref="B3502" ca="1">interpolexp(A3502,serie_du,Taxas_DI)</f>
        <v>0.12785875773095867</v>
      </c>
      <c r="C3502" s="32">
        <f ca="1">((((1+B3502)^(A3502/252))/((1+B3501)^(A3501/252)))^(252/1))-1</f>
        <v>0.12781988396406363</v>
      </c>
      <c r="D3502" s="30">
        <v>0.12785875773095867</v>
      </c>
      <c r="E3502" s="31">
        <f ca="1">B3502-D3502</f>
        <v>0</v>
      </c>
    </row>
    <row r="3503" spans="1:5" x14ac:dyDescent="0.25">
      <c r="A3503" s="21">
        <v>3502</v>
      </c>
      <c r="B3503" s="5" cm="1">
        <f t="array" aca="1" ref="B3503" ca="1">interpolexp(A3503,serie_du,Taxas_DI)</f>
        <v>0.12785874663032715</v>
      </c>
      <c r="C3503" s="32">
        <f ca="1">((((1+B3503)^(A3503/252))/((1+B3502)^(A3502/252)))^(252/1))-1</f>
        <v>0.12781988398911781</v>
      </c>
      <c r="D3503" s="30">
        <v>0.12785874663032715</v>
      </c>
      <c r="E3503" s="31">
        <f ca="1">B3503-D3503</f>
        <v>0</v>
      </c>
    </row>
    <row r="3504" spans="1:5" x14ac:dyDescent="0.25">
      <c r="A3504" s="21">
        <v>3503</v>
      </c>
      <c r="B3504" s="5" cm="1">
        <f t="array" aca="1" ref="B3504" ca="1">interpolexp(A3504,serie_du,Taxas_DI)</f>
        <v>0.12785873553602389</v>
      </c>
      <c r="C3504" s="32">
        <f ca="1">((((1+B3504)^(A3504/252))/((1+B3503)^(A3503/252)))^(252/1))-1</f>
        <v>0.12781988395541344</v>
      </c>
      <c r="D3504" s="30">
        <v>0.12785873553602389</v>
      </c>
      <c r="E3504" s="31">
        <f ca="1">B3504-D3504</f>
        <v>0</v>
      </c>
    </row>
    <row r="3505" spans="1:5" x14ac:dyDescent="0.25">
      <c r="A3505" s="21">
        <v>3504</v>
      </c>
      <c r="B3505" s="5" cm="1">
        <f t="array" aca="1" ref="B3505" ca="1">interpolexp(A3505,serie_du,Taxas_DI)</f>
        <v>0.12785872444804891</v>
      </c>
      <c r="C3505" s="32">
        <f ca="1">((((1+B3505)^(A3505/252))/((1+B3504)^(A3504/252)))^(252/1))-1</f>
        <v>0.1278198839407223</v>
      </c>
      <c r="D3505" s="30">
        <v>0.12785872444804891</v>
      </c>
      <c r="E3505" s="31">
        <f ca="1">B3505-D3505</f>
        <v>0</v>
      </c>
    </row>
    <row r="3506" spans="1:5" x14ac:dyDescent="0.25">
      <c r="A3506" s="21">
        <v>3505</v>
      </c>
      <c r="B3506" s="5" cm="1">
        <f t="array" aca="1" ref="B3506" ca="1">interpolexp(A3506,serie_du,Taxas_DI)</f>
        <v>0.1278587133664244</v>
      </c>
      <c r="C3506" s="32">
        <f ca="1">((((1+B3506)^(A3506/252))/((1+B3505)^(A3505/252)))^(252/1))-1</f>
        <v>0.12781988402265521</v>
      </c>
      <c r="D3506" s="30">
        <v>0.1278587133664244</v>
      </c>
      <c r="E3506" s="31">
        <f ca="1">B3506-D3506</f>
        <v>0</v>
      </c>
    </row>
    <row r="3507" spans="1:5" x14ac:dyDescent="0.25">
      <c r="A3507" s="21">
        <v>3506</v>
      </c>
      <c r="B3507" s="5" cm="1">
        <f t="array" aca="1" ref="B3507" ca="1">interpolexp(A3507,serie_du,Taxas_DI)</f>
        <v>0.12785870229110596</v>
      </c>
      <c r="C3507" s="32">
        <f ca="1">((((1+B3507)^(A3507/252))/((1+B3506)^(A3506/252)))^(252/1))-1</f>
        <v>0.12781988396828226</v>
      </c>
      <c r="D3507" s="30">
        <v>0.12785870229110596</v>
      </c>
      <c r="E3507" s="31">
        <f ca="1">B3507-D3507</f>
        <v>0</v>
      </c>
    </row>
    <row r="3508" spans="1:5" x14ac:dyDescent="0.25">
      <c r="A3508" s="21">
        <v>3507</v>
      </c>
      <c r="B3508" s="5" cm="1">
        <f t="array" aca="1" ref="B3508" ca="1">interpolexp(A3508,serie_du,Taxas_DI)</f>
        <v>0.12785869122209359</v>
      </c>
      <c r="C3508" s="32">
        <f ca="1">((((1+B3508)^(A3508/252))/((1+B3507)^(A3507/252)))^(252/1))-1</f>
        <v>0.12781988393247157</v>
      </c>
      <c r="D3508" s="30">
        <v>0.12785869122209359</v>
      </c>
      <c r="E3508" s="31">
        <f ca="1">B3508-D3508</f>
        <v>0</v>
      </c>
    </row>
    <row r="3509" spans="1:5" x14ac:dyDescent="0.25">
      <c r="A3509" s="21">
        <v>3508</v>
      </c>
      <c r="B3509" s="5" cm="1">
        <f t="array" aca="1" ref="B3509" ca="1">interpolexp(A3509,serie_du,Taxas_DI)</f>
        <v>0.12785868015940949</v>
      </c>
      <c r="C3509" s="32">
        <f ca="1">((((1+B3509)^(A3509/252))/((1+B3508)^(A3508/252)))^(252/1))-1</f>
        <v>0.12781988399377586</v>
      </c>
      <c r="D3509" s="30">
        <v>0.12785868015940949</v>
      </c>
      <c r="E3509" s="31">
        <f ca="1">B3509-D3509</f>
        <v>0</v>
      </c>
    </row>
    <row r="3510" spans="1:5" x14ac:dyDescent="0.25">
      <c r="A3510" s="21">
        <v>3509</v>
      </c>
      <c r="B3510" s="5" cm="1">
        <f t="array" aca="1" ref="B3510" ca="1">interpolexp(A3510,serie_du,Taxas_DI)</f>
        <v>0.12785866910300925</v>
      </c>
      <c r="C3510" s="32">
        <f ca="1">((((1+B3510)^(A3510/252))/((1+B3509)^(A3509/252)))^(252/1))-1</f>
        <v>0.12781988391809151</v>
      </c>
      <c r="D3510" s="30">
        <v>0.12785866910300925</v>
      </c>
      <c r="E3510" s="31">
        <f ca="1">B3510-D3510</f>
        <v>0</v>
      </c>
    </row>
    <row r="3511" spans="1:5" x14ac:dyDescent="0.25">
      <c r="A3511" s="21">
        <v>3510</v>
      </c>
      <c r="B3511" s="5" cm="1">
        <f t="array" aca="1" ref="B3511" ca="1">interpolexp(A3511,serie_du,Taxas_DI)</f>
        <v>0.12785865805293728</v>
      </c>
      <c r="C3511" s="32">
        <f ca="1">((((1+B3511)^(A3511/252))/((1+B3510)^(A3510/252)))^(252/1))-1</f>
        <v>0.12781988401710787</v>
      </c>
      <c r="D3511" s="30">
        <v>0.12785865805293728</v>
      </c>
      <c r="E3511" s="31">
        <f ca="1">B3511-D3511</f>
        <v>0</v>
      </c>
    </row>
    <row r="3512" spans="1:5" x14ac:dyDescent="0.25">
      <c r="A3512" s="21">
        <v>3511</v>
      </c>
      <c r="B3512" s="5" cm="1">
        <f t="array" aca="1" ref="B3512" ca="1">interpolexp(A3512,serie_du,Taxas_DI)</f>
        <v>0.12785864700914917</v>
      </c>
      <c r="C3512" s="32">
        <f ca="1">((((1+B3512)^(A3512/252))/((1+B3511)^(A3511/252)))^(252/1))-1</f>
        <v>0.12781988397911426</v>
      </c>
      <c r="D3512" s="30">
        <v>0.12785864700914917</v>
      </c>
      <c r="E3512" s="31">
        <f ca="1">B3512-D3512</f>
        <v>0</v>
      </c>
    </row>
    <row r="3513" spans="1:5" x14ac:dyDescent="0.25">
      <c r="A3513" s="21">
        <v>3512</v>
      </c>
      <c r="B3513" s="5" cm="1">
        <f t="array" aca="1" ref="B3513" ca="1">interpolexp(A3513,serie_du,Taxas_DI)</f>
        <v>0.12785863597164493</v>
      </c>
      <c r="C3513" s="32">
        <f ca="1">((((1+B3513)^(A3513/252))/((1+B3512)^(A3512/252)))^(252/1))-1</f>
        <v>0.12781988396020449</v>
      </c>
      <c r="D3513" s="30">
        <v>0.12785863597164493</v>
      </c>
      <c r="E3513" s="31">
        <f ca="1">B3513-D3513</f>
        <v>0</v>
      </c>
    </row>
    <row r="3514" spans="1:5" x14ac:dyDescent="0.25">
      <c r="A3514" s="21">
        <v>3513</v>
      </c>
      <c r="B3514" s="5" cm="1">
        <f t="array" aca="1" ref="B3514" ca="1">interpolexp(A3514,serie_du,Taxas_DI)</f>
        <v>0.12785862494042455</v>
      </c>
      <c r="C3514" s="32">
        <f ca="1">((((1+B3514)^(A3514/252))/((1+B3513)^(A3513/252)))^(252/1))-1</f>
        <v>0.12781988395995381</v>
      </c>
      <c r="D3514" s="30">
        <v>0.12785862494042455</v>
      </c>
      <c r="E3514" s="31">
        <f ca="1">B3514-D3514</f>
        <v>0</v>
      </c>
    </row>
    <row r="3515" spans="1:5" x14ac:dyDescent="0.25">
      <c r="A3515" s="21">
        <v>3514</v>
      </c>
      <c r="B3515" s="5" cm="1">
        <f t="array" aca="1" ref="B3515" ca="1">interpolexp(A3515,serie_du,Taxas_DI)</f>
        <v>0.12785861391548803</v>
      </c>
      <c r="C3515" s="32">
        <f ca="1">((((1+B3515)^(A3515/252))/((1+B3514)^(A3514/252)))^(252/1))-1</f>
        <v>0.1278198839786715</v>
      </c>
      <c r="D3515" s="30">
        <v>0.12785861391548803</v>
      </c>
      <c r="E3515" s="31">
        <f ca="1">B3515-D3515</f>
        <v>0</v>
      </c>
    </row>
    <row r="3516" spans="1:5" x14ac:dyDescent="0.25">
      <c r="A3516" s="21">
        <v>3515</v>
      </c>
      <c r="B3516" s="5" cm="1">
        <f t="array" aca="1" ref="B3516" ca="1">interpolexp(A3516,serie_du,Taxas_DI)</f>
        <v>0.12785860289681317</v>
      </c>
      <c r="C3516" s="32">
        <f ca="1">((((1+B3516)^(A3516/252))/((1+B3515)^(A3515/252)))^(252/1))-1</f>
        <v>0.12781988393813903</v>
      </c>
      <c r="D3516" s="30">
        <v>0.12785860289681317</v>
      </c>
      <c r="E3516" s="31">
        <f ca="1">B3516-D3516</f>
        <v>0</v>
      </c>
    </row>
    <row r="3517" spans="1:5" x14ac:dyDescent="0.25">
      <c r="A3517" s="21">
        <v>3516</v>
      </c>
      <c r="B3517" s="5" cm="1">
        <f t="array" aca="1" ref="B3517" ca="1">interpolexp(A3517,serie_du,Taxas_DI)</f>
        <v>0.12785859188442217</v>
      </c>
      <c r="C3517" s="32">
        <f ca="1">((((1+B3517)^(A3517/252))/((1+B3516)^(A3516/252)))^(252/1))-1</f>
        <v>0.12781988399453126</v>
      </c>
      <c r="D3517" s="30">
        <v>0.12785859188442217</v>
      </c>
      <c r="E3517" s="31">
        <f ca="1">B3517-D3517</f>
        <v>0</v>
      </c>
    </row>
    <row r="3518" spans="1:5" x14ac:dyDescent="0.25">
      <c r="A3518" s="21">
        <v>3517</v>
      </c>
      <c r="B3518" s="5" cm="1">
        <f t="array" aca="1" ref="B3518" ca="1">interpolexp(A3518,serie_du,Taxas_DI)</f>
        <v>0.12785858087827062</v>
      </c>
      <c r="C3518" s="32">
        <f ca="1">((((1+B3518)^(A3518/252))/((1+B3517)^(A3517/252)))^(252/1))-1</f>
        <v>0.12781988391344767</v>
      </c>
      <c r="D3518" s="30">
        <v>0.12785858087827062</v>
      </c>
      <c r="E3518" s="31">
        <f ca="1">B3518-D3518</f>
        <v>0</v>
      </c>
    </row>
    <row r="3519" spans="1:5" x14ac:dyDescent="0.25">
      <c r="A3519" s="21">
        <v>3518</v>
      </c>
      <c r="B3519" s="5" cm="1">
        <f t="array" aca="1" ref="B3519" ca="1">interpolexp(A3519,serie_du,Taxas_DI)</f>
        <v>0.12785856987840294</v>
      </c>
      <c r="C3519" s="32">
        <f ca="1">((((1+B3519)^(A3519/252))/((1+B3518)^(A3518/252)))^(252/1))-1</f>
        <v>0.12781988400739297</v>
      </c>
      <c r="D3519" s="30">
        <v>0.12785856987840294</v>
      </c>
      <c r="E3519" s="31">
        <f ca="1">B3519-D3519</f>
        <v>0</v>
      </c>
    </row>
    <row r="3520" spans="1:5" x14ac:dyDescent="0.25">
      <c r="A3520" s="21">
        <v>3519</v>
      </c>
      <c r="B3520" s="5" cm="1">
        <f t="array" aca="1" ref="B3520" ca="1">interpolexp(A3520,serie_du,Taxas_DI)</f>
        <v>0.12785855888477471</v>
      </c>
      <c r="C3520" s="32">
        <f ca="1">((((1+B3520)^(A3520/252))/((1+B3519)^(A3519/252)))^(252/1))-1</f>
        <v>0.12781988396392974</v>
      </c>
      <c r="D3520" s="30">
        <v>0.12785855888477471</v>
      </c>
      <c r="E3520" s="31">
        <f ca="1">B3520-D3520</f>
        <v>0</v>
      </c>
    </row>
    <row r="3521" spans="1:5" x14ac:dyDescent="0.25">
      <c r="A3521" s="21">
        <v>3520</v>
      </c>
      <c r="B3521" s="5" cm="1">
        <f t="array" aca="1" ref="B3521" ca="1">interpolexp(A3521,serie_du,Taxas_DI)</f>
        <v>0.12785854789738593</v>
      </c>
      <c r="C3521" s="32">
        <f ca="1">((((1+B3521)^(A3521/252))/((1+B3520)^(A3520/252)))^(252/1))-1</f>
        <v>0.12781988393920729</v>
      </c>
      <c r="D3521" s="30">
        <v>0.12785854789738593</v>
      </c>
      <c r="E3521" s="31">
        <f ca="1">B3521-D3521</f>
        <v>0</v>
      </c>
    </row>
    <row r="3522" spans="1:5" x14ac:dyDescent="0.25">
      <c r="A3522" s="21">
        <v>3521</v>
      </c>
      <c r="B3522" s="5" cm="1">
        <f t="array" aca="1" ref="B3522" ca="1">interpolexp(A3522,serie_du,Taxas_DI)</f>
        <v>0.12785853691623661</v>
      </c>
      <c r="C3522" s="32">
        <f ca="1">((((1+B3522)^(A3522/252))/((1+B3521)^(A3521/252)))^(252/1))-1</f>
        <v>0.12781988393322674</v>
      </c>
      <c r="D3522" s="30">
        <v>0.12785853691623661</v>
      </c>
      <c r="E3522" s="31">
        <f ca="1">B3522-D3522</f>
        <v>0</v>
      </c>
    </row>
    <row r="3523" spans="1:5" x14ac:dyDescent="0.25">
      <c r="A3523" s="21">
        <v>3522</v>
      </c>
      <c r="B3523" s="5" cm="1">
        <f t="array" aca="1" ref="B3523" ca="1">interpolexp(A3523,serie_du,Taxas_DI)</f>
        <v>0.12785852594134894</v>
      </c>
      <c r="C3523" s="32">
        <f ca="1">((((1+B3523)^(A3523/252))/((1+B3522)^(A3522/252)))^(252/1))-1</f>
        <v>0.12781988402404143</v>
      </c>
      <c r="D3523" s="30">
        <v>0.12785852594134894</v>
      </c>
      <c r="E3523" s="31">
        <f ca="1">B3523-D3523</f>
        <v>0</v>
      </c>
    </row>
    <row r="3524" spans="1:5" x14ac:dyDescent="0.25">
      <c r="A3524" s="21">
        <v>3523</v>
      </c>
      <c r="B3524" s="5" cm="1">
        <f t="array" aca="1" ref="B3524" ca="1">interpolexp(A3524,serie_du,Taxas_DI)</f>
        <v>0.12785851497267853</v>
      </c>
      <c r="C3524" s="32">
        <f ca="1">((((1+B3524)^(A3524/252))/((1+B3523)^(A3523/252)))^(252/1))-1</f>
        <v>0.12781988397716404</v>
      </c>
      <c r="D3524" s="30">
        <v>0.12785851497267853</v>
      </c>
      <c r="E3524" s="31">
        <f ca="1">B3524-D3524</f>
        <v>0</v>
      </c>
    </row>
    <row r="3525" spans="1:5" x14ac:dyDescent="0.25">
      <c r="A3525" s="21">
        <v>3524</v>
      </c>
      <c r="B3525" s="5" cm="1">
        <f t="array" aca="1" ref="B3525" ca="1">interpolexp(A3525,serie_du,Taxas_DI)</f>
        <v>0.12785850401022536</v>
      </c>
      <c r="C3525" s="32">
        <f ca="1">((((1+B3525)^(A3525/252))/((1+B3524)^(A3524/252)))^(252/1))-1</f>
        <v>0.12781988394918042</v>
      </c>
      <c r="D3525" s="30">
        <v>0.12785850401022536</v>
      </c>
      <c r="E3525" s="31">
        <f ca="1">B3525-D3525</f>
        <v>0</v>
      </c>
    </row>
    <row r="3526" spans="1:5" x14ac:dyDescent="0.25">
      <c r="A3526" s="21">
        <v>3525</v>
      </c>
      <c r="B3526" s="5" cm="1">
        <f t="array" aca="1" ref="B3526" ca="1">interpolexp(A3526,serie_du,Taxas_DI)</f>
        <v>0.12785849305398944</v>
      </c>
      <c r="C3526" s="32">
        <f ca="1">((((1+B3526)^(A3526/252))/((1+B3525)^(A3525/252)))^(252/1))-1</f>
        <v>0.12781988393965382</v>
      </c>
      <c r="D3526" s="30">
        <v>0.12785849305398944</v>
      </c>
      <c r="E3526" s="31">
        <f ca="1">B3526-D3526</f>
        <v>0</v>
      </c>
    </row>
    <row r="3527" spans="1:5" x14ac:dyDescent="0.25">
      <c r="A3527" s="21">
        <v>3526</v>
      </c>
      <c r="B3527" s="5" cm="1">
        <f t="array" aca="1" ref="B3527" ca="1">interpolexp(A3527,serie_du,Taxas_DI)</f>
        <v>0.12785848210397077</v>
      </c>
      <c r="C3527" s="32">
        <f ca="1">((((1+B3527)^(A3527/252))/((1+B3526)^(A3526/252)))^(252/1))-1</f>
        <v>0.1278198839489264</v>
      </c>
      <c r="D3527" s="30">
        <v>0.12785848210397077</v>
      </c>
      <c r="E3527" s="31">
        <f ca="1">B3527-D3527</f>
        <v>0</v>
      </c>
    </row>
    <row r="3528" spans="1:5" x14ac:dyDescent="0.25">
      <c r="A3528" s="21">
        <v>3527</v>
      </c>
      <c r="B3528" s="5" cm="1">
        <f t="array" aca="1" ref="B3528" ca="1">interpolexp(A3528,serie_du,Taxas_DI)</f>
        <v>0.12785847116016935</v>
      </c>
      <c r="C3528" s="32">
        <f ca="1">((((1+B3528)^(A3528/252))/((1+B3527)^(A3527/252)))^(252/1))-1</f>
        <v>0.12781988397659694</v>
      </c>
      <c r="D3528" s="30">
        <v>0.12785847116016935</v>
      </c>
      <c r="E3528" s="31">
        <f ca="1">B3528-D3528</f>
        <v>0</v>
      </c>
    </row>
    <row r="3529" spans="1:5" x14ac:dyDescent="0.25">
      <c r="A3529" s="21">
        <v>3528</v>
      </c>
      <c r="B3529" s="5" cm="1">
        <f t="array" aca="1" ref="B3529" ca="1">interpolexp(A3529,serie_du,Taxas_DI)</f>
        <v>0.12785846022256298</v>
      </c>
      <c r="C3529" s="32">
        <f ca="1">((((1+B3529)^(A3529/252))/((1+B3528)^(A3528/252)))^(252/1))-1</f>
        <v>0.1278198839449467</v>
      </c>
      <c r="D3529" s="30">
        <v>0.12785846022256298</v>
      </c>
      <c r="E3529" s="31">
        <f ca="1">B3529-D3529</f>
        <v>0</v>
      </c>
    </row>
    <row r="3530" spans="1:5" x14ac:dyDescent="0.25">
      <c r="A3530" s="21">
        <v>3529</v>
      </c>
      <c r="B3530" s="5" cm="1">
        <f t="array" aca="1" ref="B3530" ca="1">interpolexp(A3530,serie_du,Taxas_DI)</f>
        <v>0.12785844929117385</v>
      </c>
      <c r="C3530" s="32">
        <f ca="1">((((1+B3530)^(A3530/252))/((1+B3529)^(A3529/252)))^(252/1))-1</f>
        <v>0.12781988400973088</v>
      </c>
      <c r="D3530" s="30">
        <v>0.12785844929117385</v>
      </c>
      <c r="E3530" s="31">
        <f ca="1">B3530-D3530</f>
        <v>0</v>
      </c>
    </row>
    <row r="3531" spans="1:5" x14ac:dyDescent="0.25">
      <c r="A3531" s="21">
        <v>3530</v>
      </c>
      <c r="B3531" s="5" cm="1">
        <f t="array" aca="1" ref="B3531" ca="1">interpolexp(A3531,serie_du,Taxas_DI)</f>
        <v>0.12785843836595756</v>
      </c>
      <c r="C3531" s="32">
        <f ca="1">((((1+B3531)^(A3531/252))/((1+B3530)^(A3530/252)))^(252/1))-1</f>
        <v>0.12781988393682009</v>
      </c>
      <c r="D3531" s="30">
        <v>0.12785843836595756</v>
      </c>
      <c r="E3531" s="31">
        <f ca="1">B3531-D3531</f>
        <v>0</v>
      </c>
    </row>
    <row r="3532" spans="1:5" x14ac:dyDescent="0.25">
      <c r="A3532" s="21">
        <v>3531</v>
      </c>
      <c r="B3532" s="5" cm="1">
        <f t="array" aca="1" ref="B3532" ca="1">interpolexp(A3532,serie_du,Taxas_DI)</f>
        <v>0.12785842744693632</v>
      </c>
      <c r="C3532" s="32">
        <f ca="1">((((1+B3532)^(A3532/252))/((1+B3531)^(A3531/252)))^(252/1))-1</f>
        <v>0.1278198839607716</v>
      </c>
      <c r="D3532" s="30">
        <v>0.12785842744693632</v>
      </c>
      <c r="E3532" s="31">
        <f ca="1">B3532-D3532</f>
        <v>0</v>
      </c>
    </row>
    <row r="3533" spans="1:5" x14ac:dyDescent="0.25">
      <c r="A3533" s="21">
        <v>3532</v>
      </c>
      <c r="B3533" s="5" cm="1">
        <f t="array" aca="1" ref="B3533" ca="1">interpolexp(A3533,serie_du,Taxas_DI)</f>
        <v>0.12785841653408792</v>
      </c>
      <c r="C3533" s="32">
        <f ca="1">((((1+B3533)^(A3533/252))/((1+B3532)^(A3532/252)))^(252/1))-1</f>
        <v>0.12781988392483501</v>
      </c>
      <c r="D3533" s="30">
        <v>0.12785841653408792</v>
      </c>
      <c r="E3533" s="31">
        <f ca="1">B3533-D3533</f>
        <v>0</v>
      </c>
    </row>
    <row r="3534" spans="1:5" x14ac:dyDescent="0.25">
      <c r="A3534" s="21">
        <v>3533</v>
      </c>
      <c r="B3534" s="5" cm="1">
        <f t="array" aca="1" ref="B3534" ca="1">interpolexp(A3534,serie_du,Taxas_DI)</f>
        <v>0.12785840562743456</v>
      </c>
      <c r="C3534" s="32">
        <f ca="1">((((1+B3534)^(A3534/252))/((1+B3533)^(A3533/252)))^(252/1))-1</f>
        <v>0.12781988398583799</v>
      </c>
      <c r="D3534" s="30">
        <v>0.12785840562743456</v>
      </c>
      <c r="E3534" s="31">
        <f ca="1">B3534-D3534</f>
        <v>0</v>
      </c>
    </row>
    <row r="3535" spans="1:5" x14ac:dyDescent="0.25">
      <c r="A3535" s="21">
        <v>3534</v>
      </c>
      <c r="B3535" s="5" cm="1">
        <f t="array" aca="1" ref="B3535" ca="1">interpolexp(A3535,serie_du,Taxas_DI)</f>
        <v>0.12785839472695404</v>
      </c>
      <c r="C3535" s="32">
        <f ca="1">((((1+B3535)^(A3535/252))/((1+B3534)^(A3534/252)))^(252/1))-1</f>
        <v>0.12781988398696864</v>
      </c>
      <c r="D3535" s="30">
        <v>0.12785839472695404</v>
      </c>
      <c r="E3535" s="31">
        <f ca="1">B3535-D3535</f>
        <v>0</v>
      </c>
    </row>
    <row r="3536" spans="1:5" x14ac:dyDescent="0.25">
      <c r="A3536" s="21">
        <v>3535</v>
      </c>
      <c r="B3536" s="5" cm="1">
        <f t="array" aca="1" ref="B3536" ca="1">interpolexp(A3536,serie_du,Taxas_DI)</f>
        <v>0.12785838383262416</v>
      </c>
      <c r="C3536" s="32">
        <f ca="1">((((1+B3536)^(A3536/252))/((1+B3535)^(A3535/252)))^(252/1))-1</f>
        <v>0.12781988392804933</v>
      </c>
      <c r="D3536" s="30">
        <v>0.12785838383262416</v>
      </c>
      <c r="E3536" s="31">
        <f ca="1">B3536-D3536</f>
        <v>0</v>
      </c>
    </row>
    <row r="3537" spans="1:5" x14ac:dyDescent="0.25">
      <c r="A3537" s="21">
        <v>3536</v>
      </c>
      <c r="B3537" s="5" cm="1">
        <f t="array" aca="1" ref="B3537" ca="1">interpolexp(A3537,serie_du,Taxas_DI)</f>
        <v>0.12785837294446711</v>
      </c>
      <c r="C3537" s="32">
        <f ca="1">((((1+B3537)^(A3537/252))/((1+B3536)^(A3536/252)))^(252/1))-1</f>
        <v>0.12781988396626232</v>
      </c>
      <c r="D3537" s="30">
        <v>0.12785837294446711</v>
      </c>
      <c r="E3537" s="31">
        <f ca="1">B3537-D3537</f>
        <v>0</v>
      </c>
    </row>
    <row r="3538" spans="1:5" x14ac:dyDescent="0.25">
      <c r="A3538" s="21">
        <v>3537</v>
      </c>
      <c r="B3538" s="5" cm="1">
        <f t="array" aca="1" ref="B3538" ca="1">interpolexp(A3538,serie_du,Taxas_DI)</f>
        <v>0.12785836206246715</v>
      </c>
      <c r="C3538" s="32">
        <f ca="1">((((1+B3538)^(A3538/252))/((1+B3537)^(A3537/252)))^(252/1))-1</f>
        <v>0.1278198839671445</v>
      </c>
      <c r="D3538" s="30">
        <v>0.12785836206246715</v>
      </c>
      <c r="E3538" s="31">
        <f ca="1">B3538-D3538</f>
        <v>0</v>
      </c>
    </row>
    <row r="3539" spans="1:5" x14ac:dyDescent="0.25">
      <c r="A3539" s="21">
        <v>3538</v>
      </c>
      <c r="B3539" s="5" cm="1">
        <f t="array" aca="1" ref="B3539" ca="1">interpolexp(A3539,serie_du,Taxas_DI)</f>
        <v>0.12785836206246715</v>
      </c>
      <c r="C3539" s="32">
        <f ca="1">((((1+B3539)^(A3539/252))/((1+B3538)^(A3538/252)))^(252/1))-1</f>
        <v>0.12785836206241719</v>
      </c>
      <c r="D3539" s="30">
        <v>0.12785836206246715</v>
      </c>
      <c r="E3539" s="31">
        <f ca="1">B3539-D3539</f>
        <v>0</v>
      </c>
    </row>
    <row r="3540" spans="1:5" x14ac:dyDescent="0.25">
      <c r="A3540" s="21">
        <v>3539</v>
      </c>
      <c r="B3540" s="5" cm="1">
        <f t="array" aca="1" ref="B3540" ca="1">interpolexp(A3540,serie_du,Taxas_DI)</f>
        <v>0.12785836206246715</v>
      </c>
      <c r="C3540" s="32">
        <f ca="1">((((1+B3540)^(A3540/252))/((1+B3539)^(A3539/252)))^(252/1))-1</f>
        <v>0.1278583620624798</v>
      </c>
      <c r="D3540" s="30">
        <v>0.12785836206246715</v>
      </c>
      <c r="E3540" s="31">
        <f ca="1">B3540-D3540</f>
        <v>0</v>
      </c>
    </row>
    <row r="3541" spans="1:5" x14ac:dyDescent="0.25">
      <c r="A3541" s="21">
        <v>3540</v>
      </c>
      <c r="B3541" s="5" cm="1">
        <f t="array" aca="1" ref="B3541" ca="1">interpolexp(A3541,serie_du,Taxas_DI)</f>
        <v>0.12785836206246715</v>
      </c>
      <c r="C3541" s="32">
        <f ca="1">((((1+B3541)^(A3541/252))/((1+B3540)^(A3540/252)))^(252/1))-1</f>
        <v>0.12785836206241719</v>
      </c>
      <c r="D3541" s="30">
        <v>0.12785836206246715</v>
      </c>
      <c r="E3541" s="31">
        <f ca="1">B3541-D3541</f>
        <v>0</v>
      </c>
    </row>
    <row r="3542" spans="1:5" x14ac:dyDescent="0.25">
      <c r="A3542" s="21">
        <v>3541</v>
      </c>
      <c r="B3542" s="5" cm="1">
        <f t="array" aca="1" ref="B3542" ca="1">interpolexp(A3542,serie_du,Taxas_DI)</f>
        <v>0.12785836206246715</v>
      </c>
      <c r="C3542" s="32">
        <f ca="1">((((1+B3542)^(A3542/252))/((1+B3541)^(A3541/252)))^(252/1))-1</f>
        <v>0.1278583620624798</v>
      </c>
      <c r="D3542" s="30">
        <v>0.12785836206246715</v>
      </c>
      <c r="E3542" s="31">
        <f ca="1">B3542-D3542</f>
        <v>0</v>
      </c>
    </row>
    <row r="3543" spans="1:5" x14ac:dyDescent="0.25">
      <c r="A3543" s="21">
        <v>3542</v>
      </c>
      <c r="B3543" s="5" cm="1">
        <f t="array" aca="1" ref="B3543" ca="1">interpolexp(A3543,serie_du,Taxas_DI)</f>
        <v>0.12785836206246715</v>
      </c>
      <c r="C3543" s="32">
        <f ca="1">((((1+B3543)^(A3543/252))/((1+B3542)^(A3542/252)))^(252/1))-1</f>
        <v>0.12785836206241719</v>
      </c>
      <c r="D3543" s="30">
        <v>0.12785836206246715</v>
      </c>
      <c r="E3543" s="31">
        <f ca="1">B3543-D3543</f>
        <v>0</v>
      </c>
    </row>
    <row r="3544" spans="1:5" x14ac:dyDescent="0.25">
      <c r="A3544" s="21">
        <v>3543</v>
      </c>
      <c r="B3544" s="5" cm="1">
        <f t="array" aca="1" ref="B3544" ca="1">interpolexp(A3544,serie_du,Taxas_DI)</f>
        <v>0.12785836206246715</v>
      </c>
      <c r="C3544" s="32">
        <f ca="1">((((1+B3544)^(A3544/252))/((1+B3543)^(A3543/252)))^(252/1))-1</f>
        <v>0.1278583620624798</v>
      </c>
      <c r="D3544" s="30">
        <v>0.12785836206246715</v>
      </c>
      <c r="E3544" s="31">
        <f ca="1">B3544-D3544</f>
        <v>0</v>
      </c>
    </row>
    <row r="3545" spans="1:5" x14ac:dyDescent="0.25">
      <c r="A3545" s="21">
        <v>3544</v>
      </c>
      <c r="B3545" s="5" cm="1">
        <f t="array" aca="1" ref="B3545" ca="1">interpolexp(A3545,serie_du,Taxas_DI)</f>
        <v>0.12785836206246715</v>
      </c>
      <c r="C3545" s="32">
        <f ca="1">((((1+B3545)^(A3545/252))/((1+B3544)^(A3544/252)))^(252/1))-1</f>
        <v>0.12785836206241719</v>
      </c>
      <c r="D3545" s="30">
        <v>0.12785836206246715</v>
      </c>
      <c r="E3545" s="31">
        <f ca="1">B3545-D3545</f>
        <v>0</v>
      </c>
    </row>
    <row r="3546" spans="1:5" x14ac:dyDescent="0.25">
      <c r="A3546" s="21">
        <v>3545</v>
      </c>
      <c r="B3546" s="5" cm="1">
        <f t="array" aca="1" ref="B3546" ca="1">interpolexp(A3546,serie_du,Taxas_DI)</f>
        <v>0.12785836206246715</v>
      </c>
      <c r="C3546" s="32">
        <f ca="1">((((1+B3546)^(A3546/252))/((1+B3545)^(A3545/252)))^(252/1))-1</f>
        <v>0.1278583620624798</v>
      </c>
      <c r="D3546" s="30">
        <v>0.12785836206246715</v>
      </c>
      <c r="E3546" s="31">
        <f ca="1">B3546-D3546</f>
        <v>0</v>
      </c>
    </row>
    <row r="3547" spans="1:5" x14ac:dyDescent="0.25">
      <c r="A3547" s="21">
        <v>3546</v>
      </c>
      <c r="B3547" s="5" cm="1">
        <f t="array" aca="1" ref="B3547" ca="1">interpolexp(A3547,serie_du,Taxas_DI)</f>
        <v>0.12785836206246715</v>
      </c>
      <c r="C3547" s="32">
        <f ca="1">((((1+B3547)^(A3547/252))/((1+B3546)^(A3546/252)))^(252/1))-1</f>
        <v>0.12785836206241719</v>
      </c>
      <c r="D3547" s="30">
        <v>0.12785836206246715</v>
      </c>
      <c r="E3547" s="31">
        <f ca="1">B3547-D3547</f>
        <v>0</v>
      </c>
    </row>
    <row r="3548" spans="1:5" x14ac:dyDescent="0.25">
      <c r="A3548" s="21">
        <v>3547</v>
      </c>
      <c r="B3548" s="5" cm="1">
        <f t="array" aca="1" ref="B3548" ca="1">interpolexp(A3548,serie_du,Taxas_DI)</f>
        <v>0.12785836206246715</v>
      </c>
      <c r="C3548" s="32">
        <f ca="1">((((1+B3548)^(A3548/252))/((1+B3547)^(A3547/252)))^(252/1))-1</f>
        <v>0.1278583620624798</v>
      </c>
      <c r="D3548" s="30">
        <v>0.12785836206246715</v>
      </c>
      <c r="E3548" s="31">
        <f ca="1">B3548-D3548</f>
        <v>0</v>
      </c>
    </row>
    <row r="3549" spans="1:5" x14ac:dyDescent="0.25">
      <c r="A3549" s="21">
        <v>3548</v>
      </c>
      <c r="B3549" s="5" cm="1">
        <f t="array" aca="1" ref="B3549" ca="1">interpolexp(A3549,serie_du,Taxas_DI)</f>
        <v>0.12785836206246715</v>
      </c>
      <c r="C3549" s="32">
        <f ca="1">((((1+B3549)^(A3549/252))/((1+B3548)^(A3548/252)))^(252/1))-1</f>
        <v>0.12785836206241719</v>
      </c>
      <c r="D3549" s="30">
        <v>0.12785836206246715</v>
      </c>
      <c r="E3549" s="31">
        <f ca="1">B3549-D3549</f>
        <v>0</v>
      </c>
    </row>
    <row r="3550" spans="1:5" x14ac:dyDescent="0.25">
      <c r="A3550" s="21">
        <v>3549</v>
      </c>
      <c r="B3550" s="5" cm="1">
        <f t="array" aca="1" ref="B3550" ca="1">interpolexp(A3550,serie_du,Taxas_DI)</f>
        <v>0.12785836206246715</v>
      </c>
      <c r="C3550" s="32">
        <f ca="1">((((1+B3550)^(A3550/252))/((1+B3549)^(A3549/252)))^(252/1))-1</f>
        <v>0.1278583620624798</v>
      </c>
      <c r="D3550" s="30">
        <v>0.12785836206246715</v>
      </c>
      <c r="E3550" s="31">
        <f ca="1">B3550-D3550</f>
        <v>0</v>
      </c>
    </row>
    <row r="3551" spans="1:5" x14ac:dyDescent="0.25">
      <c r="A3551" s="21">
        <v>3550</v>
      </c>
      <c r="B3551" s="5" cm="1">
        <f t="array" aca="1" ref="B3551" ca="1">interpolexp(A3551,serie_du,Taxas_DI)</f>
        <v>0.12785836206246715</v>
      </c>
      <c r="C3551" s="32">
        <f ca="1">((((1+B3551)^(A3551/252))/((1+B3550)^(A3550/252)))^(252/1))-1</f>
        <v>0.12785836206235501</v>
      </c>
      <c r="D3551" s="30">
        <v>0.12785836206246715</v>
      </c>
      <c r="E3551" s="31">
        <f ca="1">B3551-D3551</f>
        <v>0</v>
      </c>
    </row>
    <row r="3552" spans="1:5" x14ac:dyDescent="0.25">
      <c r="A3552" s="21">
        <v>3551</v>
      </c>
      <c r="B3552" s="5" cm="1">
        <f t="array" aca="1" ref="B3552" ca="1">interpolexp(A3552,serie_du,Taxas_DI)</f>
        <v>0.12785836206246715</v>
      </c>
      <c r="C3552" s="32">
        <f ca="1">((((1+B3552)^(A3552/252))/((1+B3551)^(A3551/252)))^(252/1))-1</f>
        <v>0.1278583620624798</v>
      </c>
      <c r="D3552" s="30">
        <v>0.12785836206246715</v>
      </c>
      <c r="E3552" s="31">
        <f ca="1">B3552-D3552</f>
        <v>0</v>
      </c>
    </row>
    <row r="3553" spans="1:5" x14ac:dyDescent="0.25">
      <c r="A3553" s="21">
        <v>3552</v>
      </c>
      <c r="B3553" s="5" cm="1">
        <f t="array" aca="1" ref="B3553" ca="1">interpolexp(A3553,serie_du,Taxas_DI)</f>
        <v>0.12785836206246715</v>
      </c>
      <c r="C3553" s="32">
        <f ca="1">((((1+B3553)^(A3553/252))/((1+B3552)^(A3552/252)))^(252/1))-1</f>
        <v>0.12785836206241719</v>
      </c>
      <c r="D3553" s="30">
        <v>0.12785836206246715</v>
      </c>
      <c r="E3553" s="31">
        <f ca="1">B3553-D3553</f>
        <v>0</v>
      </c>
    </row>
    <row r="3554" spans="1:5" x14ac:dyDescent="0.25">
      <c r="A3554" s="21">
        <v>3553</v>
      </c>
      <c r="B3554" s="5" cm="1">
        <f t="array" aca="1" ref="B3554" ca="1">interpolexp(A3554,serie_du,Taxas_DI)</f>
        <v>0.12785836206246715</v>
      </c>
      <c r="C3554" s="32">
        <f ca="1">((((1+B3554)^(A3554/252))/((1+B3553)^(A3553/252)))^(252/1))-1</f>
        <v>0.12785836206254375</v>
      </c>
      <c r="D3554" s="30">
        <v>0.12785836206246715</v>
      </c>
      <c r="E3554" s="31">
        <f ca="1">B3554-D3554</f>
        <v>0</v>
      </c>
    </row>
    <row r="3555" spans="1:5" x14ac:dyDescent="0.25">
      <c r="A3555" s="21">
        <v>3554</v>
      </c>
      <c r="B3555" s="5" cm="1">
        <f t="array" aca="1" ref="B3555" ca="1">interpolexp(A3555,serie_du,Taxas_DI)</f>
        <v>0.12785836206246715</v>
      </c>
      <c r="C3555" s="32">
        <f ca="1">((((1+B3555)^(A3555/252))/((1+B3554)^(A3554/252)))^(252/1))-1</f>
        <v>0.12785836206235501</v>
      </c>
      <c r="D3555" s="30">
        <v>0.12785836206246715</v>
      </c>
      <c r="E3555" s="31">
        <f ca="1">B3555-D3555</f>
        <v>0</v>
      </c>
    </row>
    <row r="3556" spans="1:5" x14ac:dyDescent="0.25">
      <c r="A3556" s="21">
        <v>3555</v>
      </c>
      <c r="B3556" s="5" cm="1">
        <f t="array" aca="1" ref="B3556" ca="1">interpolexp(A3556,serie_du,Taxas_DI)</f>
        <v>0.12785836206246715</v>
      </c>
      <c r="C3556" s="32">
        <f ca="1">((((1+B3556)^(A3556/252))/((1+B3555)^(A3555/252)))^(252/1))-1</f>
        <v>0.1278583620624798</v>
      </c>
      <c r="D3556" s="30">
        <v>0.12785836206246715</v>
      </c>
      <c r="E3556" s="31">
        <f ca="1">B3556-D3556</f>
        <v>0</v>
      </c>
    </row>
    <row r="3557" spans="1:5" x14ac:dyDescent="0.25">
      <c r="A3557" s="21">
        <v>3556</v>
      </c>
      <c r="B3557" s="5" cm="1">
        <f t="array" aca="1" ref="B3557" ca="1">interpolexp(A3557,serie_du,Taxas_DI)</f>
        <v>0.12785836206246715</v>
      </c>
      <c r="C3557" s="32">
        <f ca="1">((((1+B3557)^(A3557/252))/((1+B3556)^(A3556/252)))^(252/1))-1</f>
        <v>0.1278583620624798</v>
      </c>
      <c r="D3557" s="30">
        <v>0.12785836206246715</v>
      </c>
      <c r="E3557" s="31">
        <f ca="1">B3557-D3557</f>
        <v>0</v>
      </c>
    </row>
    <row r="3558" spans="1:5" x14ac:dyDescent="0.25">
      <c r="A3558" s="21">
        <v>3557</v>
      </c>
      <c r="B3558" s="5" cm="1">
        <f t="array" aca="1" ref="B3558" ca="1">interpolexp(A3558,serie_du,Taxas_DI)</f>
        <v>0.12785836206246715</v>
      </c>
      <c r="C3558" s="32">
        <f ca="1">((((1+B3558)^(A3558/252))/((1+B3557)^(A3557/252)))^(252/1))-1</f>
        <v>0.12785836206241719</v>
      </c>
      <c r="D3558" s="30">
        <v>0.12785836206246715</v>
      </c>
      <c r="E3558" s="31">
        <f ca="1">B3558-D3558</f>
        <v>0</v>
      </c>
    </row>
    <row r="3559" spans="1:5" x14ac:dyDescent="0.25">
      <c r="A3559" s="21">
        <v>3558</v>
      </c>
      <c r="B3559" s="5" cm="1">
        <f t="array" aca="1" ref="B3559" ca="1">interpolexp(A3559,serie_du,Taxas_DI)</f>
        <v>0.12785836206246715</v>
      </c>
      <c r="C3559" s="32">
        <f ca="1">((((1+B3559)^(A3559/252))/((1+B3558)^(A3558/252)))^(252/1))-1</f>
        <v>0.12785836206241719</v>
      </c>
      <c r="D3559" s="30">
        <v>0.12785836206246715</v>
      </c>
      <c r="E3559" s="31">
        <f ca="1">B3559-D3559</f>
        <v>0</v>
      </c>
    </row>
    <row r="3560" spans="1:5" x14ac:dyDescent="0.25">
      <c r="A3560" s="21">
        <v>3559</v>
      </c>
      <c r="B3560" s="5" cm="1">
        <f t="array" aca="1" ref="B3560" ca="1">interpolexp(A3560,serie_du,Taxas_DI)</f>
        <v>0.12785836206246715</v>
      </c>
      <c r="C3560" s="32">
        <f ca="1">((((1+B3560)^(A3560/252))/((1+B3559)^(A3559/252)))^(252/1))-1</f>
        <v>0.1278583620624798</v>
      </c>
      <c r="D3560" s="30">
        <v>0.12785836206246715</v>
      </c>
      <c r="E3560" s="31">
        <f ca="1">B3560-D3560</f>
        <v>0</v>
      </c>
    </row>
    <row r="3561" spans="1:5" x14ac:dyDescent="0.25">
      <c r="A3561" s="21">
        <v>3560</v>
      </c>
      <c r="B3561" s="5" cm="1">
        <f t="array" aca="1" ref="B3561" ca="1">interpolexp(A3561,serie_du,Taxas_DI)</f>
        <v>0.12785836206246715</v>
      </c>
      <c r="C3561" s="32">
        <f ca="1">((((1+B3561)^(A3561/252))/((1+B3560)^(A3560/252)))^(252/1))-1</f>
        <v>0.12785836206241719</v>
      </c>
      <c r="D3561" s="30">
        <v>0.12785836206246715</v>
      </c>
      <c r="E3561" s="31">
        <f ca="1">B3561-D3561</f>
        <v>0</v>
      </c>
    </row>
    <row r="3562" spans="1:5" x14ac:dyDescent="0.25">
      <c r="A3562" s="21">
        <v>3561</v>
      </c>
      <c r="B3562" s="5" cm="1">
        <f t="array" aca="1" ref="B3562" ca="1">interpolexp(A3562,serie_du,Taxas_DI)</f>
        <v>0.12785836206246715</v>
      </c>
      <c r="C3562" s="32">
        <f ca="1">((((1+B3562)^(A3562/252))/((1+B3561)^(A3561/252)))^(252/1))-1</f>
        <v>0.12785836206241719</v>
      </c>
      <c r="D3562" s="30">
        <v>0.12785836206246715</v>
      </c>
      <c r="E3562" s="31">
        <f ca="1">B3562-D3562</f>
        <v>0</v>
      </c>
    </row>
    <row r="3563" spans="1:5" x14ac:dyDescent="0.25">
      <c r="A3563" s="21">
        <v>3562</v>
      </c>
      <c r="B3563" s="5" cm="1">
        <f t="array" aca="1" ref="B3563" ca="1">interpolexp(A3563,serie_du,Taxas_DI)</f>
        <v>0.12785836206246715</v>
      </c>
      <c r="C3563" s="32">
        <f ca="1">((((1+B3563)^(A3563/252))/((1+B3562)^(A3562/252)))^(252/1))-1</f>
        <v>0.1278583620624798</v>
      </c>
      <c r="D3563" s="30">
        <v>0.12785836206246715</v>
      </c>
      <c r="E3563" s="31">
        <f ca="1">B3563-D3563</f>
        <v>0</v>
      </c>
    </row>
    <row r="3564" spans="1:5" x14ac:dyDescent="0.25">
      <c r="A3564" s="21">
        <v>3563</v>
      </c>
      <c r="B3564" s="5" cm="1">
        <f t="array" aca="1" ref="B3564" ca="1">interpolexp(A3564,serie_du,Taxas_DI)</f>
        <v>0.12785836206246715</v>
      </c>
      <c r="C3564" s="32">
        <f ca="1">((((1+B3564)^(A3564/252))/((1+B3563)^(A3563/252)))^(252/1))-1</f>
        <v>0.12785836206241719</v>
      </c>
      <c r="D3564" s="30">
        <v>0.12785836206246715</v>
      </c>
      <c r="E3564" s="31">
        <f ca="1">B3564-D3564</f>
        <v>0</v>
      </c>
    </row>
    <row r="3565" spans="1:5" x14ac:dyDescent="0.25">
      <c r="A3565" s="21">
        <v>3564</v>
      </c>
      <c r="B3565" s="5" cm="1">
        <f t="array" aca="1" ref="B3565" ca="1">interpolexp(A3565,serie_du,Taxas_DI)</f>
        <v>0.12785836206246715</v>
      </c>
      <c r="C3565" s="32">
        <f ca="1">((((1+B3565)^(A3565/252))/((1+B3564)^(A3564/252)))^(252/1))-1</f>
        <v>0.1278583620624798</v>
      </c>
      <c r="D3565" s="30">
        <v>0.12785836206246715</v>
      </c>
      <c r="E3565" s="31">
        <f ca="1">B3565-D3565</f>
        <v>0</v>
      </c>
    </row>
    <row r="3566" spans="1:5" x14ac:dyDescent="0.25">
      <c r="A3566" s="21">
        <v>3565</v>
      </c>
      <c r="B3566" s="5" cm="1">
        <f t="array" aca="1" ref="B3566" ca="1">interpolexp(A3566,serie_du,Taxas_DI)</f>
        <v>0.12785836206246715</v>
      </c>
      <c r="C3566" s="32">
        <f ca="1">((((1+B3566)^(A3566/252))/((1+B3565)^(A3565/252)))^(252/1))-1</f>
        <v>0.12785836206241719</v>
      </c>
      <c r="D3566" s="30">
        <v>0.12785836206246715</v>
      </c>
      <c r="E3566" s="31">
        <f ca="1">B3566-D3566</f>
        <v>0</v>
      </c>
    </row>
    <row r="3567" spans="1:5" x14ac:dyDescent="0.25">
      <c r="A3567" s="21">
        <v>3566</v>
      </c>
      <c r="B3567" s="5" cm="1">
        <f t="array" aca="1" ref="B3567" ca="1">interpolexp(A3567,serie_du,Taxas_DI)</f>
        <v>0.12785836206246715</v>
      </c>
      <c r="C3567" s="32">
        <f ca="1">((((1+B3567)^(A3567/252))/((1+B3566)^(A3566/252)))^(252/1))-1</f>
        <v>0.12785836206241719</v>
      </c>
      <c r="D3567" s="30">
        <v>0.12785836206246715</v>
      </c>
      <c r="E3567" s="31">
        <f ca="1">B3567-D3567</f>
        <v>0</v>
      </c>
    </row>
    <row r="3568" spans="1:5" x14ac:dyDescent="0.25">
      <c r="A3568" s="21">
        <v>3567</v>
      </c>
      <c r="B3568" s="5" cm="1">
        <f t="array" aca="1" ref="B3568" ca="1">interpolexp(A3568,serie_du,Taxas_DI)</f>
        <v>0.12785836206246715</v>
      </c>
      <c r="C3568" s="32">
        <f ca="1">((((1+B3568)^(A3568/252))/((1+B3567)^(A3567/252)))^(252/1))-1</f>
        <v>0.12785836206241719</v>
      </c>
      <c r="D3568" s="30">
        <v>0.12785836206246715</v>
      </c>
      <c r="E3568" s="31">
        <f ca="1">B3568-D3568</f>
        <v>0</v>
      </c>
    </row>
    <row r="3569" spans="1:5" x14ac:dyDescent="0.25">
      <c r="A3569" s="21">
        <v>3568</v>
      </c>
      <c r="B3569" s="5" cm="1">
        <f t="array" aca="1" ref="B3569" ca="1">interpolexp(A3569,serie_du,Taxas_DI)</f>
        <v>0.12785836206246715</v>
      </c>
      <c r="C3569" s="32">
        <f ca="1">((((1+B3569)^(A3569/252))/((1+B3568)^(A3568/252)))^(252/1))-1</f>
        <v>0.1278583620624798</v>
      </c>
      <c r="D3569" s="30">
        <v>0.12785836206246715</v>
      </c>
      <c r="E3569" s="31">
        <f ca="1">B3569-D3569</f>
        <v>0</v>
      </c>
    </row>
    <row r="3570" spans="1:5" x14ac:dyDescent="0.25">
      <c r="A3570" s="21">
        <v>3569</v>
      </c>
      <c r="B3570" s="5" cm="1">
        <f t="array" aca="1" ref="B3570" ca="1">interpolexp(A3570,serie_du,Taxas_DI)</f>
        <v>0.12785836206246715</v>
      </c>
      <c r="C3570" s="32">
        <f ca="1">((((1+B3570)^(A3570/252))/((1+B3569)^(A3569/252)))^(252/1))-1</f>
        <v>0.1278583620624798</v>
      </c>
      <c r="D3570" s="30">
        <v>0.12785836206246715</v>
      </c>
      <c r="E3570" s="31">
        <f ca="1">B3570-D3570</f>
        <v>0</v>
      </c>
    </row>
    <row r="3571" spans="1:5" x14ac:dyDescent="0.25">
      <c r="A3571" s="21">
        <v>3570</v>
      </c>
      <c r="B3571" s="5" cm="1">
        <f t="array" aca="1" ref="B3571" ca="1">interpolexp(A3571,serie_du,Taxas_DI)</f>
        <v>0.12785836206246715</v>
      </c>
      <c r="C3571" s="32">
        <f ca="1">((((1+B3571)^(A3571/252))/((1+B3570)^(A3570/252)))^(252/1))-1</f>
        <v>0.12785836206241719</v>
      </c>
      <c r="D3571" s="30">
        <v>0.12785836206246715</v>
      </c>
      <c r="E3571" s="31">
        <f ca="1">B3571-D3571</f>
        <v>0</v>
      </c>
    </row>
    <row r="3572" spans="1:5" x14ac:dyDescent="0.25">
      <c r="A3572" s="21">
        <v>3571</v>
      </c>
      <c r="B3572" s="5" cm="1">
        <f t="array" aca="1" ref="B3572" ca="1">interpolexp(A3572,serie_du,Taxas_DI)</f>
        <v>0.12785836206246715</v>
      </c>
      <c r="C3572" s="32">
        <f ca="1">((((1+B3572)^(A3572/252))/((1+B3571)^(A3571/252)))^(252/1))-1</f>
        <v>0.1278583620624798</v>
      </c>
      <c r="D3572" s="30">
        <v>0.12785836206246715</v>
      </c>
      <c r="E3572" s="31">
        <f ca="1">B3572-D3572</f>
        <v>0</v>
      </c>
    </row>
    <row r="3573" spans="1:5" x14ac:dyDescent="0.25">
      <c r="A3573" s="21">
        <v>3572</v>
      </c>
      <c r="B3573" s="5" cm="1">
        <f t="array" aca="1" ref="B3573" ca="1">interpolexp(A3573,serie_du,Taxas_DI)</f>
        <v>0.12785836206246715</v>
      </c>
      <c r="C3573" s="32">
        <f ca="1">((((1+B3573)^(A3573/252))/((1+B3572)^(A3572/252)))^(252/1))-1</f>
        <v>0.12785836206235501</v>
      </c>
      <c r="D3573" s="30">
        <v>0.12785836206246715</v>
      </c>
      <c r="E3573" s="31">
        <f ca="1">B3573-D3573</f>
        <v>0</v>
      </c>
    </row>
    <row r="3574" spans="1:5" x14ac:dyDescent="0.25">
      <c r="A3574" s="21">
        <v>3573</v>
      </c>
      <c r="B3574" s="5" cm="1">
        <f t="array" aca="1" ref="B3574" ca="1">interpolexp(A3574,serie_du,Taxas_DI)</f>
        <v>0.12785836206246715</v>
      </c>
      <c r="C3574" s="32">
        <f ca="1">((((1+B3574)^(A3574/252))/((1+B3573)^(A3573/252)))^(252/1))-1</f>
        <v>0.12785836206254375</v>
      </c>
      <c r="D3574" s="30">
        <v>0.12785836206246715</v>
      </c>
      <c r="E3574" s="31">
        <f ca="1">B3574-D3574</f>
        <v>0</v>
      </c>
    </row>
    <row r="3575" spans="1:5" x14ac:dyDescent="0.25">
      <c r="A3575" s="21">
        <v>3574</v>
      </c>
      <c r="B3575" s="5" cm="1">
        <f t="array" aca="1" ref="B3575" ca="1">interpolexp(A3575,serie_du,Taxas_DI)</f>
        <v>0.12785836206246715</v>
      </c>
      <c r="C3575" s="32">
        <f ca="1">((((1+B3575)^(A3575/252))/((1+B3574)^(A3574/252)))^(252/1))-1</f>
        <v>0.12785836206241719</v>
      </c>
      <c r="D3575" s="30">
        <v>0.12785836206246715</v>
      </c>
      <c r="E3575" s="31">
        <f ca="1">B3575-D3575</f>
        <v>0</v>
      </c>
    </row>
    <row r="3576" spans="1:5" x14ac:dyDescent="0.25">
      <c r="A3576" s="21">
        <v>3575</v>
      </c>
      <c r="B3576" s="5" cm="1">
        <f t="array" aca="1" ref="B3576" ca="1">interpolexp(A3576,serie_du,Taxas_DI)</f>
        <v>0.12785836206246715</v>
      </c>
      <c r="C3576" s="32">
        <f ca="1">((((1+B3576)^(A3576/252))/((1+B3575)^(A3575/252)))^(252/1))-1</f>
        <v>0.1278583620624798</v>
      </c>
      <c r="D3576" s="30">
        <v>0.12785836206246715</v>
      </c>
      <c r="E3576" s="31">
        <f ca="1">B3576-D3576</f>
        <v>0</v>
      </c>
    </row>
    <row r="3577" spans="1:5" x14ac:dyDescent="0.25">
      <c r="A3577" s="21">
        <v>3576</v>
      </c>
      <c r="B3577" s="5" cm="1">
        <f t="array" aca="1" ref="B3577" ca="1">interpolexp(A3577,serie_du,Taxas_DI)</f>
        <v>0.12785836206246715</v>
      </c>
      <c r="C3577" s="32">
        <f ca="1">((((1+B3577)^(A3577/252))/((1+B3576)^(A3576/252)))^(252/1))-1</f>
        <v>0.12785836206235501</v>
      </c>
      <c r="D3577" s="30">
        <v>0.12785836206246715</v>
      </c>
      <c r="E3577" s="31">
        <f ca="1">B3577-D3577</f>
        <v>0</v>
      </c>
    </row>
    <row r="3578" spans="1:5" x14ac:dyDescent="0.25">
      <c r="A3578" s="21">
        <v>3577</v>
      </c>
      <c r="B3578" s="5" cm="1">
        <f t="array" aca="1" ref="B3578" ca="1">interpolexp(A3578,serie_du,Taxas_DI)</f>
        <v>0.12785836206246715</v>
      </c>
      <c r="C3578" s="32">
        <f ca="1">((((1+B3578)^(A3578/252))/((1+B3577)^(A3577/252)))^(252/1))-1</f>
        <v>0.12785836206254375</v>
      </c>
      <c r="D3578" s="30">
        <v>0.12785836206246715</v>
      </c>
      <c r="E3578" s="31">
        <f ca="1">B3578-D3578</f>
        <v>0</v>
      </c>
    </row>
    <row r="3579" spans="1:5" x14ac:dyDescent="0.25">
      <c r="A3579" s="21">
        <v>3578</v>
      </c>
      <c r="B3579" s="5" cm="1">
        <f t="array" aca="1" ref="B3579" ca="1">interpolexp(A3579,serie_du,Taxas_DI)</f>
        <v>0.12785836206246715</v>
      </c>
      <c r="C3579" s="32">
        <f ca="1">((((1+B3579)^(A3579/252))/((1+B3578)^(A3578/252)))^(252/1))-1</f>
        <v>0.12785836206235501</v>
      </c>
      <c r="D3579" s="30">
        <v>0.12785836206246715</v>
      </c>
      <c r="E3579" s="31">
        <f ca="1">B3579-D3579</f>
        <v>0</v>
      </c>
    </row>
    <row r="3580" spans="1:5" x14ac:dyDescent="0.25">
      <c r="A3580" s="21">
        <v>3579</v>
      </c>
      <c r="B3580" s="5" cm="1">
        <f t="array" aca="1" ref="B3580" ca="1">interpolexp(A3580,serie_du,Taxas_DI)</f>
        <v>0.12785836206246715</v>
      </c>
      <c r="C3580" s="32">
        <f ca="1">((((1+B3580)^(A3580/252))/((1+B3579)^(A3579/252)))^(252/1))-1</f>
        <v>0.12785836206254375</v>
      </c>
      <c r="D3580" s="30">
        <v>0.12785836206246715</v>
      </c>
      <c r="E3580" s="31">
        <f ca="1">B3580-D3580</f>
        <v>0</v>
      </c>
    </row>
    <row r="3581" spans="1:5" x14ac:dyDescent="0.25">
      <c r="A3581" s="21">
        <v>3580</v>
      </c>
      <c r="B3581" s="5" cm="1">
        <f t="array" aca="1" ref="B3581" ca="1">interpolexp(A3581,serie_du,Taxas_DI)</f>
        <v>0.12785836206246715</v>
      </c>
      <c r="C3581" s="32">
        <f ca="1">((((1+B3581)^(A3581/252))/((1+B3580)^(A3580/252)))^(252/1))-1</f>
        <v>0.12785836206235501</v>
      </c>
      <c r="D3581" s="30">
        <v>0.12785836206246715</v>
      </c>
      <c r="E3581" s="31">
        <f ca="1">B3581-D3581</f>
        <v>0</v>
      </c>
    </row>
    <row r="3582" spans="1:5" x14ac:dyDescent="0.25">
      <c r="A3582" s="21">
        <v>3581</v>
      </c>
      <c r="B3582" s="5" cm="1">
        <f t="array" aca="1" ref="B3582" ca="1">interpolexp(A3582,serie_du,Taxas_DI)</f>
        <v>0.12785836206246715</v>
      </c>
      <c r="C3582" s="32">
        <f ca="1">((((1+B3582)^(A3582/252))/((1+B3581)^(A3581/252)))^(252/1))-1</f>
        <v>0.1278583620624798</v>
      </c>
      <c r="D3582" s="30">
        <v>0.12785836206246715</v>
      </c>
      <c r="E3582" s="31">
        <f ca="1">B3582-D3582</f>
        <v>0</v>
      </c>
    </row>
    <row r="3583" spans="1:5" x14ac:dyDescent="0.25">
      <c r="A3583" s="21">
        <v>3582</v>
      </c>
      <c r="B3583" s="5" cm="1">
        <f t="array" aca="1" ref="B3583" ca="1">interpolexp(A3583,serie_du,Taxas_DI)</f>
        <v>0.12785836206246715</v>
      </c>
      <c r="C3583" s="32">
        <f ca="1">((((1+B3583)^(A3583/252))/((1+B3582)^(A3582/252)))^(252/1))-1</f>
        <v>0.12785836206235501</v>
      </c>
      <c r="D3583" s="30">
        <v>0.12785836206246715</v>
      </c>
      <c r="E3583" s="31">
        <f ca="1">B3583-D3583</f>
        <v>0</v>
      </c>
    </row>
    <row r="3584" spans="1:5" x14ac:dyDescent="0.25">
      <c r="A3584" s="21">
        <v>3583</v>
      </c>
      <c r="B3584" s="5" cm="1">
        <f t="array" aca="1" ref="B3584" ca="1">interpolexp(A3584,serie_du,Taxas_DI)</f>
        <v>0.12785836206246715</v>
      </c>
      <c r="C3584" s="32">
        <f ca="1">((((1+B3584)^(A3584/252))/((1+B3583)^(A3583/252)))^(252/1))-1</f>
        <v>0.12785836206254375</v>
      </c>
      <c r="D3584" s="30">
        <v>0.12785836206246715</v>
      </c>
      <c r="E3584" s="31">
        <f ca="1">B3584-D3584</f>
        <v>0</v>
      </c>
    </row>
    <row r="3585" spans="1:5" x14ac:dyDescent="0.25">
      <c r="A3585" s="21">
        <v>3584</v>
      </c>
      <c r="B3585" s="5" cm="1">
        <f t="array" aca="1" ref="B3585" ca="1">interpolexp(A3585,serie_du,Taxas_DI)</f>
        <v>0.12785836206246715</v>
      </c>
      <c r="C3585" s="32">
        <f ca="1">((((1+B3585)^(A3585/252))/((1+B3584)^(A3584/252)))^(252/1))-1</f>
        <v>0.12785836206235501</v>
      </c>
      <c r="D3585" s="30">
        <v>0.12785836206246715</v>
      </c>
      <c r="E3585" s="31">
        <f ca="1">B3585-D3585</f>
        <v>0</v>
      </c>
    </row>
    <row r="3586" spans="1:5" x14ac:dyDescent="0.25">
      <c r="A3586" s="21">
        <v>3585</v>
      </c>
      <c r="B3586" s="5" cm="1">
        <f t="array" aca="1" ref="B3586" ca="1">interpolexp(A3586,serie_du,Taxas_DI)</f>
        <v>0.12785836206246715</v>
      </c>
      <c r="C3586" s="32">
        <f ca="1">((((1+B3586)^(A3586/252))/((1+B3585)^(A3585/252)))^(252/1))-1</f>
        <v>0.12785836206254375</v>
      </c>
      <c r="D3586" s="30">
        <v>0.12785836206246715</v>
      </c>
      <c r="E3586" s="31">
        <f ca="1">B3586-D3586</f>
        <v>0</v>
      </c>
    </row>
    <row r="3587" spans="1:5" x14ac:dyDescent="0.25">
      <c r="A3587" s="21">
        <v>3586</v>
      </c>
      <c r="B3587" s="5" cm="1">
        <f t="array" aca="1" ref="B3587" ca="1">interpolexp(A3587,serie_du,Taxas_DI)</f>
        <v>0.12785836206246715</v>
      </c>
      <c r="C3587" s="32">
        <f ca="1">((((1+B3587)^(A3587/252))/((1+B3586)^(A3586/252)))^(252/1))-1</f>
        <v>0.1278583620624798</v>
      </c>
      <c r="D3587" s="30">
        <v>0.12785836206246715</v>
      </c>
      <c r="E3587" s="31">
        <f ca="1">B3587-D3587</f>
        <v>0</v>
      </c>
    </row>
    <row r="3588" spans="1:5" x14ac:dyDescent="0.25">
      <c r="A3588" s="21">
        <v>3587</v>
      </c>
      <c r="B3588" s="5" cm="1">
        <f t="array" aca="1" ref="B3588" ca="1">interpolexp(A3588,serie_du,Taxas_DI)</f>
        <v>0.12785836206246715</v>
      </c>
      <c r="C3588" s="32">
        <f ca="1">((((1+B3588)^(A3588/252))/((1+B3587)^(A3587/252)))^(252/1))-1</f>
        <v>0.12785836206241719</v>
      </c>
      <c r="D3588" s="30">
        <v>0.12785836206246715</v>
      </c>
      <c r="E3588" s="31">
        <f ca="1">B3588-D3588</f>
        <v>0</v>
      </c>
    </row>
    <row r="3589" spans="1:5" x14ac:dyDescent="0.25">
      <c r="A3589" s="21">
        <v>3588</v>
      </c>
      <c r="B3589" s="5" cm="1">
        <f t="array" aca="1" ref="B3589" ca="1">interpolexp(A3589,serie_du,Taxas_DI)</f>
        <v>0.12785836206246715</v>
      </c>
      <c r="C3589" s="32">
        <f ca="1">((((1+B3589)^(A3589/252))/((1+B3588)^(A3588/252)))^(252/1))-1</f>
        <v>0.12785836206241719</v>
      </c>
      <c r="D3589" s="30">
        <v>0.12785836206246715</v>
      </c>
      <c r="E3589" s="31">
        <f ca="1">B3589-D3589</f>
        <v>0</v>
      </c>
    </row>
    <row r="3590" spans="1:5" x14ac:dyDescent="0.25">
      <c r="A3590" s="21">
        <v>3589</v>
      </c>
      <c r="B3590" s="5" cm="1">
        <f t="array" aca="1" ref="B3590" ca="1">interpolexp(A3590,serie_du,Taxas_DI)</f>
        <v>0.12785836206246715</v>
      </c>
      <c r="C3590" s="32">
        <f ca="1">((((1+B3590)^(A3590/252))/((1+B3589)^(A3589/252)))^(252/1))-1</f>
        <v>0.1278583620624798</v>
      </c>
      <c r="D3590" s="30">
        <v>0.12785836206246715</v>
      </c>
      <c r="E3590" s="31">
        <f ca="1">B3590-D3590</f>
        <v>0</v>
      </c>
    </row>
    <row r="3591" spans="1:5" x14ac:dyDescent="0.25">
      <c r="A3591" s="21">
        <v>3590</v>
      </c>
      <c r="B3591" s="5" cm="1">
        <f t="array" aca="1" ref="B3591" ca="1">interpolexp(A3591,serie_du,Taxas_DI)</f>
        <v>0.12785836206246715</v>
      </c>
      <c r="C3591" s="32">
        <f ca="1">((((1+B3591)^(A3591/252))/((1+B3590)^(A3590/252)))^(252/1))-1</f>
        <v>0.12785836206241719</v>
      </c>
      <c r="D3591" s="30">
        <v>0.12785836206246715</v>
      </c>
      <c r="E3591" s="31">
        <f ca="1">B3591-D3591</f>
        <v>0</v>
      </c>
    </row>
    <row r="3592" spans="1:5" x14ac:dyDescent="0.25">
      <c r="A3592" s="21">
        <v>3591</v>
      </c>
      <c r="B3592" s="5" cm="1">
        <f t="array" aca="1" ref="B3592" ca="1">interpolexp(A3592,serie_du,Taxas_DI)</f>
        <v>0.12785836206246715</v>
      </c>
      <c r="C3592" s="32">
        <f ca="1">((((1+B3592)^(A3592/252))/((1+B3591)^(A3591/252)))^(252/1))-1</f>
        <v>0.12785836206241719</v>
      </c>
      <c r="D3592" s="30">
        <v>0.12785836206246715</v>
      </c>
      <c r="E3592" s="31">
        <f ca="1">B3592-D3592</f>
        <v>0</v>
      </c>
    </row>
    <row r="3593" spans="1:5" x14ac:dyDescent="0.25">
      <c r="A3593" s="21">
        <v>3592</v>
      </c>
      <c r="B3593" s="5" cm="1">
        <f t="array" aca="1" ref="B3593" ca="1">interpolexp(A3593,serie_du,Taxas_DI)</f>
        <v>0.12785836206246715</v>
      </c>
      <c r="C3593" s="32">
        <f ca="1">((((1+B3593)^(A3593/252))/((1+B3592)^(A3592/252)))^(252/1))-1</f>
        <v>0.1278583620624798</v>
      </c>
      <c r="D3593" s="30">
        <v>0.12785836206246715</v>
      </c>
      <c r="E3593" s="31">
        <f ca="1">B3593-D3593</f>
        <v>0</v>
      </c>
    </row>
    <row r="3594" spans="1:5" x14ac:dyDescent="0.25">
      <c r="A3594" s="21">
        <v>3593</v>
      </c>
      <c r="B3594" s="5" cm="1">
        <f t="array" aca="1" ref="B3594" ca="1">interpolexp(A3594,serie_du,Taxas_DI)</f>
        <v>0.12785836206246715</v>
      </c>
      <c r="C3594" s="32">
        <f ca="1">((((1+B3594)^(A3594/252))/((1+B3593)^(A3593/252)))^(252/1))-1</f>
        <v>0.12785836206241719</v>
      </c>
      <c r="D3594" s="30">
        <v>0.12785836206246715</v>
      </c>
      <c r="E3594" s="31">
        <f ca="1">B3594-D3594</f>
        <v>0</v>
      </c>
    </row>
    <row r="3595" spans="1:5" x14ac:dyDescent="0.25">
      <c r="A3595" s="21">
        <v>3594</v>
      </c>
      <c r="B3595" s="5" cm="1">
        <f t="array" aca="1" ref="B3595" ca="1">interpolexp(A3595,serie_du,Taxas_DI)</f>
        <v>0.12785836206246715</v>
      </c>
      <c r="C3595" s="32">
        <f ca="1">((((1+B3595)^(A3595/252))/((1+B3594)^(A3594/252)))^(252/1))-1</f>
        <v>0.12785836206254375</v>
      </c>
      <c r="D3595" s="30">
        <v>0.12785836206246715</v>
      </c>
      <c r="E3595" s="31">
        <f ca="1">B3595-D3595</f>
        <v>0</v>
      </c>
    </row>
    <row r="3596" spans="1:5" x14ac:dyDescent="0.25">
      <c r="A3596" s="21">
        <v>3595</v>
      </c>
      <c r="B3596" s="5" cm="1">
        <f t="array" aca="1" ref="B3596" ca="1">interpolexp(A3596,serie_du,Taxas_DI)</f>
        <v>0.12785836206246715</v>
      </c>
      <c r="C3596" s="32">
        <f ca="1">((((1+B3596)^(A3596/252))/((1+B3595)^(A3595/252)))^(252/1))-1</f>
        <v>0.12785836206235501</v>
      </c>
      <c r="D3596" s="30">
        <v>0.12785836206246715</v>
      </c>
      <c r="E3596" s="31">
        <f ca="1">B3596-D3596</f>
        <v>0</v>
      </c>
    </row>
    <row r="3597" spans="1:5" x14ac:dyDescent="0.25">
      <c r="A3597" s="21">
        <v>3596</v>
      </c>
      <c r="B3597" s="5" cm="1">
        <f t="array" aca="1" ref="B3597" ca="1">interpolexp(A3597,serie_du,Taxas_DI)</f>
        <v>0.12785836206246715</v>
      </c>
      <c r="C3597" s="32">
        <f ca="1">((((1+B3597)^(A3597/252))/((1+B3596)^(A3596/252)))^(252/1))-1</f>
        <v>0.1278583620624798</v>
      </c>
      <c r="D3597" s="30">
        <v>0.12785836206246715</v>
      </c>
      <c r="E3597" s="31">
        <f ca="1">B3597-D3597</f>
        <v>0</v>
      </c>
    </row>
    <row r="3598" spans="1:5" x14ac:dyDescent="0.25">
      <c r="A3598" s="21">
        <v>3597</v>
      </c>
      <c r="B3598" s="5" cm="1">
        <f t="array" aca="1" ref="B3598" ca="1">interpolexp(A3598,serie_du,Taxas_DI)</f>
        <v>0.12785836206246715</v>
      </c>
      <c r="C3598" s="32">
        <f ca="1">((((1+B3598)^(A3598/252))/((1+B3597)^(A3597/252)))^(252/1))-1</f>
        <v>0.12785836206241719</v>
      </c>
      <c r="D3598" s="30">
        <v>0.12785836206246715</v>
      </c>
      <c r="E3598" s="31">
        <f ca="1">B3598-D3598</f>
        <v>0</v>
      </c>
    </row>
    <row r="3599" spans="1:5" x14ac:dyDescent="0.25">
      <c r="A3599" s="21">
        <v>3598</v>
      </c>
      <c r="B3599" s="5" cm="1">
        <f t="array" aca="1" ref="B3599" ca="1">interpolexp(A3599,serie_du,Taxas_DI)</f>
        <v>0.12785836206246715</v>
      </c>
      <c r="C3599" s="32">
        <f ca="1">((((1+B3599)^(A3599/252))/((1+B3598)^(A3598/252)))^(252/1))-1</f>
        <v>0.1278583620624798</v>
      </c>
      <c r="D3599" s="30">
        <v>0.12785836206246715</v>
      </c>
      <c r="E3599" s="31">
        <f ca="1">B3599-D3599</f>
        <v>0</v>
      </c>
    </row>
    <row r="3600" spans="1:5" x14ac:dyDescent="0.25">
      <c r="A3600" s="21">
        <v>3599</v>
      </c>
      <c r="B3600" s="5" cm="1">
        <f t="array" aca="1" ref="B3600" ca="1">interpolexp(A3600,serie_du,Taxas_DI)</f>
        <v>0.12785836206246715</v>
      </c>
      <c r="C3600" s="32">
        <f ca="1">((((1+B3600)^(A3600/252))/((1+B3599)^(A3599/252)))^(252/1))-1</f>
        <v>0.12785836206235501</v>
      </c>
      <c r="D3600" s="30">
        <v>0.12785836206246715</v>
      </c>
      <c r="E3600" s="31">
        <f ca="1">B3600-D3600</f>
        <v>0</v>
      </c>
    </row>
    <row r="3601" spans="1:5" x14ac:dyDescent="0.25">
      <c r="A3601" s="21">
        <v>3600</v>
      </c>
      <c r="B3601" s="5" cm="1">
        <f t="array" aca="1" ref="B3601" ca="1">interpolexp(A3601,serie_du,Taxas_DI)</f>
        <v>0.12785836206246715</v>
      </c>
      <c r="C3601" s="32">
        <f ca="1">((((1+B3601)^(A3601/252))/((1+B3600)^(A3600/252)))^(252/1))-1</f>
        <v>0.12785836206254375</v>
      </c>
      <c r="D3601" s="30">
        <v>0.12785836206246715</v>
      </c>
      <c r="E3601" s="31">
        <f ca="1">B3601-D3601</f>
        <v>0</v>
      </c>
    </row>
    <row r="3602" spans="1:5" x14ac:dyDescent="0.25">
      <c r="A3602" s="21">
        <v>3601</v>
      </c>
      <c r="B3602" s="5" cm="1">
        <f t="array" aca="1" ref="B3602" ca="1">interpolexp(A3602,serie_du,Taxas_DI)</f>
        <v>0.12785836206246715</v>
      </c>
      <c r="C3602" s="32">
        <f ca="1">((((1+B3602)^(A3602/252))/((1+B3601)^(A3601/252)))^(252/1))-1</f>
        <v>0.12785836206235501</v>
      </c>
      <c r="D3602" s="30">
        <v>0.12785836206246715</v>
      </c>
      <c r="E3602" s="31">
        <f ca="1">B3602-D3602</f>
        <v>0</v>
      </c>
    </row>
    <row r="3603" spans="1:5" x14ac:dyDescent="0.25">
      <c r="A3603" s="21">
        <v>3602</v>
      </c>
      <c r="B3603" s="5" cm="1">
        <f t="array" aca="1" ref="B3603" ca="1">interpolexp(A3603,serie_du,Taxas_DI)</f>
        <v>0.12785836206246715</v>
      </c>
      <c r="C3603" s="32">
        <f ca="1">((((1+B3603)^(A3603/252))/((1+B3602)^(A3602/252)))^(252/1))-1</f>
        <v>0.1278583620624798</v>
      </c>
      <c r="D3603" s="30">
        <v>0.12785836206246715</v>
      </c>
      <c r="E3603" s="31">
        <f ca="1">B3603-D3603</f>
        <v>0</v>
      </c>
    </row>
    <row r="3604" spans="1:5" x14ac:dyDescent="0.25">
      <c r="A3604" s="21">
        <v>3603</v>
      </c>
      <c r="B3604" s="5" cm="1">
        <f t="array" aca="1" ref="B3604" ca="1">interpolexp(A3604,serie_du,Taxas_DI)</f>
        <v>0.12785836206246715</v>
      </c>
      <c r="C3604" s="32">
        <f ca="1">((((1+B3604)^(A3604/252))/((1+B3603)^(A3603/252)))^(252/1))-1</f>
        <v>0.1278583620624798</v>
      </c>
      <c r="D3604" s="30">
        <v>0.12785836206246715</v>
      </c>
      <c r="E3604" s="31">
        <f ca="1">B3604-D3604</f>
        <v>0</v>
      </c>
    </row>
    <row r="3605" spans="1:5" x14ac:dyDescent="0.25">
      <c r="A3605" s="21">
        <v>3604</v>
      </c>
      <c r="B3605" s="5" cm="1">
        <f t="array" aca="1" ref="B3605" ca="1">interpolexp(A3605,serie_du,Taxas_DI)</f>
        <v>0.12785836206246715</v>
      </c>
      <c r="C3605" s="32">
        <f ca="1">((((1+B3605)^(A3605/252))/((1+B3604)^(A3604/252)))^(252/1))-1</f>
        <v>0.12785836206241719</v>
      </c>
      <c r="D3605" s="30">
        <v>0.12785836206246715</v>
      </c>
      <c r="E3605" s="31">
        <f ca="1">B3605-D3605</f>
        <v>0</v>
      </c>
    </row>
    <row r="3606" spans="1:5" x14ac:dyDescent="0.25">
      <c r="A3606" s="21">
        <v>3605</v>
      </c>
      <c r="B3606" s="5" cm="1">
        <f t="array" aca="1" ref="B3606" ca="1">interpolexp(A3606,serie_du,Taxas_DI)</f>
        <v>0.12785836206246715</v>
      </c>
      <c r="C3606" s="32">
        <f ca="1">((((1+B3606)^(A3606/252))/((1+B3605)^(A3605/252)))^(252/1))-1</f>
        <v>0.1278583620624798</v>
      </c>
      <c r="D3606" s="30">
        <v>0.12785836206246715</v>
      </c>
      <c r="E3606" s="31">
        <f ca="1">B3606-D3606</f>
        <v>0</v>
      </c>
    </row>
    <row r="3607" spans="1:5" x14ac:dyDescent="0.25">
      <c r="A3607" s="21">
        <v>3606</v>
      </c>
      <c r="B3607" s="5" cm="1">
        <f t="array" aca="1" ref="B3607" ca="1">interpolexp(A3607,serie_du,Taxas_DI)</f>
        <v>0.12785836206246715</v>
      </c>
      <c r="C3607" s="32">
        <f ca="1">((((1+B3607)^(A3607/252))/((1+B3606)^(A3606/252)))^(252/1))-1</f>
        <v>0.12785836206241719</v>
      </c>
      <c r="D3607" s="30">
        <v>0.12785836206246715</v>
      </c>
      <c r="E3607" s="31">
        <f ca="1">B3607-D3607</f>
        <v>0</v>
      </c>
    </row>
    <row r="3608" spans="1:5" x14ac:dyDescent="0.25">
      <c r="A3608" s="21">
        <v>3607</v>
      </c>
      <c r="B3608" s="5" cm="1">
        <f t="array" aca="1" ref="B3608" ca="1">interpolexp(A3608,serie_du,Taxas_DI)</f>
        <v>0.12785836206246715</v>
      </c>
      <c r="C3608" s="32">
        <f ca="1">((((1+B3608)^(A3608/252))/((1+B3607)^(A3607/252)))^(252/1))-1</f>
        <v>0.1278583620624798</v>
      </c>
      <c r="D3608" s="30">
        <v>0.12785836206246715</v>
      </c>
      <c r="E3608" s="31">
        <f ca="1">B3608-D3608</f>
        <v>0</v>
      </c>
    </row>
    <row r="3609" spans="1:5" x14ac:dyDescent="0.25">
      <c r="A3609" s="21">
        <v>3608</v>
      </c>
      <c r="B3609" s="5" cm="1">
        <f t="array" aca="1" ref="B3609" ca="1">interpolexp(A3609,serie_du,Taxas_DI)</f>
        <v>0.12785836206246715</v>
      </c>
      <c r="C3609" s="32">
        <f ca="1">((((1+B3609)^(A3609/252))/((1+B3608)^(A3608/252)))^(252/1))-1</f>
        <v>0.12785836206241719</v>
      </c>
      <c r="D3609" s="30">
        <v>0.12785836206246715</v>
      </c>
      <c r="E3609" s="31">
        <f ca="1">B3609-D3609</f>
        <v>0</v>
      </c>
    </row>
    <row r="3610" spans="1:5" x14ac:dyDescent="0.25">
      <c r="A3610" s="21">
        <v>3609</v>
      </c>
      <c r="B3610" s="5" cm="1">
        <f t="array" aca="1" ref="B3610" ca="1">interpolexp(A3610,serie_du,Taxas_DI)</f>
        <v>0.12785836206246715</v>
      </c>
      <c r="C3610" s="32">
        <f ca="1">((((1+B3610)^(A3610/252))/((1+B3609)^(A3609/252)))^(252/1))-1</f>
        <v>0.1278583620624798</v>
      </c>
      <c r="D3610" s="30">
        <v>0.12785836206246715</v>
      </c>
      <c r="E3610" s="31">
        <f ca="1">B3610-D3610</f>
        <v>0</v>
      </c>
    </row>
    <row r="3611" spans="1:5" x14ac:dyDescent="0.25">
      <c r="A3611" s="21">
        <v>3610</v>
      </c>
      <c r="B3611" s="5" cm="1">
        <f t="array" aca="1" ref="B3611" ca="1">interpolexp(A3611,serie_du,Taxas_DI)</f>
        <v>0.12785836206246715</v>
      </c>
      <c r="C3611" s="32">
        <f ca="1">((((1+B3611)^(A3611/252))/((1+B3610)^(A3610/252)))^(252/1))-1</f>
        <v>0.1278583620624798</v>
      </c>
      <c r="D3611" s="30">
        <v>0.12785836206246715</v>
      </c>
      <c r="E3611" s="31">
        <f ca="1">B3611-D3611</f>
        <v>0</v>
      </c>
    </row>
    <row r="3612" spans="1:5" x14ac:dyDescent="0.25">
      <c r="A3612" s="21">
        <v>3611</v>
      </c>
      <c r="B3612" s="5" cm="1">
        <f t="array" aca="1" ref="B3612" ca="1">interpolexp(A3612,serie_du,Taxas_DI)</f>
        <v>0.12785836206246715</v>
      </c>
      <c r="C3612" s="32">
        <f ca="1">((((1+B3612)^(A3612/252))/((1+B3611)^(A3611/252)))^(252/1))-1</f>
        <v>0.12785836206241719</v>
      </c>
      <c r="D3612" s="30">
        <v>0.12785836206246715</v>
      </c>
      <c r="E3612" s="31">
        <f ca="1">B3612-D3612</f>
        <v>0</v>
      </c>
    </row>
    <row r="3613" spans="1:5" x14ac:dyDescent="0.25">
      <c r="A3613" s="21">
        <v>3612</v>
      </c>
      <c r="B3613" s="5" cm="1">
        <f t="array" aca="1" ref="B3613" ca="1">interpolexp(A3613,serie_du,Taxas_DI)</f>
        <v>0.12785836206246715</v>
      </c>
      <c r="C3613" s="32">
        <f ca="1">((((1+B3613)^(A3613/252))/((1+B3612)^(A3612/252)))^(252/1))-1</f>
        <v>0.1278583620624798</v>
      </c>
      <c r="D3613" s="30">
        <v>0.12785836206246715</v>
      </c>
      <c r="E3613" s="31">
        <f ca="1">B3613-D3613</f>
        <v>0</v>
      </c>
    </row>
    <row r="3614" spans="1:5" x14ac:dyDescent="0.25">
      <c r="A3614" s="21">
        <v>3613</v>
      </c>
      <c r="B3614" s="5" cm="1">
        <f t="array" aca="1" ref="B3614" ca="1">interpolexp(A3614,serie_du,Taxas_DI)</f>
        <v>0.12785836206246715</v>
      </c>
      <c r="C3614" s="32">
        <f ca="1">((((1+B3614)^(A3614/252))/((1+B3613)^(A3613/252)))^(252/1))-1</f>
        <v>0.1278583620624798</v>
      </c>
      <c r="D3614" s="30">
        <v>0.12785836206246715</v>
      </c>
      <c r="E3614" s="31">
        <f ca="1">B3614-D3614</f>
        <v>0</v>
      </c>
    </row>
    <row r="3615" spans="1:5" x14ac:dyDescent="0.25">
      <c r="A3615" s="21">
        <v>3614</v>
      </c>
      <c r="B3615" s="5" cm="1">
        <f t="array" aca="1" ref="B3615" ca="1">interpolexp(A3615,serie_du,Taxas_DI)</f>
        <v>0.12785836206246715</v>
      </c>
      <c r="C3615" s="32">
        <f ca="1">((((1+B3615)^(A3615/252))/((1+B3614)^(A3614/252)))^(252/1))-1</f>
        <v>0.12785836206241719</v>
      </c>
      <c r="D3615" s="30">
        <v>0.12785836206246715</v>
      </c>
      <c r="E3615" s="31">
        <f ca="1">B3615-D3615</f>
        <v>0</v>
      </c>
    </row>
    <row r="3616" spans="1:5" x14ac:dyDescent="0.25">
      <c r="A3616" s="21">
        <v>3615</v>
      </c>
      <c r="B3616" s="5" cm="1">
        <f t="array" aca="1" ref="B3616" ca="1">interpolexp(A3616,serie_du,Taxas_DI)</f>
        <v>0.12785836206246715</v>
      </c>
      <c r="C3616" s="32">
        <f ca="1">((((1+B3616)^(A3616/252))/((1+B3615)^(A3615/252)))^(252/1))-1</f>
        <v>0.1278583620624798</v>
      </c>
      <c r="D3616" s="30">
        <v>0.12785836206246715</v>
      </c>
      <c r="E3616" s="31">
        <f ca="1">B3616-D3616</f>
        <v>0</v>
      </c>
    </row>
    <row r="3617" spans="1:5" x14ac:dyDescent="0.25">
      <c r="A3617" s="21">
        <v>3616</v>
      </c>
      <c r="B3617" s="5" cm="1">
        <f t="array" aca="1" ref="B3617" ca="1">interpolexp(A3617,serie_du,Taxas_DI)</f>
        <v>0.12785836206246715</v>
      </c>
      <c r="C3617" s="32">
        <f ca="1">((((1+B3617)^(A3617/252))/((1+B3616)^(A3616/252)))^(252/1))-1</f>
        <v>0.12785836206241719</v>
      </c>
      <c r="D3617" s="30">
        <v>0.12785836206246715</v>
      </c>
      <c r="E3617" s="31">
        <f ca="1">B3617-D3617</f>
        <v>0</v>
      </c>
    </row>
    <row r="3618" spans="1:5" x14ac:dyDescent="0.25">
      <c r="A3618" s="21">
        <v>3617</v>
      </c>
      <c r="B3618" s="5" cm="1">
        <f t="array" aca="1" ref="B3618" ca="1">interpolexp(A3618,serie_du,Taxas_DI)</f>
        <v>0.12785836206246715</v>
      </c>
      <c r="C3618" s="32">
        <f ca="1">((((1+B3618)^(A3618/252))/((1+B3617)^(A3617/252)))^(252/1))-1</f>
        <v>0.12785836206241719</v>
      </c>
      <c r="D3618" s="30">
        <v>0.12785836206246715</v>
      </c>
      <c r="E3618" s="31">
        <f ca="1">B3618-D3618</f>
        <v>0</v>
      </c>
    </row>
    <row r="3619" spans="1:5" x14ac:dyDescent="0.25">
      <c r="A3619" s="21">
        <v>3618</v>
      </c>
      <c r="B3619" s="5" cm="1">
        <f t="array" aca="1" ref="B3619" ca="1">interpolexp(A3619,serie_du,Taxas_DI)</f>
        <v>0.12785836206246715</v>
      </c>
      <c r="C3619" s="32">
        <f ca="1">((((1+B3619)^(A3619/252))/((1+B3618)^(A3618/252)))^(252/1))-1</f>
        <v>0.12785836206254375</v>
      </c>
      <c r="D3619" s="30">
        <v>0.12785836206246715</v>
      </c>
      <c r="E3619" s="31">
        <f ca="1">B3619-D3619</f>
        <v>0</v>
      </c>
    </row>
    <row r="3620" spans="1:5" x14ac:dyDescent="0.25">
      <c r="A3620" s="21">
        <v>3619</v>
      </c>
      <c r="B3620" s="5" cm="1">
        <f t="array" aca="1" ref="B3620" ca="1">interpolexp(A3620,serie_du,Taxas_DI)</f>
        <v>0.12785836206246715</v>
      </c>
      <c r="C3620" s="32">
        <f ca="1">((((1+B3620)^(A3620/252))/((1+B3619)^(A3619/252)))^(252/1))-1</f>
        <v>0.12785836206235501</v>
      </c>
      <c r="D3620" s="30">
        <v>0.12785836206246715</v>
      </c>
      <c r="E3620" s="31">
        <f ca="1">B3620-D3620</f>
        <v>0</v>
      </c>
    </row>
    <row r="3621" spans="1:5" x14ac:dyDescent="0.25">
      <c r="A3621" s="21">
        <v>3620</v>
      </c>
      <c r="B3621" s="5" cm="1">
        <f t="array" aca="1" ref="B3621" ca="1">interpolexp(A3621,serie_du,Taxas_DI)</f>
        <v>0.12785836206246715</v>
      </c>
      <c r="C3621" s="32">
        <f ca="1">((((1+B3621)^(A3621/252))/((1+B3620)^(A3620/252)))^(252/1))-1</f>
        <v>0.12785836206254375</v>
      </c>
      <c r="D3621" s="30">
        <v>0.12785836206246715</v>
      </c>
      <c r="E3621" s="31">
        <f ca="1">B3621-D3621</f>
        <v>0</v>
      </c>
    </row>
    <row r="3622" spans="1:5" x14ac:dyDescent="0.25">
      <c r="A3622" s="21">
        <v>3621</v>
      </c>
      <c r="B3622" s="5" cm="1">
        <f t="array" aca="1" ref="B3622" ca="1">interpolexp(A3622,serie_du,Taxas_DI)</f>
        <v>0.12785836206246715</v>
      </c>
      <c r="C3622" s="32">
        <f ca="1">((((1+B3622)^(A3622/252))/((1+B3621)^(A3621/252)))^(252/1))-1</f>
        <v>0.12785836206241719</v>
      </c>
      <c r="D3622" s="30">
        <v>0.12785836206246715</v>
      </c>
      <c r="E3622" s="31">
        <f ca="1">B3622-D3622</f>
        <v>0</v>
      </c>
    </row>
    <row r="3623" spans="1:5" x14ac:dyDescent="0.25">
      <c r="A3623" s="21">
        <v>3622</v>
      </c>
      <c r="B3623" s="5" cm="1">
        <f t="array" aca="1" ref="B3623" ca="1">interpolexp(A3623,serie_du,Taxas_DI)</f>
        <v>0.12785836206246715</v>
      </c>
      <c r="C3623" s="32">
        <f ca="1">((((1+B3623)^(A3623/252))/((1+B3622)^(A3622/252)))^(252/1))-1</f>
        <v>0.1278583620624798</v>
      </c>
      <c r="D3623" s="30">
        <v>0.12785836206246715</v>
      </c>
      <c r="E3623" s="31">
        <f ca="1">B3623-D3623</f>
        <v>0</v>
      </c>
    </row>
    <row r="3624" spans="1:5" x14ac:dyDescent="0.25">
      <c r="A3624" s="21">
        <v>3623</v>
      </c>
      <c r="B3624" s="5" cm="1">
        <f t="array" aca="1" ref="B3624" ca="1">interpolexp(A3624,serie_du,Taxas_DI)</f>
        <v>0.12785836206246715</v>
      </c>
      <c r="C3624" s="32">
        <f ca="1">((((1+B3624)^(A3624/252))/((1+B3623)^(A3623/252)))^(252/1))-1</f>
        <v>0.12785836206235501</v>
      </c>
      <c r="D3624" s="30">
        <v>0.12785836206246715</v>
      </c>
      <c r="E3624" s="31">
        <f ca="1">B3624-D3624</f>
        <v>0</v>
      </c>
    </row>
    <row r="3625" spans="1:5" x14ac:dyDescent="0.25">
      <c r="A3625" s="21">
        <v>3624</v>
      </c>
      <c r="B3625" s="5" cm="1">
        <f t="array" aca="1" ref="B3625" ca="1">interpolexp(A3625,serie_du,Taxas_DI)</f>
        <v>0.12785836206246715</v>
      </c>
      <c r="C3625" s="32">
        <f ca="1">((((1+B3625)^(A3625/252))/((1+B3624)^(A3624/252)))^(252/1))-1</f>
        <v>0.12785836206254375</v>
      </c>
      <c r="D3625" s="30">
        <v>0.12785836206246715</v>
      </c>
      <c r="E3625" s="31">
        <f ca="1">B3625-D3625</f>
        <v>0</v>
      </c>
    </row>
    <row r="3626" spans="1:5" x14ac:dyDescent="0.25">
      <c r="A3626" s="21">
        <v>3625</v>
      </c>
      <c r="B3626" s="5" cm="1">
        <f t="array" aca="1" ref="B3626" ca="1">interpolexp(A3626,serie_du,Taxas_DI)</f>
        <v>0.12785836206246715</v>
      </c>
      <c r="C3626" s="32">
        <f ca="1">((((1+B3626)^(A3626/252))/((1+B3625)^(A3625/252)))^(252/1))-1</f>
        <v>0.12785836206241719</v>
      </c>
      <c r="D3626" s="30">
        <v>0.12785836206246715</v>
      </c>
      <c r="E3626" s="31">
        <f ca="1">B3626-D3626</f>
        <v>0</v>
      </c>
    </row>
    <row r="3627" spans="1:5" x14ac:dyDescent="0.25">
      <c r="A3627" s="21">
        <v>3626</v>
      </c>
      <c r="B3627" s="5" cm="1">
        <f t="array" aca="1" ref="B3627" ca="1">interpolexp(A3627,serie_du,Taxas_DI)</f>
        <v>0.12785836206246715</v>
      </c>
      <c r="C3627" s="32">
        <f ca="1">((((1+B3627)^(A3627/252))/((1+B3626)^(A3626/252)))^(252/1))-1</f>
        <v>0.1278583620624798</v>
      </c>
      <c r="D3627" s="30">
        <v>0.12785836206246715</v>
      </c>
      <c r="E3627" s="31">
        <f ca="1">B3627-D3627</f>
        <v>0</v>
      </c>
    </row>
    <row r="3628" spans="1:5" x14ac:dyDescent="0.25">
      <c r="A3628" s="21">
        <v>3627</v>
      </c>
      <c r="B3628" s="5" cm="1">
        <f t="array" aca="1" ref="B3628" ca="1">interpolexp(A3628,serie_du,Taxas_DI)</f>
        <v>0.12785836206246715</v>
      </c>
      <c r="C3628" s="32">
        <f ca="1">((((1+B3628)^(A3628/252))/((1+B3627)^(A3627/252)))^(252/1))-1</f>
        <v>0.12785836206235501</v>
      </c>
      <c r="D3628" s="30">
        <v>0.12785836206246715</v>
      </c>
      <c r="E3628" s="31">
        <f ca="1">B3628-D3628</f>
        <v>0</v>
      </c>
    </row>
    <row r="3629" spans="1:5" x14ac:dyDescent="0.25">
      <c r="A3629" s="21">
        <v>3628</v>
      </c>
      <c r="B3629" s="5" cm="1">
        <f t="array" aca="1" ref="B3629" ca="1">interpolexp(A3629,serie_du,Taxas_DI)</f>
        <v>0.12785836206246715</v>
      </c>
      <c r="C3629" s="32">
        <f ca="1">((((1+B3629)^(A3629/252))/((1+B3628)^(A3628/252)))^(252/1))-1</f>
        <v>0.12785836206254375</v>
      </c>
      <c r="D3629" s="30">
        <v>0.12785836206246715</v>
      </c>
      <c r="E3629" s="31">
        <f ca="1">B3629-D3629</f>
        <v>0</v>
      </c>
    </row>
    <row r="3630" spans="1:5" x14ac:dyDescent="0.25">
      <c r="A3630" s="21">
        <v>3629</v>
      </c>
      <c r="B3630" s="5" cm="1">
        <f t="array" aca="1" ref="B3630" ca="1">interpolexp(A3630,serie_du,Taxas_DI)</f>
        <v>0.12785836206246715</v>
      </c>
      <c r="C3630" s="32">
        <f ca="1">((((1+B3630)^(A3630/252))/((1+B3629)^(A3629/252)))^(252/1))-1</f>
        <v>0.12785836206241719</v>
      </c>
      <c r="D3630" s="30">
        <v>0.12785836206246715</v>
      </c>
      <c r="E3630" s="31">
        <f ca="1">B3630-D3630</f>
        <v>0</v>
      </c>
    </row>
    <row r="3631" spans="1:5" x14ac:dyDescent="0.25">
      <c r="A3631" s="21">
        <v>3630</v>
      </c>
      <c r="B3631" s="5" cm="1">
        <f t="array" aca="1" ref="B3631" ca="1">interpolexp(A3631,serie_du,Taxas_DI)</f>
        <v>0.12785836206246715</v>
      </c>
      <c r="C3631" s="32">
        <f ca="1">((((1+B3631)^(A3631/252))/((1+B3630)^(A3630/252)))^(252/1))-1</f>
        <v>0.12785836206254375</v>
      </c>
      <c r="D3631" s="30">
        <v>0.12785836206246715</v>
      </c>
      <c r="E3631" s="31">
        <f ca="1">B3631-D3631</f>
        <v>0</v>
      </c>
    </row>
    <row r="3632" spans="1:5" x14ac:dyDescent="0.25">
      <c r="A3632" s="21">
        <v>3631</v>
      </c>
      <c r="B3632" s="5" cm="1">
        <f t="array" aca="1" ref="B3632" ca="1">interpolexp(A3632,serie_du,Taxas_DI)</f>
        <v>0.12785836206246715</v>
      </c>
      <c r="C3632" s="32">
        <f ca="1">((((1+B3632)^(A3632/252))/((1+B3631)^(A3631/252)))^(252/1))-1</f>
        <v>0.12785836206235501</v>
      </c>
      <c r="D3632" s="30">
        <v>0.12785836206246715</v>
      </c>
      <c r="E3632" s="31">
        <f ca="1">B3632-D3632</f>
        <v>0</v>
      </c>
    </row>
    <row r="3633" spans="1:5" x14ac:dyDescent="0.25">
      <c r="A3633" s="21">
        <v>3632</v>
      </c>
      <c r="B3633" s="5" cm="1">
        <f t="array" aca="1" ref="B3633" ca="1">interpolexp(A3633,serie_du,Taxas_DI)</f>
        <v>0.12785836206246715</v>
      </c>
      <c r="C3633" s="32">
        <f ca="1">((((1+B3633)^(A3633/252))/((1+B3632)^(A3632/252)))^(252/1))-1</f>
        <v>0.1278583620624798</v>
      </c>
      <c r="D3633" s="30">
        <v>0.12785836206246715</v>
      </c>
      <c r="E3633" s="31">
        <f ca="1">B3633-D3633</f>
        <v>0</v>
      </c>
    </row>
    <row r="3634" spans="1:5" x14ac:dyDescent="0.25">
      <c r="A3634" s="21">
        <v>3633</v>
      </c>
      <c r="B3634" s="5" cm="1">
        <f t="array" aca="1" ref="B3634" ca="1">interpolexp(A3634,serie_du,Taxas_DI)</f>
        <v>0.12785836206246715</v>
      </c>
      <c r="C3634" s="32">
        <f ca="1">((((1+B3634)^(A3634/252))/((1+B3633)^(A3633/252)))^(252/1))-1</f>
        <v>0.12785836206241719</v>
      </c>
      <c r="D3634" s="30">
        <v>0.12785836206246715</v>
      </c>
      <c r="E3634" s="31">
        <f ca="1">B3634-D3634</f>
        <v>0</v>
      </c>
    </row>
    <row r="3635" spans="1:5" x14ac:dyDescent="0.25">
      <c r="A3635" s="21">
        <v>3634</v>
      </c>
      <c r="B3635" s="5" cm="1">
        <f t="array" aca="1" ref="B3635" ca="1">interpolexp(A3635,serie_du,Taxas_DI)</f>
        <v>0.12785836206246715</v>
      </c>
      <c r="C3635" s="32">
        <f ca="1">((((1+B3635)^(A3635/252))/((1+B3634)^(A3634/252)))^(252/1))-1</f>
        <v>0.12785836206241719</v>
      </c>
      <c r="D3635" s="30">
        <v>0.12785836206246715</v>
      </c>
      <c r="E3635" s="31">
        <f ca="1">B3635-D3635</f>
        <v>0</v>
      </c>
    </row>
    <row r="3636" spans="1:5" x14ac:dyDescent="0.25">
      <c r="A3636" s="21">
        <v>3635</v>
      </c>
      <c r="B3636" s="5" cm="1">
        <f t="array" aca="1" ref="B3636" ca="1">interpolexp(A3636,serie_du,Taxas_DI)</f>
        <v>0.12785836206246715</v>
      </c>
      <c r="C3636" s="32">
        <f ca="1">((((1+B3636)^(A3636/252))/((1+B3635)^(A3635/252)))^(252/1))-1</f>
        <v>0.1278583620624798</v>
      </c>
      <c r="D3636" s="30">
        <v>0.12785836206246715</v>
      </c>
      <c r="E3636" s="31">
        <f ca="1">B3636-D3636</f>
        <v>0</v>
      </c>
    </row>
    <row r="3637" spans="1:5" x14ac:dyDescent="0.25">
      <c r="A3637" s="21">
        <v>3636</v>
      </c>
      <c r="B3637" s="5" cm="1">
        <f t="array" aca="1" ref="B3637" ca="1">interpolexp(A3637,serie_du,Taxas_DI)</f>
        <v>0.12785836206246715</v>
      </c>
      <c r="C3637" s="32">
        <f ca="1">((((1+B3637)^(A3637/252))/((1+B3636)^(A3636/252)))^(252/1))-1</f>
        <v>0.12785836206241719</v>
      </c>
      <c r="D3637" s="30">
        <v>0.12785836206246715</v>
      </c>
      <c r="E3637" s="31">
        <f ca="1">B3637-D3637</f>
        <v>0</v>
      </c>
    </row>
    <row r="3638" spans="1:5" x14ac:dyDescent="0.25">
      <c r="A3638" s="21">
        <v>3637</v>
      </c>
      <c r="B3638" s="5" cm="1">
        <f t="array" aca="1" ref="B3638" ca="1">interpolexp(A3638,serie_du,Taxas_DI)</f>
        <v>0.12785836206246715</v>
      </c>
      <c r="C3638" s="32">
        <f ca="1">((((1+B3638)^(A3638/252))/((1+B3637)^(A3637/252)))^(252/1))-1</f>
        <v>0.1278583620624798</v>
      </c>
      <c r="D3638" s="30">
        <v>0.12785836206246715</v>
      </c>
      <c r="E3638" s="31">
        <f ca="1">B3638-D3638</f>
        <v>0</v>
      </c>
    </row>
    <row r="3639" spans="1:5" x14ac:dyDescent="0.25">
      <c r="A3639" s="21">
        <v>3638</v>
      </c>
      <c r="B3639" s="5" cm="1">
        <f t="array" aca="1" ref="B3639" ca="1">interpolexp(A3639,serie_du,Taxas_DI)</f>
        <v>0.12785836206246715</v>
      </c>
      <c r="C3639" s="32">
        <f ca="1">((((1+B3639)^(A3639/252))/((1+B3638)^(A3638/252)))^(252/1))-1</f>
        <v>0.1278583620624798</v>
      </c>
      <c r="D3639" s="30">
        <v>0.12785836206246715</v>
      </c>
      <c r="E3639" s="31">
        <f ca="1">B3639-D3639</f>
        <v>0</v>
      </c>
    </row>
    <row r="3640" spans="1:5" x14ac:dyDescent="0.25">
      <c r="A3640" s="21">
        <v>3639</v>
      </c>
      <c r="B3640" s="5" cm="1">
        <f t="array" aca="1" ref="B3640" ca="1">interpolexp(A3640,serie_du,Taxas_DI)</f>
        <v>0.12785836206246715</v>
      </c>
      <c r="C3640" s="32">
        <f ca="1">((((1+B3640)^(A3640/252))/((1+B3639)^(A3639/252)))^(252/1))-1</f>
        <v>0.12785836206241719</v>
      </c>
      <c r="D3640" s="30">
        <v>0.12785836206246715</v>
      </c>
      <c r="E3640" s="31">
        <f ca="1">B3640-D3640</f>
        <v>0</v>
      </c>
    </row>
    <row r="3641" spans="1:5" x14ac:dyDescent="0.25">
      <c r="A3641" s="21">
        <v>3640</v>
      </c>
      <c r="B3641" s="5" cm="1">
        <f t="array" aca="1" ref="B3641" ca="1">interpolexp(A3641,serie_du,Taxas_DI)</f>
        <v>0.12785836206246715</v>
      </c>
      <c r="C3641" s="32">
        <f ca="1">((((1+B3641)^(A3641/252))/((1+B3640)^(A3640/252)))^(252/1))-1</f>
        <v>0.1278583620624798</v>
      </c>
      <c r="D3641" s="30">
        <v>0.12785836206246715</v>
      </c>
      <c r="E3641" s="31">
        <f ca="1">B3641-D3641</f>
        <v>0</v>
      </c>
    </row>
    <row r="3642" spans="1:5" x14ac:dyDescent="0.25">
      <c r="A3642" s="21">
        <v>3641</v>
      </c>
      <c r="B3642" s="5" cm="1">
        <f t="array" aca="1" ref="B3642" ca="1">interpolexp(A3642,serie_du,Taxas_DI)</f>
        <v>0.12785836206246715</v>
      </c>
      <c r="C3642" s="32">
        <f ca="1">((((1+B3642)^(A3642/252))/((1+B3641)^(A3641/252)))^(252/1))-1</f>
        <v>0.12785836206241719</v>
      </c>
      <c r="D3642" s="30">
        <v>0.12785836206246715</v>
      </c>
      <c r="E3642" s="31">
        <f ca="1">B3642-D3642</f>
        <v>0</v>
      </c>
    </row>
    <row r="3643" spans="1:5" x14ac:dyDescent="0.25">
      <c r="A3643" s="21">
        <v>3642</v>
      </c>
      <c r="B3643" s="5" cm="1">
        <f t="array" aca="1" ref="B3643" ca="1">interpolexp(A3643,serie_du,Taxas_DI)</f>
        <v>0.12785836206246715</v>
      </c>
      <c r="C3643" s="32">
        <f ca="1">((((1+B3643)^(A3643/252))/((1+B3642)^(A3642/252)))^(252/1))-1</f>
        <v>0.12785836206241719</v>
      </c>
      <c r="D3643" s="30">
        <v>0.12785836206246715</v>
      </c>
      <c r="E3643" s="31">
        <f ca="1">B3643-D3643</f>
        <v>0</v>
      </c>
    </row>
    <row r="3644" spans="1:5" x14ac:dyDescent="0.25">
      <c r="A3644" s="21">
        <v>3643</v>
      </c>
      <c r="B3644" s="5" cm="1">
        <f t="array" aca="1" ref="B3644" ca="1">interpolexp(A3644,serie_du,Taxas_DI)</f>
        <v>0.12785836206246715</v>
      </c>
      <c r="C3644" s="32">
        <f ca="1">((((1+B3644)^(A3644/252))/((1+B3643)^(A3643/252)))^(252/1))-1</f>
        <v>0.1278583620624798</v>
      </c>
      <c r="D3644" s="30">
        <v>0.12785836206246715</v>
      </c>
      <c r="E3644" s="31">
        <f ca="1">B3644-D3644</f>
        <v>0</v>
      </c>
    </row>
    <row r="3645" spans="1:5" x14ac:dyDescent="0.25">
      <c r="A3645" s="21">
        <v>3644</v>
      </c>
      <c r="B3645" s="5" cm="1">
        <f t="array" aca="1" ref="B3645" ca="1">interpolexp(A3645,serie_du,Taxas_DI)</f>
        <v>0.12785836206246715</v>
      </c>
      <c r="C3645" s="32">
        <f ca="1">((((1+B3645)^(A3645/252))/((1+B3644)^(A3644/252)))^(252/1))-1</f>
        <v>0.12785836206241719</v>
      </c>
      <c r="D3645" s="30">
        <v>0.12785836206246715</v>
      </c>
      <c r="E3645" s="31">
        <f ca="1">B3645-D3645</f>
        <v>0</v>
      </c>
    </row>
    <row r="3646" spans="1:5" x14ac:dyDescent="0.25">
      <c r="A3646" s="21">
        <v>3645</v>
      </c>
      <c r="B3646" s="5" cm="1">
        <f t="array" aca="1" ref="B3646" ca="1">interpolexp(A3646,serie_du,Taxas_DI)</f>
        <v>0.12785836206246715</v>
      </c>
      <c r="C3646" s="32">
        <f ca="1">((((1+B3646)^(A3646/252))/((1+B3645)^(A3645/252)))^(252/1))-1</f>
        <v>0.12785836206241719</v>
      </c>
      <c r="D3646" s="30">
        <v>0.12785836206246715</v>
      </c>
      <c r="E3646" s="31">
        <f ca="1">B3646-D3646</f>
        <v>0</v>
      </c>
    </row>
    <row r="3647" spans="1:5" x14ac:dyDescent="0.25">
      <c r="A3647" s="21">
        <v>3646</v>
      </c>
      <c r="B3647" s="5" cm="1">
        <f t="array" aca="1" ref="B3647" ca="1">interpolexp(A3647,serie_du,Taxas_DI)</f>
        <v>0.12785836206246715</v>
      </c>
      <c r="C3647" s="32">
        <f ca="1">((((1+B3647)^(A3647/252))/((1+B3646)^(A3646/252)))^(252/1))-1</f>
        <v>0.12785836206241719</v>
      </c>
      <c r="D3647" s="30">
        <v>0.12785836206246715</v>
      </c>
      <c r="E3647" s="31">
        <f ca="1">B3647-D3647</f>
        <v>0</v>
      </c>
    </row>
    <row r="3648" spans="1:5" x14ac:dyDescent="0.25">
      <c r="A3648" s="21">
        <v>3647</v>
      </c>
      <c r="B3648" s="5" cm="1">
        <f t="array" aca="1" ref="B3648" ca="1">interpolexp(A3648,serie_du,Taxas_DI)</f>
        <v>0.12785836206246715</v>
      </c>
      <c r="C3648" s="32">
        <f ca="1">((((1+B3648)^(A3648/252))/((1+B3647)^(A3647/252)))^(252/1))-1</f>
        <v>0.1278583620624798</v>
      </c>
      <c r="D3648" s="30">
        <v>0.12785836206246715</v>
      </c>
      <c r="E3648" s="31">
        <f ca="1">B3648-D3648</f>
        <v>0</v>
      </c>
    </row>
    <row r="3649" spans="1:5" x14ac:dyDescent="0.25">
      <c r="A3649" s="21">
        <v>3648</v>
      </c>
      <c r="B3649" s="5" cm="1">
        <f t="array" aca="1" ref="B3649" ca="1">interpolexp(A3649,serie_du,Taxas_DI)</f>
        <v>0.12785836206246715</v>
      </c>
      <c r="C3649" s="32">
        <f ca="1">((((1+B3649)^(A3649/252))/((1+B3648)^(A3648/252)))^(252/1))-1</f>
        <v>0.1278583620624798</v>
      </c>
      <c r="D3649" s="30">
        <v>0.12785836206246715</v>
      </c>
      <c r="E3649" s="31">
        <f ca="1">B3649-D3649</f>
        <v>0</v>
      </c>
    </row>
    <row r="3650" spans="1:5" x14ac:dyDescent="0.25">
      <c r="A3650" s="21">
        <v>3649</v>
      </c>
      <c r="B3650" s="5" cm="1">
        <f t="array" aca="1" ref="B3650" ca="1">interpolexp(A3650,serie_du,Taxas_DI)</f>
        <v>0.12785836206246715</v>
      </c>
      <c r="C3650" s="32">
        <f ca="1">((((1+B3650)^(A3650/252))/((1+B3649)^(A3649/252)))^(252/1))-1</f>
        <v>0.12785836206241719</v>
      </c>
      <c r="D3650" s="30">
        <v>0.12785836206246715</v>
      </c>
      <c r="E3650" s="31">
        <f ca="1">B3650-D3650</f>
        <v>0</v>
      </c>
    </row>
    <row r="3651" spans="1:5" x14ac:dyDescent="0.25">
      <c r="A3651" s="21">
        <v>3650</v>
      </c>
      <c r="B3651" s="5" cm="1">
        <f t="array" aca="1" ref="B3651" ca="1">interpolexp(A3651,serie_du,Taxas_DI)</f>
        <v>0.12785836206246715</v>
      </c>
      <c r="C3651" s="32">
        <f ca="1">((((1+B3651)^(A3651/252))/((1+B3650)^(A3650/252)))^(252/1))-1</f>
        <v>0.1278583620624798</v>
      </c>
      <c r="D3651" s="30">
        <v>0.12785836206246715</v>
      </c>
      <c r="E3651" s="31">
        <f ca="1">B3651-D3651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08C7E-DD44-4E0B-8E1F-A78C6FF61F11}">
  <sheetPr codeName="Sheet7">
    <tabColor theme="3" tint="0.89999084444715716"/>
  </sheetPr>
  <dimension ref="A1:L58"/>
  <sheetViews>
    <sheetView showGridLines="0" topLeftCell="A34" workbookViewId="0">
      <selection activeCell="G56" sqref="G56"/>
    </sheetView>
  </sheetViews>
  <sheetFormatPr defaultRowHeight="12" x14ac:dyDescent="0.25"/>
  <cols>
    <col min="1" max="1" width="8.44140625" style="27" bestFit="1" customWidth="1"/>
    <col min="2" max="2" width="11.6640625" style="20" bestFit="1" customWidth="1"/>
    <col min="3" max="3" width="7.77734375" style="26" bestFit="1" customWidth="1"/>
    <col min="4" max="4" width="7.88671875" style="26" bestFit="1" customWidth="1"/>
    <col min="5" max="5" width="12.21875" style="43" bestFit="1" customWidth="1"/>
    <col min="6" max="6" width="8.88671875" style="20"/>
    <col min="7" max="7" width="55.109375" style="20" bestFit="1" customWidth="1"/>
    <col min="8" max="16384" width="8.88671875" style="20"/>
  </cols>
  <sheetData>
    <row r="1" spans="1:12" x14ac:dyDescent="0.25">
      <c r="A1" s="22" t="s">
        <v>7</v>
      </c>
      <c r="B1" s="22" t="s">
        <v>94</v>
      </c>
      <c r="C1" s="23" t="s">
        <v>95</v>
      </c>
      <c r="D1" s="23" t="s">
        <v>96</v>
      </c>
      <c r="E1" s="42" t="s">
        <v>176</v>
      </c>
      <c r="G1" s="24" t="s">
        <v>101</v>
      </c>
      <c r="I1" s="19" t="s">
        <v>175</v>
      </c>
      <c r="J1" s="46">
        <v>5.7827999999999999</v>
      </c>
      <c r="K1" s="45">
        <v>45610</v>
      </c>
      <c r="L1" s="47" t="s">
        <v>177</v>
      </c>
    </row>
    <row r="2" spans="1:12" x14ac:dyDescent="0.25">
      <c r="A2" s="25" t="s">
        <v>98</v>
      </c>
      <c r="B2" s="41" t="s">
        <v>97</v>
      </c>
      <c r="C2" s="26">
        <v>5.5308999999999999</v>
      </c>
      <c r="D2" s="26">
        <v>5.5315000000000003</v>
      </c>
      <c r="E2" s="48">
        <f t="shared" ref="E2:E33" si="0">IF(LEN(A2)=8,VALUE(LEFT(A2,2)&amp;"/"&amp;RIGHT(LEFT(A2,4),2)&amp;"/"&amp;RIGHT(A2,4)),VALUE("0"&amp;LEFT(A2,1)&amp;"/"&amp;RIGHT(LEFT(A2,3),2)&amp;"/"&amp;RIGHT(A2,4)))</f>
        <v>45532</v>
      </c>
      <c r="G2" s="24" t="s">
        <v>178</v>
      </c>
    </row>
    <row r="3" spans="1:12" x14ac:dyDescent="0.25">
      <c r="A3" s="25" t="s">
        <v>99</v>
      </c>
      <c r="B3" s="41" t="s">
        <v>97</v>
      </c>
      <c r="C3" s="26">
        <v>5.6352000000000002</v>
      </c>
      <c r="D3" s="26">
        <v>5.6357999999999997</v>
      </c>
      <c r="E3" s="45">
        <f t="shared" si="0"/>
        <v>45533</v>
      </c>
    </row>
    <row r="4" spans="1:12" x14ac:dyDescent="0.25">
      <c r="A4" s="25" t="s">
        <v>100</v>
      </c>
      <c r="B4" s="41" t="s">
        <v>97</v>
      </c>
      <c r="C4" s="26">
        <v>5.6555999999999997</v>
      </c>
      <c r="D4" s="26">
        <v>5.6562000000000001</v>
      </c>
      <c r="E4" s="45">
        <f t="shared" si="0"/>
        <v>45534</v>
      </c>
    </row>
    <row r="5" spans="1:12" x14ac:dyDescent="0.25">
      <c r="A5" s="25" t="s">
        <v>105</v>
      </c>
      <c r="B5" s="41" t="s">
        <v>97</v>
      </c>
      <c r="C5" s="26">
        <v>5.6223999999999998</v>
      </c>
      <c r="D5" s="26">
        <v>5.6230000000000002</v>
      </c>
      <c r="E5" s="45">
        <f t="shared" si="0"/>
        <v>45537</v>
      </c>
    </row>
    <row r="6" spans="1:12" x14ac:dyDescent="0.25">
      <c r="A6" s="25" t="s">
        <v>106</v>
      </c>
      <c r="B6" s="41" t="s">
        <v>97</v>
      </c>
      <c r="C6" s="26">
        <v>5.6218000000000004</v>
      </c>
      <c r="D6" s="26">
        <v>5.6223999999999998</v>
      </c>
      <c r="E6" s="45">
        <f t="shared" si="0"/>
        <v>45538</v>
      </c>
    </row>
    <row r="7" spans="1:12" x14ac:dyDescent="0.25">
      <c r="A7" s="25" t="s">
        <v>107</v>
      </c>
      <c r="B7" s="41" t="s">
        <v>97</v>
      </c>
      <c r="C7" s="26">
        <v>5.6353</v>
      </c>
      <c r="D7" s="26">
        <v>5.6359000000000004</v>
      </c>
      <c r="E7" s="45">
        <f t="shared" si="0"/>
        <v>45539</v>
      </c>
    </row>
    <row r="8" spans="1:12" x14ac:dyDescent="0.25">
      <c r="A8" s="25" t="s">
        <v>108</v>
      </c>
      <c r="B8" s="41" t="s">
        <v>97</v>
      </c>
      <c r="C8" s="26">
        <v>5.6043000000000003</v>
      </c>
      <c r="D8" s="26">
        <v>5.6048999999999998</v>
      </c>
      <c r="E8" s="45">
        <f t="shared" si="0"/>
        <v>45540</v>
      </c>
    </row>
    <row r="9" spans="1:12" x14ac:dyDescent="0.25">
      <c r="A9" s="25" t="s">
        <v>109</v>
      </c>
      <c r="B9" s="41" t="s">
        <v>97</v>
      </c>
      <c r="C9" s="26">
        <v>5.5696000000000003</v>
      </c>
      <c r="D9" s="26">
        <v>5.5701999999999998</v>
      </c>
      <c r="E9" s="45">
        <f t="shared" si="0"/>
        <v>45541</v>
      </c>
    </row>
    <row r="10" spans="1:12" x14ac:dyDescent="0.25">
      <c r="A10" s="25" t="s">
        <v>111</v>
      </c>
      <c r="B10" s="41" t="s">
        <v>97</v>
      </c>
      <c r="C10" s="26">
        <v>5.6090999999999998</v>
      </c>
      <c r="D10" s="26">
        <v>5.6097000000000001</v>
      </c>
      <c r="E10" s="45">
        <f t="shared" si="0"/>
        <v>45544</v>
      </c>
    </row>
    <row r="11" spans="1:12" x14ac:dyDescent="0.25">
      <c r="A11" s="25" t="s">
        <v>112</v>
      </c>
      <c r="B11" s="41" t="s">
        <v>97</v>
      </c>
      <c r="C11" s="26">
        <v>5.6247999999999996</v>
      </c>
      <c r="D11" s="26">
        <v>5.6254</v>
      </c>
      <c r="E11" s="45">
        <f t="shared" si="0"/>
        <v>45545</v>
      </c>
    </row>
    <row r="12" spans="1:12" x14ac:dyDescent="0.25">
      <c r="A12" s="25" t="s">
        <v>113</v>
      </c>
      <c r="B12" s="41" t="s">
        <v>97</v>
      </c>
      <c r="C12" s="26">
        <v>5.6380999999999997</v>
      </c>
      <c r="D12" s="26">
        <v>5.6387</v>
      </c>
      <c r="E12" s="45">
        <f t="shared" si="0"/>
        <v>45546</v>
      </c>
    </row>
    <row r="13" spans="1:12" x14ac:dyDescent="0.25">
      <c r="A13" s="25" t="s">
        <v>114</v>
      </c>
      <c r="B13" s="41" t="s">
        <v>97</v>
      </c>
      <c r="C13" s="26">
        <v>5.6547999999999998</v>
      </c>
      <c r="D13" s="26">
        <v>5.6554000000000002</v>
      </c>
      <c r="E13" s="45">
        <f t="shared" si="0"/>
        <v>45547</v>
      </c>
    </row>
    <row r="14" spans="1:12" x14ac:dyDescent="0.25">
      <c r="A14" s="25" t="s">
        <v>115</v>
      </c>
      <c r="B14" s="41" t="s">
        <v>97</v>
      </c>
      <c r="C14" s="26">
        <v>5.5711000000000004</v>
      </c>
      <c r="D14" s="26">
        <v>5.5716999999999999</v>
      </c>
      <c r="E14" s="45">
        <f t="shared" si="0"/>
        <v>45548</v>
      </c>
    </row>
    <row r="15" spans="1:12" x14ac:dyDescent="0.25">
      <c r="A15" s="25" t="s">
        <v>116</v>
      </c>
      <c r="B15" s="41" t="s">
        <v>97</v>
      </c>
      <c r="C15" s="26">
        <v>5.5201000000000002</v>
      </c>
      <c r="D15" s="26">
        <v>5.5206999999999997</v>
      </c>
      <c r="E15" s="45">
        <f t="shared" si="0"/>
        <v>45551</v>
      </c>
    </row>
    <row r="16" spans="1:12" x14ac:dyDescent="0.25">
      <c r="A16" s="25" t="s">
        <v>118</v>
      </c>
      <c r="B16" s="41" t="s">
        <v>97</v>
      </c>
      <c r="C16" s="26">
        <v>5.5004</v>
      </c>
      <c r="D16" s="26">
        <v>5.5010000000000003</v>
      </c>
      <c r="E16" s="45">
        <f t="shared" si="0"/>
        <v>45552</v>
      </c>
    </row>
    <row r="17" spans="1:5" x14ac:dyDescent="0.25">
      <c r="A17" s="25" t="s">
        <v>119</v>
      </c>
      <c r="B17" s="41" t="s">
        <v>97</v>
      </c>
      <c r="C17" s="26">
        <v>5.4760999999999997</v>
      </c>
      <c r="D17" s="26">
        <v>5.4767000000000001</v>
      </c>
      <c r="E17" s="45">
        <f t="shared" si="0"/>
        <v>45553</v>
      </c>
    </row>
    <row r="18" spans="1:5" x14ac:dyDescent="0.25">
      <c r="A18" s="25" t="s">
        <v>120</v>
      </c>
      <c r="B18" s="41" t="s">
        <v>97</v>
      </c>
      <c r="C18" s="26">
        <v>5.4183000000000003</v>
      </c>
      <c r="D18" s="26">
        <v>5.4188999999999998</v>
      </c>
      <c r="E18" s="45">
        <f t="shared" si="0"/>
        <v>45554</v>
      </c>
    </row>
    <row r="19" spans="1:5" x14ac:dyDescent="0.25">
      <c r="A19" s="25" t="s">
        <v>121</v>
      </c>
      <c r="B19" s="41" t="s">
        <v>97</v>
      </c>
      <c r="C19" s="26">
        <v>5.4768999999999997</v>
      </c>
      <c r="D19" s="26">
        <v>5.4775</v>
      </c>
      <c r="E19" s="45">
        <f t="shared" si="0"/>
        <v>45555</v>
      </c>
    </row>
    <row r="20" spans="1:5" x14ac:dyDescent="0.25">
      <c r="A20" s="25" t="s">
        <v>136</v>
      </c>
      <c r="B20" s="41" t="s">
        <v>97</v>
      </c>
      <c r="C20" s="26">
        <v>5.5439999999999996</v>
      </c>
      <c r="D20" s="26">
        <v>5.5446</v>
      </c>
      <c r="E20" s="45">
        <f t="shared" si="0"/>
        <v>45558</v>
      </c>
    </row>
    <row r="21" spans="1:5" x14ac:dyDescent="0.25">
      <c r="A21" s="25" t="s">
        <v>137</v>
      </c>
      <c r="B21" s="41" t="s">
        <v>97</v>
      </c>
      <c r="C21" s="26">
        <v>5.4695999999999998</v>
      </c>
      <c r="D21" s="26">
        <v>5.4702000000000002</v>
      </c>
      <c r="E21" s="45">
        <f t="shared" si="0"/>
        <v>45559</v>
      </c>
    </row>
    <row r="22" spans="1:5" x14ac:dyDescent="0.25">
      <c r="A22" s="25" t="s">
        <v>138</v>
      </c>
      <c r="B22" s="41" t="s">
        <v>97</v>
      </c>
      <c r="C22" s="26">
        <v>5.4729999999999999</v>
      </c>
      <c r="D22" s="26">
        <v>5.4736000000000002</v>
      </c>
      <c r="E22" s="45">
        <f t="shared" si="0"/>
        <v>45560</v>
      </c>
    </row>
    <row r="23" spans="1:5" x14ac:dyDescent="0.25">
      <c r="A23" s="25" t="s">
        <v>139</v>
      </c>
      <c r="B23" s="41" t="s">
        <v>97</v>
      </c>
      <c r="C23" s="26">
        <v>5.4405999999999999</v>
      </c>
      <c r="D23" s="26">
        <v>5.4412000000000003</v>
      </c>
      <c r="E23" s="45">
        <f t="shared" si="0"/>
        <v>45561</v>
      </c>
    </row>
    <row r="24" spans="1:5" x14ac:dyDescent="0.25">
      <c r="A24" s="25" t="s">
        <v>140</v>
      </c>
      <c r="B24" s="41" t="s">
        <v>97</v>
      </c>
      <c r="C24" s="26">
        <v>5.4424999999999999</v>
      </c>
      <c r="D24" s="26">
        <v>5.4431000000000003</v>
      </c>
      <c r="E24" s="45">
        <f t="shared" si="0"/>
        <v>45562</v>
      </c>
    </row>
    <row r="25" spans="1:5" x14ac:dyDescent="0.25">
      <c r="A25" s="25" t="s">
        <v>141</v>
      </c>
      <c r="B25" s="41" t="s">
        <v>97</v>
      </c>
      <c r="C25" s="26">
        <v>5.4474999999999998</v>
      </c>
      <c r="D25" s="26">
        <v>5.4481000000000002</v>
      </c>
      <c r="E25" s="45">
        <f t="shared" si="0"/>
        <v>45565</v>
      </c>
    </row>
    <row r="26" spans="1:5" x14ac:dyDescent="0.25">
      <c r="A26" s="25" t="s">
        <v>142</v>
      </c>
      <c r="B26" s="41" t="s">
        <v>97</v>
      </c>
      <c r="C26" s="26">
        <v>5.4515000000000002</v>
      </c>
      <c r="D26" s="26">
        <v>5.4520999999999997</v>
      </c>
      <c r="E26" s="45">
        <f t="shared" si="0"/>
        <v>45566</v>
      </c>
    </row>
    <row r="27" spans="1:5" x14ac:dyDescent="0.25">
      <c r="A27" s="25" t="s">
        <v>143</v>
      </c>
      <c r="B27" s="41" t="s">
        <v>97</v>
      </c>
      <c r="C27" s="26">
        <v>5.4298999999999999</v>
      </c>
      <c r="D27" s="26">
        <v>5.4305000000000003</v>
      </c>
      <c r="E27" s="45">
        <f t="shared" si="0"/>
        <v>45567</v>
      </c>
    </row>
    <row r="28" spans="1:5" x14ac:dyDescent="0.25">
      <c r="A28" s="25" t="s">
        <v>144</v>
      </c>
      <c r="B28" s="41" t="s">
        <v>97</v>
      </c>
      <c r="C28" s="26">
        <v>5.4843999999999999</v>
      </c>
      <c r="D28" s="26">
        <v>5.4850000000000003</v>
      </c>
      <c r="E28" s="45">
        <f t="shared" si="0"/>
        <v>45568</v>
      </c>
    </row>
    <row r="29" spans="1:5" x14ac:dyDescent="0.25">
      <c r="A29" s="25" t="s">
        <v>145</v>
      </c>
      <c r="B29" s="41" t="s">
        <v>97</v>
      </c>
      <c r="C29" s="26">
        <v>5.468</v>
      </c>
      <c r="D29" s="26">
        <v>5.4686000000000003</v>
      </c>
      <c r="E29" s="45">
        <f t="shared" si="0"/>
        <v>45569</v>
      </c>
    </row>
    <row r="30" spans="1:5" x14ac:dyDescent="0.25">
      <c r="A30" s="25" t="s">
        <v>146</v>
      </c>
      <c r="B30" s="41" t="s">
        <v>97</v>
      </c>
      <c r="C30" s="26">
        <v>5.4619999999999997</v>
      </c>
      <c r="D30" s="26">
        <v>5.4626000000000001</v>
      </c>
      <c r="E30" s="45">
        <f t="shared" si="0"/>
        <v>45572</v>
      </c>
    </row>
    <row r="31" spans="1:5" x14ac:dyDescent="0.25">
      <c r="A31" s="25" t="s">
        <v>147</v>
      </c>
      <c r="B31" s="41" t="s">
        <v>97</v>
      </c>
      <c r="C31" s="26">
        <v>5.5190999999999999</v>
      </c>
      <c r="D31" s="26">
        <v>5.5197000000000003</v>
      </c>
      <c r="E31" s="45">
        <f t="shared" si="0"/>
        <v>45573</v>
      </c>
    </row>
    <row r="32" spans="1:5" x14ac:dyDescent="0.25">
      <c r="A32" s="25" t="s">
        <v>148</v>
      </c>
      <c r="B32" s="41" t="s">
        <v>97</v>
      </c>
      <c r="C32" s="26">
        <v>5.5731000000000002</v>
      </c>
      <c r="D32" s="26">
        <v>5.5736999999999997</v>
      </c>
      <c r="E32" s="45">
        <f t="shared" si="0"/>
        <v>45574</v>
      </c>
    </row>
    <row r="33" spans="1:5" x14ac:dyDescent="0.25">
      <c r="A33" s="25" t="s">
        <v>149</v>
      </c>
      <c r="B33" s="41" t="s">
        <v>97</v>
      </c>
      <c r="C33" s="26">
        <v>5.5812999999999997</v>
      </c>
      <c r="D33" s="26">
        <v>5.5819000000000001</v>
      </c>
      <c r="E33" s="45">
        <f t="shared" si="0"/>
        <v>45575</v>
      </c>
    </row>
    <row r="34" spans="1:5" x14ac:dyDescent="0.25">
      <c r="A34" s="25" t="s">
        <v>150</v>
      </c>
      <c r="B34" s="41" t="s">
        <v>97</v>
      </c>
      <c r="C34" s="26">
        <v>5.6257000000000001</v>
      </c>
      <c r="D34" s="26">
        <v>5.6262999999999996</v>
      </c>
      <c r="E34" s="45">
        <f t="shared" ref="E34:E58" si="1">IF(LEN(A34)=8,VALUE(LEFT(A34,2)&amp;"/"&amp;RIGHT(LEFT(A34,4),2)&amp;"/"&amp;RIGHT(A34,4)),VALUE("0"&amp;LEFT(A34,1)&amp;"/"&amp;RIGHT(LEFT(A34,3),2)&amp;"/"&amp;RIGHT(A34,4)))</f>
        <v>45576</v>
      </c>
    </row>
    <row r="35" spans="1:5" x14ac:dyDescent="0.25">
      <c r="A35" s="25" t="s">
        <v>151</v>
      </c>
      <c r="B35" s="41" t="s">
        <v>97</v>
      </c>
      <c r="C35" s="26">
        <v>5.6039000000000003</v>
      </c>
      <c r="D35" s="26">
        <v>5.6044999999999998</v>
      </c>
      <c r="E35" s="45">
        <f t="shared" si="1"/>
        <v>45579</v>
      </c>
    </row>
    <row r="36" spans="1:5" x14ac:dyDescent="0.25">
      <c r="A36" s="25" t="s">
        <v>152</v>
      </c>
      <c r="B36" s="41" t="s">
        <v>97</v>
      </c>
      <c r="C36" s="26">
        <v>5.6372</v>
      </c>
      <c r="D36" s="26">
        <v>5.6378000000000004</v>
      </c>
      <c r="E36" s="45">
        <f t="shared" si="1"/>
        <v>45580</v>
      </c>
    </row>
    <row r="37" spans="1:5" x14ac:dyDescent="0.25">
      <c r="A37" s="25" t="s">
        <v>153</v>
      </c>
      <c r="B37" s="41" t="s">
        <v>97</v>
      </c>
      <c r="C37" s="26">
        <v>5.6742999999999997</v>
      </c>
      <c r="D37" s="26">
        <v>5.6749000000000001</v>
      </c>
      <c r="E37" s="45">
        <f t="shared" si="1"/>
        <v>45581</v>
      </c>
    </row>
    <row r="38" spans="1:5" x14ac:dyDescent="0.25">
      <c r="A38" s="25" t="s">
        <v>154</v>
      </c>
      <c r="B38" s="41" t="s">
        <v>97</v>
      </c>
      <c r="C38" s="26">
        <v>5.6752000000000002</v>
      </c>
      <c r="D38" s="26">
        <v>5.6757999999999997</v>
      </c>
      <c r="E38" s="45">
        <f t="shared" si="1"/>
        <v>45582</v>
      </c>
    </row>
    <row r="39" spans="1:5" x14ac:dyDescent="0.25">
      <c r="A39" s="25" t="s">
        <v>155</v>
      </c>
      <c r="B39" s="41" t="s">
        <v>97</v>
      </c>
      <c r="C39" s="26">
        <v>5.6665999999999999</v>
      </c>
      <c r="D39" s="26">
        <v>5.6672000000000002</v>
      </c>
      <c r="E39" s="45">
        <f t="shared" si="1"/>
        <v>45583</v>
      </c>
    </row>
    <row r="40" spans="1:5" x14ac:dyDescent="0.25">
      <c r="A40" s="25" t="s">
        <v>156</v>
      </c>
      <c r="B40" s="41" t="s">
        <v>97</v>
      </c>
      <c r="C40" s="26">
        <v>5.7061999999999999</v>
      </c>
      <c r="D40" s="26">
        <v>5.7068000000000003</v>
      </c>
      <c r="E40" s="45">
        <f t="shared" si="1"/>
        <v>45586</v>
      </c>
    </row>
    <row r="41" spans="1:5" x14ac:dyDescent="0.25">
      <c r="A41" s="25" t="s">
        <v>157</v>
      </c>
      <c r="B41" s="41" t="s">
        <v>97</v>
      </c>
      <c r="C41" s="26">
        <v>5.6951999999999998</v>
      </c>
      <c r="D41" s="26">
        <v>5.6958000000000002</v>
      </c>
      <c r="E41" s="45">
        <f t="shared" si="1"/>
        <v>45587</v>
      </c>
    </row>
    <row r="42" spans="1:5" x14ac:dyDescent="0.25">
      <c r="A42" s="25" t="s">
        <v>158</v>
      </c>
      <c r="B42" s="41" t="s">
        <v>97</v>
      </c>
      <c r="C42" s="26">
        <v>5.7142999999999997</v>
      </c>
      <c r="D42" s="26">
        <v>5.7149000000000001</v>
      </c>
      <c r="E42" s="45">
        <f t="shared" si="1"/>
        <v>45588</v>
      </c>
    </row>
    <row r="43" spans="1:5" x14ac:dyDescent="0.25">
      <c r="A43" s="25" t="s">
        <v>159</v>
      </c>
      <c r="B43" s="41" t="s">
        <v>97</v>
      </c>
      <c r="C43" s="26">
        <v>5.7081</v>
      </c>
      <c r="D43" s="26">
        <v>5.7087000000000003</v>
      </c>
      <c r="E43" s="45">
        <f t="shared" si="1"/>
        <v>45589</v>
      </c>
    </row>
    <row r="44" spans="1:5" x14ac:dyDescent="0.25">
      <c r="A44" s="25" t="s">
        <v>160</v>
      </c>
      <c r="B44" s="41" t="s">
        <v>97</v>
      </c>
      <c r="C44" s="26">
        <v>5.6962999999999999</v>
      </c>
      <c r="D44" s="26">
        <v>5.6969000000000003</v>
      </c>
      <c r="E44" s="45">
        <f t="shared" si="1"/>
        <v>45590</v>
      </c>
    </row>
    <row r="45" spans="1:5" x14ac:dyDescent="0.25">
      <c r="A45" s="25" t="s">
        <v>161</v>
      </c>
      <c r="B45" s="41" t="s">
        <v>97</v>
      </c>
      <c r="C45" s="26">
        <v>5.6981999999999999</v>
      </c>
      <c r="D45" s="26">
        <v>5.6988000000000003</v>
      </c>
      <c r="E45" s="45">
        <f t="shared" si="1"/>
        <v>45593</v>
      </c>
    </row>
    <row r="46" spans="1:5" x14ac:dyDescent="0.25">
      <c r="A46" s="25" t="s">
        <v>162</v>
      </c>
      <c r="B46" s="41" t="s">
        <v>97</v>
      </c>
      <c r="C46" s="26">
        <v>5.7134</v>
      </c>
      <c r="D46" s="26">
        <v>5.7140000000000004</v>
      </c>
      <c r="E46" s="45">
        <f t="shared" si="1"/>
        <v>45594</v>
      </c>
    </row>
    <row r="47" spans="1:5" x14ac:dyDescent="0.25">
      <c r="A47" s="25" t="s">
        <v>163</v>
      </c>
      <c r="B47" s="41" t="s">
        <v>97</v>
      </c>
      <c r="C47" s="26">
        <v>5.7794999999999996</v>
      </c>
      <c r="D47" s="26">
        <v>5.7801</v>
      </c>
      <c r="E47" s="45">
        <f t="shared" si="1"/>
        <v>45595</v>
      </c>
    </row>
    <row r="48" spans="1:5" x14ac:dyDescent="0.25">
      <c r="A48" s="25" t="s">
        <v>164</v>
      </c>
      <c r="B48" s="41" t="s">
        <v>97</v>
      </c>
      <c r="C48" s="26">
        <v>5.7773000000000003</v>
      </c>
      <c r="D48" s="26">
        <v>5.7778999999999998</v>
      </c>
      <c r="E48" s="45">
        <f t="shared" si="1"/>
        <v>45596</v>
      </c>
    </row>
    <row r="49" spans="1:5" x14ac:dyDescent="0.25">
      <c r="A49" s="25" t="s">
        <v>165</v>
      </c>
      <c r="B49" s="41" t="s">
        <v>97</v>
      </c>
      <c r="C49" s="26">
        <v>5.8067000000000002</v>
      </c>
      <c r="D49" s="26">
        <v>5.8072999999999997</v>
      </c>
      <c r="E49" s="45">
        <f t="shared" si="1"/>
        <v>45597</v>
      </c>
    </row>
    <row r="50" spans="1:5" x14ac:dyDescent="0.25">
      <c r="A50" s="25" t="s">
        <v>166</v>
      </c>
      <c r="B50" s="41" t="s">
        <v>97</v>
      </c>
      <c r="C50" s="26">
        <v>5.7892000000000001</v>
      </c>
      <c r="D50" s="26">
        <v>5.7897999999999996</v>
      </c>
      <c r="E50" s="45">
        <f t="shared" si="1"/>
        <v>45600</v>
      </c>
    </row>
    <row r="51" spans="1:5" x14ac:dyDescent="0.25">
      <c r="A51" s="25" t="s">
        <v>167</v>
      </c>
      <c r="B51" s="41" t="s">
        <v>97</v>
      </c>
      <c r="C51" s="26">
        <v>5.7839999999999998</v>
      </c>
      <c r="D51" s="26">
        <v>5.7846000000000002</v>
      </c>
      <c r="E51" s="45">
        <f t="shared" si="1"/>
        <v>45601</v>
      </c>
    </row>
    <row r="52" spans="1:5" x14ac:dyDescent="0.25">
      <c r="A52" s="25" t="s">
        <v>168</v>
      </c>
      <c r="B52" s="41" t="s">
        <v>97</v>
      </c>
      <c r="C52" s="26">
        <v>5.7641999999999998</v>
      </c>
      <c r="D52" s="26">
        <v>5.7648000000000001</v>
      </c>
      <c r="E52" s="45">
        <f t="shared" si="1"/>
        <v>45602</v>
      </c>
    </row>
    <row r="53" spans="1:5" x14ac:dyDescent="0.25">
      <c r="A53" s="25" t="s">
        <v>169</v>
      </c>
      <c r="B53" s="41" t="s">
        <v>97</v>
      </c>
      <c r="C53" s="26">
        <v>5.6618000000000004</v>
      </c>
      <c r="D53" s="26">
        <v>5.6623999999999999</v>
      </c>
      <c r="E53" s="45">
        <f t="shared" si="1"/>
        <v>45603</v>
      </c>
    </row>
    <row r="54" spans="1:5" x14ac:dyDescent="0.25">
      <c r="A54" s="25" t="s">
        <v>170</v>
      </c>
      <c r="B54" s="41" t="s">
        <v>97</v>
      </c>
      <c r="C54" s="26">
        <v>5.7641999999999998</v>
      </c>
      <c r="D54" s="26">
        <v>5.7648000000000001</v>
      </c>
      <c r="E54" s="45">
        <f t="shared" si="1"/>
        <v>45604</v>
      </c>
    </row>
    <row r="55" spans="1:5" x14ac:dyDescent="0.25">
      <c r="A55" s="25" t="s">
        <v>171</v>
      </c>
      <c r="B55" s="41" t="s">
        <v>97</v>
      </c>
      <c r="C55" s="26">
        <v>5.7973999999999997</v>
      </c>
      <c r="D55" s="26">
        <v>5.798</v>
      </c>
      <c r="E55" s="45">
        <f t="shared" si="1"/>
        <v>45607</v>
      </c>
    </row>
    <row r="56" spans="1:5" x14ac:dyDescent="0.25">
      <c r="A56" s="25" t="s">
        <v>172</v>
      </c>
      <c r="B56" s="41" t="s">
        <v>97</v>
      </c>
      <c r="C56" s="26">
        <v>5.7687999999999997</v>
      </c>
      <c r="D56" s="26">
        <v>5.7694000000000001</v>
      </c>
      <c r="E56" s="45">
        <f t="shared" si="1"/>
        <v>45608</v>
      </c>
    </row>
    <row r="57" spans="1:5" x14ac:dyDescent="0.25">
      <c r="A57" s="25" t="s">
        <v>173</v>
      </c>
      <c r="B57" s="41" t="s">
        <v>97</v>
      </c>
      <c r="C57" s="26">
        <v>5.7706999999999997</v>
      </c>
      <c r="D57" s="26">
        <v>5.7713000000000001</v>
      </c>
      <c r="E57" s="45">
        <f t="shared" si="1"/>
        <v>45609</v>
      </c>
    </row>
    <row r="58" spans="1:5" x14ac:dyDescent="0.25">
      <c r="A58" s="25" t="s">
        <v>179</v>
      </c>
      <c r="B58" s="41" t="s">
        <v>97</v>
      </c>
      <c r="C58" s="26">
        <v>5.7878999999999996</v>
      </c>
      <c r="D58" s="26">
        <v>5.7885</v>
      </c>
      <c r="E58" s="45">
        <f t="shared" si="1"/>
        <v>45610</v>
      </c>
    </row>
  </sheetData>
  <hyperlinks>
    <hyperlink ref="L1" r:id="rId1" xr:uid="{F5944942-DA0E-49CE-9119-5676F77B338F}"/>
  </hyperlinks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F49EA-1330-47F8-ABEA-2A7B5ECD5803}">
  <sheetPr codeName="Sheet9">
    <tabColor theme="0" tint="-4.9989318521683403E-2"/>
  </sheetPr>
  <dimension ref="K2:L12"/>
  <sheetViews>
    <sheetView showGridLines="0" workbookViewId="0">
      <selection activeCell="L19" sqref="L19"/>
    </sheetView>
  </sheetViews>
  <sheetFormatPr defaultRowHeight="13.8" x14ac:dyDescent="0.3"/>
  <cols>
    <col min="4" max="4" width="9.44140625" bestFit="1" customWidth="1"/>
    <col min="11" max="11" width="9.44140625" customWidth="1"/>
    <col min="12" max="12" width="82.44140625" bestFit="1" customWidth="1"/>
    <col min="20" max="20" width="9.77734375" customWidth="1"/>
  </cols>
  <sheetData>
    <row r="2" spans="11:12" ht="14.4" x14ac:dyDescent="0.35">
      <c r="K2" s="40" t="s">
        <v>122</v>
      </c>
      <c r="L2" s="37" t="s">
        <v>126</v>
      </c>
    </row>
    <row r="3" spans="11:12" ht="14.4" x14ac:dyDescent="0.35">
      <c r="K3" s="40"/>
      <c r="L3" s="37" t="s">
        <v>127</v>
      </c>
    </row>
    <row r="4" spans="11:12" ht="14.4" x14ac:dyDescent="0.35">
      <c r="K4" s="35"/>
      <c r="L4" s="36"/>
    </row>
    <row r="5" spans="11:12" ht="14.4" x14ac:dyDescent="0.35">
      <c r="K5" s="40" t="s">
        <v>125</v>
      </c>
      <c r="L5" s="37" t="s">
        <v>128</v>
      </c>
    </row>
    <row r="6" spans="11:12" ht="14.4" x14ac:dyDescent="0.35">
      <c r="K6" s="40"/>
      <c r="L6" s="37" t="s">
        <v>129</v>
      </c>
    </row>
    <row r="7" spans="11:12" ht="14.4" x14ac:dyDescent="0.35">
      <c r="K7" s="35"/>
      <c r="L7" s="36"/>
    </row>
    <row r="8" spans="11:12" ht="14.4" x14ac:dyDescent="0.35">
      <c r="K8" s="40" t="s">
        <v>124</v>
      </c>
      <c r="L8" s="38" t="s">
        <v>132</v>
      </c>
    </row>
    <row r="9" spans="11:12" ht="14.4" x14ac:dyDescent="0.35">
      <c r="K9" s="40"/>
      <c r="L9" s="37" t="s">
        <v>133</v>
      </c>
    </row>
    <row r="10" spans="11:12" ht="14.4" x14ac:dyDescent="0.35">
      <c r="K10" s="35"/>
      <c r="L10" s="36"/>
    </row>
    <row r="11" spans="11:12" ht="14.4" x14ac:dyDescent="0.35">
      <c r="K11" s="40" t="s">
        <v>123</v>
      </c>
      <c r="L11" s="37" t="s">
        <v>130</v>
      </c>
    </row>
    <row r="12" spans="11:12" ht="14.4" x14ac:dyDescent="0.35">
      <c r="K12" s="40"/>
      <c r="L12" s="37" t="s">
        <v>131</v>
      </c>
    </row>
  </sheetData>
  <mergeCells count="4">
    <mergeCell ref="K2:K3"/>
    <mergeCell ref="K5:K6"/>
    <mergeCell ref="K8:K9"/>
    <mergeCell ref="K11:K12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4A9821-3114-4C94-AEC5-63B60B41D8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19</vt:i4>
      </vt:variant>
    </vt:vector>
  </HeadingPairs>
  <TitlesOfParts>
    <vt:vector size="27" baseType="lpstr">
      <vt:lpstr>Main</vt:lpstr>
      <vt:lpstr>DI1 FUT</vt:lpstr>
      <vt:lpstr>CCS</vt:lpstr>
      <vt:lpstr>DOL FUT</vt:lpstr>
      <vt:lpstr>Aux</vt:lpstr>
      <vt:lpstr>Interpolações</vt:lpstr>
      <vt:lpstr>PTAX-SPOT</vt:lpstr>
      <vt:lpstr>Tipos de curva</vt:lpstr>
      <vt:lpstr>AJUSTEDDI</vt:lpstr>
      <vt:lpstr>AJUSTEDI1</vt:lpstr>
      <vt:lpstr>AJUSTEDOL</vt:lpstr>
      <vt:lpstr>Contrato_ref</vt:lpstr>
      <vt:lpstr>D_1</vt:lpstr>
      <vt:lpstr>D0</vt:lpstr>
      <vt:lpstr>Depara_CodigoVCTO</vt:lpstr>
      <vt:lpstr>Depara_datavcto</vt:lpstr>
      <vt:lpstr>Depara_Mesvcto</vt:lpstr>
      <vt:lpstr>Depara_vcto</vt:lpstr>
      <vt:lpstr>Feriados</vt:lpstr>
      <vt:lpstr>serie_dc</vt:lpstr>
      <vt:lpstr>serie_du</vt:lpstr>
      <vt:lpstr>SPOT</vt:lpstr>
      <vt:lpstr>Taxas_DDI</vt:lpstr>
      <vt:lpstr>Taxas_DI</vt:lpstr>
      <vt:lpstr>VCTODDI</vt:lpstr>
      <vt:lpstr>VCTODI1</vt:lpstr>
      <vt:lpstr>VCTODOL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Fernanda Diniz Marinho</dc:creator>
  <cp:lastModifiedBy>Fernanda Diniz Marinho</cp:lastModifiedBy>
  <dcterms:created xsi:type="dcterms:W3CDTF">2024-08-31T14:39:20Z</dcterms:created>
  <dcterms:modified xsi:type="dcterms:W3CDTF">2024-11-14T21:00:26Z</dcterms:modified>
</cp:coreProperties>
</file>