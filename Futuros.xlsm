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hhe\OneDrive\Área de Trabalho\study\Planilhas\Rhinos\"/>
    </mc:Choice>
  </mc:AlternateContent>
  <xr:revisionPtr revIDLastSave="0" documentId="13_ncr:1_{B5C1ADF6-92BD-467C-A401-E51BDE4F0554}" xr6:coauthVersionLast="47" xr6:coauthVersionMax="47" xr10:uidLastSave="{00000000-0000-0000-0000-000000000000}"/>
  <bookViews>
    <workbookView xWindow="-108" yWindow="-108" windowWidth="23256" windowHeight="12456" activeTab="5" xr2:uid="{BC4BF5A6-AE82-4AFB-8F86-D37953F62529}"/>
  </bookViews>
  <sheets>
    <sheet name="Futuros" sheetId="6" r:id="rId1"/>
    <sheet name="DI1" sheetId="2" r:id="rId2"/>
    <sheet name="DDI" sheetId="4" r:id="rId3"/>
    <sheet name="DOL" sheetId="3" r:id="rId4"/>
    <sheet name="Mapa de FX" sheetId="8" r:id="rId5"/>
    <sheet name="Rolagem" sheetId="9" r:id="rId6"/>
    <sheet name="FRA's" sheetId="5" r:id="rId7"/>
    <sheet name="Aux" sheetId="7" r:id="rId8"/>
  </sheets>
  <externalReferences>
    <externalReference r:id="rId9"/>
  </externalReferences>
  <definedNames>
    <definedName name="_xlnm._FilterDatabase" localSheetId="4" hidden="1">'Mapa de FX'!$A$3:$F$9</definedName>
    <definedName name="D0">[1]Main!$B$2</definedName>
    <definedName name="Depara_CodigoVCTO">Aux!$E$1:$E$13</definedName>
    <definedName name="Depara_Mesvcto">Aux!$F$1:$F$13</definedName>
    <definedName name="Feriados">Aux!$A$2:$A$989</definedName>
    <definedName name="VCTODI1">'[1]DI1 FUT'!$A:$A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9" l="1"/>
  <c r="I31" i="6"/>
  <c r="F20" i="9"/>
  <c r="F19" i="9"/>
  <c r="F11" i="9"/>
  <c r="F5" i="9"/>
  <c r="F4" i="9"/>
  <c r="K4" i="9" s="1"/>
  <c r="P2" i="9" s="1"/>
  <c r="C9" i="8"/>
  <c r="C8" i="8"/>
  <c r="C5" i="8"/>
  <c r="C4" i="8"/>
  <c r="AH9" i="4"/>
  <c r="K20" i="9" l="1"/>
  <c r="P17" i="9" s="1"/>
  <c r="K12" i="9"/>
  <c r="P9" i="9" s="1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30" i="3"/>
  <c r="F9" i="8"/>
  <c r="F8" i="8"/>
  <c r="F5" i="8"/>
  <c r="F4" i="8"/>
  <c r="D14" i="8" s="1"/>
  <c r="L8" i="8" s="1"/>
  <c r="L11" i="8" s="1"/>
  <c r="C7" i="8"/>
  <c r="F7" i="8" s="1"/>
  <c r="C6" i="8"/>
  <c r="F6" i="8" s="1"/>
  <c r="D13" i="8" s="1"/>
  <c r="J7" i="8" s="1"/>
  <c r="J11" i="8" s="1"/>
  <c r="B15" i="8"/>
  <c r="B13" i="8"/>
  <c r="B14" i="8"/>
  <c r="I33" i="6"/>
  <c r="C23" i="5"/>
  <c r="C24" i="5" s="1"/>
  <c r="D15" i="8" l="1"/>
  <c r="E20" i="5"/>
  <c r="E19" i="5"/>
  <c r="N3" i="8" l="1"/>
  <c r="K11" i="8"/>
  <c r="I1" i="7" a="1"/>
  <c r="I1" i="7" s="1"/>
  <c r="J36" i="7" l="1"/>
  <c r="J30" i="7"/>
  <c r="J24" i="7"/>
  <c r="J18" i="7"/>
  <c r="J12" i="7"/>
  <c r="J6" i="7"/>
  <c r="J35" i="7"/>
  <c r="J29" i="7"/>
  <c r="J23" i="7"/>
  <c r="J17" i="7"/>
  <c r="J11" i="7"/>
  <c r="J5" i="7"/>
  <c r="J34" i="7"/>
  <c r="J28" i="7"/>
  <c r="J22" i="7"/>
  <c r="J16" i="7"/>
  <c r="J10" i="7"/>
  <c r="J4" i="7"/>
  <c r="J39" i="7"/>
  <c r="J33" i="7"/>
  <c r="J27" i="7"/>
  <c r="J21" i="7"/>
  <c r="J15" i="7"/>
  <c r="J9" i="7"/>
  <c r="J3" i="7"/>
  <c r="J38" i="7"/>
  <c r="J32" i="7"/>
  <c r="J26" i="7"/>
  <c r="J20" i="7"/>
  <c r="J14" i="7"/>
  <c r="J8" i="7"/>
  <c r="J2" i="7"/>
  <c r="J37" i="7"/>
  <c r="J31" i="7"/>
  <c r="J25" i="7"/>
  <c r="J19" i="7"/>
  <c r="J13" i="7"/>
  <c r="J7" i="7"/>
  <c r="K17" i="7" l="1"/>
  <c r="L17" i="7"/>
  <c r="K14" i="7"/>
  <c r="L14" i="7"/>
  <c r="K4" i="7"/>
  <c r="L4" i="7"/>
  <c r="K6" i="7"/>
  <c r="L6" i="7"/>
  <c r="K27" i="7"/>
  <c r="L27" i="7"/>
  <c r="K29" i="7"/>
  <c r="L29" i="7"/>
  <c r="K10" i="7"/>
  <c r="L10" i="7"/>
  <c r="K18" i="7"/>
  <c r="L18" i="7"/>
  <c r="K32" i="7"/>
  <c r="L32" i="7"/>
  <c r="S37" i="4" s="1"/>
  <c r="T37" i="4" s="1"/>
  <c r="K22" i="7"/>
  <c r="L22" i="7"/>
  <c r="S27" i="4" s="1"/>
  <c r="T27" i="4" s="1"/>
  <c r="K24" i="7"/>
  <c r="L24" i="7"/>
  <c r="S29" i="4" s="1"/>
  <c r="T29" i="4" s="1"/>
  <c r="K31" i="7"/>
  <c r="L31" i="7"/>
  <c r="S36" i="4" s="1"/>
  <c r="T36" i="4" s="1"/>
  <c r="K2" i="7"/>
  <c r="L2" i="7"/>
  <c r="K39" i="7"/>
  <c r="L39" i="7"/>
  <c r="S44" i="4" s="1"/>
  <c r="T44" i="4" s="1"/>
  <c r="K16" i="7"/>
  <c r="L16" i="7"/>
  <c r="K7" i="7"/>
  <c r="L7" i="7"/>
  <c r="K38" i="7"/>
  <c r="L38" i="7"/>
  <c r="S43" i="4" s="1"/>
  <c r="T43" i="4" s="1"/>
  <c r="K28" i="7"/>
  <c r="L28" i="7"/>
  <c r="S33" i="4" s="1"/>
  <c r="T33" i="4" s="1"/>
  <c r="K30" i="7"/>
  <c r="L30" i="7"/>
  <c r="K37" i="7"/>
  <c r="L37" i="7"/>
  <c r="S42" i="4" s="1"/>
  <c r="T42" i="4" s="1"/>
  <c r="K20" i="7"/>
  <c r="L20" i="7"/>
  <c r="K34" i="7"/>
  <c r="L34" i="7"/>
  <c r="S39" i="4" s="1"/>
  <c r="T39" i="4" s="1"/>
  <c r="K36" i="7"/>
  <c r="L36" i="7"/>
  <c r="S41" i="4" s="1"/>
  <c r="T41" i="4" s="1"/>
  <c r="K23" i="7"/>
  <c r="L23" i="7"/>
  <c r="K8" i="7"/>
  <c r="L8" i="7"/>
  <c r="K12" i="7"/>
  <c r="L12" i="7"/>
  <c r="K13" i="7"/>
  <c r="L13" i="7"/>
  <c r="K19" i="7"/>
  <c r="L19" i="7"/>
  <c r="K9" i="7"/>
  <c r="L9" i="7"/>
  <c r="K5" i="7"/>
  <c r="L5" i="7"/>
  <c r="K21" i="7"/>
  <c r="L21" i="7"/>
  <c r="K33" i="7"/>
  <c r="L33" i="7"/>
  <c r="S38" i="4" s="1"/>
  <c r="T38" i="4" s="1"/>
  <c r="K35" i="7"/>
  <c r="L35" i="7"/>
  <c r="S40" i="4" s="1"/>
  <c r="T40" i="4" s="1"/>
  <c r="K26" i="7"/>
  <c r="L26" i="7"/>
  <c r="S31" i="4" s="1"/>
  <c r="T31" i="4" s="1"/>
  <c r="K3" i="7"/>
  <c r="L3" i="7"/>
  <c r="K25" i="7"/>
  <c r="L25" i="7"/>
  <c r="K15" i="7"/>
  <c r="L15" i="7"/>
  <c r="K11" i="7"/>
  <c r="L11" i="7"/>
  <c r="I30" i="6"/>
  <c r="R9" i="2" l="1"/>
  <c r="S9" i="2" s="1"/>
  <c r="R42" i="2"/>
  <c r="S42" i="2" s="1"/>
  <c r="R28" i="2"/>
  <c r="S28" i="2" s="1"/>
  <c r="R31" i="2"/>
  <c r="S31" i="2" s="1"/>
  <c r="P23" i="3"/>
  <c r="S24" i="4"/>
  <c r="T24" i="4" s="1"/>
  <c r="P11" i="3"/>
  <c r="S12" i="4"/>
  <c r="T12" i="4" s="1"/>
  <c r="P10" i="3"/>
  <c r="S11" i="4"/>
  <c r="T11" i="4" s="1"/>
  <c r="R27" i="2"/>
  <c r="S27" i="2" s="1"/>
  <c r="R7" i="2"/>
  <c r="S7" i="2" s="1"/>
  <c r="R30" i="2"/>
  <c r="S30" i="2" s="1"/>
  <c r="R11" i="2"/>
  <c r="S11" i="2" s="1"/>
  <c r="R10" i="2"/>
  <c r="S10" i="2" s="1"/>
  <c r="P17" i="3"/>
  <c r="S18" i="4"/>
  <c r="T18" i="4" s="1"/>
  <c r="P24" i="3"/>
  <c r="S25" i="4"/>
  <c r="T25" i="4" s="1"/>
  <c r="P20" i="3"/>
  <c r="S21" i="4"/>
  <c r="T21" i="4" s="1"/>
  <c r="P8" i="3"/>
  <c r="S9" i="4"/>
  <c r="T9" i="4" s="1"/>
  <c r="R17" i="2"/>
  <c r="S17" i="2" s="1"/>
  <c r="R20" i="2"/>
  <c r="S20" i="2" s="1"/>
  <c r="R8" i="2"/>
  <c r="S8" i="2" s="1"/>
  <c r="P27" i="3"/>
  <c r="S30" i="4"/>
  <c r="T30" i="4" s="1"/>
  <c r="P9" i="3"/>
  <c r="S10" i="4"/>
  <c r="T10" i="4" s="1"/>
  <c r="P26" i="3"/>
  <c r="S28" i="4"/>
  <c r="T28" i="4" s="1"/>
  <c r="P29" i="3"/>
  <c r="S34" i="4"/>
  <c r="T34" i="4" s="1"/>
  <c r="R33" i="2"/>
  <c r="S33" i="2" s="1"/>
  <c r="P7" i="3"/>
  <c r="S8" i="4"/>
  <c r="T8" i="4" s="1"/>
  <c r="P13" i="3"/>
  <c r="S14" i="4"/>
  <c r="T14" i="4" s="1"/>
  <c r="P28" i="3"/>
  <c r="S32" i="4"/>
  <c r="T32" i="4" s="1"/>
  <c r="R40" i="2"/>
  <c r="S40" i="2" s="1"/>
  <c r="R38" i="2"/>
  <c r="S38" i="2" s="1"/>
  <c r="R26" i="2"/>
  <c r="S26" i="2" s="1"/>
  <c r="R39" i="2"/>
  <c r="S39" i="2" s="1"/>
  <c r="R24" i="2"/>
  <c r="S24" i="2" s="1"/>
  <c r="R36" i="2"/>
  <c r="S36" i="2" s="1"/>
  <c r="P15" i="3"/>
  <c r="S16" i="4"/>
  <c r="T16" i="4" s="1"/>
  <c r="P16" i="3"/>
  <c r="S17" i="4"/>
  <c r="T17" i="4" s="1"/>
  <c r="P22" i="3"/>
  <c r="S23" i="4"/>
  <c r="T23" i="4" s="1"/>
  <c r="P18" i="3"/>
  <c r="S19" i="4"/>
  <c r="T19" i="4" s="1"/>
  <c r="R35" i="2"/>
  <c r="S35" i="2" s="1"/>
  <c r="R13" i="2"/>
  <c r="S13" i="2" s="1"/>
  <c r="R23" i="2"/>
  <c r="S23" i="2" s="1"/>
  <c r="R37" i="2"/>
  <c r="S37" i="2" s="1"/>
  <c r="R41" i="2"/>
  <c r="S41" i="2" s="1"/>
  <c r="R43" i="2"/>
  <c r="S43" i="2" s="1"/>
  <c r="R18" i="2"/>
  <c r="S18" i="2" s="1"/>
  <c r="R32" i="2"/>
  <c r="S32" i="2" s="1"/>
  <c r="R15" i="2"/>
  <c r="S15" i="2" s="1"/>
  <c r="R16" i="2"/>
  <c r="S16" i="2" s="1"/>
  <c r="R22" i="2"/>
  <c r="S22" i="2" s="1"/>
  <c r="P19" i="3"/>
  <c r="S20" i="4"/>
  <c r="T20" i="4" s="1"/>
  <c r="P25" i="3"/>
  <c r="S26" i="4"/>
  <c r="T26" i="4" s="1"/>
  <c r="P12" i="3"/>
  <c r="S13" i="4"/>
  <c r="T13" i="4" s="1"/>
  <c r="P30" i="3"/>
  <c r="S35" i="4"/>
  <c r="T35" i="4" s="1"/>
  <c r="P6" i="3"/>
  <c r="S7" i="4"/>
  <c r="T7" i="4" s="1"/>
  <c r="P14" i="3"/>
  <c r="S15" i="4"/>
  <c r="T15" i="4" s="1"/>
  <c r="P21" i="3"/>
  <c r="S22" i="4"/>
  <c r="T22" i="4" s="1"/>
  <c r="R29" i="2"/>
  <c r="S29" i="2" s="1"/>
  <c r="R19" i="2"/>
  <c r="S19" i="2" s="1"/>
  <c r="R25" i="2"/>
  <c r="S25" i="2" s="1"/>
  <c r="R12" i="2"/>
  <c r="S12" i="2" s="1"/>
  <c r="R34" i="2"/>
  <c r="S34" i="2" s="1"/>
  <c r="R6" i="2"/>
  <c r="R14" i="2"/>
  <c r="S14" i="2" s="1"/>
  <c r="R21" i="2"/>
  <c r="S21" i="2" s="1"/>
  <c r="S6" i="2" l="1"/>
  <c r="AG9" i="4" s="1"/>
  <c r="AJ9" i="4" s="1"/>
  <c r="T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<sst xmlns="http://schemas.openxmlformats.org/spreadsheetml/2006/main" count="2431" uniqueCount="304">
  <si>
    <t>DU</t>
  </si>
  <si>
    <t>O que são Futuros</t>
  </si>
  <si>
    <t>P</t>
  </si>
  <si>
    <t>T</t>
  </si>
  <si>
    <t>Mercado</t>
  </si>
  <si>
    <t>PnL</t>
  </si>
  <si>
    <t>Futuro DI</t>
  </si>
  <si>
    <t>Tipos de futuro</t>
  </si>
  <si>
    <t>Futuro DI1</t>
  </si>
  <si>
    <t>Futuro de Dol</t>
  </si>
  <si>
    <t>Futuro de DDI (cupom cambial)</t>
  </si>
  <si>
    <t>Futuro de Boi</t>
  </si>
  <si>
    <t>Futuro de Milho</t>
  </si>
  <si>
    <t>Futuro de PETR3</t>
  </si>
  <si>
    <t>etc...</t>
  </si>
  <si>
    <r>
      <t xml:space="preserve">"Instrumentos financeiros, derivativos, que negociam o </t>
    </r>
    <r>
      <rPr>
        <b/>
        <i/>
        <sz val="9"/>
        <color theme="1"/>
        <rFont val="Aptos Narrow"/>
        <family val="2"/>
        <scheme val="minor"/>
      </rPr>
      <t xml:space="preserve">preço </t>
    </r>
    <r>
      <rPr>
        <i/>
        <sz val="9"/>
        <color theme="1"/>
        <rFont val="Aptos Narrow"/>
        <family val="2"/>
        <scheme val="minor"/>
      </rPr>
      <t>de um ativo subjacente em uma</t>
    </r>
    <r>
      <rPr>
        <b/>
        <i/>
        <sz val="9"/>
        <color theme="1"/>
        <rFont val="Aptos Narrow"/>
        <family val="2"/>
        <scheme val="minor"/>
      </rPr>
      <t xml:space="preserve"> data futura</t>
    </r>
    <r>
      <rPr>
        <i/>
        <sz val="9"/>
        <color theme="1"/>
        <rFont val="Aptos Narrow"/>
        <family val="2"/>
        <scheme val="minor"/>
      </rPr>
      <t>"</t>
    </r>
  </si>
  <si>
    <t>Operações com futuros</t>
  </si>
  <si>
    <t>Hedge --------------------------------&gt;</t>
  </si>
  <si>
    <t>Swaps, NDFs, Loans, Indices, Ações, ETFs, commodities etc</t>
  </si>
  <si>
    <t>Caracteristicas</t>
  </si>
  <si>
    <t>Arbitragem --------------------------&gt;</t>
  </si>
  <si>
    <t>Especulação ------------------------&gt;</t>
  </si>
  <si>
    <t>Posições direcionais, apostando em um movimento do mercado</t>
  </si>
  <si>
    <t>Ganho, sem risco, entre ineficiências de mercado</t>
  </si>
  <si>
    <t>John C. Hull</t>
  </si>
  <si>
    <t>Capítulos:</t>
  </si>
  <si>
    <t>Cap. 1 - Pag 8</t>
  </si>
  <si>
    <t>Cap. 2 e 3</t>
  </si>
  <si>
    <r>
      <t xml:space="preserve">Leitura recomendada: </t>
    </r>
    <r>
      <rPr>
        <b/>
        <sz val="10"/>
        <color theme="3"/>
        <rFont val="Aptos Narrow"/>
        <family val="2"/>
        <scheme val="minor"/>
      </rPr>
      <t>Opções, Futuros e outros Derivativos</t>
    </r>
  </si>
  <si>
    <t>Fonte: https://www2.bmf.com.br/pages/portal/bmfbovespa/boletim1/SistemaPregao1.asp?pagetype=pop&amp;caminho=Resumo%20Estat%EDstico%20-%20Sistema%20Preg%E3o&amp;Data=11/09/2024&amp;Mercadoria=DI1</t>
  </si>
  <si>
    <t>DI DE 1 DIA (contrato = R$100.000,00; cotação = taxa de juro)</t>
  </si>
  <si>
    <t>ATUALIZADO EM: 11/09/2024</t>
  </si>
  <si>
    <t>VENCTO</t>
  </si>
  <si>
    <t>CONTR. ABERT.(1)</t>
  </si>
  <si>
    <t>CONTR. FECH.(2)</t>
  </si>
  <si>
    <t>NÚM. NEGOC.</t>
  </si>
  <si>
    <t>CONTR. NEGOC.</t>
  </si>
  <si>
    <t>VOL.</t>
  </si>
  <si>
    <t>AJUSTE ANTER. (3)</t>
  </si>
  <si>
    <t>AJUSTE CORRIG. (4)</t>
  </si>
  <si>
    <t>PREÇO ABERTU.</t>
  </si>
  <si>
    <t>PREÇO MÍN.</t>
  </si>
  <si>
    <t>PREÇO MÁX.</t>
  </si>
  <si>
    <t>PREÇO MÉD.</t>
  </si>
  <si>
    <t>ÚLT. PREÇO</t>
  </si>
  <si>
    <t>AJUSTE</t>
  </si>
  <si>
    <t>VAR. PTOS.</t>
  </si>
  <si>
    <t>ÚLT.OF. COMPRA</t>
  </si>
  <si>
    <t>ÚLT.OF. VENDA</t>
  </si>
  <si>
    <t>V24</t>
  </si>
  <si>
    <t>0,19-</t>
  </si>
  <si>
    <t>X24</t>
  </si>
  <si>
    <t>0,67-</t>
  </si>
  <si>
    <t>Z24</t>
  </si>
  <si>
    <t>0,93-</t>
  </si>
  <si>
    <t>F25</t>
  </si>
  <si>
    <t>1,41-</t>
  </si>
  <si>
    <t>G25</t>
  </si>
  <si>
    <t>4,88-</t>
  </si>
  <si>
    <t>H25</t>
  </si>
  <si>
    <t>8,17-</t>
  </si>
  <si>
    <t>J25</t>
  </si>
  <si>
    <t>11,82-</t>
  </si>
  <si>
    <t>K25</t>
  </si>
  <si>
    <t>18,31-</t>
  </si>
  <si>
    <t>M25</t>
  </si>
  <si>
    <t>19,57-</t>
  </si>
  <si>
    <t>N25</t>
  </si>
  <si>
    <t>24,29-</t>
  </si>
  <si>
    <t>Q25</t>
  </si>
  <si>
    <t>21,28-</t>
  </si>
  <si>
    <t>U25</t>
  </si>
  <si>
    <t>21,71-</t>
  </si>
  <si>
    <t>V25</t>
  </si>
  <si>
    <t>24,43-</t>
  </si>
  <si>
    <t>F26</t>
  </si>
  <si>
    <t>16,00-</t>
  </si>
  <si>
    <t>J26</t>
  </si>
  <si>
    <t>16,74-</t>
  </si>
  <si>
    <t>N26</t>
  </si>
  <si>
    <t>10,37-</t>
  </si>
  <si>
    <t>V26</t>
  </si>
  <si>
    <t>19,49-</t>
  </si>
  <si>
    <t>F27</t>
  </si>
  <si>
    <t>10,06+</t>
  </si>
  <si>
    <t>J27</t>
  </si>
  <si>
    <t>10,47+</t>
  </si>
  <si>
    <t>N27</t>
  </si>
  <si>
    <t>16,34+</t>
  </si>
  <si>
    <t>V27</t>
  </si>
  <si>
    <t>20,95+</t>
  </si>
  <si>
    <t>F28</t>
  </si>
  <si>
    <t>31,97+</t>
  </si>
  <si>
    <t>J28</t>
  </si>
  <si>
    <t>37,51+</t>
  </si>
  <si>
    <t>N28</t>
  </si>
  <si>
    <t>54,33+</t>
  </si>
  <si>
    <t>V28</t>
  </si>
  <si>
    <t>51,55+</t>
  </si>
  <si>
    <t>F29</t>
  </si>
  <si>
    <t>62,47+</t>
  </si>
  <si>
    <t>J29</t>
  </si>
  <si>
    <t>56,75+</t>
  </si>
  <si>
    <t>N29</t>
  </si>
  <si>
    <t>60,59+</t>
  </si>
  <si>
    <t>F30</t>
  </si>
  <si>
    <t>78,68+</t>
  </si>
  <si>
    <t>F31</t>
  </si>
  <si>
    <t>108,46+</t>
  </si>
  <si>
    <t>F32</t>
  </si>
  <si>
    <t>106,55+</t>
  </si>
  <si>
    <t>F33</t>
  </si>
  <si>
    <t>75,78+</t>
  </si>
  <si>
    <t>F34</t>
  </si>
  <si>
    <t>96,81+</t>
  </si>
  <si>
    <t>F35</t>
  </si>
  <si>
    <t>57,55+</t>
  </si>
  <si>
    <t>F36</t>
  </si>
  <si>
    <t>56,53+</t>
  </si>
  <si>
    <t>F37</t>
  </si>
  <si>
    <t>55,01+</t>
  </si>
  <si>
    <t>F38</t>
  </si>
  <si>
    <t>53,21+</t>
  </si>
  <si>
    <t>F39</t>
  </si>
  <si>
    <t>51,18+</t>
  </si>
  <si>
    <t>Data</t>
  </si>
  <si>
    <t>Dia da Semana</t>
  </si>
  <si>
    <t>Feriado</t>
  </si>
  <si>
    <t>Código</t>
  </si>
  <si>
    <t>Mês</t>
  </si>
  <si>
    <t>segunda-feira</t>
  </si>
  <si>
    <t>Confraternização Universal</t>
  </si>
  <si>
    <t>F</t>
  </si>
  <si>
    <t>Carnaval</t>
  </si>
  <si>
    <t>G</t>
  </si>
  <si>
    <t>terça-feira</t>
  </si>
  <si>
    <t>H</t>
  </si>
  <si>
    <t>sexta-feira</t>
  </si>
  <si>
    <t>Paixão de Cristo</t>
  </si>
  <si>
    <t>J</t>
  </si>
  <si>
    <t>domingo</t>
  </si>
  <si>
    <t>Tiradentes</t>
  </si>
  <si>
    <t>K</t>
  </si>
  <si>
    <t>quarta-feira</t>
  </si>
  <si>
    <t>Dia do Trabalho</t>
  </si>
  <si>
    <t>M</t>
  </si>
  <si>
    <t>quinta-feira</t>
  </si>
  <si>
    <t>Corpus Christi</t>
  </si>
  <si>
    <t>N</t>
  </si>
  <si>
    <t>sábado</t>
  </si>
  <si>
    <t>Independência do Brasil</t>
  </si>
  <si>
    <t>Q</t>
  </si>
  <si>
    <t>Nossa Sr.a Aparecida - Padroeira do Brasil</t>
  </si>
  <si>
    <t>U</t>
  </si>
  <si>
    <t>Finados</t>
  </si>
  <si>
    <t>V</t>
  </si>
  <si>
    <t>Proclamação da República</t>
  </si>
  <si>
    <t>X</t>
  </si>
  <si>
    <t>Dia Nacional de Zumbi e da Consciência Negra</t>
  </si>
  <si>
    <t>Z</t>
  </si>
  <si>
    <t>Natal</t>
  </si>
  <si>
    <t xml:space="preserve">Confraternização Universal </t>
  </si>
  <si>
    <t>Vcto Data</t>
  </si>
  <si>
    <t>VF =</t>
  </si>
  <si>
    <t>Taxa</t>
  </si>
  <si>
    <t>Data_ref</t>
  </si>
  <si>
    <t>DC</t>
  </si>
  <si>
    <t>Usada para precificicar</t>
  </si>
  <si>
    <t>- Derivativos</t>
  </si>
  <si>
    <t>- Titulos Privados</t>
  </si>
  <si>
    <r>
      <rPr>
        <i/>
        <sz val="9"/>
        <color rgb="FFC00000"/>
        <rFont val="Aptos Narrow"/>
        <family val="2"/>
        <scheme val="minor"/>
      </rPr>
      <t xml:space="preserve">Não há principal envolvido </t>
    </r>
    <r>
      <rPr>
        <i/>
        <sz val="9"/>
        <color theme="1"/>
        <rFont val="Aptos Narrow"/>
        <family val="2"/>
        <scheme val="minor"/>
      </rPr>
      <t>(troca monetária)</t>
    </r>
  </si>
  <si>
    <r>
      <rPr>
        <i/>
        <sz val="9"/>
        <color rgb="FFC00000"/>
        <rFont val="Aptos Narrow"/>
        <family val="2"/>
        <scheme val="minor"/>
      </rPr>
      <t>Ajuste diario das operações</t>
    </r>
    <r>
      <rPr>
        <i/>
        <sz val="9"/>
        <color theme="1"/>
        <rFont val="Aptos Narrow"/>
        <family val="2"/>
        <scheme val="minor"/>
      </rPr>
      <t xml:space="preserve"> (realizado pela B3)</t>
    </r>
  </si>
  <si>
    <r>
      <rPr>
        <i/>
        <sz val="9"/>
        <color rgb="FFC00000"/>
        <rFont val="Aptos Narrow"/>
        <family val="2"/>
        <scheme val="minor"/>
      </rPr>
      <t>Requerimeto de margem</t>
    </r>
    <r>
      <rPr>
        <i/>
        <sz val="9"/>
        <color theme="1"/>
        <rFont val="Aptos Narrow"/>
        <family val="2"/>
        <scheme val="minor"/>
      </rPr>
      <t xml:space="preserve"> (valor requerido em conta pela B3 para poder realizar as operações de futuros)</t>
    </r>
  </si>
  <si>
    <r>
      <rPr>
        <i/>
        <sz val="9"/>
        <color rgb="FFC00000"/>
        <rFont val="Aptos Narrow"/>
        <family val="2"/>
        <scheme val="minor"/>
      </rPr>
      <t>Posição:</t>
    </r>
    <r>
      <rPr>
        <i/>
        <sz val="9"/>
        <color theme="1"/>
        <rFont val="Aptos Narrow"/>
        <family val="2"/>
        <scheme val="minor"/>
      </rPr>
      <t xml:space="preserve"> Vendido (tomado) / Comprado (dado)</t>
    </r>
  </si>
  <si>
    <t>O que são FRAs</t>
  </si>
  <si>
    <t xml:space="preserve">Um contrato de taxa forward (FRA, forward rate agreement) é uma transação de balcão estruturada de modo a fixar a taxa de juros que se aplicará ao empréstimo </t>
  </si>
  <si>
    <t>de determinado principal durante um período de tempo futuro específico.</t>
  </si>
  <si>
    <t>FRA</t>
  </si>
  <si>
    <t>mantendo a mesma taxa até que o FRA se desfaça (morte do 1 vcto)</t>
  </si>
  <si>
    <t>Você quer basicamente travar a taxa entre dois periodos</t>
  </si>
  <si>
    <t>Negociando uma ponta Long e outra Short.</t>
  </si>
  <si>
    <t>Assim, movimentos paralelos na curva não gerar impacto no seu FRA,</t>
  </si>
  <si>
    <t>Vcto</t>
  </si>
  <si>
    <t>Taxa (i)</t>
  </si>
  <si>
    <t>pela espectativa do hoje para o futuro.</t>
  </si>
  <si>
    <r>
      <t>Porém, as taxas dos futuros são</t>
    </r>
    <r>
      <rPr>
        <b/>
        <sz val="9"/>
        <color rgb="FFC00000"/>
        <rFont val="Aptos Narrow"/>
        <family val="2"/>
        <scheme val="minor"/>
      </rPr>
      <t xml:space="preserve"> taxas spots</t>
    </r>
    <r>
      <rPr>
        <sz val="9"/>
        <color rgb="FFC00000"/>
        <rFont val="Aptos Narrow"/>
        <family val="2"/>
        <scheme val="minor"/>
      </rPr>
      <t xml:space="preserve"> e no FRA negociamos </t>
    </r>
  </si>
  <si>
    <r>
      <rPr>
        <b/>
        <sz val="9"/>
        <color rgb="FFC00000"/>
        <rFont val="Aptos Narrow"/>
        <family val="2"/>
        <scheme val="minor"/>
      </rPr>
      <t>Taxas Foward</t>
    </r>
    <r>
      <rPr>
        <sz val="9"/>
        <color rgb="FFC00000"/>
        <rFont val="Aptos Narrow"/>
        <family val="2"/>
        <scheme val="minor"/>
      </rPr>
      <t xml:space="preserve">, que são taxas entre períodos, e não taxas geradas </t>
    </r>
  </si>
  <si>
    <t>Fator DI</t>
  </si>
  <si>
    <t>DU (vc2 - vc1)</t>
  </si>
  <si>
    <t>O FRA entre os dois vcto é 9,71%</t>
  </si>
  <si>
    <t>Futuro</t>
  </si>
  <si>
    <t>Op Futuro (V)</t>
  </si>
  <si>
    <t>Exposição a Juros (Exposição a Pré)</t>
  </si>
  <si>
    <t>Futuro DDI</t>
  </si>
  <si>
    <t>Futuro Dol</t>
  </si>
  <si>
    <t>Exp DI = PV .  Qtd</t>
  </si>
  <si>
    <r>
      <t>PV = 100.000/(1+</t>
    </r>
    <r>
      <rPr>
        <b/>
        <sz val="10"/>
        <color rgb="FFC00000"/>
        <rFont val="Aptos Narrow"/>
        <family val="2"/>
        <scheme val="minor"/>
      </rPr>
      <t>Pre</t>
    </r>
    <r>
      <rPr>
        <b/>
        <sz val="10"/>
        <color theme="1"/>
        <rFont val="Aptos Narrow"/>
        <family val="2"/>
        <scheme val="minor"/>
      </rPr>
      <t>)^(DU/252)</t>
    </r>
  </si>
  <si>
    <t>(PU de Ajuste)</t>
  </si>
  <si>
    <t>Qtd</t>
  </si>
  <si>
    <t>PU</t>
  </si>
  <si>
    <t>Produto</t>
  </si>
  <si>
    <t>Posição</t>
  </si>
  <si>
    <t>C</t>
  </si>
  <si>
    <t>Qtd de contratos</t>
  </si>
  <si>
    <t>Exposição</t>
  </si>
  <si>
    <t>DÓLAR COMERCIAL (contrato = US$50.000,00; cotação = R$/US$1.000,00)</t>
  </si>
  <si>
    <t>8,3250-</t>
  </si>
  <si>
    <t>8,5210-</t>
  </si>
  <si>
    <t>8,7650-</t>
  </si>
  <si>
    <t>8,9540-</t>
  </si>
  <si>
    <t>9,2010-</t>
  </si>
  <si>
    <t>9,2310-</t>
  </si>
  <si>
    <t>9,1120-</t>
  </si>
  <si>
    <t>9,2730-</t>
  </si>
  <si>
    <t>9,6760-</t>
  </si>
  <si>
    <t>9,7040-</t>
  </si>
  <si>
    <t>9,9720-</t>
  </si>
  <si>
    <t>10,6910-</t>
  </si>
  <si>
    <t>12,9300-</t>
  </si>
  <si>
    <t>12,3110-</t>
  </si>
  <si>
    <t>13,6630-</t>
  </si>
  <si>
    <t>12,6120-</t>
  </si>
  <si>
    <t>15,7560-</t>
  </si>
  <si>
    <t>16,7490-</t>
  </si>
  <si>
    <t>16,5830-</t>
  </si>
  <si>
    <t>19,6620-</t>
  </si>
  <si>
    <t>26,1590-</t>
  </si>
  <si>
    <t>26,6260-</t>
  </si>
  <si>
    <t>28,5760-</t>
  </si>
  <si>
    <t>33,2000-</t>
  </si>
  <si>
    <t>Fonte: https://www2.bmf.com.br/pages/portal/bmfbovespa/boletim1/SistemaPregao1.asp?pagetype=pop&amp;caminho=Resumo%20Estat%EDstico%20-%20Sistema%20Preg%E3o&amp;Data=11/09/2024&amp;Mercadoria=DOL</t>
  </si>
  <si>
    <t>Fonte: https://www2.bmf.com.br/pages/portal/bmfbovespa/boletim1/SistemaPregao1.asp?pagetype=pop&amp;caminho=Resumo%20Estat%EDstico%20-%20Sistema%20Preg%E3o&amp;Data=11/09/2024&amp;Mercadoria=DDI</t>
  </si>
  <si>
    <t>CUPOM CAMBIAL (contrato = US$50.000,00; cotação = taxa de juro)</t>
  </si>
  <si>
    <t>147,33-</t>
  </si>
  <si>
    <t>146,48-</t>
  </si>
  <si>
    <t>149,02-</t>
  </si>
  <si>
    <t>152,41-</t>
  </si>
  <si>
    <t>157,71-</t>
  </si>
  <si>
    <t>163,95-</t>
  </si>
  <si>
    <t>166,92-</t>
  </si>
  <si>
    <t>170,32-</t>
  </si>
  <si>
    <t>172,98-</t>
  </si>
  <si>
    <t>183,20-</t>
  </si>
  <si>
    <t>179,02-</t>
  </si>
  <si>
    <t>182,42-</t>
  </si>
  <si>
    <t>195,25-</t>
  </si>
  <si>
    <t>216,12-</t>
  </si>
  <si>
    <t>202,62-</t>
  </si>
  <si>
    <t>210,61-</t>
  </si>
  <si>
    <t>200,80-</t>
  </si>
  <si>
    <t>205,51-</t>
  </si>
  <si>
    <t>212,44-</t>
  </si>
  <si>
    <t>196,79-</t>
  </si>
  <si>
    <t>196,95-</t>
  </si>
  <si>
    <t>202,59-</t>
  </si>
  <si>
    <t>230,66-</t>
  </si>
  <si>
    <t>234,78-</t>
  </si>
  <si>
    <t>235,90-</t>
  </si>
  <si>
    <t>210,41-</t>
  </si>
  <si>
    <t>211,69-</t>
  </si>
  <si>
    <t>214,81-</t>
  </si>
  <si>
    <t>215,55-</t>
  </si>
  <si>
    <t>186,74-</t>
  </si>
  <si>
    <t>221,60-</t>
  </si>
  <si>
    <t>220,60-</t>
  </si>
  <si>
    <t>218,99-</t>
  </si>
  <si>
    <t>215,96-</t>
  </si>
  <si>
    <t>209,35-</t>
  </si>
  <si>
    <t>202,80-</t>
  </si>
  <si>
    <t>198,41-</t>
  </si>
  <si>
    <t>192,64-</t>
  </si>
  <si>
    <t>PTAX d-1</t>
  </si>
  <si>
    <t>PTAX d0</t>
  </si>
  <si>
    <t>Fator Dol</t>
  </si>
  <si>
    <t>DDI Sintetico</t>
  </si>
  <si>
    <t>-</t>
  </si>
  <si>
    <t>USD</t>
  </si>
  <si>
    <t>Exposição ao cambio (Exposição cambial)</t>
  </si>
  <si>
    <t>PV = Ptax d-1 * (1+pre)/(1+ddi)</t>
  </si>
  <si>
    <t>Exp Dol = PV .  Qtd</t>
  </si>
  <si>
    <t>E o DI de 1 dia?</t>
  </si>
  <si>
    <t>É a propria taxa pre vigente:</t>
  </si>
  <si>
    <t>Fazemos um Sintetico utilizando DI e a variação cambial (Dol)</t>
  </si>
  <si>
    <t>Valor nominal</t>
  </si>
  <si>
    <t>Exposição ao cambio e ao juros (Exposição cambial e Pre)</t>
  </si>
  <si>
    <t>PV = Pre / Var. Cambial</t>
  </si>
  <si>
    <t>Exp DDI = PV .  Qtd</t>
  </si>
  <si>
    <t>Net Exp (MM)</t>
  </si>
  <si>
    <t>Juros</t>
  </si>
  <si>
    <t>Cambio</t>
  </si>
  <si>
    <t>Cupom</t>
  </si>
  <si>
    <t>Futuro/Fator Risco</t>
  </si>
  <si>
    <t>DI1</t>
  </si>
  <si>
    <t>DDI</t>
  </si>
  <si>
    <t>Dol</t>
  </si>
  <si>
    <t xml:space="preserve"> Cupom de 1 dia?</t>
  </si>
  <si>
    <t>VENCTO  </t>
  </si>
  <si>
    <t>U24</t>
  </si>
  <si>
    <t>PV</t>
  </si>
  <si>
    <t>Ptax</t>
  </si>
  <si>
    <t>Se não rolamos os contratos, abrimos exposição no portfolio</t>
  </si>
  <si>
    <t>`=(($N$4/N6)^(252/R6)-1)</t>
  </si>
  <si>
    <t>Instrumento/Fator Risco</t>
  </si>
  <si>
    <t>Swap BRLxUSD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</si>
</sst>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.0"/>
    <numFmt numFmtId="165" formatCode="#,##0.000"/>
    <numFmt numFmtId="166" formatCode="0.000"/>
    <numFmt numFmtId="167" formatCode="0.0000"/>
    <numFmt numFmtId="168" formatCode="_-[$$-409]* #,##0.00_ ;_-[$$-409]* \-#,##0.00\ ;_-[$$-409]* &quot;-&quot;??_ ;_-@_ "/>
    <numFmt numFmtId="169" formatCode="[$$-409]#,##0.00;[Red][$$-409]#,##0.00"/>
    <numFmt numFmtId="170" formatCode="#,##0.00;[Red]#,##0.00"/>
    <numFmt numFmtId="171" formatCode="0.0;[Red]0.0"/>
  </numFmts>
  <fonts count="29" x14ac:knownFonts="1">
    <font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u/>
      <sz val="10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sz val="10"/>
      <color theme="4"/>
      <name val="Aptos Narrow"/>
      <family val="2"/>
      <scheme val="minor"/>
    </font>
    <font>
      <b/>
      <sz val="10"/>
      <color theme="3"/>
      <name val="Aptos Narrow"/>
      <family val="2"/>
      <scheme val="minor"/>
    </font>
    <font>
      <i/>
      <sz val="8"/>
      <color theme="3"/>
      <name val="Aptos Narrow"/>
      <family val="2"/>
      <scheme val="minor"/>
    </font>
    <font>
      <b/>
      <sz val="8"/>
      <color theme="0"/>
      <name val="Arial"/>
      <family val="2"/>
    </font>
    <font>
      <sz val="8"/>
      <color theme="4"/>
      <name val="Aptos Narrow"/>
      <family val="2"/>
      <scheme val="minor"/>
    </font>
    <font>
      <sz val="10"/>
      <color theme="4"/>
      <name val="Aptos Narrow"/>
      <family val="2"/>
      <scheme val="minor"/>
    </font>
    <font>
      <b/>
      <sz val="10"/>
      <color rgb="FFC00000"/>
      <name val="Aptos Narrow"/>
      <family val="2"/>
      <scheme val="minor"/>
    </font>
    <font>
      <i/>
      <sz val="9"/>
      <name val="Aptos Narrow"/>
      <family val="2"/>
      <scheme val="minor"/>
    </font>
    <font>
      <b/>
      <i/>
      <sz val="9"/>
      <color rgb="FFC00000"/>
      <name val="Aptos Narrow"/>
      <family val="2"/>
      <scheme val="minor"/>
    </font>
    <font>
      <i/>
      <sz val="9"/>
      <color rgb="FFC00000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rgb="FFC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sz val="8"/>
      <name val="Aptos Narrow"/>
      <family val="2"/>
      <scheme val="minor"/>
    </font>
    <font>
      <b/>
      <i/>
      <sz val="8"/>
      <color theme="1" tint="0.249977111117893"/>
      <name val="Aptos Narrow"/>
      <family val="2"/>
      <scheme val="minor"/>
    </font>
    <font>
      <sz val="10"/>
      <color rgb="FFC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17" fontId="0" fillId="0" borderId="0" xfId="0" applyNumberFormat="1" applyAlignment="1">
      <alignment horizontal="left"/>
    </xf>
    <xf numFmtId="17" fontId="6" fillId="0" borderId="0" xfId="0" applyNumberFormat="1" applyFont="1" applyAlignment="1">
      <alignment horizontal="left"/>
    </xf>
    <xf numFmtId="0" fontId="6" fillId="0" borderId="0" xfId="0" applyFont="1"/>
    <xf numFmtId="17" fontId="8" fillId="0" borderId="0" xfId="0" quotePrefix="1" applyNumberFormat="1" applyFont="1" applyAlignment="1">
      <alignment horizontal="right" vertical="top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9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1" fillId="0" borderId="0" xfId="0" applyFont="1"/>
    <xf numFmtId="0" fontId="6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14" fillId="0" borderId="0" xfId="0" applyFont="1"/>
    <xf numFmtId="3" fontId="0" fillId="0" borderId="0" xfId="0" applyNumberFormat="1" applyAlignment="1">
      <alignment horizontal="center"/>
    </xf>
    <xf numFmtId="14" fontId="15" fillId="6" borderId="2" xfId="0" applyNumberFormat="1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14" fontId="6" fillId="7" borderId="0" xfId="0" applyNumberFormat="1" applyFont="1" applyFill="1"/>
    <xf numFmtId="0" fontId="6" fillId="7" borderId="0" xfId="0" applyFont="1" applyFill="1"/>
    <xf numFmtId="0" fontId="6" fillId="7" borderId="0" xfId="0" applyFont="1" applyFill="1" applyAlignment="1">
      <alignment horizontal="center"/>
    </xf>
    <xf numFmtId="14" fontId="16" fillId="7" borderId="0" xfId="0" applyNumberFormat="1" applyFont="1" applyFill="1" applyAlignment="1">
      <alignment horizontal="center"/>
    </xf>
    <xf numFmtId="1" fontId="16" fillId="7" borderId="0" xfId="0" applyNumberFormat="1" applyFont="1" applyFill="1" applyAlignment="1">
      <alignment horizontal="center"/>
    </xf>
    <xf numFmtId="3" fontId="0" fillId="0" borderId="0" xfId="0" applyNumberFormat="1" applyAlignment="1">
      <alignment horizontal="left"/>
    </xf>
    <xf numFmtId="0" fontId="2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10" fontId="17" fillId="0" borderId="0" xfId="1" applyNumberFormat="1" applyFont="1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0" fillId="0" borderId="0" xfId="0" quotePrefix="1"/>
    <xf numFmtId="0" fontId="18" fillId="0" borderId="0" xfId="0" applyFont="1"/>
    <xf numFmtId="0" fontId="19" fillId="0" borderId="0" xfId="0" applyFont="1" applyAlignment="1">
      <alignment horizontal="left" vertical="top"/>
    </xf>
    <xf numFmtId="0" fontId="20" fillId="0" borderId="0" xfId="0" applyFont="1" applyAlignment="1">
      <alignment horizontal="left" vertical="top"/>
    </xf>
    <xf numFmtId="17" fontId="0" fillId="0" borderId="0" xfId="0" applyNumberFormat="1" applyAlignment="1">
      <alignment horizont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5" fillId="3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23" fillId="6" borderId="8" xfId="0" applyFont="1" applyFill="1" applyBorder="1" applyAlignment="1">
      <alignment horizontal="center"/>
    </xf>
    <xf numFmtId="0" fontId="24" fillId="0" borderId="0" xfId="0" applyFont="1" applyAlignment="1">
      <alignment vertical="top"/>
    </xf>
    <xf numFmtId="0" fontId="3" fillId="6" borderId="9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25" fillId="7" borderId="10" xfId="0" applyFont="1" applyFill="1" applyBorder="1"/>
    <xf numFmtId="17" fontId="5" fillId="8" borderId="12" xfId="0" applyNumberFormat="1" applyFont="1" applyFill="1" applyBorder="1" applyAlignment="1">
      <alignment horizontal="center"/>
    </xf>
    <xf numFmtId="17" fontId="5" fillId="3" borderId="11" xfId="0" applyNumberFormat="1" applyFont="1" applyFill="1" applyBorder="1" applyAlignment="1">
      <alignment horizontal="center"/>
    </xf>
    <xf numFmtId="2" fontId="5" fillId="8" borderId="13" xfId="0" applyNumberFormat="1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18" fillId="7" borderId="13" xfId="0" applyFont="1" applyFill="1" applyBorder="1"/>
    <xf numFmtId="0" fontId="25" fillId="2" borderId="11" xfId="0" applyFont="1" applyFill="1" applyBorder="1"/>
    <xf numFmtId="10" fontId="18" fillId="2" borderId="14" xfId="1" applyNumberFormat="1" applyFont="1" applyFill="1" applyBorder="1"/>
    <xf numFmtId="164" fontId="12" fillId="0" borderId="0" xfId="0" applyNumberFormat="1" applyFont="1"/>
    <xf numFmtId="4" fontId="0" fillId="0" borderId="0" xfId="0" applyNumberFormat="1"/>
    <xf numFmtId="0" fontId="18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4" fontId="26" fillId="7" borderId="0" xfId="0" applyNumberFormat="1" applyFont="1" applyFill="1" applyAlignment="1">
      <alignment horizontal="center"/>
    </xf>
    <xf numFmtId="167" fontId="26" fillId="7" borderId="0" xfId="0" applyNumberFormat="1" applyFont="1" applyFill="1" applyAlignment="1">
      <alignment horizontal="center"/>
    </xf>
    <xf numFmtId="0" fontId="0" fillId="0" borderId="0" xfId="0" quotePrefix="1" applyAlignment="1">
      <alignment horizontal="center"/>
    </xf>
    <xf numFmtId="165" fontId="17" fillId="0" borderId="0" xfId="0" applyNumberFormat="1" applyFont="1" applyAlignment="1">
      <alignment horizontal="center"/>
    </xf>
    <xf numFmtId="44" fontId="0" fillId="0" borderId="0" xfId="2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" fontId="0" fillId="0" borderId="1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4" fontId="0" fillId="0" borderId="24" xfId="0" applyNumberFormat="1" applyBorder="1" applyAlignment="1">
      <alignment horizontal="center"/>
    </xf>
    <xf numFmtId="170" fontId="0" fillId="0" borderId="20" xfId="0" applyNumberFormat="1" applyBorder="1"/>
    <xf numFmtId="170" fontId="0" fillId="0" borderId="22" xfId="0" applyNumberFormat="1" applyBorder="1"/>
    <xf numFmtId="170" fontId="0" fillId="0" borderId="25" xfId="0" applyNumberFormat="1" applyBorder="1"/>
    <xf numFmtId="170" fontId="0" fillId="0" borderId="1" xfId="0" applyNumberFormat="1" applyBorder="1" applyAlignment="1">
      <alignment horizontal="center"/>
    </xf>
    <xf numFmtId="170" fontId="2" fillId="0" borderId="17" xfId="0" applyNumberFormat="1" applyFont="1" applyBorder="1"/>
    <xf numFmtId="0" fontId="18" fillId="2" borderId="1" xfId="0" applyFont="1" applyFill="1" applyBorder="1" applyAlignment="1">
      <alignment horizontal="center"/>
    </xf>
    <xf numFmtId="0" fontId="18" fillId="2" borderId="26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/>
    </xf>
    <xf numFmtId="0" fontId="18" fillId="2" borderId="16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6" fillId="0" borderId="0" xfId="0" quotePrefix="1" applyFont="1"/>
    <xf numFmtId="166" fontId="17" fillId="0" borderId="0" xfId="0" applyNumberFormat="1" applyFont="1" applyAlignment="1">
      <alignment horizontal="center"/>
    </xf>
    <xf numFmtId="0" fontId="17" fillId="0" borderId="0" xfId="0" applyFont="1"/>
    <xf numFmtId="0" fontId="2" fillId="2" borderId="10" xfId="0" applyFont="1" applyFill="1" applyBorder="1"/>
    <xf numFmtId="0" fontId="0" fillId="2" borderId="27" xfId="0" applyFill="1" applyBorder="1"/>
    <xf numFmtId="0" fontId="0" fillId="2" borderId="28" xfId="0" applyFill="1" applyBorder="1"/>
    <xf numFmtId="0" fontId="0" fillId="0" borderId="12" xfId="0" applyBorder="1"/>
    <xf numFmtId="0" fontId="0" fillId="0" borderId="29" xfId="0" applyBorder="1"/>
    <xf numFmtId="0" fontId="18" fillId="0" borderId="12" xfId="0" applyFont="1" applyBorder="1"/>
    <xf numFmtId="0" fontId="17" fillId="0" borderId="11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165" fontId="17" fillId="0" borderId="30" xfId="0" applyNumberFormat="1" applyFont="1" applyBorder="1" applyAlignment="1">
      <alignment horizontal="center"/>
    </xf>
    <xf numFmtId="0" fontId="0" fillId="0" borderId="31" xfId="0" applyBorder="1"/>
    <xf numFmtId="0" fontId="2" fillId="0" borderId="12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right" vertical="center" wrapText="1"/>
    </xf>
    <xf numFmtId="16" fontId="0" fillId="0" borderId="0" xfId="0" applyNumberFormat="1"/>
    <xf numFmtId="0" fontId="28" fillId="0" borderId="0" xfId="0" applyFont="1" applyAlignment="1">
      <alignment horizontal="center"/>
    </xf>
    <xf numFmtId="0" fontId="0" fillId="0" borderId="21" xfId="0" applyBorder="1" applyAlignment="1">
      <alignment horizontal="center" vertical="center" wrapText="1"/>
    </xf>
    <xf numFmtId="4" fontId="0" fillId="0" borderId="22" xfId="0" applyNumberFormat="1" applyBorder="1" applyAlignment="1">
      <alignment horizontal="right" vertical="center" wrapText="1"/>
    </xf>
    <xf numFmtId="0" fontId="0" fillId="0" borderId="23" xfId="0" applyBorder="1" applyAlignment="1">
      <alignment horizontal="center" vertical="center" wrapText="1"/>
    </xf>
    <xf numFmtId="4" fontId="0" fillId="0" borderId="25" xfId="0" applyNumberFormat="1" applyBorder="1" applyAlignment="1">
      <alignment horizontal="right" vertical="center" wrapText="1"/>
    </xf>
    <xf numFmtId="4" fontId="0" fillId="0" borderId="22" xfId="0" applyNumberFormat="1" applyBorder="1"/>
    <xf numFmtId="0" fontId="18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4" fontId="0" fillId="0" borderId="32" xfId="0" applyNumberFormat="1" applyBorder="1" applyAlignment="1">
      <alignment horizontal="center" vertical="center" wrapText="1"/>
    </xf>
    <xf numFmtId="4" fontId="0" fillId="0" borderId="33" xfId="0" applyNumberFormat="1" applyBorder="1" applyAlignment="1">
      <alignment horizontal="center" vertical="center" wrapText="1"/>
    </xf>
    <xf numFmtId="170" fontId="0" fillId="0" borderId="26" xfId="0" applyNumberFormat="1" applyBorder="1" applyAlignment="1">
      <alignment horizontal="center" vertical="center" wrapText="1"/>
    </xf>
    <xf numFmtId="170" fontId="0" fillId="0" borderId="33" xfId="0" applyNumberFormat="1" applyBorder="1" applyAlignment="1">
      <alignment horizontal="center" vertical="center" wrapText="1"/>
    </xf>
    <xf numFmtId="170" fontId="0" fillId="0" borderId="0" xfId="0" applyNumberFormat="1"/>
    <xf numFmtId="3" fontId="0" fillId="0" borderId="21" xfId="0" applyNumberFormat="1" applyBorder="1" applyAlignment="1">
      <alignment horizontal="center" vertical="center" wrapText="1"/>
    </xf>
    <xf numFmtId="3" fontId="0" fillId="0" borderId="23" xfId="0" applyNumberFormat="1" applyBorder="1" applyAlignment="1">
      <alignment horizontal="center" vertical="center" wrapText="1"/>
    </xf>
    <xf numFmtId="0" fontId="18" fillId="0" borderId="26" xfId="0" applyFont="1" applyBorder="1" applyAlignment="1">
      <alignment horizontal="center"/>
    </xf>
    <xf numFmtId="0" fontId="0" fillId="7" borderId="0" xfId="0" applyFill="1"/>
    <xf numFmtId="0" fontId="18" fillId="7" borderId="0" xfId="0" applyFont="1" applyFill="1" applyAlignment="1">
      <alignment horizontal="left"/>
    </xf>
    <xf numFmtId="171" fontId="12" fillId="0" borderId="0" xfId="0" applyNumberFormat="1" applyFont="1"/>
    <xf numFmtId="170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0" fontId="0" fillId="0" borderId="0" xfId="0" applyFill="1"/>
    <xf numFmtId="0" fontId="17" fillId="0" borderId="0" xfId="0" applyFont="1" applyFill="1" applyAlignment="1">
      <alignment horizontal="center"/>
    </xf>
    <xf numFmtId="0" fontId="17" fillId="0" borderId="0" xfId="0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</a:t>
            </a:r>
            <a:r>
              <a:rPr lang="en-US" baseline="0"/>
              <a:t> DI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'DI1'!$S$5</c:f>
              <c:strCache>
                <c:ptCount val="1"/>
                <c:pt idx="0">
                  <c:v>Taxa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'DI1'!$R$6:$R$43</c:f>
              <c:numCache>
                <c:formatCode>General</c:formatCode>
                <c:ptCount val="38"/>
                <c:pt idx="0">
                  <c:v>14</c:v>
                </c:pt>
                <c:pt idx="1">
                  <c:v>37</c:v>
                </c:pt>
                <c:pt idx="2">
                  <c:v>56</c:v>
                </c:pt>
                <c:pt idx="3">
                  <c:v>77</c:v>
                </c:pt>
                <c:pt idx="4">
                  <c:v>99</c:v>
                </c:pt>
                <c:pt idx="5">
                  <c:v>119</c:v>
                </c:pt>
                <c:pt idx="6">
                  <c:v>138</c:v>
                </c:pt>
                <c:pt idx="7">
                  <c:v>158</c:v>
                </c:pt>
                <c:pt idx="8">
                  <c:v>179</c:v>
                </c:pt>
                <c:pt idx="9">
                  <c:v>199</c:v>
                </c:pt>
                <c:pt idx="10">
                  <c:v>222</c:v>
                </c:pt>
                <c:pt idx="11">
                  <c:v>243</c:v>
                </c:pt>
                <c:pt idx="12">
                  <c:v>265</c:v>
                </c:pt>
                <c:pt idx="13">
                  <c:v>329</c:v>
                </c:pt>
                <c:pt idx="14">
                  <c:v>390</c:v>
                </c:pt>
                <c:pt idx="15">
                  <c:v>451</c:v>
                </c:pt>
                <c:pt idx="16">
                  <c:v>516</c:v>
                </c:pt>
                <c:pt idx="17">
                  <c:v>578</c:v>
                </c:pt>
                <c:pt idx="18">
                  <c:v>638</c:v>
                </c:pt>
                <c:pt idx="19">
                  <c:v>701</c:v>
                </c:pt>
                <c:pt idx="20">
                  <c:v>766</c:v>
                </c:pt>
                <c:pt idx="21">
                  <c:v>829</c:v>
                </c:pt>
                <c:pt idx="22">
                  <c:v>892</c:v>
                </c:pt>
                <c:pt idx="23">
                  <c:v>953</c:v>
                </c:pt>
                <c:pt idx="24">
                  <c:v>1017</c:v>
                </c:pt>
                <c:pt idx="25">
                  <c:v>1077</c:v>
                </c:pt>
                <c:pt idx="26">
                  <c:v>1138</c:v>
                </c:pt>
                <c:pt idx="27">
                  <c:v>1201</c:v>
                </c:pt>
                <c:pt idx="28">
                  <c:v>1326</c:v>
                </c:pt>
                <c:pt idx="29">
                  <c:v>1578</c:v>
                </c:pt>
                <c:pt idx="30">
                  <c:v>1830</c:v>
                </c:pt>
                <c:pt idx="31">
                  <c:v>2082</c:v>
                </c:pt>
                <c:pt idx="32">
                  <c:v>2333</c:v>
                </c:pt>
                <c:pt idx="33">
                  <c:v>2581</c:v>
                </c:pt>
                <c:pt idx="34">
                  <c:v>2830</c:v>
                </c:pt>
                <c:pt idx="35">
                  <c:v>3083</c:v>
                </c:pt>
                <c:pt idx="36">
                  <c:v>3332</c:v>
                </c:pt>
                <c:pt idx="37">
                  <c:v>3583</c:v>
                </c:pt>
              </c:numCache>
            </c:numRef>
          </c:xVal>
          <c:yVal>
            <c:numRef>
              <c:f>'DI1'!$S$6:$S$43</c:f>
              <c:numCache>
                <c:formatCode>0.00%</c:formatCode>
                <c:ptCount val="38"/>
                <c:pt idx="0">
                  <c:v>0.10554001518599332</c:v>
                </c:pt>
                <c:pt idx="1">
                  <c:v>0.10628007110543303</c:v>
                </c:pt>
                <c:pt idx="2">
                  <c:v>0.10755982170924305</c:v>
                </c:pt>
                <c:pt idx="3">
                  <c:v>0.10924002044750258</c:v>
                </c:pt>
                <c:pt idx="4">
                  <c:v>0.1107200464870346</c:v>
                </c:pt>
                <c:pt idx="5">
                  <c:v>0.11224992717612881</c:v>
                </c:pt>
                <c:pt idx="6">
                  <c:v>0.11325998136281146</c:v>
                </c:pt>
                <c:pt idx="7">
                  <c:v>0.1141400479083694</c:v>
                </c:pt>
                <c:pt idx="8">
                  <c:v>0.11474993521577503</c:v>
                </c:pt>
                <c:pt idx="9">
                  <c:v>0.11552006373790391</c:v>
                </c:pt>
                <c:pt idx="10">
                  <c:v>0.11605005914089794</c:v>
                </c:pt>
                <c:pt idx="11">
                  <c:v>0.11651998690873788</c:v>
                </c:pt>
                <c:pt idx="12">
                  <c:v>0.1170699632442993</c:v>
                </c:pt>
                <c:pt idx="13">
                  <c:v>0.1177699952722191</c:v>
                </c:pt>
                <c:pt idx="14">
                  <c:v>0.11817999471000018</c:v>
                </c:pt>
                <c:pt idx="15">
                  <c:v>0.11794000925912718</c:v>
                </c:pt>
                <c:pt idx="16">
                  <c:v>0.11769999467387438</c:v>
                </c:pt>
                <c:pt idx="17">
                  <c:v>0.11724997314956731</c:v>
                </c:pt>
                <c:pt idx="18">
                  <c:v>0.11736998125260945</c:v>
                </c:pt>
                <c:pt idx="19">
                  <c:v>0.11745002424502182</c:v>
                </c:pt>
                <c:pt idx="20">
                  <c:v>0.11763002432254943</c:v>
                </c:pt>
                <c:pt idx="21">
                  <c:v>0.11753001976759725</c:v>
                </c:pt>
                <c:pt idx="22">
                  <c:v>0.11771001164462147</c:v>
                </c:pt>
                <c:pt idx="23">
                  <c:v>0.11787000449121487</c:v>
                </c:pt>
                <c:pt idx="24">
                  <c:v>0.11800998393733853</c:v>
                </c:pt>
                <c:pt idx="25">
                  <c:v>0.11786000960395748</c:v>
                </c:pt>
                <c:pt idx="26">
                  <c:v>0.11787999735551025</c:v>
                </c:pt>
                <c:pt idx="27">
                  <c:v>0.11787998016495238</c:v>
                </c:pt>
                <c:pt idx="28">
                  <c:v>0.11798998664573279</c:v>
                </c:pt>
                <c:pt idx="29">
                  <c:v>0.11763001286088248</c:v>
                </c:pt>
                <c:pt idx="30">
                  <c:v>0.11739999233638465</c:v>
                </c:pt>
                <c:pt idx="31">
                  <c:v>0.11734999287475145</c:v>
                </c:pt>
                <c:pt idx="32">
                  <c:v>0.11697000179974371</c:v>
                </c:pt>
                <c:pt idx="33">
                  <c:v>0.1170199948627042</c:v>
                </c:pt>
                <c:pt idx="34">
                  <c:v>0.11682000506519752</c:v>
                </c:pt>
                <c:pt idx="35">
                  <c:v>0.11682000455587227</c:v>
                </c:pt>
                <c:pt idx="36">
                  <c:v>0.11681999047617908</c:v>
                </c:pt>
                <c:pt idx="37">
                  <c:v>0.11681998896892032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D2-4DD9-A226-609D20BB6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973280"/>
        <c:axId val="1555978560"/>
      </c:scatterChart>
      <c:valAx>
        <c:axId val="155597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5978560"/>
        <c:crosses val="autoZero"/>
        <c:crossBetween val="midCat"/>
      </c:valAx>
      <c:valAx>
        <c:axId val="15559785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597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Cupom</a:t>
            </a:r>
            <a:r>
              <a:rPr lang="en-US" baseline="0"/>
              <a:t> Sujo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DDI!$T$5</c:f>
              <c:strCache>
                <c:ptCount val="1"/>
                <c:pt idx="0">
                  <c:v>Taxa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DDI!$S$6:$S$44</c:f>
              <c:numCache>
                <c:formatCode>General</c:formatCode>
                <c:ptCount val="39"/>
                <c:pt idx="0">
                  <c:v>1</c:v>
                </c:pt>
                <c:pt idx="1">
                  <c:v>20</c:v>
                </c:pt>
                <c:pt idx="2">
                  <c:v>51</c:v>
                </c:pt>
                <c:pt idx="3">
                  <c:v>82</c:v>
                </c:pt>
                <c:pt idx="4">
                  <c:v>113</c:v>
                </c:pt>
                <c:pt idx="5">
                  <c:v>145</c:v>
                </c:pt>
                <c:pt idx="6">
                  <c:v>175</c:v>
                </c:pt>
                <c:pt idx="7">
                  <c:v>202</c:v>
                </c:pt>
                <c:pt idx="8">
                  <c:v>233</c:v>
                </c:pt>
                <c:pt idx="9">
                  <c:v>264</c:v>
                </c:pt>
                <c:pt idx="10">
                  <c:v>293</c:v>
                </c:pt>
                <c:pt idx="11">
                  <c:v>324</c:v>
                </c:pt>
                <c:pt idx="12">
                  <c:v>355</c:v>
                </c:pt>
                <c:pt idx="13">
                  <c:v>385</c:v>
                </c:pt>
                <c:pt idx="14">
                  <c:v>478</c:v>
                </c:pt>
                <c:pt idx="15">
                  <c:v>567</c:v>
                </c:pt>
                <c:pt idx="16">
                  <c:v>658</c:v>
                </c:pt>
                <c:pt idx="17">
                  <c:v>750</c:v>
                </c:pt>
                <c:pt idx="18">
                  <c:v>845</c:v>
                </c:pt>
                <c:pt idx="19">
                  <c:v>932</c:v>
                </c:pt>
                <c:pt idx="20">
                  <c:v>1023</c:v>
                </c:pt>
                <c:pt idx="21">
                  <c:v>1115</c:v>
                </c:pt>
                <c:pt idx="22">
                  <c:v>1209</c:v>
                </c:pt>
                <c:pt idx="23">
                  <c:v>1300</c:v>
                </c:pt>
                <c:pt idx="24">
                  <c:v>1391</c:v>
                </c:pt>
                <c:pt idx="25">
                  <c:v>1482</c:v>
                </c:pt>
                <c:pt idx="26">
                  <c:v>1574</c:v>
                </c:pt>
                <c:pt idx="27">
                  <c:v>1664</c:v>
                </c:pt>
                <c:pt idx="28">
                  <c:v>1755</c:v>
                </c:pt>
                <c:pt idx="29">
                  <c:v>1939</c:v>
                </c:pt>
                <c:pt idx="30">
                  <c:v>2304</c:v>
                </c:pt>
                <c:pt idx="31">
                  <c:v>2669</c:v>
                </c:pt>
                <c:pt idx="32">
                  <c:v>3036</c:v>
                </c:pt>
                <c:pt idx="33">
                  <c:v>3400</c:v>
                </c:pt>
                <c:pt idx="34">
                  <c:v>3765</c:v>
                </c:pt>
                <c:pt idx="35">
                  <c:v>4130</c:v>
                </c:pt>
                <c:pt idx="36">
                  <c:v>4496</c:v>
                </c:pt>
                <c:pt idx="37">
                  <c:v>4863</c:v>
                </c:pt>
                <c:pt idx="38">
                  <c:v>5227</c:v>
                </c:pt>
              </c:numCache>
            </c:numRef>
          </c:xVal>
          <c:yVal>
            <c:numRef>
              <c:f>DDI!$T$6:$T$44</c:f>
              <c:numCache>
                <c:formatCode>0.000</c:formatCode>
                <c:ptCount val="39"/>
                <c:pt idx="0" formatCode="#,##0.000">
                  <c:v>-70.610733628896583</c:v>
                </c:pt>
                <c:pt idx="1">
                  <c:v>-0.30702762108782977</c:v>
                </c:pt>
                <c:pt idx="2" formatCode="#,##0.000">
                  <c:v>3.915029421900114</c:v>
                </c:pt>
                <c:pt idx="3" formatCode="#,##0.000">
                  <c:v>4.5739872299708866</c:v>
                </c:pt>
                <c:pt idx="4" formatCode="#,##0.000">
                  <c:v>5.072014512882741</c:v>
                </c:pt>
                <c:pt idx="5" formatCode="#,##0.000">
                  <c:v>5.2499879495993991</c:v>
                </c:pt>
                <c:pt idx="6" formatCode="#,##0.000">
                  <c:v>5.3050038374004362</c:v>
                </c:pt>
                <c:pt idx="7" formatCode="#,##0.000">
                  <c:v>5.3119952595472091</c:v>
                </c:pt>
                <c:pt idx="8" formatCode="#,##0.000">
                  <c:v>5.3389973793651651</c:v>
                </c:pt>
                <c:pt idx="9" formatCode="#,##0.000">
                  <c:v>5.2809933889163201</c:v>
                </c:pt>
                <c:pt idx="10" formatCode="#,##0.000">
                  <c:v>5.2419980871911909</c:v>
                </c:pt>
                <c:pt idx="11" formatCode="#,##0.000">
                  <c:v>5.2439967192979209</c:v>
                </c:pt>
                <c:pt idx="12" formatCode="#,##0.000">
                  <c:v>5.1250049512163232</c:v>
                </c:pt>
                <c:pt idx="13" formatCode="#,##0.000">
                  <c:v>5.1220047605537733</c:v>
                </c:pt>
                <c:pt idx="14" formatCode="#,##0.000">
                  <c:v>5.0449981431736228</c:v>
                </c:pt>
                <c:pt idx="15" formatCode="#,##0.000">
                  <c:v>4.9280031973518232</c:v>
                </c:pt>
                <c:pt idx="16" formatCode="#,##0.000">
                  <c:v>4.8770000112059071</c:v>
                </c:pt>
                <c:pt idx="17" formatCode="#,##0.000">
                  <c:v>4.8189995223181761</c:v>
                </c:pt>
                <c:pt idx="18" formatCode="#,##0.000">
                  <c:v>4.7949983345137515</c:v>
                </c:pt>
                <c:pt idx="19" formatCode="#,##0.000">
                  <c:v>4.7579986459316732</c:v>
                </c:pt>
                <c:pt idx="20" formatCode="#,##0.000">
                  <c:v>4.7389983433076619</c:v>
                </c:pt>
                <c:pt idx="21" formatCode="#,##0.000">
                  <c:v>4.7169991050979654</c:v>
                </c:pt>
                <c:pt idx="22" formatCode="#,##0.000">
                  <c:v>4.7050004725986598</c:v>
                </c:pt>
                <c:pt idx="23" formatCode="#,##0.000">
                  <c:v>4.680998833050209</c:v>
                </c:pt>
                <c:pt idx="24" formatCode="#,##0.000">
                  <c:v>4.6960004123120136</c:v>
                </c:pt>
                <c:pt idx="25" formatCode="#,##0.000">
                  <c:v>4.7199994659176774</c:v>
                </c:pt>
                <c:pt idx="26" formatCode="#,##0.000">
                  <c:v>4.7440013518248945</c:v>
                </c:pt>
                <c:pt idx="27" formatCode="#,##0.000">
                  <c:v>4.7669989128730519</c:v>
                </c:pt>
                <c:pt idx="28" formatCode="#,##0.000">
                  <c:v>4.7810000155398926</c:v>
                </c:pt>
                <c:pt idx="29" formatCode="#,##0.000">
                  <c:v>4.8550000083399238</c:v>
                </c:pt>
                <c:pt idx="30" formatCode="#,##0.000">
                  <c:v>4.9729998122780668</c:v>
                </c:pt>
                <c:pt idx="31" formatCode="#,##0.000">
                  <c:v>5.1079998619281888</c:v>
                </c:pt>
                <c:pt idx="32" formatCode="#,##0.000">
                  <c:v>5.2620008817711224</c:v>
                </c:pt>
                <c:pt idx="33" formatCode="#,##0.000">
                  <c:v>5.4550000128791529</c:v>
                </c:pt>
                <c:pt idx="34" formatCode="#,##0.000">
                  <c:v>5.6570011460831573</c:v>
                </c:pt>
                <c:pt idx="35" formatCode="#,##0.000">
                  <c:v>5.8489991400779306</c:v>
                </c:pt>
                <c:pt idx="36" formatCode="#,##0.000">
                  <c:v>6.0699992020089253</c:v>
                </c:pt>
                <c:pt idx="37" formatCode="#,##0.000">
                  <c:v>6.2820002559981587</c:v>
                </c:pt>
                <c:pt idx="38" formatCode="#,##0.000">
                  <c:v>6.4830001770616468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66-47DB-8603-FD516A379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1408"/>
        <c:axId val="1516985248"/>
      </c:scatterChart>
      <c:valAx>
        <c:axId val="151698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6985248"/>
        <c:crosses val="autoZero"/>
        <c:crossBetween val="midCat"/>
      </c:valAx>
      <c:valAx>
        <c:axId val="1516985248"/>
        <c:scaling>
          <c:orientation val="minMax"/>
        </c:scaling>
        <c:delete val="0"/>
        <c:axPos val="l"/>
        <c:numFmt formatCode="#,##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698140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766404199475061E-2"/>
          <c:y val="0.17216483918128658"/>
          <c:w val="0.88003915135608046"/>
          <c:h val="0.72909612573099414"/>
        </c:manualLayout>
      </c:layout>
      <c:scatterChart>
        <c:scatterStyle val="lineMarker"/>
        <c:varyColors val="0"/>
        <c:ser>
          <c:idx val="0"/>
          <c:order val="0"/>
          <c:tx>
            <c:strRef>
              <c:f>DOL!$Q$5</c:f>
              <c:strCache>
                <c:ptCount val="1"/>
                <c:pt idx="0">
                  <c:v>USD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DOL!$P$6:$P$30</c:f>
              <c:numCache>
                <c:formatCode>General</c:formatCode>
                <c:ptCount val="25"/>
                <c:pt idx="0">
                  <c:v>20</c:v>
                </c:pt>
                <c:pt idx="1">
                  <c:v>51</c:v>
                </c:pt>
                <c:pt idx="2">
                  <c:v>82</c:v>
                </c:pt>
                <c:pt idx="3">
                  <c:v>113</c:v>
                </c:pt>
                <c:pt idx="4">
                  <c:v>145</c:v>
                </c:pt>
                <c:pt idx="5">
                  <c:v>175</c:v>
                </c:pt>
                <c:pt idx="6">
                  <c:v>202</c:v>
                </c:pt>
                <c:pt idx="7">
                  <c:v>233</c:v>
                </c:pt>
                <c:pt idx="8">
                  <c:v>264</c:v>
                </c:pt>
                <c:pt idx="9">
                  <c:v>293</c:v>
                </c:pt>
                <c:pt idx="10">
                  <c:v>324</c:v>
                </c:pt>
                <c:pt idx="11">
                  <c:v>355</c:v>
                </c:pt>
                <c:pt idx="12">
                  <c:v>385</c:v>
                </c:pt>
                <c:pt idx="13">
                  <c:v>478</c:v>
                </c:pt>
                <c:pt idx="14">
                  <c:v>567</c:v>
                </c:pt>
                <c:pt idx="15">
                  <c:v>658</c:v>
                </c:pt>
                <c:pt idx="16">
                  <c:v>750</c:v>
                </c:pt>
                <c:pt idx="17">
                  <c:v>845</c:v>
                </c:pt>
                <c:pt idx="18">
                  <c:v>932</c:v>
                </c:pt>
                <c:pt idx="19">
                  <c:v>1023</c:v>
                </c:pt>
                <c:pt idx="20">
                  <c:v>1209</c:v>
                </c:pt>
                <c:pt idx="21">
                  <c:v>1391</c:v>
                </c:pt>
                <c:pt idx="22">
                  <c:v>1574</c:v>
                </c:pt>
                <c:pt idx="23">
                  <c:v>1755</c:v>
                </c:pt>
                <c:pt idx="24">
                  <c:v>1939</c:v>
                </c:pt>
              </c:numCache>
            </c:numRef>
          </c:xVal>
          <c:yVal>
            <c:numRef>
              <c:f>DOL!$Q$6:$Q$30</c:f>
              <c:numCache>
                <c:formatCode>General</c:formatCode>
                <c:ptCount val="25"/>
                <c:pt idx="0">
                  <c:v>5.6578080000000002</c:v>
                </c:pt>
                <c:pt idx="1">
                  <c:v>5.6779539999999997</c:v>
                </c:pt>
                <c:pt idx="2">
                  <c:v>5.695233</c:v>
                </c:pt>
                <c:pt idx="3">
                  <c:v>5.7154639999999999</c:v>
                </c:pt>
                <c:pt idx="4">
                  <c:v>5.7409229999999996</c:v>
                </c:pt>
                <c:pt idx="5">
                  <c:v>5.7665159999999993</c:v>
                </c:pt>
                <c:pt idx="6">
                  <c:v>5.7931540000000004</c:v>
                </c:pt>
                <c:pt idx="7">
                  <c:v>5.8187569999999997</c:v>
                </c:pt>
                <c:pt idx="8">
                  <c:v>5.8500940000000003</c:v>
                </c:pt>
                <c:pt idx="9">
                  <c:v>5.8816750000000004</c:v>
                </c:pt>
                <c:pt idx="10">
                  <c:v>5.917421</c:v>
                </c:pt>
                <c:pt idx="11">
                  <c:v>5.9552299999999994</c:v>
                </c:pt>
                <c:pt idx="12">
                  <c:v>5.9917479999999994</c:v>
                </c:pt>
                <c:pt idx="13">
                  <c:v>6.0970719999999998</c:v>
                </c:pt>
                <c:pt idx="14">
                  <c:v>6.2053609999999999</c:v>
                </c:pt>
                <c:pt idx="15">
                  <c:v>6.3055529999999997</c:v>
                </c:pt>
                <c:pt idx="16">
                  <c:v>6.4203130000000002</c:v>
                </c:pt>
                <c:pt idx="17">
                  <c:v>6.5203999999999995</c:v>
                </c:pt>
                <c:pt idx="18">
                  <c:v>6.6332579999999997</c:v>
                </c:pt>
                <c:pt idx="19">
                  <c:v>6.7521719999999998</c:v>
                </c:pt>
                <c:pt idx="20">
                  <c:v>7.0016220000000002</c:v>
                </c:pt>
                <c:pt idx="21">
                  <c:v>7.2567529999999998</c:v>
                </c:pt>
                <c:pt idx="22">
                  <c:v>7.5005699999999997</c:v>
                </c:pt>
                <c:pt idx="23">
                  <c:v>7.7590699999999995</c:v>
                </c:pt>
                <c:pt idx="24">
                  <c:v>8.0194270000000003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D-4E05-831E-05B61B931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485519"/>
        <c:axId val="2026482159"/>
      </c:scatterChart>
      <c:valAx>
        <c:axId val="2026485519"/>
        <c:scaling>
          <c:orientation val="minMax"/>
          <c:max val="2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482159"/>
        <c:crosses val="autoZero"/>
        <c:crossBetween val="midCat"/>
      </c:valAx>
      <c:valAx>
        <c:axId val="2026482159"/>
        <c:scaling>
          <c:orientation val="minMax"/>
          <c:min val="5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485519"/>
        <c:crossesAt val="0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</xdr:colOff>
      <xdr:row>28</xdr:row>
      <xdr:rowOff>99061</xdr:rowOff>
    </xdr:from>
    <xdr:to>
      <xdr:col>5</xdr:col>
      <xdr:colOff>15239</xdr:colOff>
      <xdr:row>36</xdr:row>
      <xdr:rowOff>45721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47F088CC-5E4D-BBA2-50A4-B698F249D86A}"/>
            </a:ext>
          </a:extLst>
        </xdr:cNvPr>
        <xdr:cNvGrpSpPr/>
      </xdr:nvGrpSpPr>
      <xdr:grpSpPr>
        <a:xfrm>
          <a:off x="624839" y="4975861"/>
          <a:ext cx="3413760" cy="1340031"/>
          <a:chOff x="624839" y="4975861"/>
          <a:chExt cx="3413760" cy="1340031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1CE9617-7174-2EEC-A61D-8B95512B653E}"/>
              </a:ext>
            </a:extLst>
          </xdr:cNvPr>
          <xdr:cNvCxnSpPr/>
        </xdr:nvCxnSpPr>
        <xdr:spPr>
          <a:xfrm flipV="1">
            <a:off x="624839" y="6225541"/>
            <a:ext cx="3413760" cy="7620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7603C5B5-11D9-4D8E-81F0-EAD4A668FC61}"/>
              </a:ext>
            </a:extLst>
          </xdr:cNvPr>
          <xdr:cNvCxnSpPr/>
        </xdr:nvCxnSpPr>
        <xdr:spPr>
          <a:xfrm flipV="1">
            <a:off x="693419" y="4975861"/>
            <a:ext cx="0" cy="1340031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83284BF4-3D2F-BD2B-7130-0965157815F4}"/>
              </a:ext>
            </a:extLst>
          </xdr:cNvPr>
          <xdr:cNvSpPr/>
        </xdr:nvSpPr>
        <xdr:spPr>
          <a:xfrm>
            <a:off x="2547257" y="5303521"/>
            <a:ext cx="52251" cy="52251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8809B602-8745-51DD-3EB8-244E5134691F}"/>
              </a:ext>
            </a:extLst>
          </xdr:cNvPr>
          <xdr:cNvCxnSpPr/>
        </xdr:nvCxnSpPr>
        <xdr:spPr>
          <a:xfrm>
            <a:off x="2577736" y="6156961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6BAB908B-0C31-4BFF-BC09-0000A6544E40}"/>
              </a:ext>
            </a:extLst>
          </xdr:cNvPr>
          <xdr:cNvCxnSpPr/>
        </xdr:nvCxnSpPr>
        <xdr:spPr>
          <a:xfrm rot="5400000">
            <a:off x="687976" y="5255624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138AF65D-D32A-552E-26B8-0B7BD21C9209}"/>
              </a:ext>
            </a:extLst>
          </xdr:cNvPr>
          <xdr:cNvCxnSpPr/>
        </xdr:nvCxnSpPr>
        <xdr:spPr>
          <a:xfrm>
            <a:off x="2786743" y="5281748"/>
            <a:ext cx="0" cy="269966"/>
          </a:xfrm>
          <a:prstGeom prst="straightConnector1">
            <a:avLst/>
          </a:prstGeom>
          <a:ln w="19050" cap="flat" cmpd="sng" algn="ctr">
            <a:solidFill>
              <a:schemeClr val="accent2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90351</xdr:colOff>
      <xdr:row>3</xdr:row>
      <xdr:rowOff>90350</xdr:rowOff>
    </xdr:from>
    <xdr:to>
      <xdr:col>4</xdr:col>
      <xdr:colOff>457199</xdr:colOff>
      <xdr:row>11</xdr:row>
      <xdr:rowOff>70735</xdr:rowOff>
    </xdr:to>
    <xdr:pic>
      <xdr:nvPicPr>
        <xdr:cNvPr id="20" name="Picture 19" descr="Opções, Futuros e Outros Derivativos | Bidóia">
          <a:extLst>
            <a:ext uri="{FF2B5EF4-FFF2-40B4-BE49-F238E27FC236}">
              <a16:creationId xmlns:a16="http://schemas.microsoft.com/office/drawing/2014/main" id="{B4CFC46A-B468-1E41-4401-35C84F136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4511" y="612864"/>
          <a:ext cx="976448" cy="1373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335280</xdr:colOff>
      <xdr:row>4</xdr:row>
      <xdr:rowOff>110490</xdr:rowOff>
    </xdr:from>
    <xdr:to>
      <xdr:col>29</xdr:col>
      <xdr:colOff>533400</xdr:colOff>
      <xdr:row>23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0FF424-EE60-7B83-933C-B1AB1F767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167640</xdr:colOff>
      <xdr:row>37</xdr:row>
      <xdr:rowOff>7620</xdr:rowOff>
    </xdr:from>
    <xdr:to>
      <xdr:col>28</xdr:col>
      <xdr:colOff>304800</xdr:colOff>
      <xdr:row>37</xdr:row>
      <xdr:rowOff>15240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E7581638-D9FE-AF46-78EA-B7BE06AC5A50}"/>
            </a:ext>
          </a:extLst>
        </xdr:cNvPr>
        <xdr:cNvCxnSpPr/>
      </xdr:nvCxnSpPr>
      <xdr:spPr>
        <a:xfrm flipV="1">
          <a:off x="3794760" y="6507480"/>
          <a:ext cx="440436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25</xdr:row>
      <xdr:rowOff>76200</xdr:rowOff>
    </xdr:from>
    <xdr:to>
      <xdr:col>21</xdr:col>
      <xdr:colOff>190500</xdr:colOff>
      <xdr:row>36</xdr:row>
      <xdr:rowOff>167640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FEEF9D7-62C0-BA04-B2D0-19F3DCAA86BF}"/>
            </a:ext>
          </a:extLst>
        </xdr:cNvPr>
        <xdr:cNvCxnSpPr/>
      </xdr:nvCxnSpPr>
      <xdr:spPr>
        <a:xfrm flipV="1">
          <a:off x="3817620" y="4472940"/>
          <a:ext cx="0" cy="20193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129540</xdr:colOff>
      <xdr:row>30</xdr:row>
      <xdr:rowOff>144780</xdr:rowOff>
    </xdr:from>
    <xdr:to>
      <xdr:col>24</xdr:col>
      <xdr:colOff>198120</xdr:colOff>
      <xdr:row>31</xdr:row>
      <xdr:rowOff>68580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61F6A9C8-9E3A-3019-DD80-6599B2DA2F2B}"/>
            </a:ext>
          </a:extLst>
        </xdr:cNvPr>
        <xdr:cNvSpPr/>
      </xdr:nvSpPr>
      <xdr:spPr>
        <a:xfrm>
          <a:off x="5585460" y="5417820"/>
          <a:ext cx="68580" cy="990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548640</xdr:colOff>
      <xdr:row>29</xdr:row>
      <xdr:rowOff>106680</xdr:rowOff>
    </xdr:from>
    <xdr:to>
      <xdr:col>26</xdr:col>
      <xdr:colOff>7620</xdr:colOff>
      <xdr:row>30</xdr:row>
      <xdr:rowOff>30480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493088B4-4FDF-4149-998F-F562B52D0386}"/>
            </a:ext>
          </a:extLst>
        </xdr:cNvPr>
        <xdr:cNvSpPr/>
      </xdr:nvSpPr>
      <xdr:spPr>
        <a:xfrm>
          <a:off x="6614160" y="5204460"/>
          <a:ext cx="68580" cy="990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396240</xdr:colOff>
      <xdr:row>28</xdr:row>
      <xdr:rowOff>129540</xdr:rowOff>
    </xdr:from>
    <xdr:to>
      <xdr:col>27</xdr:col>
      <xdr:colOff>464820</xdr:colOff>
      <xdr:row>29</xdr:row>
      <xdr:rowOff>53340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C5D8776D-7203-4164-BFB7-09F562B7FFAE}"/>
            </a:ext>
          </a:extLst>
        </xdr:cNvPr>
        <xdr:cNvSpPr/>
      </xdr:nvSpPr>
      <xdr:spPr>
        <a:xfrm>
          <a:off x="7680960" y="5052060"/>
          <a:ext cx="68580" cy="990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396240</xdr:colOff>
      <xdr:row>35</xdr:row>
      <xdr:rowOff>38100</xdr:rowOff>
    </xdr:from>
    <xdr:to>
      <xdr:col>22</xdr:col>
      <xdr:colOff>38100</xdr:colOff>
      <xdr:row>39</xdr:row>
      <xdr:rowOff>60960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8EC4041C-B93F-89BF-CA37-41C0305CA0A8}"/>
            </a:ext>
          </a:extLst>
        </xdr:cNvPr>
        <xdr:cNvSpPr/>
      </xdr:nvSpPr>
      <xdr:spPr>
        <a:xfrm>
          <a:off x="3413760" y="6187440"/>
          <a:ext cx="861060" cy="7239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205740</xdr:colOff>
      <xdr:row>31</xdr:row>
      <xdr:rowOff>99060</xdr:rowOff>
    </xdr:from>
    <xdr:to>
      <xdr:col>24</xdr:col>
      <xdr:colOff>30480</xdr:colOff>
      <xdr:row>36</xdr:row>
      <xdr:rowOff>152400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515AF5E-A636-C8BA-2AEA-51A275A48919}"/>
            </a:ext>
          </a:extLst>
        </xdr:cNvPr>
        <xdr:cNvCxnSpPr/>
      </xdr:nvCxnSpPr>
      <xdr:spPr>
        <a:xfrm flipV="1">
          <a:off x="3832860" y="5547360"/>
          <a:ext cx="1653540" cy="92964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160020</xdr:colOff>
      <xdr:row>30</xdr:row>
      <xdr:rowOff>30480</xdr:rowOff>
    </xdr:from>
    <xdr:to>
      <xdr:col>25</xdr:col>
      <xdr:colOff>495300</xdr:colOff>
      <xdr:row>37</xdr:row>
      <xdr:rowOff>30480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6046BE5-F78A-4249-8CD7-CEAA15103867}"/>
            </a:ext>
          </a:extLst>
        </xdr:cNvPr>
        <xdr:cNvCxnSpPr/>
      </xdr:nvCxnSpPr>
      <xdr:spPr>
        <a:xfrm flipV="1">
          <a:off x="3787140" y="5303520"/>
          <a:ext cx="2773680" cy="12268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393258</xdr:colOff>
      <xdr:row>4</xdr:row>
      <xdr:rowOff>90280</xdr:rowOff>
    </xdr:from>
    <xdr:to>
      <xdr:col>28</xdr:col>
      <xdr:colOff>400878</xdr:colOff>
      <xdr:row>20</xdr:row>
      <xdr:rowOff>32302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0E664A-BA05-82B7-CE56-95BABFA89C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31</xdr:col>
      <xdr:colOff>556591</xdr:colOff>
      <xdr:row>16</xdr:row>
      <xdr:rowOff>86396</xdr:rowOff>
    </xdr:from>
    <xdr:to>
      <xdr:col>37</xdr:col>
      <xdr:colOff>357112</xdr:colOff>
      <xdr:row>24</xdr:row>
      <xdr:rowOff>14692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08C02-80D8-04F9-93F3-4A53AB627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5026" y="2869353"/>
          <a:ext cx="3603895" cy="13065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525780</xdr:colOff>
      <xdr:row>4</xdr:row>
      <xdr:rowOff>26670</xdr:rowOff>
    </xdr:from>
    <xdr:to>
      <xdr:col>26</xdr:col>
      <xdr:colOff>220980</xdr:colOff>
      <xdr:row>19</xdr:row>
      <xdr:rowOff>133770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69317C-4213-CB84-5FCD-890748FC2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533400</xdr:colOff>
      <xdr:row>12</xdr:row>
      <xdr:rowOff>38100</xdr:rowOff>
    </xdr:from>
    <xdr:to>
      <xdr:col>31</xdr:col>
      <xdr:colOff>722926</xdr:colOff>
      <xdr:row>18</xdr:row>
      <xdr:rowOff>5857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7B3346-5D45-728C-8EFC-C43D71E8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9640" y="2141220"/>
          <a:ext cx="3524742" cy="10193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112469</xdr:colOff>
      <xdr:row>5</xdr:row>
      <xdr:rowOff>93784</xdr:rowOff>
    </xdr:from>
    <xdr:to>
      <xdr:col>6</xdr:col>
      <xdr:colOff>482991</xdr:colOff>
      <xdr:row>13</xdr:row>
      <xdr:rowOff>27046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A7A94133-A9ED-A392-9471-122982B2FEAA}"/>
            </a:ext>
          </a:extLst>
        </xdr:cNvPr>
        <xdr:cNvGrpSpPr/>
      </xdr:nvGrpSpPr>
      <xdr:grpSpPr>
        <a:xfrm>
          <a:off x="722069" y="974847"/>
          <a:ext cx="3418522" cy="1342962"/>
          <a:chOff x="722069" y="974847"/>
          <a:chExt cx="3418522" cy="1342962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E255865-D715-ECCC-B2CD-6D3CBD4837D2}"/>
              </a:ext>
            </a:extLst>
          </xdr:cNvPr>
          <xdr:cNvCxnSpPr/>
        </xdr:nvCxnSpPr>
        <xdr:spPr>
          <a:xfrm flipV="1">
            <a:off x="726831" y="2227260"/>
            <a:ext cx="3413760" cy="7637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E3D82EFC-2A88-EA15-91EC-3708281F6481}"/>
              </a:ext>
            </a:extLst>
          </xdr:cNvPr>
          <xdr:cNvCxnSpPr/>
        </xdr:nvCxnSpPr>
        <xdr:spPr>
          <a:xfrm flipV="1">
            <a:off x="795411" y="974847"/>
            <a:ext cx="0" cy="1342962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2534A2FD-5B63-EB13-FFB3-C5610F8AC2CC}"/>
              </a:ext>
            </a:extLst>
          </xdr:cNvPr>
          <xdr:cNvSpPr/>
        </xdr:nvSpPr>
        <xdr:spPr>
          <a:xfrm>
            <a:off x="2649249" y="1303224"/>
            <a:ext cx="52251" cy="52365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F9C52830-8376-13BA-FCDD-9E4C94A5DBF1}"/>
              </a:ext>
            </a:extLst>
          </xdr:cNvPr>
          <xdr:cNvCxnSpPr/>
        </xdr:nvCxnSpPr>
        <xdr:spPr>
          <a:xfrm>
            <a:off x="2679728" y="2158530"/>
            <a:ext cx="0" cy="12655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CF79851-7B86-30B9-E489-A3FC371CCA86}"/>
              </a:ext>
            </a:extLst>
          </xdr:cNvPr>
          <xdr:cNvCxnSpPr/>
        </xdr:nvCxnSpPr>
        <xdr:spPr>
          <a:xfrm rot="5400000">
            <a:off x="789968" y="1255360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502165A6-EAA7-4590-9A66-6311A7FDC6EC}"/>
              </a:ext>
            </a:extLst>
          </xdr:cNvPr>
          <xdr:cNvSpPr/>
        </xdr:nvSpPr>
        <xdr:spPr>
          <a:xfrm>
            <a:off x="3720811" y="1584215"/>
            <a:ext cx="52251" cy="52365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38678276-4718-4A8F-B503-9DC90C38A672}"/>
              </a:ext>
            </a:extLst>
          </xdr:cNvPr>
          <xdr:cNvCxnSpPr/>
        </xdr:nvCxnSpPr>
        <xdr:spPr>
          <a:xfrm>
            <a:off x="3751290" y="2158530"/>
            <a:ext cx="0" cy="12655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4AB156A0-F666-4CF8-9E3F-6F046199AED2}"/>
              </a:ext>
            </a:extLst>
          </xdr:cNvPr>
          <xdr:cNvCxnSpPr/>
        </xdr:nvCxnSpPr>
        <xdr:spPr>
          <a:xfrm rot="5400000">
            <a:off x="785206" y="1588739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909DF549-4AB3-7345-7A0D-E765B501F244}"/>
              </a:ext>
            </a:extLst>
          </xdr:cNvPr>
          <xdr:cNvCxnSpPr/>
        </xdr:nvCxnSpPr>
        <xdr:spPr>
          <a:xfrm>
            <a:off x="2671763" y="2233613"/>
            <a:ext cx="1085850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1A8A3F09-133A-A768-AADE-0AF9A3675AD3}"/>
              </a:ext>
            </a:extLst>
          </xdr:cNvPr>
          <xdr:cNvCxnSpPr/>
        </xdr:nvCxnSpPr>
        <xdr:spPr>
          <a:xfrm flipV="1">
            <a:off x="804863" y="1376363"/>
            <a:ext cx="1776412" cy="8477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588E4262-2E30-4FED-A323-6B27251CB695}"/>
              </a:ext>
            </a:extLst>
          </xdr:cNvPr>
          <xdr:cNvCxnSpPr/>
        </xdr:nvCxnSpPr>
        <xdr:spPr>
          <a:xfrm flipV="1">
            <a:off x="790575" y="1628775"/>
            <a:ext cx="2852738" cy="6096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60081</xdr:colOff>
      <xdr:row>32</xdr:row>
      <xdr:rowOff>60322</xdr:rowOff>
    </xdr:from>
    <xdr:to>
      <xdr:col>6</xdr:col>
      <xdr:colOff>425841</xdr:colOff>
      <xdr:row>32</xdr:row>
      <xdr:rowOff>67959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37896CBB-660E-D5CD-19AD-45BE20E3F504}"/>
            </a:ext>
          </a:extLst>
        </xdr:cNvPr>
        <xdr:cNvCxnSpPr/>
      </xdr:nvCxnSpPr>
      <xdr:spPr>
        <a:xfrm flipV="1">
          <a:off x="669681" y="5727697"/>
          <a:ext cx="3413760" cy="7637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128661</xdr:colOff>
      <xdr:row>25</xdr:row>
      <xdr:rowOff>41396</xdr:rowOff>
    </xdr:from>
    <xdr:to>
      <xdr:col>1</xdr:col>
      <xdr:colOff>128661</xdr:colOff>
      <xdr:row>32</xdr:row>
      <xdr:rowOff>150871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AA651B0-163E-B8C9-EBB0-07D10F183221}"/>
            </a:ext>
          </a:extLst>
        </xdr:cNvPr>
        <xdr:cNvCxnSpPr/>
      </xdr:nvCxnSpPr>
      <xdr:spPr>
        <a:xfrm flipV="1">
          <a:off x="738261" y="4475284"/>
          <a:ext cx="0" cy="1342962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153699</xdr:colOff>
      <xdr:row>27</xdr:row>
      <xdr:rowOff>17348</xdr:rowOff>
    </xdr:from>
    <xdr:to>
      <xdr:col>4</xdr:col>
      <xdr:colOff>205950</xdr:colOff>
      <xdr:row>27</xdr:row>
      <xdr:rowOff>69713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39C74260-D98A-EFE1-A6CA-AF1B5046F374}"/>
            </a:ext>
          </a:extLst>
        </xdr:cNvPr>
        <xdr:cNvSpPr/>
      </xdr:nvSpPr>
      <xdr:spPr>
        <a:xfrm>
          <a:off x="2592099" y="4803661"/>
          <a:ext cx="52251" cy="52365"/>
        </a:xfrm>
        <a:prstGeom prst="ellipse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184178</xdr:colOff>
      <xdr:row>31</xdr:row>
      <xdr:rowOff>167804</xdr:rowOff>
    </xdr:from>
    <xdr:to>
      <xdr:col>4</xdr:col>
      <xdr:colOff>184178</xdr:colOff>
      <xdr:row>32</xdr:row>
      <xdr:rowOff>118142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E9C32DB6-5F7B-27B3-6AFB-FCC3D312BF7B}"/>
            </a:ext>
          </a:extLst>
        </xdr:cNvPr>
        <xdr:cNvCxnSpPr/>
      </xdr:nvCxnSpPr>
      <xdr:spPr>
        <a:xfrm>
          <a:off x="2622578" y="5658967"/>
          <a:ext cx="0" cy="126550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60081</xdr:colOff>
      <xdr:row>27</xdr:row>
      <xdr:rowOff>32621</xdr:rowOff>
    </xdr:from>
    <xdr:to>
      <xdr:col>1</xdr:col>
      <xdr:colOff>186355</xdr:colOff>
      <xdr:row>27</xdr:row>
      <xdr:rowOff>32621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53C44831-F3EE-DF24-7239-D44288CF6401}"/>
            </a:ext>
          </a:extLst>
        </xdr:cNvPr>
        <xdr:cNvCxnSpPr/>
      </xdr:nvCxnSpPr>
      <xdr:spPr>
        <a:xfrm rot="5400000">
          <a:off x="732818" y="4755797"/>
          <a:ext cx="0" cy="126274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6061</xdr:colOff>
      <xdr:row>28</xdr:row>
      <xdr:rowOff>122127</xdr:rowOff>
    </xdr:from>
    <xdr:to>
      <xdr:col>6</xdr:col>
      <xdr:colOff>58312</xdr:colOff>
      <xdr:row>28</xdr:row>
      <xdr:rowOff>174492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B8EDE09C-07D9-74B2-2B67-7BDCA7E892A1}"/>
            </a:ext>
          </a:extLst>
        </xdr:cNvPr>
        <xdr:cNvSpPr/>
      </xdr:nvSpPr>
      <xdr:spPr>
        <a:xfrm>
          <a:off x="3663661" y="5084652"/>
          <a:ext cx="52251" cy="52365"/>
        </a:xfrm>
        <a:prstGeom prst="ellipse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36540</xdr:colOff>
      <xdr:row>31</xdr:row>
      <xdr:rowOff>167804</xdr:rowOff>
    </xdr:from>
    <xdr:to>
      <xdr:col>6</xdr:col>
      <xdr:colOff>36540</xdr:colOff>
      <xdr:row>32</xdr:row>
      <xdr:rowOff>118142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F97832A5-13C7-7E2F-A89C-1BE3A363ADD2}"/>
            </a:ext>
          </a:extLst>
        </xdr:cNvPr>
        <xdr:cNvCxnSpPr/>
      </xdr:nvCxnSpPr>
      <xdr:spPr>
        <a:xfrm>
          <a:off x="3694140" y="5658967"/>
          <a:ext cx="0" cy="126550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55319</xdr:colOff>
      <xdr:row>29</xdr:row>
      <xdr:rowOff>13575</xdr:rowOff>
    </xdr:from>
    <xdr:to>
      <xdr:col>1</xdr:col>
      <xdr:colOff>181593</xdr:colOff>
      <xdr:row>29</xdr:row>
      <xdr:rowOff>13575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B0FA0492-C0BF-1A6C-3716-307361F35C51}"/>
            </a:ext>
          </a:extLst>
        </xdr:cNvPr>
        <xdr:cNvCxnSpPr/>
      </xdr:nvCxnSpPr>
      <xdr:spPr>
        <a:xfrm rot="5400000">
          <a:off x="728056" y="5089176"/>
          <a:ext cx="0" cy="126274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176213</xdr:colOff>
      <xdr:row>32</xdr:row>
      <xdr:rowOff>66675</xdr:rowOff>
    </xdr:from>
    <xdr:to>
      <xdr:col>6</xdr:col>
      <xdr:colOff>42863</xdr:colOff>
      <xdr:row>32</xdr:row>
      <xdr:rowOff>66675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6DDE5E43-02EA-222B-904D-41BC371AB7DF}"/>
            </a:ext>
          </a:extLst>
        </xdr:cNvPr>
        <xdr:cNvCxnSpPr/>
      </xdr:nvCxnSpPr>
      <xdr:spPr>
        <a:xfrm>
          <a:off x="2614613" y="5734050"/>
          <a:ext cx="1085850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190499</xdr:colOff>
      <xdr:row>32</xdr:row>
      <xdr:rowOff>161926</xdr:rowOff>
    </xdr:from>
    <xdr:to>
      <xdr:col>6</xdr:col>
      <xdr:colOff>33337</xdr:colOff>
      <xdr:row>33</xdr:row>
      <xdr:rowOff>128591</xdr:rowOff>
    </xdr:to>
    <xdr:sp macro="" textlink="">
      <xdr:nvSpPr>
        <xdr:cNvPr id="39" name="Right Bracket 38">
          <a:extLst>
            <a:ext uri="{FF2B5EF4-FFF2-40B4-BE49-F238E27FC236}">
              <a16:creationId xmlns:a16="http://schemas.microsoft.com/office/drawing/2014/main" id="{3183751B-1E95-D7E7-44A9-C7191DEDC7A6}"/>
            </a:ext>
          </a:extLst>
        </xdr:cNvPr>
        <xdr:cNvSpPr/>
      </xdr:nvSpPr>
      <xdr:spPr>
        <a:xfrm rot="5400000">
          <a:off x="3088479" y="5369721"/>
          <a:ext cx="142878" cy="1062038"/>
        </a:xfrm>
        <a:prstGeom prst="rightBracket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ehhe\OneDrive\&#193;rea%20de%20Trabalho\study\Planilhas\Rhinos\Curvas.xlsm" TargetMode="External"/><Relationship Id="rId1" Type="http://schemas.openxmlformats.org/officeDocument/2006/relationships/externalLinkPath" Target="Cur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DI1 FUT"/>
      <sheetName val="DDI Fut"/>
      <sheetName val="DOL FUT"/>
      <sheetName val="PTAX"/>
      <sheetName val="Aux"/>
      <sheetName val="Interpolações"/>
    </sheetNames>
    <sheetDataSet>
      <sheetData sheetId="0">
        <row r="2">
          <cell r="B2">
            <v>45553</v>
          </cell>
        </row>
      </sheetData>
      <sheetData sheetId="1">
        <row r="1">
          <cell r="A1" t="str">
            <v>VENCTO</v>
          </cell>
        </row>
        <row r="2">
          <cell r="A2" t="str">
            <v>V24</v>
          </cell>
        </row>
        <row r="3">
          <cell r="A3" t="str">
            <v>X24</v>
          </cell>
        </row>
        <row r="4">
          <cell r="A4" t="str">
            <v>Z24</v>
          </cell>
        </row>
        <row r="5">
          <cell r="A5" t="str">
            <v>F25</v>
          </cell>
        </row>
        <row r="6">
          <cell r="A6" t="str">
            <v>G25</v>
          </cell>
        </row>
        <row r="7">
          <cell r="A7" t="str">
            <v>H25</v>
          </cell>
        </row>
        <row r="8">
          <cell r="A8" t="str">
            <v>J25</v>
          </cell>
        </row>
        <row r="9">
          <cell r="A9" t="str">
            <v>K25</v>
          </cell>
        </row>
        <row r="10">
          <cell r="A10" t="str">
            <v>M25</v>
          </cell>
        </row>
        <row r="11">
          <cell r="A11" t="str">
            <v>N25</v>
          </cell>
        </row>
        <row r="12">
          <cell r="A12" t="str">
            <v>Q25</v>
          </cell>
        </row>
        <row r="13">
          <cell r="A13" t="str">
            <v>U25</v>
          </cell>
        </row>
        <row r="14">
          <cell r="A14" t="str">
            <v>V25</v>
          </cell>
        </row>
        <row r="15">
          <cell r="A15" t="str">
            <v>F26</v>
          </cell>
        </row>
        <row r="16">
          <cell r="A16" t="str">
            <v>J26</v>
          </cell>
        </row>
        <row r="17">
          <cell r="A17" t="str">
            <v>N26</v>
          </cell>
        </row>
        <row r="18">
          <cell r="A18" t="str">
            <v>V26</v>
          </cell>
        </row>
        <row r="19">
          <cell r="A19" t="str">
            <v>F27</v>
          </cell>
        </row>
        <row r="20">
          <cell r="A20" t="str">
            <v>J27</v>
          </cell>
        </row>
        <row r="21">
          <cell r="A21" t="str">
            <v>N27</v>
          </cell>
        </row>
        <row r="22">
          <cell r="A22" t="str">
            <v>V27</v>
          </cell>
        </row>
        <row r="23">
          <cell r="A23" t="str">
            <v>F28</v>
          </cell>
        </row>
        <row r="24">
          <cell r="A24" t="str">
            <v>J28</v>
          </cell>
        </row>
        <row r="25">
          <cell r="A25" t="str">
            <v>N28</v>
          </cell>
        </row>
        <row r="26">
          <cell r="A26" t="str">
            <v>V28</v>
          </cell>
        </row>
        <row r="27">
          <cell r="A27" t="str">
            <v>F29</v>
          </cell>
        </row>
        <row r="28">
          <cell r="A28" t="str">
            <v>J29</v>
          </cell>
        </row>
        <row r="29">
          <cell r="A29" t="str">
            <v>N29</v>
          </cell>
        </row>
        <row r="30">
          <cell r="A30" t="str">
            <v>F30</v>
          </cell>
        </row>
        <row r="31">
          <cell r="A31" t="str">
            <v>F31</v>
          </cell>
        </row>
        <row r="32">
          <cell r="A32" t="str">
            <v>F32</v>
          </cell>
        </row>
        <row r="33">
          <cell r="A33" t="str">
            <v>F33</v>
          </cell>
        </row>
        <row r="34">
          <cell r="A34" t="str">
            <v>F34</v>
          </cell>
        </row>
        <row r="35">
          <cell r="A35" t="str">
            <v>F35</v>
          </cell>
        </row>
        <row r="36">
          <cell r="A36" t="str">
            <v>F36</v>
          </cell>
        </row>
        <row r="37">
          <cell r="A37" t="str">
            <v>F37</v>
          </cell>
        </row>
        <row r="38">
          <cell r="A38" t="str">
            <v>F38</v>
          </cell>
        </row>
        <row r="39">
          <cell r="A39" t="str">
            <v>F39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2316-FBC2-47E8-8310-9B3C8E25AD76}">
  <sheetPr codeName="Sheet1">
    <tabColor rgb="FFC00000"/>
  </sheetPr>
  <dimension ref="A2:I37"/>
  <sheetViews>
    <sheetView showGridLines="0" topLeftCell="A13" zoomScale="175" zoomScaleNormal="175" workbookViewId="0">
      <selection activeCell="I35" sqref="I35"/>
    </sheetView>
  </sheetViews>
  <sheetFormatPr defaultRowHeight="13.8" x14ac:dyDescent="0.3"/>
  <cols>
    <col min="2" max="2" width="23.109375" customWidth="1"/>
    <col min="3" max="3" width="8.88671875" customWidth="1"/>
    <col min="8" max="8" width="11" customWidth="1"/>
  </cols>
  <sheetData>
    <row r="2" spans="2:6" x14ac:dyDescent="0.3">
      <c r="B2" s="37" t="s">
        <v>1</v>
      </c>
    </row>
    <row r="3" spans="2:6" x14ac:dyDescent="0.3">
      <c r="B3" s="5" t="s">
        <v>15</v>
      </c>
    </row>
    <row r="4" spans="2:6" x14ac:dyDescent="0.3">
      <c r="B4" s="5"/>
    </row>
    <row r="5" spans="2:6" x14ac:dyDescent="0.3">
      <c r="B5" s="39" t="s">
        <v>7</v>
      </c>
    </row>
    <row r="6" spans="2:6" x14ac:dyDescent="0.3">
      <c r="B6" s="5" t="s">
        <v>8</v>
      </c>
      <c r="F6" s="4" t="s">
        <v>28</v>
      </c>
    </row>
    <row r="7" spans="2:6" x14ac:dyDescent="0.3">
      <c r="B7" s="5" t="s">
        <v>9</v>
      </c>
      <c r="F7" s="19" t="s">
        <v>24</v>
      </c>
    </row>
    <row r="8" spans="2:6" x14ac:dyDescent="0.3">
      <c r="B8" s="5" t="s">
        <v>10</v>
      </c>
    </row>
    <row r="9" spans="2:6" x14ac:dyDescent="0.3">
      <c r="B9" s="5" t="s">
        <v>11</v>
      </c>
      <c r="F9" s="17" t="s">
        <v>25</v>
      </c>
    </row>
    <row r="10" spans="2:6" x14ac:dyDescent="0.3">
      <c r="B10" s="5" t="s">
        <v>12</v>
      </c>
      <c r="F10" s="20" t="s">
        <v>26</v>
      </c>
    </row>
    <row r="11" spans="2:6" x14ac:dyDescent="0.3">
      <c r="B11" s="5" t="s">
        <v>13</v>
      </c>
      <c r="F11" s="20" t="s">
        <v>27</v>
      </c>
    </row>
    <row r="12" spans="2:6" x14ac:dyDescent="0.3">
      <c r="B12" s="5" t="s">
        <v>14</v>
      </c>
    </row>
    <row r="13" spans="2:6" x14ac:dyDescent="0.3">
      <c r="B13" s="5"/>
    </row>
    <row r="14" spans="2:6" x14ac:dyDescent="0.3">
      <c r="B14" s="5"/>
    </row>
    <row r="15" spans="2:6" x14ac:dyDescent="0.3">
      <c r="B15" s="39" t="s">
        <v>16</v>
      </c>
    </row>
    <row r="16" spans="2:6" x14ac:dyDescent="0.3">
      <c r="B16" s="38" t="s">
        <v>17</v>
      </c>
      <c r="C16" s="15" t="s">
        <v>18</v>
      </c>
    </row>
    <row r="17" spans="1:9" x14ac:dyDescent="0.3">
      <c r="B17" s="38" t="s">
        <v>21</v>
      </c>
      <c r="C17" s="15" t="s">
        <v>22</v>
      </c>
    </row>
    <row r="18" spans="1:9" x14ac:dyDescent="0.3">
      <c r="B18" s="38" t="s">
        <v>20</v>
      </c>
      <c r="C18" s="15" t="s">
        <v>23</v>
      </c>
    </row>
    <row r="19" spans="1:9" x14ac:dyDescent="0.3">
      <c r="B19" s="5"/>
    </row>
    <row r="20" spans="1:9" x14ac:dyDescent="0.3">
      <c r="B20" s="39" t="s">
        <v>19</v>
      </c>
    </row>
    <row r="21" spans="1:9" x14ac:dyDescent="0.3">
      <c r="B21" s="5" t="s">
        <v>170</v>
      </c>
    </row>
    <row r="22" spans="1:9" x14ac:dyDescent="0.3">
      <c r="B22" s="5" t="s">
        <v>171</v>
      </c>
    </row>
    <row r="23" spans="1:9" x14ac:dyDescent="0.3">
      <c r="B23" s="5" t="s">
        <v>172</v>
      </c>
    </row>
    <row r="24" spans="1:9" x14ac:dyDescent="0.3">
      <c r="B24" s="5" t="s">
        <v>173</v>
      </c>
    </row>
    <row r="25" spans="1:9" x14ac:dyDescent="0.3">
      <c r="B25" s="5"/>
    </row>
    <row r="26" spans="1:9" x14ac:dyDescent="0.3">
      <c r="B26" s="5"/>
    </row>
    <row r="27" spans="1:9" x14ac:dyDescent="0.3">
      <c r="B27" s="5"/>
    </row>
    <row r="29" spans="1:9" x14ac:dyDescent="0.3">
      <c r="A29" s="6" t="s">
        <v>2</v>
      </c>
      <c r="B29" s="14"/>
      <c r="C29" s="43" t="s">
        <v>190</v>
      </c>
    </row>
    <row r="30" spans="1:9" x14ac:dyDescent="0.3">
      <c r="H30" s="11" t="s">
        <v>191</v>
      </c>
      <c r="I30" s="4">
        <f>$A$31</f>
        <v>11.5</v>
      </c>
    </row>
    <row r="31" spans="1:9" x14ac:dyDescent="0.3">
      <c r="A31" s="9">
        <v>11.5</v>
      </c>
      <c r="H31" s="12" t="s">
        <v>4</v>
      </c>
      <c r="I31" s="59">
        <f ca="1">RANDBETWEEN(6.65,16.65)</f>
        <v>14</v>
      </c>
    </row>
    <row r="32" spans="1:9" x14ac:dyDescent="0.3">
      <c r="D32" s="16"/>
    </row>
    <row r="33" spans="3:9" x14ac:dyDescent="0.3">
      <c r="H33" s="13" t="s">
        <v>5</v>
      </c>
      <c r="I33" s="128">
        <f ca="1">$I$30-$I$31</f>
        <v>-2.5</v>
      </c>
    </row>
    <row r="37" spans="3:9" x14ac:dyDescent="0.3">
      <c r="C37" s="10">
        <v>45689</v>
      </c>
      <c r="D37" s="8"/>
      <c r="F37" t="s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A85E-8783-4FAE-9E77-BB200147C6BA}">
  <sheetPr codeName="Sheet2">
    <tabColor rgb="FFC00000"/>
  </sheetPr>
  <dimension ref="A1:AI43"/>
  <sheetViews>
    <sheetView showGridLines="0" topLeftCell="A2" zoomScaleNormal="100" workbookViewId="0">
      <selection activeCell="S6" sqref="S6"/>
    </sheetView>
  </sheetViews>
  <sheetFormatPr defaultRowHeight="13.8" outlineLevelCol="1" x14ac:dyDescent="0.3"/>
  <cols>
    <col min="1" max="1" width="7.44140625" customWidth="1"/>
    <col min="2" max="2" width="14.6640625" hidden="1" customWidth="1" outlineLevel="1"/>
    <col min="3" max="3" width="14.21875" hidden="1" customWidth="1" outlineLevel="1"/>
    <col min="4" max="4" width="11.88671875" hidden="1" customWidth="1" outlineLevel="1"/>
    <col min="5" max="5" width="13.6640625" hidden="1" customWidth="1" outlineLevel="1"/>
    <col min="6" max="6" width="13.44140625" hidden="1" customWidth="1" outlineLevel="1"/>
    <col min="7" max="7" width="14.88671875" hidden="1" customWidth="1" outlineLevel="1"/>
    <col min="8" max="8" width="16" hidden="1" customWidth="1" outlineLevel="1"/>
    <col min="9" max="9" width="23.5546875" hidden="1" customWidth="1" outlineLevel="1"/>
    <col min="10" max="10" width="10.21875" hidden="1" customWidth="1" outlineLevel="1"/>
    <col min="11" max="11" width="10.5546875" hidden="1" customWidth="1" outlineLevel="1"/>
    <col min="12" max="12" width="10.77734375" hidden="1" customWidth="1" outlineLevel="1"/>
    <col min="13" max="13" width="10.109375" hidden="1" customWidth="1" outlineLevel="1"/>
    <col min="14" max="14" width="9.88671875" bestFit="1" customWidth="1" collapsed="1"/>
    <col min="15" max="15" width="9.21875" hidden="1" customWidth="1" outlineLevel="1"/>
    <col min="16" max="16" width="14.109375" hidden="1" customWidth="1" outlineLevel="1"/>
    <col min="17" max="17" width="12.6640625" hidden="1" customWidth="1" outlineLevel="1"/>
    <col min="18" max="18" width="8.88671875" collapsed="1"/>
  </cols>
  <sheetData>
    <row r="1" spans="1:35" x14ac:dyDescent="0.3">
      <c r="A1" s="21" t="s">
        <v>29</v>
      </c>
    </row>
    <row r="2" spans="1:35" x14ac:dyDescent="0.3">
      <c r="A2" s="4" t="s">
        <v>30</v>
      </c>
      <c r="I2" t="s">
        <v>31</v>
      </c>
    </row>
    <row r="3" spans="1:35" x14ac:dyDescent="0.3">
      <c r="A3" s="32"/>
      <c r="N3" s="31"/>
    </row>
    <row r="4" spans="1:35" x14ac:dyDescent="0.3">
      <c r="A4" s="32" t="s">
        <v>163</v>
      </c>
      <c r="N4" s="31">
        <v>100000</v>
      </c>
      <c r="S4" s="90"/>
    </row>
    <row r="5" spans="1:35" x14ac:dyDescent="0.3">
      <c r="A5" s="2" t="s">
        <v>32</v>
      </c>
      <c r="B5" s="1" t="s">
        <v>33</v>
      </c>
      <c r="C5" s="1" t="s">
        <v>34</v>
      </c>
      <c r="D5" s="1" t="s">
        <v>35</v>
      </c>
      <c r="E5" s="1" t="s">
        <v>36</v>
      </c>
      <c r="F5" s="1" t="s">
        <v>37</v>
      </c>
      <c r="G5" s="1" t="s">
        <v>38</v>
      </c>
      <c r="H5" s="1" t="s">
        <v>39</v>
      </c>
      <c r="I5" s="1" t="s">
        <v>40</v>
      </c>
      <c r="J5" s="1" t="s">
        <v>41</v>
      </c>
      <c r="K5" s="1" t="s">
        <v>42</v>
      </c>
      <c r="L5" s="1" t="s">
        <v>43</v>
      </c>
      <c r="M5" s="1" t="s">
        <v>44</v>
      </c>
      <c r="N5" s="2" t="s">
        <v>45</v>
      </c>
      <c r="O5" t="s">
        <v>46</v>
      </c>
      <c r="P5" t="s">
        <v>47</v>
      </c>
      <c r="Q5" t="s">
        <v>48</v>
      </c>
      <c r="R5" s="2" t="s">
        <v>0</v>
      </c>
      <c r="S5" s="2" t="s">
        <v>164</v>
      </c>
    </row>
    <row r="6" spans="1:35" x14ac:dyDescent="0.3">
      <c r="A6" s="1" t="s">
        <v>49</v>
      </c>
      <c r="B6" s="22">
        <v>6440100</v>
      </c>
      <c r="C6" s="22">
        <v>6825529</v>
      </c>
      <c r="D6" s="22">
        <v>4804</v>
      </c>
      <c r="E6" s="22">
        <v>680410</v>
      </c>
      <c r="F6" s="22">
        <v>67662647100</v>
      </c>
      <c r="G6" s="3">
        <v>99444.33</v>
      </c>
      <c r="H6" s="3">
        <v>99444.33</v>
      </c>
      <c r="I6" s="1">
        <v>10.548</v>
      </c>
      <c r="J6" s="1">
        <v>10.544</v>
      </c>
      <c r="K6" s="1">
        <v>10.561999999999999</v>
      </c>
      <c r="L6" s="1">
        <v>10.558</v>
      </c>
      <c r="M6" s="1">
        <v>10.555999999999999</v>
      </c>
      <c r="N6" s="3">
        <v>99444.14</v>
      </c>
      <c r="O6" t="s">
        <v>50</v>
      </c>
      <c r="P6">
        <v>10.554</v>
      </c>
      <c r="Q6">
        <v>10.56</v>
      </c>
      <c r="R6" s="33">
        <f>_xlfn.XLOOKUP(A6,Aux!$I:$I,Aux!$K:$K,0,0)</f>
        <v>14</v>
      </c>
      <c r="S6" s="34">
        <f t="shared" ref="S6:S42" si="0">(($N$4/N6)^(252/R6)-1)</f>
        <v>0.10554001518599332</v>
      </c>
      <c r="AF6" s="37" t="s">
        <v>167</v>
      </c>
    </row>
    <row r="7" spans="1:35" x14ac:dyDescent="0.3">
      <c r="A7" s="1" t="s">
        <v>51</v>
      </c>
      <c r="B7" s="22">
        <v>466714</v>
      </c>
      <c r="C7" s="22">
        <v>472942</v>
      </c>
      <c r="D7" s="1">
        <v>49</v>
      </c>
      <c r="E7" s="22">
        <v>6679</v>
      </c>
      <c r="F7" s="22">
        <v>658060923</v>
      </c>
      <c r="G7" s="3">
        <v>98528.63</v>
      </c>
      <c r="H7" s="3">
        <v>98528.63</v>
      </c>
      <c r="I7" s="1">
        <v>10.63</v>
      </c>
      <c r="J7" s="1">
        <v>10.624000000000001</v>
      </c>
      <c r="K7" s="1">
        <v>10.638</v>
      </c>
      <c r="L7" s="1">
        <v>10.635999999999999</v>
      </c>
      <c r="M7" s="1">
        <v>10.628</v>
      </c>
      <c r="N7" s="3">
        <v>98527.96</v>
      </c>
      <c r="O7" t="s">
        <v>52</v>
      </c>
      <c r="P7">
        <v>10.625999999999999</v>
      </c>
      <c r="Q7">
        <v>10.634</v>
      </c>
      <c r="R7" s="33">
        <f>_xlfn.XLOOKUP(A7,Aux!$I:$I,Aux!$K:$K,0,0)</f>
        <v>37</v>
      </c>
      <c r="S7" s="34">
        <f t="shared" si="0"/>
        <v>0.10628007110543303</v>
      </c>
      <c r="AF7" s="36" t="s">
        <v>168</v>
      </c>
    </row>
    <row r="8" spans="1:35" x14ac:dyDescent="0.3">
      <c r="A8" s="1" t="s">
        <v>53</v>
      </c>
      <c r="B8" s="22">
        <v>938421</v>
      </c>
      <c r="C8" s="22">
        <v>939679</v>
      </c>
      <c r="D8" s="1">
        <v>128</v>
      </c>
      <c r="E8" s="22">
        <v>17945</v>
      </c>
      <c r="F8" s="22">
        <v>1754216782</v>
      </c>
      <c r="G8" s="3">
        <v>97756.3</v>
      </c>
      <c r="H8" s="3">
        <v>97756.3</v>
      </c>
      <c r="I8" s="1">
        <v>10.763999999999999</v>
      </c>
      <c r="J8" s="1">
        <v>10.75</v>
      </c>
      <c r="K8" s="1">
        <v>10.763999999999999</v>
      </c>
      <c r="L8" s="1">
        <v>10.756</v>
      </c>
      <c r="M8" s="1">
        <v>10.756</v>
      </c>
      <c r="N8" s="3">
        <v>97755.37</v>
      </c>
      <c r="O8" t="s">
        <v>54</v>
      </c>
      <c r="P8">
        <v>10.75</v>
      </c>
      <c r="Q8">
        <v>10.76</v>
      </c>
      <c r="R8" s="33">
        <f>_xlfn.XLOOKUP(A8,Aux!$I:$I,Aux!$K:$K,0,0)</f>
        <v>56</v>
      </c>
      <c r="S8" s="34">
        <f t="shared" si="0"/>
        <v>0.10755982170924305</v>
      </c>
      <c r="AF8" s="36" t="s">
        <v>169</v>
      </c>
    </row>
    <row r="9" spans="1:35" x14ac:dyDescent="0.3">
      <c r="A9" s="1" t="s">
        <v>55</v>
      </c>
      <c r="B9" s="22">
        <v>6950854</v>
      </c>
      <c r="C9" s="22">
        <v>6873555</v>
      </c>
      <c r="D9" s="22">
        <v>7174</v>
      </c>
      <c r="E9" s="22">
        <v>671397</v>
      </c>
      <c r="F9" s="22">
        <v>65045067736</v>
      </c>
      <c r="G9" s="3">
        <v>96883.21</v>
      </c>
      <c r="H9" s="3">
        <v>96883.21</v>
      </c>
      <c r="I9" s="1">
        <v>10.93</v>
      </c>
      <c r="J9" s="1">
        <v>10.91</v>
      </c>
      <c r="K9" s="1">
        <v>10.945</v>
      </c>
      <c r="L9" s="1">
        <v>10.93</v>
      </c>
      <c r="M9" s="1">
        <v>10.925000000000001</v>
      </c>
      <c r="N9" s="3">
        <v>96881.8</v>
      </c>
      <c r="O9" t="s">
        <v>56</v>
      </c>
      <c r="P9">
        <v>10.92</v>
      </c>
      <c r="Q9">
        <v>10.925000000000001</v>
      </c>
      <c r="R9" s="33">
        <f>_xlfn.XLOOKUP(A9,Aux!$I:$I,Aux!$K:$K,0,0)</f>
        <v>77</v>
      </c>
      <c r="S9" s="34">
        <f t="shared" si="0"/>
        <v>0.10924002044750258</v>
      </c>
    </row>
    <row r="10" spans="1:35" x14ac:dyDescent="0.3">
      <c r="A10" s="1" t="s">
        <v>57</v>
      </c>
      <c r="B10" s="22">
        <v>120657</v>
      </c>
      <c r="C10" s="22">
        <v>120434</v>
      </c>
      <c r="D10" s="1">
        <v>30</v>
      </c>
      <c r="E10" s="1">
        <v>673</v>
      </c>
      <c r="F10" s="22">
        <v>64578652</v>
      </c>
      <c r="G10" s="3">
        <v>95963.48</v>
      </c>
      <c r="H10" s="3">
        <v>95963.48</v>
      </c>
      <c r="I10" s="1">
        <v>11.08</v>
      </c>
      <c r="J10" s="1">
        <v>11.07</v>
      </c>
      <c r="K10" s="1">
        <v>11.08</v>
      </c>
      <c r="L10" s="1">
        <v>11.077999999999999</v>
      </c>
      <c r="M10" s="1">
        <v>11.08</v>
      </c>
      <c r="N10" s="3">
        <v>95958.6</v>
      </c>
      <c r="O10" t="s">
        <v>58</v>
      </c>
      <c r="P10">
        <v>11.07</v>
      </c>
      <c r="Q10">
        <v>11.074999999999999</v>
      </c>
      <c r="R10" s="33">
        <f>_xlfn.XLOOKUP(A10,Aux!$I:$I,Aux!$K:$K,0,0)</f>
        <v>99</v>
      </c>
      <c r="S10" s="34">
        <f t="shared" si="0"/>
        <v>0.1107200464870346</v>
      </c>
    </row>
    <row r="11" spans="1:35" x14ac:dyDescent="0.3">
      <c r="A11" s="1" t="s">
        <v>59</v>
      </c>
      <c r="B11" s="22">
        <v>223760</v>
      </c>
      <c r="C11" s="22">
        <v>223542</v>
      </c>
      <c r="D11" s="1">
        <v>106</v>
      </c>
      <c r="E11" s="22">
        <v>2419</v>
      </c>
      <c r="F11" s="22">
        <v>230051192</v>
      </c>
      <c r="G11" s="3">
        <v>95108.54</v>
      </c>
      <c r="H11" s="3">
        <v>95108.54</v>
      </c>
      <c r="I11" s="1">
        <v>11.24</v>
      </c>
      <c r="J11" s="1">
        <v>11.195</v>
      </c>
      <c r="K11" s="1">
        <v>11.24</v>
      </c>
      <c r="L11" s="1">
        <v>11.221</v>
      </c>
      <c r="M11" s="1">
        <v>11.225</v>
      </c>
      <c r="N11" s="3">
        <v>95100.37</v>
      </c>
      <c r="O11" t="s">
        <v>60</v>
      </c>
      <c r="P11">
        <v>11.21</v>
      </c>
      <c r="Q11">
        <v>11.234999999999999</v>
      </c>
      <c r="R11" s="33">
        <f>_xlfn.XLOOKUP(A11,Aux!$I:$I,Aux!$K:$K,0,0)</f>
        <v>119</v>
      </c>
      <c r="S11" s="34">
        <f t="shared" si="0"/>
        <v>0.11224992717612881</v>
      </c>
    </row>
    <row r="12" spans="1:35" x14ac:dyDescent="0.3">
      <c r="A12" s="1" t="s">
        <v>61</v>
      </c>
      <c r="B12" s="22">
        <v>1689988</v>
      </c>
      <c r="C12" s="22">
        <v>1693328</v>
      </c>
      <c r="D12" s="22">
        <v>4861</v>
      </c>
      <c r="E12" s="22">
        <v>93664</v>
      </c>
      <c r="F12" s="22">
        <v>8832032878</v>
      </c>
      <c r="G12" s="3">
        <v>94305.55</v>
      </c>
      <c r="H12" s="3">
        <v>94305.55</v>
      </c>
      <c r="I12" s="1">
        <v>11.31</v>
      </c>
      <c r="J12" s="1">
        <v>11.29</v>
      </c>
      <c r="K12" s="1">
        <v>11.345000000000001</v>
      </c>
      <c r="L12" s="1">
        <v>11.323</v>
      </c>
      <c r="M12" s="1">
        <v>11.335000000000001</v>
      </c>
      <c r="N12" s="3">
        <v>94293.73</v>
      </c>
      <c r="O12" t="s">
        <v>62</v>
      </c>
      <c r="P12">
        <v>11.32</v>
      </c>
      <c r="Q12">
        <v>11.335000000000001</v>
      </c>
      <c r="R12" s="33">
        <f>_xlfn.XLOOKUP(A12,Aux!$I:$I,Aux!$K:$K,0,0)</f>
        <v>138</v>
      </c>
      <c r="S12" s="34">
        <f t="shared" si="0"/>
        <v>0.11325998136281146</v>
      </c>
      <c r="AF12" s="37" t="s">
        <v>192</v>
      </c>
    </row>
    <row r="13" spans="1:35" x14ac:dyDescent="0.3">
      <c r="A13" s="1" t="s">
        <v>63</v>
      </c>
      <c r="B13" s="22">
        <v>95670</v>
      </c>
      <c r="C13" s="22">
        <v>96680</v>
      </c>
      <c r="D13" s="1">
        <v>44</v>
      </c>
      <c r="E13" s="22">
        <v>2762</v>
      </c>
      <c r="F13" s="22">
        <v>258119985</v>
      </c>
      <c r="G13" s="3">
        <v>93466.2</v>
      </c>
      <c r="H13" s="3">
        <v>93466.2</v>
      </c>
      <c r="I13" s="1">
        <v>11.385</v>
      </c>
      <c r="J13" s="1">
        <v>11.38</v>
      </c>
      <c r="K13" s="1">
        <v>11.425000000000001</v>
      </c>
      <c r="L13" s="1">
        <v>11.401999999999999</v>
      </c>
      <c r="M13" s="1">
        <v>11.425000000000001</v>
      </c>
      <c r="N13" s="3">
        <v>93447.89</v>
      </c>
      <c r="O13" t="s">
        <v>64</v>
      </c>
      <c r="P13">
        <v>11.4</v>
      </c>
      <c r="Q13">
        <v>11.43</v>
      </c>
      <c r="R13" s="33">
        <f>_xlfn.XLOOKUP(A13,Aux!$I:$I,Aux!$K:$K,0,0)</f>
        <v>158</v>
      </c>
      <c r="S13" s="34">
        <f t="shared" si="0"/>
        <v>0.1141400479083694</v>
      </c>
    </row>
    <row r="14" spans="1:35" x14ac:dyDescent="0.3">
      <c r="A14" s="1" t="s">
        <v>65</v>
      </c>
      <c r="B14" s="22">
        <v>88517</v>
      </c>
      <c r="C14" s="22">
        <v>88564</v>
      </c>
      <c r="D14" s="1">
        <v>6</v>
      </c>
      <c r="E14" s="1">
        <v>739</v>
      </c>
      <c r="F14" s="22">
        <v>68417711</v>
      </c>
      <c r="G14" s="3">
        <v>92593.57</v>
      </c>
      <c r="H14" s="3">
        <v>92593.57</v>
      </c>
      <c r="I14" s="1">
        <v>11.484999999999999</v>
      </c>
      <c r="J14" s="1">
        <v>11.44</v>
      </c>
      <c r="K14" s="1">
        <v>11.484999999999999</v>
      </c>
      <c r="L14" s="1">
        <v>11.462</v>
      </c>
      <c r="M14" s="1">
        <v>11.44</v>
      </c>
      <c r="N14" s="3">
        <v>92574</v>
      </c>
      <c r="O14" t="s">
        <v>66</v>
      </c>
      <c r="P14">
        <v>11.47</v>
      </c>
      <c r="Q14">
        <v>11.5</v>
      </c>
      <c r="R14" s="33">
        <f>_xlfn.XLOOKUP(A14,Aux!$I:$I,Aux!$K:$K,0,0)</f>
        <v>179</v>
      </c>
      <c r="S14" s="34">
        <f t="shared" si="0"/>
        <v>0.11474993521577503</v>
      </c>
      <c r="AF14" s="4" t="s">
        <v>196</v>
      </c>
      <c r="AI14" s="9" t="s">
        <v>197</v>
      </c>
    </row>
    <row r="15" spans="1:35" x14ac:dyDescent="0.3">
      <c r="A15" s="1" t="s">
        <v>67</v>
      </c>
      <c r="B15" s="22">
        <v>2362124</v>
      </c>
      <c r="C15" s="22">
        <v>2373270</v>
      </c>
      <c r="D15" s="22">
        <v>39239</v>
      </c>
      <c r="E15" s="22">
        <v>435011</v>
      </c>
      <c r="F15" s="22">
        <v>39907149760</v>
      </c>
      <c r="G15" s="3">
        <v>91753.56</v>
      </c>
      <c r="H15" s="3">
        <v>91753.56</v>
      </c>
      <c r="I15" s="1">
        <v>11.505000000000001</v>
      </c>
      <c r="J15" s="1">
        <v>11.5</v>
      </c>
      <c r="K15" s="1">
        <v>11.57</v>
      </c>
      <c r="L15" s="1">
        <v>11.538</v>
      </c>
      <c r="M15" s="1">
        <v>11.56</v>
      </c>
      <c r="N15" s="3">
        <v>91729.27</v>
      </c>
      <c r="O15" t="s">
        <v>68</v>
      </c>
      <c r="P15">
        <v>11.555</v>
      </c>
      <c r="Q15">
        <v>11.565</v>
      </c>
      <c r="R15" s="33">
        <f>_xlfn.XLOOKUP(A15,Aux!$I:$I,Aux!$K:$K,0,0)</f>
        <v>199</v>
      </c>
      <c r="S15" s="34">
        <f t="shared" si="0"/>
        <v>0.11552006373790391</v>
      </c>
    </row>
    <row r="16" spans="1:35" x14ac:dyDescent="0.3">
      <c r="A16" s="1" t="s">
        <v>69</v>
      </c>
      <c r="B16" s="22">
        <v>45954</v>
      </c>
      <c r="C16" s="22">
        <v>46334</v>
      </c>
      <c r="D16" s="1">
        <v>10</v>
      </c>
      <c r="E16" s="1">
        <v>390</v>
      </c>
      <c r="F16" s="22">
        <v>35408029</v>
      </c>
      <c r="G16" s="3">
        <v>90801.86</v>
      </c>
      <c r="H16" s="3">
        <v>90801.86</v>
      </c>
      <c r="I16" s="1">
        <v>11.574999999999999</v>
      </c>
      <c r="J16" s="1">
        <v>11.565</v>
      </c>
      <c r="K16" s="1">
        <v>11.595000000000001</v>
      </c>
      <c r="L16" s="1">
        <v>11.592000000000001</v>
      </c>
      <c r="M16" s="1">
        <v>11.565</v>
      </c>
      <c r="N16" s="3">
        <v>90780.58</v>
      </c>
      <c r="O16" t="s">
        <v>70</v>
      </c>
      <c r="P16">
        <v>11.6</v>
      </c>
      <c r="Q16">
        <v>11.63</v>
      </c>
      <c r="R16" s="33">
        <f>_xlfn.XLOOKUP(A16,Aux!$I:$I,Aux!$K:$K,0,0)</f>
        <v>222</v>
      </c>
      <c r="S16" s="34">
        <f t="shared" si="0"/>
        <v>0.11605005914089794</v>
      </c>
      <c r="AF16" s="4" t="s">
        <v>195</v>
      </c>
    </row>
    <row r="17" spans="1:34" x14ac:dyDescent="0.3">
      <c r="A17" s="1" t="s">
        <v>71</v>
      </c>
      <c r="B17" s="22">
        <v>44882</v>
      </c>
      <c r="C17" s="22">
        <v>46501</v>
      </c>
      <c r="D17" s="1">
        <v>25</v>
      </c>
      <c r="E17" s="1">
        <v>311</v>
      </c>
      <c r="F17" s="22">
        <v>27965843</v>
      </c>
      <c r="G17" s="3">
        <v>89938.96</v>
      </c>
      <c r="H17" s="3">
        <v>89938.96</v>
      </c>
      <c r="I17" s="1">
        <v>11.625</v>
      </c>
      <c r="J17" s="1">
        <v>11.625</v>
      </c>
      <c r="K17" s="1">
        <v>11.67</v>
      </c>
      <c r="L17" s="1">
        <v>11.645</v>
      </c>
      <c r="M17" s="1">
        <v>11.64</v>
      </c>
      <c r="N17" s="3">
        <v>89917.25</v>
      </c>
      <c r="O17" t="s">
        <v>72</v>
      </c>
      <c r="P17">
        <v>11.645</v>
      </c>
      <c r="Q17">
        <v>11.675000000000001</v>
      </c>
      <c r="R17" s="33">
        <f>_xlfn.XLOOKUP(A17,Aux!$I:$I,Aux!$K:$K,0,0)</f>
        <v>243</v>
      </c>
      <c r="S17" s="34">
        <f t="shared" si="0"/>
        <v>0.11651998690873788</v>
      </c>
    </row>
    <row r="18" spans="1:34" x14ac:dyDescent="0.3">
      <c r="A18" s="1" t="s">
        <v>73</v>
      </c>
      <c r="B18" s="22">
        <v>916146</v>
      </c>
      <c r="C18" s="22">
        <v>911131</v>
      </c>
      <c r="D18" s="22">
        <v>7556</v>
      </c>
      <c r="E18" s="22">
        <v>45747</v>
      </c>
      <c r="F18" s="22">
        <v>4072242596</v>
      </c>
      <c r="G18" s="3">
        <v>89034.53</v>
      </c>
      <c r="H18" s="3">
        <v>89034.53</v>
      </c>
      <c r="I18" s="1">
        <v>11.69</v>
      </c>
      <c r="J18" s="1">
        <v>11.66</v>
      </c>
      <c r="K18" s="1">
        <v>11.73</v>
      </c>
      <c r="L18" s="1">
        <v>11.699</v>
      </c>
      <c r="M18" s="1">
        <v>11.72</v>
      </c>
      <c r="N18" s="3">
        <v>89010.1</v>
      </c>
      <c r="O18" t="s">
        <v>74</v>
      </c>
      <c r="P18">
        <v>11.72</v>
      </c>
      <c r="Q18">
        <v>11.725</v>
      </c>
      <c r="R18" s="33">
        <f>_xlfn.XLOOKUP(A18,Aux!$I:$I,Aux!$K:$K,0,0)</f>
        <v>265</v>
      </c>
      <c r="S18" s="34">
        <f t="shared" si="0"/>
        <v>0.1170699632442993</v>
      </c>
    </row>
    <row r="19" spans="1:34" ht="14.4" thickBot="1" x14ac:dyDescent="0.35">
      <c r="A19" s="1" t="s">
        <v>75</v>
      </c>
      <c r="B19" s="22">
        <v>4217415</v>
      </c>
      <c r="C19" s="22">
        <v>4266544</v>
      </c>
      <c r="D19" s="22">
        <v>59098</v>
      </c>
      <c r="E19" s="22">
        <v>610182</v>
      </c>
      <c r="F19" s="22">
        <v>52764761081</v>
      </c>
      <c r="G19" s="3">
        <v>86487.54</v>
      </c>
      <c r="H19" s="3">
        <v>86487.54</v>
      </c>
      <c r="I19" s="1">
        <v>11.76</v>
      </c>
      <c r="J19" s="1">
        <v>11.734999999999999</v>
      </c>
      <c r="K19" s="1">
        <v>11.81</v>
      </c>
      <c r="L19" s="1">
        <v>11.773999999999999</v>
      </c>
      <c r="M19" s="1">
        <v>11.79</v>
      </c>
      <c r="N19" s="3">
        <v>86471.54</v>
      </c>
      <c r="O19" t="s">
        <v>76</v>
      </c>
      <c r="P19">
        <v>11.79</v>
      </c>
      <c r="Q19">
        <v>11.795</v>
      </c>
      <c r="R19" s="33">
        <f>_xlfn.XLOOKUP(A19,Aux!$I:$I,Aux!$K:$K,0,0)</f>
        <v>329</v>
      </c>
      <c r="S19" s="34">
        <f t="shared" si="0"/>
        <v>0.1177699952722191</v>
      </c>
    </row>
    <row r="20" spans="1:34" x14ac:dyDescent="0.3">
      <c r="A20" s="1" t="s">
        <v>77</v>
      </c>
      <c r="B20" s="22">
        <v>619533</v>
      </c>
      <c r="C20" s="22">
        <v>614415</v>
      </c>
      <c r="D20" s="22">
        <v>5331</v>
      </c>
      <c r="E20" s="22">
        <v>40664</v>
      </c>
      <c r="F20" s="22">
        <v>3421180147</v>
      </c>
      <c r="G20" s="3">
        <v>84141.21</v>
      </c>
      <c r="H20" s="3">
        <v>84141.21</v>
      </c>
      <c r="I20" s="1">
        <v>11.815</v>
      </c>
      <c r="J20" s="1">
        <v>11.775</v>
      </c>
      <c r="K20" s="1">
        <v>11.85</v>
      </c>
      <c r="L20" s="1">
        <v>11.81</v>
      </c>
      <c r="M20" s="1">
        <v>11.835000000000001</v>
      </c>
      <c r="N20" s="3">
        <v>84124.47</v>
      </c>
      <c r="O20" t="s">
        <v>78</v>
      </c>
      <c r="P20">
        <v>11.82</v>
      </c>
      <c r="Q20">
        <v>11.835000000000001</v>
      </c>
      <c r="R20" s="33">
        <f>_xlfn.XLOOKUP(A20,Aux!$I:$I,Aux!$K:$K,0,0)</f>
        <v>390</v>
      </c>
      <c r="S20" s="34">
        <f t="shared" si="0"/>
        <v>0.11817999471000018</v>
      </c>
      <c r="AF20" s="93" t="s">
        <v>280</v>
      </c>
      <c r="AG20" s="94"/>
      <c r="AH20" s="95"/>
    </row>
    <row r="21" spans="1:34" x14ac:dyDescent="0.3">
      <c r="A21" s="1" t="s">
        <v>79</v>
      </c>
      <c r="B21" s="22">
        <v>2077591</v>
      </c>
      <c r="C21" s="22">
        <v>2112189</v>
      </c>
      <c r="D21" s="22">
        <v>15686</v>
      </c>
      <c r="E21" s="22">
        <v>111572</v>
      </c>
      <c r="F21" s="22">
        <v>9140507635</v>
      </c>
      <c r="G21" s="3">
        <v>81922.13</v>
      </c>
      <c r="H21" s="3">
        <v>81922.13</v>
      </c>
      <c r="I21" s="1">
        <v>11.795</v>
      </c>
      <c r="J21" s="1">
        <v>11.74</v>
      </c>
      <c r="K21" s="1">
        <v>11.835000000000001</v>
      </c>
      <c r="L21" s="1">
        <v>11.784000000000001</v>
      </c>
      <c r="M21" s="1">
        <v>11.815</v>
      </c>
      <c r="N21" s="3">
        <v>81911.759999999995</v>
      </c>
      <c r="O21" t="s">
        <v>80</v>
      </c>
      <c r="P21">
        <v>11.805</v>
      </c>
      <c r="Q21">
        <v>11.824999999999999</v>
      </c>
      <c r="R21" s="33">
        <f>_xlfn.XLOOKUP(A21,Aux!$I:$I,Aux!$K:$K,0,0)</f>
        <v>451</v>
      </c>
      <c r="S21" s="34">
        <f t="shared" si="0"/>
        <v>0.11794000925912718</v>
      </c>
      <c r="AF21" s="96" t="s">
        <v>281</v>
      </c>
      <c r="AH21" s="97"/>
    </row>
    <row r="22" spans="1:34" x14ac:dyDescent="0.3">
      <c r="A22" s="1" t="s">
        <v>81</v>
      </c>
      <c r="B22" s="22">
        <v>260847</v>
      </c>
      <c r="C22" s="22">
        <v>261626</v>
      </c>
      <c r="D22" s="22">
        <v>2848</v>
      </c>
      <c r="E22" s="22">
        <v>12311</v>
      </c>
      <c r="F22" s="22">
        <v>980587706</v>
      </c>
      <c r="G22" s="3">
        <v>79644.28</v>
      </c>
      <c r="H22" s="3">
        <v>79644.28</v>
      </c>
      <c r="I22" s="1">
        <v>11.795</v>
      </c>
      <c r="J22" s="1">
        <v>11.715</v>
      </c>
      <c r="K22" s="1">
        <v>11.8</v>
      </c>
      <c r="L22" s="1">
        <v>11.750999999999999</v>
      </c>
      <c r="M22" s="1">
        <v>11.795</v>
      </c>
      <c r="N22" s="3">
        <v>79624.789999999994</v>
      </c>
      <c r="O22" t="s">
        <v>82</v>
      </c>
      <c r="P22">
        <v>11.78</v>
      </c>
      <c r="Q22">
        <v>11.805</v>
      </c>
      <c r="R22" s="33">
        <f>_xlfn.XLOOKUP(A22,Aux!$I:$I,Aux!$K:$K,0,0)</f>
        <v>516</v>
      </c>
      <c r="S22" s="34">
        <f t="shared" si="0"/>
        <v>0.11769999467387438</v>
      </c>
      <c r="AF22" s="104"/>
      <c r="AH22" s="97"/>
    </row>
    <row r="23" spans="1:34" x14ac:dyDescent="0.3">
      <c r="A23" s="1" t="s">
        <v>83</v>
      </c>
      <c r="B23" s="22">
        <v>2408692</v>
      </c>
      <c r="C23" s="22">
        <v>2468668</v>
      </c>
      <c r="D23" s="22">
        <v>40678</v>
      </c>
      <c r="E23" s="22">
        <v>342756</v>
      </c>
      <c r="F23" s="22">
        <v>26582440000</v>
      </c>
      <c r="G23" s="3">
        <v>77536.03</v>
      </c>
      <c r="H23" s="3">
        <v>77536.03</v>
      </c>
      <c r="I23" s="1">
        <v>11.744999999999999</v>
      </c>
      <c r="J23" s="1">
        <v>11.664999999999999</v>
      </c>
      <c r="K23" s="1">
        <v>11.775</v>
      </c>
      <c r="L23" s="1">
        <v>11.718999999999999</v>
      </c>
      <c r="M23" s="1">
        <v>11.755000000000001</v>
      </c>
      <c r="N23" s="3">
        <v>77546.09</v>
      </c>
      <c r="O23" t="s">
        <v>84</v>
      </c>
      <c r="P23">
        <v>11.75</v>
      </c>
      <c r="Q23">
        <v>11.765000000000001</v>
      </c>
      <c r="R23" s="33">
        <f>_xlfn.XLOOKUP(A23,Aux!$I:$I,Aux!$K:$K,0,0)</f>
        <v>578</v>
      </c>
      <c r="S23" s="34">
        <f t="shared" si="0"/>
        <v>0.11724997314956731</v>
      </c>
      <c r="AF23" s="105" t="s">
        <v>0</v>
      </c>
      <c r="AG23" s="61" t="s">
        <v>164</v>
      </c>
      <c r="AH23" s="97"/>
    </row>
    <row r="24" spans="1:34" ht="14.4" thickBot="1" x14ac:dyDescent="0.35">
      <c r="A24" s="1" t="s">
        <v>85</v>
      </c>
      <c r="B24" s="22">
        <v>113677</v>
      </c>
      <c r="C24" s="22">
        <v>113543</v>
      </c>
      <c r="D24" s="1">
        <v>168</v>
      </c>
      <c r="E24" s="22">
        <v>1615</v>
      </c>
      <c r="F24" s="22">
        <v>121959972</v>
      </c>
      <c r="G24" s="3">
        <v>75494.83</v>
      </c>
      <c r="H24" s="3">
        <v>75494.83</v>
      </c>
      <c r="I24" s="1">
        <v>11.78</v>
      </c>
      <c r="J24" s="1">
        <v>11.685</v>
      </c>
      <c r="K24" s="1">
        <v>11.785</v>
      </c>
      <c r="L24" s="1">
        <v>11.73</v>
      </c>
      <c r="M24" s="1">
        <v>11.77</v>
      </c>
      <c r="N24" s="3">
        <v>75505.3</v>
      </c>
      <c r="O24" t="s">
        <v>86</v>
      </c>
      <c r="P24">
        <v>0</v>
      </c>
      <c r="Q24">
        <v>0</v>
      </c>
      <c r="R24" s="33">
        <f>_xlfn.XLOOKUP(A24,Aux!$I:$I,Aux!$K:$K,0,0)</f>
        <v>638</v>
      </c>
      <c r="S24" s="34">
        <f t="shared" si="0"/>
        <v>0.11736998125260945</v>
      </c>
      <c r="AF24" s="106">
        <v>1</v>
      </c>
      <c r="AG24" s="101">
        <v>10.4</v>
      </c>
      <c r="AH24" s="103"/>
    </row>
    <row r="25" spans="1:34" x14ac:dyDescent="0.3">
      <c r="A25" s="1" t="s">
        <v>87</v>
      </c>
      <c r="B25" s="22">
        <v>490596</v>
      </c>
      <c r="C25" s="22">
        <v>490100</v>
      </c>
      <c r="D25" s="22">
        <v>4534</v>
      </c>
      <c r="E25" s="22">
        <v>30152</v>
      </c>
      <c r="F25" s="22">
        <v>2214017044</v>
      </c>
      <c r="G25" s="3">
        <v>73408.27</v>
      </c>
      <c r="H25" s="3">
        <v>73408.27</v>
      </c>
      <c r="I25" s="1">
        <v>11.77</v>
      </c>
      <c r="J25" s="1">
        <v>11.685</v>
      </c>
      <c r="K25" s="1">
        <v>11.795</v>
      </c>
      <c r="L25" s="1">
        <v>11.742000000000001</v>
      </c>
      <c r="M25" s="1">
        <v>11.77</v>
      </c>
      <c r="N25" s="3">
        <v>73424.61</v>
      </c>
      <c r="O25" t="s">
        <v>88</v>
      </c>
      <c r="P25">
        <v>11.74</v>
      </c>
      <c r="Q25">
        <v>11.79</v>
      </c>
      <c r="R25" s="33">
        <f>_xlfn.XLOOKUP(A25,Aux!$I:$I,Aux!$K:$K,0,0)</f>
        <v>701</v>
      </c>
      <c r="S25" s="34">
        <f t="shared" si="0"/>
        <v>0.11745002424502182</v>
      </c>
    </row>
    <row r="26" spans="1:34" x14ac:dyDescent="0.3">
      <c r="A26" s="1" t="s">
        <v>89</v>
      </c>
      <c r="B26" s="22">
        <v>86910</v>
      </c>
      <c r="C26" s="22">
        <v>86672</v>
      </c>
      <c r="D26" s="1">
        <v>45</v>
      </c>
      <c r="E26" s="1">
        <v>621</v>
      </c>
      <c r="F26" s="22">
        <v>44298489</v>
      </c>
      <c r="G26" s="3">
        <v>71295.42</v>
      </c>
      <c r="H26" s="3">
        <v>71295.42</v>
      </c>
      <c r="I26" s="1">
        <v>11.805</v>
      </c>
      <c r="J26" s="1">
        <v>11.71</v>
      </c>
      <c r="K26" s="1">
        <v>11.805</v>
      </c>
      <c r="L26" s="1">
        <v>11.753</v>
      </c>
      <c r="M26" s="1">
        <v>11.79</v>
      </c>
      <c r="N26" s="3">
        <v>71316.37</v>
      </c>
      <c r="O26" t="s">
        <v>90</v>
      </c>
      <c r="P26">
        <v>11.78</v>
      </c>
      <c r="Q26">
        <v>0</v>
      </c>
      <c r="R26" s="33">
        <f>_xlfn.XLOOKUP(A26,Aux!$I:$I,Aux!$K:$K,0,0)</f>
        <v>766</v>
      </c>
      <c r="S26" s="34">
        <f t="shared" si="0"/>
        <v>0.11763002432254943</v>
      </c>
    </row>
    <row r="27" spans="1:34" x14ac:dyDescent="0.3">
      <c r="A27" s="1" t="s">
        <v>91</v>
      </c>
      <c r="B27" s="22">
        <v>1072483</v>
      </c>
      <c r="C27" s="22">
        <v>1079180</v>
      </c>
      <c r="D27" s="22">
        <v>13498</v>
      </c>
      <c r="E27" s="22">
        <v>75415</v>
      </c>
      <c r="F27" s="22">
        <v>5233205760</v>
      </c>
      <c r="G27" s="3">
        <v>69349.350000000006</v>
      </c>
      <c r="H27" s="3">
        <v>69349.350000000006</v>
      </c>
      <c r="I27" s="1">
        <v>11.77</v>
      </c>
      <c r="J27" s="1">
        <v>11.7</v>
      </c>
      <c r="K27" s="1">
        <v>11.8</v>
      </c>
      <c r="L27" s="1">
        <v>11.747</v>
      </c>
      <c r="M27" s="1">
        <v>11.795</v>
      </c>
      <c r="N27" s="3">
        <v>69381.320000000007</v>
      </c>
      <c r="O27" t="s">
        <v>92</v>
      </c>
      <c r="P27">
        <v>11.78</v>
      </c>
      <c r="Q27">
        <v>11.8</v>
      </c>
      <c r="R27" s="33">
        <f>_xlfn.XLOOKUP(A27,Aux!$I:$I,Aux!$K:$K,0,0)</f>
        <v>829</v>
      </c>
      <c r="S27" s="34">
        <f t="shared" si="0"/>
        <v>0.11753001976759725</v>
      </c>
    </row>
    <row r="28" spans="1:34" x14ac:dyDescent="0.3">
      <c r="A28" s="1" t="s">
        <v>93</v>
      </c>
      <c r="B28" s="22">
        <v>71214</v>
      </c>
      <c r="C28" s="22">
        <v>71895</v>
      </c>
      <c r="D28" s="1">
        <v>115</v>
      </c>
      <c r="E28" s="22">
        <v>1081</v>
      </c>
      <c r="F28" s="22">
        <v>72919404</v>
      </c>
      <c r="G28" s="3">
        <v>67404.45</v>
      </c>
      <c r="H28" s="3">
        <v>67404.45</v>
      </c>
      <c r="I28" s="1">
        <v>11.72</v>
      </c>
      <c r="J28" s="1">
        <v>11.72</v>
      </c>
      <c r="K28" s="1">
        <v>11.81</v>
      </c>
      <c r="L28" s="1">
        <v>11.763999999999999</v>
      </c>
      <c r="M28" s="1">
        <v>11.81</v>
      </c>
      <c r="N28" s="3">
        <v>67441.960000000006</v>
      </c>
      <c r="O28" t="s">
        <v>94</v>
      </c>
      <c r="P28">
        <v>11.765000000000001</v>
      </c>
      <c r="Q28">
        <v>11.83</v>
      </c>
      <c r="R28" s="33">
        <f>_xlfn.XLOOKUP(A28,Aux!$I:$I,Aux!$K:$K,0,0)</f>
        <v>892</v>
      </c>
      <c r="S28" s="34">
        <f t="shared" si="0"/>
        <v>0.11771001164462147</v>
      </c>
    </row>
    <row r="29" spans="1:34" x14ac:dyDescent="0.3">
      <c r="A29" s="1" t="s">
        <v>95</v>
      </c>
      <c r="B29" s="22">
        <v>149320</v>
      </c>
      <c r="C29" s="22">
        <v>149458</v>
      </c>
      <c r="D29" s="1">
        <v>914</v>
      </c>
      <c r="E29" s="22">
        <v>19174</v>
      </c>
      <c r="F29" s="22">
        <v>1258466977</v>
      </c>
      <c r="G29" s="3">
        <v>65559.649999999994</v>
      </c>
      <c r="H29" s="3">
        <v>65559.649999999994</v>
      </c>
      <c r="I29" s="1">
        <v>11.82</v>
      </c>
      <c r="J29" s="1">
        <v>11.734999999999999</v>
      </c>
      <c r="K29" s="1">
        <v>11.84</v>
      </c>
      <c r="L29" s="1">
        <v>11.776999999999999</v>
      </c>
      <c r="M29" s="1">
        <v>11.84</v>
      </c>
      <c r="N29" s="3">
        <v>65613.98</v>
      </c>
      <c r="O29" t="s">
        <v>96</v>
      </c>
      <c r="P29">
        <v>11.82</v>
      </c>
      <c r="Q29">
        <v>11.85</v>
      </c>
      <c r="R29" s="33">
        <f>_xlfn.XLOOKUP(A29,Aux!$I:$I,Aux!$K:$K,0,0)</f>
        <v>953</v>
      </c>
      <c r="S29" s="34">
        <f t="shared" si="0"/>
        <v>0.11787000449121487</v>
      </c>
    </row>
    <row r="30" spans="1:34" x14ac:dyDescent="0.3">
      <c r="A30" s="1" t="s">
        <v>97</v>
      </c>
      <c r="B30" s="22">
        <v>33835</v>
      </c>
      <c r="C30" s="22">
        <v>33931</v>
      </c>
      <c r="D30" s="1">
        <v>26</v>
      </c>
      <c r="E30" s="1">
        <v>191</v>
      </c>
      <c r="F30" s="22">
        <v>12182951</v>
      </c>
      <c r="G30" s="3">
        <v>63699.46</v>
      </c>
      <c r="H30" s="3">
        <v>63699.46</v>
      </c>
      <c r="I30" s="1">
        <v>11.75</v>
      </c>
      <c r="J30" s="1">
        <v>11.75</v>
      </c>
      <c r="K30" s="1">
        <v>11.82</v>
      </c>
      <c r="L30" s="1">
        <v>11.786</v>
      </c>
      <c r="M30" s="1">
        <v>11.795</v>
      </c>
      <c r="N30" s="3">
        <v>63751.01</v>
      </c>
      <c r="O30" t="s">
        <v>98</v>
      </c>
      <c r="P30">
        <v>11.79</v>
      </c>
      <c r="Q30">
        <v>0</v>
      </c>
      <c r="R30" s="33">
        <f>_xlfn.XLOOKUP(A30,Aux!$I:$I,Aux!$K:$K,0,0)</f>
        <v>1017</v>
      </c>
      <c r="S30" s="34">
        <f t="shared" si="0"/>
        <v>0.11800998393733853</v>
      </c>
    </row>
    <row r="31" spans="1:34" x14ac:dyDescent="0.3">
      <c r="A31" s="1" t="s">
        <v>99</v>
      </c>
      <c r="B31" s="22">
        <v>1150229</v>
      </c>
      <c r="C31" s="22">
        <v>1157314</v>
      </c>
      <c r="D31" s="22">
        <v>22403</v>
      </c>
      <c r="E31" s="22">
        <v>115344</v>
      </c>
      <c r="F31" s="22">
        <v>7164247418</v>
      </c>
      <c r="G31" s="3">
        <v>62053.23</v>
      </c>
      <c r="H31" s="3">
        <v>62053.23</v>
      </c>
      <c r="I31" s="1">
        <v>11.79</v>
      </c>
      <c r="J31" s="1">
        <v>11.725</v>
      </c>
      <c r="K31" s="1">
        <v>11.84</v>
      </c>
      <c r="L31" s="1">
        <v>11.787000000000001</v>
      </c>
      <c r="M31" s="1">
        <v>11.835000000000001</v>
      </c>
      <c r="N31" s="3">
        <v>62115.7</v>
      </c>
      <c r="O31" t="s">
        <v>100</v>
      </c>
      <c r="P31">
        <v>11.83</v>
      </c>
      <c r="Q31">
        <v>11.84</v>
      </c>
      <c r="R31" s="33">
        <f>_xlfn.XLOOKUP(A31,Aux!$I:$I,Aux!$K:$K,0,0)</f>
        <v>1077</v>
      </c>
      <c r="S31" s="34">
        <f t="shared" si="0"/>
        <v>0.11786000960395748</v>
      </c>
    </row>
    <row r="32" spans="1:34" x14ac:dyDescent="0.3">
      <c r="A32" s="1" t="s">
        <v>101</v>
      </c>
      <c r="B32" s="22">
        <v>44055</v>
      </c>
      <c r="C32" s="22">
        <v>44338</v>
      </c>
      <c r="D32" s="1">
        <v>64</v>
      </c>
      <c r="E32" s="1">
        <v>911</v>
      </c>
      <c r="F32" s="22">
        <v>55089438</v>
      </c>
      <c r="G32" s="3">
        <v>60401.21</v>
      </c>
      <c r="H32" s="3">
        <v>60401.21</v>
      </c>
      <c r="I32" s="1">
        <v>11.77</v>
      </c>
      <c r="J32" s="1">
        <v>11.765000000000001</v>
      </c>
      <c r="K32" s="1">
        <v>11.81</v>
      </c>
      <c r="L32" s="1">
        <v>11.782</v>
      </c>
      <c r="M32" s="1">
        <v>11.81</v>
      </c>
      <c r="N32" s="3">
        <v>60457.96</v>
      </c>
      <c r="O32" t="s">
        <v>102</v>
      </c>
      <c r="P32">
        <v>0</v>
      </c>
      <c r="Q32">
        <v>0</v>
      </c>
      <c r="R32" s="33">
        <f>_xlfn.XLOOKUP(A32,Aux!$I:$I,Aux!$K:$K,0,0)</f>
        <v>1138</v>
      </c>
      <c r="S32" s="34">
        <f t="shared" si="0"/>
        <v>0.11787999735551025</v>
      </c>
    </row>
    <row r="33" spans="1:35" x14ac:dyDescent="0.3">
      <c r="A33" s="1" t="s">
        <v>103</v>
      </c>
      <c r="B33" s="22">
        <v>70961</v>
      </c>
      <c r="C33" s="22">
        <v>70588</v>
      </c>
      <c r="D33" s="1">
        <v>148</v>
      </c>
      <c r="E33" s="22">
        <v>1525</v>
      </c>
      <c r="F33" s="22">
        <v>89695839</v>
      </c>
      <c r="G33" s="3">
        <v>58736.35</v>
      </c>
      <c r="H33" s="3">
        <v>58736.35</v>
      </c>
      <c r="I33" s="1">
        <v>11.805</v>
      </c>
      <c r="J33" s="1">
        <v>11.765000000000001</v>
      </c>
      <c r="K33" s="1">
        <v>11.83</v>
      </c>
      <c r="L33" s="1">
        <v>11.78</v>
      </c>
      <c r="M33" s="1">
        <v>11.815</v>
      </c>
      <c r="N33" s="3">
        <v>58796.94</v>
      </c>
      <c r="O33" t="s">
        <v>104</v>
      </c>
      <c r="P33">
        <v>0</v>
      </c>
      <c r="Q33">
        <v>0</v>
      </c>
      <c r="R33" s="33">
        <f>_xlfn.XLOOKUP(A33,Aux!$I:$I,Aux!$K:$K,0,0)</f>
        <v>1201</v>
      </c>
      <c r="S33" s="34">
        <f t="shared" si="0"/>
        <v>0.11787998016495238</v>
      </c>
      <c r="AI33" t="s">
        <v>301</v>
      </c>
    </row>
    <row r="34" spans="1:35" x14ac:dyDescent="0.3">
      <c r="A34" s="1" t="s">
        <v>105</v>
      </c>
      <c r="B34" s="22">
        <v>649696</v>
      </c>
      <c r="C34" s="22">
        <v>657087</v>
      </c>
      <c r="D34" s="22">
        <v>3799</v>
      </c>
      <c r="E34" s="22">
        <v>47319</v>
      </c>
      <c r="F34" s="22">
        <v>2630827387</v>
      </c>
      <c r="G34" s="3">
        <v>55527.66</v>
      </c>
      <c r="H34" s="3">
        <v>55527.66</v>
      </c>
      <c r="I34" s="1">
        <v>11.83</v>
      </c>
      <c r="J34" s="1">
        <v>11.75</v>
      </c>
      <c r="K34" s="1">
        <v>11.86</v>
      </c>
      <c r="L34" s="1">
        <v>11.802</v>
      </c>
      <c r="M34" s="1">
        <v>11.86</v>
      </c>
      <c r="N34" s="3">
        <v>55606.34</v>
      </c>
      <c r="O34" t="s">
        <v>106</v>
      </c>
      <c r="P34">
        <v>11.84</v>
      </c>
      <c r="Q34">
        <v>11.86</v>
      </c>
      <c r="R34" s="33">
        <f>_xlfn.XLOOKUP(A34,Aux!$I:$I,Aux!$K:$K,0,0)</f>
        <v>1326</v>
      </c>
      <c r="S34" s="34">
        <f t="shared" si="0"/>
        <v>0.11798998664573279</v>
      </c>
    </row>
    <row r="35" spans="1:35" x14ac:dyDescent="0.3">
      <c r="A35" s="1" t="s">
        <v>107</v>
      </c>
      <c r="B35" s="22">
        <v>704678</v>
      </c>
      <c r="C35" s="22">
        <v>705031</v>
      </c>
      <c r="D35" s="22">
        <v>11468</v>
      </c>
      <c r="E35" s="22">
        <v>52496</v>
      </c>
      <c r="F35" s="22">
        <v>2616045027</v>
      </c>
      <c r="G35" s="3">
        <v>49729.72</v>
      </c>
      <c r="H35" s="3">
        <v>49729.72</v>
      </c>
      <c r="I35" s="1">
        <v>11.79</v>
      </c>
      <c r="J35" s="1">
        <v>11.71</v>
      </c>
      <c r="K35" s="1">
        <v>11.82</v>
      </c>
      <c r="L35" s="1">
        <v>11.763999999999999</v>
      </c>
      <c r="M35" s="1">
        <v>11.81</v>
      </c>
      <c r="N35" s="3">
        <v>49838.18</v>
      </c>
      <c r="O35" t="s">
        <v>108</v>
      </c>
      <c r="P35">
        <v>11.81</v>
      </c>
      <c r="Q35">
        <v>11.82</v>
      </c>
      <c r="R35" s="33">
        <f>_xlfn.XLOOKUP(A35,Aux!$I:$I,Aux!$K:$K,0,0)</f>
        <v>1578</v>
      </c>
      <c r="S35" s="34">
        <f t="shared" si="0"/>
        <v>0.11763001286088248</v>
      </c>
    </row>
    <row r="36" spans="1:35" x14ac:dyDescent="0.3">
      <c r="A36" s="1" t="s">
        <v>109</v>
      </c>
      <c r="B36" s="22">
        <v>116555</v>
      </c>
      <c r="C36" s="22">
        <v>116534</v>
      </c>
      <c r="D36" s="1">
        <v>55</v>
      </c>
      <c r="E36" s="1">
        <v>288</v>
      </c>
      <c r="F36" s="22">
        <v>12854837</v>
      </c>
      <c r="G36" s="3">
        <v>44552.89</v>
      </c>
      <c r="H36" s="3">
        <v>44552.89</v>
      </c>
      <c r="I36" s="1">
        <v>11.69</v>
      </c>
      <c r="J36" s="1">
        <v>11.69</v>
      </c>
      <c r="K36" s="1">
        <v>11.8</v>
      </c>
      <c r="L36" s="1">
        <v>11.747999999999999</v>
      </c>
      <c r="M36" s="1">
        <v>11.79</v>
      </c>
      <c r="N36" s="3">
        <v>44659.44</v>
      </c>
      <c r="O36" t="s">
        <v>110</v>
      </c>
      <c r="P36">
        <v>0</v>
      </c>
      <c r="Q36">
        <v>11.81</v>
      </c>
      <c r="R36" s="33">
        <f>_xlfn.XLOOKUP(A36,Aux!$I:$I,Aux!$K:$K,0,0)</f>
        <v>1830</v>
      </c>
      <c r="S36" s="34">
        <f t="shared" si="0"/>
        <v>0.11739999233638465</v>
      </c>
    </row>
    <row r="37" spans="1:35" x14ac:dyDescent="0.3">
      <c r="A37" s="1" t="s">
        <v>111</v>
      </c>
      <c r="B37" s="22">
        <v>438977</v>
      </c>
      <c r="C37" s="22">
        <v>437808</v>
      </c>
      <c r="D37" s="22">
        <v>3443</v>
      </c>
      <c r="E37" s="22">
        <v>12217</v>
      </c>
      <c r="F37" s="22">
        <v>488561160</v>
      </c>
      <c r="G37" s="3">
        <v>39906.28</v>
      </c>
      <c r="H37" s="3">
        <v>39906.28</v>
      </c>
      <c r="I37" s="1">
        <v>11.73</v>
      </c>
      <c r="J37" s="1">
        <v>11.68</v>
      </c>
      <c r="K37" s="1">
        <v>11.79</v>
      </c>
      <c r="L37" s="1">
        <v>11.731999999999999</v>
      </c>
      <c r="M37" s="1">
        <v>11.79</v>
      </c>
      <c r="N37" s="3">
        <v>39982.06</v>
      </c>
      <c r="O37" t="s">
        <v>112</v>
      </c>
      <c r="P37">
        <v>11.78</v>
      </c>
      <c r="Q37">
        <v>11.79</v>
      </c>
      <c r="R37" s="33">
        <f>_xlfn.XLOOKUP(A37,Aux!$I:$I,Aux!$K:$K,0,0)</f>
        <v>2082</v>
      </c>
      <c r="S37" s="34">
        <f t="shared" si="0"/>
        <v>0.11734999287475145</v>
      </c>
    </row>
    <row r="38" spans="1:35" x14ac:dyDescent="0.3">
      <c r="A38" s="1" t="s">
        <v>113</v>
      </c>
      <c r="B38" s="22">
        <v>34973</v>
      </c>
      <c r="C38" s="22">
        <v>34996</v>
      </c>
      <c r="D38" s="1">
        <v>18</v>
      </c>
      <c r="E38" s="1">
        <v>59</v>
      </c>
      <c r="F38" s="22">
        <v>2116329</v>
      </c>
      <c r="G38" s="3">
        <v>35814.79</v>
      </c>
      <c r="H38" s="3">
        <v>35814.79</v>
      </c>
      <c r="I38" s="1">
        <v>11.7</v>
      </c>
      <c r="J38" s="1">
        <v>11.68</v>
      </c>
      <c r="K38" s="1">
        <v>11.76</v>
      </c>
      <c r="L38" s="1">
        <v>11.711</v>
      </c>
      <c r="M38" s="1">
        <v>11.76</v>
      </c>
      <c r="N38" s="3">
        <v>35911.599999999999</v>
      </c>
      <c r="O38" t="s">
        <v>114</v>
      </c>
      <c r="P38">
        <v>0</v>
      </c>
      <c r="Q38">
        <v>0</v>
      </c>
      <c r="R38" s="33">
        <f>_xlfn.XLOOKUP(A38,Aux!$I:$I,Aux!$K:$K,0,0)</f>
        <v>2333</v>
      </c>
      <c r="S38" s="34">
        <f t="shared" si="0"/>
        <v>0.11697000179974371</v>
      </c>
    </row>
    <row r="39" spans="1:35" x14ac:dyDescent="0.3">
      <c r="A39" s="1" t="s">
        <v>115</v>
      </c>
      <c r="B39" s="22">
        <v>217514</v>
      </c>
      <c r="C39" s="22">
        <v>219479</v>
      </c>
      <c r="D39" s="22">
        <v>1359</v>
      </c>
      <c r="E39" s="22">
        <v>13479</v>
      </c>
      <c r="F39" s="22">
        <v>434108051</v>
      </c>
      <c r="G39" s="3">
        <v>32135.1</v>
      </c>
      <c r="H39" s="3">
        <v>32135.1</v>
      </c>
      <c r="I39" s="1">
        <v>11.72</v>
      </c>
      <c r="J39" s="1">
        <v>11.65</v>
      </c>
      <c r="K39" s="1">
        <v>11.76</v>
      </c>
      <c r="L39" s="1">
        <v>11.696999999999999</v>
      </c>
      <c r="M39" s="1">
        <v>11.75</v>
      </c>
      <c r="N39" s="3">
        <v>32192.65</v>
      </c>
      <c r="O39" t="s">
        <v>116</v>
      </c>
      <c r="P39">
        <v>11.75</v>
      </c>
      <c r="Q39">
        <v>11.76</v>
      </c>
      <c r="R39" s="33">
        <f>_xlfn.XLOOKUP(A39,Aux!$I:$I,Aux!$K:$K,0,0)</f>
        <v>2581</v>
      </c>
      <c r="S39" s="34">
        <f t="shared" si="0"/>
        <v>0.1170199948627042</v>
      </c>
    </row>
    <row r="40" spans="1:35" x14ac:dyDescent="0.3">
      <c r="A40" s="1" t="s">
        <v>117</v>
      </c>
      <c r="B40" s="22">
        <v>21980</v>
      </c>
      <c r="C40" s="22">
        <v>21980</v>
      </c>
      <c r="D40" s="1">
        <v>0</v>
      </c>
      <c r="E40" s="1">
        <v>0</v>
      </c>
      <c r="F40" s="1">
        <v>0</v>
      </c>
      <c r="G40" s="3">
        <v>28859.67</v>
      </c>
      <c r="H40" s="3">
        <v>28859.67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3">
        <v>28916.2</v>
      </c>
      <c r="O40" t="s">
        <v>118</v>
      </c>
      <c r="P40">
        <v>0</v>
      </c>
      <c r="Q40">
        <v>0</v>
      </c>
      <c r="R40" s="33">
        <f>_xlfn.XLOOKUP(A40,Aux!$I:$I,Aux!$K:$K,0,0)</f>
        <v>2830</v>
      </c>
      <c r="S40" s="34">
        <f t="shared" si="0"/>
        <v>0.11682000506519752</v>
      </c>
    </row>
    <row r="41" spans="1:35" x14ac:dyDescent="0.3">
      <c r="A41" s="1" t="s">
        <v>119</v>
      </c>
      <c r="B41" s="22">
        <v>3646</v>
      </c>
      <c r="C41" s="22">
        <v>3646</v>
      </c>
      <c r="D41" s="1">
        <v>0</v>
      </c>
      <c r="E41" s="1">
        <v>0</v>
      </c>
      <c r="F41" s="1">
        <v>0</v>
      </c>
      <c r="G41" s="3">
        <v>25825.19</v>
      </c>
      <c r="H41" s="3">
        <v>25825.19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3">
        <v>25880.2</v>
      </c>
      <c r="O41" t="s">
        <v>120</v>
      </c>
      <c r="P41">
        <v>0</v>
      </c>
      <c r="Q41">
        <v>0</v>
      </c>
      <c r="R41" s="33">
        <f>_xlfn.XLOOKUP(A41,Aux!$I:$I,Aux!$K:$K,0,0)</f>
        <v>3083</v>
      </c>
      <c r="S41" s="34">
        <f t="shared" si="0"/>
        <v>0.11682000455587227</v>
      </c>
    </row>
    <row r="42" spans="1:35" x14ac:dyDescent="0.3">
      <c r="A42" s="1" t="s">
        <v>121</v>
      </c>
      <c r="B42" s="22">
        <v>2200</v>
      </c>
      <c r="C42" s="22">
        <v>2200</v>
      </c>
      <c r="D42" s="1">
        <v>0</v>
      </c>
      <c r="E42" s="1">
        <v>0</v>
      </c>
      <c r="F42" s="1">
        <v>0</v>
      </c>
      <c r="G42" s="3">
        <v>23150.41</v>
      </c>
      <c r="H42" s="3">
        <v>23150.41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3">
        <v>23203.62</v>
      </c>
      <c r="O42" t="s">
        <v>122</v>
      </c>
      <c r="P42">
        <v>0</v>
      </c>
      <c r="Q42">
        <v>0</v>
      </c>
      <c r="R42" s="33">
        <f>_xlfn.XLOOKUP(A42,Aux!$I:$I,Aux!$K:$K,0,0)</f>
        <v>3332</v>
      </c>
      <c r="S42" s="34">
        <f t="shared" si="0"/>
        <v>0.11681999047617908</v>
      </c>
    </row>
    <row r="43" spans="1:35" x14ac:dyDescent="0.3">
      <c r="A43" s="1" t="s">
        <v>123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3">
        <v>20734.439999999999</v>
      </c>
      <c r="H43" s="3">
        <v>20734.439999999999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3">
        <v>20785.62</v>
      </c>
      <c r="O43" t="s">
        <v>124</v>
      </c>
      <c r="P43">
        <v>0</v>
      </c>
      <c r="Q43">
        <v>0</v>
      </c>
      <c r="R43" s="33">
        <f>_xlfn.XLOOKUP(A43,Aux!$I:$I,Aux!$K:$K,0,0)</f>
        <v>3583</v>
      </c>
      <c r="S43" s="34">
        <f>(($N$4/N43)^(252/R43)-1)</f>
        <v>0.11681998896892032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1192F-9C4B-4ABD-9834-753AA91E6E49}">
  <sheetPr codeName="Sheet3">
    <tabColor rgb="FFC00000"/>
  </sheetPr>
  <dimension ref="A1:AK44"/>
  <sheetViews>
    <sheetView showGridLines="0" topLeftCell="Y4" zoomScale="145" zoomScaleNormal="145" workbookViewId="0">
      <selection activeCell="AE6" sqref="AE6"/>
    </sheetView>
  </sheetViews>
  <sheetFormatPr defaultRowHeight="13.8" outlineLevelCol="1" x14ac:dyDescent="0.3"/>
  <cols>
    <col min="2" max="13" width="0" hidden="1" customWidth="1" outlineLevel="1"/>
    <col min="14" max="14" width="9.88671875" bestFit="1" customWidth="1" collapsed="1"/>
    <col min="15" max="18" width="0" hidden="1" customWidth="1" outlineLevel="1"/>
    <col min="19" max="19" width="8.88671875" collapsed="1"/>
    <col min="23" max="23" width="12" bestFit="1" customWidth="1"/>
    <col min="24" max="24" width="10.109375" bestFit="1" customWidth="1"/>
    <col min="34" max="34" width="11" bestFit="1" customWidth="1"/>
  </cols>
  <sheetData>
    <row r="1" spans="1:37" x14ac:dyDescent="0.3">
      <c r="A1" s="21" t="s">
        <v>231</v>
      </c>
    </row>
    <row r="2" spans="1:37" x14ac:dyDescent="0.3">
      <c r="A2" s="4" t="s">
        <v>232</v>
      </c>
    </row>
    <row r="4" spans="1:37" ht="14.4" thickBot="1" x14ac:dyDescent="0.35">
      <c r="A4" s="32" t="s">
        <v>163</v>
      </c>
      <c r="N4" s="62">
        <v>100000</v>
      </c>
    </row>
    <row r="5" spans="1:37" x14ac:dyDescent="0.3">
      <c r="A5" s="2" t="s">
        <v>32</v>
      </c>
      <c r="B5" s="2" t="s">
        <v>33</v>
      </c>
      <c r="C5" s="2" t="s">
        <v>34</v>
      </c>
      <c r="D5" s="2" t="s">
        <v>35</v>
      </c>
      <c r="E5" s="2" t="s">
        <v>36</v>
      </c>
      <c r="F5" s="2" t="s">
        <v>37</v>
      </c>
      <c r="G5" s="2" t="s">
        <v>38</v>
      </c>
      <c r="H5" s="2" t="s">
        <v>39</v>
      </c>
      <c r="I5" s="2" t="s">
        <v>40</v>
      </c>
      <c r="J5" s="2" t="s">
        <v>41</v>
      </c>
      <c r="K5" s="2" t="s">
        <v>42</v>
      </c>
      <c r="L5" s="2" t="s">
        <v>43</v>
      </c>
      <c r="M5" s="2" t="s">
        <v>44</v>
      </c>
      <c r="N5" s="2" t="s">
        <v>45</v>
      </c>
      <c r="O5" t="s">
        <v>46</v>
      </c>
      <c r="P5" t="s">
        <v>47</v>
      </c>
      <c r="Q5" t="s">
        <v>48</v>
      </c>
      <c r="S5" s="2" t="s">
        <v>166</v>
      </c>
      <c r="T5" s="2" t="s">
        <v>164</v>
      </c>
      <c r="AG5" s="93" t="s">
        <v>295</v>
      </c>
      <c r="AH5" s="94"/>
      <c r="AI5" s="94"/>
      <c r="AJ5" s="94"/>
      <c r="AK5" s="95"/>
    </row>
    <row r="6" spans="1:37" x14ac:dyDescent="0.3">
      <c r="A6" s="66" t="s">
        <v>275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66" t="s">
        <v>275</v>
      </c>
      <c r="S6" s="33">
        <v>1</v>
      </c>
      <c r="T6" s="67">
        <f>$AJ$9</f>
        <v>-70.610733628896583</v>
      </c>
      <c r="AG6" s="96" t="s">
        <v>282</v>
      </c>
      <c r="AK6" s="97"/>
    </row>
    <row r="7" spans="1:37" x14ac:dyDescent="0.3">
      <c r="A7" s="1" t="s">
        <v>49</v>
      </c>
      <c r="B7" s="22">
        <v>740204</v>
      </c>
      <c r="C7" s="22">
        <v>725487</v>
      </c>
      <c r="D7" s="1">
        <v>2</v>
      </c>
      <c r="E7" s="22">
        <v>5407</v>
      </c>
      <c r="F7" s="22">
        <v>1520753001</v>
      </c>
      <c r="G7" s="3">
        <v>100164.39</v>
      </c>
      <c r="H7" s="3">
        <v>100164.39</v>
      </c>
      <c r="I7" s="1">
        <v>-2.8000000000000001E-2</v>
      </c>
      <c r="J7" s="1">
        <v>-2.8000000000000001E-2</v>
      </c>
      <c r="K7" s="1">
        <v>1.546</v>
      </c>
      <c r="L7" s="1">
        <v>8.6999999999999994E-2</v>
      </c>
      <c r="M7" s="1">
        <v>1.546</v>
      </c>
      <c r="N7" s="3">
        <v>100017.06</v>
      </c>
      <c r="O7" t="s">
        <v>233</v>
      </c>
      <c r="P7">
        <v>0</v>
      </c>
      <c r="Q7">
        <v>0</v>
      </c>
      <c r="S7" s="33">
        <f>_xlfn.XLOOKUP(A7,Aux!$I$2:$I$39,Aux!$L$2:$L$39,0,0)</f>
        <v>20</v>
      </c>
      <c r="T7" s="91">
        <f>((($N$4/N7)-1)*360/S7)*100</f>
        <v>-0.30702762108782977</v>
      </c>
      <c r="AG7" s="96"/>
      <c r="AK7" s="97"/>
    </row>
    <row r="8" spans="1:37" x14ac:dyDescent="0.3">
      <c r="A8" s="1" t="s">
        <v>51</v>
      </c>
      <c r="B8" s="22">
        <v>414530</v>
      </c>
      <c r="C8" s="22">
        <v>430810</v>
      </c>
      <c r="D8" s="1">
        <v>1</v>
      </c>
      <c r="E8" s="1">
        <v>400</v>
      </c>
      <c r="F8" s="22">
        <v>111763836</v>
      </c>
      <c r="G8" s="3">
        <v>99594.91</v>
      </c>
      <c r="H8" s="3">
        <v>99594.91</v>
      </c>
      <c r="I8" s="1">
        <v>4.7</v>
      </c>
      <c r="J8" s="1">
        <v>4.7</v>
      </c>
      <c r="K8" s="1">
        <v>4.7</v>
      </c>
      <c r="L8" s="1">
        <v>4.7</v>
      </c>
      <c r="M8" s="1">
        <v>4.7</v>
      </c>
      <c r="N8" s="3">
        <v>99448.43</v>
      </c>
      <c r="O8" t="s">
        <v>234</v>
      </c>
      <c r="P8">
        <v>0</v>
      </c>
      <c r="Q8">
        <v>0</v>
      </c>
      <c r="S8" s="33">
        <f>_xlfn.XLOOKUP(A8,Aux!$I$2:$I$39,Aux!$L$2:$L$39,0,0)</f>
        <v>51</v>
      </c>
      <c r="T8" s="67">
        <f t="shared" ref="T8:T44" si="0">((($N$4/N8)-1)*360/S8)*100</f>
        <v>3.915029421900114</v>
      </c>
      <c r="AG8" s="98" t="s">
        <v>187</v>
      </c>
      <c r="AH8" s="37" t="s">
        <v>273</v>
      </c>
      <c r="AI8" s="37" t="s">
        <v>166</v>
      </c>
      <c r="AJ8" s="37" t="s">
        <v>274</v>
      </c>
      <c r="AK8" s="97"/>
    </row>
    <row r="9" spans="1:37" ht="14.4" thickBot="1" x14ac:dyDescent="0.35">
      <c r="A9" s="1" t="s">
        <v>53</v>
      </c>
      <c r="B9" s="22">
        <v>380742</v>
      </c>
      <c r="C9" s="22">
        <v>381852</v>
      </c>
      <c r="D9" s="1">
        <v>0</v>
      </c>
      <c r="E9" s="1">
        <v>0</v>
      </c>
      <c r="F9" s="1">
        <v>0</v>
      </c>
      <c r="G9" s="3">
        <v>99117.91</v>
      </c>
      <c r="H9" s="3">
        <v>99117.91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3">
        <v>98968.89</v>
      </c>
      <c r="O9" t="s">
        <v>235</v>
      </c>
      <c r="P9">
        <v>0</v>
      </c>
      <c r="Q9">
        <v>0</v>
      </c>
      <c r="S9" s="33">
        <f>_xlfn.XLOOKUP(A9,Aux!$I$2:$I$39,Aux!$L$2:$L$39,0,0)</f>
        <v>82</v>
      </c>
      <c r="T9" s="67">
        <f t="shared" si="0"/>
        <v>4.5739872299708866</v>
      </c>
      <c r="AG9" s="99">
        <f>((1+'DI1'!$S$6)^(1/252))</f>
        <v>1.0003982297371778</v>
      </c>
      <c r="AH9" s="100">
        <f>(Aux!$R$3/Aux!$R$2)</f>
        <v>1.0023642763181284</v>
      </c>
      <c r="AI9" s="101">
        <v>1</v>
      </c>
      <c r="AJ9" s="102">
        <f>(($AG$9)/($AH$9)-1)*360/$AI$9*100</f>
        <v>-70.610733628896583</v>
      </c>
      <c r="AK9" s="103"/>
    </row>
    <row r="10" spans="1:37" x14ac:dyDescent="0.3">
      <c r="A10" s="1" t="s">
        <v>55</v>
      </c>
      <c r="B10" s="22">
        <v>510924</v>
      </c>
      <c r="C10" s="22">
        <v>512549</v>
      </c>
      <c r="D10" s="1">
        <v>0</v>
      </c>
      <c r="E10" s="1">
        <v>0</v>
      </c>
      <c r="F10" s="1">
        <v>0</v>
      </c>
      <c r="G10" s="3">
        <v>98585.31</v>
      </c>
      <c r="H10" s="3">
        <v>98585.31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3">
        <v>98432.9</v>
      </c>
      <c r="O10" t="s">
        <v>236</v>
      </c>
      <c r="P10">
        <v>0</v>
      </c>
      <c r="Q10">
        <v>0</v>
      </c>
      <c r="S10" s="33">
        <f>_xlfn.XLOOKUP(A10,Aux!$I$2:$I$39,Aux!$L$2:$L$39,0,0)</f>
        <v>113</v>
      </c>
      <c r="T10" s="67">
        <f t="shared" si="0"/>
        <v>5.072014512882741</v>
      </c>
    </row>
    <row r="11" spans="1:37" x14ac:dyDescent="0.3">
      <c r="A11" s="1" t="s">
        <v>57</v>
      </c>
      <c r="B11" s="22">
        <v>271080</v>
      </c>
      <c r="C11" s="22">
        <v>266180</v>
      </c>
      <c r="D11" s="1">
        <v>0</v>
      </c>
      <c r="E11" s="1">
        <v>0</v>
      </c>
      <c r="F11" s="1">
        <v>0</v>
      </c>
      <c r="G11" s="3">
        <v>98086.92</v>
      </c>
      <c r="H11" s="3">
        <v>98086.92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3">
        <v>97929.21</v>
      </c>
      <c r="O11" t="s">
        <v>237</v>
      </c>
      <c r="P11">
        <v>0</v>
      </c>
      <c r="Q11">
        <v>0</v>
      </c>
      <c r="S11" s="33">
        <f>_xlfn.XLOOKUP(A11,Aux!$I$2:$I$39,Aux!$L$2:$L$39,0,0)</f>
        <v>145</v>
      </c>
      <c r="T11" s="67">
        <f t="shared" si="0"/>
        <v>5.2499879495993991</v>
      </c>
      <c r="AH11" s="63"/>
    </row>
    <row r="12" spans="1:37" x14ac:dyDescent="0.3">
      <c r="A12" s="1" t="s">
        <v>59</v>
      </c>
      <c r="B12" s="22">
        <v>165950</v>
      </c>
      <c r="C12" s="22">
        <v>166050</v>
      </c>
      <c r="D12" s="1">
        <v>0</v>
      </c>
      <c r="E12" s="1">
        <v>0</v>
      </c>
      <c r="F12" s="1">
        <v>0</v>
      </c>
      <c r="G12" s="3">
        <v>97649.96</v>
      </c>
      <c r="H12" s="3">
        <v>97649.96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3">
        <v>97486.01</v>
      </c>
      <c r="O12" t="s">
        <v>238</v>
      </c>
      <c r="P12">
        <v>0</v>
      </c>
      <c r="Q12">
        <v>0</v>
      </c>
      <c r="S12" s="33">
        <f>_xlfn.XLOOKUP(A12,Aux!$I$2:$I$39,Aux!$L$2:$L$39,0,0)</f>
        <v>175</v>
      </c>
      <c r="T12" s="67">
        <f t="shared" si="0"/>
        <v>5.3050038374004362</v>
      </c>
      <c r="AG12" s="37" t="s">
        <v>284</v>
      </c>
    </row>
    <row r="13" spans="1:37" x14ac:dyDescent="0.3">
      <c r="A13" s="1" t="s">
        <v>61</v>
      </c>
      <c r="B13" s="22">
        <v>241156</v>
      </c>
      <c r="C13" s="22">
        <v>241546</v>
      </c>
      <c r="D13" s="1">
        <v>0</v>
      </c>
      <c r="E13" s="1">
        <v>0</v>
      </c>
      <c r="F13" s="1">
        <v>0</v>
      </c>
      <c r="G13" s="3">
        <v>97272.57</v>
      </c>
      <c r="H13" s="3">
        <v>97272.57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3">
        <v>97105.65</v>
      </c>
      <c r="O13" t="s">
        <v>239</v>
      </c>
      <c r="P13">
        <v>0</v>
      </c>
      <c r="Q13">
        <v>0</v>
      </c>
      <c r="S13" s="33">
        <f>_xlfn.XLOOKUP(A13,Aux!$I$2:$I$39,Aux!$L$2:$L$39,0,0)</f>
        <v>202</v>
      </c>
      <c r="T13" s="67">
        <f t="shared" si="0"/>
        <v>5.3119952595472091</v>
      </c>
    </row>
    <row r="14" spans="1:37" x14ac:dyDescent="0.3">
      <c r="A14" s="1" t="s">
        <v>63</v>
      </c>
      <c r="B14" s="22">
        <v>74150</v>
      </c>
      <c r="C14" s="22">
        <v>74900</v>
      </c>
      <c r="D14" s="1">
        <v>1</v>
      </c>
      <c r="E14" s="1">
        <v>500</v>
      </c>
      <c r="F14" s="22">
        <v>135885795</v>
      </c>
      <c r="G14" s="3">
        <v>96830.22</v>
      </c>
      <c r="H14" s="3">
        <v>96830.22</v>
      </c>
      <c r="I14" s="1">
        <v>5.4</v>
      </c>
      <c r="J14" s="1">
        <v>5.4</v>
      </c>
      <c r="K14" s="1">
        <v>5.4</v>
      </c>
      <c r="L14" s="1">
        <v>5.4</v>
      </c>
      <c r="M14" s="1">
        <v>5.4</v>
      </c>
      <c r="N14" s="3">
        <v>96659.9</v>
      </c>
      <c r="O14" t="s">
        <v>240</v>
      </c>
      <c r="P14">
        <v>0</v>
      </c>
      <c r="Q14">
        <v>0</v>
      </c>
      <c r="S14" s="33">
        <f>_xlfn.XLOOKUP(A14,Aux!$I$2:$I$39,Aux!$L$2:$L$39,0,0)</f>
        <v>233</v>
      </c>
      <c r="T14" s="67">
        <f t="shared" si="0"/>
        <v>5.3389973793651651</v>
      </c>
      <c r="AG14" t="s">
        <v>285</v>
      </c>
      <c r="AI14" s="9" t="s">
        <v>197</v>
      </c>
    </row>
    <row r="15" spans="1:37" x14ac:dyDescent="0.3">
      <c r="A15" s="1" t="s">
        <v>65</v>
      </c>
      <c r="B15" s="22">
        <v>63810</v>
      </c>
      <c r="C15" s="22">
        <v>63710</v>
      </c>
      <c r="D15" s="1">
        <v>0</v>
      </c>
      <c r="E15" s="1">
        <v>0</v>
      </c>
      <c r="F15" s="1">
        <v>0</v>
      </c>
      <c r="G15" s="3">
        <v>96444.64</v>
      </c>
      <c r="H15" s="3">
        <v>96444.64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3">
        <v>96271.66</v>
      </c>
      <c r="O15" t="s">
        <v>241</v>
      </c>
      <c r="P15">
        <v>0</v>
      </c>
      <c r="Q15">
        <v>0</v>
      </c>
      <c r="S15" s="33">
        <f>_xlfn.XLOOKUP(A15,Aux!$I$2:$I$39,Aux!$L$2:$L$39,0,0)</f>
        <v>264</v>
      </c>
      <c r="T15" s="67">
        <f t="shared" si="0"/>
        <v>5.2809933889163201</v>
      </c>
    </row>
    <row r="16" spans="1:37" x14ac:dyDescent="0.3">
      <c r="A16" s="1" t="s">
        <v>67</v>
      </c>
      <c r="B16" s="22">
        <v>187196</v>
      </c>
      <c r="C16" s="22">
        <v>178106</v>
      </c>
      <c r="D16" s="1">
        <v>0</v>
      </c>
      <c r="E16" s="1">
        <v>0</v>
      </c>
      <c r="F16" s="1">
        <v>0</v>
      </c>
      <c r="G16" s="3">
        <v>96091.37</v>
      </c>
      <c r="H16" s="3">
        <v>96091.37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3">
        <v>95908.17</v>
      </c>
      <c r="O16" t="s">
        <v>242</v>
      </c>
      <c r="P16">
        <v>0</v>
      </c>
      <c r="Q16">
        <v>0</v>
      </c>
      <c r="S16" s="33">
        <f>_xlfn.XLOOKUP(A16,Aux!$I$2:$I$39,Aux!$L$2:$L$39,0,0)</f>
        <v>293</v>
      </c>
      <c r="T16" s="67">
        <f t="shared" si="0"/>
        <v>5.2419980871911909</v>
      </c>
      <c r="AG16" s="4" t="s">
        <v>286</v>
      </c>
    </row>
    <row r="17" spans="1:20" x14ac:dyDescent="0.3">
      <c r="A17" s="1" t="s">
        <v>69</v>
      </c>
      <c r="B17" s="22">
        <v>42670</v>
      </c>
      <c r="C17" s="22">
        <v>43510</v>
      </c>
      <c r="D17" s="1">
        <v>0</v>
      </c>
      <c r="E17" s="1">
        <v>0</v>
      </c>
      <c r="F17" s="1">
        <v>0</v>
      </c>
      <c r="G17" s="3">
        <v>95672.13</v>
      </c>
      <c r="H17" s="3">
        <v>95672.13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3">
        <v>95493.11</v>
      </c>
      <c r="O17" t="s">
        <v>243</v>
      </c>
      <c r="P17">
        <v>0</v>
      </c>
      <c r="Q17">
        <v>0</v>
      </c>
      <c r="S17" s="33">
        <f>_xlfn.XLOOKUP(A17,Aux!$I$2:$I$39,Aux!$L$2:$L$39,0,0)</f>
        <v>324</v>
      </c>
      <c r="T17" s="67">
        <f t="shared" si="0"/>
        <v>5.2439967192979209</v>
      </c>
    </row>
    <row r="18" spans="1:20" x14ac:dyDescent="0.3">
      <c r="A18" s="1" t="s">
        <v>71</v>
      </c>
      <c r="B18" s="22">
        <v>36050</v>
      </c>
      <c r="C18" s="22">
        <v>36050</v>
      </c>
      <c r="D18" s="1">
        <v>0</v>
      </c>
      <c r="E18" s="1">
        <v>0</v>
      </c>
      <c r="F18" s="1">
        <v>0</v>
      </c>
      <c r="G18" s="3">
        <v>95371.72</v>
      </c>
      <c r="H18" s="3">
        <v>95371.72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3">
        <v>95189.3</v>
      </c>
      <c r="O18" t="s">
        <v>244</v>
      </c>
      <c r="P18">
        <v>0</v>
      </c>
      <c r="Q18">
        <v>0</v>
      </c>
      <c r="S18" s="33">
        <f>_xlfn.XLOOKUP(A18,Aux!$I$2:$I$39,Aux!$L$2:$L$39,0,0)</f>
        <v>355</v>
      </c>
      <c r="T18" s="67">
        <f t="shared" si="0"/>
        <v>5.1250049512163232</v>
      </c>
    </row>
    <row r="19" spans="1:20" x14ac:dyDescent="0.3">
      <c r="A19" s="1" t="s">
        <v>73</v>
      </c>
      <c r="B19" s="22">
        <v>105770</v>
      </c>
      <c r="C19" s="22">
        <v>105560</v>
      </c>
      <c r="D19" s="1">
        <v>0</v>
      </c>
      <c r="E19" s="1">
        <v>0</v>
      </c>
      <c r="F19" s="1">
        <v>0</v>
      </c>
      <c r="G19" s="3">
        <v>95002.02</v>
      </c>
      <c r="H19" s="3">
        <v>95002.02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3">
        <v>94806.77</v>
      </c>
      <c r="O19" t="s">
        <v>245</v>
      </c>
      <c r="P19">
        <v>0</v>
      </c>
      <c r="Q19">
        <v>0</v>
      </c>
      <c r="S19" s="33">
        <f>_xlfn.XLOOKUP(A19,Aux!$I$2:$I$39,Aux!$L$2:$L$39,0,0)</f>
        <v>385</v>
      </c>
      <c r="T19" s="67">
        <f t="shared" si="0"/>
        <v>5.1220047605537733</v>
      </c>
    </row>
    <row r="20" spans="1:20" x14ac:dyDescent="0.3">
      <c r="A20" s="1" t="s">
        <v>75</v>
      </c>
      <c r="B20" s="22">
        <v>230862</v>
      </c>
      <c r="C20" s="22">
        <v>236162</v>
      </c>
      <c r="D20" s="1">
        <v>0</v>
      </c>
      <c r="E20" s="1">
        <v>0</v>
      </c>
      <c r="F20" s="1">
        <v>0</v>
      </c>
      <c r="G20" s="3">
        <v>93938.03</v>
      </c>
      <c r="H20" s="3">
        <v>93938.03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3">
        <v>93721.91</v>
      </c>
      <c r="O20" t="s">
        <v>246</v>
      </c>
      <c r="P20">
        <v>0</v>
      </c>
      <c r="Q20">
        <v>0</v>
      </c>
      <c r="S20" s="33">
        <f>_xlfn.XLOOKUP(A20,Aux!$I$2:$I$39,Aux!$L$2:$L$39,0,0)</f>
        <v>478</v>
      </c>
      <c r="T20" s="67">
        <f t="shared" si="0"/>
        <v>5.0449981431736228</v>
      </c>
    </row>
    <row r="21" spans="1:20" x14ac:dyDescent="0.3">
      <c r="A21" s="1" t="s">
        <v>77</v>
      </c>
      <c r="B21" s="22">
        <v>77734</v>
      </c>
      <c r="C21" s="22">
        <v>77434</v>
      </c>
      <c r="D21" s="1">
        <v>1</v>
      </c>
      <c r="E21" s="1">
        <v>500</v>
      </c>
      <c r="F21" s="22">
        <v>130635495</v>
      </c>
      <c r="G21" s="3">
        <v>93000.05</v>
      </c>
      <c r="H21" s="3">
        <v>93000.05</v>
      </c>
      <c r="I21" s="1">
        <v>4.8600000000000003</v>
      </c>
      <c r="J21" s="1">
        <v>4.8600000000000003</v>
      </c>
      <c r="K21" s="1">
        <v>4.8600000000000003</v>
      </c>
      <c r="L21" s="1">
        <v>4.8600000000000003</v>
      </c>
      <c r="M21" s="1">
        <v>4.8600000000000003</v>
      </c>
      <c r="N21" s="3">
        <v>92797.43</v>
      </c>
      <c r="O21" t="s">
        <v>247</v>
      </c>
      <c r="P21">
        <v>0</v>
      </c>
      <c r="Q21">
        <v>0</v>
      </c>
      <c r="S21" s="33">
        <f>_xlfn.XLOOKUP(A21,Aux!$I$2:$I$39,Aux!$L$2:$L$39,0,0)</f>
        <v>567</v>
      </c>
      <c r="T21" s="67">
        <f t="shared" si="0"/>
        <v>4.9280031973518232</v>
      </c>
    </row>
    <row r="22" spans="1:20" x14ac:dyDescent="0.3">
      <c r="A22" s="1" t="s">
        <v>79</v>
      </c>
      <c r="B22" s="22">
        <v>63410</v>
      </c>
      <c r="C22" s="22">
        <v>65750</v>
      </c>
      <c r="D22" s="1">
        <v>0</v>
      </c>
      <c r="E22" s="1">
        <v>0</v>
      </c>
      <c r="F22" s="1">
        <v>0</v>
      </c>
      <c r="G22" s="3">
        <v>92026.11</v>
      </c>
      <c r="H22" s="3">
        <v>92026.11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3">
        <v>91815.5</v>
      </c>
      <c r="O22" t="s">
        <v>248</v>
      </c>
      <c r="P22">
        <v>0</v>
      </c>
      <c r="Q22">
        <v>0</v>
      </c>
      <c r="S22" s="33">
        <f>_xlfn.XLOOKUP(A22,Aux!$I$2:$I$39,Aux!$L$2:$L$39,0,0)</f>
        <v>658</v>
      </c>
      <c r="T22" s="67">
        <f t="shared" si="0"/>
        <v>4.8770000112059071</v>
      </c>
    </row>
    <row r="23" spans="1:20" x14ac:dyDescent="0.3">
      <c r="A23" s="1" t="s">
        <v>81</v>
      </c>
      <c r="B23" s="22">
        <v>43428</v>
      </c>
      <c r="C23" s="22">
        <v>43328</v>
      </c>
      <c r="D23" s="1">
        <v>0</v>
      </c>
      <c r="E23" s="1">
        <v>0</v>
      </c>
      <c r="F23" s="1">
        <v>0</v>
      </c>
      <c r="G23" s="3">
        <v>91077.19</v>
      </c>
      <c r="H23" s="3">
        <v>91077.19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3">
        <v>90876.39</v>
      </c>
      <c r="O23" t="s">
        <v>249</v>
      </c>
      <c r="P23">
        <v>0</v>
      </c>
      <c r="Q23">
        <v>0</v>
      </c>
      <c r="S23" s="33">
        <f>_xlfn.XLOOKUP(A23,Aux!$I$2:$I$39,Aux!$L$2:$L$39,0,0)</f>
        <v>750</v>
      </c>
      <c r="T23" s="67">
        <f t="shared" si="0"/>
        <v>4.8189995223181761</v>
      </c>
    </row>
    <row r="24" spans="1:20" x14ac:dyDescent="0.3">
      <c r="A24" s="1" t="s">
        <v>83</v>
      </c>
      <c r="B24" s="22">
        <v>123920</v>
      </c>
      <c r="C24" s="22">
        <v>123920</v>
      </c>
      <c r="D24" s="1">
        <v>0</v>
      </c>
      <c r="E24" s="1">
        <v>0</v>
      </c>
      <c r="F24" s="1">
        <v>0</v>
      </c>
      <c r="G24" s="3">
        <v>90089.17</v>
      </c>
      <c r="H24" s="3">
        <v>90089.17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3">
        <v>89883.66</v>
      </c>
      <c r="O24" t="s">
        <v>250</v>
      </c>
      <c r="P24">
        <v>0</v>
      </c>
      <c r="Q24">
        <v>0</v>
      </c>
      <c r="S24" s="33">
        <f>_xlfn.XLOOKUP(A24,Aux!$I$2:$I$39,Aux!$L$2:$L$39,0,0)</f>
        <v>845</v>
      </c>
      <c r="T24" s="67">
        <f t="shared" si="0"/>
        <v>4.7949983345137515</v>
      </c>
    </row>
    <row r="25" spans="1:20" x14ac:dyDescent="0.3">
      <c r="A25" s="1" t="s">
        <v>85</v>
      </c>
      <c r="B25" s="22">
        <v>41140</v>
      </c>
      <c r="C25" s="22">
        <v>41130</v>
      </c>
      <c r="D25" s="1">
        <v>0</v>
      </c>
      <c r="E25" s="1">
        <v>0</v>
      </c>
      <c r="F25" s="1">
        <v>0</v>
      </c>
      <c r="G25" s="3">
        <v>89245.42</v>
      </c>
      <c r="H25" s="3">
        <v>89245.42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3">
        <v>89032.98</v>
      </c>
      <c r="O25" t="s">
        <v>251</v>
      </c>
      <c r="P25">
        <v>0</v>
      </c>
      <c r="Q25">
        <v>0</v>
      </c>
      <c r="S25" s="33">
        <f>_xlfn.XLOOKUP(A25,Aux!$I$2:$I$39,Aux!$L$2:$L$39,0,0)</f>
        <v>932</v>
      </c>
      <c r="T25" s="67">
        <f t="shared" si="0"/>
        <v>4.7579986459316732</v>
      </c>
    </row>
    <row r="26" spans="1:20" x14ac:dyDescent="0.3">
      <c r="A26" s="1" t="s">
        <v>87</v>
      </c>
      <c r="B26" s="22">
        <v>40340</v>
      </c>
      <c r="C26" s="22">
        <v>40190</v>
      </c>
      <c r="D26" s="1">
        <v>0</v>
      </c>
      <c r="E26" s="1">
        <v>0</v>
      </c>
      <c r="F26" s="1">
        <v>0</v>
      </c>
      <c r="G26" s="3">
        <v>88328.41</v>
      </c>
      <c r="H26" s="3">
        <v>88328.41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3">
        <v>88131.62</v>
      </c>
      <c r="O26" t="s">
        <v>252</v>
      </c>
      <c r="P26">
        <v>0</v>
      </c>
      <c r="Q26">
        <v>0</v>
      </c>
      <c r="S26" s="33">
        <f>_xlfn.XLOOKUP(A26,Aux!$I$2:$I$39,Aux!$L$2:$L$39,0,0)</f>
        <v>1023</v>
      </c>
      <c r="T26" s="67">
        <f t="shared" si="0"/>
        <v>4.7389983433076619</v>
      </c>
    </row>
    <row r="27" spans="1:20" x14ac:dyDescent="0.3">
      <c r="A27" s="1" t="s">
        <v>89</v>
      </c>
      <c r="B27" s="22">
        <v>20390</v>
      </c>
      <c r="C27" s="22">
        <v>20390</v>
      </c>
      <c r="D27" s="1">
        <v>0</v>
      </c>
      <c r="E27" s="1">
        <v>0</v>
      </c>
      <c r="F27" s="1">
        <v>0</v>
      </c>
      <c r="G27" s="3">
        <v>87449.68</v>
      </c>
      <c r="H27" s="3">
        <v>87449.68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3">
        <v>87252.73</v>
      </c>
      <c r="O27" t="s">
        <v>253</v>
      </c>
      <c r="P27">
        <v>0</v>
      </c>
      <c r="Q27">
        <v>0</v>
      </c>
      <c r="S27" s="33">
        <f>_xlfn.XLOOKUP(A27,Aux!$I$2:$I$39,Aux!$L$2:$L$39,0,0)</f>
        <v>1115</v>
      </c>
      <c r="T27" s="67">
        <f t="shared" si="0"/>
        <v>4.7169991050979654</v>
      </c>
    </row>
    <row r="28" spans="1:20" x14ac:dyDescent="0.3">
      <c r="A28" s="1" t="s">
        <v>91</v>
      </c>
      <c r="B28" s="22">
        <v>94220</v>
      </c>
      <c r="C28" s="22">
        <v>94230</v>
      </c>
      <c r="D28" s="1">
        <v>0</v>
      </c>
      <c r="E28" s="1">
        <v>0</v>
      </c>
      <c r="F28" s="1">
        <v>0</v>
      </c>
      <c r="G28" s="3">
        <v>86557.66</v>
      </c>
      <c r="H28" s="3">
        <v>86557.66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3">
        <v>86355.07</v>
      </c>
      <c r="O28" t="s">
        <v>254</v>
      </c>
      <c r="P28">
        <v>0</v>
      </c>
      <c r="Q28">
        <v>0</v>
      </c>
      <c r="S28" s="33">
        <f>_xlfn.XLOOKUP(A28,Aux!$I$2:$I$39,Aux!$L$2:$L$39,0,0)</f>
        <v>1209</v>
      </c>
      <c r="T28" s="67">
        <f t="shared" si="0"/>
        <v>4.7050004725986598</v>
      </c>
    </row>
    <row r="29" spans="1:20" x14ac:dyDescent="0.3">
      <c r="A29" s="1" t="s">
        <v>93</v>
      </c>
      <c r="B29" s="22">
        <v>17630</v>
      </c>
      <c r="C29" s="22">
        <v>18230</v>
      </c>
      <c r="D29" s="1">
        <v>0</v>
      </c>
      <c r="E29" s="1">
        <v>0</v>
      </c>
      <c r="F29" s="1">
        <v>0</v>
      </c>
      <c r="G29" s="3">
        <v>85771.22</v>
      </c>
      <c r="H29" s="3">
        <v>85771.22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3">
        <v>85540.56</v>
      </c>
      <c r="O29" t="s">
        <v>255</v>
      </c>
      <c r="P29">
        <v>0</v>
      </c>
      <c r="Q29">
        <v>0</v>
      </c>
      <c r="S29" s="33">
        <f>_xlfn.XLOOKUP(A29,Aux!$I$2:$I$39,Aux!$L$2:$L$39,0,0)</f>
        <v>1300</v>
      </c>
      <c r="T29" s="67">
        <f t="shared" si="0"/>
        <v>4.680998833050209</v>
      </c>
    </row>
    <row r="30" spans="1:20" x14ac:dyDescent="0.3">
      <c r="A30" s="1" t="s">
        <v>95</v>
      </c>
      <c r="B30" s="22">
        <v>18970</v>
      </c>
      <c r="C30" s="22">
        <v>18760</v>
      </c>
      <c r="D30" s="1">
        <v>0</v>
      </c>
      <c r="E30" s="1">
        <v>0</v>
      </c>
      <c r="F30" s="1">
        <v>0</v>
      </c>
      <c r="G30" s="3">
        <v>84876.66</v>
      </c>
      <c r="H30" s="3">
        <v>84876.66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3">
        <v>84641.88</v>
      </c>
      <c r="O30" t="s">
        <v>256</v>
      </c>
      <c r="P30">
        <v>0</v>
      </c>
      <c r="Q30">
        <v>0</v>
      </c>
      <c r="S30" s="33">
        <f>_xlfn.XLOOKUP(A30,Aux!$I$2:$I$39,Aux!$L$2:$L$39,0,0)</f>
        <v>1391</v>
      </c>
      <c r="T30" s="67">
        <f t="shared" si="0"/>
        <v>4.6960004123120136</v>
      </c>
    </row>
    <row r="31" spans="1:20" x14ac:dyDescent="0.3">
      <c r="A31" s="1" t="s">
        <v>97</v>
      </c>
      <c r="B31" s="22">
        <v>9150</v>
      </c>
      <c r="C31" s="22">
        <v>9200</v>
      </c>
      <c r="D31" s="1">
        <v>0</v>
      </c>
      <c r="E31" s="1">
        <v>0</v>
      </c>
      <c r="F31" s="1">
        <v>0</v>
      </c>
      <c r="G31" s="3">
        <v>83966.49</v>
      </c>
      <c r="H31" s="3">
        <v>83966.49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3">
        <v>83730.59</v>
      </c>
      <c r="O31" t="s">
        <v>257</v>
      </c>
      <c r="P31">
        <v>0</v>
      </c>
      <c r="Q31">
        <v>0</v>
      </c>
      <c r="S31" s="33">
        <f>_xlfn.XLOOKUP(A31,Aux!$I$2:$I$39,Aux!$L$2:$L$39,0,0)</f>
        <v>1482</v>
      </c>
      <c r="T31" s="67">
        <f t="shared" si="0"/>
        <v>4.7199994659176774</v>
      </c>
    </row>
    <row r="32" spans="1:20" x14ac:dyDescent="0.3">
      <c r="A32" s="1" t="s">
        <v>99</v>
      </c>
      <c r="B32" s="22">
        <v>59520</v>
      </c>
      <c r="C32" s="22">
        <v>59720</v>
      </c>
      <c r="D32" s="1">
        <v>0</v>
      </c>
      <c r="E32" s="1">
        <v>0</v>
      </c>
      <c r="F32" s="1">
        <v>0</v>
      </c>
      <c r="G32" s="3">
        <v>83031.75</v>
      </c>
      <c r="H32" s="3">
        <v>83031.75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3">
        <v>82821.34</v>
      </c>
      <c r="O32" t="s">
        <v>258</v>
      </c>
      <c r="P32">
        <v>0</v>
      </c>
      <c r="Q32">
        <v>0</v>
      </c>
      <c r="S32" s="33">
        <f>_xlfn.XLOOKUP(A32,Aux!$I$2:$I$39,Aux!$L$2:$L$39,0,0)</f>
        <v>1574</v>
      </c>
      <c r="T32" s="67">
        <f t="shared" si="0"/>
        <v>4.7440013518248945</v>
      </c>
    </row>
    <row r="33" spans="1:20" x14ac:dyDescent="0.3">
      <c r="A33" s="1" t="s">
        <v>101</v>
      </c>
      <c r="B33" s="22">
        <v>11390</v>
      </c>
      <c r="C33" s="22">
        <v>11390</v>
      </c>
      <c r="D33" s="1">
        <v>0</v>
      </c>
      <c r="E33" s="1">
        <v>0</v>
      </c>
      <c r="F33" s="1">
        <v>0</v>
      </c>
      <c r="G33" s="3">
        <v>82155.98</v>
      </c>
      <c r="H33" s="3">
        <v>82155.98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3">
        <v>81944.289999999994</v>
      </c>
      <c r="O33" t="s">
        <v>259</v>
      </c>
      <c r="P33">
        <v>0</v>
      </c>
      <c r="Q33">
        <v>0</v>
      </c>
      <c r="S33" s="33">
        <f>_xlfn.XLOOKUP(A33,Aux!$I$2:$I$39,Aux!$L$2:$L$39,0,0)</f>
        <v>1664</v>
      </c>
      <c r="T33" s="67">
        <f t="shared" si="0"/>
        <v>4.7669989128730519</v>
      </c>
    </row>
    <row r="34" spans="1:20" x14ac:dyDescent="0.3">
      <c r="A34" s="1" t="s">
        <v>103</v>
      </c>
      <c r="B34" s="22">
        <v>20020</v>
      </c>
      <c r="C34" s="22">
        <v>19780</v>
      </c>
      <c r="D34" s="1">
        <v>0</v>
      </c>
      <c r="E34" s="1">
        <v>0</v>
      </c>
      <c r="F34" s="1">
        <v>0</v>
      </c>
      <c r="G34" s="3">
        <v>81312.960000000006</v>
      </c>
      <c r="H34" s="3">
        <v>81312.960000000006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3">
        <v>81098.149999999994</v>
      </c>
      <c r="O34" t="s">
        <v>260</v>
      </c>
      <c r="P34">
        <v>0</v>
      </c>
      <c r="Q34">
        <v>0</v>
      </c>
      <c r="S34" s="33">
        <f>_xlfn.XLOOKUP(A34,Aux!$I$2:$I$39,Aux!$L$2:$L$39,0,0)</f>
        <v>1755</v>
      </c>
      <c r="T34" s="67">
        <f t="shared" si="0"/>
        <v>4.7810000155398926</v>
      </c>
    </row>
    <row r="35" spans="1:20" x14ac:dyDescent="0.3">
      <c r="A35" s="1" t="s">
        <v>105</v>
      </c>
      <c r="B35" s="22">
        <v>46520</v>
      </c>
      <c r="C35" s="22">
        <v>46520</v>
      </c>
      <c r="D35" s="1">
        <v>0</v>
      </c>
      <c r="E35" s="1">
        <v>0</v>
      </c>
      <c r="F35" s="1">
        <v>0</v>
      </c>
      <c r="G35" s="3">
        <v>79486.53</v>
      </c>
      <c r="H35" s="3">
        <v>79486.53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3">
        <v>79270.98</v>
      </c>
      <c r="O35" t="s">
        <v>261</v>
      </c>
      <c r="P35">
        <v>0</v>
      </c>
      <c r="Q35">
        <v>0</v>
      </c>
      <c r="S35" s="33">
        <f>_xlfn.XLOOKUP(A35,Aux!$I$2:$I$39,Aux!$L$2:$L$39,0,0)</f>
        <v>1939</v>
      </c>
      <c r="T35" s="67">
        <f t="shared" si="0"/>
        <v>4.8550000083399238</v>
      </c>
    </row>
    <row r="36" spans="1:20" x14ac:dyDescent="0.3">
      <c r="A36" s="1" t="s">
        <v>107</v>
      </c>
      <c r="B36" s="22">
        <v>49020</v>
      </c>
      <c r="C36" s="22">
        <v>49020</v>
      </c>
      <c r="D36" s="1">
        <v>0</v>
      </c>
      <c r="E36" s="1">
        <v>0</v>
      </c>
      <c r="F36" s="1">
        <v>0</v>
      </c>
      <c r="G36" s="3">
        <v>76043.62</v>
      </c>
      <c r="H36" s="3">
        <v>76043.62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3">
        <v>75856.88</v>
      </c>
      <c r="O36" t="s">
        <v>262</v>
      </c>
      <c r="P36">
        <v>0</v>
      </c>
      <c r="Q36">
        <v>0</v>
      </c>
      <c r="S36" s="33">
        <f>_xlfn.XLOOKUP(A36,Aux!$I$2:$I$39,Aux!$L$2:$L$39,0,0)</f>
        <v>2304</v>
      </c>
      <c r="T36" s="67">
        <f t="shared" si="0"/>
        <v>4.9729998122780668</v>
      </c>
    </row>
    <row r="37" spans="1:20" x14ac:dyDescent="0.3">
      <c r="A37" s="1" t="s">
        <v>109</v>
      </c>
      <c r="B37" s="22">
        <v>25120</v>
      </c>
      <c r="C37" s="22">
        <v>24910</v>
      </c>
      <c r="D37" s="1">
        <v>0</v>
      </c>
      <c r="E37" s="1">
        <v>0</v>
      </c>
      <c r="F37" s="1">
        <v>0</v>
      </c>
      <c r="G37" s="3">
        <v>72753.62</v>
      </c>
      <c r="H37" s="3">
        <v>72753.62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3">
        <v>72532.02</v>
      </c>
      <c r="O37" t="s">
        <v>263</v>
      </c>
      <c r="P37">
        <v>0</v>
      </c>
      <c r="Q37">
        <v>0</v>
      </c>
      <c r="S37" s="33">
        <f>_xlfn.XLOOKUP(A37,Aux!$I$2:$I$39,Aux!$L$2:$L$39,0,0)</f>
        <v>2669</v>
      </c>
      <c r="T37" s="67">
        <f t="shared" si="0"/>
        <v>5.1079998619281888</v>
      </c>
    </row>
    <row r="38" spans="1:20" x14ac:dyDescent="0.3">
      <c r="A38" s="1" t="s">
        <v>111</v>
      </c>
      <c r="B38" s="22">
        <v>16610</v>
      </c>
      <c r="C38" s="22">
        <v>16610</v>
      </c>
      <c r="D38" s="1">
        <v>0</v>
      </c>
      <c r="E38" s="1">
        <v>0</v>
      </c>
      <c r="F38" s="1">
        <v>0</v>
      </c>
      <c r="G38" s="3">
        <v>69484.09</v>
      </c>
      <c r="H38" s="3">
        <v>69484.09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3">
        <v>69263.490000000005</v>
      </c>
      <c r="O38" t="s">
        <v>264</v>
      </c>
      <c r="P38">
        <v>0</v>
      </c>
      <c r="Q38">
        <v>0</v>
      </c>
      <c r="S38" s="33">
        <f>_xlfn.XLOOKUP(A38,Aux!$I$2:$I$39,Aux!$L$2:$L$39,0,0)</f>
        <v>3036</v>
      </c>
      <c r="T38" s="67">
        <f t="shared" si="0"/>
        <v>5.2620008817711224</v>
      </c>
    </row>
    <row r="39" spans="1:20" x14ac:dyDescent="0.3">
      <c r="A39" s="1" t="s">
        <v>113</v>
      </c>
      <c r="B39" s="22">
        <v>25170</v>
      </c>
      <c r="C39" s="22">
        <v>25170</v>
      </c>
      <c r="D39" s="1">
        <v>0</v>
      </c>
      <c r="E39" s="1">
        <v>0</v>
      </c>
      <c r="F39" s="1">
        <v>0</v>
      </c>
      <c r="G39" s="3">
        <v>66217.119999999995</v>
      </c>
      <c r="H39" s="3">
        <v>66217.119999999995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3">
        <v>65998.13</v>
      </c>
      <c r="O39" t="s">
        <v>265</v>
      </c>
      <c r="P39">
        <v>0</v>
      </c>
      <c r="Q39">
        <v>0</v>
      </c>
      <c r="S39" s="33">
        <f>_xlfn.XLOOKUP(A39,Aux!$I$2:$I$39,Aux!$L$2:$L$39,0,0)</f>
        <v>3400</v>
      </c>
      <c r="T39" s="67">
        <f t="shared" si="0"/>
        <v>5.4550000128791529</v>
      </c>
    </row>
    <row r="40" spans="1:20" x14ac:dyDescent="0.3">
      <c r="A40" s="1" t="s">
        <v>115</v>
      </c>
      <c r="B40" s="22">
        <v>14790</v>
      </c>
      <c r="C40" s="22">
        <v>14790</v>
      </c>
      <c r="D40" s="1">
        <v>0</v>
      </c>
      <c r="E40" s="1">
        <v>0</v>
      </c>
      <c r="F40" s="1">
        <v>0</v>
      </c>
      <c r="G40" s="3">
        <v>63044.71</v>
      </c>
      <c r="H40" s="3">
        <v>63044.71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3">
        <v>62828.75</v>
      </c>
      <c r="O40" t="s">
        <v>266</v>
      </c>
      <c r="P40">
        <v>0</v>
      </c>
      <c r="Q40">
        <v>0</v>
      </c>
      <c r="S40" s="33">
        <f>_xlfn.XLOOKUP(A40,Aux!$I$2:$I$39,Aux!$L$2:$L$39,0,0)</f>
        <v>3765</v>
      </c>
      <c r="T40" s="67">
        <f t="shared" si="0"/>
        <v>5.6570011460831573</v>
      </c>
    </row>
    <row r="41" spans="1:20" x14ac:dyDescent="0.3">
      <c r="A41" s="1" t="s">
        <v>117</v>
      </c>
      <c r="B41" s="22">
        <v>8600</v>
      </c>
      <c r="C41" s="22">
        <v>8600</v>
      </c>
      <c r="D41" s="1">
        <v>0</v>
      </c>
      <c r="E41" s="1">
        <v>0</v>
      </c>
      <c r="F41" s="1">
        <v>0</v>
      </c>
      <c r="G41" s="3">
        <v>60053.39</v>
      </c>
      <c r="H41" s="3">
        <v>60053.39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3">
        <v>59844.04</v>
      </c>
      <c r="O41" t="s">
        <v>267</v>
      </c>
      <c r="P41">
        <v>0</v>
      </c>
      <c r="Q41">
        <v>0</v>
      </c>
      <c r="S41" s="33">
        <f>_xlfn.XLOOKUP(A41,Aux!$I$2:$I$39,Aux!$L$2:$L$39,0,0)</f>
        <v>4130</v>
      </c>
      <c r="T41" s="67">
        <f t="shared" si="0"/>
        <v>5.8489991400779306</v>
      </c>
    </row>
    <row r="42" spans="1:20" x14ac:dyDescent="0.3">
      <c r="A42" s="1" t="s">
        <v>119</v>
      </c>
      <c r="B42" s="22">
        <v>2640</v>
      </c>
      <c r="C42" s="22">
        <v>2640</v>
      </c>
      <c r="D42" s="1">
        <v>0</v>
      </c>
      <c r="E42" s="1">
        <v>0</v>
      </c>
      <c r="F42" s="1">
        <v>0</v>
      </c>
      <c r="G42" s="3">
        <v>57083.18</v>
      </c>
      <c r="H42" s="3">
        <v>57083.18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3">
        <v>56880.38</v>
      </c>
      <c r="O42" t="s">
        <v>268</v>
      </c>
      <c r="P42">
        <v>0</v>
      </c>
      <c r="Q42">
        <v>0</v>
      </c>
      <c r="S42" s="33">
        <f>_xlfn.XLOOKUP(A42,Aux!$I$2:$I$39,Aux!$L$2:$L$39,0,0)</f>
        <v>4496</v>
      </c>
      <c r="T42" s="67">
        <f t="shared" si="0"/>
        <v>6.0699992020089253</v>
      </c>
    </row>
    <row r="43" spans="1:20" x14ac:dyDescent="0.3">
      <c r="A43" s="1" t="s">
        <v>121</v>
      </c>
      <c r="B43" s="1">
        <v>500</v>
      </c>
      <c r="C43" s="1">
        <v>500</v>
      </c>
      <c r="D43" s="1">
        <v>0</v>
      </c>
      <c r="E43" s="1">
        <v>0</v>
      </c>
      <c r="F43" s="1">
        <v>0</v>
      </c>
      <c r="G43" s="3">
        <v>54293.59</v>
      </c>
      <c r="H43" s="3">
        <v>54293.59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3">
        <v>54095.18</v>
      </c>
      <c r="O43" t="s">
        <v>269</v>
      </c>
      <c r="P43">
        <v>0</v>
      </c>
      <c r="Q43">
        <v>0</v>
      </c>
      <c r="S43" s="33">
        <f>_xlfn.XLOOKUP(A43,Aux!$I$2:$I$39,Aux!$L$2:$L$39,0,0)</f>
        <v>4863</v>
      </c>
      <c r="T43" s="67">
        <f t="shared" si="0"/>
        <v>6.2820002559981587</v>
      </c>
    </row>
    <row r="44" spans="1:20" x14ac:dyDescent="0.3">
      <c r="A44" s="1" t="s">
        <v>123</v>
      </c>
      <c r="B44" s="1">
        <v>190</v>
      </c>
      <c r="C44" s="1">
        <v>190</v>
      </c>
      <c r="D44" s="1">
        <v>0</v>
      </c>
      <c r="E44" s="1">
        <v>0</v>
      </c>
      <c r="F44" s="1">
        <v>0</v>
      </c>
      <c r="G44" s="3">
        <v>51704.63</v>
      </c>
      <c r="H44" s="3">
        <v>51704.63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3">
        <v>51511.99</v>
      </c>
      <c r="O44" t="s">
        <v>270</v>
      </c>
      <c r="P44">
        <v>0</v>
      </c>
      <c r="Q44">
        <v>0</v>
      </c>
      <c r="S44" s="33">
        <f>_xlfn.XLOOKUP(A44,Aux!$I$2:$I$39,Aux!$L$2:$L$39,0,0)</f>
        <v>5227</v>
      </c>
      <c r="T44" s="67">
        <f t="shared" si="0"/>
        <v>6.4830001770616468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F333D-34FF-4A1D-B227-49F40A775B64}">
  <sheetPr codeName="Sheet4">
    <tabColor rgb="FFC00000"/>
  </sheetPr>
  <dimension ref="A1:AE30"/>
  <sheetViews>
    <sheetView showGridLines="0" topLeftCell="A2" zoomScaleNormal="100" workbookViewId="0">
      <selection activeCell="S21" sqref="S21"/>
    </sheetView>
  </sheetViews>
  <sheetFormatPr defaultRowHeight="13.8" outlineLevelCol="1" x14ac:dyDescent="0.3"/>
  <cols>
    <col min="1" max="1" width="8.44140625" customWidth="1"/>
    <col min="2" max="2" width="14.6640625" hidden="1" customWidth="1" outlineLevel="1"/>
    <col min="3" max="3" width="14.21875" hidden="1" customWidth="1" outlineLevel="1"/>
    <col min="4" max="4" width="11.88671875" hidden="1" customWidth="1" outlineLevel="1"/>
    <col min="5" max="5" width="13.6640625" hidden="1" customWidth="1" outlineLevel="1"/>
    <col min="6" max="6" width="13.44140625" hidden="1" customWidth="1" outlineLevel="1"/>
    <col min="7" max="7" width="13.33203125" hidden="1" customWidth="1" outlineLevel="1"/>
    <col min="8" max="8" width="10.21875" hidden="1" customWidth="1" outlineLevel="1"/>
    <col min="9" max="9" width="23.5546875" hidden="1" customWidth="1" outlineLevel="1"/>
    <col min="10" max="10" width="10.77734375" hidden="1" customWidth="1" outlineLevel="1"/>
    <col min="11" max="11" width="10.109375" hidden="1" customWidth="1" outlineLevel="1"/>
    <col min="12" max="12" width="10.6640625" customWidth="1" collapsed="1"/>
    <col min="13" max="13" width="9.21875" hidden="1" customWidth="1" outlineLevel="1"/>
    <col min="14" max="14" width="14.109375" hidden="1" customWidth="1" outlineLevel="1"/>
    <col min="15" max="15" width="12.6640625" hidden="1" customWidth="1" outlineLevel="1"/>
    <col min="16" max="16" width="8.88671875" collapsed="1"/>
    <col min="31" max="31" width="13.109375" bestFit="1" customWidth="1"/>
    <col min="32" max="32" width="20.88671875" bestFit="1" customWidth="1"/>
  </cols>
  <sheetData>
    <row r="1" spans="1:31" x14ac:dyDescent="0.3">
      <c r="A1" s="21" t="s">
        <v>230</v>
      </c>
    </row>
    <row r="2" spans="1:31" x14ac:dyDescent="0.3">
      <c r="A2" s="4" t="s">
        <v>205</v>
      </c>
    </row>
    <row r="3" spans="1:31" x14ac:dyDescent="0.3">
      <c r="A3" s="4"/>
    </row>
    <row r="4" spans="1:31" x14ac:dyDescent="0.3">
      <c r="A4" s="32" t="s">
        <v>163</v>
      </c>
      <c r="L4" s="62">
        <v>100000</v>
      </c>
      <c r="N4" s="31">
        <v>100000</v>
      </c>
    </row>
    <row r="5" spans="1:31" s="1" customFormat="1" x14ac:dyDescent="0.3">
      <c r="A5" s="2" t="s">
        <v>32</v>
      </c>
      <c r="B5" s="2" t="s">
        <v>33</v>
      </c>
      <c r="C5" s="2" t="s">
        <v>34</v>
      </c>
      <c r="D5" s="2" t="s">
        <v>35</v>
      </c>
      <c r="E5" s="2" t="s">
        <v>36</v>
      </c>
      <c r="F5" s="2" t="s">
        <v>37</v>
      </c>
      <c r="G5" s="2" t="s">
        <v>40</v>
      </c>
      <c r="H5" s="2" t="s">
        <v>41</v>
      </c>
      <c r="I5" s="2" t="s">
        <v>42</v>
      </c>
      <c r="J5" s="2" t="s">
        <v>43</v>
      </c>
      <c r="K5" s="2" t="s">
        <v>44</v>
      </c>
      <c r="L5" s="2" t="s">
        <v>45</v>
      </c>
      <c r="M5" s="2" t="s">
        <v>46</v>
      </c>
      <c r="N5" s="2" t="s">
        <v>47</v>
      </c>
      <c r="O5" s="2" t="s">
        <v>48</v>
      </c>
      <c r="P5" s="2" t="s">
        <v>166</v>
      </c>
      <c r="Q5" s="2" t="s">
        <v>276</v>
      </c>
    </row>
    <row r="6" spans="1:31" x14ac:dyDescent="0.3">
      <c r="A6" s="1" t="s">
        <v>49</v>
      </c>
      <c r="B6" s="22">
        <v>815222</v>
      </c>
      <c r="C6" s="22">
        <v>827618</v>
      </c>
      <c r="D6" s="22">
        <v>26719</v>
      </c>
      <c r="E6" s="22">
        <v>235730</v>
      </c>
      <c r="F6" s="22">
        <v>66633523875</v>
      </c>
      <c r="G6" s="3">
        <v>5648</v>
      </c>
      <c r="H6" s="3">
        <v>5617.5</v>
      </c>
      <c r="I6" s="3">
        <v>5686</v>
      </c>
      <c r="J6" s="3">
        <v>5653.3760000000002</v>
      </c>
      <c r="K6" s="3">
        <v>5678.5</v>
      </c>
      <c r="L6" s="3">
        <v>5657.808</v>
      </c>
      <c r="M6" t="s">
        <v>206</v>
      </c>
      <c r="N6" s="60">
        <v>5676.5</v>
      </c>
      <c r="O6" s="60">
        <v>5678.5</v>
      </c>
      <c r="P6" s="33">
        <f>_xlfn.XLOOKUP(A6,Aux!$I$2:$I$39,Aux!$L$2:$L$39,0,0)</f>
        <v>20</v>
      </c>
      <c r="Q6" s="92">
        <f t="shared" ref="Q6:Q29" si="0">L6/1000</f>
        <v>5.6578080000000002</v>
      </c>
    </row>
    <row r="7" spans="1:31" x14ac:dyDescent="0.3">
      <c r="A7" s="1" t="s">
        <v>51</v>
      </c>
      <c r="B7" s="22">
        <v>3205</v>
      </c>
      <c r="C7" s="22">
        <v>3205</v>
      </c>
      <c r="D7" s="1">
        <v>2</v>
      </c>
      <c r="E7" s="1">
        <v>10</v>
      </c>
      <c r="F7" s="22">
        <v>2827625</v>
      </c>
      <c r="G7" s="3">
        <v>5655.5</v>
      </c>
      <c r="H7" s="3">
        <v>5655</v>
      </c>
      <c r="I7" s="3">
        <v>5655.5</v>
      </c>
      <c r="J7" s="3">
        <v>5655.25</v>
      </c>
      <c r="K7" s="3">
        <v>5655</v>
      </c>
      <c r="L7" s="3">
        <v>5677.9539999999997</v>
      </c>
      <c r="M7" t="s">
        <v>206</v>
      </c>
      <c r="N7" s="60">
        <v>5678.5</v>
      </c>
      <c r="O7" s="60">
        <v>5715.5</v>
      </c>
      <c r="P7" s="33">
        <f>_xlfn.XLOOKUP(A7,Aux!$I$2:$I$39,Aux!$L$2:$L$39,0,0)</f>
        <v>51</v>
      </c>
      <c r="Q7" s="92">
        <f t="shared" si="0"/>
        <v>5.6779539999999997</v>
      </c>
    </row>
    <row r="8" spans="1:31" x14ac:dyDescent="0.3">
      <c r="A8" s="1" t="s">
        <v>53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3">
        <v>5695.2330000000002</v>
      </c>
      <c r="M8" t="s">
        <v>207</v>
      </c>
      <c r="N8">
        <v>0</v>
      </c>
      <c r="O8">
        <v>0</v>
      </c>
      <c r="P8" s="33">
        <f>_xlfn.XLOOKUP(A8,Aux!$I$2:$I$39,Aux!$L$2:$L$39,0,0)</f>
        <v>82</v>
      </c>
      <c r="Q8" s="92">
        <f t="shared" si="0"/>
        <v>5.695233</v>
      </c>
      <c r="AB8" s="37" t="s">
        <v>277</v>
      </c>
    </row>
    <row r="9" spans="1:31" x14ac:dyDescent="0.3">
      <c r="A9" s="130" t="s">
        <v>55</v>
      </c>
      <c r="B9" s="131">
        <v>1700</v>
      </c>
      <c r="C9" s="131">
        <v>1700</v>
      </c>
      <c r="D9" s="130">
        <v>0</v>
      </c>
      <c r="E9" s="130">
        <v>0</v>
      </c>
      <c r="F9" s="130">
        <v>0</v>
      </c>
      <c r="G9" s="130">
        <v>0</v>
      </c>
      <c r="H9" s="130">
        <v>0</v>
      </c>
      <c r="I9" s="130">
        <v>0</v>
      </c>
      <c r="J9" s="130">
        <v>0</v>
      </c>
      <c r="K9" s="130">
        <v>0</v>
      </c>
      <c r="L9" s="132">
        <v>5715.4639999999999</v>
      </c>
      <c r="M9" s="133" t="s">
        <v>208</v>
      </c>
      <c r="N9" s="133">
        <v>0</v>
      </c>
      <c r="O9" s="133">
        <v>0</v>
      </c>
      <c r="P9" s="134">
        <f>_xlfn.XLOOKUP(A9,Aux!$I$2:$I$39,Aux!$L$2:$L$39,0,0)</f>
        <v>113</v>
      </c>
      <c r="Q9" s="135">
        <f t="shared" si="0"/>
        <v>5.7154639999999999</v>
      </c>
    </row>
    <row r="10" spans="1:31" x14ac:dyDescent="0.3">
      <c r="A10" s="1" t="s">
        <v>57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3">
        <v>5740.9229999999998</v>
      </c>
      <c r="M10" t="s">
        <v>209</v>
      </c>
      <c r="N10">
        <v>0</v>
      </c>
      <c r="O10">
        <v>0</v>
      </c>
      <c r="P10" s="33">
        <f>_xlfn.XLOOKUP(A10,Aux!$I$2:$I$39,Aux!$L$2:$L$39,0,0)</f>
        <v>145</v>
      </c>
      <c r="Q10" s="92">
        <f t="shared" si="0"/>
        <v>5.7409229999999996</v>
      </c>
      <c r="AB10" s="4" t="s">
        <v>278</v>
      </c>
      <c r="AE10" s="9" t="s">
        <v>197</v>
      </c>
    </row>
    <row r="11" spans="1:31" x14ac:dyDescent="0.3">
      <c r="A11" s="1" t="s">
        <v>59</v>
      </c>
      <c r="B11" s="1">
        <v>200</v>
      </c>
      <c r="C11" s="1">
        <v>200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3">
        <v>5766.5159999999996</v>
      </c>
      <c r="M11" t="s">
        <v>210</v>
      </c>
      <c r="N11">
        <v>0</v>
      </c>
      <c r="O11">
        <v>0</v>
      </c>
      <c r="P11" s="33">
        <f>_xlfn.XLOOKUP(A11,Aux!$I$2:$I$39,Aux!$L$2:$L$39,0,0)</f>
        <v>175</v>
      </c>
      <c r="Q11" s="92">
        <f t="shared" si="0"/>
        <v>5.7665159999999993</v>
      </c>
    </row>
    <row r="12" spans="1:31" x14ac:dyDescent="0.3">
      <c r="A12" s="1" t="s">
        <v>61</v>
      </c>
      <c r="B12" s="1">
        <v>5</v>
      </c>
      <c r="C12" s="1">
        <v>5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3">
        <v>5793.1540000000005</v>
      </c>
      <c r="M12" t="s">
        <v>211</v>
      </c>
      <c r="N12">
        <v>0</v>
      </c>
      <c r="O12">
        <v>0</v>
      </c>
      <c r="P12" s="33">
        <f>_xlfn.XLOOKUP(A12,Aux!$I$2:$I$39,Aux!$L$2:$L$39,0,0)</f>
        <v>202</v>
      </c>
      <c r="Q12" s="92">
        <f t="shared" si="0"/>
        <v>5.7931540000000004</v>
      </c>
      <c r="AB12" s="4" t="s">
        <v>279</v>
      </c>
    </row>
    <row r="13" spans="1:31" x14ac:dyDescent="0.3">
      <c r="A13" s="1" t="s">
        <v>63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3">
        <v>5818.7569999999996</v>
      </c>
      <c r="M13" t="s">
        <v>212</v>
      </c>
      <c r="N13">
        <v>0</v>
      </c>
      <c r="O13">
        <v>0</v>
      </c>
      <c r="P13" s="33">
        <f>_xlfn.XLOOKUP(A13,Aux!$I$2:$I$39,Aux!$L$2:$L$39,0,0)</f>
        <v>233</v>
      </c>
      <c r="Q13" s="92">
        <f t="shared" si="0"/>
        <v>5.8187569999999997</v>
      </c>
    </row>
    <row r="14" spans="1:31" x14ac:dyDescent="0.3">
      <c r="A14" s="1" t="s">
        <v>65</v>
      </c>
      <c r="B14" s="1">
        <v>35</v>
      </c>
      <c r="C14" s="1">
        <v>35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3">
        <v>5850.0940000000001</v>
      </c>
      <c r="M14" t="s">
        <v>213</v>
      </c>
      <c r="N14">
        <v>0</v>
      </c>
      <c r="O14">
        <v>0</v>
      </c>
      <c r="P14" s="33">
        <f>_xlfn.XLOOKUP(A14,Aux!$I$2:$I$39,Aux!$L$2:$L$39,0,0)</f>
        <v>264</v>
      </c>
      <c r="Q14" s="92">
        <f t="shared" si="0"/>
        <v>5.8500940000000003</v>
      </c>
    </row>
    <row r="15" spans="1:31" x14ac:dyDescent="0.3">
      <c r="A15" s="1" t="s">
        <v>67</v>
      </c>
      <c r="B15" s="1">
        <v>200</v>
      </c>
      <c r="C15" s="1">
        <v>200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3">
        <v>5881.6750000000002</v>
      </c>
      <c r="M15" t="s">
        <v>214</v>
      </c>
      <c r="N15">
        <v>0</v>
      </c>
      <c r="O15">
        <v>0</v>
      </c>
      <c r="P15" s="33">
        <f>_xlfn.XLOOKUP(A15,Aux!$I$2:$I$39,Aux!$L$2:$L$39,0,0)</f>
        <v>293</v>
      </c>
      <c r="Q15" s="92">
        <f t="shared" si="0"/>
        <v>5.8816750000000004</v>
      </c>
    </row>
    <row r="16" spans="1:31" x14ac:dyDescent="0.3">
      <c r="A16" s="1" t="s">
        <v>69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3">
        <v>5917.4210000000003</v>
      </c>
      <c r="M16" t="s">
        <v>215</v>
      </c>
      <c r="N16">
        <v>0</v>
      </c>
      <c r="O16">
        <v>0</v>
      </c>
      <c r="P16" s="33">
        <f>_xlfn.XLOOKUP(A16,Aux!$I$2:$I$39,Aux!$L$2:$L$39,0,0)</f>
        <v>324</v>
      </c>
      <c r="Q16" s="92">
        <f t="shared" si="0"/>
        <v>5.917421</v>
      </c>
    </row>
    <row r="17" spans="1:17" x14ac:dyDescent="0.3">
      <c r="A17" s="1" t="s">
        <v>71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3">
        <v>5955.23</v>
      </c>
      <c r="M17" t="s">
        <v>216</v>
      </c>
      <c r="N17">
        <v>0</v>
      </c>
      <c r="O17">
        <v>0</v>
      </c>
      <c r="P17" s="33">
        <f>_xlfn.XLOOKUP(A17,Aux!$I$2:$I$39,Aux!$L$2:$L$39,0,0)</f>
        <v>355</v>
      </c>
      <c r="Q17" s="92">
        <f t="shared" si="0"/>
        <v>5.9552299999999994</v>
      </c>
    </row>
    <row r="18" spans="1:17" x14ac:dyDescent="0.3">
      <c r="A18" s="1" t="s">
        <v>73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3">
        <v>5991.7479999999996</v>
      </c>
      <c r="M18" t="s">
        <v>217</v>
      </c>
      <c r="N18">
        <v>0</v>
      </c>
      <c r="O18">
        <v>0</v>
      </c>
      <c r="P18" s="33">
        <f>_xlfn.XLOOKUP(A18,Aux!$I$2:$I$39,Aux!$L$2:$L$39,0,0)</f>
        <v>385</v>
      </c>
      <c r="Q18" s="92">
        <f t="shared" si="0"/>
        <v>5.9917479999999994</v>
      </c>
    </row>
    <row r="19" spans="1:17" x14ac:dyDescent="0.3">
      <c r="A19" s="1" t="s">
        <v>75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3">
        <v>6097.0720000000001</v>
      </c>
      <c r="M19" t="s">
        <v>218</v>
      </c>
      <c r="N19">
        <v>0</v>
      </c>
      <c r="O19">
        <v>0</v>
      </c>
      <c r="P19" s="33">
        <f>_xlfn.XLOOKUP(A19,Aux!$I$2:$I$39,Aux!$L$2:$L$39,0,0)</f>
        <v>478</v>
      </c>
      <c r="Q19" s="92">
        <f t="shared" si="0"/>
        <v>6.0970719999999998</v>
      </c>
    </row>
    <row r="20" spans="1:17" x14ac:dyDescent="0.3">
      <c r="A20" s="1" t="s">
        <v>77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3">
        <v>6205.3609999999999</v>
      </c>
      <c r="M20" t="s">
        <v>219</v>
      </c>
      <c r="N20">
        <v>0</v>
      </c>
      <c r="O20">
        <v>0</v>
      </c>
      <c r="P20" s="33">
        <f>_xlfn.XLOOKUP(A20,Aux!$I$2:$I$39,Aux!$L$2:$L$39,0,0)</f>
        <v>567</v>
      </c>
      <c r="Q20" s="92">
        <f t="shared" si="0"/>
        <v>6.2053609999999999</v>
      </c>
    </row>
    <row r="21" spans="1:17" x14ac:dyDescent="0.3">
      <c r="A21" s="1" t="s">
        <v>79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3">
        <v>6305.5529999999999</v>
      </c>
      <c r="M21" t="s">
        <v>220</v>
      </c>
      <c r="N21">
        <v>0</v>
      </c>
      <c r="O21">
        <v>0</v>
      </c>
      <c r="P21" s="33">
        <f>_xlfn.XLOOKUP(A21,Aux!$I$2:$I$39,Aux!$L$2:$L$39,0,0)</f>
        <v>658</v>
      </c>
      <c r="Q21" s="92">
        <f t="shared" si="0"/>
        <v>6.3055529999999997</v>
      </c>
    </row>
    <row r="22" spans="1:17" x14ac:dyDescent="0.3">
      <c r="A22" s="1" t="s">
        <v>81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3">
        <v>6420.3130000000001</v>
      </c>
      <c r="M22" t="s">
        <v>221</v>
      </c>
      <c r="N22">
        <v>0</v>
      </c>
      <c r="O22">
        <v>0</v>
      </c>
      <c r="P22" s="33">
        <f>_xlfn.XLOOKUP(A22,Aux!$I$2:$I$39,Aux!$L$2:$L$39,0,0)</f>
        <v>750</v>
      </c>
      <c r="Q22" s="92">
        <f t="shared" si="0"/>
        <v>6.4203130000000002</v>
      </c>
    </row>
    <row r="23" spans="1:17" x14ac:dyDescent="0.3">
      <c r="A23" s="1" t="s">
        <v>83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3">
        <v>6520.4</v>
      </c>
      <c r="M23" t="s">
        <v>222</v>
      </c>
      <c r="N23">
        <v>0</v>
      </c>
      <c r="O23">
        <v>0</v>
      </c>
      <c r="P23" s="33">
        <f>_xlfn.XLOOKUP(A23,Aux!$I$2:$I$39,Aux!$L$2:$L$39,0,0)</f>
        <v>845</v>
      </c>
      <c r="Q23" s="92">
        <f t="shared" si="0"/>
        <v>6.5203999999999995</v>
      </c>
    </row>
    <row r="24" spans="1:17" x14ac:dyDescent="0.3">
      <c r="A24" s="1" t="s">
        <v>85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3">
        <v>6633.2579999999998</v>
      </c>
      <c r="M24" t="s">
        <v>223</v>
      </c>
      <c r="N24">
        <v>0</v>
      </c>
      <c r="O24">
        <v>0</v>
      </c>
      <c r="P24" s="33">
        <f>_xlfn.XLOOKUP(A24,Aux!$I$2:$I$39,Aux!$L$2:$L$39,0,0)</f>
        <v>932</v>
      </c>
      <c r="Q24" s="92">
        <f t="shared" si="0"/>
        <v>6.6332579999999997</v>
      </c>
    </row>
    <row r="25" spans="1:17" x14ac:dyDescent="0.3">
      <c r="A25" s="1" t="s">
        <v>87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3">
        <v>6752.1719999999996</v>
      </c>
      <c r="M25" t="s">
        <v>224</v>
      </c>
      <c r="N25">
        <v>0</v>
      </c>
      <c r="O25">
        <v>0</v>
      </c>
      <c r="P25" s="33">
        <f>_xlfn.XLOOKUP(A25,Aux!$I$2:$I$39,Aux!$L$2:$L$39,0,0)</f>
        <v>1023</v>
      </c>
      <c r="Q25" s="92">
        <f t="shared" si="0"/>
        <v>6.7521719999999998</v>
      </c>
    </row>
    <row r="26" spans="1:17" x14ac:dyDescent="0.3">
      <c r="A26" s="1" t="s">
        <v>91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3">
        <v>7001.6220000000003</v>
      </c>
      <c r="M26" t="s">
        <v>225</v>
      </c>
      <c r="N26">
        <v>0</v>
      </c>
      <c r="O26">
        <v>0</v>
      </c>
      <c r="P26" s="33">
        <f>_xlfn.XLOOKUP(A26,Aux!$I$2:$I$39,Aux!$L$2:$L$39,0,0)</f>
        <v>1209</v>
      </c>
      <c r="Q26" s="92">
        <f t="shared" si="0"/>
        <v>7.0016220000000002</v>
      </c>
    </row>
    <row r="27" spans="1:17" x14ac:dyDescent="0.3">
      <c r="A27" s="1" t="s">
        <v>95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3">
        <v>7256.7529999999997</v>
      </c>
      <c r="M27" t="s">
        <v>226</v>
      </c>
      <c r="N27">
        <v>0</v>
      </c>
      <c r="O27">
        <v>0</v>
      </c>
      <c r="P27" s="33">
        <f>_xlfn.XLOOKUP(A27,Aux!$I$2:$I$39,Aux!$L$2:$L$39,0,0)</f>
        <v>1391</v>
      </c>
      <c r="Q27" s="92">
        <f t="shared" si="0"/>
        <v>7.2567529999999998</v>
      </c>
    </row>
    <row r="28" spans="1:17" x14ac:dyDescent="0.3">
      <c r="A28" s="1" t="s">
        <v>99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3">
        <v>7500.57</v>
      </c>
      <c r="M28" t="s">
        <v>227</v>
      </c>
      <c r="N28">
        <v>0</v>
      </c>
      <c r="O28">
        <v>0</v>
      </c>
      <c r="P28" s="33">
        <f>_xlfn.XLOOKUP(A28,Aux!$I$2:$I$39,Aux!$L$2:$L$39,0,0)</f>
        <v>1574</v>
      </c>
      <c r="Q28" s="92">
        <f t="shared" si="0"/>
        <v>7.5005699999999997</v>
      </c>
    </row>
    <row r="29" spans="1:17" x14ac:dyDescent="0.3">
      <c r="A29" s="1" t="s">
        <v>103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3">
        <v>7759.07</v>
      </c>
      <c r="M29" t="s">
        <v>228</v>
      </c>
      <c r="N29">
        <v>0</v>
      </c>
      <c r="O29">
        <v>0</v>
      </c>
      <c r="P29" s="33">
        <f>_xlfn.XLOOKUP(A29,Aux!$I$2:$I$39,Aux!$L$2:$L$39,0,0)</f>
        <v>1755</v>
      </c>
      <c r="Q29" s="92">
        <f t="shared" si="0"/>
        <v>7.7590699999999995</v>
      </c>
    </row>
    <row r="30" spans="1:17" x14ac:dyDescent="0.3">
      <c r="A30" s="1" t="s">
        <v>105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3">
        <v>8019.4269999999997</v>
      </c>
      <c r="M30" t="s">
        <v>229</v>
      </c>
      <c r="N30">
        <v>0</v>
      </c>
      <c r="O30">
        <v>0</v>
      </c>
      <c r="P30" s="33">
        <f>_xlfn.XLOOKUP(A30,Aux!$I$2:$I$39,Aux!$L$2:$L$39,0,0)</f>
        <v>1939</v>
      </c>
      <c r="Q30" s="92">
        <f>L30/1000</f>
        <v>8.0194270000000003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059BB-9C90-4DE2-96A8-B95C2E6B66AB}">
  <sheetPr codeName="Sheet6">
    <tabColor rgb="FFC00000"/>
  </sheetPr>
  <dimension ref="A3:N22"/>
  <sheetViews>
    <sheetView showGridLines="0" topLeftCell="H1" zoomScale="175" zoomScaleNormal="175" workbookViewId="0">
      <selection activeCell="J13" sqref="J13"/>
    </sheetView>
  </sheetViews>
  <sheetFormatPr defaultRowHeight="13.8" x14ac:dyDescent="0.3"/>
  <cols>
    <col min="1" max="1" width="9.44140625" bestFit="1" customWidth="1"/>
    <col min="2" max="2" width="14" bestFit="1" customWidth="1"/>
    <col min="3" max="3" width="13.44140625" bestFit="1" customWidth="1"/>
    <col min="4" max="4" width="18" bestFit="1" customWidth="1"/>
    <col min="5" max="5" width="9.21875" bestFit="1" customWidth="1"/>
    <col min="6" max="6" width="12.33203125" bestFit="1" customWidth="1"/>
    <col min="9" max="9" width="15.88671875" bestFit="1" customWidth="1"/>
    <col min="10" max="10" width="14.77734375" customWidth="1"/>
    <col min="11" max="11" width="14.33203125" customWidth="1"/>
    <col min="12" max="12" width="16" customWidth="1"/>
    <col min="13" max="13" width="11.109375" bestFit="1" customWidth="1"/>
    <col min="14" max="14" width="10" customWidth="1"/>
    <col min="15" max="15" width="11" customWidth="1"/>
  </cols>
  <sheetData>
    <row r="3" spans="1:14" x14ac:dyDescent="0.3">
      <c r="A3" s="85" t="s">
        <v>198</v>
      </c>
      <c r="B3" s="86" t="s">
        <v>182</v>
      </c>
      <c r="C3" s="86" t="s">
        <v>199</v>
      </c>
      <c r="D3" s="86" t="s">
        <v>201</v>
      </c>
      <c r="E3" s="86" t="s">
        <v>200</v>
      </c>
      <c r="F3" s="87" t="s">
        <v>204</v>
      </c>
      <c r="M3" s="83" t="s">
        <v>287</v>
      </c>
      <c r="N3" s="82">
        <f>SUM($J$7:$L$9)</f>
        <v>-100.84007328373559</v>
      </c>
    </row>
    <row r="4" spans="1:14" x14ac:dyDescent="0.3">
      <c r="A4" s="71">
        <v>-5</v>
      </c>
      <c r="B4" s="72" t="s">
        <v>49</v>
      </c>
      <c r="C4" s="73">
        <f>_xlfn.XLOOKUP(B4,DDI!$A$7:$A$44,DDI!$N$7:$N$44,0,0)</f>
        <v>100017.06</v>
      </c>
      <c r="D4" s="72" t="s">
        <v>155</v>
      </c>
      <c r="E4" s="72" t="s">
        <v>193</v>
      </c>
      <c r="F4" s="78">
        <f t="shared" ref="F4:F9" si="0">C4*A4</f>
        <v>-500085.3</v>
      </c>
      <c r="J4" s="1"/>
    </row>
    <row r="5" spans="1:14" x14ac:dyDescent="0.3">
      <c r="A5" s="74">
        <v>30</v>
      </c>
      <c r="B5" s="1" t="s">
        <v>49</v>
      </c>
      <c r="C5" s="3">
        <f>_xlfn.XLOOKUP(B5,DDI!$A$7:$A$44,DDI!$N$7:$N$44,0,0)</f>
        <v>100017.06</v>
      </c>
      <c r="D5" s="1" t="s">
        <v>202</v>
      </c>
      <c r="E5" s="1" t="s">
        <v>193</v>
      </c>
      <c r="F5" s="79">
        <f t="shared" si="0"/>
        <v>3000511.8</v>
      </c>
      <c r="J5" s="1"/>
      <c r="K5" s="1"/>
      <c r="L5" s="1"/>
    </row>
    <row r="6" spans="1:14" x14ac:dyDescent="0.3">
      <c r="A6" s="74">
        <v>30</v>
      </c>
      <c r="B6" s="1" t="s">
        <v>55</v>
      </c>
      <c r="C6" s="3">
        <f>_xlfn.XLOOKUP(B6,'DI1'!$A$6:$A$43,'DI1'!$N$6:$N$43,0,0)</f>
        <v>96881.8</v>
      </c>
      <c r="D6" s="1" t="s">
        <v>202</v>
      </c>
      <c r="E6" s="1" t="s">
        <v>8</v>
      </c>
      <c r="F6" s="79">
        <f t="shared" si="0"/>
        <v>2906454</v>
      </c>
      <c r="I6" s="88" t="s">
        <v>302</v>
      </c>
      <c r="J6" s="84" t="s">
        <v>288</v>
      </c>
      <c r="K6" s="84" t="s">
        <v>289</v>
      </c>
      <c r="L6" s="84" t="s">
        <v>290</v>
      </c>
    </row>
    <row r="7" spans="1:14" x14ac:dyDescent="0.3">
      <c r="A7" s="74">
        <v>-180</v>
      </c>
      <c r="B7" s="1" t="s">
        <v>49</v>
      </c>
      <c r="C7" s="3">
        <f>_xlfn.XLOOKUP(B7,'DI1'!$A$6:$A$43,'DI1'!$N$6:$N$43,0,0)</f>
        <v>99444.14</v>
      </c>
      <c r="D7" s="1" t="s">
        <v>155</v>
      </c>
      <c r="E7" s="1" t="s">
        <v>8</v>
      </c>
      <c r="F7" s="79">
        <f t="shared" si="0"/>
        <v>-17899945.199999999</v>
      </c>
      <c r="I7" s="89" t="s">
        <v>292</v>
      </c>
      <c r="J7" s="81">
        <f>D13/100000000</f>
        <v>-2659.0333232837356</v>
      </c>
      <c r="K7" s="81"/>
      <c r="L7" s="81"/>
    </row>
    <row r="8" spans="1:14" x14ac:dyDescent="0.3">
      <c r="A8" s="74">
        <v>-60</v>
      </c>
      <c r="B8" s="1" t="s">
        <v>49</v>
      </c>
      <c r="C8" s="3">
        <f>_xlfn.XLOOKUP(B8,DOL!$A$6:$A$30,DOL!$L$6:$L$30,0,0)</f>
        <v>5657.808</v>
      </c>
      <c r="D8" s="1" t="s">
        <v>155</v>
      </c>
      <c r="E8" s="1" t="s">
        <v>194</v>
      </c>
      <c r="F8" s="79">
        <f t="shared" si="0"/>
        <v>-339468.48</v>
      </c>
      <c r="I8" s="89" t="s">
        <v>293</v>
      </c>
      <c r="J8" s="81"/>
      <c r="K8" s="81"/>
      <c r="L8" s="81">
        <f>D14/100000000</f>
        <v>1250.21325</v>
      </c>
    </row>
    <row r="9" spans="1:14" x14ac:dyDescent="0.3">
      <c r="A9" s="75">
        <v>35</v>
      </c>
      <c r="B9" s="76" t="s">
        <v>51</v>
      </c>
      <c r="C9" s="77">
        <f>_xlfn.XLOOKUP(B9,'DI1'!$A$6:$A$43,'DI1'!$N$6:$N$43,0,0)</f>
        <v>98527.96</v>
      </c>
      <c r="D9" s="76" t="s">
        <v>202</v>
      </c>
      <c r="E9" s="76" t="s">
        <v>194</v>
      </c>
      <c r="F9" s="80">
        <f t="shared" si="0"/>
        <v>3448478.6</v>
      </c>
      <c r="I9" s="89" t="s">
        <v>294</v>
      </c>
      <c r="J9" s="81"/>
      <c r="K9" s="81">
        <v>1307.98</v>
      </c>
      <c r="L9" s="81"/>
    </row>
    <row r="10" spans="1:14" x14ac:dyDescent="0.3">
      <c r="A10" s="1"/>
      <c r="B10" s="1"/>
      <c r="C10" s="1"/>
      <c r="D10" s="1"/>
      <c r="E10" s="1"/>
      <c r="I10" s="89" t="s">
        <v>303</v>
      </c>
      <c r="J10" s="81">
        <v>2598.0300000000002</v>
      </c>
      <c r="K10" s="81">
        <v>-1203.6500000000001</v>
      </c>
      <c r="L10" s="81">
        <v>-1288.75</v>
      </c>
    </row>
    <row r="11" spans="1:14" x14ac:dyDescent="0.3">
      <c r="A11" s="1"/>
      <c r="B11" s="1"/>
      <c r="C11" s="1"/>
      <c r="D11" s="1"/>
      <c r="E11" s="1"/>
      <c r="J11" s="129">
        <f>SUM(J7:J10)</f>
        <v>-61.003323283735426</v>
      </c>
      <c r="K11" s="129">
        <f t="shared" ref="K11:L11" si="1">SUM(K7:K10)</f>
        <v>104.32999999999993</v>
      </c>
      <c r="L11" s="129">
        <f t="shared" si="1"/>
        <v>-38.536749999999984</v>
      </c>
    </row>
    <row r="12" spans="1:14" x14ac:dyDescent="0.3">
      <c r="B12" s="61" t="s">
        <v>203</v>
      </c>
      <c r="C12" s="61" t="s">
        <v>283</v>
      </c>
      <c r="D12" s="61" t="s">
        <v>204</v>
      </c>
      <c r="E12" s="1"/>
      <c r="K12" s="1"/>
      <c r="N12" s="122"/>
    </row>
    <row r="13" spans="1:14" x14ac:dyDescent="0.3">
      <c r="A13" s="4" t="s">
        <v>8</v>
      </c>
      <c r="B13" s="1">
        <f>SUMIF($E$4:$E$9,$A13,$A$4:$A$9)</f>
        <v>-150</v>
      </c>
      <c r="C13" s="68">
        <v>100000</v>
      </c>
      <c r="D13" s="70">
        <f>(SUMIF($E$4:$E$13,$A13,$F$4:$F$13)*C13)/Aux!R3</f>
        <v>-265903332328.37357</v>
      </c>
      <c r="E13" s="1"/>
    </row>
    <row r="14" spans="1:14" x14ac:dyDescent="0.3">
      <c r="A14" s="4" t="s">
        <v>193</v>
      </c>
      <c r="B14" s="1">
        <f>SUMIF($E$4:$E$9,$A14,$A$4:$A$9)</f>
        <v>25</v>
      </c>
      <c r="C14" s="69">
        <v>50000</v>
      </c>
      <c r="D14" s="70">
        <f>SUMIF($E$4:$E$9,$A14,$F$4:$F$9)*C14</f>
        <v>125021325000</v>
      </c>
    </row>
    <row r="15" spans="1:14" x14ac:dyDescent="0.3">
      <c r="A15" s="4" t="s">
        <v>194</v>
      </c>
      <c r="B15" s="1">
        <f>SUMIF($E$4:$E$9,$A15,$A$4:$A$9)</f>
        <v>-25</v>
      </c>
      <c r="C15" s="69">
        <v>50000</v>
      </c>
      <c r="D15" s="70">
        <f>SUMIF($E$4:$E$9,$A15,$F$4:$F$9)*C15</f>
        <v>155450506000</v>
      </c>
    </row>
    <row r="22" spans="7:7" x14ac:dyDescent="0.3">
      <c r="G22" s="1"/>
    </row>
  </sheetData>
  <pageMargins left="0.7" right="0.7" top="0.75" bottom="0.75" header="0.3" footer="0.3"/>
  <ignoredErrors>
    <ignoredError sqref="C8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0715-F374-4CD4-99C9-7ED8273A2108}">
  <sheetPr>
    <tabColor rgb="FFC00000"/>
  </sheetPr>
  <dimension ref="B2:S22"/>
  <sheetViews>
    <sheetView showGridLines="0" tabSelected="1" workbookViewId="0">
      <selection activeCell="H6" sqref="H6"/>
    </sheetView>
  </sheetViews>
  <sheetFormatPr defaultRowHeight="13.8" x14ac:dyDescent="0.3"/>
  <cols>
    <col min="6" max="6" width="16.88671875" bestFit="1" customWidth="1"/>
    <col min="10" max="10" width="13.33203125" customWidth="1"/>
    <col min="11" max="11" width="11.109375" customWidth="1"/>
    <col min="12" max="12" width="13.5546875" customWidth="1"/>
    <col min="13" max="13" width="13.88671875" customWidth="1"/>
    <col min="14" max="14" width="11.109375" bestFit="1" customWidth="1"/>
    <col min="15" max="15" width="11.33203125" customWidth="1"/>
    <col min="19" max="19" width="10.6640625" customWidth="1"/>
  </cols>
  <sheetData>
    <row r="2" spans="2:16" x14ac:dyDescent="0.3">
      <c r="B2" s="108">
        <v>45533</v>
      </c>
      <c r="O2" s="83" t="s">
        <v>287</v>
      </c>
      <c r="P2" s="82">
        <f>SUM($K$4:$M$6)</f>
        <v>23.476689023741073</v>
      </c>
    </row>
    <row r="3" spans="2:16" x14ac:dyDescent="0.3">
      <c r="B3" s="115" t="s">
        <v>296</v>
      </c>
      <c r="C3" s="116" t="s">
        <v>199</v>
      </c>
      <c r="D3" s="109"/>
      <c r="E3" s="117" t="s">
        <v>198</v>
      </c>
      <c r="F3" s="125" t="s">
        <v>298</v>
      </c>
      <c r="J3" s="88" t="s">
        <v>291</v>
      </c>
      <c r="K3" s="84" t="s">
        <v>288</v>
      </c>
      <c r="L3" s="84" t="s">
        <v>289</v>
      </c>
      <c r="M3" s="84" t="s">
        <v>290</v>
      </c>
    </row>
    <row r="4" spans="2:16" x14ac:dyDescent="0.3">
      <c r="B4" s="110" t="s">
        <v>297</v>
      </c>
      <c r="C4" s="111">
        <v>99921.49</v>
      </c>
      <c r="D4" s="107"/>
      <c r="E4" s="123">
        <v>15</v>
      </c>
      <c r="F4" s="120">
        <f>((100000*E4*C4)/$C$6)/100000000</f>
        <v>265.9466890237411</v>
      </c>
      <c r="J4" s="89" t="s">
        <v>292</v>
      </c>
      <c r="K4" s="81">
        <f>SUM(F4:F5)</f>
        <v>265.9466890237411</v>
      </c>
      <c r="L4" s="81"/>
      <c r="M4" s="81"/>
    </row>
    <row r="5" spans="2:16" x14ac:dyDescent="0.3">
      <c r="B5" s="112" t="s">
        <v>49</v>
      </c>
      <c r="C5" s="113">
        <v>99090.559999999998</v>
      </c>
      <c r="D5" s="107"/>
      <c r="E5" s="124">
        <v>0</v>
      </c>
      <c r="F5" s="121">
        <f>((100000*E5*C5)/$C$6)/100000000</f>
        <v>0</v>
      </c>
      <c r="G5" s="107"/>
      <c r="J5" s="89" t="s">
        <v>293</v>
      </c>
      <c r="K5" s="81"/>
      <c r="L5" s="81">
        <v>115.5</v>
      </c>
      <c r="M5" s="81"/>
    </row>
    <row r="6" spans="2:16" x14ac:dyDescent="0.3">
      <c r="B6" t="s">
        <v>299</v>
      </c>
      <c r="C6">
        <v>5.6357999999999997</v>
      </c>
      <c r="J6" s="89" t="s">
        <v>294</v>
      </c>
      <c r="K6" s="81"/>
      <c r="L6" s="81"/>
      <c r="M6" s="81">
        <v>-357.97</v>
      </c>
    </row>
    <row r="9" spans="2:16" x14ac:dyDescent="0.3">
      <c r="B9" s="108">
        <v>45534</v>
      </c>
      <c r="O9" s="83" t="s">
        <v>287</v>
      </c>
      <c r="P9" s="82">
        <f>SUM($K$12:$M$14)</f>
        <v>10.937503977935705</v>
      </c>
    </row>
    <row r="10" spans="2:16" x14ac:dyDescent="0.3">
      <c r="B10" s="115" t="s">
        <v>296</v>
      </c>
      <c r="C10" s="116" t="s">
        <v>199</v>
      </c>
      <c r="E10" s="117" t="s">
        <v>198</v>
      </c>
      <c r="F10" s="117" t="s">
        <v>298</v>
      </c>
    </row>
    <row r="11" spans="2:16" x14ac:dyDescent="0.3">
      <c r="B11" s="110" t="s">
        <v>297</v>
      </c>
      <c r="C11" s="114">
        <v>99960.75</v>
      </c>
      <c r="E11" s="118">
        <v>0</v>
      </c>
      <c r="F11" s="120">
        <f>((100000*E11*C11)/$C$13)/100000000</f>
        <v>0</v>
      </c>
      <c r="J11" s="88" t="s">
        <v>291</v>
      </c>
      <c r="K11" s="84" t="s">
        <v>288</v>
      </c>
      <c r="L11" s="84" t="s">
        <v>289</v>
      </c>
      <c r="M11" s="84" t="s">
        <v>290</v>
      </c>
    </row>
    <row r="12" spans="2:16" x14ac:dyDescent="0.3">
      <c r="B12" s="112" t="s">
        <v>49</v>
      </c>
      <c r="C12" s="113">
        <v>99129.62</v>
      </c>
      <c r="E12" s="119">
        <v>15</v>
      </c>
      <c r="F12" s="121">
        <f>((100000*E12*C12)/$C$13)/100000000</f>
        <v>262.88750397793569</v>
      </c>
      <c r="J12" s="89" t="s">
        <v>292</v>
      </c>
      <c r="K12" s="81">
        <f>SUM(F11:F12)</f>
        <v>262.88750397793569</v>
      </c>
      <c r="L12" s="81"/>
      <c r="M12" s="81"/>
    </row>
    <row r="13" spans="2:16" x14ac:dyDescent="0.3">
      <c r="B13" t="s">
        <v>299</v>
      </c>
      <c r="C13">
        <v>5.6562000000000001</v>
      </c>
      <c r="J13" s="89" t="s">
        <v>293</v>
      </c>
      <c r="K13" s="81"/>
      <c r="L13" s="81">
        <v>101.63</v>
      </c>
      <c r="M13" s="81"/>
    </row>
    <row r="14" spans="2:16" x14ac:dyDescent="0.3">
      <c r="F14" s="122"/>
      <c r="J14" s="89" t="s">
        <v>294</v>
      </c>
      <c r="K14" s="81"/>
      <c r="L14" s="81"/>
      <c r="M14" s="81">
        <v>-353.58</v>
      </c>
    </row>
    <row r="17" spans="2:19" x14ac:dyDescent="0.3">
      <c r="B17" s="108">
        <v>45537</v>
      </c>
      <c r="O17" s="83" t="s">
        <v>287</v>
      </c>
      <c r="P17" s="82">
        <f>SUM($K$20:$M$22)</f>
        <v>8.8711955022807274</v>
      </c>
    </row>
    <row r="18" spans="2:19" x14ac:dyDescent="0.3">
      <c r="B18" s="115" t="s">
        <v>296</v>
      </c>
      <c r="C18" s="116" t="s">
        <v>199</v>
      </c>
      <c r="E18" s="117" t="s">
        <v>198</v>
      </c>
      <c r="F18" s="117" t="s">
        <v>298</v>
      </c>
    </row>
    <row r="19" spans="2:19" x14ac:dyDescent="0.3">
      <c r="B19" s="110"/>
      <c r="C19" s="114"/>
      <c r="E19" s="118"/>
      <c r="F19" s="120">
        <f t="shared" ref="F19:F20" si="0">((100000*E19*C19)/$C$13)/100000000</f>
        <v>0</v>
      </c>
      <c r="J19" s="88" t="s">
        <v>291</v>
      </c>
      <c r="K19" s="84" t="s">
        <v>288</v>
      </c>
      <c r="L19" s="84" t="s">
        <v>289</v>
      </c>
      <c r="M19" s="84" t="s">
        <v>290</v>
      </c>
      <c r="O19" s="127" t="s">
        <v>300</v>
      </c>
      <c r="P19" s="126"/>
      <c r="Q19" s="126"/>
      <c r="R19" s="126"/>
      <c r="S19" s="126"/>
    </row>
    <row r="20" spans="2:19" x14ac:dyDescent="0.3">
      <c r="B20" s="112" t="s">
        <v>49</v>
      </c>
      <c r="C20" s="113">
        <v>99168.72</v>
      </c>
      <c r="E20" s="119">
        <v>15</v>
      </c>
      <c r="F20" s="121">
        <f t="shared" si="0"/>
        <v>262.99119550228068</v>
      </c>
      <c r="J20" s="89" t="s">
        <v>292</v>
      </c>
      <c r="K20" s="81">
        <f>SUM(F19:F20)</f>
        <v>262.99119550228068</v>
      </c>
      <c r="L20" s="81"/>
      <c r="M20" s="81"/>
    </row>
    <row r="21" spans="2:19" x14ac:dyDescent="0.3">
      <c r="B21" t="s">
        <v>299</v>
      </c>
      <c r="C21">
        <v>5.6230000000000002</v>
      </c>
      <c r="J21" s="89" t="s">
        <v>293</v>
      </c>
      <c r="K21" s="81"/>
      <c r="L21" s="81">
        <v>105.97</v>
      </c>
      <c r="M21" s="81"/>
    </row>
    <row r="22" spans="2:19" x14ac:dyDescent="0.3">
      <c r="J22" s="89" t="s">
        <v>294</v>
      </c>
      <c r="K22" s="81"/>
      <c r="L22" s="81"/>
      <c r="M22" s="81">
        <v>-360.09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3D872-116A-4FFD-B4E8-B42C982710E6}">
  <sheetPr codeName="Sheet5">
    <tabColor rgb="FFC00000"/>
  </sheetPr>
  <dimension ref="A2:I35"/>
  <sheetViews>
    <sheetView showGridLines="0" zoomScale="160" zoomScaleNormal="160" workbookViewId="0">
      <selection activeCell="I32" sqref="I32"/>
    </sheetView>
  </sheetViews>
  <sheetFormatPr defaultRowHeight="13.8" x14ac:dyDescent="0.3"/>
  <sheetData>
    <row r="2" spans="1:9" x14ac:dyDescent="0.3">
      <c r="B2" s="37" t="s">
        <v>174</v>
      </c>
    </row>
    <row r="3" spans="1:9" x14ac:dyDescent="0.3">
      <c r="B3" s="5" t="s">
        <v>175</v>
      </c>
    </row>
    <row r="4" spans="1:9" x14ac:dyDescent="0.3">
      <c r="B4" s="5" t="s">
        <v>176</v>
      </c>
    </row>
    <row r="6" spans="1:9" x14ac:dyDescent="0.3">
      <c r="D6" s="43" t="s">
        <v>6</v>
      </c>
    </row>
    <row r="7" spans="1:9" x14ac:dyDescent="0.3">
      <c r="I7" s="42" t="s">
        <v>179</v>
      </c>
    </row>
    <row r="8" spans="1:9" x14ac:dyDescent="0.3">
      <c r="A8" s="41">
        <v>11.5</v>
      </c>
      <c r="I8" s="42" t="s">
        <v>180</v>
      </c>
    </row>
    <row r="9" spans="1:9" x14ac:dyDescent="0.3">
      <c r="A9" s="9"/>
      <c r="I9" s="42" t="s">
        <v>181</v>
      </c>
    </row>
    <row r="10" spans="1:9" x14ac:dyDescent="0.3">
      <c r="A10" s="18">
        <v>10.65</v>
      </c>
      <c r="I10" s="42" t="s">
        <v>178</v>
      </c>
    </row>
    <row r="12" spans="1:9" x14ac:dyDescent="0.3">
      <c r="I12" s="48" t="s">
        <v>185</v>
      </c>
    </row>
    <row r="13" spans="1:9" x14ac:dyDescent="0.3">
      <c r="I13" s="48" t="s">
        <v>186</v>
      </c>
    </row>
    <row r="14" spans="1:9" x14ac:dyDescent="0.3">
      <c r="E14" s="40">
        <v>45689</v>
      </c>
      <c r="G14" s="7">
        <v>45839</v>
      </c>
      <c r="I14" s="48" t="s">
        <v>184</v>
      </c>
    </row>
    <row r="17" spans="1:5" ht="14.4" thickBot="1" x14ac:dyDescent="0.35"/>
    <row r="18" spans="1:5" ht="14.4" thickBot="1" x14ac:dyDescent="0.35">
      <c r="B18" s="46" t="s">
        <v>182</v>
      </c>
      <c r="C18" s="47" t="s">
        <v>183</v>
      </c>
      <c r="D18" s="47" t="s">
        <v>0</v>
      </c>
      <c r="E18" s="47" t="s">
        <v>187</v>
      </c>
    </row>
    <row r="19" spans="1:5" x14ac:dyDescent="0.3">
      <c r="B19" s="52">
        <v>45689</v>
      </c>
      <c r="C19" s="54">
        <v>11.5</v>
      </c>
      <c r="D19" s="45">
        <v>99</v>
      </c>
      <c r="E19" s="45">
        <f>(1+C19/100)^(D19/252)</f>
        <v>1.0436917951488811</v>
      </c>
    </row>
    <row r="20" spans="1:5" ht="14.4" thickBot="1" x14ac:dyDescent="0.35">
      <c r="B20" s="53">
        <v>45839</v>
      </c>
      <c r="C20" s="55">
        <v>10.65</v>
      </c>
      <c r="D20" s="44">
        <v>199</v>
      </c>
      <c r="E20" s="44">
        <f>(1+C20/100)^(D20/252)</f>
        <v>1.0831975463869876</v>
      </c>
    </row>
    <row r="21" spans="1:5" ht="14.4" thickBot="1" x14ac:dyDescent="0.35"/>
    <row r="22" spans="1:5" ht="14.4" thickBot="1" x14ac:dyDescent="0.35">
      <c r="B22" s="49" t="s">
        <v>177</v>
      </c>
      <c r="C22" s="50"/>
    </row>
    <row r="23" spans="1:5" x14ac:dyDescent="0.3">
      <c r="B23" s="51" t="s">
        <v>188</v>
      </c>
      <c r="C23" s="56">
        <f>NETWORKDAYS.INTL(B19,B20,1,Feriados)</f>
        <v>101</v>
      </c>
    </row>
    <row r="24" spans="1:5" ht="14.4" thickBot="1" x14ac:dyDescent="0.35">
      <c r="B24" s="57" t="s">
        <v>183</v>
      </c>
      <c r="C24" s="58">
        <f>(E20/E19)^(252/C23)-1</f>
        <v>9.7131330973122765E-2</v>
      </c>
    </row>
    <row r="28" spans="1:5" x14ac:dyDescent="0.3">
      <c r="A28" s="41">
        <v>11.5</v>
      </c>
    </row>
    <row r="29" spans="1:5" x14ac:dyDescent="0.3">
      <c r="A29" s="9"/>
    </row>
    <row r="30" spans="1:5" x14ac:dyDescent="0.3">
      <c r="A30" s="18">
        <v>10.65</v>
      </c>
    </row>
    <row r="35" spans="5:5" x14ac:dyDescent="0.3">
      <c r="E35" s="4" t="s">
        <v>189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833CF-40F9-4DCC-B0D4-84D37ACE3457}">
  <sheetPr codeName="Sheet7">
    <tabColor theme="2" tint="-9.9978637043366805E-2"/>
  </sheetPr>
  <dimension ref="A1:R989"/>
  <sheetViews>
    <sheetView showGridLines="0" topLeftCell="H1" workbookViewId="0">
      <selection activeCell="R3" sqref="R3"/>
    </sheetView>
  </sheetViews>
  <sheetFormatPr defaultRowHeight="13.8" x14ac:dyDescent="0.3"/>
  <cols>
    <col min="1" max="1" width="7.88671875" bestFit="1" customWidth="1"/>
    <col min="2" max="2" width="12.21875" bestFit="1" customWidth="1"/>
    <col min="3" max="3" width="36.77734375" bestFit="1" customWidth="1"/>
    <col min="5" max="5" width="6.5546875" bestFit="1" customWidth="1"/>
    <col min="6" max="6" width="4.109375" bestFit="1" customWidth="1"/>
    <col min="15" max="15" width="10.109375" bestFit="1" customWidth="1"/>
  </cols>
  <sheetData>
    <row r="1" spans="1:18" ht="14.4" thickBot="1" x14ac:dyDescent="0.35">
      <c r="A1" s="23" t="s">
        <v>125</v>
      </c>
      <c r="B1" s="24" t="s">
        <v>126</v>
      </c>
      <c r="C1" s="25" t="s">
        <v>127</v>
      </c>
      <c r="D1" s="9"/>
      <c r="E1" s="25" t="s">
        <v>128</v>
      </c>
      <c r="F1" s="25" t="s">
        <v>129</v>
      </c>
      <c r="I1" s="25" t="str" cm="1">
        <f t="array" ref="I1:I39">_xlfn.UNIQUE('DI1'!$A$5:$A$43)</f>
        <v>VENCTO</v>
      </c>
      <c r="J1" s="25" t="s">
        <v>162</v>
      </c>
      <c r="K1" s="25" t="s">
        <v>0</v>
      </c>
      <c r="L1" s="35" t="s">
        <v>166</v>
      </c>
      <c r="N1" s="25" t="s">
        <v>165</v>
      </c>
      <c r="O1" s="64">
        <v>45547</v>
      </c>
      <c r="Q1" s="25" t="s">
        <v>165</v>
      </c>
      <c r="R1" s="64">
        <v>45546</v>
      </c>
    </row>
    <row r="2" spans="1:18" x14ac:dyDescent="0.3">
      <c r="A2" s="26">
        <v>45292</v>
      </c>
      <c r="B2" s="27" t="s">
        <v>130</v>
      </c>
      <c r="C2" s="27" t="s">
        <v>131</v>
      </c>
      <c r="D2" s="9"/>
      <c r="E2" s="28" t="s">
        <v>132</v>
      </c>
      <c r="F2" s="28">
        <v>1</v>
      </c>
      <c r="I2" s="28" t="str">
        <v>V24</v>
      </c>
      <c r="J2" s="29">
        <f t="shared" ref="J2:J39" si="0">WORKDAY.INTL(DATE(20&amp;RIGHT(I2,2),(_xlfn.XLOOKUP(LEFT(I2,1),Depara_CodigoVCTO,Depara_Mesvcto,,0)),1)-1,1,1,Feriados)</f>
        <v>45566</v>
      </c>
      <c r="K2" s="30">
        <f t="shared" ref="K2:K39" si="1">NETWORKDAYS.INTL($O$1,J2,1,Feriados)</f>
        <v>14</v>
      </c>
      <c r="L2" s="30">
        <f>J2-$R$1</f>
        <v>20</v>
      </c>
      <c r="Q2" s="35" t="s">
        <v>271</v>
      </c>
      <c r="R2" s="65">
        <v>5.6254</v>
      </c>
    </row>
    <row r="3" spans="1:18" x14ac:dyDescent="0.3">
      <c r="A3" s="26">
        <v>45334</v>
      </c>
      <c r="B3" s="27" t="s">
        <v>130</v>
      </c>
      <c r="C3" s="27" t="s">
        <v>133</v>
      </c>
      <c r="D3" s="9"/>
      <c r="E3" s="28" t="s">
        <v>134</v>
      </c>
      <c r="F3" s="28">
        <v>2</v>
      </c>
      <c r="I3" s="28" t="str">
        <v>X24</v>
      </c>
      <c r="J3" s="29">
        <f t="shared" si="0"/>
        <v>45597</v>
      </c>
      <c r="K3" s="30">
        <f t="shared" si="1"/>
        <v>37</v>
      </c>
      <c r="L3" s="30">
        <f t="shared" ref="L3:L39" si="2">J3-$R$1</f>
        <v>51</v>
      </c>
      <c r="Q3" s="35" t="s">
        <v>272</v>
      </c>
      <c r="R3" s="65">
        <v>5.6387</v>
      </c>
    </row>
    <row r="4" spans="1:18" x14ac:dyDescent="0.3">
      <c r="A4" s="26">
        <v>45335</v>
      </c>
      <c r="B4" s="27" t="s">
        <v>135</v>
      </c>
      <c r="C4" s="27" t="s">
        <v>133</v>
      </c>
      <c r="D4" s="9"/>
      <c r="E4" s="28" t="s">
        <v>136</v>
      </c>
      <c r="F4" s="28">
        <v>3</v>
      </c>
      <c r="I4" s="28" t="str">
        <v>Z24</v>
      </c>
      <c r="J4" s="29">
        <f t="shared" si="0"/>
        <v>45628</v>
      </c>
      <c r="K4" s="30">
        <f t="shared" si="1"/>
        <v>56</v>
      </c>
      <c r="L4" s="30">
        <f t="shared" si="2"/>
        <v>82</v>
      </c>
    </row>
    <row r="5" spans="1:18" x14ac:dyDescent="0.3">
      <c r="A5" s="26">
        <v>45380</v>
      </c>
      <c r="B5" s="27" t="s">
        <v>137</v>
      </c>
      <c r="C5" s="27" t="s">
        <v>138</v>
      </c>
      <c r="D5" s="9"/>
      <c r="E5" s="28" t="s">
        <v>139</v>
      </c>
      <c r="F5" s="28">
        <v>4</v>
      </c>
      <c r="I5" s="28" t="str">
        <v>F25</v>
      </c>
      <c r="J5" s="29">
        <f t="shared" si="0"/>
        <v>45659</v>
      </c>
      <c r="K5" s="30">
        <f t="shared" si="1"/>
        <v>77</v>
      </c>
      <c r="L5" s="30">
        <f t="shared" si="2"/>
        <v>113</v>
      </c>
    </row>
    <row r="6" spans="1:18" x14ac:dyDescent="0.3">
      <c r="A6" s="26">
        <v>45403</v>
      </c>
      <c r="B6" s="27" t="s">
        <v>140</v>
      </c>
      <c r="C6" s="27" t="s">
        <v>141</v>
      </c>
      <c r="D6" s="9"/>
      <c r="E6" s="28" t="s">
        <v>142</v>
      </c>
      <c r="F6" s="28">
        <v>5</v>
      </c>
      <c r="I6" s="28" t="str">
        <v>G25</v>
      </c>
      <c r="J6" s="29">
        <f t="shared" si="0"/>
        <v>45691</v>
      </c>
      <c r="K6" s="30">
        <f t="shared" si="1"/>
        <v>99</v>
      </c>
      <c r="L6" s="30">
        <f t="shared" si="2"/>
        <v>145</v>
      </c>
    </row>
    <row r="7" spans="1:18" x14ac:dyDescent="0.3">
      <c r="A7" s="26">
        <v>45413</v>
      </c>
      <c r="B7" s="27" t="s">
        <v>143</v>
      </c>
      <c r="C7" s="27" t="s">
        <v>144</v>
      </c>
      <c r="D7" s="9"/>
      <c r="E7" s="28" t="s">
        <v>145</v>
      </c>
      <c r="F7" s="28">
        <v>6</v>
      </c>
      <c r="I7" s="28" t="str">
        <v>H25</v>
      </c>
      <c r="J7" s="29">
        <f t="shared" si="0"/>
        <v>45721</v>
      </c>
      <c r="K7" s="30">
        <f t="shared" si="1"/>
        <v>119</v>
      </c>
      <c r="L7" s="30">
        <f t="shared" si="2"/>
        <v>175</v>
      </c>
    </row>
    <row r="8" spans="1:18" x14ac:dyDescent="0.3">
      <c r="A8" s="26">
        <v>45442</v>
      </c>
      <c r="B8" s="27" t="s">
        <v>146</v>
      </c>
      <c r="C8" s="27" t="s">
        <v>147</v>
      </c>
      <c r="D8" s="9"/>
      <c r="E8" s="28" t="s">
        <v>148</v>
      </c>
      <c r="F8" s="28">
        <v>7</v>
      </c>
      <c r="I8" s="28" t="str">
        <v>J25</v>
      </c>
      <c r="J8" s="29">
        <f t="shared" si="0"/>
        <v>45748</v>
      </c>
      <c r="K8" s="30">
        <f t="shared" si="1"/>
        <v>138</v>
      </c>
      <c r="L8" s="30">
        <f t="shared" si="2"/>
        <v>202</v>
      </c>
    </row>
    <row r="9" spans="1:18" x14ac:dyDescent="0.3">
      <c r="A9" s="26">
        <v>45542</v>
      </c>
      <c r="B9" s="27" t="s">
        <v>149</v>
      </c>
      <c r="C9" s="27" t="s">
        <v>150</v>
      </c>
      <c r="D9" s="9"/>
      <c r="E9" s="28" t="s">
        <v>151</v>
      </c>
      <c r="F9" s="28">
        <v>8</v>
      </c>
      <c r="I9" s="28" t="str">
        <v>K25</v>
      </c>
      <c r="J9" s="29">
        <f t="shared" si="0"/>
        <v>45779</v>
      </c>
      <c r="K9" s="30">
        <f t="shared" si="1"/>
        <v>158</v>
      </c>
      <c r="L9" s="30">
        <f t="shared" si="2"/>
        <v>233</v>
      </c>
    </row>
    <row r="10" spans="1:18" x14ac:dyDescent="0.3">
      <c r="A10" s="26">
        <v>45577</v>
      </c>
      <c r="B10" s="27" t="s">
        <v>149</v>
      </c>
      <c r="C10" s="27" t="s">
        <v>152</v>
      </c>
      <c r="D10" s="9"/>
      <c r="E10" s="28" t="s">
        <v>153</v>
      </c>
      <c r="F10" s="28">
        <v>9</v>
      </c>
      <c r="I10" s="28" t="str">
        <v>M25</v>
      </c>
      <c r="J10" s="29">
        <f t="shared" si="0"/>
        <v>45810</v>
      </c>
      <c r="K10" s="30">
        <f t="shared" si="1"/>
        <v>179</v>
      </c>
      <c r="L10" s="30">
        <f t="shared" si="2"/>
        <v>264</v>
      </c>
    </row>
    <row r="11" spans="1:18" x14ac:dyDescent="0.3">
      <c r="A11" s="26">
        <v>45598</v>
      </c>
      <c r="B11" s="27" t="s">
        <v>149</v>
      </c>
      <c r="C11" s="27" t="s">
        <v>154</v>
      </c>
      <c r="D11" s="9"/>
      <c r="E11" s="28" t="s">
        <v>155</v>
      </c>
      <c r="F11" s="28">
        <v>10</v>
      </c>
      <c r="I11" s="28" t="str">
        <v>N25</v>
      </c>
      <c r="J11" s="29">
        <f t="shared" si="0"/>
        <v>45839</v>
      </c>
      <c r="K11" s="30">
        <f t="shared" si="1"/>
        <v>199</v>
      </c>
      <c r="L11" s="30">
        <f t="shared" si="2"/>
        <v>293</v>
      </c>
    </row>
    <row r="12" spans="1:18" x14ac:dyDescent="0.3">
      <c r="A12" s="26">
        <v>45611</v>
      </c>
      <c r="B12" s="27" t="s">
        <v>137</v>
      </c>
      <c r="C12" s="27" t="s">
        <v>156</v>
      </c>
      <c r="D12" s="9"/>
      <c r="E12" s="28" t="s">
        <v>157</v>
      </c>
      <c r="F12" s="28">
        <v>11</v>
      </c>
      <c r="I12" s="28" t="str">
        <v>Q25</v>
      </c>
      <c r="J12" s="29">
        <f t="shared" si="0"/>
        <v>45870</v>
      </c>
      <c r="K12" s="30">
        <f t="shared" si="1"/>
        <v>222</v>
      </c>
      <c r="L12" s="30">
        <f t="shared" si="2"/>
        <v>324</v>
      </c>
    </row>
    <row r="13" spans="1:18" x14ac:dyDescent="0.3">
      <c r="A13" s="26">
        <v>45616</v>
      </c>
      <c r="B13" s="27" t="s">
        <v>143</v>
      </c>
      <c r="C13" s="27" t="s">
        <v>158</v>
      </c>
      <c r="D13" s="9"/>
      <c r="E13" s="28" t="s">
        <v>159</v>
      </c>
      <c r="F13" s="28">
        <v>12</v>
      </c>
      <c r="I13" s="28" t="str">
        <v>U25</v>
      </c>
      <c r="J13" s="29">
        <f t="shared" si="0"/>
        <v>45901</v>
      </c>
      <c r="K13" s="30">
        <f t="shared" si="1"/>
        <v>243</v>
      </c>
      <c r="L13" s="30">
        <f t="shared" si="2"/>
        <v>355</v>
      </c>
    </row>
    <row r="14" spans="1:18" x14ac:dyDescent="0.3">
      <c r="A14" s="26">
        <v>45651</v>
      </c>
      <c r="B14" s="27" t="s">
        <v>143</v>
      </c>
      <c r="C14" s="27" t="s">
        <v>160</v>
      </c>
      <c r="D14" s="9"/>
      <c r="E14" s="9"/>
      <c r="F14" s="9"/>
      <c r="I14" s="28" t="str">
        <v>V25</v>
      </c>
      <c r="J14" s="29">
        <f t="shared" si="0"/>
        <v>45931</v>
      </c>
      <c r="K14" s="30">
        <f t="shared" si="1"/>
        <v>265</v>
      </c>
      <c r="L14" s="30">
        <f t="shared" si="2"/>
        <v>385</v>
      </c>
    </row>
    <row r="15" spans="1:18" x14ac:dyDescent="0.3">
      <c r="A15" s="26">
        <v>45658</v>
      </c>
      <c r="B15" s="27" t="s">
        <v>143</v>
      </c>
      <c r="C15" s="27" t="s">
        <v>131</v>
      </c>
      <c r="D15" s="9"/>
      <c r="E15" s="9"/>
      <c r="F15" s="9"/>
      <c r="I15" s="28" t="str">
        <v>F26</v>
      </c>
      <c r="J15" s="29">
        <f t="shared" si="0"/>
        <v>46024</v>
      </c>
      <c r="K15" s="30">
        <f t="shared" si="1"/>
        <v>329</v>
      </c>
      <c r="L15" s="30">
        <f t="shared" si="2"/>
        <v>478</v>
      </c>
    </row>
    <row r="16" spans="1:18" x14ac:dyDescent="0.3">
      <c r="A16" s="26">
        <v>45719</v>
      </c>
      <c r="B16" s="27" t="s">
        <v>130</v>
      </c>
      <c r="C16" s="27" t="s">
        <v>133</v>
      </c>
      <c r="D16" s="9"/>
      <c r="E16" s="9"/>
      <c r="F16" s="9"/>
      <c r="I16" s="28" t="str">
        <v>J26</v>
      </c>
      <c r="J16" s="29">
        <f t="shared" si="0"/>
        <v>46113</v>
      </c>
      <c r="K16" s="30">
        <f t="shared" si="1"/>
        <v>390</v>
      </c>
      <c r="L16" s="30">
        <f t="shared" si="2"/>
        <v>567</v>
      </c>
    </row>
    <row r="17" spans="1:12" x14ac:dyDescent="0.3">
      <c r="A17" s="26">
        <v>45720</v>
      </c>
      <c r="B17" s="27" t="s">
        <v>135</v>
      </c>
      <c r="C17" s="27" t="s">
        <v>133</v>
      </c>
      <c r="D17" s="9"/>
      <c r="E17" s="9"/>
      <c r="F17" s="9"/>
      <c r="I17" s="28" t="str">
        <v>N26</v>
      </c>
      <c r="J17" s="29">
        <f t="shared" si="0"/>
        <v>46204</v>
      </c>
      <c r="K17" s="30">
        <f t="shared" si="1"/>
        <v>451</v>
      </c>
      <c r="L17" s="30">
        <f t="shared" si="2"/>
        <v>658</v>
      </c>
    </row>
    <row r="18" spans="1:12" x14ac:dyDescent="0.3">
      <c r="A18" s="26">
        <v>45765</v>
      </c>
      <c r="B18" s="27" t="s">
        <v>137</v>
      </c>
      <c r="C18" s="27" t="s">
        <v>138</v>
      </c>
      <c r="D18" s="9"/>
      <c r="E18" s="9"/>
      <c r="F18" s="9"/>
      <c r="I18" s="28" t="str">
        <v>V26</v>
      </c>
      <c r="J18" s="29">
        <f t="shared" si="0"/>
        <v>46296</v>
      </c>
      <c r="K18" s="30">
        <f t="shared" si="1"/>
        <v>516</v>
      </c>
      <c r="L18" s="30">
        <f t="shared" si="2"/>
        <v>750</v>
      </c>
    </row>
    <row r="19" spans="1:12" x14ac:dyDescent="0.3">
      <c r="A19" s="26">
        <v>45768</v>
      </c>
      <c r="B19" s="27" t="s">
        <v>130</v>
      </c>
      <c r="C19" s="27" t="s">
        <v>141</v>
      </c>
      <c r="D19" s="9"/>
      <c r="E19" s="9"/>
      <c r="F19" s="9"/>
      <c r="I19" s="28" t="str">
        <v>F27</v>
      </c>
      <c r="J19" s="29">
        <f t="shared" si="0"/>
        <v>46391</v>
      </c>
      <c r="K19" s="30">
        <f t="shared" si="1"/>
        <v>578</v>
      </c>
      <c r="L19" s="30">
        <f t="shared" si="2"/>
        <v>845</v>
      </c>
    </row>
    <row r="20" spans="1:12" x14ac:dyDescent="0.3">
      <c r="A20" s="26">
        <v>45778</v>
      </c>
      <c r="B20" s="27" t="s">
        <v>146</v>
      </c>
      <c r="C20" s="27" t="s">
        <v>144</v>
      </c>
      <c r="D20" s="9"/>
      <c r="E20" s="9"/>
      <c r="F20" s="9"/>
      <c r="I20" s="28" t="str">
        <v>J27</v>
      </c>
      <c r="J20" s="29">
        <f t="shared" si="0"/>
        <v>46478</v>
      </c>
      <c r="K20" s="30">
        <f t="shared" si="1"/>
        <v>638</v>
      </c>
      <c r="L20" s="30">
        <f t="shared" si="2"/>
        <v>932</v>
      </c>
    </row>
    <row r="21" spans="1:12" x14ac:dyDescent="0.3">
      <c r="A21" s="26">
        <v>45827</v>
      </c>
      <c r="B21" s="27" t="s">
        <v>146</v>
      </c>
      <c r="C21" s="27" t="s">
        <v>147</v>
      </c>
      <c r="D21" s="9"/>
      <c r="E21" s="9"/>
      <c r="F21" s="9"/>
      <c r="I21" s="28" t="str">
        <v>N27</v>
      </c>
      <c r="J21" s="29">
        <f t="shared" si="0"/>
        <v>46569</v>
      </c>
      <c r="K21" s="30">
        <f t="shared" si="1"/>
        <v>701</v>
      </c>
      <c r="L21" s="30">
        <f t="shared" si="2"/>
        <v>1023</v>
      </c>
    </row>
    <row r="22" spans="1:12" x14ac:dyDescent="0.3">
      <c r="A22" s="26">
        <v>45907</v>
      </c>
      <c r="B22" s="27" t="s">
        <v>140</v>
      </c>
      <c r="C22" s="27" t="s">
        <v>150</v>
      </c>
      <c r="D22" s="9"/>
      <c r="E22" s="9"/>
      <c r="F22" s="9"/>
      <c r="I22" s="28" t="str">
        <v>V27</v>
      </c>
      <c r="J22" s="29">
        <f t="shared" si="0"/>
        <v>46661</v>
      </c>
      <c r="K22" s="30">
        <f t="shared" si="1"/>
        <v>766</v>
      </c>
      <c r="L22" s="30">
        <f t="shared" si="2"/>
        <v>1115</v>
      </c>
    </row>
    <row r="23" spans="1:12" x14ac:dyDescent="0.3">
      <c r="A23" s="26">
        <v>45942</v>
      </c>
      <c r="B23" s="27" t="s">
        <v>140</v>
      </c>
      <c r="C23" s="27" t="s">
        <v>152</v>
      </c>
      <c r="D23" s="9"/>
      <c r="E23" s="9"/>
      <c r="F23" s="9"/>
      <c r="I23" s="28" t="str">
        <v>F28</v>
      </c>
      <c r="J23" s="29">
        <f t="shared" si="0"/>
        <v>46755</v>
      </c>
      <c r="K23" s="30">
        <f t="shared" si="1"/>
        <v>829</v>
      </c>
      <c r="L23" s="30">
        <f t="shared" si="2"/>
        <v>1209</v>
      </c>
    </row>
    <row r="24" spans="1:12" x14ac:dyDescent="0.3">
      <c r="A24" s="26">
        <v>45963</v>
      </c>
      <c r="B24" s="27" t="s">
        <v>140</v>
      </c>
      <c r="C24" s="27" t="s">
        <v>154</v>
      </c>
      <c r="D24" s="9"/>
      <c r="E24" s="9"/>
      <c r="F24" s="9"/>
      <c r="I24" s="28" t="str">
        <v>J28</v>
      </c>
      <c r="J24" s="29">
        <f t="shared" si="0"/>
        <v>46846</v>
      </c>
      <c r="K24" s="30">
        <f t="shared" si="1"/>
        <v>892</v>
      </c>
      <c r="L24" s="30">
        <f t="shared" si="2"/>
        <v>1300</v>
      </c>
    </row>
    <row r="25" spans="1:12" x14ac:dyDescent="0.3">
      <c r="A25" s="26">
        <v>45976</v>
      </c>
      <c r="B25" s="27" t="s">
        <v>149</v>
      </c>
      <c r="C25" s="27" t="s">
        <v>156</v>
      </c>
      <c r="D25" s="9"/>
      <c r="E25" s="9"/>
      <c r="F25" s="9"/>
      <c r="I25" s="28" t="str">
        <v>N28</v>
      </c>
      <c r="J25" s="29">
        <f t="shared" si="0"/>
        <v>46937</v>
      </c>
      <c r="K25" s="30">
        <f t="shared" si="1"/>
        <v>953</v>
      </c>
      <c r="L25" s="30">
        <f t="shared" si="2"/>
        <v>1391</v>
      </c>
    </row>
    <row r="26" spans="1:12" x14ac:dyDescent="0.3">
      <c r="A26" s="26">
        <v>45981</v>
      </c>
      <c r="B26" s="27" t="s">
        <v>146</v>
      </c>
      <c r="C26" s="27" t="s">
        <v>158</v>
      </c>
      <c r="D26" s="9"/>
      <c r="E26" s="9"/>
      <c r="F26" s="9"/>
      <c r="I26" s="28" t="str">
        <v>V28</v>
      </c>
      <c r="J26" s="29">
        <f t="shared" si="0"/>
        <v>47028</v>
      </c>
      <c r="K26" s="30">
        <f t="shared" si="1"/>
        <v>1017</v>
      </c>
      <c r="L26" s="30">
        <f t="shared" si="2"/>
        <v>1482</v>
      </c>
    </row>
    <row r="27" spans="1:12" x14ac:dyDescent="0.3">
      <c r="A27" s="26">
        <v>46016</v>
      </c>
      <c r="B27" s="27" t="s">
        <v>146</v>
      </c>
      <c r="C27" s="27" t="s">
        <v>160</v>
      </c>
      <c r="D27" s="9"/>
      <c r="E27" s="9"/>
      <c r="F27" s="9"/>
      <c r="I27" s="28" t="str">
        <v>F29</v>
      </c>
      <c r="J27" s="29">
        <f t="shared" si="0"/>
        <v>47120</v>
      </c>
      <c r="K27" s="30">
        <f t="shared" si="1"/>
        <v>1077</v>
      </c>
      <c r="L27" s="30">
        <f t="shared" si="2"/>
        <v>1574</v>
      </c>
    </row>
    <row r="28" spans="1:12" x14ac:dyDescent="0.3">
      <c r="A28" s="26">
        <v>46023</v>
      </c>
      <c r="B28" s="27" t="s">
        <v>146</v>
      </c>
      <c r="C28" s="27" t="s">
        <v>131</v>
      </c>
      <c r="D28" s="9"/>
      <c r="E28" s="9"/>
      <c r="F28" s="9"/>
      <c r="I28" s="28" t="str">
        <v>J29</v>
      </c>
      <c r="J28" s="29">
        <f t="shared" si="0"/>
        <v>47210</v>
      </c>
      <c r="K28" s="30">
        <f t="shared" si="1"/>
        <v>1138</v>
      </c>
      <c r="L28" s="30">
        <f t="shared" si="2"/>
        <v>1664</v>
      </c>
    </row>
    <row r="29" spans="1:12" x14ac:dyDescent="0.3">
      <c r="A29" s="26">
        <v>46069</v>
      </c>
      <c r="B29" s="27" t="s">
        <v>130</v>
      </c>
      <c r="C29" s="27" t="s">
        <v>133</v>
      </c>
      <c r="D29" s="9"/>
      <c r="E29" s="9"/>
      <c r="F29" s="9"/>
      <c r="I29" s="28" t="str">
        <v>N29</v>
      </c>
      <c r="J29" s="29">
        <f t="shared" si="0"/>
        <v>47301</v>
      </c>
      <c r="K29" s="30">
        <f t="shared" si="1"/>
        <v>1201</v>
      </c>
      <c r="L29" s="30">
        <f t="shared" si="2"/>
        <v>1755</v>
      </c>
    </row>
    <row r="30" spans="1:12" x14ac:dyDescent="0.3">
      <c r="A30" s="26">
        <v>46070</v>
      </c>
      <c r="B30" s="27" t="s">
        <v>135</v>
      </c>
      <c r="C30" s="27" t="s">
        <v>133</v>
      </c>
      <c r="D30" s="9"/>
      <c r="E30" s="9"/>
      <c r="F30" s="9"/>
      <c r="I30" s="28" t="str">
        <v>F30</v>
      </c>
      <c r="J30" s="29">
        <f t="shared" si="0"/>
        <v>47485</v>
      </c>
      <c r="K30" s="30">
        <f t="shared" si="1"/>
        <v>1326</v>
      </c>
      <c r="L30" s="30">
        <f t="shared" si="2"/>
        <v>1939</v>
      </c>
    </row>
    <row r="31" spans="1:12" x14ac:dyDescent="0.3">
      <c r="A31" s="26">
        <v>46115</v>
      </c>
      <c r="B31" s="27" t="s">
        <v>137</v>
      </c>
      <c r="C31" s="27" t="s">
        <v>138</v>
      </c>
      <c r="D31" s="9"/>
      <c r="E31" s="9"/>
      <c r="F31" s="9"/>
      <c r="I31" s="28" t="str">
        <v>F31</v>
      </c>
      <c r="J31" s="29">
        <f t="shared" si="0"/>
        <v>47850</v>
      </c>
      <c r="K31" s="30">
        <f t="shared" si="1"/>
        <v>1578</v>
      </c>
      <c r="L31" s="30">
        <f t="shared" si="2"/>
        <v>2304</v>
      </c>
    </row>
    <row r="32" spans="1:12" x14ac:dyDescent="0.3">
      <c r="A32" s="26">
        <v>46133</v>
      </c>
      <c r="B32" s="27" t="s">
        <v>135</v>
      </c>
      <c r="C32" s="27" t="s">
        <v>141</v>
      </c>
      <c r="D32" s="9"/>
      <c r="E32" s="9"/>
      <c r="F32" s="9"/>
      <c r="I32" s="28" t="str">
        <v>F32</v>
      </c>
      <c r="J32" s="29">
        <f t="shared" si="0"/>
        <v>48215</v>
      </c>
      <c r="K32" s="30">
        <f t="shared" si="1"/>
        <v>1830</v>
      </c>
      <c r="L32" s="30">
        <f t="shared" si="2"/>
        <v>2669</v>
      </c>
    </row>
    <row r="33" spans="1:12" x14ac:dyDescent="0.3">
      <c r="A33" s="26">
        <v>46143</v>
      </c>
      <c r="B33" s="27" t="s">
        <v>137</v>
      </c>
      <c r="C33" s="27" t="s">
        <v>144</v>
      </c>
      <c r="D33" s="9"/>
      <c r="E33" s="9"/>
      <c r="F33" s="9"/>
      <c r="I33" s="28" t="str">
        <v>F33</v>
      </c>
      <c r="J33" s="29">
        <f t="shared" si="0"/>
        <v>48582</v>
      </c>
      <c r="K33" s="30">
        <f t="shared" si="1"/>
        <v>2082</v>
      </c>
      <c r="L33" s="30">
        <f t="shared" si="2"/>
        <v>3036</v>
      </c>
    </row>
    <row r="34" spans="1:12" x14ac:dyDescent="0.3">
      <c r="A34" s="26">
        <v>46177</v>
      </c>
      <c r="B34" s="27" t="s">
        <v>146</v>
      </c>
      <c r="C34" s="27" t="s">
        <v>147</v>
      </c>
      <c r="D34" s="9"/>
      <c r="E34" s="9"/>
      <c r="F34" s="9"/>
      <c r="I34" s="28" t="str">
        <v>F34</v>
      </c>
      <c r="J34" s="29">
        <f t="shared" si="0"/>
        <v>48946</v>
      </c>
      <c r="K34" s="30">
        <f t="shared" si="1"/>
        <v>2333</v>
      </c>
      <c r="L34" s="30">
        <f t="shared" si="2"/>
        <v>3400</v>
      </c>
    </row>
    <row r="35" spans="1:12" x14ac:dyDescent="0.3">
      <c r="A35" s="26">
        <v>46272</v>
      </c>
      <c r="B35" s="27" t="s">
        <v>130</v>
      </c>
      <c r="C35" s="27" t="s">
        <v>150</v>
      </c>
      <c r="D35" s="9"/>
      <c r="E35" s="9"/>
      <c r="F35" s="9"/>
      <c r="I35" s="28" t="str">
        <v>F35</v>
      </c>
      <c r="J35" s="29">
        <f t="shared" si="0"/>
        <v>49311</v>
      </c>
      <c r="K35" s="30">
        <f t="shared" si="1"/>
        <v>2581</v>
      </c>
      <c r="L35" s="30">
        <f t="shared" si="2"/>
        <v>3765</v>
      </c>
    </row>
    <row r="36" spans="1:12" x14ac:dyDescent="0.3">
      <c r="A36" s="26">
        <v>46307</v>
      </c>
      <c r="B36" s="27" t="s">
        <v>130</v>
      </c>
      <c r="C36" s="27" t="s">
        <v>152</v>
      </c>
      <c r="D36" s="9"/>
      <c r="E36" s="9"/>
      <c r="F36" s="9"/>
      <c r="I36" s="28" t="str">
        <v>F36</v>
      </c>
      <c r="J36" s="29">
        <f t="shared" si="0"/>
        <v>49676</v>
      </c>
      <c r="K36" s="30">
        <f t="shared" si="1"/>
        <v>2830</v>
      </c>
      <c r="L36" s="30">
        <f t="shared" si="2"/>
        <v>4130</v>
      </c>
    </row>
    <row r="37" spans="1:12" x14ac:dyDescent="0.3">
      <c r="A37" s="26">
        <v>46328</v>
      </c>
      <c r="B37" s="27" t="s">
        <v>130</v>
      </c>
      <c r="C37" s="27" t="s">
        <v>154</v>
      </c>
      <c r="D37" s="9"/>
      <c r="E37" s="9"/>
      <c r="F37" s="9"/>
      <c r="I37" s="28" t="str">
        <v>F37</v>
      </c>
      <c r="J37" s="29">
        <f t="shared" si="0"/>
        <v>50042</v>
      </c>
      <c r="K37" s="30">
        <f t="shared" si="1"/>
        <v>3083</v>
      </c>
      <c r="L37" s="30">
        <f t="shared" si="2"/>
        <v>4496</v>
      </c>
    </row>
    <row r="38" spans="1:12" x14ac:dyDescent="0.3">
      <c r="A38" s="26">
        <v>46341</v>
      </c>
      <c r="B38" s="27" t="s">
        <v>140</v>
      </c>
      <c r="C38" s="27" t="s">
        <v>156</v>
      </c>
      <c r="D38" s="9"/>
      <c r="E38" s="9"/>
      <c r="F38" s="9"/>
      <c r="I38" s="28" t="str">
        <v>F38</v>
      </c>
      <c r="J38" s="29">
        <f t="shared" si="0"/>
        <v>50409</v>
      </c>
      <c r="K38" s="30">
        <f t="shared" si="1"/>
        <v>3332</v>
      </c>
      <c r="L38" s="30">
        <f t="shared" si="2"/>
        <v>4863</v>
      </c>
    </row>
    <row r="39" spans="1:12" x14ac:dyDescent="0.3">
      <c r="A39" s="26">
        <v>46346</v>
      </c>
      <c r="B39" s="27" t="s">
        <v>137</v>
      </c>
      <c r="C39" s="27" t="s">
        <v>158</v>
      </c>
      <c r="D39" s="9"/>
      <c r="E39" s="9"/>
      <c r="F39" s="9"/>
      <c r="I39" s="28" t="str">
        <v>F39</v>
      </c>
      <c r="J39" s="29">
        <f t="shared" si="0"/>
        <v>50773</v>
      </c>
      <c r="K39" s="30">
        <f t="shared" si="1"/>
        <v>3583</v>
      </c>
      <c r="L39" s="30">
        <f t="shared" si="2"/>
        <v>5227</v>
      </c>
    </row>
    <row r="40" spans="1:12" x14ac:dyDescent="0.3">
      <c r="A40" s="26">
        <v>46381</v>
      </c>
      <c r="B40" s="27" t="s">
        <v>137</v>
      </c>
      <c r="C40" s="27" t="s">
        <v>160</v>
      </c>
      <c r="D40" s="9"/>
      <c r="E40" s="9"/>
      <c r="F40" s="9"/>
    </row>
    <row r="41" spans="1:12" x14ac:dyDescent="0.3">
      <c r="A41" s="26">
        <v>46388</v>
      </c>
      <c r="B41" s="27" t="s">
        <v>137</v>
      </c>
      <c r="C41" s="27" t="s">
        <v>131</v>
      </c>
      <c r="D41" s="9"/>
      <c r="E41" s="9"/>
      <c r="F41" s="9"/>
    </row>
    <row r="42" spans="1:12" x14ac:dyDescent="0.3">
      <c r="A42" s="26">
        <v>46426</v>
      </c>
      <c r="B42" s="27" t="s">
        <v>130</v>
      </c>
      <c r="C42" s="27" t="s">
        <v>133</v>
      </c>
      <c r="D42" s="9"/>
      <c r="E42" s="9"/>
      <c r="F42" s="9"/>
    </row>
    <row r="43" spans="1:12" x14ac:dyDescent="0.3">
      <c r="A43" s="26">
        <v>46427</v>
      </c>
      <c r="B43" s="27" t="s">
        <v>135</v>
      </c>
      <c r="C43" s="27" t="s">
        <v>133</v>
      </c>
      <c r="D43" s="9"/>
      <c r="E43" s="9"/>
      <c r="F43" s="9"/>
    </row>
    <row r="44" spans="1:12" x14ac:dyDescent="0.3">
      <c r="A44" s="26">
        <v>46472</v>
      </c>
      <c r="B44" s="27" t="s">
        <v>137</v>
      </c>
      <c r="C44" s="27" t="s">
        <v>138</v>
      </c>
      <c r="D44" s="9"/>
      <c r="E44" s="9"/>
      <c r="F44" s="9"/>
    </row>
    <row r="45" spans="1:12" x14ac:dyDescent="0.3">
      <c r="A45" s="26">
        <v>46498</v>
      </c>
      <c r="B45" s="27" t="s">
        <v>143</v>
      </c>
      <c r="C45" s="27" t="s">
        <v>141</v>
      </c>
      <c r="D45" s="9"/>
      <c r="E45" s="9"/>
      <c r="F45" s="9"/>
    </row>
    <row r="46" spans="1:12" x14ac:dyDescent="0.3">
      <c r="A46" s="26">
        <v>46508</v>
      </c>
      <c r="B46" s="27" t="s">
        <v>149</v>
      </c>
      <c r="C46" s="27" t="s">
        <v>144</v>
      </c>
      <c r="D46" s="9"/>
      <c r="E46" s="9"/>
      <c r="F46" s="9"/>
    </row>
    <row r="47" spans="1:12" x14ac:dyDescent="0.3">
      <c r="A47" s="26">
        <v>46534</v>
      </c>
      <c r="B47" s="27" t="s">
        <v>146</v>
      </c>
      <c r="C47" s="27" t="s">
        <v>147</v>
      </c>
      <c r="D47" s="9"/>
      <c r="E47" s="9"/>
      <c r="F47" s="9"/>
    </row>
    <row r="48" spans="1:12" x14ac:dyDescent="0.3">
      <c r="A48" s="26">
        <v>46637</v>
      </c>
      <c r="B48" s="27" t="s">
        <v>135</v>
      </c>
      <c r="C48" s="27" t="s">
        <v>150</v>
      </c>
      <c r="D48" s="9"/>
      <c r="E48" s="9"/>
      <c r="F48" s="9"/>
    </row>
    <row r="49" spans="1:6" x14ac:dyDescent="0.3">
      <c r="A49" s="26">
        <v>46672</v>
      </c>
      <c r="B49" s="27" t="s">
        <v>135</v>
      </c>
      <c r="C49" s="27" t="s">
        <v>152</v>
      </c>
      <c r="D49" s="9"/>
      <c r="E49" s="9"/>
      <c r="F49" s="9"/>
    </row>
    <row r="50" spans="1:6" x14ac:dyDescent="0.3">
      <c r="A50" s="26">
        <v>46693</v>
      </c>
      <c r="B50" s="27" t="s">
        <v>135</v>
      </c>
      <c r="C50" s="27" t="s">
        <v>154</v>
      </c>
      <c r="D50" s="9"/>
      <c r="E50" s="9"/>
      <c r="F50" s="9"/>
    </row>
    <row r="51" spans="1:6" x14ac:dyDescent="0.3">
      <c r="A51" s="26">
        <v>46706</v>
      </c>
      <c r="B51" s="27" t="s">
        <v>130</v>
      </c>
      <c r="C51" s="27" t="s">
        <v>156</v>
      </c>
      <c r="D51" s="9"/>
      <c r="E51" s="9"/>
      <c r="F51" s="9"/>
    </row>
    <row r="52" spans="1:6" x14ac:dyDescent="0.3">
      <c r="A52" s="26">
        <v>46711</v>
      </c>
      <c r="B52" s="27" t="s">
        <v>149</v>
      </c>
      <c r="C52" s="27" t="s">
        <v>158</v>
      </c>
      <c r="D52" s="9"/>
      <c r="E52" s="9"/>
      <c r="F52" s="9"/>
    </row>
    <row r="53" spans="1:6" x14ac:dyDescent="0.3">
      <c r="A53" s="26">
        <v>46746</v>
      </c>
      <c r="B53" s="27" t="s">
        <v>149</v>
      </c>
      <c r="C53" s="27" t="s">
        <v>160</v>
      </c>
      <c r="D53" s="9"/>
      <c r="E53" s="9"/>
      <c r="F53" s="9"/>
    </row>
    <row r="54" spans="1:6" x14ac:dyDescent="0.3">
      <c r="A54" s="26">
        <v>46753</v>
      </c>
      <c r="B54" s="27" t="s">
        <v>149</v>
      </c>
      <c r="C54" s="27" t="s">
        <v>131</v>
      </c>
      <c r="D54" s="9"/>
      <c r="E54" s="9"/>
      <c r="F54" s="9"/>
    </row>
    <row r="55" spans="1:6" x14ac:dyDescent="0.3">
      <c r="A55" s="26">
        <v>46811</v>
      </c>
      <c r="B55" s="27" t="s">
        <v>130</v>
      </c>
      <c r="C55" s="27" t="s">
        <v>133</v>
      </c>
      <c r="D55" s="9"/>
      <c r="E55" s="9"/>
      <c r="F55" s="9"/>
    </row>
    <row r="56" spans="1:6" x14ac:dyDescent="0.3">
      <c r="A56" s="26">
        <v>46812</v>
      </c>
      <c r="B56" s="27" t="s">
        <v>135</v>
      </c>
      <c r="C56" s="27" t="s">
        <v>133</v>
      </c>
      <c r="D56" s="9"/>
      <c r="E56" s="9"/>
      <c r="F56" s="9"/>
    </row>
    <row r="57" spans="1:6" x14ac:dyDescent="0.3">
      <c r="A57" s="26">
        <v>46857</v>
      </c>
      <c r="B57" s="27" t="s">
        <v>137</v>
      </c>
      <c r="C57" s="27" t="s">
        <v>138</v>
      </c>
      <c r="D57" s="9"/>
      <c r="E57" s="9"/>
      <c r="F57" s="9"/>
    </row>
    <row r="58" spans="1:6" x14ac:dyDescent="0.3">
      <c r="A58" s="26">
        <v>46864</v>
      </c>
      <c r="B58" s="27" t="s">
        <v>137</v>
      </c>
      <c r="C58" s="27" t="s">
        <v>141</v>
      </c>
      <c r="D58" s="9"/>
      <c r="E58" s="9"/>
      <c r="F58" s="9"/>
    </row>
    <row r="59" spans="1:6" x14ac:dyDescent="0.3">
      <c r="A59" s="26">
        <v>46874</v>
      </c>
      <c r="B59" s="27" t="s">
        <v>130</v>
      </c>
      <c r="C59" s="27" t="s">
        <v>144</v>
      </c>
      <c r="D59" s="9"/>
      <c r="E59" s="9"/>
      <c r="F59" s="9"/>
    </row>
    <row r="60" spans="1:6" x14ac:dyDescent="0.3">
      <c r="A60" s="26">
        <v>46919</v>
      </c>
      <c r="B60" s="27" t="s">
        <v>146</v>
      </c>
      <c r="C60" s="27" t="s">
        <v>147</v>
      </c>
      <c r="D60" s="9"/>
      <c r="E60" s="9"/>
      <c r="F60" s="9"/>
    </row>
    <row r="61" spans="1:6" x14ac:dyDescent="0.3">
      <c r="A61" s="26">
        <v>47003</v>
      </c>
      <c r="B61" s="27" t="s">
        <v>146</v>
      </c>
      <c r="C61" s="27" t="s">
        <v>150</v>
      </c>
      <c r="D61" s="9"/>
      <c r="E61" s="9"/>
      <c r="F61" s="9"/>
    </row>
    <row r="62" spans="1:6" x14ac:dyDescent="0.3">
      <c r="A62" s="26">
        <v>47038</v>
      </c>
      <c r="B62" s="27" t="s">
        <v>146</v>
      </c>
      <c r="C62" s="27" t="s">
        <v>152</v>
      </c>
      <c r="D62" s="9"/>
      <c r="E62" s="9"/>
      <c r="F62" s="9"/>
    </row>
    <row r="63" spans="1:6" x14ac:dyDescent="0.3">
      <c r="A63" s="26">
        <v>47059</v>
      </c>
      <c r="B63" s="27" t="s">
        <v>146</v>
      </c>
      <c r="C63" s="27" t="s">
        <v>154</v>
      </c>
      <c r="D63" s="9"/>
      <c r="E63" s="9"/>
      <c r="F63" s="9"/>
    </row>
    <row r="64" spans="1:6" x14ac:dyDescent="0.3">
      <c r="A64" s="26">
        <v>47072</v>
      </c>
      <c r="B64" s="27" t="s">
        <v>143</v>
      </c>
      <c r="C64" s="27" t="s">
        <v>156</v>
      </c>
      <c r="D64" s="9"/>
      <c r="E64" s="9"/>
      <c r="F64" s="9"/>
    </row>
    <row r="65" spans="1:6" x14ac:dyDescent="0.3">
      <c r="A65" s="26">
        <v>47077</v>
      </c>
      <c r="B65" s="27" t="s">
        <v>130</v>
      </c>
      <c r="C65" s="27" t="s">
        <v>158</v>
      </c>
      <c r="D65" s="9"/>
      <c r="E65" s="9"/>
      <c r="F65" s="9"/>
    </row>
    <row r="66" spans="1:6" x14ac:dyDescent="0.3">
      <c r="A66" s="26">
        <v>47112</v>
      </c>
      <c r="B66" s="27" t="s">
        <v>130</v>
      </c>
      <c r="C66" s="27" t="s">
        <v>160</v>
      </c>
      <c r="D66" s="9"/>
      <c r="E66" s="9"/>
      <c r="F66" s="9"/>
    </row>
    <row r="67" spans="1:6" x14ac:dyDescent="0.3">
      <c r="A67" s="26">
        <v>47119</v>
      </c>
      <c r="B67" s="27" t="s">
        <v>130</v>
      </c>
      <c r="C67" s="27" t="s">
        <v>131</v>
      </c>
      <c r="D67" s="9"/>
      <c r="E67" s="9"/>
      <c r="F67" s="9"/>
    </row>
    <row r="68" spans="1:6" x14ac:dyDescent="0.3">
      <c r="A68" s="26">
        <v>47161</v>
      </c>
      <c r="B68" s="27" t="s">
        <v>130</v>
      </c>
      <c r="C68" s="27" t="s">
        <v>133</v>
      </c>
      <c r="D68" s="9"/>
      <c r="E68" s="9"/>
      <c r="F68" s="9"/>
    </row>
    <row r="69" spans="1:6" x14ac:dyDescent="0.3">
      <c r="A69" s="26">
        <v>47162</v>
      </c>
      <c r="B69" s="27" t="s">
        <v>135</v>
      </c>
      <c r="C69" s="27" t="s">
        <v>133</v>
      </c>
      <c r="D69" s="9"/>
      <c r="E69" s="9"/>
      <c r="F69" s="9"/>
    </row>
    <row r="70" spans="1:6" x14ac:dyDescent="0.3">
      <c r="A70" s="26">
        <v>47207</v>
      </c>
      <c r="B70" s="27" t="s">
        <v>137</v>
      </c>
      <c r="C70" s="27" t="s">
        <v>138</v>
      </c>
      <c r="D70" s="9"/>
      <c r="E70" s="9"/>
      <c r="F70" s="9"/>
    </row>
    <row r="71" spans="1:6" x14ac:dyDescent="0.3">
      <c r="A71" s="26">
        <v>47229</v>
      </c>
      <c r="B71" s="27" t="s">
        <v>149</v>
      </c>
      <c r="C71" s="27" t="s">
        <v>141</v>
      </c>
      <c r="D71" s="9"/>
      <c r="E71" s="9"/>
      <c r="F71" s="9"/>
    </row>
    <row r="72" spans="1:6" x14ac:dyDescent="0.3">
      <c r="A72" s="26">
        <v>47239</v>
      </c>
      <c r="B72" s="27" t="s">
        <v>135</v>
      </c>
      <c r="C72" s="27" t="s">
        <v>144</v>
      </c>
      <c r="D72" s="9"/>
      <c r="E72" s="9"/>
      <c r="F72" s="9"/>
    </row>
    <row r="73" spans="1:6" x14ac:dyDescent="0.3">
      <c r="A73" s="26">
        <v>47269</v>
      </c>
      <c r="B73" s="27" t="s">
        <v>146</v>
      </c>
      <c r="C73" s="27" t="s">
        <v>147</v>
      </c>
      <c r="D73" s="9"/>
      <c r="E73" s="9"/>
      <c r="F73" s="9"/>
    </row>
    <row r="74" spans="1:6" x14ac:dyDescent="0.3">
      <c r="A74" s="26">
        <v>47368</v>
      </c>
      <c r="B74" s="27" t="s">
        <v>137</v>
      </c>
      <c r="C74" s="27" t="s">
        <v>150</v>
      </c>
      <c r="D74" s="9"/>
      <c r="E74" s="9"/>
      <c r="F74" s="9"/>
    </row>
    <row r="75" spans="1:6" x14ac:dyDescent="0.3">
      <c r="A75" s="26">
        <v>47403</v>
      </c>
      <c r="B75" s="27" t="s">
        <v>137</v>
      </c>
      <c r="C75" s="27" t="s">
        <v>152</v>
      </c>
      <c r="D75" s="9"/>
      <c r="E75" s="9"/>
      <c r="F75" s="9"/>
    </row>
    <row r="76" spans="1:6" x14ac:dyDescent="0.3">
      <c r="A76" s="26">
        <v>47424</v>
      </c>
      <c r="B76" s="27" t="s">
        <v>137</v>
      </c>
      <c r="C76" s="27" t="s">
        <v>154</v>
      </c>
      <c r="D76" s="9"/>
      <c r="E76" s="9"/>
      <c r="F76" s="9"/>
    </row>
    <row r="77" spans="1:6" x14ac:dyDescent="0.3">
      <c r="A77" s="26">
        <v>47437</v>
      </c>
      <c r="B77" s="27" t="s">
        <v>146</v>
      </c>
      <c r="C77" s="27" t="s">
        <v>156</v>
      </c>
      <c r="D77" s="9"/>
      <c r="E77" s="9"/>
      <c r="F77" s="9"/>
    </row>
    <row r="78" spans="1:6" x14ac:dyDescent="0.3">
      <c r="A78" s="26">
        <v>47442</v>
      </c>
      <c r="B78" s="27" t="s">
        <v>135</v>
      </c>
      <c r="C78" s="27" t="s">
        <v>158</v>
      </c>
      <c r="D78" s="9"/>
      <c r="E78" s="9"/>
      <c r="F78" s="9"/>
    </row>
    <row r="79" spans="1:6" x14ac:dyDescent="0.3">
      <c r="A79" s="26">
        <v>47477</v>
      </c>
      <c r="B79" s="27" t="s">
        <v>135</v>
      </c>
      <c r="C79" s="27" t="s">
        <v>160</v>
      </c>
      <c r="D79" s="9"/>
      <c r="E79" s="9"/>
      <c r="F79" s="9"/>
    </row>
    <row r="80" spans="1:6" x14ac:dyDescent="0.3">
      <c r="A80" s="26">
        <v>47484</v>
      </c>
      <c r="B80" s="27" t="s">
        <v>135</v>
      </c>
      <c r="C80" s="27" t="s">
        <v>131</v>
      </c>
      <c r="D80" s="9"/>
      <c r="E80" s="9"/>
      <c r="F80" s="9"/>
    </row>
    <row r="81" spans="1:6" x14ac:dyDescent="0.3">
      <c r="A81" s="26">
        <v>47546</v>
      </c>
      <c r="B81" s="27" t="s">
        <v>130</v>
      </c>
      <c r="C81" s="27" t="s">
        <v>133</v>
      </c>
      <c r="D81" s="9"/>
      <c r="E81" s="9"/>
      <c r="F81" s="9"/>
    </row>
    <row r="82" spans="1:6" x14ac:dyDescent="0.3">
      <c r="A82" s="26">
        <v>47547</v>
      </c>
      <c r="B82" s="27" t="s">
        <v>135</v>
      </c>
      <c r="C82" s="27" t="s">
        <v>133</v>
      </c>
      <c r="D82" s="9"/>
      <c r="E82" s="9"/>
      <c r="F82" s="9"/>
    </row>
    <row r="83" spans="1:6" x14ac:dyDescent="0.3">
      <c r="A83" s="26">
        <v>47592</v>
      </c>
      <c r="B83" s="27" t="s">
        <v>137</v>
      </c>
      <c r="C83" s="27" t="s">
        <v>138</v>
      </c>
      <c r="D83" s="9"/>
      <c r="E83" s="9"/>
      <c r="F83" s="9"/>
    </row>
    <row r="84" spans="1:6" x14ac:dyDescent="0.3">
      <c r="A84" s="26">
        <v>47594</v>
      </c>
      <c r="B84" s="27" t="s">
        <v>140</v>
      </c>
      <c r="C84" s="27" t="s">
        <v>141</v>
      </c>
      <c r="D84" s="9"/>
      <c r="E84" s="9"/>
      <c r="F84" s="9"/>
    </row>
    <row r="85" spans="1:6" x14ac:dyDescent="0.3">
      <c r="A85" s="26">
        <v>47604</v>
      </c>
      <c r="B85" s="27" t="s">
        <v>143</v>
      </c>
      <c r="C85" s="27" t="s">
        <v>144</v>
      </c>
      <c r="D85" s="9"/>
      <c r="E85" s="9"/>
      <c r="F85" s="9"/>
    </row>
    <row r="86" spans="1:6" x14ac:dyDescent="0.3">
      <c r="A86" s="26">
        <v>47654</v>
      </c>
      <c r="B86" s="27" t="s">
        <v>146</v>
      </c>
      <c r="C86" s="27" t="s">
        <v>147</v>
      </c>
      <c r="D86" s="9"/>
      <c r="E86" s="9"/>
      <c r="F86" s="9"/>
    </row>
    <row r="87" spans="1:6" x14ac:dyDescent="0.3">
      <c r="A87" s="26">
        <v>47733</v>
      </c>
      <c r="B87" s="27" t="s">
        <v>149</v>
      </c>
      <c r="C87" s="27" t="s">
        <v>150</v>
      </c>
      <c r="D87" s="9"/>
      <c r="E87" s="9"/>
      <c r="F87" s="9"/>
    </row>
    <row r="88" spans="1:6" x14ac:dyDescent="0.3">
      <c r="A88" s="26">
        <v>47768</v>
      </c>
      <c r="B88" s="27" t="s">
        <v>149</v>
      </c>
      <c r="C88" s="27" t="s">
        <v>152</v>
      </c>
      <c r="D88" s="9"/>
      <c r="E88" s="9"/>
      <c r="F88" s="9"/>
    </row>
    <row r="89" spans="1:6" x14ac:dyDescent="0.3">
      <c r="A89" s="26">
        <v>47789</v>
      </c>
      <c r="B89" s="27" t="s">
        <v>149</v>
      </c>
      <c r="C89" s="27" t="s">
        <v>154</v>
      </c>
      <c r="D89" s="9"/>
      <c r="E89" s="9"/>
      <c r="F89" s="9"/>
    </row>
    <row r="90" spans="1:6" x14ac:dyDescent="0.3">
      <c r="A90" s="26">
        <v>47802</v>
      </c>
      <c r="B90" s="27" t="s">
        <v>137</v>
      </c>
      <c r="C90" s="27" t="s">
        <v>156</v>
      </c>
      <c r="D90" s="9"/>
      <c r="E90" s="9"/>
      <c r="F90" s="9"/>
    </row>
    <row r="91" spans="1:6" x14ac:dyDescent="0.3">
      <c r="A91" s="26">
        <v>47807</v>
      </c>
      <c r="B91" s="27" t="s">
        <v>143</v>
      </c>
      <c r="C91" s="27" t="s">
        <v>158</v>
      </c>
      <c r="D91" s="9"/>
      <c r="E91" s="9"/>
      <c r="F91" s="9"/>
    </row>
    <row r="92" spans="1:6" x14ac:dyDescent="0.3">
      <c r="A92" s="26">
        <v>47842</v>
      </c>
      <c r="B92" s="27" t="s">
        <v>143</v>
      </c>
      <c r="C92" s="27" t="s">
        <v>160</v>
      </c>
      <c r="D92" s="9"/>
      <c r="E92" s="9"/>
      <c r="F92" s="9"/>
    </row>
    <row r="93" spans="1:6" x14ac:dyDescent="0.3">
      <c r="A93" s="26">
        <v>47849</v>
      </c>
      <c r="B93" s="27" t="s">
        <v>143</v>
      </c>
      <c r="C93" s="27" t="s">
        <v>131</v>
      </c>
      <c r="D93" s="9"/>
      <c r="E93" s="9"/>
      <c r="F93" s="9"/>
    </row>
    <row r="94" spans="1:6" x14ac:dyDescent="0.3">
      <c r="A94" s="26">
        <v>47903</v>
      </c>
      <c r="B94" s="27" t="s">
        <v>130</v>
      </c>
      <c r="C94" s="27" t="s">
        <v>133</v>
      </c>
      <c r="D94" s="9"/>
      <c r="E94" s="9"/>
      <c r="F94" s="9"/>
    </row>
    <row r="95" spans="1:6" x14ac:dyDescent="0.3">
      <c r="A95" s="26">
        <v>47904</v>
      </c>
      <c r="B95" s="27" t="s">
        <v>135</v>
      </c>
      <c r="C95" s="27" t="s">
        <v>133</v>
      </c>
      <c r="D95" s="9"/>
      <c r="E95" s="9"/>
      <c r="F95" s="9"/>
    </row>
    <row r="96" spans="1:6" x14ac:dyDescent="0.3">
      <c r="A96" s="26">
        <v>47949</v>
      </c>
      <c r="B96" s="27" t="s">
        <v>137</v>
      </c>
      <c r="C96" s="27" t="s">
        <v>138</v>
      </c>
      <c r="D96" s="9"/>
      <c r="E96" s="9"/>
      <c r="F96" s="9"/>
    </row>
    <row r="97" spans="1:6" x14ac:dyDescent="0.3">
      <c r="A97" s="26">
        <v>47959</v>
      </c>
      <c r="B97" s="27" t="s">
        <v>130</v>
      </c>
      <c r="C97" s="27" t="s">
        <v>141</v>
      </c>
      <c r="D97" s="9"/>
      <c r="E97" s="9"/>
      <c r="F97" s="9"/>
    </row>
    <row r="98" spans="1:6" x14ac:dyDescent="0.3">
      <c r="A98" s="26">
        <v>47969</v>
      </c>
      <c r="B98" s="27" t="s">
        <v>146</v>
      </c>
      <c r="C98" s="27" t="s">
        <v>144</v>
      </c>
      <c r="D98" s="9"/>
      <c r="E98" s="9"/>
      <c r="F98" s="9"/>
    </row>
    <row r="99" spans="1:6" x14ac:dyDescent="0.3">
      <c r="A99" s="26">
        <v>48011</v>
      </c>
      <c r="B99" s="27" t="s">
        <v>146</v>
      </c>
      <c r="C99" s="27" t="s">
        <v>147</v>
      </c>
      <c r="D99" s="9"/>
      <c r="E99" s="9"/>
      <c r="F99" s="9"/>
    </row>
    <row r="100" spans="1:6" x14ac:dyDescent="0.3">
      <c r="A100" s="26">
        <v>48098</v>
      </c>
      <c r="B100" s="27" t="s">
        <v>140</v>
      </c>
      <c r="C100" s="27" t="s">
        <v>150</v>
      </c>
      <c r="D100" s="9"/>
      <c r="E100" s="9"/>
      <c r="F100" s="9"/>
    </row>
    <row r="101" spans="1:6" x14ac:dyDescent="0.3">
      <c r="A101" s="26">
        <v>48133</v>
      </c>
      <c r="B101" s="27" t="s">
        <v>140</v>
      </c>
      <c r="C101" s="27" t="s">
        <v>152</v>
      </c>
      <c r="D101" s="9"/>
      <c r="E101" s="9"/>
      <c r="F101" s="9"/>
    </row>
    <row r="102" spans="1:6" x14ac:dyDescent="0.3">
      <c r="A102" s="26">
        <v>48154</v>
      </c>
      <c r="B102" s="27" t="s">
        <v>140</v>
      </c>
      <c r="C102" s="27" t="s">
        <v>154</v>
      </c>
      <c r="D102" s="9"/>
      <c r="E102" s="9"/>
      <c r="F102" s="9"/>
    </row>
    <row r="103" spans="1:6" x14ac:dyDescent="0.3">
      <c r="A103" s="26">
        <v>48167</v>
      </c>
      <c r="B103" s="27" t="s">
        <v>149</v>
      </c>
      <c r="C103" s="27" t="s">
        <v>156</v>
      </c>
      <c r="D103" s="9"/>
      <c r="E103" s="9"/>
      <c r="F103" s="9"/>
    </row>
    <row r="104" spans="1:6" x14ac:dyDescent="0.3">
      <c r="A104" s="26">
        <v>48172</v>
      </c>
      <c r="B104" s="27" t="s">
        <v>146</v>
      </c>
      <c r="C104" s="27" t="s">
        <v>158</v>
      </c>
      <c r="D104" s="9"/>
      <c r="E104" s="9"/>
      <c r="F104" s="9"/>
    </row>
    <row r="105" spans="1:6" x14ac:dyDescent="0.3">
      <c r="A105" s="26">
        <v>48207</v>
      </c>
      <c r="B105" s="27" t="s">
        <v>146</v>
      </c>
      <c r="C105" s="27" t="s">
        <v>160</v>
      </c>
      <c r="D105" s="9"/>
      <c r="E105" s="9"/>
      <c r="F105" s="9"/>
    </row>
    <row r="106" spans="1:6" x14ac:dyDescent="0.3">
      <c r="A106" s="26">
        <v>48214</v>
      </c>
      <c r="B106" s="27" t="s">
        <v>146</v>
      </c>
      <c r="C106" s="27" t="s">
        <v>131</v>
      </c>
      <c r="D106" s="9"/>
      <c r="E106" s="9"/>
      <c r="F106" s="9"/>
    </row>
    <row r="107" spans="1:6" x14ac:dyDescent="0.3">
      <c r="A107" s="26">
        <v>48253</v>
      </c>
      <c r="B107" s="27" t="s">
        <v>130</v>
      </c>
      <c r="C107" s="27" t="s">
        <v>133</v>
      </c>
      <c r="D107" s="9"/>
      <c r="E107" s="9"/>
      <c r="F107" s="9"/>
    </row>
    <row r="108" spans="1:6" x14ac:dyDescent="0.3">
      <c r="A108" s="26">
        <v>48254</v>
      </c>
      <c r="B108" s="27" t="s">
        <v>135</v>
      </c>
      <c r="C108" s="27" t="s">
        <v>133</v>
      </c>
      <c r="D108" s="9"/>
      <c r="E108" s="9"/>
      <c r="F108" s="9"/>
    </row>
    <row r="109" spans="1:6" x14ac:dyDescent="0.3">
      <c r="A109" s="26">
        <v>48299</v>
      </c>
      <c r="B109" s="27" t="s">
        <v>137</v>
      </c>
      <c r="C109" s="27" t="s">
        <v>138</v>
      </c>
      <c r="D109" s="9"/>
      <c r="E109" s="9"/>
      <c r="F109" s="9"/>
    </row>
    <row r="110" spans="1:6" x14ac:dyDescent="0.3">
      <c r="A110" s="26">
        <v>48325</v>
      </c>
      <c r="B110" s="27" t="s">
        <v>143</v>
      </c>
      <c r="C110" s="27" t="s">
        <v>141</v>
      </c>
      <c r="D110" s="9"/>
      <c r="E110" s="9"/>
      <c r="F110" s="9"/>
    </row>
    <row r="111" spans="1:6" x14ac:dyDescent="0.3">
      <c r="A111" s="26">
        <v>48335</v>
      </c>
      <c r="B111" s="27" t="s">
        <v>149</v>
      </c>
      <c r="C111" s="27" t="s">
        <v>144</v>
      </c>
      <c r="D111" s="9"/>
      <c r="E111" s="9"/>
      <c r="F111" s="9"/>
    </row>
    <row r="112" spans="1:6" x14ac:dyDescent="0.3">
      <c r="A112" s="26">
        <v>48361</v>
      </c>
      <c r="B112" s="27" t="s">
        <v>146</v>
      </c>
      <c r="C112" s="27" t="s">
        <v>147</v>
      </c>
      <c r="D112" s="9"/>
      <c r="E112" s="9"/>
      <c r="F112" s="9"/>
    </row>
    <row r="113" spans="1:6" x14ac:dyDescent="0.3">
      <c r="A113" s="26">
        <v>48464</v>
      </c>
      <c r="B113" s="27" t="s">
        <v>135</v>
      </c>
      <c r="C113" s="27" t="s">
        <v>150</v>
      </c>
      <c r="D113" s="9"/>
      <c r="E113" s="9"/>
      <c r="F113" s="9"/>
    </row>
    <row r="114" spans="1:6" x14ac:dyDescent="0.3">
      <c r="A114" s="26">
        <v>48499</v>
      </c>
      <c r="B114" s="27" t="s">
        <v>135</v>
      </c>
      <c r="C114" s="27" t="s">
        <v>152</v>
      </c>
      <c r="D114" s="9"/>
      <c r="E114" s="9"/>
      <c r="F114" s="9"/>
    </row>
    <row r="115" spans="1:6" x14ac:dyDescent="0.3">
      <c r="A115" s="26">
        <v>48520</v>
      </c>
      <c r="B115" s="27" t="s">
        <v>135</v>
      </c>
      <c r="C115" s="27" t="s">
        <v>154</v>
      </c>
      <c r="D115" s="9"/>
      <c r="E115" s="9"/>
      <c r="F115" s="9"/>
    </row>
    <row r="116" spans="1:6" x14ac:dyDescent="0.3">
      <c r="A116" s="26">
        <v>48533</v>
      </c>
      <c r="B116" s="27" t="s">
        <v>130</v>
      </c>
      <c r="C116" s="27" t="s">
        <v>156</v>
      </c>
      <c r="D116" s="9"/>
      <c r="E116" s="9"/>
      <c r="F116" s="9"/>
    </row>
    <row r="117" spans="1:6" x14ac:dyDescent="0.3">
      <c r="A117" s="26">
        <v>48538</v>
      </c>
      <c r="B117" s="27" t="s">
        <v>149</v>
      </c>
      <c r="C117" s="27" t="s">
        <v>158</v>
      </c>
      <c r="D117" s="9"/>
      <c r="E117" s="9"/>
      <c r="F117" s="9"/>
    </row>
    <row r="118" spans="1:6" x14ac:dyDescent="0.3">
      <c r="A118" s="26">
        <v>48573</v>
      </c>
      <c r="B118" s="27" t="s">
        <v>149</v>
      </c>
      <c r="C118" s="27" t="s">
        <v>160</v>
      </c>
      <c r="D118" s="9"/>
      <c r="E118" s="9"/>
      <c r="F118" s="9"/>
    </row>
    <row r="119" spans="1:6" x14ac:dyDescent="0.3">
      <c r="A119" s="26">
        <v>48580</v>
      </c>
      <c r="B119" s="27" t="s">
        <v>149</v>
      </c>
      <c r="C119" s="27" t="s">
        <v>131</v>
      </c>
      <c r="D119" s="9"/>
      <c r="E119" s="9"/>
      <c r="F119" s="9"/>
    </row>
    <row r="120" spans="1:6" x14ac:dyDescent="0.3">
      <c r="A120" s="26">
        <v>48638</v>
      </c>
      <c r="B120" s="27" t="s">
        <v>130</v>
      </c>
      <c r="C120" s="27" t="s">
        <v>133</v>
      </c>
      <c r="D120" s="9"/>
      <c r="E120" s="9"/>
      <c r="F120" s="9"/>
    </row>
    <row r="121" spans="1:6" x14ac:dyDescent="0.3">
      <c r="A121" s="26">
        <v>48639</v>
      </c>
      <c r="B121" s="27" t="s">
        <v>135</v>
      </c>
      <c r="C121" s="27" t="s">
        <v>133</v>
      </c>
      <c r="D121" s="9"/>
      <c r="E121" s="9"/>
      <c r="F121" s="9"/>
    </row>
    <row r="122" spans="1:6" x14ac:dyDescent="0.3">
      <c r="A122" s="26">
        <v>48684</v>
      </c>
      <c r="B122" s="27" t="s">
        <v>137</v>
      </c>
      <c r="C122" s="27" t="s">
        <v>138</v>
      </c>
      <c r="D122" s="9"/>
      <c r="E122" s="9"/>
      <c r="F122" s="9"/>
    </row>
    <row r="123" spans="1:6" x14ac:dyDescent="0.3">
      <c r="A123" s="26">
        <v>48690</v>
      </c>
      <c r="B123" s="27" t="s">
        <v>146</v>
      </c>
      <c r="C123" s="27" t="s">
        <v>141</v>
      </c>
      <c r="D123" s="9"/>
      <c r="E123" s="9"/>
      <c r="F123" s="9"/>
    </row>
    <row r="124" spans="1:6" x14ac:dyDescent="0.3">
      <c r="A124" s="26">
        <v>48700</v>
      </c>
      <c r="B124" s="27" t="s">
        <v>140</v>
      </c>
      <c r="C124" s="27" t="s">
        <v>144</v>
      </c>
      <c r="D124" s="9"/>
      <c r="E124" s="9"/>
      <c r="F124" s="9"/>
    </row>
    <row r="125" spans="1:6" x14ac:dyDescent="0.3">
      <c r="A125" s="26">
        <v>48746</v>
      </c>
      <c r="B125" s="27" t="s">
        <v>146</v>
      </c>
      <c r="C125" s="27" t="s">
        <v>147</v>
      </c>
      <c r="D125" s="9"/>
      <c r="E125" s="9"/>
      <c r="F125" s="9"/>
    </row>
    <row r="126" spans="1:6" x14ac:dyDescent="0.3">
      <c r="A126" s="26">
        <v>48829</v>
      </c>
      <c r="B126" s="27" t="s">
        <v>143</v>
      </c>
      <c r="C126" s="27" t="s">
        <v>150</v>
      </c>
      <c r="D126" s="9"/>
      <c r="E126" s="9"/>
      <c r="F126" s="9"/>
    </row>
    <row r="127" spans="1:6" x14ac:dyDescent="0.3">
      <c r="A127" s="26">
        <v>48864</v>
      </c>
      <c r="B127" s="27" t="s">
        <v>143</v>
      </c>
      <c r="C127" s="27" t="s">
        <v>152</v>
      </c>
      <c r="D127" s="9"/>
      <c r="E127" s="9"/>
      <c r="F127" s="9"/>
    </row>
    <row r="128" spans="1:6" x14ac:dyDescent="0.3">
      <c r="A128" s="26">
        <v>48885</v>
      </c>
      <c r="B128" s="27" t="s">
        <v>143</v>
      </c>
      <c r="C128" s="27" t="s">
        <v>154</v>
      </c>
      <c r="D128" s="9"/>
      <c r="E128" s="9"/>
      <c r="F128" s="9"/>
    </row>
    <row r="129" spans="1:6" x14ac:dyDescent="0.3">
      <c r="A129" s="26">
        <v>48898</v>
      </c>
      <c r="B129" s="27" t="s">
        <v>135</v>
      </c>
      <c r="C129" s="27" t="s">
        <v>156</v>
      </c>
      <c r="D129" s="9"/>
      <c r="E129" s="9"/>
      <c r="F129" s="9"/>
    </row>
    <row r="130" spans="1:6" x14ac:dyDescent="0.3">
      <c r="A130" s="26">
        <v>48903</v>
      </c>
      <c r="B130" s="27" t="s">
        <v>140</v>
      </c>
      <c r="C130" s="27" t="s">
        <v>158</v>
      </c>
      <c r="D130" s="9"/>
      <c r="E130" s="9"/>
      <c r="F130" s="9"/>
    </row>
    <row r="131" spans="1:6" x14ac:dyDescent="0.3">
      <c r="A131" s="26">
        <v>48938</v>
      </c>
      <c r="B131" s="27" t="s">
        <v>140</v>
      </c>
      <c r="C131" s="27" t="s">
        <v>160</v>
      </c>
      <c r="D131" s="9"/>
      <c r="E131" s="9"/>
      <c r="F131" s="9"/>
    </row>
    <row r="132" spans="1:6" x14ac:dyDescent="0.3">
      <c r="A132" s="26">
        <v>48945</v>
      </c>
      <c r="B132" s="27" t="s">
        <v>140</v>
      </c>
      <c r="C132" s="27" t="s">
        <v>131</v>
      </c>
      <c r="D132" s="9"/>
      <c r="E132" s="9"/>
      <c r="F132" s="9"/>
    </row>
    <row r="133" spans="1:6" x14ac:dyDescent="0.3">
      <c r="A133" s="26">
        <v>48995</v>
      </c>
      <c r="B133" s="27" t="s">
        <v>130</v>
      </c>
      <c r="C133" s="27" t="s">
        <v>133</v>
      </c>
      <c r="D133" s="9"/>
      <c r="E133" s="9"/>
      <c r="F133" s="9"/>
    </row>
    <row r="134" spans="1:6" x14ac:dyDescent="0.3">
      <c r="A134" s="26">
        <v>48996</v>
      </c>
      <c r="B134" s="27" t="s">
        <v>135</v>
      </c>
      <c r="C134" s="27" t="s">
        <v>133</v>
      </c>
      <c r="D134" s="9"/>
      <c r="E134" s="9"/>
      <c r="F134" s="9"/>
    </row>
    <row r="135" spans="1:6" x14ac:dyDescent="0.3">
      <c r="A135" s="26">
        <v>49041</v>
      </c>
      <c r="B135" s="27" t="s">
        <v>137</v>
      </c>
      <c r="C135" s="27" t="s">
        <v>138</v>
      </c>
      <c r="D135" s="9"/>
      <c r="E135" s="9"/>
      <c r="F135" s="9"/>
    </row>
    <row r="136" spans="1:6" x14ac:dyDescent="0.3">
      <c r="A136" s="26">
        <v>49055</v>
      </c>
      <c r="B136" s="27" t="s">
        <v>137</v>
      </c>
      <c r="C136" s="27" t="s">
        <v>141</v>
      </c>
      <c r="D136" s="9"/>
      <c r="E136" s="9"/>
      <c r="F136" s="9"/>
    </row>
    <row r="137" spans="1:6" x14ac:dyDescent="0.3">
      <c r="A137" s="26">
        <v>49065</v>
      </c>
      <c r="B137" s="27" t="s">
        <v>130</v>
      </c>
      <c r="C137" s="27" t="s">
        <v>144</v>
      </c>
      <c r="D137" s="9"/>
      <c r="E137" s="9"/>
      <c r="F137" s="9"/>
    </row>
    <row r="138" spans="1:6" x14ac:dyDescent="0.3">
      <c r="A138" s="26">
        <v>49103</v>
      </c>
      <c r="B138" s="27" t="s">
        <v>146</v>
      </c>
      <c r="C138" s="27" t="s">
        <v>147</v>
      </c>
      <c r="D138" s="9"/>
      <c r="E138" s="9"/>
      <c r="F138" s="9"/>
    </row>
    <row r="139" spans="1:6" x14ac:dyDescent="0.3">
      <c r="A139" s="26">
        <v>49194</v>
      </c>
      <c r="B139" s="27" t="s">
        <v>146</v>
      </c>
      <c r="C139" s="27" t="s">
        <v>150</v>
      </c>
      <c r="D139" s="9"/>
      <c r="E139" s="9"/>
      <c r="F139" s="9"/>
    </row>
    <row r="140" spans="1:6" x14ac:dyDescent="0.3">
      <c r="A140" s="26">
        <v>49229</v>
      </c>
      <c r="B140" s="27" t="s">
        <v>146</v>
      </c>
      <c r="C140" s="27" t="s">
        <v>152</v>
      </c>
      <c r="D140" s="9"/>
      <c r="E140" s="9"/>
      <c r="F140" s="9"/>
    </row>
    <row r="141" spans="1:6" x14ac:dyDescent="0.3">
      <c r="A141" s="26">
        <v>49250</v>
      </c>
      <c r="B141" s="27" t="s">
        <v>146</v>
      </c>
      <c r="C141" s="27" t="s">
        <v>154</v>
      </c>
      <c r="D141" s="9"/>
      <c r="E141" s="9"/>
      <c r="F141" s="9"/>
    </row>
    <row r="142" spans="1:6" x14ac:dyDescent="0.3">
      <c r="A142" s="26">
        <v>49263</v>
      </c>
      <c r="B142" s="27" t="s">
        <v>143</v>
      </c>
      <c r="C142" s="27" t="s">
        <v>156</v>
      </c>
      <c r="D142" s="9"/>
      <c r="E142" s="9"/>
      <c r="F142" s="9"/>
    </row>
    <row r="143" spans="1:6" x14ac:dyDescent="0.3">
      <c r="A143" s="26">
        <v>49268</v>
      </c>
      <c r="B143" s="27" t="s">
        <v>130</v>
      </c>
      <c r="C143" s="27" t="s">
        <v>158</v>
      </c>
      <c r="D143" s="9"/>
      <c r="E143" s="9"/>
      <c r="F143" s="9"/>
    </row>
    <row r="144" spans="1:6" x14ac:dyDescent="0.3">
      <c r="A144" s="26">
        <v>49303</v>
      </c>
      <c r="B144" s="27" t="s">
        <v>130</v>
      </c>
      <c r="C144" s="27" t="s">
        <v>160</v>
      </c>
      <c r="D144" s="9"/>
      <c r="E144" s="9"/>
      <c r="F144" s="9"/>
    </row>
    <row r="145" spans="1:6" x14ac:dyDescent="0.3">
      <c r="A145" s="26">
        <v>49310</v>
      </c>
      <c r="B145" s="27" t="s">
        <v>130</v>
      </c>
      <c r="C145" s="27" t="s">
        <v>131</v>
      </c>
      <c r="D145" s="9"/>
      <c r="E145" s="9"/>
      <c r="F145" s="9"/>
    </row>
    <row r="146" spans="1:6" x14ac:dyDescent="0.3">
      <c r="A146" s="26">
        <v>49345</v>
      </c>
      <c r="B146" s="27" t="s">
        <v>130</v>
      </c>
      <c r="C146" s="27" t="s">
        <v>133</v>
      </c>
      <c r="D146" s="9"/>
      <c r="E146" s="9"/>
      <c r="F146" s="9"/>
    </row>
    <row r="147" spans="1:6" x14ac:dyDescent="0.3">
      <c r="A147" s="26">
        <v>49346</v>
      </c>
      <c r="B147" s="27" t="s">
        <v>135</v>
      </c>
      <c r="C147" s="27" t="s">
        <v>133</v>
      </c>
      <c r="D147" s="9"/>
      <c r="E147" s="9"/>
      <c r="F147" s="9"/>
    </row>
    <row r="148" spans="1:6" x14ac:dyDescent="0.3">
      <c r="A148" s="26">
        <v>49391</v>
      </c>
      <c r="B148" s="27" t="s">
        <v>137</v>
      </c>
      <c r="C148" s="27" t="s">
        <v>138</v>
      </c>
      <c r="D148" s="9"/>
      <c r="E148" s="9"/>
      <c r="F148" s="9"/>
    </row>
    <row r="149" spans="1:6" x14ac:dyDescent="0.3">
      <c r="A149" s="26">
        <v>49420</v>
      </c>
      <c r="B149" s="27" t="s">
        <v>149</v>
      </c>
      <c r="C149" s="27" t="s">
        <v>141</v>
      </c>
      <c r="D149" s="9"/>
      <c r="E149" s="9"/>
      <c r="F149" s="9"/>
    </row>
    <row r="150" spans="1:6" x14ac:dyDescent="0.3">
      <c r="A150" s="26">
        <v>49430</v>
      </c>
      <c r="B150" s="27" t="s">
        <v>135</v>
      </c>
      <c r="C150" s="27" t="s">
        <v>144</v>
      </c>
      <c r="D150" s="9"/>
      <c r="E150" s="9"/>
      <c r="F150" s="9"/>
    </row>
    <row r="151" spans="1:6" x14ac:dyDescent="0.3">
      <c r="A151" s="26">
        <v>49453</v>
      </c>
      <c r="B151" s="27" t="s">
        <v>146</v>
      </c>
      <c r="C151" s="27" t="s">
        <v>147</v>
      </c>
      <c r="D151" s="9"/>
      <c r="E151" s="9"/>
      <c r="F151" s="9"/>
    </row>
    <row r="152" spans="1:6" x14ac:dyDescent="0.3">
      <c r="A152" s="26">
        <v>49559</v>
      </c>
      <c r="B152" s="27" t="s">
        <v>137</v>
      </c>
      <c r="C152" s="27" t="s">
        <v>150</v>
      </c>
      <c r="D152" s="9"/>
      <c r="E152" s="9"/>
      <c r="F152" s="9"/>
    </row>
    <row r="153" spans="1:6" x14ac:dyDescent="0.3">
      <c r="A153" s="26">
        <v>49594</v>
      </c>
      <c r="B153" s="27" t="s">
        <v>137</v>
      </c>
      <c r="C153" s="27" t="s">
        <v>152</v>
      </c>
      <c r="D153" s="9"/>
      <c r="E153" s="9"/>
      <c r="F153" s="9"/>
    </row>
    <row r="154" spans="1:6" x14ac:dyDescent="0.3">
      <c r="A154" s="26">
        <v>49615</v>
      </c>
      <c r="B154" s="27" t="s">
        <v>137</v>
      </c>
      <c r="C154" s="27" t="s">
        <v>154</v>
      </c>
      <c r="D154" s="9"/>
      <c r="E154" s="9"/>
      <c r="F154" s="9"/>
    </row>
    <row r="155" spans="1:6" x14ac:dyDescent="0.3">
      <c r="A155" s="26">
        <v>49628</v>
      </c>
      <c r="B155" s="27" t="s">
        <v>146</v>
      </c>
      <c r="C155" s="27" t="s">
        <v>156</v>
      </c>
      <c r="D155" s="9"/>
      <c r="E155" s="9"/>
      <c r="F155" s="9"/>
    </row>
    <row r="156" spans="1:6" x14ac:dyDescent="0.3">
      <c r="A156" s="26">
        <v>49633</v>
      </c>
      <c r="B156" s="27" t="s">
        <v>135</v>
      </c>
      <c r="C156" s="27" t="s">
        <v>158</v>
      </c>
      <c r="D156" s="9"/>
      <c r="E156" s="9"/>
      <c r="F156" s="9"/>
    </row>
    <row r="157" spans="1:6" x14ac:dyDescent="0.3">
      <c r="A157" s="26">
        <v>49668</v>
      </c>
      <c r="B157" s="27" t="s">
        <v>135</v>
      </c>
      <c r="C157" s="27" t="s">
        <v>160</v>
      </c>
      <c r="D157" s="9"/>
      <c r="E157" s="9"/>
      <c r="F157" s="9"/>
    </row>
    <row r="158" spans="1:6" x14ac:dyDescent="0.3">
      <c r="A158" s="26">
        <v>49675</v>
      </c>
      <c r="B158" s="27" t="s">
        <v>135</v>
      </c>
      <c r="C158" s="27" t="s">
        <v>131</v>
      </c>
      <c r="D158" s="9"/>
      <c r="E158" s="9"/>
      <c r="F158" s="9"/>
    </row>
    <row r="159" spans="1:6" x14ac:dyDescent="0.3">
      <c r="A159" s="26">
        <v>49730</v>
      </c>
      <c r="B159" s="27" t="s">
        <v>130</v>
      </c>
      <c r="C159" s="27" t="s">
        <v>133</v>
      </c>
      <c r="D159" s="9"/>
      <c r="E159" s="9"/>
      <c r="F159" s="9"/>
    </row>
    <row r="160" spans="1:6" x14ac:dyDescent="0.3">
      <c r="A160" s="26">
        <v>49731</v>
      </c>
      <c r="B160" s="27" t="s">
        <v>135</v>
      </c>
      <c r="C160" s="27" t="s">
        <v>133</v>
      </c>
      <c r="D160" s="9"/>
      <c r="E160" s="9"/>
      <c r="F160" s="9"/>
    </row>
    <row r="161" spans="1:6" x14ac:dyDescent="0.3">
      <c r="A161" s="26">
        <v>49776</v>
      </c>
      <c r="B161" s="27" t="s">
        <v>137</v>
      </c>
      <c r="C161" s="27" t="s">
        <v>138</v>
      </c>
      <c r="D161" s="9"/>
      <c r="E161" s="9"/>
      <c r="F161" s="9"/>
    </row>
    <row r="162" spans="1:6" x14ac:dyDescent="0.3">
      <c r="A162" s="26">
        <v>49786</v>
      </c>
      <c r="B162" s="27" t="s">
        <v>130</v>
      </c>
      <c r="C162" s="27" t="s">
        <v>141</v>
      </c>
      <c r="D162" s="9"/>
      <c r="E162" s="9"/>
      <c r="F162" s="9"/>
    </row>
    <row r="163" spans="1:6" x14ac:dyDescent="0.3">
      <c r="A163" s="26">
        <v>49796</v>
      </c>
      <c r="B163" s="27" t="s">
        <v>146</v>
      </c>
      <c r="C163" s="27" t="s">
        <v>144</v>
      </c>
      <c r="D163" s="9"/>
      <c r="E163" s="9"/>
      <c r="F163" s="9"/>
    </row>
    <row r="164" spans="1:6" x14ac:dyDescent="0.3">
      <c r="A164" s="26">
        <v>49838</v>
      </c>
      <c r="B164" s="27" t="s">
        <v>146</v>
      </c>
      <c r="C164" s="27" t="s">
        <v>147</v>
      </c>
      <c r="D164" s="9"/>
      <c r="E164" s="9"/>
      <c r="F164" s="9"/>
    </row>
    <row r="165" spans="1:6" x14ac:dyDescent="0.3">
      <c r="A165" s="26">
        <v>49925</v>
      </c>
      <c r="B165" s="27" t="s">
        <v>140</v>
      </c>
      <c r="C165" s="27" t="s">
        <v>150</v>
      </c>
      <c r="D165" s="9"/>
      <c r="E165" s="9"/>
      <c r="F165" s="9"/>
    </row>
    <row r="166" spans="1:6" x14ac:dyDescent="0.3">
      <c r="A166" s="26">
        <v>49960</v>
      </c>
      <c r="B166" s="27" t="s">
        <v>140</v>
      </c>
      <c r="C166" s="27" t="s">
        <v>152</v>
      </c>
      <c r="D166" s="9"/>
      <c r="E166" s="9"/>
      <c r="F166" s="9"/>
    </row>
    <row r="167" spans="1:6" x14ac:dyDescent="0.3">
      <c r="A167" s="26">
        <v>49981</v>
      </c>
      <c r="B167" s="27" t="s">
        <v>140</v>
      </c>
      <c r="C167" s="27" t="s">
        <v>154</v>
      </c>
      <c r="D167" s="9"/>
      <c r="E167" s="9"/>
      <c r="F167" s="9"/>
    </row>
    <row r="168" spans="1:6" x14ac:dyDescent="0.3">
      <c r="A168" s="26">
        <v>49994</v>
      </c>
      <c r="B168" s="27" t="s">
        <v>149</v>
      </c>
      <c r="C168" s="27" t="s">
        <v>156</v>
      </c>
      <c r="D168" s="9"/>
      <c r="E168" s="9"/>
      <c r="F168" s="9"/>
    </row>
    <row r="169" spans="1:6" x14ac:dyDescent="0.3">
      <c r="A169" s="26">
        <v>49999</v>
      </c>
      <c r="B169" s="27" t="s">
        <v>146</v>
      </c>
      <c r="C169" s="27" t="s">
        <v>158</v>
      </c>
      <c r="D169" s="9"/>
      <c r="E169" s="9"/>
      <c r="F169" s="9"/>
    </row>
    <row r="170" spans="1:6" x14ac:dyDescent="0.3">
      <c r="A170" s="26">
        <v>50034</v>
      </c>
      <c r="B170" s="27" t="s">
        <v>146</v>
      </c>
      <c r="C170" s="27" t="s">
        <v>160</v>
      </c>
      <c r="D170" s="9"/>
      <c r="E170" s="9"/>
      <c r="F170" s="9"/>
    </row>
    <row r="171" spans="1:6" x14ac:dyDescent="0.3">
      <c r="A171" s="26">
        <v>50041</v>
      </c>
      <c r="B171" s="27" t="s">
        <v>146</v>
      </c>
      <c r="C171" s="27" t="s">
        <v>131</v>
      </c>
      <c r="D171" s="9"/>
      <c r="E171" s="9"/>
      <c r="F171" s="9"/>
    </row>
    <row r="172" spans="1:6" x14ac:dyDescent="0.3">
      <c r="A172" s="26">
        <v>50087</v>
      </c>
      <c r="B172" s="27" t="s">
        <v>130</v>
      </c>
      <c r="C172" s="27" t="s">
        <v>133</v>
      </c>
      <c r="D172" s="9"/>
      <c r="E172" s="9"/>
      <c r="F172" s="9"/>
    </row>
    <row r="173" spans="1:6" x14ac:dyDescent="0.3">
      <c r="A173" s="26">
        <v>50088</v>
      </c>
      <c r="B173" s="27" t="s">
        <v>135</v>
      </c>
      <c r="C173" s="27" t="s">
        <v>133</v>
      </c>
      <c r="D173" s="9"/>
      <c r="E173" s="9"/>
      <c r="F173" s="9"/>
    </row>
    <row r="174" spans="1:6" x14ac:dyDescent="0.3">
      <c r="A174" s="26">
        <v>50133</v>
      </c>
      <c r="B174" s="27" t="s">
        <v>137</v>
      </c>
      <c r="C174" s="27" t="s">
        <v>138</v>
      </c>
      <c r="D174" s="9"/>
      <c r="E174" s="9"/>
      <c r="F174" s="9"/>
    </row>
    <row r="175" spans="1:6" x14ac:dyDescent="0.3">
      <c r="A175" s="26">
        <v>50151</v>
      </c>
      <c r="B175" s="27" t="s">
        <v>135</v>
      </c>
      <c r="C175" s="27" t="s">
        <v>141</v>
      </c>
      <c r="D175" s="9"/>
      <c r="E175" s="9"/>
      <c r="F175" s="9"/>
    </row>
    <row r="176" spans="1:6" x14ac:dyDescent="0.3">
      <c r="A176" s="26">
        <v>50161</v>
      </c>
      <c r="B176" s="27" t="s">
        <v>137</v>
      </c>
      <c r="C176" s="27" t="s">
        <v>144</v>
      </c>
      <c r="D176" s="9"/>
      <c r="E176" s="9"/>
      <c r="F176" s="9"/>
    </row>
    <row r="177" spans="1:6" x14ac:dyDescent="0.3">
      <c r="A177" s="26">
        <v>50195</v>
      </c>
      <c r="B177" s="27" t="s">
        <v>146</v>
      </c>
      <c r="C177" s="27" t="s">
        <v>147</v>
      </c>
      <c r="D177" s="9"/>
      <c r="E177" s="9"/>
      <c r="F177" s="9"/>
    </row>
    <row r="178" spans="1:6" x14ac:dyDescent="0.3">
      <c r="A178" s="26">
        <v>50290</v>
      </c>
      <c r="B178" s="27" t="s">
        <v>130</v>
      </c>
      <c r="C178" s="27" t="s">
        <v>150</v>
      </c>
      <c r="D178" s="9"/>
      <c r="E178" s="9"/>
      <c r="F178" s="9"/>
    </row>
    <row r="179" spans="1:6" x14ac:dyDescent="0.3">
      <c r="A179" s="26">
        <v>50325</v>
      </c>
      <c r="B179" s="27" t="s">
        <v>130</v>
      </c>
      <c r="C179" s="27" t="s">
        <v>152</v>
      </c>
      <c r="D179" s="9"/>
      <c r="E179" s="9"/>
      <c r="F179" s="9"/>
    </row>
    <row r="180" spans="1:6" x14ac:dyDescent="0.3">
      <c r="A180" s="26">
        <v>50346</v>
      </c>
      <c r="B180" s="27" t="s">
        <v>130</v>
      </c>
      <c r="C180" s="27" t="s">
        <v>154</v>
      </c>
      <c r="D180" s="9"/>
      <c r="E180" s="9"/>
      <c r="F180" s="9"/>
    </row>
    <row r="181" spans="1:6" x14ac:dyDescent="0.3">
      <c r="A181" s="26">
        <v>50359</v>
      </c>
      <c r="B181" s="27" t="s">
        <v>140</v>
      </c>
      <c r="C181" s="27" t="s">
        <v>156</v>
      </c>
      <c r="D181" s="9"/>
      <c r="E181" s="9"/>
      <c r="F181" s="9"/>
    </row>
    <row r="182" spans="1:6" x14ac:dyDescent="0.3">
      <c r="A182" s="26">
        <v>50364</v>
      </c>
      <c r="B182" s="27" t="s">
        <v>137</v>
      </c>
      <c r="C182" s="27" t="s">
        <v>158</v>
      </c>
      <c r="D182" s="9"/>
      <c r="E182" s="9"/>
      <c r="F182" s="9"/>
    </row>
    <row r="183" spans="1:6" x14ac:dyDescent="0.3">
      <c r="A183" s="26">
        <v>50399</v>
      </c>
      <c r="B183" s="27" t="s">
        <v>137</v>
      </c>
      <c r="C183" s="27" t="s">
        <v>160</v>
      </c>
      <c r="D183" s="9"/>
      <c r="E183" s="9"/>
      <c r="F183" s="9"/>
    </row>
    <row r="184" spans="1:6" x14ac:dyDescent="0.3">
      <c r="A184" s="26">
        <v>50406</v>
      </c>
      <c r="B184" s="27" t="s">
        <v>137</v>
      </c>
      <c r="C184" s="27" t="s">
        <v>131</v>
      </c>
      <c r="D184" s="9"/>
      <c r="E184" s="9"/>
      <c r="F184" s="9"/>
    </row>
    <row r="185" spans="1:6" x14ac:dyDescent="0.3">
      <c r="A185" s="26">
        <v>50472</v>
      </c>
      <c r="B185" s="27" t="s">
        <v>130</v>
      </c>
      <c r="C185" s="27" t="s">
        <v>133</v>
      </c>
      <c r="D185" s="9"/>
      <c r="E185" s="9"/>
      <c r="F185" s="9"/>
    </row>
    <row r="186" spans="1:6" x14ac:dyDescent="0.3">
      <c r="A186" s="26">
        <v>50473</v>
      </c>
      <c r="B186" s="27" t="s">
        <v>135</v>
      </c>
      <c r="C186" s="27" t="s">
        <v>133</v>
      </c>
      <c r="D186" s="9"/>
      <c r="E186" s="9"/>
      <c r="F186" s="9"/>
    </row>
    <row r="187" spans="1:6" x14ac:dyDescent="0.3">
      <c r="A187" s="26">
        <v>50516</v>
      </c>
      <c r="B187" s="27" t="s">
        <v>143</v>
      </c>
      <c r="C187" s="27" t="s">
        <v>141</v>
      </c>
      <c r="D187" s="9"/>
      <c r="E187" s="9"/>
      <c r="F187" s="9"/>
    </row>
    <row r="188" spans="1:6" x14ac:dyDescent="0.3">
      <c r="A188" s="26">
        <v>50518</v>
      </c>
      <c r="B188" s="27" t="s">
        <v>137</v>
      </c>
      <c r="C188" s="27" t="s">
        <v>138</v>
      </c>
      <c r="D188" s="9"/>
      <c r="E188" s="9"/>
      <c r="F188" s="9"/>
    </row>
    <row r="189" spans="1:6" x14ac:dyDescent="0.3">
      <c r="A189" s="26">
        <v>50526</v>
      </c>
      <c r="B189" s="27" t="s">
        <v>149</v>
      </c>
      <c r="C189" s="27" t="s">
        <v>144</v>
      </c>
      <c r="D189" s="9"/>
      <c r="E189" s="9"/>
      <c r="F189" s="9"/>
    </row>
    <row r="190" spans="1:6" x14ac:dyDescent="0.3">
      <c r="A190" s="26">
        <v>50580</v>
      </c>
      <c r="B190" s="27" t="s">
        <v>146</v>
      </c>
      <c r="C190" s="27" t="s">
        <v>147</v>
      </c>
      <c r="D190" s="9"/>
      <c r="E190" s="9"/>
      <c r="F190" s="9"/>
    </row>
    <row r="191" spans="1:6" x14ac:dyDescent="0.3">
      <c r="A191" s="26">
        <v>50655</v>
      </c>
      <c r="B191" s="27" t="s">
        <v>135</v>
      </c>
      <c r="C191" s="27" t="s">
        <v>150</v>
      </c>
      <c r="D191" s="9"/>
      <c r="E191" s="9"/>
      <c r="F191" s="9"/>
    </row>
    <row r="192" spans="1:6" x14ac:dyDescent="0.3">
      <c r="A192" s="26">
        <v>50690</v>
      </c>
      <c r="B192" s="27" t="s">
        <v>135</v>
      </c>
      <c r="C192" s="27" t="s">
        <v>152</v>
      </c>
      <c r="D192" s="9"/>
      <c r="E192" s="9"/>
      <c r="F192" s="9"/>
    </row>
    <row r="193" spans="1:6" x14ac:dyDescent="0.3">
      <c r="A193" s="26">
        <v>50711</v>
      </c>
      <c r="B193" s="27" t="s">
        <v>135</v>
      </c>
      <c r="C193" s="27" t="s">
        <v>154</v>
      </c>
      <c r="D193" s="9"/>
      <c r="E193" s="9"/>
      <c r="F193" s="9"/>
    </row>
    <row r="194" spans="1:6" x14ac:dyDescent="0.3">
      <c r="A194" s="26">
        <v>50724</v>
      </c>
      <c r="B194" s="27" t="s">
        <v>130</v>
      </c>
      <c r="C194" s="27" t="s">
        <v>156</v>
      </c>
      <c r="D194" s="9"/>
      <c r="E194" s="9"/>
      <c r="F194" s="9"/>
    </row>
    <row r="195" spans="1:6" x14ac:dyDescent="0.3">
      <c r="A195" s="26">
        <v>50729</v>
      </c>
      <c r="B195" s="27" t="s">
        <v>149</v>
      </c>
      <c r="C195" s="27" t="s">
        <v>158</v>
      </c>
      <c r="D195" s="9"/>
      <c r="E195" s="9"/>
      <c r="F195" s="9"/>
    </row>
    <row r="196" spans="1:6" x14ac:dyDescent="0.3">
      <c r="A196" s="26">
        <v>50764</v>
      </c>
      <c r="B196" s="27" t="s">
        <v>149</v>
      </c>
      <c r="C196" s="27" t="s">
        <v>160</v>
      </c>
      <c r="D196" s="9"/>
      <c r="E196" s="9"/>
      <c r="F196" s="9"/>
    </row>
    <row r="197" spans="1:6" x14ac:dyDescent="0.3">
      <c r="A197" s="26">
        <v>50771</v>
      </c>
      <c r="B197" s="27" t="s">
        <v>149</v>
      </c>
      <c r="C197" s="27" t="s">
        <v>131</v>
      </c>
      <c r="D197" s="9"/>
      <c r="E197" s="9"/>
      <c r="F197" s="9"/>
    </row>
    <row r="198" spans="1:6" x14ac:dyDescent="0.3">
      <c r="A198" s="26">
        <v>50822</v>
      </c>
      <c r="B198" s="27" t="s">
        <v>130</v>
      </c>
      <c r="C198" s="27" t="s">
        <v>133</v>
      </c>
      <c r="D198" s="9"/>
      <c r="E198" s="9"/>
      <c r="F198" s="9"/>
    </row>
    <row r="199" spans="1:6" x14ac:dyDescent="0.3">
      <c r="A199" s="26">
        <v>50823</v>
      </c>
      <c r="B199" s="27" t="s">
        <v>135</v>
      </c>
      <c r="C199" s="27" t="s">
        <v>133</v>
      </c>
      <c r="D199" s="9"/>
      <c r="E199" s="9"/>
      <c r="F199" s="9"/>
    </row>
    <row r="200" spans="1:6" x14ac:dyDescent="0.3">
      <c r="A200" s="26">
        <v>50868</v>
      </c>
      <c r="B200" s="27" t="s">
        <v>137</v>
      </c>
      <c r="C200" s="27" t="s">
        <v>138</v>
      </c>
      <c r="D200" s="9"/>
      <c r="E200" s="9"/>
      <c r="F200" s="9"/>
    </row>
    <row r="201" spans="1:6" x14ac:dyDescent="0.3">
      <c r="A201" s="26">
        <v>50881</v>
      </c>
      <c r="B201" s="27" t="s">
        <v>146</v>
      </c>
      <c r="C201" s="27" t="s">
        <v>141</v>
      </c>
      <c r="D201" s="9"/>
      <c r="E201" s="9"/>
      <c r="F201" s="9"/>
    </row>
    <row r="202" spans="1:6" x14ac:dyDescent="0.3">
      <c r="A202" s="26">
        <v>50891</v>
      </c>
      <c r="B202" s="27" t="s">
        <v>140</v>
      </c>
      <c r="C202" s="27" t="s">
        <v>144</v>
      </c>
      <c r="D202" s="9"/>
      <c r="E202" s="9"/>
      <c r="F202" s="9"/>
    </row>
    <row r="203" spans="1:6" x14ac:dyDescent="0.3">
      <c r="A203" s="26">
        <v>50930</v>
      </c>
      <c r="B203" s="27" t="s">
        <v>146</v>
      </c>
      <c r="C203" s="27" t="s">
        <v>147</v>
      </c>
      <c r="D203" s="9"/>
      <c r="E203" s="9"/>
      <c r="F203" s="9"/>
    </row>
    <row r="204" spans="1:6" x14ac:dyDescent="0.3">
      <c r="A204" s="26">
        <v>51020</v>
      </c>
      <c r="B204" s="27" t="s">
        <v>143</v>
      </c>
      <c r="C204" s="27" t="s">
        <v>150</v>
      </c>
      <c r="D204" s="9"/>
      <c r="E204" s="9"/>
      <c r="F204" s="9"/>
    </row>
    <row r="205" spans="1:6" x14ac:dyDescent="0.3">
      <c r="A205" s="26">
        <v>51055</v>
      </c>
      <c r="B205" s="27" t="s">
        <v>143</v>
      </c>
      <c r="C205" s="27" t="s">
        <v>152</v>
      </c>
      <c r="D205" s="9"/>
      <c r="E205" s="9"/>
      <c r="F205" s="9"/>
    </row>
    <row r="206" spans="1:6" x14ac:dyDescent="0.3">
      <c r="A206" s="26">
        <v>51076</v>
      </c>
      <c r="B206" s="27" t="s">
        <v>143</v>
      </c>
      <c r="C206" s="27" t="s">
        <v>154</v>
      </c>
      <c r="D206" s="9"/>
      <c r="E206" s="9"/>
      <c r="F206" s="9"/>
    </row>
    <row r="207" spans="1:6" x14ac:dyDescent="0.3">
      <c r="A207" s="26">
        <v>51089</v>
      </c>
      <c r="B207" s="27" t="s">
        <v>135</v>
      </c>
      <c r="C207" s="27" t="s">
        <v>156</v>
      </c>
      <c r="D207" s="9"/>
      <c r="E207" s="9"/>
      <c r="F207" s="9"/>
    </row>
    <row r="208" spans="1:6" x14ac:dyDescent="0.3">
      <c r="A208" s="26">
        <v>51094</v>
      </c>
      <c r="B208" s="27" t="s">
        <v>140</v>
      </c>
      <c r="C208" s="27" t="s">
        <v>158</v>
      </c>
      <c r="D208" s="9"/>
      <c r="E208" s="9"/>
      <c r="F208" s="9"/>
    </row>
    <row r="209" spans="1:6" x14ac:dyDescent="0.3">
      <c r="A209" s="26">
        <v>51129</v>
      </c>
      <c r="B209" s="27" t="s">
        <v>140</v>
      </c>
      <c r="C209" s="27" t="s">
        <v>160</v>
      </c>
      <c r="D209" s="9"/>
      <c r="E209" s="9"/>
      <c r="F209" s="9"/>
    </row>
    <row r="210" spans="1:6" x14ac:dyDescent="0.3">
      <c r="A210" s="26">
        <v>51136</v>
      </c>
      <c r="B210" s="27" t="s">
        <v>140</v>
      </c>
      <c r="C210" s="27" t="s">
        <v>131</v>
      </c>
      <c r="D210" s="9"/>
      <c r="E210" s="9"/>
      <c r="F210" s="9"/>
    </row>
    <row r="211" spans="1:6" x14ac:dyDescent="0.3">
      <c r="A211" s="26">
        <v>51179</v>
      </c>
      <c r="B211" s="27" t="s">
        <v>130</v>
      </c>
      <c r="C211" s="27" t="s">
        <v>133</v>
      </c>
      <c r="D211" s="9"/>
      <c r="E211" s="9"/>
      <c r="F211" s="9"/>
    </row>
    <row r="212" spans="1:6" x14ac:dyDescent="0.3">
      <c r="A212" s="26">
        <v>51180</v>
      </c>
      <c r="B212" s="27" t="s">
        <v>135</v>
      </c>
      <c r="C212" s="27" t="s">
        <v>133</v>
      </c>
      <c r="D212" s="9"/>
      <c r="E212" s="9"/>
      <c r="F212" s="9"/>
    </row>
    <row r="213" spans="1:6" x14ac:dyDescent="0.3">
      <c r="A213" s="26">
        <v>51225</v>
      </c>
      <c r="B213" s="27" t="s">
        <v>137</v>
      </c>
      <c r="C213" s="27" t="s">
        <v>138</v>
      </c>
      <c r="D213" s="9"/>
      <c r="E213" s="9"/>
      <c r="F213" s="9"/>
    </row>
    <row r="214" spans="1:6" x14ac:dyDescent="0.3">
      <c r="A214" s="26">
        <v>51247</v>
      </c>
      <c r="B214" s="27" t="s">
        <v>149</v>
      </c>
      <c r="C214" s="27" t="s">
        <v>141</v>
      </c>
      <c r="D214" s="9"/>
      <c r="E214" s="9"/>
      <c r="F214" s="9"/>
    </row>
    <row r="215" spans="1:6" x14ac:dyDescent="0.3">
      <c r="A215" s="26">
        <v>51257</v>
      </c>
      <c r="B215" s="27" t="s">
        <v>135</v>
      </c>
      <c r="C215" s="27" t="s">
        <v>144</v>
      </c>
      <c r="D215" s="9"/>
      <c r="E215" s="9"/>
      <c r="F215" s="9"/>
    </row>
    <row r="216" spans="1:6" x14ac:dyDescent="0.3">
      <c r="A216" s="26">
        <v>51287</v>
      </c>
      <c r="B216" s="27" t="s">
        <v>146</v>
      </c>
      <c r="C216" s="27" t="s">
        <v>147</v>
      </c>
      <c r="D216" s="9"/>
      <c r="E216" s="9"/>
      <c r="F216" s="9"/>
    </row>
    <row r="217" spans="1:6" x14ac:dyDescent="0.3">
      <c r="A217" s="26">
        <v>51386</v>
      </c>
      <c r="B217" s="27" t="s">
        <v>137</v>
      </c>
      <c r="C217" s="27" t="s">
        <v>150</v>
      </c>
      <c r="D217" s="9"/>
      <c r="E217" s="9"/>
      <c r="F217" s="9"/>
    </row>
    <row r="218" spans="1:6" x14ac:dyDescent="0.3">
      <c r="A218" s="26">
        <v>51421</v>
      </c>
      <c r="B218" s="27" t="s">
        <v>137</v>
      </c>
      <c r="C218" s="27" t="s">
        <v>152</v>
      </c>
      <c r="D218" s="9"/>
      <c r="E218" s="9"/>
      <c r="F218" s="9"/>
    </row>
    <row r="219" spans="1:6" x14ac:dyDescent="0.3">
      <c r="A219" s="26">
        <v>51442</v>
      </c>
      <c r="B219" s="27" t="s">
        <v>137</v>
      </c>
      <c r="C219" s="27" t="s">
        <v>154</v>
      </c>
      <c r="D219" s="9"/>
      <c r="E219" s="9"/>
      <c r="F219" s="9"/>
    </row>
    <row r="220" spans="1:6" x14ac:dyDescent="0.3">
      <c r="A220" s="26">
        <v>51455</v>
      </c>
      <c r="B220" s="27" t="s">
        <v>146</v>
      </c>
      <c r="C220" s="27" t="s">
        <v>156</v>
      </c>
      <c r="D220" s="9"/>
      <c r="E220" s="9"/>
      <c r="F220" s="9"/>
    </row>
    <row r="221" spans="1:6" x14ac:dyDescent="0.3">
      <c r="A221" s="26">
        <v>51460</v>
      </c>
      <c r="B221" s="27" t="s">
        <v>135</v>
      </c>
      <c r="C221" s="27" t="s">
        <v>158</v>
      </c>
      <c r="D221" s="9"/>
      <c r="E221" s="9"/>
      <c r="F221" s="9"/>
    </row>
    <row r="222" spans="1:6" x14ac:dyDescent="0.3">
      <c r="A222" s="26">
        <v>51495</v>
      </c>
      <c r="B222" s="27" t="s">
        <v>135</v>
      </c>
      <c r="C222" s="27" t="s">
        <v>160</v>
      </c>
      <c r="D222" s="9"/>
      <c r="E222" s="9"/>
      <c r="F222" s="9"/>
    </row>
    <row r="223" spans="1:6" x14ac:dyDescent="0.3">
      <c r="A223" s="26">
        <v>51502</v>
      </c>
      <c r="B223" s="27" t="s">
        <v>135</v>
      </c>
      <c r="C223" s="27" t="s">
        <v>131</v>
      </c>
      <c r="D223" s="9"/>
      <c r="E223" s="9"/>
      <c r="F223" s="9"/>
    </row>
    <row r="224" spans="1:6" x14ac:dyDescent="0.3">
      <c r="A224" s="26">
        <v>51564</v>
      </c>
      <c r="B224" s="27" t="s">
        <v>130</v>
      </c>
      <c r="C224" s="27" t="s">
        <v>133</v>
      </c>
      <c r="D224" s="9"/>
      <c r="E224" s="9"/>
      <c r="F224" s="9"/>
    </row>
    <row r="225" spans="1:6" x14ac:dyDescent="0.3">
      <c r="A225" s="26">
        <v>51565</v>
      </c>
      <c r="B225" s="27" t="s">
        <v>135</v>
      </c>
      <c r="C225" s="27" t="s">
        <v>133</v>
      </c>
      <c r="D225" s="9"/>
      <c r="E225" s="9"/>
      <c r="F225" s="9"/>
    </row>
    <row r="226" spans="1:6" x14ac:dyDescent="0.3">
      <c r="A226" s="26">
        <v>51610</v>
      </c>
      <c r="B226" s="27" t="s">
        <v>137</v>
      </c>
      <c r="C226" s="27" t="s">
        <v>138</v>
      </c>
      <c r="D226" s="9"/>
      <c r="E226" s="9"/>
      <c r="F226" s="9"/>
    </row>
    <row r="227" spans="1:6" x14ac:dyDescent="0.3">
      <c r="A227" s="26">
        <v>51612</v>
      </c>
      <c r="B227" s="27" t="s">
        <v>140</v>
      </c>
      <c r="C227" s="27" t="s">
        <v>141</v>
      </c>
      <c r="D227" s="9"/>
      <c r="E227" s="9"/>
      <c r="F227" s="9"/>
    </row>
    <row r="228" spans="1:6" x14ac:dyDescent="0.3">
      <c r="A228" s="26">
        <v>51622</v>
      </c>
      <c r="B228" s="27" t="s">
        <v>143</v>
      </c>
      <c r="C228" s="27" t="s">
        <v>144</v>
      </c>
      <c r="D228" s="9"/>
      <c r="E228" s="9"/>
      <c r="F228" s="9"/>
    </row>
    <row r="229" spans="1:6" x14ac:dyDescent="0.3">
      <c r="A229" s="26">
        <v>51672</v>
      </c>
      <c r="B229" s="27" t="s">
        <v>146</v>
      </c>
      <c r="C229" s="27" t="s">
        <v>147</v>
      </c>
      <c r="D229" s="9"/>
      <c r="E229" s="9"/>
      <c r="F229" s="9"/>
    </row>
    <row r="230" spans="1:6" x14ac:dyDescent="0.3">
      <c r="A230" s="26">
        <v>51751</v>
      </c>
      <c r="B230" s="27" t="s">
        <v>149</v>
      </c>
      <c r="C230" s="27" t="s">
        <v>150</v>
      </c>
      <c r="D230" s="9"/>
      <c r="E230" s="9"/>
      <c r="F230" s="9"/>
    </row>
    <row r="231" spans="1:6" x14ac:dyDescent="0.3">
      <c r="A231" s="26">
        <v>51786</v>
      </c>
      <c r="B231" s="27" t="s">
        <v>149</v>
      </c>
      <c r="C231" s="27" t="s">
        <v>152</v>
      </c>
      <c r="D231" s="9"/>
      <c r="E231" s="9"/>
      <c r="F231" s="9"/>
    </row>
    <row r="232" spans="1:6" x14ac:dyDescent="0.3">
      <c r="A232" s="26">
        <v>51807</v>
      </c>
      <c r="B232" s="27" t="s">
        <v>149</v>
      </c>
      <c r="C232" s="27" t="s">
        <v>154</v>
      </c>
      <c r="D232" s="9"/>
      <c r="E232" s="9"/>
      <c r="F232" s="9"/>
    </row>
    <row r="233" spans="1:6" x14ac:dyDescent="0.3">
      <c r="A233" s="26">
        <v>51820</v>
      </c>
      <c r="B233" s="27" t="s">
        <v>137</v>
      </c>
      <c r="C233" s="27" t="s">
        <v>156</v>
      </c>
      <c r="D233" s="9"/>
      <c r="E233" s="9"/>
      <c r="F233" s="9"/>
    </row>
    <row r="234" spans="1:6" x14ac:dyDescent="0.3">
      <c r="A234" s="26">
        <v>51825</v>
      </c>
      <c r="B234" s="27" t="s">
        <v>143</v>
      </c>
      <c r="C234" s="27" t="s">
        <v>158</v>
      </c>
      <c r="D234" s="9"/>
      <c r="E234" s="9"/>
      <c r="F234" s="9"/>
    </row>
    <row r="235" spans="1:6" x14ac:dyDescent="0.3">
      <c r="A235" s="26">
        <v>51860</v>
      </c>
      <c r="B235" s="27" t="s">
        <v>143</v>
      </c>
      <c r="C235" s="27" t="s">
        <v>160</v>
      </c>
      <c r="D235" s="9"/>
      <c r="E235" s="9"/>
      <c r="F235" s="9"/>
    </row>
    <row r="236" spans="1:6" x14ac:dyDescent="0.3">
      <c r="A236" s="26">
        <v>51867</v>
      </c>
      <c r="B236" s="27" t="s">
        <v>143</v>
      </c>
      <c r="C236" s="27" t="s">
        <v>131</v>
      </c>
      <c r="D236" s="9"/>
      <c r="E236" s="9"/>
      <c r="F236" s="9"/>
    </row>
    <row r="237" spans="1:6" x14ac:dyDescent="0.3">
      <c r="A237" s="26">
        <v>51914</v>
      </c>
      <c r="B237" s="27" t="s">
        <v>130</v>
      </c>
      <c r="C237" s="27" t="s">
        <v>133</v>
      </c>
      <c r="D237" s="9"/>
      <c r="E237" s="9"/>
      <c r="F237" s="9"/>
    </row>
    <row r="238" spans="1:6" x14ac:dyDescent="0.3">
      <c r="A238" s="26">
        <v>51915</v>
      </c>
      <c r="B238" s="27" t="s">
        <v>135</v>
      </c>
      <c r="C238" s="27" t="s">
        <v>133</v>
      </c>
      <c r="D238" s="9"/>
      <c r="E238" s="9"/>
      <c r="F238" s="9"/>
    </row>
    <row r="239" spans="1:6" x14ac:dyDescent="0.3">
      <c r="A239" s="26">
        <v>51960</v>
      </c>
      <c r="B239" s="27" t="s">
        <v>137</v>
      </c>
      <c r="C239" s="27" t="s">
        <v>138</v>
      </c>
      <c r="D239" s="9"/>
      <c r="E239" s="9"/>
      <c r="F239" s="9"/>
    </row>
    <row r="240" spans="1:6" x14ac:dyDescent="0.3">
      <c r="A240" s="26">
        <v>51977</v>
      </c>
      <c r="B240" s="27" t="s">
        <v>130</v>
      </c>
      <c r="C240" s="27" t="s">
        <v>141</v>
      </c>
      <c r="D240" s="9"/>
      <c r="E240" s="9"/>
      <c r="F240" s="9"/>
    </row>
    <row r="241" spans="1:6" x14ac:dyDescent="0.3">
      <c r="A241" s="26">
        <v>51987</v>
      </c>
      <c r="B241" s="27" t="s">
        <v>146</v>
      </c>
      <c r="C241" s="27" t="s">
        <v>144</v>
      </c>
      <c r="D241" s="9"/>
      <c r="E241" s="9"/>
      <c r="F241" s="9"/>
    </row>
    <row r="242" spans="1:6" x14ac:dyDescent="0.3">
      <c r="A242" s="26">
        <v>52022</v>
      </c>
      <c r="B242" s="27" t="s">
        <v>146</v>
      </c>
      <c r="C242" s="27" t="s">
        <v>147</v>
      </c>
      <c r="D242" s="9"/>
      <c r="E242" s="9"/>
      <c r="F242" s="9"/>
    </row>
    <row r="243" spans="1:6" x14ac:dyDescent="0.3">
      <c r="A243" s="26">
        <v>52116</v>
      </c>
      <c r="B243" s="27" t="s">
        <v>140</v>
      </c>
      <c r="C243" s="27" t="s">
        <v>150</v>
      </c>
      <c r="D243" s="9"/>
      <c r="E243" s="9"/>
      <c r="F243" s="9"/>
    </row>
    <row r="244" spans="1:6" x14ac:dyDescent="0.3">
      <c r="A244" s="26">
        <v>52151</v>
      </c>
      <c r="B244" s="27" t="s">
        <v>140</v>
      </c>
      <c r="C244" s="27" t="s">
        <v>152</v>
      </c>
      <c r="D244" s="9"/>
      <c r="E244" s="9"/>
      <c r="F244" s="9"/>
    </row>
    <row r="245" spans="1:6" x14ac:dyDescent="0.3">
      <c r="A245" s="26">
        <v>52172</v>
      </c>
      <c r="B245" s="27" t="s">
        <v>140</v>
      </c>
      <c r="C245" s="27" t="s">
        <v>154</v>
      </c>
      <c r="D245" s="9"/>
      <c r="E245" s="9"/>
      <c r="F245" s="9"/>
    </row>
    <row r="246" spans="1:6" x14ac:dyDescent="0.3">
      <c r="A246" s="26">
        <v>52185</v>
      </c>
      <c r="B246" s="27" t="s">
        <v>149</v>
      </c>
      <c r="C246" s="27" t="s">
        <v>156</v>
      </c>
      <c r="D246" s="9"/>
      <c r="E246" s="9"/>
      <c r="F246" s="9"/>
    </row>
    <row r="247" spans="1:6" x14ac:dyDescent="0.3">
      <c r="A247" s="26">
        <v>52190</v>
      </c>
      <c r="B247" s="27" t="s">
        <v>146</v>
      </c>
      <c r="C247" s="27" t="s">
        <v>158</v>
      </c>
      <c r="D247" s="9"/>
      <c r="E247" s="9"/>
      <c r="F247" s="9"/>
    </row>
    <row r="248" spans="1:6" x14ac:dyDescent="0.3">
      <c r="A248" s="26">
        <v>52225</v>
      </c>
      <c r="B248" s="27" t="s">
        <v>146</v>
      </c>
      <c r="C248" s="27" t="s">
        <v>160</v>
      </c>
      <c r="D248" s="9"/>
      <c r="E248" s="9"/>
      <c r="F248" s="9"/>
    </row>
    <row r="249" spans="1:6" x14ac:dyDescent="0.3">
      <c r="A249" s="26">
        <v>52232</v>
      </c>
      <c r="B249" s="27" t="s">
        <v>146</v>
      </c>
      <c r="C249" s="27" t="s">
        <v>131</v>
      </c>
      <c r="D249" s="9"/>
      <c r="E249" s="9"/>
      <c r="F249" s="9"/>
    </row>
    <row r="250" spans="1:6" x14ac:dyDescent="0.3">
      <c r="A250" s="26">
        <v>52271</v>
      </c>
      <c r="B250" s="27" t="s">
        <v>130</v>
      </c>
      <c r="C250" s="27" t="s">
        <v>133</v>
      </c>
      <c r="D250" s="9"/>
      <c r="E250" s="9"/>
      <c r="F250" s="9"/>
    </row>
    <row r="251" spans="1:6" x14ac:dyDescent="0.3">
      <c r="A251" s="26">
        <v>52272</v>
      </c>
      <c r="B251" s="27" t="s">
        <v>135</v>
      </c>
      <c r="C251" s="27" t="s">
        <v>133</v>
      </c>
      <c r="D251" s="9"/>
      <c r="E251" s="9"/>
      <c r="F251" s="9"/>
    </row>
    <row r="252" spans="1:6" x14ac:dyDescent="0.3">
      <c r="A252" s="26">
        <v>52317</v>
      </c>
      <c r="B252" s="27" t="s">
        <v>137</v>
      </c>
      <c r="C252" s="27" t="s">
        <v>138</v>
      </c>
      <c r="D252" s="9"/>
      <c r="E252" s="9"/>
      <c r="F252" s="9"/>
    </row>
    <row r="253" spans="1:6" x14ac:dyDescent="0.3">
      <c r="A253" s="26">
        <v>52342</v>
      </c>
      <c r="B253" s="27" t="s">
        <v>135</v>
      </c>
      <c r="C253" s="27" t="s">
        <v>141</v>
      </c>
      <c r="D253" s="9"/>
      <c r="E253" s="9"/>
      <c r="F253" s="9"/>
    </row>
    <row r="254" spans="1:6" x14ac:dyDescent="0.3">
      <c r="A254" s="26">
        <v>52352</v>
      </c>
      <c r="B254" s="27" t="s">
        <v>137</v>
      </c>
      <c r="C254" s="27" t="s">
        <v>144</v>
      </c>
      <c r="D254" s="9"/>
      <c r="E254" s="9"/>
      <c r="F254" s="9"/>
    </row>
    <row r="255" spans="1:6" x14ac:dyDescent="0.3">
      <c r="A255" s="26">
        <v>52379</v>
      </c>
      <c r="B255" s="27" t="s">
        <v>146</v>
      </c>
      <c r="C255" s="27" t="s">
        <v>147</v>
      </c>
      <c r="D255" s="9"/>
      <c r="E255" s="9"/>
      <c r="F255" s="9"/>
    </row>
    <row r="256" spans="1:6" x14ac:dyDescent="0.3">
      <c r="A256" s="26">
        <v>52481</v>
      </c>
      <c r="B256" s="27" t="s">
        <v>130</v>
      </c>
      <c r="C256" s="27" t="s">
        <v>150</v>
      </c>
      <c r="D256" s="9"/>
      <c r="E256" s="9"/>
      <c r="F256" s="9"/>
    </row>
    <row r="257" spans="1:6" x14ac:dyDescent="0.3">
      <c r="A257" s="26">
        <v>52516</v>
      </c>
      <c r="B257" s="27" t="s">
        <v>130</v>
      </c>
      <c r="C257" s="27" t="s">
        <v>152</v>
      </c>
      <c r="D257" s="9"/>
      <c r="E257" s="9"/>
      <c r="F257" s="9"/>
    </row>
    <row r="258" spans="1:6" x14ac:dyDescent="0.3">
      <c r="A258" s="26">
        <v>52537</v>
      </c>
      <c r="B258" s="27" t="s">
        <v>130</v>
      </c>
      <c r="C258" s="27" t="s">
        <v>154</v>
      </c>
      <c r="D258" s="9"/>
      <c r="E258" s="9"/>
      <c r="F258" s="9"/>
    </row>
    <row r="259" spans="1:6" x14ac:dyDescent="0.3">
      <c r="A259" s="26">
        <v>52550</v>
      </c>
      <c r="B259" s="27" t="s">
        <v>140</v>
      </c>
      <c r="C259" s="27" t="s">
        <v>156</v>
      </c>
      <c r="D259" s="9"/>
      <c r="E259" s="9"/>
      <c r="F259" s="9"/>
    </row>
    <row r="260" spans="1:6" x14ac:dyDescent="0.3">
      <c r="A260" s="26">
        <v>52555</v>
      </c>
      <c r="B260" s="27" t="s">
        <v>137</v>
      </c>
      <c r="C260" s="27" t="s">
        <v>158</v>
      </c>
      <c r="D260" s="9"/>
      <c r="E260" s="9"/>
      <c r="F260" s="9"/>
    </row>
    <row r="261" spans="1:6" x14ac:dyDescent="0.3">
      <c r="A261" s="26">
        <v>52590</v>
      </c>
      <c r="B261" s="27" t="s">
        <v>137</v>
      </c>
      <c r="C261" s="27" t="s">
        <v>160</v>
      </c>
      <c r="D261" s="9"/>
      <c r="E261" s="9"/>
      <c r="F261" s="9"/>
    </row>
    <row r="262" spans="1:6" x14ac:dyDescent="0.3">
      <c r="A262" s="26">
        <v>52597</v>
      </c>
      <c r="B262" s="27" t="s">
        <v>137</v>
      </c>
      <c r="C262" s="27" t="s">
        <v>131</v>
      </c>
      <c r="D262" s="9"/>
      <c r="E262" s="9"/>
      <c r="F262" s="9"/>
    </row>
    <row r="263" spans="1:6" x14ac:dyDescent="0.3">
      <c r="A263" s="26">
        <v>52656</v>
      </c>
      <c r="B263" s="27" t="s">
        <v>130</v>
      </c>
      <c r="C263" s="27" t="s">
        <v>133</v>
      </c>
      <c r="D263" s="9"/>
      <c r="E263" s="9"/>
      <c r="F263" s="9"/>
    </row>
    <row r="264" spans="1:6" x14ac:dyDescent="0.3">
      <c r="A264" s="26">
        <v>52657</v>
      </c>
      <c r="B264" s="27" t="s">
        <v>135</v>
      </c>
      <c r="C264" s="27" t="s">
        <v>133</v>
      </c>
      <c r="D264" s="9"/>
      <c r="E264" s="9"/>
      <c r="F264" s="9"/>
    </row>
    <row r="265" spans="1:6" x14ac:dyDescent="0.3">
      <c r="A265" s="26">
        <v>52702</v>
      </c>
      <c r="B265" s="27" t="s">
        <v>137</v>
      </c>
      <c r="C265" s="27" t="s">
        <v>138</v>
      </c>
      <c r="D265" s="9"/>
      <c r="E265" s="9"/>
      <c r="F265" s="9"/>
    </row>
    <row r="266" spans="1:6" x14ac:dyDescent="0.3">
      <c r="A266" s="26">
        <v>52708</v>
      </c>
      <c r="B266" s="27" t="s">
        <v>146</v>
      </c>
      <c r="C266" s="27" t="s">
        <v>141</v>
      </c>
      <c r="D266" s="9"/>
      <c r="E266" s="9"/>
      <c r="F266" s="9"/>
    </row>
    <row r="267" spans="1:6" x14ac:dyDescent="0.3">
      <c r="A267" s="26">
        <v>52718</v>
      </c>
      <c r="B267" s="27" t="s">
        <v>140</v>
      </c>
      <c r="C267" s="27" t="s">
        <v>144</v>
      </c>
      <c r="D267" s="9"/>
      <c r="E267" s="9"/>
      <c r="F267" s="9"/>
    </row>
    <row r="268" spans="1:6" x14ac:dyDescent="0.3">
      <c r="A268" s="26">
        <v>52764</v>
      </c>
      <c r="B268" s="27" t="s">
        <v>146</v>
      </c>
      <c r="C268" s="27" t="s">
        <v>147</v>
      </c>
      <c r="D268" s="9"/>
      <c r="E268" s="9"/>
      <c r="F268" s="9"/>
    </row>
    <row r="269" spans="1:6" x14ac:dyDescent="0.3">
      <c r="A269" s="26">
        <v>52847</v>
      </c>
      <c r="B269" s="27" t="s">
        <v>143</v>
      </c>
      <c r="C269" s="27" t="s">
        <v>150</v>
      </c>
      <c r="D269" s="9"/>
      <c r="E269" s="9"/>
      <c r="F269" s="9"/>
    </row>
    <row r="270" spans="1:6" x14ac:dyDescent="0.3">
      <c r="A270" s="26">
        <v>52882</v>
      </c>
      <c r="B270" s="27" t="s">
        <v>143</v>
      </c>
      <c r="C270" s="27" t="s">
        <v>152</v>
      </c>
      <c r="D270" s="9"/>
      <c r="E270" s="9"/>
      <c r="F270" s="9"/>
    </row>
    <row r="271" spans="1:6" x14ac:dyDescent="0.3">
      <c r="A271" s="26">
        <v>52903</v>
      </c>
      <c r="B271" s="27" t="s">
        <v>143</v>
      </c>
      <c r="C271" s="27" t="s">
        <v>154</v>
      </c>
      <c r="D271" s="9"/>
      <c r="E271" s="9"/>
      <c r="F271" s="9"/>
    </row>
    <row r="272" spans="1:6" x14ac:dyDescent="0.3">
      <c r="A272" s="26">
        <v>52916</v>
      </c>
      <c r="B272" s="27" t="s">
        <v>135</v>
      </c>
      <c r="C272" s="27" t="s">
        <v>156</v>
      </c>
      <c r="D272" s="9"/>
      <c r="E272" s="9"/>
      <c r="F272" s="9"/>
    </row>
    <row r="273" spans="1:6" x14ac:dyDescent="0.3">
      <c r="A273" s="26">
        <v>52921</v>
      </c>
      <c r="B273" s="27" t="s">
        <v>140</v>
      </c>
      <c r="C273" s="27" t="s">
        <v>158</v>
      </c>
      <c r="D273" s="9"/>
      <c r="E273" s="9"/>
      <c r="F273" s="9"/>
    </row>
    <row r="274" spans="1:6" x14ac:dyDescent="0.3">
      <c r="A274" s="26">
        <v>52956</v>
      </c>
      <c r="B274" s="27" t="s">
        <v>140</v>
      </c>
      <c r="C274" s="27" t="s">
        <v>160</v>
      </c>
      <c r="D274" s="9"/>
      <c r="E274" s="9"/>
      <c r="F274" s="9"/>
    </row>
    <row r="275" spans="1:6" x14ac:dyDescent="0.3">
      <c r="A275" s="26">
        <v>52963</v>
      </c>
      <c r="B275" s="27" t="s">
        <v>140</v>
      </c>
      <c r="C275" s="27" t="s">
        <v>131</v>
      </c>
      <c r="D275" s="9"/>
      <c r="E275" s="9"/>
      <c r="F275" s="9"/>
    </row>
    <row r="276" spans="1:6" x14ac:dyDescent="0.3">
      <c r="A276" s="26">
        <v>53013</v>
      </c>
      <c r="B276" s="27" t="s">
        <v>130</v>
      </c>
      <c r="C276" s="27" t="s">
        <v>133</v>
      </c>
      <c r="D276" s="9"/>
      <c r="E276" s="9"/>
      <c r="F276" s="9"/>
    </row>
    <row r="277" spans="1:6" x14ac:dyDescent="0.3">
      <c r="A277" s="26">
        <v>53014</v>
      </c>
      <c r="B277" s="27" t="s">
        <v>135</v>
      </c>
      <c r="C277" s="27" t="s">
        <v>133</v>
      </c>
      <c r="D277" s="9"/>
      <c r="E277" s="9"/>
      <c r="F277" s="9"/>
    </row>
    <row r="278" spans="1:6" x14ac:dyDescent="0.3">
      <c r="A278" s="26">
        <v>53059</v>
      </c>
      <c r="B278" s="27" t="s">
        <v>137</v>
      </c>
      <c r="C278" s="27" t="s">
        <v>138</v>
      </c>
      <c r="D278" s="9"/>
      <c r="E278" s="9"/>
      <c r="F278" s="9"/>
    </row>
    <row r="279" spans="1:6" x14ac:dyDescent="0.3">
      <c r="A279" s="26">
        <v>53073</v>
      </c>
      <c r="B279" s="27" t="s">
        <v>137</v>
      </c>
      <c r="C279" s="27" t="s">
        <v>141</v>
      </c>
      <c r="D279" s="9"/>
      <c r="E279" s="9"/>
      <c r="F279" s="9"/>
    </row>
    <row r="280" spans="1:6" x14ac:dyDescent="0.3">
      <c r="A280" s="26">
        <v>53083</v>
      </c>
      <c r="B280" s="27" t="s">
        <v>130</v>
      </c>
      <c r="C280" s="27" t="s">
        <v>144</v>
      </c>
      <c r="D280" s="9"/>
      <c r="E280" s="9"/>
      <c r="F280" s="9"/>
    </row>
    <row r="281" spans="1:6" x14ac:dyDescent="0.3">
      <c r="A281" s="26">
        <v>53121</v>
      </c>
      <c r="B281" s="27" t="s">
        <v>146</v>
      </c>
      <c r="C281" s="27" t="s">
        <v>147</v>
      </c>
      <c r="D281" s="9"/>
      <c r="E281" s="9"/>
      <c r="F281" s="9"/>
    </row>
    <row r="282" spans="1:6" x14ac:dyDescent="0.3">
      <c r="A282" s="26">
        <v>53212</v>
      </c>
      <c r="B282" s="27" t="s">
        <v>146</v>
      </c>
      <c r="C282" s="27" t="s">
        <v>150</v>
      </c>
      <c r="D282" s="9"/>
      <c r="E282" s="9"/>
      <c r="F282" s="9"/>
    </row>
    <row r="283" spans="1:6" x14ac:dyDescent="0.3">
      <c r="A283" s="26">
        <v>53247</v>
      </c>
      <c r="B283" s="27" t="s">
        <v>146</v>
      </c>
      <c r="C283" s="27" t="s">
        <v>152</v>
      </c>
      <c r="D283" s="9"/>
      <c r="E283" s="9"/>
      <c r="F283" s="9"/>
    </row>
    <row r="284" spans="1:6" x14ac:dyDescent="0.3">
      <c r="A284" s="26">
        <v>53268</v>
      </c>
      <c r="B284" s="27" t="s">
        <v>146</v>
      </c>
      <c r="C284" s="27" t="s">
        <v>154</v>
      </c>
      <c r="D284" s="9"/>
      <c r="E284" s="9"/>
      <c r="F284" s="9"/>
    </row>
    <row r="285" spans="1:6" x14ac:dyDescent="0.3">
      <c r="A285" s="26">
        <v>53281</v>
      </c>
      <c r="B285" s="27" t="s">
        <v>143</v>
      </c>
      <c r="C285" s="27" t="s">
        <v>156</v>
      </c>
      <c r="D285" s="9"/>
      <c r="E285" s="9"/>
      <c r="F285" s="9"/>
    </row>
    <row r="286" spans="1:6" x14ac:dyDescent="0.3">
      <c r="A286" s="26">
        <v>53286</v>
      </c>
      <c r="B286" s="27" t="s">
        <v>130</v>
      </c>
      <c r="C286" s="27" t="s">
        <v>158</v>
      </c>
      <c r="D286" s="9"/>
      <c r="E286" s="9"/>
      <c r="F286" s="9"/>
    </row>
    <row r="287" spans="1:6" x14ac:dyDescent="0.3">
      <c r="A287" s="26">
        <v>53321</v>
      </c>
      <c r="B287" s="27" t="s">
        <v>130</v>
      </c>
      <c r="C287" s="27" t="s">
        <v>160</v>
      </c>
      <c r="D287" s="9"/>
      <c r="E287" s="9"/>
      <c r="F287" s="9"/>
    </row>
    <row r="288" spans="1:6" x14ac:dyDescent="0.3">
      <c r="A288" s="26">
        <v>53328</v>
      </c>
      <c r="B288" s="27" t="s">
        <v>130</v>
      </c>
      <c r="C288" s="27" t="s">
        <v>131</v>
      </c>
      <c r="D288" s="9"/>
      <c r="E288" s="9"/>
      <c r="F288" s="9"/>
    </row>
    <row r="289" spans="1:6" x14ac:dyDescent="0.3">
      <c r="A289" s="26">
        <v>53363</v>
      </c>
      <c r="B289" s="27" t="s">
        <v>130</v>
      </c>
      <c r="C289" s="27" t="s">
        <v>133</v>
      </c>
      <c r="D289" s="9"/>
      <c r="E289" s="9"/>
      <c r="F289" s="9"/>
    </row>
    <row r="290" spans="1:6" x14ac:dyDescent="0.3">
      <c r="A290" s="26">
        <v>53364</v>
      </c>
      <c r="B290" s="27" t="s">
        <v>135</v>
      </c>
      <c r="C290" s="27" t="s">
        <v>133</v>
      </c>
      <c r="D290" s="9"/>
      <c r="E290" s="9"/>
      <c r="F290" s="9"/>
    </row>
    <row r="291" spans="1:6" x14ac:dyDescent="0.3">
      <c r="A291" s="26">
        <v>53409</v>
      </c>
      <c r="B291" s="27" t="s">
        <v>137</v>
      </c>
      <c r="C291" s="27" t="s">
        <v>138</v>
      </c>
      <c r="D291" s="9"/>
      <c r="E291" s="9"/>
      <c r="F291" s="9"/>
    </row>
    <row r="292" spans="1:6" x14ac:dyDescent="0.3">
      <c r="A292" s="26">
        <v>53438</v>
      </c>
      <c r="B292" s="27" t="s">
        <v>149</v>
      </c>
      <c r="C292" s="27" t="s">
        <v>141</v>
      </c>
      <c r="D292" s="9"/>
      <c r="E292" s="9"/>
      <c r="F292" s="9"/>
    </row>
    <row r="293" spans="1:6" x14ac:dyDescent="0.3">
      <c r="A293" s="26">
        <v>53448</v>
      </c>
      <c r="B293" s="27" t="s">
        <v>135</v>
      </c>
      <c r="C293" s="27" t="s">
        <v>144</v>
      </c>
      <c r="D293" s="9"/>
      <c r="E293" s="9"/>
      <c r="F293" s="9"/>
    </row>
    <row r="294" spans="1:6" x14ac:dyDescent="0.3">
      <c r="A294" s="26">
        <v>53471</v>
      </c>
      <c r="B294" s="27" t="s">
        <v>146</v>
      </c>
      <c r="C294" s="27" t="s">
        <v>147</v>
      </c>
      <c r="D294" s="9"/>
      <c r="E294" s="9"/>
      <c r="F294" s="9"/>
    </row>
    <row r="295" spans="1:6" x14ac:dyDescent="0.3">
      <c r="A295" s="26">
        <v>53577</v>
      </c>
      <c r="B295" s="27" t="s">
        <v>137</v>
      </c>
      <c r="C295" s="27" t="s">
        <v>150</v>
      </c>
      <c r="D295" s="9"/>
      <c r="E295" s="9"/>
      <c r="F295" s="9"/>
    </row>
    <row r="296" spans="1:6" x14ac:dyDescent="0.3">
      <c r="A296" s="26">
        <v>53612</v>
      </c>
      <c r="B296" s="27" t="s">
        <v>137</v>
      </c>
      <c r="C296" s="27" t="s">
        <v>152</v>
      </c>
      <c r="D296" s="9"/>
      <c r="E296" s="9"/>
      <c r="F296" s="9"/>
    </row>
    <row r="297" spans="1:6" x14ac:dyDescent="0.3">
      <c r="A297" s="26">
        <v>53633</v>
      </c>
      <c r="B297" s="27" t="s">
        <v>137</v>
      </c>
      <c r="C297" s="27" t="s">
        <v>154</v>
      </c>
      <c r="D297" s="9"/>
      <c r="E297" s="9"/>
      <c r="F297" s="9"/>
    </row>
    <row r="298" spans="1:6" x14ac:dyDescent="0.3">
      <c r="A298" s="26">
        <v>53646</v>
      </c>
      <c r="B298" s="27" t="s">
        <v>146</v>
      </c>
      <c r="C298" s="27" t="s">
        <v>156</v>
      </c>
      <c r="D298" s="9"/>
      <c r="E298" s="9"/>
      <c r="F298" s="9"/>
    </row>
    <row r="299" spans="1:6" x14ac:dyDescent="0.3">
      <c r="A299" s="26">
        <v>53651</v>
      </c>
      <c r="B299" s="27" t="s">
        <v>135</v>
      </c>
      <c r="C299" s="27" t="s">
        <v>158</v>
      </c>
      <c r="D299" s="9"/>
      <c r="E299" s="9"/>
      <c r="F299" s="9"/>
    </row>
    <row r="300" spans="1:6" x14ac:dyDescent="0.3">
      <c r="A300" s="26">
        <v>53686</v>
      </c>
      <c r="B300" s="27" t="s">
        <v>135</v>
      </c>
      <c r="C300" s="27" t="s">
        <v>160</v>
      </c>
      <c r="D300" s="9"/>
      <c r="E300" s="9"/>
      <c r="F300" s="9"/>
    </row>
    <row r="301" spans="1:6" x14ac:dyDescent="0.3">
      <c r="A301" s="26">
        <v>53693</v>
      </c>
      <c r="B301" s="27" t="s">
        <v>135</v>
      </c>
      <c r="C301" s="27" t="s">
        <v>131</v>
      </c>
      <c r="D301" s="9"/>
      <c r="E301" s="9"/>
      <c r="F301" s="9"/>
    </row>
    <row r="302" spans="1:6" x14ac:dyDescent="0.3">
      <c r="A302" s="26">
        <v>53748</v>
      </c>
      <c r="B302" s="27" t="s">
        <v>130</v>
      </c>
      <c r="C302" s="27" t="s">
        <v>133</v>
      </c>
      <c r="D302" s="9"/>
      <c r="E302" s="9"/>
      <c r="F302" s="9"/>
    </row>
    <row r="303" spans="1:6" x14ac:dyDescent="0.3">
      <c r="A303" s="26">
        <v>53749</v>
      </c>
      <c r="B303" s="27" t="s">
        <v>135</v>
      </c>
      <c r="C303" s="27" t="s">
        <v>133</v>
      </c>
      <c r="D303" s="9"/>
      <c r="E303" s="9"/>
      <c r="F303" s="9"/>
    </row>
    <row r="304" spans="1:6" x14ac:dyDescent="0.3">
      <c r="A304" s="26">
        <v>53794</v>
      </c>
      <c r="B304" s="27" t="s">
        <v>137</v>
      </c>
      <c r="C304" s="27" t="s">
        <v>138</v>
      </c>
      <c r="D304" s="9"/>
      <c r="E304" s="9"/>
      <c r="F304" s="9"/>
    </row>
    <row r="305" spans="1:6" x14ac:dyDescent="0.3">
      <c r="A305" s="26">
        <v>53803</v>
      </c>
      <c r="B305" s="27" t="s">
        <v>140</v>
      </c>
      <c r="C305" s="27" t="s">
        <v>141</v>
      </c>
      <c r="D305" s="9"/>
      <c r="E305" s="9"/>
      <c r="F305" s="9"/>
    </row>
    <row r="306" spans="1:6" x14ac:dyDescent="0.3">
      <c r="A306" s="26">
        <v>53813</v>
      </c>
      <c r="B306" s="27" t="s">
        <v>143</v>
      </c>
      <c r="C306" s="27" t="s">
        <v>144</v>
      </c>
      <c r="D306" s="9"/>
      <c r="E306" s="9"/>
      <c r="F306" s="9"/>
    </row>
    <row r="307" spans="1:6" x14ac:dyDescent="0.3">
      <c r="A307" s="26">
        <v>53856</v>
      </c>
      <c r="B307" s="27" t="s">
        <v>146</v>
      </c>
      <c r="C307" s="27" t="s">
        <v>147</v>
      </c>
      <c r="D307" s="9"/>
      <c r="E307" s="9"/>
      <c r="F307" s="9"/>
    </row>
    <row r="308" spans="1:6" x14ac:dyDescent="0.3">
      <c r="A308" s="26">
        <v>53942</v>
      </c>
      <c r="B308" s="27" t="s">
        <v>149</v>
      </c>
      <c r="C308" s="27" t="s">
        <v>150</v>
      </c>
      <c r="D308" s="9"/>
      <c r="E308" s="9"/>
      <c r="F308" s="9"/>
    </row>
    <row r="309" spans="1:6" x14ac:dyDescent="0.3">
      <c r="A309" s="26">
        <v>53977</v>
      </c>
      <c r="B309" s="27" t="s">
        <v>149</v>
      </c>
      <c r="C309" s="27" t="s">
        <v>152</v>
      </c>
      <c r="D309" s="9"/>
      <c r="E309" s="9"/>
      <c r="F309" s="9"/>
    </row>
    <row r="310" spans="1:6" x14ac:dyDescent="0.3">
      <c r="A310" s="26">
        <v>53998</v>
      </c>
      <c r="B310" s="27" t="s">
        <v>149</v>
      </c>
      <c r="C310" s="27" t="s">
        <v>154</v>
      </c>
      <c r="D310" s="9"/>
      <c r="E310" s="9"/>
      <c r="F310" s="9"/>
    </row>
    <row r="311" spans="1:6" x14ac:dyDescent="0.3">
      <c r="A311" s="26">
        <v>54011</v>
      </c>
      <c r="B311" s="27" t="s">
        <v>137</v>
      </c>
      <c r="C311" s="27" t="s">
        <v>156</v>
      </c>
      <c r="D311" s="9"/>
      <c r="E311" s="9"/>
      <c r="F311" s="9"/>
    </row>
    <row r="312" spans="1:6" x14ac:dyDescent="0.3">
      <c r="A312" s="26">
        <v>54016</v>
      </c>
      <c r="B312" s="27" t="s">
        <v>143</v>
      </c>
      <c r="C312" s="27" t="s">
        <v>158</v>
      </c>
      <c r="D312" s="9"/>
      <c r="E312" s="9"/>
      <c r="F312" s="9"/>
    </row>
    <row r="313" spans="1:6" x14ac:dyDescent="0.3">
      <c r="A313" s="26">
        <v>54051</v>
      </c>
      <c r="B313" s="27" t="s">
        <v>143</v>
      </c>
      <c r="C313" s="27" t="s">
        <v>160</v>
      </c>
      <c r="D313" s="9"/>
      <c r="E313" s="9"/>
      <c r="F313" s="9"/>
    </row>
    <row r="314" spans="1:6" x14ac:dyDescent="0.3">
      <c r="A314" s="26">
        <v>54058</v>
      </c>
      <c r="B314" s="27" t="s">
        <v>143</v>
      </c>
      <c r="C314" s="27" t="s">
        <v>131</v>
      </c>
      <c r="D314" s="9"/>
      <c r="E314" s="9"/>
      <c r="F314" s="9"/>
    </row>
    <row r="315" spans="1:6" x14ac:dyDescent="0.3">
      <c r="A315" s="26">
        <v>54105</v>
      </c>
      <c r="B315" s="27" t="s">
        <v>130</v>
      </c>
      <c r="C315" s="27" t="s">
        <v>133</v>
      </c>
      <c r="D315" s="9"/>
      <c r="E315" s="9"/>
      <c r="F315" s="9"/>
    </row>
    <row r="316" spans="1:6" x14ac:dyDescent="0.3">
      <c r="A316" s="26">
        <v>54106</v>
      </c>
      <c r="B316" s="27" t="s">
        <v>135</v>
      </c>
      <c r="C316" s="27" t="s">
        <v>133</v>
      </c>
      <c r="D316" s="9"/>
      <c r="E316" s="9"/>
      <c r="F316" s="9"/>
    </row>
    <row r="317" spans="1:6" x14ac:dyDescent="0.3">
      <c r="A317" s="26">
        <v>54151</v>
      </c>
      <c r="B317" s="27" t="s">
        <v>137</v>
      </c>
      <c r="C317" s="27" t="s">
        <v>138</v>
      </c>
      <c r="D317" s="9"/>
      <c r="E317" s="9"/>
      <c r="F317" s="9"/>
    </row>
    <row r="318" spans="1:6" x14ac:dyDescent="0.3">
      <c r="A318" s="26">
        <v>54169</v>
      </c>
      <c r="B318" s="27" t="s">
        <v>135</v>
      </c>
      <c r="C318" s="27" t="s">
        <v>141</v>
      </c>
      <c r="D318" s="9"/>
      <c r="E318" s="9"/>
      <c r="F318" s="9"/>
    </row>
    <row r="319" spans="1:6" x14ac:dyDescent="0.3">
      <c r="A319" s="26">
        <v>54179</v>
      </c>
      <c r="B319" s="27" t="s">
        <v>137</v>
      </c>
      <c r="C319" s="27" t="s">
        <v>144</v>
      </c>
      <c r="D319" s="9"/>
      <c r="E319" s="9"/>
      <c r="F319" s="9"/>
    </row>
    <row r="320" spans="1:6" x14ac:dyDescent="0.3">
      <c r="A320" s="26">
        <v>54213</v>
      </c>
      <c r="B320" s="27" t="s">
        <v>146</v>
      </c>
      <c r="C320" s="27" t="s">
        <v>147</v>
      </c>
      <c r="D320" s="9"/>
      <c r="E320" s="9"/>
      <c r="F320" s="9"/>
    </row>
    <row r="321" spans="1:6" x14ac:dyDescent="0.3">
      <c r="A321" s="26">
        <v>54308</v>
      </c>
      <c r="B321" s="27" t="s">
        <v>130</v>
      </c>
      <c r="C321" s="27" t="s">
        <v>150</v>
      </c>
      <c r="D321" s="9"/>
      <c r="E321" s="9"/>
      <c r="F321" s="9"/>
    </row>
    <row r="322" spans="1:6" x14ac:dyDescent="0.3">
      <c r="A322" s="26">
        <v>54343</v>
      </c>
      <c r="B322" s="27" t="s">
        <v>130</v>
      </c>
      <c r="C322" s="27" t="s">
        <v>152</v>
      </c>
      <c r="D322" s="9"/>
      <c r="E322" s="9"/>
      <c r="F322" s="9"/>
    </row>
    <row r="323" spans="1:6" x14ac:dyDescent="0.3">
      <c r="A323" s="26">
        <v>54364</v>
      </c>
      <c r="B323" s="27" t="s">
        <v>130</v>
      </c>
      <c r="C323" s="27" t="s">
        <v>154</v>
      </c>
      <c r="D323" s="9"/>
      <c r="E323" s="9"/>
      <c r="F323" s="9"/>
    </row>
    <row r="324" spans="1:6" x14ac:dyDescent="0.3">
      <c r="A324" s="26">
        <v>54377</v>
      </c>
      <c r="B324" s="27" t="s">
        <v>140</v>
      </c>
      <c r="C324" s="27" t="s">
        <v>156</v>
      </c>
      <c r="D324" s="9"/>
      <c r="E324" s="9"/>
      <c r="F324" s="9"/>
    </row>
    <row r="325" spans="1:6" x14ac:dyDescent="0.3">
      <c r="A325" s="26">
        <v>54382</v>
      </c>
      <c r="B325" s="27" t="s">
        <v>137</v>
      </c>
      <c r="C325" s="27" t="s">
        <v>158</v>
      </c>
      <c r="D325" s="9"/>
      <c r="E325" s="9"/>
      <c r="F325" s="9"/>
    </row>
    <row r="326" spans="1:6" x14ac:dyDescent="0.3">
      <c r="A326" s="26">
        <v>54417</v>
      </c>
      <c r="B326" s="27" t="s">
        <v>137</v>
      </c>
      <c r="C326" s="27" t="s">
        <v>160</v>
      </c>
      <c r="D326" s="9"/>
      <c r="E326" s="9"/>
      <c r="F326" s="9"/>
    </row>
    <row r="327" spans="1:6" x14ac:dyDescent="0.3">
      <c r="A327" s="26">
        <v>54424</v>
      </c>
      <c r="B327" s="27" t="s">
        <v>137</v>
      </c>
      <c r="C327" s="27" t="s">
        <v>131</v>
      </c>
      <c r="D327" s="9"/>
      <c r="E327" s="9"/>
      <c r="F327" s="9"/>
    </row>
    <row r="328" spans="1:6" x14ac:dyDescent="0.3">
      <c r="A328" s="26">
        <v>54483</v>
      </c>
      <c r="B328" s="27" t="s">
        <v>130</v>
      </c>
      <c r="C328" s="27" t="s">
        <v>133</v>
      </c>
      <c r="D328" s="9"/>
      <c r="E328" s="9"/>
      <c r="F328" s="9"/>
    </row>
    <row r="329" spans="1:6" x14ac:dyDescent="0.3">
      <c r="A329" s="26">
        <v>54484</v>
      </c>
      <c r="B329" s="27" t="s">
        <v>135</v>
      </c>
      <c r="C329" s="27" t="s">
        <v>133</v>
      </c>
      <c r="D329" s="9"/>
      <c r="E329" s="9"/>
      <c r="F329" s="9"/>
    </row>
    <row r="330" spans="1:6" x14ac:dyDescent="0.3">
      <c r="A330" s="26">
        <v>54529</v>
      </c>
      <c r="B330" s="27" t="s">
        <v>137</v>
      </c>
      <c r="C330" s="27" t="s">
        <v>138</v>
      </c>
      <c r="D330" s="9"/>
      <c r="E330" s="9"/>
      <c r="F330" s="9"/>
    </row>
    <row r="331" spans="1:6" x14ac:dyDescent="0.3">
      <c r="A331" s="26">
        <v>54534</v>
      </c>
      <c r="B331" s="27" t="s">
        <v>143</v>
      </c>
      <c r="C331" s="27" t="s">
        <v>141</v>
      </c>
      <c r="D331" s="9"/>
      <c r="E331" s="9"/>
      <c r="F331" s="9"/>
    </row>
    <row r="332" spans="1:6" x14ac:dyDescent="0.3">
      <c r="A332" s="26">
        <v>54544</v>
      </c>
      <c r="B332" s="27" t="s">
        <v>149</v>
      </c>
      <c r="C332" s="27" t="s">
        <v>144</v>
      </c>
      <c r="D332" s="9"/>
      <c r="E332" s="9"/>
      <c r="F332" s="9"/>
    </row>
    <row r="333" spans="1:6" x14ac:dyDescent="0.3">
      <c r="A333" s="26">
        <v>54591</v>
      </c>
      <c r="B333" s="27" t="s">
        <v>146</v>
      </c>
      <c r="C333" s="27" t="s">
        <v>147</v>
      </c>
      <c r="D333" s="9"/>
      <c r="E333" s="9"/>
      <c r="F333" s="9"/>
    </row>
    <row r="334" spans="1:6" x14ac:dyDescent="0.3">
      <c r="A334" s="26">
        <v>54673</v>
      </c>
      <c r="B334" s="27" t="s">
        <v>135</v>
      </c>
      <c r="C334" s="27" t="s">
        <v>150</v>
      </c>
      <c r="D334" s="9"/>
      <c r="E334" s="9"/>
      <c r="F334" s="9"/>
    </row>
    <row r="335" spans="1:6" x14ac:dyDescent="0.3">
      <c r="A335" s="26">
        <v>54708</v>
      </c>
      <c r="B335" s="27" t="s">
        <v>135</v>
      </c>
      <c r="C335" s="27" t="s">
        <v>152</v>
      </c>
      <c r="D335" s="9"/>
      <c r="E335" s="9"/>
      <c r="F335" s="9"/>
    </row>
    <row r="336" spans="1:6" x14ac:dyDescent="0.3">
      <c r="A336" s="26">
        <v>54729</v>
      </c>
      <c r="B336" s="27" t="s">
        <v>135</v>
      </c>
      <c r="C336" s="27" t="s">
        <v>154</v>
      </c>
      <c r="D336" s="9"/>
      <c r="E336" s="9"/>
      <c r="F336" s="9"/>
    </row>
    <row r="337" spans="1:6" x14ac:dyDescent="0.3">
      <c r="A337" s="26">
        <v>54742</v>
      </c>
      <c r="B337" s="27" t="s">
        <v>130</v>
      </c>
      <c r="C337" s="27" t="s">
        <v>156</v>
      </c>
      <c r="D337" s="9"/>
      <c r="E337" s="9"/>
      <c r="F337" s="9"/>
    </row>
    <row r="338" spans="1:6" x14ac:dyDescent="0.3">
      <c r="A338" s="26">
        <v>54747</v>
      </c>
      <c r="B338" s="27" t="s">
        <v>149</v>
      </c>
      <c r="C338" s="27" t="s">
        <v>158</v>
      </c>
      <c r="D338" s="9"/>
      <c r="E338" s="9"/>
      <c r="F338" s="9"/>
    </row>
    <row r="339" spans="1:6" x14ac:dyDescent="0.3">
      <c r="A339" s="26">
        <v>54782</v>
      </c>
      <c r="B339" s="27" t="s">
        <v>149</v>
      </c>
      <c r="C339" s="27" t="s">
        <v>160</v>
      </c>
      <c r="D339" s="9"/>
      <c r="E339" s="9"/>
      <c r="F339" s="9"/>
    </row>
    <row r="340" spans="1:6" x14ac:dyDescent="0.3">
      <c r="A340" s="26">
        <v>54789</v>
      </c>
      <c r="B340" s="27" t="s">
        <v>149</v>
      </c>
      <c r="C340" s="27" t="s">
        <v>131</v>
      </c>
      <c r="D340" s="9"/>
      <c r="E340" s="9"/>
      <c r="F340" s="9"/>
    </row>
    <row r="341" spans="1:6" x14ac:dyDescent="0.3">
      <c r="A341" s="26">
        <v>54840</v>
      </c>
      <c r="B341" s="27" t="s">
        <v>130</v>
      </c>
      <c r="C341" s="27" t="s">
        <v>133</v>
      </c>
      <c r="D341" s="9"/>
      <c r="E341" s="9"/>
      <c r="F341" s="9"/>
    </row>
    <row r="342" spans="1:6" x14ac:dyDescent="0.3">
      <c r="A342" s="26">
        <v>54841</v>
      </c>
      <c r="B342" s="27" t="s">
        <v>135</v>
      </c>
      <c r="C342" s="27" t="s">
        <v>133</v>
      </c>
      <c r="D342" s="9"/>
      <c r="E342" s="9"/>
      <c r="F342" s="9"/>
    </row>
    <row r="343" spans="1:6" x14ac:dyDescent="0.3">
      <c r="A343" s="26">
        <v>54886</v>
      </c>
      <c r="B343" s="27" t="s">
        <v>137</v>
      </c>
      <c r="C343" s="27" t="s">
        <v>138</v>
      </c>
      <c r="D343" s="9"/>
      <c r="E343" s="9"/>
      <c r="F343" s="9"/>
    </row>
    <row r="344" spans="1:6" x14ac:dyDescent="0.3">
      <c r="A344" s="26">
        <v>54899</v>
      </c>
      <c r="B344" s="27" t="s">
        <v>146</v>
      </c>
      <c r="C344" s="27" t="s">
        <v>141</v>
      </c>
      <c r="D344" s="9"/>
      <c r="E344" s="9"/>
      <c r="F344" s="9"/>
    </row>
    <row r="345" spans="1:6" x14ac:dyDescent="0.3">
      <c r="A345" s="26">
        <v>54909</v>
      </c>
      <c r="B345" s="27" t="s">
        <v>140</v>
      </c>
      <c r="C345" s="27" t="s">
        <v>144</v>
      </c>
      <c r="D345" s="9"/>
      <c r="E345" s="9"/>
      <c r="F345" s="9"/>
    </row>
    <row r="346" spans="1:6" x14ac:dyDescent="0.3">
      <c r="A346" s="26">
        <v>54948</v>
      </c>
      <c r="B346" s="27" t="s">
        <v>146</v>
      </c>
      <c r="C346" s="27" t="s">
        <v>147</v>
      </c>
      <c r="D346" s="9"/>
      <c r="E346" s="9"/>
      <c r="F346" s="9"/>
    </row>
    <row r="347" spans="1:6" x14ac:dyDescent="0.3">
      <c r="A347" s="26">
        <v>55038</v>
      </c>
      <c r="B347" s="27" t="s">
        <v>143</v>
      </c>
      <c r="C347" s="27" t="s">
        <v>150</v>
      </c>
      <c r="D347" s="9"/>
      <c r="E347" s="9"/>
      <c r="F347" s="9"/>
    </row>
    <row r="348" spans="1:6" x14ac:dyDescent="0.3">
      <c r="A348" s="26">
        <v>55073</v>
      </c>
      <c r="B348" s="27" t="s">
        <v>143</v>
      </c>
      <c r="C348" s="27" t="s">
        <v>152</v>
      </c>
      <c r="D348" s="9"/>
      <c r="E348" s="9"/>
      <c r="F348" s="9"/>
    </row>
    <row r="349" spans="1:6" x14ac:dyDescent="0.3">
      <c r="A349" s="26">
        <v>55094</v>
      </c>
      <c r="B349" s="27" t="s">
        <v>143</v>
      </c>
      <c r="C349" s="27" t="s">
        <v>154</v>
      </c>
      <c r="D349" s="9"/>
      <c r="E349" s="9"/>
      <c r="F349" s="9"/>
    </row>
    <row r="350" spans="1:6" x14ac:dyDescent="0.3">
      <c r="A350" s="26">
        <v>55107</v>
      </c>
      <c r="B350" s="27" t="s">
        <v>135</v>
      </c>
      <c r="C350" s="27" t="s">
        <v>156</v>
      </c>
      <c r="D350" s="9"/>
      <c r="E350" s="9"/>
      <c r="F350" s="9"/>
    </row>
    <row r="351" spans="1:6" x14ac:dyDescent="0.3">
      <c r="A351" s="26">
        <v>55112</v>
      </c>
      <c r="B351" s="27" t="s">
        <v>140</v>
      </c>
      <c r="C351" s="27" t="s">
        <v>158</v>
      </c>
      <c r="D351" s="9"/>
      <c r="E351" s="9"/>
      <c r="F351" s="9"/>
    </row>
    <row r="352" spans="1:6" x14ac:dyDescent="0.3">
      <c r="A352" s="26">
        <v>55147</v>
      </c>
      <c r="B352" s="27" t="s">
        <v>140</v>
      </c>
      <c r="C352" s="27" t="s">
        <v>160</v>
      </c>
      <c r="D352" s="9"/>
      <c r="E352" s="9"/>
      <c r="F352" s="9"/>
    </row>
    <row r="353" spans="1:6" x14ac:dyDescent="0.3">
      <c r="A353" s="26">
        <v>55154</v>
      </c>
      <c r="B353" s="27" t="s">
        <v>140</v>
      </c>
      <c r="C353" s="27" t="s">
        <v>131</v>
      </c>
      <c r="D353" s="9"/>
      <c r="E353" s="9"/>
      <c r="F353" s="9"/>
    </row>
    <row r="354" spans="1:6" x14ac:dyDescent="0.3">
      <c r="A354" s="26">
        <v>55197</v>
      </c>
      <c r="B354" s="27" t="s">
        <v>130</v>
      </c>
      <c r="C354" s="27" t="s">
        <v>133</v>
      </c>
      <c r="D354" s="9"/>
      <c r="E354" s="9"/>
      <c r="F354" s="9"/>
    </row>
    <row r="355" spans="1:6" x14ac:dyDescent="0.3">
      <c r="A355" s="26">
        <v>55198</v>
      </c>
      <c r="B355" s="27" t="s">
        <v>135</v>
      </c>
      <c r="C355" s="27" t="s">
        <v>133</v>
      </c>
      <c r="D355" s="9"/>
      <c r="E355" s="9"/>
      <c r="F355" s="9"/>
    </row>
    <row r="356" spans="1:6" x14ac:dyDescent="0.3">
      <c r="A356" s="26">
        <v>55243</v>
      </c>
      <c r="B356" s="27" t="s">
        <v>137</v>
      </c>
      <c r="C356" s="27" t="s">
        <v>138</v>
      </c>
      <c r="D356" s="9"/>
      <c r="E356" s="9"/>
      <c r="F356" s="9"/>
    </row>
    <row r="357" spans="1:6" x14ac:dyDescent="0.3">
      <c r="A357" s="26">
        <v>55264</v>
      </c>
      <c r="B357" s="27" t="s">
        <v>137</v>
      </c>
      <c r="C357" s="27" t="s">
        <v>141</v>
      </c>
      <c r="D357" s="9"/>
      <c r="E357" s="9"/>
      <c r="F357" s="9"/>
    </row>
    <row r="358" spans="1:6" x14ac:dyDescent="0.3">
      <c r="A358" s="26">
        <v>55274</v>
      </c>
      <c r="B358" s="27" t="s">
        <v>130</v>
      </c>
      <c r="C358" s="27" t="s">
        <v>144</v>
      </c>
      <c r="D358" s="9"/>
      <c r="E358" s="9"/>
      <c r="F358" s="9"/>
    </row>
    <row r="359" spans="1:6" x14ac:dyDescent="0.3">
      <c r="A359" s="26">
        <v>55305</v>
      </c>
      <c r="B359" s="27" t="s">
        <v>146</v>
      </c>
      <c r="C359" s="27" t="s">
        <v>147</v>
      </c>
      <c r="D359" s="9"/>
      <c r="E359" s="9"/>
      <c r="F359" s="9"/>
    </row>
    <row r="360" spans="1:6" x14ac:dyDescent="0.3">
      <c r="A360" s="26">
        <v>55403</v>
      </c>
      <c r="B360" s="27" t="s">
        <v>146</v>
      </c>
      <c r="C360" s="27" t="s">
        <v>150</v>
      </c>
      <c r="D360" s="9"/>
      <c r="E360" s="9"/>
      <c r="F360" s="9"/>
    </row>
    <row r="361" spans="1:6" x14ac:dyDescent="0.3">
      <c r="A361" s="26">
        <v>55438</v>
      </c>
      <c r="B361" s="27" t="s">
        <v>146</v>
      </c>
      <c r="C361" s="27" t="s">
        <v>152</v>
      </c>
      <c r="D361" s="9"/>
      <c r="E361" s="9"/>
      <c r="F361" s="9"/>
    </row>
    <row r="362" spans="1:6" x14ac:dyDescent="0.3">
      <c r="A362" s="26">
        <v>55459</v>
      </c>
      <c r="B362" s="27" t="s">
        <v>146</v>
      </c>
      <c r="C362" s="27" t="s">
        <v>154</v>
      </c>
      <c r="D362" s="9"/>
      <c r="E362" s="9"/>
      <c r="F362" s="9"/>
    </row>
    <row r="363" spans="1:6" x14ac:dyDescent="0.3">
      <c r="A363" s="26">
        <v>55472</v>
      </c>
      <c r="B363" s="27" t="s">
        <v>143</v>
      </c>
      <c r="C363" s="27" t="s">
        <v>156</v>
      </c>
      <c r="D363" s="9"/>
      <c r="E363" s="9"/>
      <c r="F363" s="9"/>
    </row>
    <row r="364" spans="1:6" x14ac:dyDescent="0.3">
      <c r="A364" s="26">
        <v>55477</v>
      </c>
      <c r="B364" s="27" t="s">
        <v>130</v>
      </c>
      <c r="C364" s="27" t="s">
        <v>158</v>
      </c>
      <c r="D364" s="9"/>
      <c r="E364" s="9"/>
      <c r="F364" s="9"/>
    </row>
    <row r="365" spans="1:6" x14ac:dyDescent="0.3">
      <c r="A365" s="26">
        <v>55512</v>
      </c>
      <c r="B365" s="27" t="s">
        <v>130</v>
      </c>
      <c r="C365" s="27" t="s">
        <v>160</v>
      </c>
      <c r="D365" s="9"/>
      <c r="E365" s="9"/>
      <c r="F365" s="9"/>
    </row>
    <row r="366" spans="1:6" x14ac:dyDescent="0.3">
      <c r="A366" s="26">
        <v>55519</v>
      </c>
      <c r="B366" s="27" t="s">
        <v>130</v>
      </c>
      <c r="C366" s="27" t="s">
        <v>131</v>
      </c>
      <c r="D366" s="9"/>
      <c r="E366" s="9"/>
      <c r="F366" s="9"/>
    </row>
    <row r="367" spans="1:6" x14ac:dyDescent="0.3">
      <c r="A367" s="26">
        <v>55582</v>
      </c>
      <c r="B367" s="27" t="s">
        <v>130</v>
      </c>
      <c r="C367" s="27" t="s">
        <v>133</v>
      </c>
      <c r="D367" s="9"/>
      <c r="E367" s="9"/>
      <c r="F367" s="9"/>
    </row>
    <row r="368" spans="1:6" x14ac:dyDescent="0.3">
      <c r="A368" s="26">
        <v>55583</v>
      </c>
      <c r="B368" s="27" t="s">
        <v>135</v>
      </c>
      <c r="C368" s="27" t="s">
        <v>133</v>
      </c>
      <c r="D368" s="9"/>
      <c r="E368" s="9"/>
      <c r="F368" s="9"/>
    </row>
    <row r="369" spans="1:6" x14ac:dyDescent="0.3">
      <c r="A369" s="26">
        <v>55628</v>
      </c>
      <c r="B369" s="27" t="s">
        <v>137</v>
      </c>
      <c r="C369" s="27" t="s">
        <v>138</v>
      </c>
      <c r="D369" s="9"/>
      <c r="E369" s="9"/>
      <c r="F369" s="9"/>
    </row>
    <row r="370" spans="1:6" x14ac:dyDescent="0.3">
      <c r="A370" s="26">
        <v>55630</v>
      </c>
      <c r="B370" s="27" t="s">
        <v>140</v>
      </c>
      <c r="C370" s="27" t="s">
        <v>141</v>
      </c>
      <c r="D370" s="9"/>
      <c r="E370" s="9"/>
      <c r="F370" s="9"/>
    </row>
    <row r="371" spans="1:6" x14ac:dyDescent="0.3">
      <c r="A371" s="26">
        <v>55640</v>
      </c>
      <c r="B371" s="27" t="s">
        <v>143</v>
      </c>
      <c r="C371" s="27" t="s">
        <v>144</v>
      </c>
      <c r="D371" s="9"/>
      <c r="E371" s="9"/>
      <c r="F371" s="9"/>
    </row>
    <row r="372" spans="1:6" x14ac:dyDescent="0.3">
      <c r="A372" s="26">
        <v>55690</v>
      </c>
      <c r="B372" s="27" t="s">
        <v>146</v>
      </c>
      <c r="C372" s="27" t="s">
        <v>147</v>
      </c>
      <c r="D372" s="9"/>
      <c r="E372" s="9"/>
      <c r="F372" s="9"/>
    </row>
    <row r="373" spans="1:6" x14ac:dyDescent="0.3">
      <c r="A373" s="26">
        <v>55769</v>
      </c>
      <c r="B373" s="27" t="s">
        <v>149</v>
      </c>
      <c r="C373" s="27" t="s">
        <v>150</v>
      </c>
      <c r="D373" s="9"/>
      <c r="E373" s="9"/>
      <c r="F373" s="9"/>
    </row>
    <row r="374" spans="1:6" x14ac:dyDescent="0.3">
      <c r="A374" s="26">
        <v>55804</v>
      </c>
      <c r="B374" s="27" t="s">
        <v>149</v>
      </c>
      <c r="C374" s="27" t="s">
        <v>152</v>
      </c>
      <c r="D374" s="9"/>
      <c r="E374" s="9"/>
      <c r="F374" s="9"/>
    </row>
    <row r="375" spans="1:6" x14ac:dyDescent="0.3">
      <c r="A375" s="26">
        <v>55825</v>
      </c>
      <c r="B375" s="27" t="s">
        <v>149</v>
      </c>
      <c r="C375" s="27" t="s">
        <v>154</v>
      </c>
      <c r="D375" s="9"/>
      <c r="E375" s="9"/>
      <c r="F375" s="9"/>
    </row>
    <row r="376" spans="1:6" x14ac:dyDescent="0.3">
      <c r="A376" s="26">
        <v>55838</v>
      </c>
      <c r="B376" s="27" t="s">
        <v>137</v>
      </c>
      <c r="C376" s="27" t="s">
        <v>156</v>
      </c>
      <c r="D376" s="9"/>
      <c r="E376" s="9"/>
      <c r="F376" s="9"/>
    </row>
    <row r="377" spans="1:6" x14ac:dyDescent="0.3">
      <c r="A377" s="26">
        <v>55843</v>
      </c>
      <c r="B377" s="27" t="s">
        <v>143</v>
      </c>
      <c r="C377" s="27" t="s">
        <v>158</v>
      </c>
      <c r="D377" s="9"/>
      <c r="E377" s="9"/>
      <c r="F377" s="9"/>
    </row>
    <row r="378" spans="1:6" x14ac:dyDescent="0.3">
      <c r="A378" s="26">
        <v>55878</v>
      </c>
      <c r="B378" s="27" t="s">
        <v>143</v>
      </c>
      <c r="C378" s="27" t="s">
        <v>160</v>
      </c>
      <c r="D378" s="9"/>
      <c r="E378" s="9"/>
      <c r="F378" s="9"/>
    </row>
    <row r="379" spans="1:6" x14ac:dyDescent="0.3">
      <c r="A379" s="26">
        <v>55885</v>
      </c>
      <c r="B379" s="27" t="s">
        <v>143</v>
      </c>
      <c r="C379" s="27" t="s">
        <v>131</v>
      </c>
      <c r="D379" s="9"/>
      <c r="E379" s="9"/>
      <c r="F379" s="9"/>
    </row>
    <row r="380" spans="1:6" x14ac:dyDescent="0.3">
      <c r="A380" s="26">
        <v>55932</v>
      </c>
      <c r="B380" s="27" t="s">
        <v>130</v>
      </c>
      <c r="C380" s="27" t="s">
        <v>133</v>
      </c>
      <c r="D380" s="9"/>
      <c r="E380" s="9"/>
      <c r="F380" s="9"/>
    </row>
    <row r="381" spans="1:6" x14ac:dyDescent="0.3">
      <c r="A381" s="26">
        <v>55933</v>
      </c>
      <c r="B381" s="27" t="s">
        <v>135</v>
      </c>
      <c r="C381" s="27" t="s">
        <v>133</v>
      </c>
      <c r="D381" s="9"/>
      <c r="E381" s="9"/>
      <c r="F381" s="9"/>
    </row>
    <row r="382" spans="1:6" x14ac:dyDescent="0.3">
      <c r="A382" s="26">
        <v>55978</v>
      </c>
      <c r="B382" s="27" t="s">
        <v>137</v>
      </c>
      <c r="C382" s="27" t="s">
        <v>138</v>
      </c>
      <c r="D382" s="9"/>
      <c r="E382" s="9"/>
      <c r="F382" s="9"/>
    </row>
    <row r="383" spans="1:6" x14ac:dyDescent="0.3">
      <c r="A383" s="26">
        <v>55995</v>
      </c>
      <c r="B383" s="27" t="s">
        <v>130</v>
      </c>
      <c r="C383" s="27" t="s">
        <v>141</v>
      </c>
      <c r="D383" s="9"/>
      <c r="E383" s="9"/>
      <c r="F383" s="9"/>
    </row>
    <row r="384" spans="1:6" x14ac:dyDescent="0.3">
      <c r="A384" s="26">
        <v>56005</v>
      </c>
      <c r="B384" s="27" t="s">
        <v>146</v>
      </c>
      <c r="C384" s="27" t="s">
        <v>144</v>
      </c>
      <c r="D384" s="9"/>
      <c r="E384" s="9"/>
      <c r="F384" s="9"/>
    </row>
    <row r="385" spans="1:6" x14ac:dyDescent="0.3">
      <c r="A385" s="26">
        <v>56040</v>
      </c>
      <c r="B385" s="27" t="s">
        <v>146</v>
      </c>
      <c r="C385" s="27" t="s">
        <v>147</v>
      </c>
      <c r="D385" s="9"/>
      <c r="E385" s="9"/>
      <c r="F385" s="9"/>
    </row>
    <row r="386" spans="1:6" x14ac:dyDescent="0.3">
      <c r="A386" s="26">
        <v>56134</v>
      </c>
      <c r="B386" s="27" t="s">
        <v>140</v>
      </c>
      <c r="C386" s="27" t="s">
        <v>150</v>
      </c>
      <c r="D386" s="9"/>
      <c r="E386" s="9"/>
      <c r="F386" s="9"/>
    </row>
    <row r="387" spans="1:6" x14ac:dyDescent="0.3">
      <c r="A387" s="26">
        <v>56169</v>
      </c>
      <c r="B387" s="27" t="s">
        <v>140</v>
      </c>
      <c r="C387" s="27" t="s">
        <v>152</v>
      </c>
      <c r="D387" s="9"/>
      <c r="E387" s="9"/>
      <c r="F387" s="9"/>
    </row>
    <row r="388" spans="1:6" x14ac:dyDescent="0.3">
      <c r="A388" s="26">
        <v>56190</v>
      </c>
      <c r="B388" s="27" t="s">
        <v>140</v>
      </c>
      <c r="C388" s="27" t="s">
        <v>154</v>
      </c>
      <c r="D388" s="9"/>
      <c r="E388" s="9"/>
      <c r="F388" s="9"/>
    </row>
    <row r="389" spans="1:6" x14ac:dyDescent="0.3">
      <c r="A389" s="26">
        <v>56203</v>
      </c>
      <c r="B389" s="27" t="s">
        <v>149</v>
      </c>
      <c r="C389" s="27" t="s">
        <v>156</v>
      </c>
      <c r="D389" s="9"/>
      <c r="E389" s="9"/>
      <c r="F389" s="9"/>
    </row>
    <row r="390" spans="1:6" x14ac:dyDescent="0.3">
      <c r="A390" s="26">
        <v>56208</v>
      </c>
      <c r="B390" s="27" t="s">
        <v>146</v>
      </c>
      <c r="C390" s="27" t="s">
        <v>158</v>
      </c>
      <c r="D390" s="9"/>
      <c r="E390" s="9"/>
      <c r="F390" s="9"/>
    </row>
    <row r="391" spans="1:6" x14ac:dyDescent="0.3">
      <c r="A391" s="26">
        <v>56243</v>
      </c>
      <c r="B391" s="27" t="s">
        <v>146</v>
      </c>
      <c r="C391" s="27" t="s">
        <v>160</v>
      </c>
      <c r="D391" s="9"/>
      <c r="E391" s="9"/>
      <c r="F391" s="9"/>
    </row>
    <row r="392" spans="1:6" x14ac:dyDescent="0.3">
      <c r="A392" s="26">
        <v>56250</v>
      </c>
      <c r="B392" s="27" t="s">
        <v>146</v>
      </c>
      <c r="C392" s="27" t="s">
        <v>131</v>
      </c>
      <c r="D392" s="9"/>
      <c r="E392" s="9"/>
      <c r="F392" s="9"/>
    </row>
    <row r="393" spans="1:6" x14ac:dyDescent="0.3">
      <c r="A393" s="26">
        <v>56289</v>
      </c>
      <c r="B393" s="27" t="s">
        <v>130</v>
      </c>
      <c r="C393" s="27" t="s">
        <v>133</v>
      </c>
      <c r="D393" s="9"/>
      <c r="E393" s="9"/>
      <c r="F393" s="9"/>
    </row>
    <row r="394" spans="1:6" x14ac:dyDescent="0.3">
      <c r="A394" s="26">
        <v>56290</v>
      </c>
      <c r="B394" s="27" t="s">
        <v>135</v>
      </c>
      <c r="C394" s="27" t="s">
        <v>133</v>
      </c>
      <c r="D394" s="9"/>
      <c r="E394" s="9"/>
      <c r="F394" s="9"/>
    </row>
    <row r="395" spans="1:6" x14ac:dyDescent="0.3">
      <c r="A395" s="26">
        <v>56335</v>
      </c>
      <c r="B395" s="27" t="s">
        <v>137</v>
      </c>
      <c r="C395" s="27" t="s">
        <v>138</v>
      </c>
      <c r="D395" s="9"/>
      <c r="E395" s="9"/>
      <c r="F395" s="9"/>
    </row>
    <row r="396" spans="1:6" x14ac:dyDescent="0.3">
      <c r="A396" s="26">
        <v>56360</v>
      </c>
      <c r="B396" s="27" t="s">
        <v>135</v>
      </c>
      <c r="C396" s="27" t="s">
        <v>141</v>
      </c>
      <c r="D396" s="9"/>
      <c r="E396" s="9"/>
      <c r="F396" s="9"/>
    </row>
    <row r="397" spans="1:6" x14ac:dyDescent="0.3">
      <c r="A397" s="26">
        <v>56370</v>
      </c>
      <c r="B397" s="27" t="s">
        <v>137</v>
      </c>
      <c r="C397" s="27" t="s">
        <v>144</v>
      </c>
      <c r="D397" s="9"/>
      <c r="E397" s="9"/>
      <c r="F397" s="9"/>
    </row>
    <row r="398" spans="1:6" x14ac:dyDescent="0.3">
      <c r="A398" s="26">
        <v>56397</v>
      </c>
      <c r="B398" s="27" t="s">
        <v>146</v>
      </c>
      <c r="C398" s="27" t="s">
        <v>147</v>
      </c>
      <c r="D398" s="9"/>
      <c r="E398" s="9"/>
      <c r="F398" s="9"/>
    </row>
    <row r="399" spans="1:6" x14ac:dyDescent="0.3">
      <c r="A399" s="26">
        <v>56499</v>
      </c>
      <c r="B399" s="27" t="s">
        <v>130</v>
      </c>
      <c r="C399" s="27" t="s">
        <v>150</v>
      </c>
      <c r="D399" s="9"/>
      <c r="E399" s="9"/>
      <c r="F399" s="9"/>
    </row>
    <row r="400" spans="1:6" x14ac:dyDescent="0.3">
      <c r="A400" s="26">
        <v>56534</v>
      </c>
      <c r="B400" s="27" t="s">
        <v>130</v>
      </c>
      <c r="C400" s="27" t="s">
        <v>152</v>
      </c>
      <c r="D400" s="9"/>
      <c r="E400" s="9"/>
      <c r="F400" s="9"/>
    </row>
    <row r="401" spans="1:6" x14ac:dyDescent="0.3">
      <c r="A401" s="26">
        <v>56555</v>
      </c>
      <c r="B401" s="27" t="s">
        <v>130</v>
      </c>
      <c r="C401" s="27" t="s">
        <v>154</v>
      </c>
      <c r="D401" s="9"/>
      <c r="E401" s="9"/>
      <c r="F401" s="9"/>
    </row>
    <row r="402" spans="1:6" x14ac:dyDescent="0.3">
      <c r="A402" s="26">
        <v>56568</v>
      </c>
      <c r="B402" s="27" t="s">
        <v>140</v>
      </c>
      <c r="C402" s="27" t="s">
        <v>156</v>
      </c>
      <c r="D402" s="9"/>
      <c r="E402" s="9"/>
      <c r="F402" s="9"/>
    </row>
    <row r="403" spans="1:6" x14ac:dyDescent="0.3">
      <c r="A403" s="26">
        <v>56573</v>
      </c>
      <c r="B403" s="27" t="s">
        <v>137</v>
      </c>
      <c r="C403" s="27" t="s">
        <v>158</v>
      </c>
      <c r="D403" s="9"/>
      <c r="E403" s="9"/>
      <c r="F403" s="9"/>
    </row>
    <row r="404" spans="1:6" x14ac:dyDescent="0.3">
      <c r="A404" s="26">
        <v>56608</v>
      </c>
      <c r="B404" s="27" t="s">
        <v>137</v>
      </c>
      <c r="C404" s="27" t="s">
        <v>160</v>
      </c>
      <c r="D404" s="9"/>
      <c r="E404" s="9"/>
      <c r="F404" s="9"/>
    </row>
    <row r="405" spans="1:6" x14ac:dyDescent="0.3">
      <c r="A405" s="26">
        <v>56615</v>
      </c>
      <c r="B405" s="27" t="s">
        <v>137</v>
      </c>
      <c r="C405" s="27" t="s">
        <v>131</v>
      </c>
      <c r="D405" s="9"/>
      <c r="E405" s="9"/>
      <c r="F405" s="9"/>
    </row>
    <row r="406" spans="1:6" x14ac:dyDescent="0.3">
      <c r="A406" s="26">
        <v>56674</v>
      </c>
      <c r="B406" s="27" t="s">
        <v>130</v>
      </c>
      <c r="C406" s="27" t="s">
        <v>133</v>
      </c>
      <c r="D406" s="9"/>
      <c r="E406" s="9"/>
      <c r="F406" s="9"/>
    </row>
    <row r="407" spans="1:6" x14ac:dyDescent="0.3">
      <c r="A407" s="26">
        <v>56675</v>
      </c>
      <c r="B407" s="27" t="s">
        <v>135</v>
      </c>
      <c r="C407" s="27" t="s">
        <v>133</v>
      </c>
      <c r="D407" s="9"/>
      <c r="E407" s="9"/>
      <c r="F407" s="9"/>
    </row>
    <row r="408" spans="1:6" x14ac:dyDescent="0.3">
      <c r="A408" s="26">
        <v>56720</v>
      </c>
      <c r="B408" s="27" t="s">
        <v>137</v>
      </c>
      <c r="C408" s="27" t="s">
        <v>138</v>
      </c>
      <c r="D408" s="9"/>
      <c r="E408" s="9"/>
      <c r="F408" s="9"/>
    </row>
    <row r="409" spans="1:6" x14ac:dyDescent="0.3">
      <c r="A409" s="26">
        <v>56725</v>
      </c>
      <c r="B409" s="27" t="s">
        <v>143</v>
      </c>
      <c r="C409" s="27" t="s">
        <v>141</v>
      </c>
      <c r="D409" s="9"/>
      <c r="E409" s="9"/>
      <c r="F409" s="9"/>
    </row>
    <row r="410" spans="1:6" x14ac:dyDescent="0.3">
      <c r="A410" s="26">
        <v>56735</v>
      </c>
      <c r="B410" s="27" t="s">
        <v>149</v>
      </c>
      <c r="C410" s="27" t="s">
        <v>144</v>
      </c>
      <c r="D410" s="9"/>
      <c r="E410" s="9"/>
      <c r="F410" s="9"/>
    </row>
    <row r="411" spans="1:6" x14ac:dyDescent="0.3">
      <c r="A411" s="26">
        <v>56782</v>
      </c>
      <c r="B411" s="27" t="s">
        <v>146</v>
      </c>
      <c r="C411" s="27" t="s">
        <v>147</v>
      </c>
      <c r="D411" s="9"/>
      <c r="E411" s="9"/>
      <c r="F411" s="9"/>
    </row>
    <row r="412" spans="1:6" x14ac:dyDescent="0.3">
      <c r="A412" s="26">
        <v>56864</v>
      </c>
      <c r="B412" s="27" t="s">
        <v>135</v>
      </c>
      <c r="C412" s="27" t="s">
        <v>150</v>
      </c>
      <c r="D412" s="9"/>
      <c r="E412" s="9"/>
      <c r="F412" s="9"/>
    </row>
    <row r="413" spans="1:6" x14ac:dyDescent="0.3">
      <c r="A413" s="26">
        <v>56899</v>
      </c>
      <c r="B413" s="27" t="s">
        <v>135</v>
      </c>
      <c r="C413" s="27" t="s">
        <v>152</v>
      </c>
      <c r="D413" s="9"/>
      <c r="E413" s="9"/>
      <c r="F413" s="9"/>
    </row>
    <row r="414" spans="1:6" x14ac:dyDescent="0.3">
      <c r="A414" s="26">
        <v>56920</v>
      </c>
      <c r="B414" s="27" t="s">
        <v>135</v>
      </c>
      <c r="C414" s="27" t="s">
        <v>154</v>
      </c>
      <c r="D414" s="9"/>
      <c r="E414" s="9"/>
      <c r="F414" s="9"/>
    </row>
    <row r="415" spans="1:6" x14ac:dyDescent="0.3">
      <c r="A415" s="26">
        <v>56933</v>
      </c>
      <c r="B415" s="27" t="s">
        <v>130</v>
      </c>
      <c r="C415" s="27" t="s">
        <v>156</v>
      </c>
      <c r="D415" s="9"/>
      <c r="E415" s="9"/>
      <c r="F415" s="9"/>
    </row>
    <row r="416" spans="1:6" x14ac:dyDescent="0.3">
      <c r="A416" s="26">
        <v>56938</v>
      </c>
      <c r="B416" s="27" t="s">
        <v>149</v>
      </c>
      <c r="C416" s="27" t="s">
        <v>158</v>
      </c>
      <c r="D416" s="9"/>
      <c r="E416" s="9"/>
      <c r="F416" s="9"/>
    </row>
    <row r="417" spans="1:6" x14ac:dyDescent="0.3">
      <c r="A417" s="26">
        <v>56973</v>
      </c>
      <c r="B417" s="27" t="s">
        <v>149</v>
      </c>
      <c r="C417" s="27" t="s">
        <v>160</v>
      </c>
      <c r="D417" s="9"/>
      <c r="E417" s="9"/>
      <c r="F417" s="9"/>
    </row>
    <row r="418" spans="1:6" x14ac:dyDescent="0.3">
      <c r="A418" s="26">
        <v>56980</v>
      </c>
      <c r="B418" s="27" t="s">
        <v>149</v>
      </c>
      <c r="C418" s="27" t="s">
        <v>131</v>
      </c>
      <c r="D418" s="9"/>
      <c r="E418" s="9"/>
      <c r="F418" s="9"/>
    </row>
    <row r="419" spans="1:6" x14ac:dyDescent="0.3">
      <c r="A419" s="26">
        <v>57024</v>
      </c>
      <c r="B419" s="27" t="s">
        <v>130</v>
      </c>
      <c r="C419" s="27" t="s">
        <v>133</v>
      </c>
      <c r="D419" s="9"/>
      <c r="E419" s="9"/>
      <c r="F419" s="9"/>
    </row>
    <row r="420" spans="1:6" x14ac:dyDescent="0.3">
      <c r="A420" s="26">
        <v>57025</v>
      </c>
      <c r="B420" s="27" t="s">
        <v>135</v>
      </c>
      <c r="C420" s="27" t="s">
        <v>133</v>
      </c>
      <c r="D420" s="9"/>
      <c r="E420" s="9"/>
      <c r="F420" s="9"/>
    </row>
    <row r="421" spans="1:6" x14ac:dyDescent="0.3">
      <c r="A421" s="26">
        <v>57070</v>
      </c>
      <c r="B421" s="27" t="s">
        <v>137</v>
      </c>
      <c r="C421" s="27" t="s">
        <v>138</v>
      </c>
      <c r="D421" s="9"/>
      <c r="E421" s="9"/>
      <c r="F421" s="9"/>
    </row>
    <row r="422" spans="1:6" x14ac:dyDescent="0.3">
      <c r="A422" s="26">
        <v>57091</v>
      </c>
      <c r="B422" s="27" t="s">
        <v>137</v>
      </c>
      <c r="C422" s="27" t="s">
        <v>141</v>
      </c>
      <c r="D422" s="9"/>
      <c r="E422" s="9"/>
      <c r="F422" s="9"/>
    </row>
    <row r="423" spans="1:6" x14ac:dyDescent="0.3">
      <c r="A423" s="26">
        <v>57101</v>
      </c>
      <c r="B423" s="27" t="s">
        <v>130</v>
      </c>
      <c r="C423" s="27" t="s">
        <v>144</v>
      </c>
      <c r="D423" s="9"/>
      <c r="E423" s="9"/>
      <c r="F423" s="9"/>
    </row>
    <row r="424" spans="1:6" x14ac:dyDescent="0.3">
      <c r="A424" s="26">
        <v>57132</v>
      </c>
      <c r="B424" s="27" t="s">
        <v>146</v>
      </c>
      <c r="C424" s="27" t="s">
        <v>147</v>
      </c>
      <c r="D424" s="9"/>
      <c r="E424" s="9"/>
      <c r="F424" s="9"/>
    </row>
    <row r="425" spans="1:6" x14ac:dyDescent="0.3">
      <c r="A425" s="26">
        <v>57230</v>
      </c>
      <c r="B425" s="27" t="s">
        <v>146</v>
      </c>
      <c r="C425" s="27" t="s">
        <v>150</v>
      </c>
      <c r="D425" s="9"/>
      <c r="E425" s="9"/>
      <c r="F425" s="9"/>
    </row>
    <row r="426" spans="1:6" x14ac:dyDescent="0.3">
      <c r="A426" s="26">
        <v>57265</v>
      </c>
      <c r="B426" s="27" t="s">
        <v>146</v>
      </c>
      <c r="C426" s="27" t="s">
        <v>152</v>
      </c>
      <c r="D426" s="9"/>
      <c r="E426" s="9"/>
      <c r="F426" s="9"/>
    </row>
    <row r="427" spans="1:6" x14ac:dyDescent="0.3">
      <c r="A427" s="26">
        <v>57286</v>
      </c>
      <c r="B427" s="27" t="s">
        <v>146</v>
      </c>
      <c r="C427" s="27" t="s">
        <v>154</v>
      </c>
      <c r="D427" s="9"/>
      <c r="E427" s="9"/>
      <c r="F427" s="9"/>
    </row>
    <row r="428" spans="1:6" x14ac:dyDescent="0.3">
      <c r="A428" s="26">
        <v>57299</v>
      </c>
      <c r="B428" s="27" t="s">
        <v>143</v>
      </c>
      <c r="C428" s="27" t="s">
        <v>156</v>
      </c>
      <c r="D428" s="9"/>
      <c r="E428" s="9"/>
      <c r="F428" s="9"/>
    </row>
    <row r="429" spans="1:6" x14ac:dyDescent="0.3">
      <c r="A429" s="26">
        <v>57304</v>
      </c>
      <c r="B429" s="27" t="s">
        <v>130</v>
      </c>
      <c r="C429" s="27" t="s">
        <v>158</v>
      </c>
      <c r="D429" s="9"/>
      <c r="E429" s="9"/>
      <c r="F429" s="9"/>
    </row>
    <row r="430" spans="1:6" x14ac:dyDescent="0.3">
      <c r="A430" s="26">
        <v>57339</v>
      </c>
      <c r="B430" s="27" t="s">
        <v>130</v>
      </c>
      <c r="C430" s="27" t="s">
        <v>160</v>
      </c>
      <c r="D430" s="9"/>
      <c r="E430" s="9"/>
      <c r="F430" s="9"/>
    </row>
    <row r="431" spans="1:6" x14ac:dyDescent="0.3">
      <c r="A431" s="26">
        <v>57346</v>
      </c>
      <c r="B431" s="27" t="s">
        <v>130</v>
      </c>
      <c r="C431" s="27" t="s">
        <v>131</v>
      </c>
      <c r="D431" s="9"/>
      <c r="E431" s="9"/>
      <c r="F431" s="9"/>
    </row>
    <row r="432" spans="1:6" x14ac:dyDescent="0.3">
      <c r="A432" s="26">
        <v>57409</v>
      </c>
      <c r="B432" s="27" t="s">
        <v>130</v>
      </c>
      <c r="C432" s="27" t="s">
        <v>133</v>
      </c>
      <c r="D432" s="9"/>
      <c r="E432" s="9"/>
      <c r="F432" s="9"/>
    </row>
    <row r="433" spans="1:6" x14ac:dyDescent="0.3">
      <c r="A433" s="26">
        <v>57410</v>
      </c>
      <c r="B433" s="27" t="s">
        <v>135</v>
      </c>
      <c r="C433" s="27" t="s">
        <v>133</v>
      </c>
      <c r="D433" s="9"/>
      <c r="E433" s="9"/>
      <c r="F433" s="9"/>
    </row>
    <row r="434" spans="1:6" x14ac:dyDescent="0.3">
      <c r="A434" s="26">
        <v>57455</v>
      </c>
      <c r="B434" s="27" t="s">
        <v>137</v>
      </c>
      <c r="C434" s="27" t="s">
        <v>138</v>
      </c>
      <c r="D434" s="9"/>
      <c r="E434" s="9"/>
      <c r="F434" s="9"/>
    </row>
    <row r="435" spans="1:6" x14ac:dyDescent="0.3">
      <c r="A435" s="26">
        <v>57456</v>
      </c>
      <c r="B435" s="27" t="s">
        <v>149</v>
      </c>
      <c r="C435" s="27" t="s">
        <v>141</v>
      </c>
      <c r="D435" s="9"/>
      <c r="E435" s="9"/>
      <c r="F435" s="9"/>
    </row>
    <row r="436" spans="1:6" x14ac:dyDescent="0.3">
      <c r="A436" s="26">
        <v>57466</v>
      </c>
      <c r="B436" s="27" t="s">
        <v>135</v>
      </c>
      <c r="C436" s="27" t="s">
        <v>144</v>
      </c>
      <c r="D436" s="9"/>
      <c r="E436" s="9"/>
      <c r="F436" s="9"/>
    </row>
    <row r="437" spans="1:6" x14ac:dyDescent="0.3">
      <c r="A437" s="26">
        <v>57517</v>
      </c>
      <c r="B437" s="27" t="s">
        <v>146</v>
      </c>
      <c r="C437" s="27" t="s">
        <v>147</v>
      </c>
      <c r="D437" s="9"/>
      <c r="E437" s="9"/>
      <c r="F437" s="9"/>
    </row>
    <row r="438" spans="1:6" x14ac:dyDescent="0.3">
      <c r="A438" s="26">
        <v>57595</v>
      </c>
      <c r="B438" s="27" t="s">
        <v>137</v>
      </c>
      <c r="C438" s="27" t="s">
        <v>150</v>
      </c>
      <c r="D438" s="9"/>
      <c r="E438" s="9"/>
      <c r="F438" s="9"/>
    </row>
    <row r="439" spans="1:6" x14ac:dyDescent="0.3">
      <c r="A439" s="26">
        <v>57630</v>
      </c>
      <c r="B439" s="27" t="s">
        <v>137</v>
      </c>
      <c r="C439" s="27" t="s">
        <v>152</v>
      </c>
      <c r="D439" s="9"/>
      <c r="E439" s="9"/>
      <c r="F439" s="9"/>
    </row>
    <row r="440" spans="1:6" x14ac:dyDescent="0.3">
      <c r="A440" s="26">
        <v>57651</v>
      </c>
      <c r="B440" s="27" t="s">
        <v>137</v>
      </c>
      <c r="C440" s="27" t="s">
        <v>154</v>
      </c>
      <c r="D440" s="9"/>
      <c r="E440" s="9"/>
      <c r="F440" s="9"/>
    </row>
    <row r="441" spans="1:6" x14ac:dyDescent="0.3">
      <c r="A441" s="26">
        <v>57664</v>
      </c>
      <c r="B441" s="27" t="s">
        <v>146</v>
      </c>
      <c r="C441" s="27" t="s">
        <v>156</v>
      </c>
      <c r="D441" s="9"/>
      <c r="E441" s="9"/>
      <c r="F441" s="9"/>
    </row>
    <row r="442" spans="1:6" x14ac:dyDescent="0.3">
      <c r="A442" s="26">
        <v>57669</v>
      </c>
      <c r="B442" s="27" t="s">
        <v>135</v>
      </c>
      <c r="C442" s="27" t="s">
        <v>158</v>
      </c>
      <c r="D442" s="9"/>
      <c r="E442" s="9"/>
      <c r="F442" s="9"/>
    </row>
    <row r="443" spans="1:6" x14ac:dyDescent="0.3">
      <c r="A443" s="26">
        <v>57704</v>
      </c>
      <c r="B443" s="27" t="s">
        <v>135</v>
      </c>
      <c r="C443" s="27" t="s">
        <v>160</v>
      </c>
      <c r="D443" s="9"/>
      <c r="E443" s="9"/>
      <c r="F443" s="9"/>
    </row>
    <row r="444" spans="1:6" x14ac:dyDescent="0.3">
      <c r="A444" s="26">
        <v>57711</v>
      </c>
      <c r="B444" s="27" t="s">
        <v>135</v>
      </c>
      <c r="C444" s="27" t="s">
        <v>131</v>
      </c>
      <c r="D444" s="9"/>
      <c r="E444" s="9"/>
      <c r="F444" s="9"/>
    </row>
    <row r="445" spans="1:6" x14ac:dyDescent="0.3">
      <c r="A445" s="26">
        <v>57766</v>
      </c>
      <c r="B445" s="27" t="s">
        <v>130</v>
      </c>
      <c r="C445" s="27" t="s">
        <v>133</v>
      </c>
      <c r="D445" s="9"/>
      <c r="E445" s="9"/>
      <c r="F445" s="9"/>
    </row>
    <row r="446" spans="1:6" x14ac:dyDescent="0.3">
      <c r="A446" s="26">
        <v>57767</v>
      </c>
      <c r="B446" s="27" t="s">
        <v>135</v>
      </c>
      <c r="C446" s="27" t="s">
        <v>133</v>
      </c>
      <c r="D446" s="9"/>
      <c r="E446" s="9"/>
      <c r="F446" s="9"/>
    </row>
    <row r="447" spans="1:6" x14ac:dyDescent="0.3">
      <c r="A447" s="26">
        <v>57812</v>
      </c>
      <c r="B447" s="27" t="s">
        <v>137</v>
      </c>
      <c r="C447" s="27" t="s">
        <v>138</v>
      </c>
      <c r="D447" s="9"/>
      <c r="E447" s="9"/>
      <c r="F447" s="9"/>
    </row>
    <row r="448" spans="1:6" x14ac:dyDescent="0.3">
      <c r="A448" s="26">
        <v>57821</v>
      </c>
      <c r="B448" s="27" t="s">
        <v>140</v>
      </c>
      <c r="C448" s="27" t="s">
        <v>141</v>
      </c>
      <c r="D448" s="9"/>
      <c r="E448" s="9"/>
      <c r="F448" s="9"/>
    </row>
    <row r="449" spans="1:6" x14ac:dyDescent="0.3">
      <c r="A449" s="26">
        <v>57831</v>
      </c>
      <c r="B449" s="27" t="s">
        <v>143</v>
      </c>
      <c r="C449" s="27" t="s">
        <v>144</v>
      </c>
      <c r="D449" s="9"/>
      <c r="E449" s="9"/>
      <c r="F449" s="9"/>
    </row>
    <row r="450" spans="1:6" x14ac:dyDescent="0.3">
      <c r="A450" s="26">
        <v>57874</v>
      </c>
      <c r="B450" s="27" t="s">
        <v>146</v>
      </c>
      <c r="C450" s="27" t="s">
        <v>147</v>
      </c>
      <c r="D450" s="9"/>
      <c r="E450" s="9"/>
      <c r="F450" s="9"/>
    </row>
    <row r="451" spans="1:6" x14ac:dyDescent="0.3">
      <c r="A451" s="26">
        <v>57960</v>
      </c>
      <c r="B451" s="27" t="s">
        <v>149</v>
      </c>
      <c r="C451" s="27" t="s">
        <v>150</v>
      </c>
      <c r="D451" s="9"/>
      <c r="E451" s="9"/>
      <c r="F451" s="9"/>
    </row>
    <row r="452" spans="1:6" x14ac:dyDescent="0.3">
      <c r="A452" s="26">
        <v>57995</v>
      </c>
      <c r="B452" s="27" t="s">
        <v>149</v>
      </c>
      <c r="C452" s="27" t="s">
        <v>152</v>
      </c>
      <c r="D452" s="9"/>
      <c r="E452" s="9"/>
      <c r="F452" s="9"/>
    </row>
    <row r="453" spans="1:6" x14ac:dyDescent="0.3">
      <c r="A453" s="26">
        <v>58016</v>
      </c>
      <c r="B453" s="27" t="s">
        <v>149</v>
      </c>
      <c r="C453" s="27" t="s">
        <v>154</v>
      </c>
      <c r="D453" s="9"/>
      <c r="E453" s="9"/>
      <c r="F453" s="9"/>
    </row>
    <row r="454" spans="1:6" x14ac:dyDescent="0.3">
      <c r="A454" s="26">
        <v>58029</v>
      </c>
      <c r="B454" s="27" t="s">
        <v>137</v>
      </c>
      <c r="C454" s="27" t="s">
        <v>156</v>
      </c>
      <c r="D454" s="9"/>
      <c r="E454" s="9"/>
      <c r="F454" s="9"/>
    </row>
    <row r="455" spans="1:6" x14ac:dyDescent="0.3">
      <c r="A455" s="26">
        <v>58034</v>
      </c>
      <c r="B455" s="27" t="s">
        <v>143</v>
      </c>
      <c r="C455" s="27" t="s">
        <v>158</v>
      </c>
      <c r="D455" s="9"/>
      <c r="E455" s="9"/>
      <c r="F455" s="9"/>
    </row>
    <row r="456" spans="1:6" x14ac:dyDescent="0.3">
      <c r="A456" s="26">
        <v>58069</v>
      </c>
      <c r="B456" s="27" t="s">
        <v>143</v>
      </c>
      <c r="C456" s="27" t="s">
        <v>160</v>
      </c>
      <c r="D456" s="9"/>
      <c r="E456" s="9"/>
      <c r="F456" s="9"/>
    </row>
    <row r="457" spans="1:6" x14ac:dyDescent="0.3">
      <c r="A457" s="26">
        <v>58076</v>
      </c>
      <c r="B457" s="27" t="s">
        <v>143</v>
      </c>
      <c r="C457" s="27" t="s">
        <v>131</v>
      </c>
      <c r="D457" s="9"/>
      <c r="E457" s="9"/>
      <c r="F457" s="9"/>
    </row>
    <row r="458" spans="1:6" x14ac:dyDescent="0.3">
      <c r="A458" s="26">
        <v>58116</v>
      </c>
      <c r="B458" s="27" t="s">
        <v>130</v>
      </c>
      <c r="C458" s="27" t="s">
        <v>133</v>
      </c>
      <c r="D458" s="9"/>
      <c r="E458" s="9"/>
      <c r="F458" s="9"/>
    </row>
    <row r="459" spans="1:6" x14ac:dyDescent="0.3">
      <c r="A459" s="26">
        <v>58117</v>
      </c>
      <c r="B459" s="27" t="s">
        <v>135</v>
      </c>
      <c r="C459" s="27" t="s">
        <v>133</v>
      </c>
      <c r="D459" s="9"/>
      <c r="E459" s="9"/>
      <c r="F459" s="9"/>
    </row>
    <row r="460" spans="1:6" x14ac:dyDescent="0.3">
      <c r="A460" s="26">
        <v>58162</v>
      </c>
      <c r="B460" s="27" t="s">
        <v>137</v>
      </c>
      <c r="C460" s="27" t="s">
        <v>138</v>
      </c>
      <c r="D460" s="9"/>
      <c r="E460" s="9"/>
      <c r="F460" s="9"/>
    </row>
    <row r="461" spans="1:6" x14ac:dyDescent="0.3">
      <c r="A461" s="26">
        <v>58186</v>
      </c>
      <c r="B461" s="27" t="s">
        <v>130</v>
      </c>
      <c r="C461" s="27" t="s">
        <v>141</v>
      </c>
      <c r="D461" s="9"/>
      <c r="E461" s="9"/>
      <c r="F461" s="9"/>
    </row>
    <row r="462" spans="1:6" x14ac:dyDescent="0.3">
      <c r="A462" s="26">
        <v>58196</v>
      </c>
      <c r="B462" s="27" t="s">
        <v>146</v>
      </c>
      <c r="C462" s="27" t="s">
        <v>144</v>
      </c>
      <c r="D462" s="9"/>
      <c r="E462" s="9"/>
      <c r="F462" s="9"/>
    </row>
    <row r="463" spans="1:6" x14ac:dyDescent="0.3">
      <c r="A463" s="26">
        <v>58224</v>
      </c>
      <c r="B463" s="27" t="s">
        <v>146</v>
      </c>
      <c r="C463" s="27" t="s">
        <v>147</v>
      </c>
      <c r="D463" s="9"/>
      <c r="E463" s="9"/>
      <c r="F463" s="9"/>
    </row>
    <row r="464" spans="1:6" x14ac:dyDescent="0.3">
      <c r="A464" s="26">
        <v>58325</v>
      </c>
      <c r="B464" s="27" t="s">
        <v>140</v>
      </c>
      <c r="C464" s="27" t="s">
        <v>150</v>
      </c>
      <c r="D464" s="9"/>
      <c r="E464" s="9"/>
      <c r="F464" s="9"/>
    </row>
    <row r="465" spans="1:6" x14ac:dyDescent="0.3">
      <c r="A465" s="26">
        <v>58360</v>
      </c>
      <c r="B465" s="27" t="s">
        <v>140</v>
      </c>
      <c r="C465" s="27" t="s">
        <v>152</v>
      </c>
      <c r="D465" s="9"/>
      <c r="E465" s="9"/>
      <c r="F465" s="9"/>
    </row>
    <row r="466" spans="1:6" x14ac:dyDescent="0.3">
      <c r="A466" s="26">
        <v>58381</v>
      </c>
      <c r="B466" s="27" t="s">
        <v>140</v>
      </c>
      <c r="C466" s="27" t="s">
        <v>154</v>
      </c>
      <c r="D466" s="9"/>
      <c r="E466" s="9"/>
      <c r="F466" s="9"/>
    </row>
    <row r="467" spans="1:6" x14ac:dyDescent="0.3">
      <c r="A467" s="26">
        <v>58394</v>
      </c>
      <c r="B467" s="27" t="s">
        <v>149</v>
      </c>
      <c r="C467" s="27" t="s">
        <v>156</v>
      </c>
      <c r="D467" s="9"/>
      <c r="E467" s="9"/>
      <c r="F467" s="9"/>
    </row>
    <row r="468" spans="1:6" x14ac:dyDescent="0.3">
      <c r="A468" s="26">
        <v>58399</v>
      </c>
      <c r="B468" s="27" t="s">
        <v>146</v>
      </c>
      <c r="C468" s="27" t="s">
        <v>158</v>
      </c>
      <c r="D468" s="9"/>
      <c r="E468" s="9"/>
      <c r="F468" s="9"/>
    </row>
    <row r="469" spans="1:6" x14ac:dyDescent="0.3">
      <c r="A469" s="26">
        <v>58434</v>
      </c>
      <c r="B469" s="27" t="s">
        <v>146</v>
      </c>
      <c r="C469" s="27" t="s">
        <v>160</v>
      </c>
      <c r="D469" s="9"/>
      <c r="E469" s="9"/>
      <c r="F469" s="9"/>
    </row>
    <row r="470" spans="1:6" x14ac:dyDescent="0.3">
      <c r="A470" s="26">
        <v>58441</v>
      </c>
      <c r="B470" s="27" t="s">
        <v>146</v>
      </c>
      <c r="C470" s="27" t="s">
        <v>131</v>
      </c>
      <c r="D470" s="9"/>
      <c r="E470" s="9"/>
      <c r="F470" s="9"/>
    </row>
    <row r="471" spans="1:6" x14ac:dyDescent="0.3">
      <c r="A471" s="26">
        <v>58501</v>
      </c>
      <c r="B471" s="27" t="s">
        <v>130</v>
      </c>
      <c r="C471" s="27" t="s">
        <v>133</v>
      </c>
      <c r="D471" s="9"/>
      <c r="E471" s="9"/>
      <c r="F471" s="9"/>
    </row>
    <row r="472" spans="1:6" x14ac:dyDescent="0.3">
      <c r="A472" s="26">
        <v>58502</v>
      </c>
      <c r="B472" s="27" t="s">
        <v>135</v>
      </c>
      <c r="C472" s="27" t="s">
        <v>133</v>
      </c>
      <c r="D472" s="9"/>
      <c r="E472" s="9"/>
      <c r="F472" s="9"/>
    </row>
    <row r="473" spans="1:6" x14ac:dyDescent="0.3">
      <c r="A473" s="26">
        <v>58547</v>
      </c>
      <c r="B473" s="27" t="s">
        <v>137</v>
      </c>
      <c r="C473" s="27" t="s">
        <v>138</v>
      </c>
      <c r="D473" s="9"/>
      <c r="E473" s="9"/>
      <c r="F473" s="9"/>
    </row>
    <row r="474" spans="1:6" x14ac:dyDescent="0.3">
      <c r="A474" s="26">
        <v>58552</v>
      </c>
      <c r="B474" s="27" t="s">
        <v>143</v>
      </c>
      <c r="C474" s="27" t="s">
        <v>141</v>
      </c>
      <c r="D474" s="9"/>
      <c r="E474" s="9"/>
      <c r="F474" s="9"/>
    </row>
    <row r="475" spans="1:6" x14ac:dyDescent="0.3">
      <c r="A475" s="26">
        <v>58562</v>
      </c>
      <c r="B475" s="27" t="s">
        <v>149</v>
      </c>
      <c r="C475" s="27" t="s">
        <v>144</v>
      </c>
      <c r="D475" s="9"/>
      <c r="E475" s="9"/>
      <c r="F475" s="9"/>
    </row>
    <row r="476" spans="1:6" x14ac:dyDescent="0.3">
      <c r="A476" s="26">
        <v>58609</v>
      </c>
      <c r="B476" s="27" t="s">
        <v>146</v>
      </c>
      <c r="C476" s="27" t="s">
        <v>147</v>
      </c>
      <c r="D476" s="9"/>
      <c r="E476" s="9"/>
      <c r="F476" s="9"/>
    </row>
    <row r="477" spans="1:6" x14ac:dyDescent="0.3">
      <c r="A477" s="26">
        <v>58691</v>
      </c>
      <c r="B477" s="27" t="s">
        <v>135</v>
      </c>
      <c r="C477" s="27" t="s">
        <v>150</v>
      </c>
      <c r="D477" s="9"/>
      <c r="E477" s="9"/>
      <c r="F477" s="9"/>
    </row>
    <row r="478" spans="1:6" x14ac:dyDescent="0.3">
      <c r="A478" s="26">
        <v>58726</v>
      </c>
      <c r="B478" s="27" t="s">
        <v>135</v>
      </c>
      <c r="C478" s="27" t="s">
        <v>152</v>
      </c>
      <c r="D478" s="9"/>
      <c r="E478" s="9"/>
      <c r="F478" s="9"/>
    </row>
    <row r="479" spans="1:6" x14ac:dyDescent="0.3">
      <c r="A479" s="26">
        <v>58747</v>
      </c>
      <c r="B479" s="27" t="s">
        <v>135</v>
      </c>
      <c r="C479" s="27" t="s">
        <v>154</v>
      </c>
      <c r="D479" s="9"/>
      <c r="E479" s="9"/>
      <c r="F479" s="9"/>
    </row>
    <row r="480" spans="1:6" x14ac:dyDescent="0.3">
      <c r="A480" s="26">
        <v>58760</v>
      </c>
      <c r="B480" s="27" t="s">
        <v>130</v>
      </c>
      <c r="C480" s="27" t="s">
        <v>156</v>
      </c>
      <c r="D480" s="9"/>
      <c r="E480" s="9"/>
      <c r="F480" s="9"/>
    </row>
    <row r="481" spans="1:6" x14ac:dyDescent="0.3">
      <c r="A481" s="26">
        <v>58765</v>
      </c>
      <c r="B481" s="27" t="s">
        <v>149</v>
      </c>
      <c r="C481" s="27" t="s">
        <v>158</v>
      </c>
      <c r="D481" s="9"/>
      <c r="E481" s="9"/>
      <c r="F481" s="9"/>
    </row>
    <row r="482" spans="1:6" x14ac:dyDescent="0.3">
      <c r="A482" s="26">
        <v>58800</v>
      </c>
      <c r="B482" s="27" t="s">
        <v>149</v>
      </c>
      <c r="C482" s="27" t="s">
        <v>160</v>
      </c>
      <c r="D482" s="9"/>
      <c r="E482" s="9"/>
      <c r="F482" s="9"/>
    </row>
    <row r="483" spans="1:6" x14ac:dyDescent="0.3">
      <c r="A483" s="26">
        <v>58807</v>
      </c>
      <c r="B483" s="27" t="s">
        <v>149</v>
      </c>
      <c r="C483" s="27" t="s">
        <v>131</v>
      </c>
      <c r="D483" s="9"/>
      <c r="E483" s="9"/>
      <c r="F483" s="9"/>
    </row>
    <row r="484" spans="1:6" x14ac:dyDescent="0.3">
      <c r="A484" s="26">
        <v>58858</v>
      </c>
      <c r="B484" s="27" t="s">
        <v>130</v>
      </c>
      <c r="C484" s="27" t="s">
        <v>133</v>
      </c>
      <c r="D484" s="9"/>
      <c r="E484" s="9"/>
      <c r="F484" s="9"/>
    </row>
    <row r="485" spans="1:6" x14ac:dyDescent="0.3">
      <c r="A485" s="26">
        <v>58859</v>
      </c>
      <c r="B485" s="27" t="s">
        <v>135</v>
      </c>
      <c r="C485" s="27" t="s">
        <v>133</v>
      </c>
      <c r="D485" s="9"/>
      <c r="E485" s="9"/>
      <c r="F485" s="9"/>
    </row>
    <row r="486" spans="1:6" x14ac:dyDescent="0.3">
      <c r="A486" s="26">
        <v>58904</v>
      </c>
      <c r="B486" s="27" t="s">
        <v>137</v>
      </c>
      <c r="C486" s="27" t="s">
        <v>138</v>
      </c>
      <c r="D486" s="9"/>
      <c r="E486" s="9"/>
      <c r="F486" s="9"/>
    </row>
    <row r="487" spans="1:6" x14ac:dyDescent="0.3">
      <c r="A487" s="26">
        <v>58917</v>
      </c>
      <c r="B487" s="27" t="s">
        <v>146</v>
      </c>
      <c r="C487" s="27" t="s">
        <v>141</v>
      </c>
      <c r="D487" s="9"/>
      <c r="E487" s="9"/>
      <c r="F487" s="9"/>
    </row>
    <row r="488" spans="1:6" x14ac:dyDescent="0.3">
      <c r="A488" s="26">
        <v>58927</v>
      </c>
      <c r="B488" s="27" t="s">
        <v>140</v>
      </c>
      <c r="C488" s="27" t="s">
        <v>144</v>
      </c>
      <c r="D488" s="9"/>
      <c r="E488" s="9"/>
      <c r="F488" s="9"/>
    </row>
    <row r="489" spans="1:6" x14ac:dyDescent="0.3">
      <c r="A489" s="26">
        <v>58966</v>
      </c>
      <c r="B489" s="27" t="s">
        <v>146</v>
      </c>
      <c r="C489" s="27" t="s">
        <v>147</v>
      </c>
      <c r="D489" s="9"/>
      <c r="E489" s="9"/>
      <c r="F489" s="9"/>
    </row>
    <row r="490" spans="1:6" x14ac:dyDescent="0.3">
      <c r="A490" s="26">
        <v>59056</v>
      </c>
      <c r="B490" s="27" t="s">
        <v>143</v>
      </c>
      <c r="C490" s="27" t="s">
        <v>150</v>
      </c>
      <c r="D490" s="9"/>
      <c r="E490" s="9"/>
      <c r="F490" s="9"/>
    </row>
    <row r="491" spans="1:6" x14ac:dyDescent="0.3">
      <c r="A491" s="26">
        <v>59091</v>
      </c>
      <c r="B491" s="27" t="s">
        <v>143</v>
      </c>
      <c r="C491" s="27" t="s">
        <v>152</v>
      </c>
      <c r="D491" s="9"/>
      <c r="E491" s="9"/>
      <c r="F491" s="9"/>
    </row>
    <row r="492" spans="1:6" x14ac:dyDescent="0.3">
      <c r="A492" s="26">
        <v>59112</v>
      </c>
      <c r="B492" s="27" t="s">
        <v>143</v>
      </c>
      <c r="C492" s="27" t="s">
        <v>154</v>
      </c>
      <c r="D492" s="9"/>
      <c r="E492" s="9"/>
      <c r="F492" s="9"/>
    </row>
    <row r="493" spans="1:6" x14ac:dyDescent="0.3">
      <c r="A493" s="26">
        <v>59125</v>
      </c>
      <c r="B493" s="27" t="s">
        <v>135</v>
      </c>
      <c r="C493" s="27" t="s">
        <v>156</v>
      </c>
      <c r="D493" s="9"/>
      <c r="E493" s="9"/>
      <c r="F493" s="9"/>
    </row>
    <row r="494" spans="1:6" x14ac:dyDescent="0.3">
      <c r="A494" s="26">
        <v>59130</v>
      </c>
      <c r="B494" s="27" t="s">
        <v>140</v>
      </c>
      <c r="C494" s="27" t="s">
        <v>158</v>
      </c>
      <c r="D494" s="9"/>
      <c r="E494" s="9"/>
      <c r="F494" s="9"/>
    </row>
    <row r="495" spans="1:6" x14ac:dyDescent="0.3">
      <c r="A495" s="26">
        <v>59165</v>
      </c>
      <c r="B495" s="27" t="s">
        <v>140</v>
      </c>
      <c r="C495" s="27" t="s">
        <v>160</v>
      </c>
      <c r="D495" s="9"/>
      <c r="E495" s="9"/>
      <c r="F495" s="9"/>
    </row>
    <row r="496" spans="1:6" x14ac:dyDescent="0.3">
      <c r="A496" s="26">
        <v>59172</v>
      </c>
      <c r="B496" s="27" t="s">
        <v>140</v>
      </c>
      <c r="C496" s="27" t="s">
        <v>131</v>
      </c>
      <c r="D496" s="9"/>
      <c r="E496" s="9"/>
      <c r="F496" s="9"/>
    </row>
    <row r="497" spans="1:6" x14ac:dyDescent="0.3">
      <c r="A497" s="26">
        <v>59208</v>
      </c>
      <c r="B497" s="27" t="s">
        <v>130</v>
      </c>
      <c r="C497" s="27" t="s">
        <v>133</v>
      </c>
      <c r="D497" s="9"/>
      <c r="E497" s="9"/>
      <c r="F497" s="9"/>
    </row>
    <row r="498" spans="1:6" x14ac:dyDescent="0.3">
      <c r="A498" s="26">
        <v>59209</v>
      </c>
      <c r="B498" s="27" t="s">
        <v>135</v>
      </c>
      <c r="C498" s="27" t="s">
        <v>133</v>
      </c>
      <c r="D498" s="9"/>
      <c r="E498" s="9"/>
      <c r="F498" s="9"/>
    </row>
    <row r="499" spans="1:6" x14ac:dyDescent="0.3">
      <c r="A499" s="26">
        <v>59254</v>
      </c>
      <c r="B499" s="27" t="s">
        <v>137</v>
      </c>
      <c r="C499" s="27" t="s">
        <v>138</v>
      </c>
      <c r="D499" s="9"/>
      <c r="E499" s="9"/>
      <c r="F499" s="9"/>
    </row>
    <row r="500" spans="1:6" x14ac:dyDescent="0.3">
      <c r="A500" s="26">
        <v>59282</v>
      </c>
      <c r="B500" s="27" t="s">
        <v>137</v>
      </c>
      <c r="C500" s="27" t="s">
        <v>141</v>
      </c>
      <c r="D500" s="9"/>
      <c r="E500" s="9"/>
      <c r="F500" s="9"/>
    </row>
    <row r="501" spans="1:6" x14ac:dyDescent="0.3">
      <c r="A501" s="26">
        <v>59292</v>
      </c>
      <c r="B501" s="27" t="s">
        <v>130</v>
      </c>
      <c r="C501" s="27" t="s">
        <v>144</v>
      </c>
      <c r="D501" s="9"/>
      <c r="E501" s="9"/>
      <c r="F501" s="9"/>
    </row>
    <row r="502" spans="1:6" x14ac:dyDescent="0.3">
      <c r="A502" s="26">
        <v>59316</v>
      </c>
      <c r="B502" s="27" t="s">
        <v>146</v>
      </c>
      <c r="C502" s="27" t="s">
        <v>147</v>
      </c>
      <c r="D502" s="9"/>
      <c r="E502" s="9"/>
      <c r="F502" s="9"/>
    </row>
    <row r="503" spans="1:6" x14ac:dyDescent="0.3">
      <c r="A503" s="26">
        <v>59421</v>
      </c>
      <c r="B503" s="27" t="s">
        <v>146</v>
      </c>
      <c r="C503" s="27" t="s">
        <v>150</v>
      </c>
      <c r="D503" s="9"/>
      <c r="E503" s="9"/>
      <c r="F503" s="9"/>
    </row>
    <row r="504" spans="1:6" x14ac:dyDescent="0.3">
      <c r="A504" s="26">
        <v>59456</v>
      </c>
      <c r="B504" s="27" t="s">
        <v>146</v>
      </c>
      <c r="C504" s="27" t="s">
        <v>152</v>
      </c>
      <c r="D504" s="9"/>
      <c r="E504" s="9"/>
      <c r="F504" s="9"/>
    </row>
    <row r="505" spans="1:6" x14ac:dyDescent="0.3">
      <c r="A505" s="26">
        <v>59477</v>
      </c>
      <c r="B505" s="27" t="s">
        <v>146</v>
      </c>
      <c r="C505" s="27" t="s">
        <v>154</v>
      </c>
      <c r="D505" s="9"/>
      <c r="E505" s="9"/>
      <c r="F505" s="9"/>
    </row>
    <row r="506" spans="1:6" x14ac:dyDescent="0.3">
      <c r="A506" s="26">
        <v>59490</v>
      </c>
      <c r="B506" s="27" t="s">
        <v>143</v>
      </c>
      <c r="C506" s="27" t="s">
        <v>156</v>
      </c>
      <c r="D506" s="9"/>
      <c r="E506" s="9"/>
      <c r="F506" s="9"/>
    </row>
    <row r="507" spans="1:6" x14ac:dyDescent="0.3">
      <c r="A507" s="26">
        <v>59495</v>
      </c>
      <c r="B507" s="27" t="s">
        <v>130</v>
      </c>
      <c r="C507" s="27" t="s">
        <v>158</v>
      </c>
      <c r="D507" s="9"/>
      <c r="E507" s="9"/>
      <c r="F507" s="9"/>
    </row>
    <row r="508" spans="1:6" x14ac:dyDescent="0.3">
      <c r="A508" s="26">
        <v>59530</v>
      </c>
      <c r="B508" s="27" t="s">
        <v>130</v>
      </c>
      <c r="C508" s="27" t="s">
        <v>160</v>
      </c>
      <c r="D508" s="9"/>
      <c r="E508" s="9"/>
      <c r="F508" s="9"/>
    </row>
    <row r="509" spans="1:6" x14ac:dyDescent="0.3">
      <c r="A509" s="26">
        <v>59537</v>
      </c>
      <c r="B509" s="27" t="s">
        <v>130</v>
      </c>
      <c r="C509" s="27" t="s">
        <v>131</v>
      </c>
      <c r="D509" s="9"/>
      <c r="E509" s="9"/>
      <c r="F509" s="9"/>
    </row>
    <row r="510" spans="1:6" x14ac:dyDescent="0.3">
      <c r="A510" s="26">
        <v>59593</v>
      </c>
      <c r="B510" s="27" t="s">
        <v>130</v>
      </c>
      <c r="C510" s="27" t="s">
        <v>133</v>
      </c>
      <c r="D510" s="9"/>
      <c r="E510" s="9"/>
      <c r="F510" s="9"/>
    </row>
    <row r="511" spans="1:6" x14ac:dyDescent="0.3">
      <c r="A511" s="26">
        <v>59594</v>
      </c>
      <c r="B511" s="27" t="s">
        <v>135</v>
      </c>
      <c r="C511" s="27" t="s">
        <v>133</v>
      </c>
      <c r="D511" s="9"/>
      <c r="E511" s="9"/>
      <c r="F511" s="9"/>
    </row>
    <row r="512" spans="1:6" x14ac:dyDescent="0.3">
      <c r="A512" s="26">
        <v>59639</v>
      </c>
      <c r="B512" s="27" t="s">
        <v>137</v>
      </c>
      <c r="C512" s="27" t="s">
        <v>138</v>
      </c>
      <c r="D512" s="9"/>
      <c r="E512" s="9"/>
      <c r="F512" s="9"/>
    </row>
    <row r="513" spans="1:6" x14ac:dyDescent="0.3">
      <c r="A513" s="26">
        <v>59647</v>
      </c>
      <c r="B513" s="27" t="s">
        <v>149</v>
      </c>
      <c r="C513" s="27" t="s">
        <v>141</v>
      </c>
      <c r="D513" s="9"/>
      <c r="E513" s="9"/>
      <c r="F513" s="9"/>
    </row>
    <row r="514" spans="1:6" x14ac:dyDescent="0.3">
      <c r="A514" s="26">
        <v>59657</v>
      </c>
      <c r="B514" s="27" t="s">
        <v>135</v>
      </c>
      <c r="C514" s="27" t="s">
        <v>144</v>
      </c>
      <c r="D514" s="9"/>
      <c r="E514" s="9"/>
      <c r="F514" s="9"/>
    </row>
    <row r="515" spans="1:6" x14ac:dyDescent="0.3">
      <c r="A515" s="26">
        <v>59701</v>
      </c>
      <c r="B515" s="27" t="s">
        <v>146</v>
      </c>
      <c r="C515" s="27" t="s">
        <v>147</v>
      </c>
      <c r="D515" s="9"/>
      <c r="E515" s="9"/>
      <c r="F515" s="9"/>
    </row>
    <row r="516" spans="1:6" x14ac:dyDescent="0.3">
      <c r="A516" s="26">
        <v>59786</v>
      </c>
      <c r="B516" s="27" t="s">
        <v>137</v>
      </c>
      <c r="C516" s="27" t="s">
        <v>150</v>
      </c>
      <c r="D516" s="9"/>
      <c r="E516" s="9"/>
      <c r="F516" s="9"/>
    </row>
    <row r="517" spans="1:6" x14ac:dyDescent="0.3">
      <c r="A517" s="26">
        <v>59821</v>
      </c>
      <c r="B517" s="27" t="s">
        <v>137</v>
      </c>
      <c r="C517" s="27" t="s">
        <v>152</v>
      </c>
      <c r="D517" s="9"/>
      <c r="E517" s="9"/>
      <c r="F517" s="9"/>
    </row>
    <row r="518" spans="1:6" x14ac:dyDescent="0.3">
      <c r="A518" s="26">
        <v>59842</v>
      </c>
      <c r="B518" s="27" t="s">
        <v>137</v>
      </c>
      <c r="C518" s="27" t="s">
        <v>154</v>
      </c>
      <c r="D518" s="9"/>
      <c r="E518" s="9"/>
      <c r="F518" s="9"/>
    </row>
    <row r="519" spans="1:6" x14ac:dyDescent="0.3">
      <c r="A519" s="26">
        <v>59855</v>
      </c>
      <c r="B519" s="27" t="s">
        <v>146</v>
      </c>
      <c r="C519" s="27" t="s">
        <v>156</v>
      </c>
      <c r="D519" s="9"/>
      <c r="E519" s="9"/>
      <c r="F519" s="9"/>
    </row>
    <row r="520" spans="1:6" x14ac:dyDescent="0.3">
      <c r="A520" s="26">
        <v>59860</v>
      </c>
      <c r="B520" s="27" t="s">
        <v>135</v>
      </c>
      <c r="C520" s="27" t="s">
        <v>158</v>
      </c>
      <c r="D520" s="9"/>
      <c r="E520" s="9"/>
      <c r="F520" s="9"/>
    </row>
    <row r="521" spans="1:6" x14ac:dyDescent="0.3">
      <c r="A521" s="26">
        <v>59895</v>
      </c>
      <c r="B521" s="27" t="s">
        <v>135</v>
      </c>
      <c r="C521" s="27" t="s">
        <v>160</v>
      </c>
      <c r="D521" s="9"/>
      <c r="E521" s="9"/>
      <c r="F521" s="9"/>
    </row>
    <row r="522" spans="1:6" x14ac:dyDescent="0.3">
      <c r="A522" s="26">
        <v>59902</v>
      </c>
      <c r="B522" s="27" t="s">
        <v>135</v>
      </c>
      <c r="C522" s="27" t="s">
        <v>131</v>
      </c>
      <c r="D522" s="9"/>
      <c r="E522" s="9"/>
      <c r="F522" s="9"/>
    </row>
    <row r="523" spans="1:6" x14ac:dyDescent="0.3">
      <c r="A523" s="26">
        <v>59950</v>
      </c>
      <c r="B523" s="27" t="s">
        <v>130</v>
      </c>
      <c r="C523" s="27" t="s">
        <v>133</v>
      </c>
      <c r="D523" s="9"/>
      <c r="E523" s="9"/>
      <c r="F523" s="9"/>
    </row>
    <row r="524" spans="1:6" x14ac:dyDescent="0.3">
      <c r="A524" s="26">
        <v>59951</v>
      </c>
      <c r="B524" s="27" t="s">
        <v>135</v>
      </c>
      <c r="C524" s="27" t="s">
        <v>133</v>
      </c>
      <c r="D524" s="9"/>
      <c r="E524" s="9"/>
      <c r="F524" s="9"/>
    </row>
    <row r="525" spans="1:6" x14ac:dyDescent="0.3">
      <c r="A525" s="26">
        <v>59996</v>
      </c>
      <c r="B525" s="27" t="s">
        <v>137</v>
      </c>
      <c r="C525" s="27" t="s">
        <v>138</v>
      </c>
      <c r="D525" s="9"/>
      <c r="E525" s="9"/>
      <c r="F525" s="9"/>
    </row>
    <row r="526" spans="1:6" x14ac:dyDescent="0.3">
      <c r="A526" s="26">
        <v>60013</v>
      </c>
      <c r="B526" s="27" t="s">
        <v>130</v>
      </c>
      <c r="C526" s="27" t="s">
        <v>141</v>
      </c>
      <c r="D526" s="9"/>
      <c r="E526" s="9"/>
      <c r="F526" s="9"/>
    </row>
    <row r="527" spans="1:6" x14ac:dyDescent="0.3">
      <c r="A527" s="26">
        <v>60023</v>
      </c>
      <c r="B527" s="27" t="s">
        <v>146</v>
      </c>
      <c r="C527" s="27" t="s">
        <v>144</v>
      </c>
      <c r="D527" s="9"/>
      <c r="E527" s="9"/>
      <c r="F527" s="9"/>
    </row>
    <row r="528" spans="1:6" x14ac:dyDescent="0.3">
      <c r="A528" s="26">
        <v>60058</v>
      </c>
      <c r="B528" s="27" t="s">
        <v>146</v>
      </c>
      <c r="C528" s="27" t="s">
        <v>147</v>
      </c>
      <c r="D528" s="9"/>
      <c r="E528" s="9"/>
      <c r="F528" s="9"/>
    </row>
    <row r="529" spans="1:6" x14ac:dyDescent="0.3">
      <c r="A529" s="26">
        <v>60152</v>
      </c>
      <c r="B529" s="27" t="s">
        <v>140</v>
      </c>
      <c r="C529" s="27" t="s">
        <v>150</v>
      </c>
      <c r="D529" s="9"/>
      <c r="E529" s="9"/>
      <c r="F529" s="9"/>
    </row>
    <row r="530" spans="1:6" x14ac:dyDescent="0.3">
      <c r="A530" s="26">
        <v>60187</v>
      </c>
      <c r="B530" s="27" t="s">
        <v>140</v>
      </c>
      <c r="C530" s="27" t="s">
        <v>152</v>
      </c>
      <c r="D530" s="9"/>
      <c r="E530" s="9"/>
      <c r="F530" s="9"/>
    </row>
    <row r="531" spans="1:6" x14ac:dyDescent="0.3">
      <c r="A531" s="26">
        <v>60208</v>
      </c>
      <c r="B531" s="27" t="s">
        <v>140</v>
      </c>
      <c r="C531" s="27" t="s">
        <v>154</v>
      </c>
      <c r="D531" s="9"/>
      <c r="E531" s="9"/>
      <c r="F531" s="9"/>
    </row>
    <row r="532" spans="1:6" x14ac:dyDescent="0.3">
      <c r="A532" s="26">
        <v>60221</v>
      </c>
      <c r="B532" s="27" t="s">
        <v>149</v>
      </c>
      <c r="C532" s="27" t="s">
        <v>156</v>
      </c>
      <c r="D532" s="9"/>
      <c r="E532" s="9"/>
      <c r="F532" s="9"/>
    </row>
    <row r="533" spans="1:6" x14ac:dyDescent="0.3">
      <c r="A533" s="26">
        <v>60226</v>
      </c>
      <c r="B533" s="27" t="s">
        <v>146</v>
      </c>
      <c r="C533" s="27" t="s">
        <v>158</v>
      </c>
      <c r="D533" s="9"/>
      <c r="E533" s="9"/>
      <c r="F533" s="9"/>
    </row>
    <row r="534" spans="1:6" x14ac:dyDescent="0.3">
      <c r="A534" s="26">
        <v>60261</v>
      </c>
      <c r="B534" s="27" t="s">
        <v>146</v>
      </c>
      <c r="C534" s="27" t="s">
        <v>160</v>
      </c>
      <c r="D534" s="9"/>
      <c r="E534" s="9"/>
      <c r="F534" s="9"/>
    </row>
    <row r="535" spans="1:6" x14ac:dyDescent="0.3">
      <c r="A535" s="26">
        <v>60268</v>
      </c>
      <c r="B535" s="27" t="s">
        <v>146</v>
      </c>
      <c r="C535" s="27" t="s">
        <v>131</v>
      </c>
      <c r="D535" s="9"/>
      <c r="E535" s="9"/>
      <c r="F535" s="9"/>
    </row>
    <row r="536" spans="1:6" x14ac:dyDescent="0.3">
      <c r="A536" s="26">
        <v>60307</v>
      </c>
      <c r="B536" s="27" t="s">
        <v>130</v>
      </c>
      <c r="C536" s="27" t="s">
        <v>133</v>
      </c>
      <c r="D536" s="9"/>
      <c r="E536" s="9"/>
      <c r="F536" s="9"/>
    </row>
    <row r="537" spans="1:6" x14ac:dyDescent="0.3">
      <c r="A537" s="26">
        <v>60308</v>
      </c>
      <c r="B537" s="27" t="s">
        <v>135</v>
      </c>
      <c r="C537" s="27" t="s">
        <v>133</v>
      </c>
      <c r="D537" s="9"/>
      <c r="E537" s="9"/>
      <c r="F537" s="9"/>
    </row>
    <row r="538" spans="1:6" x14ac:dyDescent="0.3">
      <c r="A538" s="26">
        <v>60353</v>
      </c>
      <c r="B538" s="27" t="s">
        <v>137</v>
      </c>
      <c r="C538" s="27" t="s">
        <v>138</v>
      </c>
      <c r="D538" s="9"/>
      <c r="E538" s="9"/>
      <c r="F538" s="9"/>
    </row>
    <row r="539" spans="1:6" x14ac:dyDescent="0.3">
      <c r="A539" s="26">
        <v>60378</v>
      </c>
      <c r="B539" s="27" t="s">
        <v>135</v>
      </c>
      <c r="C539" s="27" t="s">
        <v>141</v>
      </c>
      <c r="D539" s="9"/>
      <c r="E539" s="9"/>
      <c r="F539" s="9"/>
    </row>
    <row r="540" spans="1:6" x14ac:dyDescent="0.3">
      <c r="A540" s="26">
        <v>60388</v>
      </c>
      <c r="B540" s="27" t="s">
        <v>137</v>
      </c>
      <c r="C540" s="27" t="s">
        <v>144</v>
      </c>
      <c r="D540" s="9"/>
      <c r="E540" s="9"/>
      <c r="F540" s="9"/>
    </row>
    <row r="541" spans="1:6" x14ac:dyDescent="0.3">
      <c r="A541" s="26">
        <v>60415</v>
      </c>
      <c r="B541" s="27" t="s">
        <v>146</v>
      </c>
      <c r="C541" s="27" t="s">
        <v>147</v>
      </c>
      <c r="D541" s="9"/>
      <c r="E541" s="9"/>
      <c r="F541" s="9"/>
    </row>
    <row r="542" spans="1:6" x14ac:dyDescent="0.3">
      <c r="A542" s="26">
        <v>60517</v>
      </c>
      <c r="B542" s="27" t="s">
        <v>130</v>
      </c>
      <c r="C542" s="27" t="s">
        <v>150</v>
      </c>
      <c r="D542" s="9"/>
      <c r="E542" s="9"/>
      <c r="F542" s="9"/>
    </row>
    <row r="543" spans="1:6" x14ac:dyDescent="0.3">
      <c r="A543" s="26">
        <v>60552</v>
      </c>
      <c r="B543" s="27" t="s">
        <v>130</v>
      </c>
      <c r="C543" s="27" t="s">
        <v>152</v>
      </c>
      <c r="D543" s="9"/>
      <c r="E543" s="9"/>
      <c r="F543" s="9"/>
    </row>
    <row r="544" spans="1:6" x14ac:dyDescent="0.3">
      <c r="A544" s="26">
        <v>60573</v>
      </c>
      <c r="B544" s="27" t="s">
        <v>130</v>
      </c>
      <c r="C544" s="27" t="s">
        <v>154</v>
      </c>
      <c r="D544" s="9"/>
      <c r="E544" s="9"/>
      <c r="F544" s="9"/>
    </row>
    <row r="545" spans="1:6" x14ac:dyDescent="0.3">
      <c r="A545" s="26">
        <v>60586</v>
      </c>
      <c r="B545" s="27" t="s">
        <v>140</v>
      </c>
      <c r="C545" s="27" t="s">
        <v>156</v>
      </c>
      <c r="D545" s="9"/>
      <c r="E545" s="9"/>
      <c r="F545" s="9"/>
    </row>
    <row r="546" spans="1:6" x14ac:dyDescent="0.3">
      <c r="A546" s="26">
        <v>60591</v>
      </c>
      <c r="B546" s="27" t="s">
        <v>137</v>
      </c>
      <c r="C546" s="27" t="s">
        <v>158</v>
      </c>
      <c r="D546" s="9"/>
      <c r="E546" s="9"/>
      <c r="F546" s="9"/>
    </row>
    <row r="547" spans="1:6" x14ac:dyDescent="0.3">
      <c r="A547" s="26">
        <v>60626</v>
      </c>
      <c r="B547" s="27" t="s">
        <v>137</v>
      </c>
      <c r="C547" s="27" t="s">
        <v>160</v>
      </c>
      <c r="D547" s="9"/>
      <c r="E547" s="9"/>
      <c r="F547" s="9"/>
    </row>
    <row r="548" spans="1:6" x14ac:dyDescent="0.3">
      <c r="A548" s="26">
        <v>60633</v>
      </c>
      <c r="B548" s="27" t="s">
        <v>137</v>
      </c>
      <c r="C548" s="27" t="s">
        <v>131</v>
      </c>
      <c r="D548" s="9"/>
      <c r="E548" s="9"/>
      <c r="F548" s="9"/>
    </row>
    <row r="549" spans="1:6" x14ac:dyDescent="0.3">
      <c r="A549" s="26">
        <v>60685</v>
      </c>
      <c r="B549" s="27" t="s">
        <v>130</v>
      </c>
      <c r="C549" s="27" t="s">
        <v>133</v>
      </c>
      <c r="D549" s="9"/>
      <c r="E549" s="9"/>
      <c r="F549" s="9"/>
    </row>
    <row r="550" spans="1:6" x14ac:dyDescent="0.3">
      <c r="A550" s="26">
        <v>60686</v>
      </c>
      <c r="B550" s="27" t="s">
        <v>135</v>
      </c>
      <c r="C550" s="27" t="s">
        <v>133</v>
      </c>
      <c r="D550" s="9"/>
      <c r="E550" s="9"/>
      <c r="F550" s="9"/>
    </row>
    <row r="551" spans="1:6" x14ac:dyDescent="0.3">
      <c r="A551" s="26">
        <v>60731</v>
      </c>
      <c r="B551" s="27" t="s">
        <v>137</v>
      </c>
      <c r="C551" s="27" t="s">
        <v>138</v>
      </c>
      <c r="D551" s="9"/>
      <c r="E551" s="9"/>
      <c r="F551" s="9"/>
    </row>
    <row r="552" spans="1:6" x14ac:dyDescent="0.3">
      <c r="A552" s="26">
        <v>60743</v>
      </c>
      <c r="B552" s="27" t="s">
        <v>143</v>
      </c>
      <c r="C552" s="27" t="s">
        <v>141</v>
      </c>
      <c r="D552" s="9"/>
      <c r="E552" s="9"/>
      <c r="F552" s="9"/>
    </row>
    <row r="553" spans="1:6" x14ac:dyDescent="0.3">
      <c r="A553" s="26">
        <v>60753</v>
      </c>
      <c r="B553" s="27" t="s">
        <v>149</v>
      </c>
      <c r="C553" s="27" t="s">
        <v>144</v>
      </c>
      <c r="D553" s="9"/>
      <c r="E553" s="9"/>
      <c r="F553" s="9"/>
    </row>
    <row r="554" spans="1:6" x14ac:dyDescent="0.3">
      <c r="A554" s="26">
        <v>60793</v>
      </c>
      <c r="B554" s="27" t="s">
        <v>146</v>
      </c>
      <c r="C554" s="27" t="s">
        <v>147</v>
      </c>
      <c r="D554" s="9"/>
      <c r="E554" s="9"/>
      <c r="F554" s="9"/>
    </row>
    <row r="555" spans="1:6" x14ac:dyDescent="0.3">
      <c r="A555" s="26">
        <v>60882</v>
      </c>
      <c r="B555" s="27" t="s">
        <v>135</v>
      </c>
      <c r="C555" s="27" t="s">
        <v>150</v>
      </c>
      <c r="D555" s="9"/>
      <c r="E555" s="9"/>
      <c r="F555" s="9"/>
    </row>
    <row r="556" spans="1:6" x14ac:dyDescent="0.3">
      <c r="A556" s="26">
        <v>60917</v>
      </c>
      <c r="B556" s="27" t="s">
        <v>135</v>
      </c>
      <c r="C556" s="27" t="s">
        <v>152</v>
      </c>
      <c r="D556" s="9"/>
      <c r="E556" s="9"/>
      <c r="F556" s="9"/>
    </row>
    <row r="557" spans="1:6" x14ac:dyDescent="0.3">
      <c r="A557" s="26">
        <v>60938</v>
      </c>
      <c r="B557" s="27" t="s">
        <v>135</v>
      </c>
      <c r="C557" s="27" t="s">
        <v>154</v>
      </c>
      <c r="D557" s="9"/>
      <c r="E557" s="9"/>
      <c r="F557" s="9"/>
    </row>
    <row r="558" spans="1:6" x14ac:dyDescent="0.3">
      <c r="A558" s="26">
        <v>60951</v>
      </c>
      <c r="B558" s="27" t="s">
        <v>130</v>
      </c>
      <c r="C558" s="27" t="s">
        <v>156</v>
      </c>
      <c r="D558" s="9"/>
      <c r="E558" s="9"/>
      <c r="F558" s="9"/>
    </row>
    <row r="559" spans="1:6" x14ac:dyDescent="0.3">
      <c r="A559" s="26">
        <v>60956</v>
      </c>
      <c r="B559" s="27" t="s">
        <v>149</v>
      </c>
      <c r="C559" s="27" t="s">
        <v>158</v>
      </c>
      <c r="D559" s="9"/>
      <c r="E559" s="9"/>
      <c r="F559" s="9"/>
    </row>
    <row r="560" spans="1:6" x14ac:dyDescent="0.3">
      <c r="A560" s="26">
        <v>60991</v>
      </c>
      <c r="B560" s="27" t="s">
        <v>149</v>
      </c>
      <c r="C560" s="27" t="s">
        <v>160</v>
      </c>
      <c r="D560" s="9"/>
      <c r="E560" s="9"/>
      <c r="F560" s="9"/>
    </row>
    <row r="561" spans="1:6" x14ac:dyDescent="0.3">
      <c r="A561" s="26">
        <v>60998</v>
      </c>
      <c r="B561" s="27" t="s">
        <v>149</v>
      </c>
      <c r="C561" s="27" t="s">
        <v>131</v>
      </c>
      <c r="D561" s="9"/>
      <c r="E561" s="9"/>
      <c r="F561" s="9"/>
    </row>
    <row r="562" spans="1:6" x14ac:dyDescent="0.3">
      <c r="A562" s="26">
        <v>61042</v>
      </c>
      <c r="B562" s="27" t="s">
        <v>130</v>
      </c>
      <c r="C562" s="27" t="s">
        <v>133</v>
      </c>
      <c r="D562" s="9"/>
      <c r="E562" s="9"/>
      <c r="F562" s="9"/>
    </row>
    <row r="563" spans="1:6" x14ac:dyDescent="0.3">
      <c r="A563" s="26">
        <v>61043</v>
      </c>
      <c r="B563" s="27" t="s">
        <v>135</v>
      </c>
      <c r="C563" s="27" t="s">
        <v>133</v>
      </c>
      <c r="D563" s="9"/>
      <c r="E563" s="9"/>
      <c r="F563" s="9"/>
    </row>
    <row r="564" spans="1:6" x14ac:dyDescent="0.3">
      <c r="A564" s="26">
        <v>61088</v>
      </c>
      <c r="B564" s="27" t="s">
        <v>137</v>
      </c>
      <c r="C564" s="27" t="s">
        <v>138</v>
      </c>
      <c r="D564" s="9"/>
      <c r="E564" s="9"/>
      <c r="F564" s="9"/>
    </row>
    <row r="565" spans="1:6" x14ac:dyDescent="0.3">
      <c r="A565" s="26">
        <v>61108</v>
      </c>
      <c r="B565" s="27" t="s">
        <v>146</v>
      </c>
      <c r="C565" s="27" t="s">
        <v>141</v>
      </c>
      <c r="D565" s="9"/>
      <c r="E565" s="9"/>
      <c r="F565" s="9"/>
    </row>
    <row r="566" spans="1:6" x14ac:dyDescent="0.3">
      <c r="A566" s="26">
        <v>61118</v>
      </c>
      <c r="B566" s="27" t="s">
        <v>140</v>
      </c>
      <c r="C566" s="27" t="s">
        <v>144</v>
      </c>
      <c r="D566" s="9"/>
      <c r="E566" s="9"/>
      <c r="F566" s="9"/>
    </row>
    <row r="567" spans="1:6" x14ac:dyDescent="0.3">
      <c r="A567" s="26">
        <v>61150</v>
      </c>
      <c r="B567" s="27" t="s">
        <v>146</v>
      </c>
      <c r="C567" s="27" t="s">
        <v>147</v>
      </c>
      <c r="D567" s="9"/>
      <c r="E567" s="9"/>
      <c r="F567" s="9"/>
    </row>
    <row r="568" spans="1:6" x14ac:dyDescent="0.3">
      <c r="A568" s="26">
        <v>61247</v>
      </c>
      <c r="B568" s="27" t="s">
        <v>143</v>
      </c>
      <c r="C568" s="27" t="s">
        <v>150</v>
      </c>
      <c r="D568" s="9"/>
      <c r="E568" s="9"/>
      <c r="F568" s="9"/>
    </row>
    <row r="569" spans="1:6" x14ac:dyDescent="0.3">
      <c r="A569" s="26">
        <v>61282</v>
      </c>
      <c r="B569" s="27" t="s">
        <v>143</v>
      </c>
      <c r="C569" s="27" t="s">
        <v>152</v>
      </c>
      <c r="D569" s="9"/>
      <c r="E569" s="9"/>
      <c r="F569" s="9"/>
    </row>
    <row r="570" spans="1:6" x14ac:dyDescent="0.3">
      <c r="A570" s="26">
        <v>61303</v>
      </c>
      <c r="B570" s="27" t="s">
        <v>143</v>
      </c>
      <c r="C570" s="27" t="s">
        <v>154</v>
      </c>
      <c r="D570" s="9"/>
      <c r="E570" s="9"/>
      <c r="F570" s="9"/>
    </row>
    <row r="571" spans="1:6" x14ac:dyDescent="0.3">
      <c r="A571" s="26">
        <v>61316</v>
      </c>
      <c r="B571" s="27" t="s">
        <v>135</v>
      </c>
      <c r="C571" s="27" t="s">
        <v>156</v>
      </c>
      <c r="D571" s="9"/>
      <c r="E571" s="9"/>
      <c r="F571" s="9"/>
    </row>
    <row r="572" spans="1:6" x14ac:dyDescent="0.3">
      <c r="A572" s="26">
        <v>61321</v>
      </c>
      <c r="B572" s="27" t="s">
        <v>140</v>
      </c>
      <c r="C572" s="27" t="s">
        <v>158</v>
      </c>
      <c r="D572" s="9"/>
      <c r="E572" s="9"/>
      <c r="F572" s="9"/>
    </row>
    <row r="573" spans="1:6" x14ac:dyDescent="0.3">
      <c r="A573" s="26">
        <v>61356</v>
      </c>
      <c r="B573" s="27" t="s">
        <v>140</v>
      </c>
      <c r="C573" s="27" t="s">
        <v>160</v>
      </c>
      <c r="D573" s="9"/>
      <c r="E573" s="9"/>
      <c r="F573" s="9"/>
    </row>
    <row r="574" spans="1:6" x14ac:dyDescent="0.3">
      <c r="A574" s="26">
        <v>61363</v>
      </c>
      <c r="B574" s="27" t="s">
        <v>140</v>
      </c>
      <c r="C574" s="27" t="s">
        <v>131</v>
      </c>
      <c r="D574" s="9"/>
      <c r="E574" s="9"/>
      <c r="F574" s="9"/>
    </row>
    <row r="575" spans="1:6" x14ac:dyDescent="0.3">
      <c r="A575" s="26">
        <v>61427</v>
      </c>
      <c r="B575" s="27" t="s">
        <v>130</v>
      </c>
      <c r="C575" s="27" t="s">
        <v>133</v>
      </c>
      <c r="D575" s="9"/>
      <c r="E575" s="9"/>
      <c r="F575" s="9"/>
    </row>
    <row r="576" spans="1:6" x14ac:dyDescent="0.3">
      <c r="A576" s="26">
        <v>61428</v>
      </c>
      <c r="B576" s="27" t="s">
        <v>135</v>
      </c>
      <c r="C576" s="27" t="s">
        <v>133</v>
      </c>
      <c r="D576" s="9"/>
      <c r="E576" s="9"/>
      <c r="F576" s="9"/>
    </row>
    <row r="577" spans="1:6" x14ac:dyDescent="0.3">
      <c r="A577" s="26">
        <v>61473</v>
      </c>
      <c r="B577" s="27" t="s">
        <v>137</v>
      </c>
      <c r="C577" s="27" t="s">
        <v>138</v>
      </c>
      <c r="D577" s="9"/>
      <c r="E577" s="9"/>
      <c r="F577" s="9"/>
    </row>
    <row r="578" spans="1:6" x14ac:dyDescent="0.3">
      <c r="A578" s="26">
        <v>61474</v>
      </c>
      <c r="B578" s="27" t="s">
        <v>149</v>
      </c>
      <c r="C578" s="27" t="s">
        <v>141</v>
      </c>
      <c r="D578" s="9"/>
      <c r="E578" s="9"/>
      <c r="F578" s="9"/>
    </row>
    <row r="579" spans="1:6" x14ac:dyDescent="0.3">
      <c r="A579" s="26">
        <v>61484</v>
      </c>
      <c r="B579" s="27" t="s">
        <v>135</v>
      </c>
      <c r="C579" s="27" t="s">
        <v>144</v>
      </c>
      <c r="D579" s="9"/>
      <c r="E579" s="9"/>
      <c r="F579" s="9"/>
    </row>
    <row r="580" spans="1:6" x14ac:dyDescent="0.3">
      <c r="A580" s="26">
        <v>61535</v>
      </c>
      <c r="B580" s="27" t="s">
        <v>146</v>
      </c>
      <c r="C580" s="27" t="s">
        <v>147</v>
      </c>
      <c r="D580" s="9"/>
      <c r="E580" s="9"/>
      <c r="F580" s="9"/>
    </row>
    <row r="581" spans="1:6" x14ac:dyDescent="0.3">
      <c r="A581" s="26">
        <v>61613</v>
      </c>
      <c r="B581" s="27" t="s">
        <v>137</v>
      </c>
      <c r="C581" s="27" t="s">
        <v>150</v>
      </c>
      <c r="D581" s="9"/>
      <c r="E581" s="9"/>
      <c r="F581" s="9"/>
    </row>
    <row r="582" spans="1:6" x14ac:dyDescent="0.3">
      <c r="A582" s="26">
        <v>61648</v>
      </c>
      <c r="B582" s="27" t="s">
        <v>137</v>
      </c>
      <c r="C582" s="27" t="s">
        <v>152</v>
      </c>
      <c r="D582" s="9"/>
      <c r="E582" s="9"/>
      <c r="F582" s="9"/>
    </row>
    <row r="583" spans="1:6" x14ac:dyDescent="0.3">
      <c r="A583" s="26">
        <v>61669</v>
      </c>
      <c r="B583" s="27" t="s">
        <v>137</v>
      </c>
      <c r="C583" s="27" t="s">
        <v>154</v>
      </c>
      <c r="D583" s="9"/>
      <c r="E583" s="9"/>
      <c r="F583" s="9"/>
    </row>
    <row r="584" spans="1:6" x14ac:dyDescent="0.3">
      <c r="A584" s="26">
        <v>61682</v>
      </c>
      <c r="B584" s="27" t="s">
        <v>146</v>
      </c>
      <c r="C584" s="27" t="s">
        <v>156</v>
      </c>
      <c r="D584" s="9"/>
      <c r="E584" s="9"/>
      <c r="F584" s="9"/>
    </row>
    <row r="585" spans="1:6" x14ac:dyDescent="0.3">
      <c r="A585" s="26">
        <v>61687</v>
      </c>
      <c r="B585" s="27" t="s">
        <v>135</v>
      </c>
      <c r="C585" s="27" t="s">
        <v>158</v>
      </c>
      <c r="D585" s="9"/>
      <c r="E585" s="9"/>
      <c r="F585" s="9"/>
    </row>
    <row r="586" spans="1:6" x14ac:dyDescent="0.3">
      <c r="A586" s="26">
        <v>61722</v>
      </c>
      <c r="B586" s="27" t="s">
        <v>135</v>
      </c>
      <c r="C586" s="27" t="s">
        <v>160</v>
      </c>
      <c r="D586" s="9"/>
      <c r="E586" s="9"/>
      <c r="F586" s="9"/>
    </row>
    <row r="587" spans="1:6" x14ac:dyDescent="0.3">
      <c r="A587" s="26">
        <v>61729</v>
      </c>
      <c r="B587" s="27" t="s">
        <v>135</v>
      </c>
      <c r="C587" s="27" t="s">
        <v>131</v>
      </c>
      <c r="D587" s="9"/>
      <c r="E587" s="9"/>
      <c r="F587" s="9"/>
    </row>
    <row r="588" spans="1:6" x14ac:dyDescent="0.3">
      <c r="A588" s="26">
        <v>61784</v>
      </c>
      <c r="B588" s="27" t="s">
        <v>130</v>
      </c>
      <c r="C588" s="27" t="s">
        <v>133</v>
      </c>
      <c r="D588" s="9"/>
      <c r="E588" s="9"/>
      <c r="F588" s="9"/>
    </row>
    <row r="589" spans="1:6" x14ac:dyDescent="0.3">
      <c r="A589" s="26">
        <v>61785</v>
      </c>
      <c r="B589" s="27" t="s">
        <v>135</v>
      </c>
      <c r="C589" s="27" t="s">
        <v>133</v>
      </c>
      <c r="D589" s="9"/>
      <c r="E589" s="9"/>
      <c r="F589" s="9"/>
    </row>
    <row r="590" spans="1:6" x14ac:dyDescent="0.3">
      <c r="A590" s="26">
        <v>61830</v>
      </c>
      <c r="B590" s="27" t="s">
        <v>137</v>
      </c>
      <c r="C590" s="27" t="s">
        <v>138</v>
      </c>
      <c r="D590" s="9"/>
      <c r="E590" s="9"/>
      <c r="F590" s="9"/>
    </row>
    <row r="591" spans="1:6" x14ac:dyDescent="0.3">
      <c r="A591" s="26">
        <v>61839</v>
      </c>
      <c r="B591" s="27" t="s">
        <v>140</v>
      </c>
      <c r="C591" s="27" t="s">
        <v>141</v>
      </c>
      <c r="D591" s="9"/>
      <c r="E591" s="9"/>
      <c r="F591" s="9"/>
    </row>
    <row r="592" spans="1:6" x14ac:dyDescent="0.3">
      <c r="A592" s="26">
        <v>61849</v>
      </c>
      <c r="B592" s="27" t="s">
        <v>143</v>
      </c>
      <c r="C592" s="27" t="s">
        <v>144</v>
      </c>
      <c r="D592" s="9"/>
      <c r="E592" s="9"/>
      <c r="F592" s="9"/>
    </row>
    <row r="593" spans="1:6" x14ac:dyDescent="0.3">
      <c r="A593" s="26">
        <v>61892</v>
      </c>
      <c r="B593" s="27" t="s">
        <v>146</v>
      </c>
      <c r="C593" s="27" t="s">
        <v>147</v>
      </c>
      <c r="D593" s="9"/>
      <c r="E593" s="9"/>
      <c r="F593" s="9"/>
    </row>
    <row r="594" spans="1:6" x14ac:dyDescent="0.3">
      <c r="A594" s="26">
        <v>61978</v>
      </c>
      <c r="B594" s="27" t="s">
        <v>149</v>
      </c>
      <c r="C594" s="27" t="s">
        <v>150</v>
      </c>
      <c r="D594" s="9"/>
      <c r="E594" s="9"/>
      <c r="F594" s="9"/>
    </row>
    <row r="595" spans="1:6" x14ac:dyDescent="0.3">
      <c r="A595" s="26">
        <v>62013</v>
      </c>
      <c r="B595" s="27" t="s">
        <v>149</v>
      </c>
      <c r="C595" s="27" t="s">
        <v>152</v>
      </c>
      <c r="D595" s="9"/>
      <c r="E595" s="9"/>
      <c r="F595" s="9"/>
    </row>
    <row r="596" spans="1:6" x14ac:dyDescent="0.3">
      <c r="A596" s="26">
        <v>62034</v>
      </c>
      <c r="B596" s="27" t="s">
        <v>149</v>
      </c>
      <c r="C596" s="27" t="s">
        <v>154</v>
      </c>
      <c r="D596" s="9"/>
      <c r="E596" s="9"/>
      <c r="F596" s="9"/>
    </row>
    <row r="597" spans="1:6" x14ac:dyDescent="0.3">
      <c r="A597" s="26">
        <v>62047</v>
      </c>
      <c r="B597" s="27" t="s">
        <v>137</v>
      </c>
      <c r="C597" s="27" t="s">
        <v>156</v>
      </c>
      <c r="D597" s="9"/>
      <c r="E597" s="9"/>
      <c r="F597" s="9"/>
    </row>
    <row r="598" spans="1:6" x14ac:dyDescent="0.3">
      <c r="A598" s="26">
        <v>62052</v>
      </c>
      <c r="B598" s="27" t="s">
        <v>143</v>
      </c>
      <c r="C598" s="27" t="s">
        <v>158</v>
      </c>
      <c r="D598" s="9"/>
      <c r="E598" s="9"/>
      <c r="F598" s="9"/>
    </row>
    <row r="599" spans="1:6" x14ac:dyDescent="0.3">
      <c r="A599" s="26">
        <v>62087</v>
      </c>
      <c r="B599" s="27" t="s">
        <v>143</v>
      </c>
      <c r="C599" s="27" t="s">
        <v>160</v>
      </c>
      <c r="D599" s="9"/>
      <c r="E599" s="9"/>
      <c r="F599" s="9"/>
    </row>
    <row r="600" spans="1:6" x14ac:dyDescent="0.3">
      <c r="A600" s="26">
        <v>62094</v>
      </c>
      <c r="B600" s="27" t="s">
        <v>143</v>
      </c>
      <c r="C600" s="27" t="s">
        <v>131</v>
      </c>
      <c r="D600" s="9"/>
      <c r="E600" s="9"/>
      <c r="F600" s="9"/>
    </row>
    <row r="601" spans="1:6" x14ac:dyDescent="0.3">
      <c r="A601" s="26">
        <v>62134</v>
      </c>
      <c r="B601" s="27" t="s">
        <v>130</v>
      </c>
      <c r="C601" s="27" t="s">
        <v>133</v>
      </c>
      <c r="D601" s="9"/>
      <c r="E601" s="9"/>
      <c r="F601" s="9"/>
    </row>
    <row r="602" spans="1:6" x14ac:dyDescent="0.3">
      <c r="A602" s="26">
        <v>62135</v>
      </c>
      <c r="B602" s="27" t="s">
        <v>135</v>
      </c>
      <c r="C602" s="27" t="s">
        <v>133</v>
      </c>
      <c r="D602" s="9"/>
      <c r="E602" s="9"/>
      <c r="F602" s="9"/>
    </row>
    <row r="603" spans="1:6" x14ac:dyDescent="0.3">
      <c r="A603" s="26">
        <v>62180</v>
      </c>
      <c r="B603" s="27" t="s">
        <v>137</v>
      </c>
      <c r="C603" s="27" t="s">
        <v>138</v>
      </c>
      <c r="D603" s="9"/>
      <c r="E603" s="9"/>
      <c r="F603" s="9"/>
    </row>
    <row r="604" spans="1:6" x14ac:dyDescent="0.3">
      <c r="A604" s="26">
        <v>62204</v>
      </c>
      <c r="B604" s="27" t="s">
        <v>130</v>
      </c>
      <c r="C604" s="27" t="s">
        <v>141</v>
      </c>
      <c r="D604" s="9"/>
      <c r="E604" s="9"/>
      <c r="F604" s="9"/>
    </row>
    <row r="605" spans="1:6" x14ac:dyDescent="0.3">
      <c r="A605" s="26">
        <v>62214</v>
      </c>
      <c r="B605" s="27" t="s">
        <v>146</v>
      </c>
      <c r="C605" s="27" t="s">
        <v>144</v>
      </c>
      <c r="D605" s="9"/>
      <c r="E605" s="9"/>
      <c r="F605" s="9"/>
    </row>
    <row r="606" spans="1:6" x14ac:dyDescent="0.3">
      <c r="A606" s="26">
        <v>62242</v>
      </c>
      <c r="B606" s="27" t="s">
        <v>146</v>
      </c>
      <c r="C606" s="27" t="s">
        <v>147</v>
      </c>
      <c r="D606" s="9"/>
      <c r="E606" s="9"/>
      <c r="F606" s="9"/>
    </row>
    <row r="607" spans="1:6" x14ac:dyDescent="0.3">
      <c r="A607" s="26">
        <v>62343</v>
      </c>
      <c r="B607" s="27" t="s">
        <v>140</v>
      </c>
      <c r="C607" s="27" t="s">
        <v>150</v>
      </c>
      <c r="D607" s="9"/>
      <c r="E607" s="9"/>
      <c r="F607" s="9"/>
    </row>
    <row r="608" spans="1:6" x14ac:dyDescent="0.3">
      <c r="A608" s="26">
        <v>62378</v>
      </c>
      <c r="B608" s="27" t="s">
        <v>140</v>
      </c>
      <c r="C608" s="27" t="s">
        <v>152</v>
      </c>
      <c r="D608" s="9"/>
      <c r="E608" s="9"/>
      <c r="F608" s="9"/>
    </row>
    <row r="609" spans="1:6" x14ac:dyDescent="0.3">
      <c r="A609" s="26">
        <v>62399</v>
      </c>
      <c r="B609" s="27" t="s">
        <v>140</v>
      </c>
      <c r="C609" s="27" t="s">
        <v>154</v>
      </c>
      <c r="D609" s="9"/>
      <c r="E609" s="9"/>
      <c r="F609" s="9"/>
    </row>
    <row r="610" spans="1:6" x14ac:dyDescent="0.3">
      <c r="A610" s="26">
        <v>62412</v>
      </c>
      <c r="B610" s="27" t="s">
        <v>149</v>
      </c>
      <c r="C610" s="27" t="s">
        <v>156</v>
      </c>
      <c r="D610" s="9"/>
      <c r="E610" s="9"/>
      <c r="F610" s="9"/>
    </row>
    <row r="611" spans="1:6" x14ac:dyDescent="0.3">
      <c r="A611" s="26">
        <v>62417</v>
      </c>
      <c r="B611" s="27" t="s">
        <v>146</v>
      </c>
      <c r="C611" s="27" t="s">
        <v>158</v>
      </c>
      <c r="D611" s="9"/>
      <c r="E611" s="9"/>
      <c r="F611" s="9"/>
    </row>
    <row r="612" spans="1:6" x14ac:dyDescent="0.3">
      <c r="A612" s="26">
        <v>62452</v>
      </c>
      <c r="B612" s="27" t="s">
        <v>146</v>
      </c>
      <c r="C612" s="27" t="s">
        <v>160</v>
      </c>
      <c r="D612" s="9"/>
      <c r="E612" s="9"/>
      <c r="F612" s="9"/>
    </row>
    <row r="613" spans="1:6" x14ac:dyDescent="0.3">
      <c r="A613" s="26">
        <v>62459</v>
      </c>
      <c r="B613" s="27" t="s">
        <v>146</v>
      </c>
      <c r="C613" s="27" t="s">
        <v>131</v>
      </c>
      <c r="D613" s="9"/>
      <c r="E613" s="9"/>
      <c r="F613" s="9"/>
    </row>
    <row r="614" spans="1:6" x14ac:dyDescent="0.3">
      <c r="A614" s="26">
        <v>62519</v>
      </c>
      <c r="B614" s="27" t="s">
        <v>130</v>
      </c>
      <c r="C614" s="27" t="s">
        <v>133</v>
      </c>
      <c r="D614" s="9"/>
      <c r="E614" s="9"/>
      <c r="F614" s="9"/>
    </row>
    <row r="615" spans="1:6" x14ac:dyDescent="0.3">
      <c r="A615" s="26">
        <v>62520</v>
      </c>
      <c r="B615" s="27" t="s">
        <v>135</v>
      </c>
      <c r="C615" s="27" t="s">
        <v>133</v>
      </c>
      <c r="D615" s="9"/>
      <c r="E615" s="9"/>
      <c r="F615" s="9"/>
    </row>
    <row r="616" spans="1:6" x14ac:dyDescent="0.3">
      <c r="A616" s="26">
        <v>62565</v>
      </c>
      <c r="B616" s="27" t="s">
        <v>137</v>
      </c>
      <c r="C616" s="27" t="s">
        <v>138</v>
      </c>
      <c r="D616" s="9"/>
      <c r="E616" s="9"/>
      <c r="F616" s="9"/>
    </row>
    <row r="617" spans="1:6" x14ac:dyDescent="0.3">
      <c r="A617" s="26">
        <v>62569</v>
      </c>
      <c r="B617" s="27" t="s">
        <v>135</v>
      </c>
      <c r="C617" s="27" t="s">
        <v>141</v>
      </c>
      <c r="D617" s="9"/>
      <c r="E617" s="9"/>
      <c r="F617" s="9"/>
    </row>
    <row r="618" spans="1:6" x14ac:dyDescent="0.3">
      <c r="A618" s="26">
        <v>62579</v>
      </c>
      <c r="B618" s="27" t="s">
        <v>137</v>
      </c>
      <c r="C618" s="27" t="s">
        <v>144</v>
      </c>
      <c r="D618" s="9"/>
      <c r="E618" s="9"/>
      <c r="F618" s="9"/>
    </row>
    <row r="619" spans="1:6" x14ac:dyDescent="0.3">
      <c r="A619" s="26">
        <v>62627</v>
      </c>
      <c r="B619" s="27" t="s">
        <v>146</v>
      </c>
      <c r="C619" s="27" t="s">
        <v>147</v>
      </c>
      <c r="D619" s="9"/>
      <c r="E619" s="9"/>
      <c r="F619" s="9"/>
    </row>
    <row r="620" spans="1:6" x14ac:dyDescent="0.3">
      <c r="A620" s="26">
        <v>62708</v>
      </c>
      <c r="B620" s="27" t="s">
        <v>130</v>
      </c>
      <c r="C620" s="27" t="s">
        <v>150</v>
      </c>
      <c r="D620" s="9"/>
      <c r="E620" s="9"/>
      <c r="F620" s="9"/>
    </row>
    <row r="621" spans="1:6" x14ac:dyDescent="0.3">
      <c r="A621" s="26">
        <v>62743</v>
      </c>
      <c r="B621" s="27" t="s">
        <v>130</v>
      </c>
      <c r="C621" s="27" t="s">
        <v>152</v>
      </c>
      <c r="D621" s="9"/>
      <c r="E621" s="9"/>
      <c r="F621" s="9"/>
    </row>
    <row r="622" spans="1:6" x14ac:dyDescent="0.3">
      <c r="A622" s="26">
        <v>62764</v>
      </c>
      <c r="B622" s="27" t="s">
        <v>130</v>
      </c>
      <c r="C622" s="27" t="s">
        <v>154</v>
      </c>
      <c r="D622" s="9"/>
      <c r="E622" s="9"/>
      <c r="F622" s="9"/>
    </row>
    <row r="623" spans="1:6" x14ac:dyDescent="0.3">
      <c r="A623" s="26">
        <v>62777</v>
      </c>
      <c r="B623" s="27" t="s">
        <v>140</v>
      </c>
      <c r="C623" s="27" t="s">
        <v>156</v>
      </c>
      <c r="D623" s="9"/>
      <c r="E623" s="9"/>
      <c r="F623" s="9"/>
    </row>
    <row r="624" spans="1:6" x14ac:dyDescent="0.3">
      <c r="A624" s="26">
        <v>62782</v>
      </c>
      <c r="B624" s="27" t="s">
        <v>137</v>
      </c>
      <c r="C624" s="27" t="s">
        <v>158</v>
      </c>
      <c r="D624" s="9"/>
      <c r="E624" s="9"/>
      <c r="F624" s="9"/>
    </row>
    <row r="625" spans="1:6" x14ac:dyDescent="0.3">
      <c r="A625" s="26">
        <v>62817</v>
      </c>
      <c r="B625" s="27" t="s">
        <v>137</v>
      </c>
      <c r="C625" s="27" t="s">
        <v>160</v>
      </c>
      <c r="D625" s="9"/>
      <c r="E625" s="9"/>
      <c r="F625" s="9"/>
    </row>
    <row r="626" spans="1:6" x14ac:dyDescent="0.3">
      <c r="A626" s="26">
        <v>62824</v>
      </c>
      <c r="B626" s="27" t="s">
        <v>137</v>
      </c>
      <c r="C626" s="27" t="s">
        <v>131</v>
      </c>
      <c r="D626" s="9"/>
      <c r="E626" s="9"/>
      <c r="F626" s="9"/>
    </row>
    <row r="627" spans="1:6" x14ac:dyDescent="0.3">
      <c r="A627" s="26">
        <v>62876</v>
      </c>
      <c r="B627" s="27" t="s">
        <v>130</v>
      </c>
      <c r="C627" s="27" t="s">
        <v>133</v>
      </c>
      <c r="D627" s="9"/>
      <c r="E627" s="9"/>
      <c r="F627" s="9"/>
    </row>
    <row r="628" spans="1:6" x14ac:dyDescent="0.3">
      <c r="A628" s="26">
        <v>62877</v>
      </c>
      <c r="B628" s="27" t="s">
        <v>135</v>
      </c>
      <c r="C628" s="27" t="s">
        <v>133</v>
      </c>
      <c r="D628" s="9"/>
      <c r="E628" s="9"/>
      <c r="F628" s="9"/>
    </row>
    <row r="629" spans="1:6" x14ac:dyDescent="0.3">
      <c r="A629" s="26">
        <v>62922</v>
      </c>
      <c r="B629" s="27" t="s">
        <v>137</v>
      </c>
      <c r="C629" s="27" t="s">
        <v>138</v>
      </c>
      <c r="D629" s="9"/>
      <c r="E629" s="9"/>
      <c r="F629" s="9"/>
    </row>
    <row r="630" spans="1:6" x14ac:dyDescent="0.3">
      <c r="A630" s="26">
        <v>62935</v>
      </c>
      <c r="B630" s="27" t="s">
        <v>146</v>
      </c>
      <c r="C630" s="27" t="s">
        <v>141</v>
      </c>
      <c r="D630" s="9"/>
      <c r="E630" s="9"/>
      <c r="F630" s="9"/>
    </row>
    <row r="631" spans="1:6" x14ac:dyDescent="0.3">
      <c r="A631" s="26">
        <v>62945</v>
      </c>
      <c r="B631" s="27" t="s">
        <v>140</v>
      </c>
      <c r="C631" s="27" t="s">
        <v>144</v>
      </c>
      <c r="D631" s="9"/>
      <c r="E631" s="9"/>
      <c r="F631" s="9"/>
    </row>
    <row r="632" spans="1:6" x14ac:dyDescent="0.3">
      <c r="A632" s="26">
        <v>62984</v>
      </c>
      <c r="B632" s="27" t="s">
        <v>146</v>
      </c>
      <c r="C632" s="27" t="s">
        <v>147</v>
      </c>
      <c r="D632" s="9"/>
      <c r="E632" s="9"/>
      <c r="F632" s="9"/>
    </row>
    <row r="633" spans="1:6" x14ac:dyDescent="0.3">
      <c r="A633" s="26">
        <v>63074</v>
      </c>
      <c r="B633" s="27" t="s">
        <v>143</v>
      </c>
      <c r="C633" s="27" t="s">
        <v>150</v>
      </c>
      <c r="D633" s="9"/>
      <c r="E633" s="9"/>
      <c r="F633" s="9"/>
    </row>
    <row r="634" spans="1:6" x14ac:dyDescent="0.3">
      <c r="A634" s="26">
        <v>63109</v>
      </c>
      <c r="B634" s="27" t="s">
        <v>143</v>
      </c>
      <c r="C634" s="27" t="s">
        <v>152</v>
      </c>
      <c r="D634" s="9"/>
      <c r="E634" s="9"/>
      <c r="F634" s="9"/>
    </row>
    <row r="635" spans="1:6" x14ac:dyDescent="0.3">
      <c r="A635" s="26">
        <v>63130</v>
      </c>
      <c r="B635" s="27" t="s">
        <v>143</v>
      </c>
      <c r="C635" s="27" t="s">
        <v>154</v>
      </c>
      <c r="D635" s="9"/>
      <c r="E635" s="9"/>
      <c r="F635" s="9"/>
    </row>
    <row r="636" spans="1:6" x14ac:dyDescent="0.3">
      <c r="A636" s="26">
        <v>63143</v>
      </c>
      <c r="B636" s="27" t="s">
        <v>135</v>
      </c>
      <c r="C636" s="27" t="s">
        <v>156</v>
      </c>
      <c r="D636" s="9"/>
      <c r="E636" s="9"/>
      <c r="F636" s="9"/>
    </row>
    <row r="637" spans="1:6" x14ac:dyDescent="0.3">
      <c r="A637" s="26">
        <v>63148</v>
      </c>
      <c r="B637" s="27" t="s">
        <v>140</v>
      </c>
      <c r="C637" s="27" t="s">
        <v>158</v>
      </c>
      <c r="D637" s="9"/>
      <c r="E637" s="9"/>
      <c r="F637" s="9"/>
    </row>
    <row r="638" spans="1:6" x14ac:dyDescent="0.3">
      <c r="A638" s="26">
        <v>63183</v>
      </c>
      <c r="B638" s="27" t="s">
        <v>140</v>
      </c>
      <c r="C638" s="27" t="s">
        <v>160</v>
      </c>
      <c r="D638" s="9"/>
      <c r="E638" s="9"/>
      <c r="F638" s="9"/>
    </row>
    <row r="639" spans="1:6" x14ac:dyDescent="0.3">
      <c r="A639" s="26">
        <v>63190</v>
      </c>
      <c r="B639" s="27" t="s">
        <v>140</v>
      </c>
      <c r="C639" s="27" t="s">
        <v>131</v>
      </c>
      <c r="D639" s="9"/>
      <c r="E639" s="9"/>
      <c r="F639" s="9"/>
    </row>
    <row r="640" spans="1:6" x14ac:dyDescent="0.3">
      <c r="A640" s="26">
        <v>63226</v>
      </c>
      <c r="B640" s="27" t="s">
        <v>130</v>
      </c>
      <c r="C640" s="27" t="s">
        <v>133</v>
      </c>
      <c r="D640" s="9"/>
      <c r="E640" s="9"/>
      <c r="F640" s="9"/>
    </row>
    <row r="641" spans="1:6" x14ac:dyDescent="0.3">
      <c r="A641" s="26">
        <v>63227</v>
      </c>
      <c r="B641" s="27" t="s">
        <v>135</v>
      </c>
      <c r="C641" s="27" t="s">
        <v>133</v>
      </c>
      <c r="D641" s="9"/>
      <c r="E641" s="9"/>
      <c r="F641" s="9"/>
    </row>
    <row r="642" spans="1:6" x14ac:dyDescent="0.3">
      <c r="A642" s="26">
        <v>63272</v>
      </c>
      <c r="B642" s="27" t="s">
        <v>137</v>
      </c>
      <c r="C642" s="27" t="s">
        <v>138</v>
      </c>
      <c r="D642" s="9"/>
      <c r="E642" s="9"/>
      <c r="F642" s="9"/>
    </row>
    <row r="643" spans="1:6" x14ac:dyDescent="0.3">
      <c r="A643" s="26">
        <v>63300</v>
      </c>
      <c r="B643" s="27" t="s">
        <v>137</v>
      </c>
      <c r="C643" s="27" t="s">
        <v>141</v>
      </c>
      <c r="D643" s="9"/>
      <c r="E643" s="9"/>
      <c r="F643" s="9"/>
    </row>
    <row r="644" spans="1:6" x14ac:dyDescent="0.3">
      <c r="A644" s="26">
        <v>63310</v>
      </c>
      <c r="B644" s="27" t="s">
        <v>130</v>
      </c>
      <c r="C644" s="27" t="s">
        <v>144</v>
      </c>
      <c r="D644" s="9"/>
      <c r="E644" s="9"/>
      <c r="F644" s="9"/>
    </row>
    <row r="645" spans="1:6" x14ac:dyDescent="0.3">
      <c r="A645" s="26">
        <v>63334</v>
      </c>
      <c r="B645" s="27" t="s">
        <v>146</v>
      </c>
      <c r="C645" s="27" t="s">
        <v>147</v>
      </c>
      <c r="D645" s="9"/>
      <c r="E645" s="9"/>
      <c r="F645" s="9"/>
    </row>
    <row r="646" spans="1:6" x14ac:dyDescent="0.3">
      <c r="A646" s="26">
        <v>63439</v>
      </c>
      <c r="B646" s="27" t="s">
        <v>146</v>
      </c>
      <c r="C646" s="27" t="s">
        <v>150</v>
      </c>
      <c r="D646" s="9"/>
      <c r="E646" s="9"/>
      <c r="F646" s="9"/>
    </row>
    <row r="647" spans="1:6" x14ac:dyDescent="0.3">
      <c r="A647" s="26">
        <v>63474</v>
      </c>
      <c r="B647" s="27" t="s">
        <v>146</v>
      </c>
      <c r="C647" s="27" t="s">
        <v>152</v>
      </c>
      <c r="D647" s="9"/>
      <c r="E647" s="9"/>
      <c r="F647" s="9"/>
    </row>
    <row r="648" spans="1:6" x14ac:dyDescent="0.3">
      <c r="A648" s="26">
        <v>63495</v>
      </c>
      <c r="B648" s="27" t="s">
        <v>146</v>
      </c>
      <c r="C648" s="27" t="s">
        <v>154</v>
      </c>
      <c r="D648" s="9"/>
      <c r="E648" s="9"/>
      <c r="F648" s="9"/>
    </row>
    <row r="649" spans="1:6" x14ac:dyDescent="0.3">
      <c r="A649" s="26">
        <v>63508</v>
      </c>
      <c r="B649" s="27" t="s">
        <v>143</v>
      </c>
      <c r="C649" s="27" t="s">
        <v>156</v>
      </c>
      <c r="D649" s="9"/>
      <c r="E649" s="9"/>
      <c r="F649" s="9"/>
    </row>
    <row r="650" spans="1:6" x14ac:dyDescent="0.3">
      <c r="A650" s="26">
        <v>63513</v>
      </c>
      <c r="B650" s="27" t="s">
        <v>130</v>
      </c>
      <c r="C650" s="27" t="s">
        <v>158</v>
      </c>
      <c r="D650" s="9"/>
      <c r="E650" s="9"/>
      <c r="F650" s="9"/>
    </row>
    <row r="651" spans="1:6" x14ac:dyDescent="0.3">
      <c r="A651" s="26">
        <v>63548</v>
      </c>
      <c r="B651" s="27" t="s">
        <v>130</v>
      </c>
      <c r="C651" s="27" t="s">
        <v>160</v>
      </c>
      <c r="D651" s="9"/>
      <c r="E651" s="9"/>
      <c r="F651" s="9"/>
    </row>
    <row r="652" spans="1:6" x14ac:dyDescent="0.3">
      <c r="A652" s="26">
        <v>63555</v>
      </c>
      <c r="B652" s="27" t="s">
        <v>130</v>
      </c>
      <c r="C652" s="27" t="s">
        <v>131</v>
      </c>
      <c r="D652" s="9"/>
      <c r="E652" s="9"/>
      <c r="F652" s="9"/>
    </row>
    <row r="653" spans="1:6" x14ac:dyDescent="0.3">
      <c r="A653" s="26">
        <v>63611</v>
      </c>
      <c r="B653" s="27" t="s">
        <v>130</v>
      </c>
      <c r="C653" s="27" t="s">
        <v>133</v>
      </c>
      <c r="D653" s="9"/>
      <c r="E653" s="9"/>
      <c r="F653" s="9"/>
    </row>
    <row r="654" spans="1:6" x14ac:dyDescent="0.3">
      <c r="A654" s="26">
        <v>63612</v>
      </c>
      <c r="B654" s="27" t="s">
        <v>135</v>
      </c>
      <c r="C654" s="27" t="s">
        <v>133</v>
      </c>
      <c r="D654" s="9"/>
      <c r="E654" s="9"/>
      <c r="F654" s="9"/>
    </row>
    <row r="655" spans="1:6" x14ac:dyDescent="0.3">
      <c r="A655" s="26">
        <v>63657</v>
      </c>
      <c r="B655" s="27" t="s">
        <v>137</v>
      </c>
      <c r="C655" s="27" t="s">
        <v>138</v>
      </c>
      <c r="D655" s="9"/>
      <c r="E655" s="9"/>
      <c r="F655" s="9"/>
    </row>
    <row r="656" spans="1:6" x14ac:dyDescent="0.3">
      <c r="A656" s="26">
        <v>63665</v>
      </c>
      <c r="B656" s="27" t="s">
        <v>149</v>
      </c>
      <c r="C656" s="27" t="s">
        <v>141</v>
      </c>
      <c r="D656" s="9"/>
      <c r="E656" s="9"/>
      <c r="F656" s="9"/>
    </row>
    <row r="657" spans="1:6" x14ac:dyDescent="0.3">
      <c r="A657" s="26">
        <v>63675</v>
      </c>
      <c r="B657" s="27" t="s">
        <v>135</v>
      </c>
      <c r="C657" s="27" t="s">
        <v>144</v>
      </c>
      <c r="D657" s="9"/>
      <c r="E657" s="9"/>
      <c r="F657" s="9"/>
    </row>
    <row r="658" spans="1:6" x14ac:dyDescent="0.3">
      <c r="A658" s="26">
        <v>63719</v>
      </c>
      <c r="B658" s="27" t="s">
        <v>146</v>
      </c>
      <c r="C658" s="27" t="s">
        <v>147</v>
      </c>
      <c r="D658" s="9"/>
      <c r="E658" s="9"/>
      <c r="F658" s="9"/>
    </row>
    <row r="659" spans="1:6" x14ac:dyDescent="0.3">
      <c r="A659" s="26">
        <v>63804</v>
      </c>
      <c r="B659" s="27" t="s">
        <v>137</v>
      </c>
      <c r="C659" s="27" t="s">
        <v>150</v>
      </c>
      <c r="D659" s="9"/>
      <c r="E659" s="9"/>
      <c r="F659" s="9"/>
    </row>
    <row r="660" spans="1:6" x14ac:dyDescent="0.3">
      <c r="A660" s="26">
        <v>63839</v>
      </c>
      <c r="B660" s="27" t="s">
        <v>137</v>
      </c>
      <c r="C660" s="27" t="s">
        <v>152</v>
      </c>
      <c r="D660" s="9"/>
      <c r="E660" s="9"/>
      <c r="F660" s="9"/>
    </row>
    <row r="661" spans="1:6" x14ac:dyDescent="0.3">
      <c r="A661" s="26">
        <v>63860</v>
      </c>
      <c r="B661" s="27" t="s">
        <v>137</v>
      </c>
      <c r="C661" s="27" t="s">
        <v>154</v>
      </c>
      <c r="D661" s="9"/>
      <c r="E661" s="9"/>
      <c r="F661" s="9"/>
    </row>
    <row r="662" spans="1:6" x14ac:dyDescent="0.3">
      <c r="A662" s="26">
        <v>63873</v>
      </c>
      <c r="B662" s="27" t="s">
        <v>146</v>
      </c>
      <c r="C662" s="27" t="s">
        <v>156</v>
      </c>
      <c r="D662" s="9"/>
      <c r="E662" s="9"/>
      <c r="F662" s="9"/>
    </row>
    <row r="663" spans="1:6" x14ac:dyDescent="0.3">
      <c r="A663" s="26">
        <v>63878</v>
      </c>
      <c r="B663" s="27" t="s">
        <v>135</v>
      </c>
      <c r="C663" s="27" t="s">
        <v>158</v>
      </c>
      <c r="D663" s="9"/>
      <c r="E663" s="9"/>
      <c r="F663" s="9"/>
    </row>
    <row r="664" spans="1:6" x14ac:dyDescent="0.3">
      <c r="A664" s="26">
        <v>63913</v>
      </c>
      <c r="B664" s="27" t="s">
        <v>135</v>
      </c>
      <c r="C664" s="27" t="s">
        <v>160</v>
      </c>
      <c r="D664" s="9"/>
      <c r="E664" s="9"/>
      <c r="F664" s="9"/>
    </row>
    <row r="665" spans="1:6" x14ac:dyDescent="0.3">
      <c r="A665" s="26">
        <v>63920</v>
      </c>
      <c r="B665" s="27" t="s">
        <v>135</v>
      </c>
      <c r="C665" s="27" t="s">
        <v>131</v>
      </c>
      <c r="D665" s="9"/>
      <c r="E665" s="9"/>
      <c r="F665" s="9"/>
    </row>
    <row r="666" spans="1:6" x14ac:dyDescent="0.3">
      <c r="A666" s="26">
        <v>63968</v>
      </c>
      <c r="B666" s="27" t="s">
        <v>130</v>
      </c>
      <c r="C666" s="27" t="s">
        <v>133</v>
      </c>
      <c r="D666" s="9"/>
      <c r="E666" s="9"/>
      <c r="F666" s="9"/>
    </row>
    <row r="667" spans="1:6" x14ac:dyDescent="0.3">
      <c r="A667" s="26">
        <v>63969</v>
      </c>
      <c r="B667" s="27" t="s">
        <v>135</v>
      </c>
      <c r="C667" s="27" t="s">
        <v>133</v>
      </c>
      <c r="D667" s="9"/>
      <c r="E667" s="9"/>
      <c r="F667" s="9"/>
    </row>
    <row r="668" spans="1:6" x14ac:dyDescent="0.3">
      <c r="A668" s="26">
        <v>64014</v>
      </c>
      <c r="B668" s="27" t="s">
        <v>137</v>
      </c>
      <c r="C668" s="27" t="s">
        <v>138</v>
      </c>
      <c r="D668" s="9"/>
      <c r="E668" s="9"/>
      <c r="F668" s="9"/>
    </row>
    <row r="669" spans="1:6" x14ac:dyDescent="0.3">
      <c r="A669" s="26">
        <v>64030</v>
      </c>
      <c r="B669" s="27" t="s">
        <v>140</v>
      </c>
      <c r="C669" s="27" t="s">
        <v>141</v>
      </c>
      <c r="D669" s="9"/>
      <c r="E669" s="9"/>
      <c r="F669" s="9"/>
    </row>
    <row r="670" spans="1:6" x14ac:dyDescent="0.3">
      <c r="A670" s="26">
        <v>64040</v>
      </c>
      <c r="B670" s="27" t="s">
        <v>143</v>
      </c>
      <c r="C670" s="27" t="s">
        <v>144</v>
      </c>
      <c r="D670" s="9"/>
      <c r="E670" s="9"/>
      <c r="F670" s="9"/>
    </row>
    <row r="671" spans="1:6" x14ac:dyDescent="0.3">
      <c r="A671" s="26">
        <v>64076</v>
      </c>
      <c r="B671" s="27" t="s">
        <v>146</v>
      </c>
      <c r="C671" s="27" t="s">
        <v>147</v>
      </c>
      <c r="D671" s="9"/>
      <c r="E671" s="9"/>
      <c r="F671" s="9"/>
    </row>
    <row r="672" spans="1:6" x14ac:dyDescent="0.3">
      <c r="A672" s="26">
        <v>64169</v>
      </c>
      <c r="B672" s="27" t="s">
        <v>149</v>
      </c>
      <c r="C672" s="27" t="s">
        <v>150</v>
      </c>
      <c r="D672" s="9"/>
      <c r="E672" s="9"/>
      <c r="F672" s="9"/>
    </row>
    <row r="673" spans="1:6" x14ac:dyDescent="0.3">
      <c r="A673" s="26">
        <v>64204</v>
      </c>
      <c r="B673" s="27" t="s">
        <v>149</v>
      </c>
      <c r="C673" s="27" t="s">
        <v>152</v>
      </c>
      <c r="D673" s="9"/>
      <c r="E673" s="9"/>
      <c r="F673" s="9"/>
    </row>
    <row r="674" spans="1:6" x14ac:dyDescent="0.3">
      <c r="A674" s="26">
        <v>64225</v>
      </c>
      <c r="B674" s="27" t="s">
        <v>149</v>
      </c>
      <c r="C674" s="27" t="s">
        <v>154</v>
      </c>
      <c r="D674" s="9"/>
      <c r="E674" s="9"/>
      <c r="F674" s="9"/>
    </row>
    <row r="675" spans="1:6" x14ac:dyDescent="0.3">
      <c r="A675" s="26">
        <v>64238</v>
      </c>
      <c r="B675" s="27" t="s">
        <v>137</v>
      </c>
      <c r="C675" s="27" t="s">
        <v>156</v>
      </c>
      <c r="D675" s="9"/>
      <c r="E675" s="9"/>
      <c r="F675" s="9"/>
    </row>
    <row r="676" spans="1:6" x14ac:dyDescent="0.3">
      <c r="A676" s="26">
        <v>64243</v>
      </c>
      <c r="B676" s="27" t="s">
        <v>143</v>
      </c>
      <c r="C676" s="27" t="s">
        <v>158</v>
      </c>
      <c r="D676" s="9"/>
      <c r="E676" s="9"/>
      <c r="F676" s="9"/>
    </row>
    <row r="677" spans="1:6" x14ac:dyDescent="0.3">
      <c r="A677" s="26">
        <v>64278</v>
      </c>
      <c r="B677" s="27" t="s">
        <v>143</v>
      </c>
      <c r="C677" s="27" t="s">
        <v>160</v>
      </c>
      <c r="D677" s="9"/>
      <c r="E677" s="9"/>
      <c r="F677" s="9"/>
    </row>
    <row r="678" spans="1:6" x14ac:dyDescent="0.3">
      <c r="A678" s="26">
        <v>64285</v>
      </c>
      <c r="B678" s="27" t="s">
        <v>143</v>
      </c>
      <c r="C678" s="27" t="s">
        <v>131</v>
      </c>
      <c r="D678" s="9"/>
      <c r="E678" s="9"/>
      <c r="F678" s="9"/>
    </row>
    <row r="679" spans="1:6" x14ac:dyDescent="0.3">
      <c r="A679" s="26">
        <v>64346</v>
      </c>
      <c r="B679" s="27" t="s">
        <v>130</v>
      </c>
      <c r="C679" s="27" t="s">
        <v>133</v>
      </c>
      <c r="D679" s="9"/>
      <c r="E679" s="9"/>
      <c r="F679" s="9"/>
    </row>
    <row r="680" spans="1:6" x14ac:dyDescent="0.3">
      <c r="A680" s="26">
        <v>64347</v>
      </c>
      <c r="B680" s="27" t="s">
        <v>135</v>
      </c>
      <c r="C680" s="27" t="s">
        <v>133</v>
      </c>
      <c r="D680" s="9"/>
      <c r="E680" s="9"/>
      <c r="F680" s="9"/>
    </row>
    <row r="681" spans="1:6" x14ac:dyDescent="0.3">
      <c r="A681" s="26">
        <v>64392</v>
      </c>
      <c r="B681" s="27" t="s">
        <v>137</v>
      </c>
      <c r="C681" s="27" t="s">
        <v>138</v>
      </c>
      <c r="D681" s="9"/>
      <c r="E681" s="9"/>
      <c r="F681" s="9"/>
    </row>
    <row r="682" spans="1:6" x14ac:dyDescent="0.3">
      <c r="A682" s="26">
        <v>64396</v>
      </c>
      <c r="B682" s="27" t="s">
        <v>135</v>
      </c>
      <c r="C682" s="27" t="s">
        <v>141</v>
      </c>
      <c r="D682" s="9"/>
      <c r="E682" s="9"/>
      <c r="F682" s="9"/>
    </row>
    <row r="683" spans="1:6" x14ac:dyDescent="0.3">
      <c r="A683" s="26">
        <v>64406</v>
      </c>
      <c r="B683" s="27" t="s">
        <v>137</v>
      </c>
      <c r="C683" s="27" t="s">
        <v>144</v>
      </c>
      <c r="D683" s="9"/>
      <c r="E683" s="9"/>
      <c r="F683" s="9"/>
    </row>
    <row r="684" spans="1:6" x14ac:dyDescent="0.3">
      <c r="A684" s="26">
        <v>64454</v>
      </c>
      <c r="B684" s="27" t="s">
        <v>146</v>
      </c>
      <c r="C684" s="27" t="s">
        <v>147</v>
      </c>
      <c r="D684" s="9"/>
      <c r="E684" s="9"/>
      <c r="F684" s="9"/>
    </row>
    <row r="685" spans="1:6" x14ac:dyDescent="0.3">
      <c r="A685" s="26">
        <v>64535</v>
      </c>
      <c r="B685" s="27" t="s">
        <v>130</v>
      </c>
      <c r="C685" s="27" t="s">
        <v>150</v>
      </c>
      <c r="D685" s="9"/>
      <c r="E685" s="9"/>
      <c r="F685" s="9"/>
    </row>
    <row r="686" spans="1:6" x14ac:dyDescent="0.3">
      <c r="A686" s="26">
        <v>64570</v>
      </c>
      <c r="B686" s="27" t="s">
        <v>130</v>
      </c>
      <c r="C686" s="27" t="s">
        <v>152</v>
      </c>
      <c r="D686" s="9"/>
      <c r="E686" s="9"/>
      <c r="F686" s="9"/>
    </row>
    <row r="687" spans="1:6" x14ac:dyDescent="0.3">
      <c r="A687" s="26">
        <v>64591</v>
      </c>
      <c r="B687" s="27" t="s">
        <v>130</v>
      </c>
      <c r="C687" s="27" t="s">
        <v>154</v>
      </c>
      <c r="D687" s="9"/>
      <c r="E687" s="9"/>
      <c r="F687" s="9"/>
    </row>
    <row r="688" spans="1:6" x14ac:dyDescent="0.3">
      <c r="A688" s="26">
        <v>64604</v>
      </c>
      <c r="B688" s="27" t="s">
        <v>140</v>
      </c>
      <c r="C688" s="27" t="s">
        <v>156</v>
      </c>
      <c r="D688" s="9"/>
      <c r="E688" s="9"/>
      <c r="F688" s="9"/>
    </row>
    <row r="689" spans="1:6" x14ac:dyDescent="0.3">
      <c r="A689" s="26">
        <v>64609</v>
      </c>
      <c r="B689" s="27" t="s">
        <v>137</v>
      </c>
      <c r="C689" s="27" t="s">
        <v>158</v>
      </c>
      <c r="D689" s="9"/>
      <c r="E689" s="9"/>
      <c r="F689" s="9"/>
    </row>
    <row r="690" spans="1:6" x14ac:dyDescent="0.3">
      <c r="A690" s="26">
        <v>64644</v>
      </c>
      <c r="B690" s="27" t="s">
        <v>137</v>
      </c>
      <c r="C690" s="27" t="s">
        <v>160</v>
      </c>
      <c r="D690" s="9"/>
      <c r="E690" s="9"/>
      <c r="F690" s="9"/>
    </row>
    <row r="691" spans="1:6" x14ac:dyDescent="0.3">
      <c r="A691" s="26">
        <v>64651</v>
      </c>
      <c r="B691" s="27" t="s">
        <v>137</v>
      </c>
      <c r="C691" s="27" t="s">
        <v>131</v>
      </c>
      <c r="D691" s="9"/>
      <c r="E691" s="9"/>
      <c r="F691" s="9"/>
    </row>
    <row r="692" spans="1:6" x14ac:dyDescent="0.3">
      <c r="A692" s="26">
        <v>64703</v>
      </c>
      <c r="B692" s="27" t="s">
        <v>130</v>
      </c>
      <c r="C692" s="27" t="s">
        <v>133</v>
      </c>
      <c r="D692" s="9"/>
      <c r="E692" s="9"/>
      <c r="F692" s="9"/>
    </row>
    <row r="693" spans="1:6" x14ac:dyDescent="0.3">
      <c r="A693" s="26">
        <v>64704</v>
      </c>
      <c r="B693" s="27" t="s">
        <v>135</v>
      </c>
      <c r="C693" s="27" t="s">
        <v>133</v>
      </c>
      <c r="D693" s="9"/>
      <c r="E693" s="9"/>
      <c r="F693" s="9"/>
    </row>
    <row r="694" spans="1:6" x14ac:dyDescent="0.3">
      <c r="A694" s="26">
        <v>64749</v>
      </c>
      <c r="B694" s="27" t="s">
        <v>137</v>
      </c>
      <c r="C694" s="27" t="s">
        <v>138</v>
      </c>
      <c r="D694" s="9"/>
      <c r="E694" s="9"/>
      <c r="F694" s="9"/>
    </row>
    <row r="695" spans="1:6" x14ac:dyDescent="0.3">
      <c r="A695" s="26">
        <v>64761</v>
      </c>
      <c r="B695" s="27" t="s">
        <v>143</v>
      </c>
      <c r="C695" s="27" t="s">
        <v>141</v>
      </c>
      <c r="D695" s="9"/>
      <c r="E695" s="9"/>
      <c r="F695" s="9"/>
    </row>
    <row r="696" spans="1:6" x14ac:dyDescent="0.3">
      <c r="A696" s="26">
        <v>64771</v>
      </c>
      <c r="B696" s="27" t="s">
        <v>149</v>
      </c>
      <c r="C696" s="27" t="s">
        <v>144</v>
      </c>
      <c r="D696" s="9"/>
      <c r="E696" s="9"/>
      <c r="F696" s="9"/>
    </row>
    <row r="697" spans="1:6" x14ac:dyDescent="0.3">
      <c r="A697" s="26">
        <v>64811</v>
      </c>
      <c r="B697" s="27" t="s">
        <v>146</v>
      </c>
      <c r="C697" s="27" t="s">
        <v>147</v>
      </c>
      <c r="D697" s="9"/>
      <c r="E697" s="9"/>
      <c r="F697" s="9"/>
    </row>
    <row r="698" spans="1:6" x14ac:dyDescent="0.3">
      <c r="A698" s="26">
        <v>64900</v>
      </c>
      <c r="B698" s="27" t="s">
        <v>135</v>
      </c>
      <c r="C698" s="27" t="s">
        <v>150</v>
      </c>
      <c r="D698" s="9"/>
      <c r="E698" s="9"/>
      <c r="F698" s="9"/>
    </row>
    <row r="699" spans="1:6" x14ac:dyDescent="0.3">
      <c r="A699" s="26">
        <v>64935</v>
      </c>
      <c r="B699" s="27" t="s">
        <v>135</v>
      </c>
      <c r="C699" s="27" t="s">
        <v>152</v>
      </c>
      <c r="D699" s="9"/>
      <c r="E699" s="9"/>
      <c r="F699" s="9"/>
    </row>
    <row r="700" spans="1:6" x14ac:dyDescent="0.3">
      <c r="A700" s="26">
        <v>64956</v>
      </c>
      <c r="B700" s="27" t="s">
        <v>135</v>
      </c>
      <c r="C700" s="27" t="s">
        <v>154</v>
      </c>
      <c r="D700" s="9"/>
      <c r="E700" s="9"/>
      <c r="F700" s="9"/>
    </row>
    <row r="701" spans="1:6" x14ac:dyDescent="0.3">
      <c r="A701" s="26">
        <v>64969</v>
      </c>
      <c r="B701" s="27" t="s">
        <v>130</v>
      </c>
      <c r="C701" s="27" t="s">
        <v>156</v>
      </c>
      <c r="D701" s="9"/>
      <c r="E701" s="9"/>
      <c r="F701" s="9"/>
    </row>
    <row r="702" spans="1:6" x14ac:dyDescent="0.3">
      <c r="A702" s="26">
        <v>64974</v>
      </c>
      <c r="B702" s="27" t="s">
        <v>149</v>
      </c>
      <c r="C702" s="27" t="s">
        <v>158</v>
      </c>
      <c r="D702" s="9"/>
      <c r="E702" s="9"/>
      <c r="F702" s="9"/>
    </row>
    <row r="703" spans="1:6" x14ac:dyDescent="0.3">
      <c r="A703" s="26">
        <v>65009</v>
      </c>
      <c r="B703" s="27" t="s">
        <v>149</v>
      </c>
      <c r="C703" s="27" t="s">
        <v>160</v>
      </c>
      <c r="D703" s="9"/>
      <c r="E703" s="9"/>
      <c r="F703" s="9"/>
    </row>
    <row r="704" spans="1:6" x14ac:dyDescent="0.3">
      <c r="A704" s="26">
        <v>65016</v>
      </c>
      <c r="B704" s="27" t="s">
        <v>149</v>
      </c>
      <c r="C704" s="27" t="s">
        <v>131</v>
      </c>
      <c r="D704" s="9"/>
      <c r="E704" s="9"/>
      <c r="F704" s="9"/>
    </row>
    <row r="705" spans="1:6" x14ac:dyDescent="0.3">
      <c r="A705" s="26">
        <v>65060</v>
      </c>
      <c r="B705" s="27" t="s">
        <v>130</v>
      </c>
      <c r="C705" s="27" t="s">
        <v>133</v>
      </c>
      <c r="D705" s="9"/>
      <c r="E705" s="9"/>
      <c r="F705" s="9"/>
    </row>
    <row r="706" spans="1:6" x14ac:dyDescent="0.3">
      <c r="A706" s="26">
        <v>65061</v>
      </c>
      <c r="B706" s="27" t="s">
        <v>135</v>
      </c>
      <c r="C706" s="27" t="s">
        <v>133</v>
      </c>
      <c r="D706" s="9"/>
      <c r="E706" s="9"/>
      <c r="F706" s="9"/>
    </row>
    <row r="707" spans="1:6" x14ac:dyDescent="0.3">
      <c r="A707" s="26">
        <v>65106</v>
      </c>
      <c r="B707" s="27" t="s">
        <v>137</v>
      </c>
      <c r="C707" s="27" t="s">
        <v>138</v>
      </c>
      <c r="D707" s="9"/>
      <c r="E707" s="9"/>
      <c r="F707" s="9"/>
    </row>
    <row r="708" spans="1:6" x14ac:dyDescent="0.3">
      <c r="A708" s="26">
        <v>65126</v>
      </c>
      <c r="B708" s="27" t="s">
        <v>146</v>
      </c>
      <c r="C708" s="27" t="s">
        <v>141</v>
      </c>
      <c r="D708" s="9"/>
      <c r="E708" s="9"/>
      <c r="F708" s="9"/>
    </row>
    <row r="709" spans="1:6" x14ac:dyDescent="0.3">
      <c r="A709" s="26">
        <v>65136</v>
      </c>
      <c r="B709" s="27" t="s">
        <v>140</v>
      </c>
      <c r="C709" s="27" t="s">
        <v>144</v>
      </c>
      <c r="D709" s="9"/>
      <c r="E709" s="9"/>
      <c r="F709" s="9"/>
    </row>
    <row r="710" spans="1:6" x14ac:dyDescent="0.3">
      <c r="A710" s="26">
        <v>65168</v>
      </c>
      <c r="B710" s="27" t="s">
        <v>146</v>
      </c>
      <c r="C710" s="27" t="s">
        <v>147</v>
      </c>
      <c r="D710" s="9"/>
      <c r="E710" s="9"/>
      <c r="F710" s="9"/>
    </row>
    <row r="711" spans="1:6" x14ac:dyDescent="0.3">
      <c r="A711" s="26">
        <v>65265</v>
      </c>
      <c r="B711" s="27" t="s">
        <v>143</v>
      </c>
      <c r="C711" s="27" t="s">
        <v>150</v>
      </c>
      <c r="D711" s="9"/>
      <c r="E711" s="9"/>
      <c r="F711" s="9"/>
    </row>
    <row r="712" spans="1:6" x14ac:dyDescent="0.3">
      <c r="A712" s="26">
        <v>65300</v>
      </c>
      <c r="B712" s="27" t="s">
        <v>143</v>
      </c>
      <c r="C712" s="27" t="s">
        <v>152</v>
      </c>
      <c r="D712" s="9"/>
      <c r="E712" s="9"/>
      <c r="F712" s="9"/>
    </row>
    <row r="713" spans="1:6" x14ac:dyDescent="0.3">
      <c r="A713" s="26">
        <v>65321</v>
      </c>
      <c r="B713" s="27" t="s">
        <v>143</v>
      </c>
      <c r="C713" s="27" t="s">
        <v>154</v>
      </c>
      <c r="D713" s="9"/>
      <c r="E713" s="9"/>
      <c r="F713" s="9"/>
    </row>
    <row r="714" spans="1:6" x14ac:dyDescent="0.3">
      <c r="A714" s="26">
        <v>65334</v>
      </c>
      <c r="B714" s="27" t="s">
        <v>135</v>
      </c>
      <c r="C714" s="27" t="s">
        <v>156</v>
      </c>
      <c r="D714" s="9"/>
      <c r="E714" s="9"/>
      <c r="F714" s="9"/>
    </row>
    <row r="715" spans="1:6" x14ac:dyDescent="0.3">
      <c r="A715" s="26">
        <v>65339</v>
      </c>
      <c r="B715" s="27" t="s">
        <v>140</v>
      </c>
      <c r="C715" s="27" t="s">
        <v>158</v>
      </c>
      <c r="D715" s="9"/>
      <c r="E715" s="9"/>
      <c r="F715" s="9"/>
    </row>
    <row r="716" spans="1:6" x14ac:dyDescent="0.3">
      <c r="A716" s="26">
        <v>65374</v>
      </c>
      <c r="B716" s="27" t="s">
        <v>140</v>
      </c>
      <c r="C716" s="27" t="s">
        <v>160</v>
      </c>
      <c r="D716" s="9"/>
      <c r="E716" s="9"/>
      <c r="F716" s="9"/>
    </row>
    <row r="717" spans="1:6" x14ac:dyDescent="0.3">
      <c r="A717" s="26">
        <v>65381</v>
      </c>
      <c r="B717" s="27" t="s">
        <v>140</v>
      </c>
      <c r="C717" s="27" t="s">
        <v>131</v>
      </c>
      <c r="D717" s="9"/>
      <c r="E717" s="9"/>
      <c r="F717" s="9"/>
    </row>
    <row r="718" spans="1:6" x14ac:dyDescent="0.3">
      <c r="A718" s="26">
        <v>65445</v>
      </c>
      <c r="B718" s="27" t="s">
        <v>130</v>
      </c>
      <c r="C718" s="27" t="s">
        <v>133</v>
      </c>
      <c r="D718" s="9"/>
      <c r="E718" s="9"/>
      <c r="F718" s="9"/>
    </row>
    <row r="719" spans="1:6" x14ac:dyDescent="0.3">
      <c r="A719" s="26">
        <v>65446</v>
      </c>
      <c r="B719" s="27" t="s">
        <v>135</v>
      </c>
      <c r="C719" s="27" t="s">
        <v>133</v>
      </c>
      <c r="D719" s="9"/>
      <c r="E719" s="9"/>
      <c r="F719" s="9"/>
    </row>
    <row r="720" spans="1:6" x14ac:dyDescent="0.3">
      <c r="A720" s="26">
        <v>65491</v>
      </c>
      <c r="B720" s="27" t="s">
        <v>137</v>
      </c>
      <c r="C720" s="27" t="s">
        <v>138</v>
      </c>
      <c r="D720" s="9"/>
      <c r="E720" s="9"/>
      <c r="F720" s="9"/>
    </row>
    <row r="721" spans="1:6" x14ac:dyDescent="0.3">
      <c r="A721" s="26">
        <v>65491</v>
      </c>
      <c r="B721" s="27" t="s">
        <v>137</v>
      </c>
      <c r="C721" s="27" t="s">
        <v>141</v>
      </c>
      <c r="D721" s="9"/>
      <c r="E721" s="9"/>
      <c r="F721" s="9"/>
    </row>
    <row r="722" spans="1:6" x14ac:dyDescent="0.3">
      <c r="A722" s="26">
        <v>65501</v>
      </c>
      <c r="B722" s="27" t="s">
        <v>130</v>
      </c>
      <c r="C722" s="27" t="s">
        <v>144</v>
      </c>
      <c r="D722" s="9"/>
      <c r="E722" s="9"/>
      <c r="F722" s="9"/>
    </row>
    <row r="723" spans="1:6" x14ac:dyDescent="0.3">
      <c r="A723" s="26">
        <v>65553</v>
      </c>
      <c r="B723" s="27" t="s">
        <v>146</v>
      </c>
      <c r="C723" s="27" t="s">
        <v>147</v>
      </c>
      <c r="D723" s="9"/>
      <c r="E723" s="9"/>
      <c r="F723" s="9"/>
    </row>
    <row r="724" spans="1:6" x14ac:dyDescent="0.3">
      <c r="A724" s="26">
        <v>65630</v>
      </c>
      <c r="B724" s="27" t="s">
        <v>146</v>
      </c>
      <c r="C724" s="27" t="s">
        <v>150</v>
      </c>
      <c r="D724" s="9"/>
      <c r="E724" s="9"/>
      <c r="F724" s="9"/>
    </row>
    <row r="725" spans="1:6" x14ac:dyDescent="0.3">
      <c r="A725" s="26">
        <v>65665</v>
      </c>
      <c r="B725" s="27" t="s">
        <v>146</v>
      </c>
      <c r="C725" s="27" t="s">
        <v>152</v>
      </c>
      <c r="D725" s="9"/>
      <c r="E725" s="9"/>
      <c r="F725" s="9"/>
    </row>
    <row r="726" spans="1:6" x14ac:dyDescent="0.3">
      <c r="A726" s="26">
        <v>65686</v>
      </c>
      <c r="B726" s="27" t="s">
        <v>146</v>
      </c>
      <c r="C726" s="27" t="s">
        <v>154</v>
      </c>
      <c r="D726" s="9"/>
      <c r="E726" s="9"/>
      <c r="F726" s="9"/>
    </row>
    <row r="727" spans="1:6" x14ac:dyDescent="0.3">
      <c r="A727" s="26">
        <v>65699</v>
      </c>
      <c r="B727" s="27" t="s">
        <v>143</v>
      </c>
      <c r="C727" s="27" t="s">
        <v>156</v>
      </c>
      <c r="D727" s="9"/>
      <c r="E727" s="9"/>
      <c r="F727" s="9"/>
    </row>
    <row r="728" spans="1:6" x14ac:dyDescent="0.3">
      <c r="A728" s="26">
        <v>65704</v>
      </c>
      <c r="B728" s="27" t="s">
        <v>130</v>
      </c>
      <c r="C728" s="27" t="s">
        <v>158</v>
      </c>
      <c r="D728" s="9"/>
      <c r="E728" s="9"/>
      <c r="F728" s="9"/>
    </row>
    <row r="729" spans="1:6" x14ac:dyDescent="0.3">
      <c r="A729" s="26">
        <v>65739</v>
      </c>
      <c r="B729" s="27" t="s">
        <v>130</v>
      </c>
      <c r="C729" s="27" t="s">
        <v>160</v>
      </c>
      <c r="D729" s="9"/>
      <c r="E729" s="9"/>
      <c r="F729" s="9"/>
    </row>
    <row r="730" spans="1:6" x14ac:dyDescent="0.3">
      <c r="A730" s="26">
        <v>65746</v>
      </c>
      <c r="B730" s="27" t="s">
        <v>130</v>
      </c>
      <c r="C730" s="27" t="s">
        <v>131</v>
      </c>
      <c r="D730" s="9"/>
      <c r="E730" s="9"/>
      <c r="F730" s="9"/>
    </row>
    <row r="731" spans="1:6" x14ac:dyDescent="0.3">
      <c r="A731" s="26">
        <v>65795</v>
      </c>
      <c r="B731" s="27" t="s">
        <v>130</v>
      </c>
      <c r="C731" s="27" t="s">
        <v>133</v>
      </c>
      <c r="D731" s="9"/>
      <c r="E731" s="9"/>
      <c r="F731" s="9"/>
    </row>
    <row r="732" spans="1:6" x14ac:dyDescent="0.3">
      <c r="A732" s="26">
        <v>65796</v>
      </c>
      <c r="B732" s="27" t="s">
        <v>135</v>
      </c>
      <c r="C732" s="27" t="s">
        <v>133</v>
      </c>
      <c r="D732" s="9"/>
      <c r="E732" s="9"/>
      <c r="F732" s="9"/>
    </row>
    <row r="733" spans="1:6" x14ac:dyDescent="0.3">
      <c r="A733" s="26">
        <v>65841</v>
      </c>
      <c r="B733" s="27" t="s">
        <v>137</v>
      </c>
      <c r="C733" s="27" t="s">
        <v>138</v>
      </c>
      <c r="D733" s="9"/>
      <c r="E733" s="9"/>
      <c r="F733" s="9"/>
    </row>
    <row r="734" spans="1:6" x14ac:dyDescent="0.3">
      <c r="A734" s="26">
        <v>65857</v>
      </c>
      <c r="B734" s="27" t="s">
        <v>140</v>
      </c>
      <c r="C734" s="27" t="s">
        <v>141</v>
      </c>
      <c r="D734" s="9"/>
      <c r="E734" s="9"/>
      <c r="F734" s="9"/>
    </row>
    <row r="735" spans="1:6" x14ac:dyDescent="0.3">
      <c r="A735" s="26">
        <v>65867</v>
      </c>
      <c r="B735" s="27" t="s">
        <v>143</v>
      </c>
      <c r="C735" s="27" t="s">
        <v>144</v>
      </c>
      <c r="D735" s="9"/>
      <c r="E735" s="9"/>
      <c r="F735" s="9"/>
    </row>
    <row r="736" spans="1:6" x14ac:dyDescent="0.3">
      <c r="A736" s="26">
        <v>65903</v>
      </c>
      <c r="B736" s="27" t="s">
        <v>146</v>
      </c>
      <c r="C736" s="27" t="s">
        <v>147</v>
      </c>
      <c r="D736" s="9"/>
      <c r="E736" s="9"/>
      <c r="F736" s="9"/>
    </row>
    <row r="737" spans="1:6" x14ac:dyDescent="0.3">
      <c r="A737" s="26">
        <v>65996</v>
      </c>
      <c r="B737" s="27" t="s">
        <v>149</v>
      </c>
      <c r="C737" s="27" t="s">
        <v>150</v>
      </c>
      <c r="D737" s="9"/>
      <c r="E737" s="9"/>
      <c r="F737" s="9"/>
    </row>
    <row r="738" spans="1:6" x14ac:dyDescent="0.3">
      <c r="A738" s="26">
        <v>66031</v>
      </c>
      <c r="B738" s="27" t="s">
        <v>149</v>
      </c>
      <c r="C738" s="27" t="s">
        <v>152</v>
      </c>
      <c r="D738" s="9"/>
      <c r="E738" s="9"/>
      <c r="F738" s="9"/>
    </row>
    <row r="739" spans="1:6" x14ac:dyDescent="0.3">
      <c r="A739" s="26">
        <v>66052</v>
      </c>
      <c r="B739" s="27" t="s">
        <v>149</v>
      </c>
      <c r="C739" s="27" t="s">
        <v>154</v>
      </c>
      <c r="D739" s="9"/>
      <c r="E739" s="9"/>
      <c r="F739" s="9"/>
    </row>
    <row r="740" spans="1:6" x14ac:dyDescent="0.3">
      <c r="A740" s="26">
        <v>66065</v>
      </c>
      <c r="B740" s="27" t="s">
        <v>137</v>
      </c>
      <c r="C740" s="27" t="s">
        <v>156</v>
      </c>
      <c r="D740" s="9"/>
      <c r="E740" s="9"/>
      <c r="F740" s="9"/>
    </row>
    <row r="741" spans="1:6" x14ac:dyDescent="0.3">
      <c r="A741" s="26">
        <v>66070</v>
      </c>
      <c r="B741" s="27" t="s">
        <v>143</v>
      </c>
      <c r="C741" s="27" t="s">
        <v>158</v>
      </c>
      <c r="D741" s="9"/>
      <c r="E741" s="9"/>
      <c r="F741" s="9"/>
    </row>
    <row r="742" spans="1:6" x14ac:dyDescent="0.3">
      <c r="A742" s="26">
        <v>66105</v>
      </c>
      <c r="B742" s="27" t="s">
        <v>143</v>
      </c>
      <c r="C742" s="27" t="s">
        <v>160</v>
      </c>
      <c r="D742" s="9"/>
      <c r="E742" s="9"/>
      <c r="F742" s="9"/>
    </row>
    <row r="743" spans="1:6" x14ac:dyDescent="0.3">
      <c r="A743" s="26">
        <v>66112</v>
      </c>
      <c r="B743" s="27" t="s">
        <v>143</v>
      </c>
      <c r="C743" s="27" t="s">
        <v>131</v>
      </c>
      <c r="D743" s="9"/>
      <c r="E743" s="9"/>
      <c r="F743" s="9"/>
    </row>
    <row r="744" spans="1:6" x14ac:dyDescent="0.3">
      <c r="A744" s="26">
        <v>66152</v>
      </c>
      <c r="B744" s="27" t="s">
        <v>130</v>
      </c>
      <c r="C744" s="27" t="s">
        <v>133</v>
      </c>
      <c r="D744" s="9"/>
      <c r="E744" s="9"/>
      <c r="F744" s="9"/>
    </row>
    <row r="745" spans="1:6" x14ac:dyDescent="0.3">
      <c r="A745" s="26">
        <v>66153</v>
      </c>
      <c r="B745" s="27" t="s">
        <v>135</v>
      </c>
      <c r="C745" s="27" t="s">
        <v>133</v>
      </c>
      <c r="D745" s="9"/>
      <c r="E745" s="9"/>
      <c r="F745" s="9"/>
    </row>
    <row r="746" spans="1:6" x14ac:dyDescent="0.3">
      <c r="A746" s="26">
        <v>66198</v>
      </c>
      <c r="B746" s="27" t="s">
        <v>137</v>
      </c>
      <c r="C746" s="27" t="s">
        <v>138</v>
      </c>
      <c r="D746" s="9"/>
      <c r="E746" s="9"/>
      <c r="F746" s="9"/>
    </row>
    <row r="747" spans="1:6" x14ac:dyDescent="0.3">
      <c r="A747" s="26">
        <v>66222</v>
      </c>
      <c r="B747" s="27" t="s">
        <v>130</v>
      </c>
      <c r="C747" s="27" t="s">
        <v>141</v>
      </c>
      <c r="D747" s="9"/>
      <c r="E747" s="9"/>
      <c r="F747" s="9"/>
    </row>
    <row r="748" spans="1:6" x14ac:dyDescent="0.3">
      <c r="A748" s="26">
        <v>66232</v>
      </c>
      <c r="B748" s="27" t="s">
        <v>146</v>
      </c>
      <c r="C748" s="27" t="s">
        <v>144</v>
      </c>
      <c r="D748" s="9"/>
      <c r="E748" s="9"/>
      <c r="F748" s="9"/>
    </row>
    <row r="749" spans="1:6" x14ac:dyDescent="0.3">
      <c r="A749" s="26">
        <v>66260</v>
      </c>
      <c r="B749" s="27" t="s">
        <v>146</v>
      </c>
      <c r="C749" s="27" t="s">
        <v>147</v>
      </c>
      <c r="D749" s="9"/>
      <c r="E749" s="9"/>
      <c r="F749" s="9"/>
    </row>
    <row r="750" spans="1:6" x14ac:dyDescent="0.3">
      <c r="A750" s="26">
        <v>66361</v>
      </c>
      <c r="B750" s="27" t="s">
        <v>140</v>
      </c>
      <c r="C750" s="27" t="s">
        <v>150</v>
      </c>
      <c r="D750" s="9"/>
      <c r="E750" s="9"/>
      <c r="F750" s="9"/>
    </row>
    <row r="751" spans="1:6" x14ac:dyDescent="0.3">
      <c r="A751" s="26">
        <v>66396</v>
      </c>
      <c r="B751" s="27" t="s">
        <v>140</v>
      </c>
      <c r="C751" s="27" t="s">
        <v>152</v>
      </c>
      <c r="D751" s="9"/>
      <c r="E751" s="9"/>
      <c r="F751" s="9"/>
    </row>
    <row r="752" spans="1:6" x14ac:dyDescent="0.3">
      <c r="A752" s="26">
        <v>66417</v>
      </c>
      <c r="B752" s="27" t="s">
        <v>140</v>
      </c>
      <c r="C752" s="27" t="s">
        <v>154</v>
      </c>
      <c r="D752" s="9"/>
      <c r="E752" s="9"/>
      <c r="F752" s="9"/>
    </row>
    <row r="753" spans="1:6" x14ac:dyDescent="0.3">
      <c r="A753" s="26">
        <v>66430</v>
      </c>
      <c r="B753" s="27" t="s">
        <v>149</v>
      </c>
      <c r="C753" s="27" t="s">
        <v>156</v>
      </c>
      <c r="D753" s="9"/>
      <c r="E753" s="9"/>
      <c r="F753" s="9"/>
    </row>
    <row r="754" spans="1:6" x14ac:dyDescent="0.3">
      <c r="A754" s="26">
        <v>66435</v>
      </c>
      <c r="B754" s="27" t="s">
        <v>146</v>
      </c>
      <c r="C754" s="27" t="s">
        <v>158</v>
      </c>
      <c r="D754" s="9"/>
      <c r="E754" s="9"/>
      <c r="F754" s="9"/>
    </row>
    <row r="755" spans="1:6" x14ac:dyDescent="0.3">
      <c r="A755" s="26">
        <v>66470</v>
      </c>
      <c r="B755" s="27" t="s">
        <v>146</v>
      </c>
      <c r="C755" s="27" t="s">
        <v>160</v>
      </c>
      <c r="D755" s="9"/>
      <c r="E755" s="9"/>
      <c r="F755" s="9"/>
    </row>
    <row r="756" spans="1:6" x14ac:dyDescent="0.3">
      <c r="A756" s="26">
        <v>66477</v>
      </c>
      <c r="B756" s="27" t="s">
        <v>146</v>
      </c>
      <c r="C756" s="27" t="s">
        <v>131</v>
      </c>
      <c r="D756" s="9"/>
      <c r="E756" s="9"/>
      <c r="F756" s="9"/>
    </row>
    <row r="757" spans="1:6" x14ac:dyDescent="0.3">
      <c r="A757" s="26">
        <v>66537</v>
      </c>
      <c r="B757" s="27" t="s">
        <v>130</v>
      </c>
      <c r="C757" s="27" t="s">
        <v>133</v>
      </c>
      <c r="D757" s="9"/>
      <c r="E757" s="9"/>
      <c r="F757" s="9"/>
    </row>
    <row r="758" spans="1:6" x14ac:dyDescent="0.3">
      <c r="A758" s="26">
        <v>66538</v>
      </c>
      <c r="B758" s="27" t="s">
        <v>135</v>
      </c>
      <c r="C758" s="27" t="s">
        <v>133</v>
      </c>
      <c r="D758" s="9"/>
      <c r="E758" s="9"/>
      <c r="F758" s="9"/>
    </row>
    <row r="759" spans="1:6" x14ac:dyDescent="0.3">
      <c r="A759" s="26">
        <v>66583</v>
      </c>
      <c r="B759" s="27" t="s">
        <v>137</v>
      </c>
      <c r="C759" s="27" t="s">
        <v>138</v>
      </c>
      <c r="D759" s="9"/>
      <c r="E759" s="9"/>
      <c r="F759" s="9"/>
    </row>
    <row r="760" spans="1:6" x14ac:dyDescent="0.3">
      <c r="A760" s="26">
        <v>66587</v>
      </c>
      <c r="B760" s="27" t="s">
        <v>135</v>
      </c>
      <c r="C760" s="27" t="s">
        <v>141</v>
      </c>
      <c r="D760" s="9"/>
      <c r="E760" s="9"/>
      <c r="F760" s="9"/>
    </row>
    <row r="761" spans="1:6" x14ac:dyDescent="0.3">
      <c r="A761" s="26">
        <v>66597</v>
      </c>
      <c r="B761" s="27" t="s">
        <v>137</v>
      </c>
      <c r="C761" s="27" t="s">
        <v>144</v>
      </c>
      <c r="D761" s="9"/>
      <c r="E761" s="9"/>
      <c r="F761" s="9"/>
    </row>
    <row r="762" spans="1:6" x14ac:dyDescent="0.3">
      <c r="A762" s="26">
        <v>66645</v>
      </c>
      <c r="B762" s="27" t="s">
        <v>146</v>
      </c>
      <c r="C762" s="27" t="s">
        <v>147</v>
      </c>
      <c r="D762" s="9"/>
      <c r="E762" s="9"/>
      <c r="F762" s="9"/>
    </row>
    <row r="763" spans="1:6" x14ac:dyDescent="0.3">
      <c r="A763" s="26">
        <v>66726</v>
      </c>
      <c r="B763" s="27" t="s">
        <v>130</v>
      </c>
      <c r="C763" s="27" t="s">
        <v>150</v>
      </c>
      <c r="D763" s="9"/>
      <c r="E763" s="9"/>
      <c r="F763" s="9"/>
    </row>
    <row r="764" spans="1:6" x14ac:dyDescent="0.3">
      <c r="A764" s="26">
        <v>66761</v>
      </c>
      <c r="B764" s="27" t="s">
        <v>130</v>
      </c>
      <c r="C764" s="27" t="s">
        <v>152</v>
      </c>
      <c r="D764" s="9"/>
      <c r="E764" s="9"/>
      <c r="F764" s="9"/>
    </row>
    <row r="765" spans="1:6" x14ac:dyDescent="0.3">
      <c r="A765" s="26">
        <v>66782</v>
      </c>
      <c r="B765" s="27" t="s">
        <v>130</v>
      </c>
      <c r="C765" s="27" t="s">
        <v>154</v>
      </c>
      <c r="D765" s="9"/>
      <c r="E765" s="9"/>
      <c r="F765" s="9"/>
    </row>
    <row r="766" spans="1:6" x14ac:dyDescent="0.3">
      <c r="A766" s="26">
        <v>66795</v>
      </c>
      <c r="B766" s="27" t="s">
        <v>140</v>
      </c>
      <c r="C766" s="27" t="s">
        <v>156</v>
      </c>
      <c r="D766" s="9"/>
      <c r="E766" s="9"/>
      <c r="F766" s="9"/>
    </row>
    <row r="767" spans="1:6" x14ac:dyDescent="0.3">
      <c r="A767" s="26">
        <v>66800</v>
      </c>
      <c r="B767" s="27" t="s">
        <v>137</v>
      </c>
      <c r="C767" s="27" t="s">
        <v>158</v>
      </c>
      <c r="D767" s="9"/>
      <c r="E767" s="9"/>
      <c r="F767" s="9"/>
    </row>
    <row r="768" spans="1:6" x14ac:dyDescent="0.3">
      <c r="A768" s="26">
        <v>66835</v>
      </c>
      <c r="B768" s="27" t="s">
        <v>137</v>
      </c>
      <c r="C768" s="27" t="s">
        <v>160</v>
      </c>
      <c r="D768" s="9"/>
      <c r="E768" s="9"/>
      <c r="F768" s="9"/>
    </row>
    <row r="769" spans="1:6" x14ac:dyDescent="0.3">
      <c r="A769" s="26">
        <v>66842</v>
      </c>
      <c r="B769" s="27" t="s">
        <v>137</v>
      </c>
      <c r="C769" s="27" t="s">
        <v>131</v>
      </c>
      <c r="D769" s="9"/>
      <c r="E769" s="9"/>
      <c r="F769" s="9"/>
    </row>
    <row r="770" spans="1:6" x14ac:dyDescent="0.3">
      <c r="A770" s="26">
        <v>66887</v>
      </c>
      <c r="B770" s="27" t="s">
        <v>130</v>
      </c>
      <c r="C770" s="27" t="s">
        <v>133</v>
      </c>
      <c r="D770" s="9"/>
      <c r="E770" s="9"/>
      <c r="F770" s="9"/>
    </row>
    <row r="771" spans="1:6" x14ac:dyDescent="0.3">
      <c r="A771" s="26">
        <v>66888</v>
      </c>
      <c r="B771" s="27" t="s">
        <v>135</v>
      </c>
      <c r="C771" s="27" t="s">
        <v>133</v>
      </c>
      <c r="D771" s="9"/>
      <c r="E771" s="9"/>
      <c r="F771" s="9"/>
    </row>
    <row r="772" spans="1:6" x14ac:dyDescent="0.3">
      <c r="A772" s="26">
        <v>66933</v>
      </c>
      <c r="B772" s="27" t="s">
        <v>137</v>
      </c>
      <c r="C772" s="27" t="s">
        <v>138</v>
      </c>
      <c r="D772" s="9"/>
      <c r="E772" s="9"/>
      <c r="F772" s="9"/>
    </row>
    <row r="773" spans="1:6" x14ac:dyDescent="0.3">
      <c r="A773" s="26">
        <v>66952</v>
      </c>
      <c r="B773" s="27" t="s">
        <v>143</v>
      </c>
      <c r="C773" s="27" t="s">
        <v>141</v>
      </c>
      <c r="D773" s="9"/>
      <c r="E773" s="9"/>
      <c r="F773" s="9"/>
    </row>
    <row r="774" spans="1:6" x14ac:dyDescent="0.3">
      <c r="A774" s="26">
        <v>66962</v>
      </c>
      <c r="B774" s="27" t="s">
        <v>149</v>
      </c>
      <c r="C774" s="27" t="s">
        <v>144</v>
      </c>
      <c r="D774" s="9"/>
      <c r="E774" s="9"/>
      <c r="F774" s="9"/>
    </row>
    <row r="775" spans="1:6" x14ac:dyDescent="0.3">
      <c r="A775" s="26">
        <v>66995</v>
      </c>
      <c r="B775" s="27" t="s">
        <v>146</v>
      </c>
      <c r="C775" s="27" t="s">
        <v>147</v>
      </c>
      <c r="D775" s="9"/>
      <c r="E775" s="9"/>
      <c r="F775" s="9"/>
    </row>
    <row r="776" spans="1:6" x14ac:dyDescent="0.3">
      <c r="A776" s="26">
        <v>67091</v>
      </c>
      <c r="B776" s="27" t="s">
        <v>135</v>
      </c>
      <c r="C776" s="27" t="s">
        <v>150</v>
      </c>
      <c r="D776" s="9"/>
      <c r="E776" s="9"/>
      <c r="F776" s="9"/>
    </row>
    <row r="777" spans="1:6" x14ac:dyDescent="0.3">
      <c r="A777" s="26">
        <v>67126</v>
      </c>
      <c r="B777" s="27" t="s">
        <v>135</v>
      </c>
      <c r="C777" s="27" t="s">
        <v>152</v>
      </c>
      <c r="D777" s="9"/>
      <c r="E777" s="9"/>
      <c r="F777" s="9"/>
    </row>
    <row r="778" spans="1:6" x14ac:dyDescent="0.3">
      <c r="A778" s="26">
        <v>67147</v>
      </c>
      <c r="B778" s="27" t="s">
        <v>135</v>
      </c>
      <c r="C778" s="27" t="s">
        <v>154</v>
      </c>
      <c r="D778" s="9"/>
      <c r="E778" s="9"/>
      <c r="F778" s="9"/>
    </row>
    <row r="779" spans="1:6" x14ac:dyDescent="0.3">
      <c r="A779" s="26">
        <v>67160</v>
      </c>
      <c r="B779" s="27" t="s">
        <v>130</v>
      </c>
      <c r="C779" s="27" t="s">
        <v>156</v>
      </c>
      <c r="D779" s="9"/>
      <c r="E779" s="9"/>
      <c r="F779" s="9"/>
    </row>
    <row r="780" spans="1:6" x14ac:dyDescent="0.3">
      <c r="A780" s="26">
        <v>67165</v>
      </c>
      <c r="B780" s="27" t="s">
        <v>149</v>
      </c>
      <c r="C780" s="27" t="s">
        <v>158</v>
      </c>
      <c r="D780" s="9"/>
      <c r="E780" s="9"/>
      <c r="F780" s="9"/>
    </row>
    <row r="781" spans="1:6" x14ac:dyDescent="0.3">
      <c r="A781" s="26">
        <v>67200</v>
      </c>
      <c r="B781" s="27" t="s">
        <v>149</v>
      </c>
      <c r="C781" s="27" t="s">
        <v>160</v>
      </c>
      <c r="D781" s="9"/>
      <c r="E781" s="9"/>
      <c r="F781" s="9"/>
    </row>
    <row r="782" spans="1:6" x14ac:dyDescent="0.3">
      <c r="A782" s="26">
        <v>67207</v>
      </c>
      <c r="B782" s="27" t="s">
        <v>149</v>
      </c>
      <c r="C782" s="27" t="s">
        <v>131</v>
      </c>
      <c r="D782" s="9"/>
      <c r="E782" s="9"/>
      <c r="F782" s="9"/>
    </row>
    <row r="783" spans="1:6" x14ac:dyDescent="0.3">
      <c r="A783" s="26">
        <v>67244</v>
      </c>
      <c r="B783" s="27" t="s">
        <v>130</v>
      </c>
      <c r="C783" s="27" t="s">
        <v>133</v>
      </c>
      <c r="D783" s="9"/>
      <c r="E783" s="9"/>
      <c r="F783" s="9"/>
    </row>
    <row r="784" spans="1:6" x14ac:dyDescent="0.3">
      <c r="A784" s="26">
        <v>67245</v>
      </c>
      <c r="B784" s="27" t="s">
        <v>135</v>
      </c>
      <c r="C784" s="27" t="s">
        <v>133</v>
      </c>
      <c r="D784" s="9"/>
      <c r="E784" s="9"/>
      <c r="F784" s="9"/>
    </row>
    <row r="785" spans="1:6" x14ac:dyDescent="0.3">
      <c r="A785" s="26">
        <v>67290</v>
      </c>
      <c r="B785" s="27" t="s">
        <v>137</v>
      </c>
      <c r="C785" s="27" t="s">
        <v>138</v>
      </c>
      <c r="D785" s="9"/>
      <c r="E785" s="9"/>
      <c r="F785" s="9"/>
    </row>
    <row r="786" spans="1:6" x14ac:dyDescent="0.3">
      <c r="A786" s="26">
        <v>67318</v>
      </c>
      <c r="B786" s="27" t="s">
        <v>137</v>
      </c>
      <c r="C786" s="27" t="s">
        <v>141</v>
      </c>
      <c r="D786" s="9"/>
      <c r="E786" s="9"/>
      <c r="F786" s="9"/>
    </row>
    <row r="787" spans="1:6" x14ac:dyDescent="0.3">
      <c r="A787" s="26">
        <v>67328</v>
      </c>
      <c r="B787" s="27" t="s">
        <v>130</v>
      </c>
      <c r="C787" s="27" t="s">
        <v>144</v>
      </c>
      <c r="D787" s="9"/>
      <c r="E787" s="9"/>
      <c r="F787" s="9"/>
    </row>
    <row r="788" spans="1:6" x14ac:dyDescent="0.3">
      <c r="A788" s="26">
        <v>67352</v>
      </c>
      <c r="B788" s="27" t="s">
        <v>146</v>
      </c>
      <c r="C788" s="27" t="s">
        <v>147</v>
      </c>
      <c r="D788" s="9"/>
      <c r="E788" s="9"/>
      <c r="F788" s="9"/>
    </row>
    <row r="789" spans="1:6" x14ac:dyDescent="0.3">
      <c r="A789" s="26">
        <v>67457</v>
      </c>
      <c r="B789" s="27" t="s">
        <v>146</v>
      </c>
      <c r="C789" s="27" t="s">
        <v>150</v>
      </c>
      <c r="D789" s="9"/>
      <c r="E789" s="9"/>
      <c r="F789" s="9"/>
    </row>
    <row r="790" spans="1:6" x14ac:dyDescent="0.3">
      <c r="A790" s="26">
        <v>67492</v>
      </c>
      <c r="B790" s="27" t="s">
        <v>146</v>
      </c>
      <c r="C790" s="27" t="s">
        <v>152</v>
      </c>
      <c r="D790" s="9"/>
      <c r="E790" s="9"/>
      <c r="F790" s="9"/>
    </row>
    <row r="791" spans="1:6" x14ac:dyDescent="0.3">
      <c r="A791" s="26">
        <v>67513</v>
      </c>
      <c r="B791" s="27" t="s">
        <v>146</v>
      </c>
      <c r="C791" s="27" t="s">
        <v>154</v>
      </c>
      <c r="D791" s="9"/>
      <c r="E791" s="9"/>
      <c r="F791" s="9"/>
    </row>
    <row r="792" spans="1:6" x14ac:dyDescent="0.3">
      <c r="A792" s="26">
        <v>67526</v>
      </c>
      <c r="B792" s="27" t="s">
        <v>143</v>
      </c>
      <c r="C792" s="27" t="s">
        <v>156</v>
      </c>
      <c r="D792" s="9"/>
      <c r="E792" s="9"/>
      <c r="F792" s="9"/>
    </row>
    <row r="793" spans="1:6" x14ac:dyDescent="0.3">
      <c r="A793" s="26">
        <v>67531</v>
      </c>
      <c r="B793" s="27" t="s">
        <v>130</v>
      </c>
      <c r="C793" s="27" t="s">
        <v>158</v>
      </c>
      <c r="D793" s="9"/>
      <c r="E793" s="9"/>
      <c r="F793" s="9"/>
    </row>
    <row r="794" spans="1:6" x14ac:dyDescent="0.3">
      <c r="A794" s="26">
        <v>67566</v>
      </c>
      <c r="B794" s="27" t="s">
        <v>130</v>
      </c>
      <c r="C794" s="27" t="s">
        <v>160</v>
      </c>
      <c r="D794" s="9"/>
      <c r="E794" s="9"/>
      <c r="F794" s="9"/>
    </row>
    <row r="795" spans="1:6" x14ac:dyDescent="0.3">
      <c r="A795" s="26">
        <v>67573</v>
      </c>
      <c r="B795" s="27" t="s">
        <v>130</v>
      </c>
      <c r="C795" s="27" t="s">
        <v>131</v>
      </c>
      <c r="D795" s="9"/>
      <c r="E795" s="9"/>
      <c r="F795" s="9"/>
    </row>
    <row r="796" spans="1:6" x14ac:dyDescent="0.3">
      <c r="A796" s="26">
        <v>67629</v>
      </c>
      <c r="B796" s="27" t="s">
        <v>130</v>
      </c>
      <c r="C796" s="27" t="s">
        <v>133</v>
      </c>
      <c r="D796" s="9"/>
      <c r="E796" s="9"/>
      <c r="F796" s="9"/>
    </row>
    <row r="797" spans="1:6" x14ac:dyDescent="0.3">
      <c r="A797" s="26">
        <v>67630</v>
      </c>
      <c r="B797" s="27" t="s">
        <v>135</v>
      </c>
      <c r="C797" s="27" t="s">
        <v>133</v>
      </c>
      <c r="D797" s="9"/>
      <c r="E797" s="9"/>
      <c r="F797" s="9"/>
    </row>
    <row r="798" spans="1:6" x14ac:dyDescent="0.3">
      <c r="A798" s="26">
        <v>67675</v>
      </c>
      <c r="B798" s="27" t="s">
        <v>137</v>
      </c>
      <c r="C798" s="27" t="s">
        <v>138</v>
      </c>
      <c r="D798" s="9"/>
      <c r="E798" s="9"/>
      <c r="F798" s="9"/>
    </row>
    <row r="799" spans="1:6" x14ac:dyDescent="0.3">
      <c r="A799" s="26">
        <v>67683</v>
      </c>
      <c r="B799" s="27" t="s">
        <v>149</v>
      </c>
      <c r="C799" s="27" t="s">
        <v>141</v>
      </c>
      <c r="D799" s="9"/>
      <c r="E799" s="9"/>
      <c r="F799" s="9"/>
    </row>
    <row r="800" spans="1:6" x14ac:dyDescent="0.3">
      <c r="A800" s="26">
        <v>67693</v>
      </c>
      <c r="B800" s="27" t="s">
        <v>135</v>
      </c>
      <c r="C800" s="27" t="s">
        <v>144</v>
      </c>
      <c r="D800" s="9"/>
      <c r="E800" s="9"/>
      <c r="F800" s="9"/>
    </row>
    <row r="801" spans="1:6" x14ac:dyDescent="0.3">
      <c r="A801" s="26">
        <v>67737</v>
      </c>
      <c r="B801" s="27" t="s">
        <v>146</v>
      </c>
      <c r="C801" s="27" t="s">
        <v>147</v>
      </c>
      <c r="D801" s="9"/>
      <c r="E801" s="9"/>
      <c r="F801" s="9"/>
    </row>
    <row r="802" spans="1:6" x14ac:dyDescent="0.3">
      <c r="A802" s="26">
        <v>67822</v>
      </c>
      <c r="B802" s="27" t="s">
        <v>137</v>
      </c>
      <c r="C802" s="27" t="s">
        <v>150</v>
      </c>
      <c r="D802" s="9"/>
      <c r="E802" s="9"/>
      <c r="F802" s="9"/>
    </row>
    <row r="803" spans="1:6" x14ac:dyDescent="0.3">
      <c r="A803" s="26">
        <v>67857</v>
      </c>
      <c r="B803" s="27" t="s">
        <v>137</v>
      </c>
      <c r="C803" s="27" t="s">
        <v>152</v>
      </c>
      <c r="D803" s="9"/>
      <c r="E803" s="9"/>
      <c r="F803" s="9"/>
    </row>
    <row r="804" spans="1:6" x14ac:dyDescent="0.3">
      <c r="A804" s="26">
        <v>67878</v>
      </c>
      <c r="B804" s="27" t="s">
        <v>137</v>
      </c>
      <c r="C804" s="27" t="s">
        <v>154</v>
      </c>
      <c r="D804" s="9"/>
      <c r="E804" s="9"/>
      <c r="F804" s="9"/>
    </row>
    <row r="805" spans="1:6" x14ac:dyDescent="0.3">
      <c r="A805" s="26">
        <v>67891</v>
      </c>
      <c r="B805" s="27" t="s">
        <v>146</v>
      </c>
      <c r="C805" s="27" t="s">
        <v>156</v>
      </c>
      <c r="D805" s="9"/>
      <c r="E805" s="9"/>
      <c r="F805" s="9"/>
    </row>
    <row r="806" spans="1:6" x14ac:dyDescent="0.3">
      <c r="A806" s="26">
        <v>67896</v>
      </c>
      <c r="B806" s="27" t="s">
        <v>135</v>
      </c>
      <c r="C806" s="27" t="s">
        <v>158</v>
      </c>
      <c r="D806" s="9"/>
      <c r="E806" s="9"/>
      <c r="F806" s="9"/>
    </row>
    <row r="807" spans="1:6" x14ac:dyDescent="0.3">
      <c r="A807" s="26">
        <v>67931</v>
      </c>
      <c r="B807" s="27" t="s">
        <v>135</v>
      </c>
      <c r="C807" s="27" t="s">
        <v>160</v>
      </c>
      <c r="D807" s="9"/>
      <c r="E807" s="9"/>
      <c r="F807" s="9"/>
    </row>
    <row r="808" spans="1:6" x14ac:dyDescent="0.3">
      <c r="A808" s="26">
        <v>67938</v>
      </c>
      <c r="B808" s="27" t="s">
        <v>135</v>
      </c>
      <c r="C808" s="27" t="s">
        <v>131</v>
      </c>
      <c r="D808" s="9"/>
      <c r="E808" s="9"/>
      <c r="F808" s="9"/>
    </row>
    <row r="809" spans="1:6" x14ac:dyDescent="0.3">
      <c r="A809" s="26">
        <v>67979</v>
      </c>
      <c r="B809" s="27" t="s">
        <v>130</v>
      </c>
      <c r="C809" s="27" t="s">
        <v>133</v>
      </c>
      <c r="D809" s="9"/>
      <c r="E809" s="9"/>
      <c r="F809" s="9"/>
    </row>
    <row r="810" spans="1:6" x14ac:dyDescent="0.3">
      <c r="A810" s="26">
        <v>67980</v>
      </c>
      <c r="B810" s="27" t="s">
        <v>135</v>
      </c>
      <c r="C810" s="27" t="s">
        <v>133</v>
      </c>
      <c r="D810" s="9"/>
      <c r="E810" s="9"/>
      <c r="F810" s="9"/>
    </row>
    <row r="811" spans="1:6" x14ac:dyDescent="0.3">
      <c r="A811" s="26">
        <v>68025</v>
      </c>
      <c r="B811" s="27" t="s">
        <v>137</v>
      </c>
      <c r="C811" s="27" t="s">
        <v>138</v>
      </c>
      <c r="D811" s="9"/>
      <c r="E811" s="9"/>
      <c r="F811" s="9"/>
    </row>
    <row r="812" spans="1:6" x14ac:dyDescent="0.3">
      <c r="A812" s="26">
        <v>68048</v>
      </c>
      <c r="B812" s="27" t="s">
        <v>140</v>
      </c>
      <c r="C812" s="27" t="s">
        <v>141</v>
      </c>
      <c r="D812" s="9"/>
      <c r="E812" s="9"/>
      <c r="F812" s="9"/>
    </row>
    <row r="813" spans="1:6" x14ac:dyDescent="0.3">
      <c r="A813" s="26">
        <v>68058</v>
      </c>
      <c r="B813" s="27" t="s">
        <v>143</v>
      </c>
      <c r="C813" s="27" t="s">
        <v>144</v>
      </c>
      <c r="D813" s="9"/>
      <c r="E813" s="9"/>
      <c r="F813" s="9"/>
    </row>
    <row r="814" spans="1:6" x14ac:dyDescent="0.3">
      <c r="A814" s="26">
        <v>68087</v>
      </c>
      <c r="B814" s="27" t="s">
        <v>146</v>
      </c>
      <c r="C814" s="27" t="s">
        <v>147</v>
      </c>
      <c r="D814" s="9"/>
      <c r="E814" s="9"/>
      <c r="F814" s="9"/>
    </row>
    <row r="815" spans="1:6" x14ac:dyDescent="0.3">
      <c r="A815" s="26">
        <v>68187</v>
      </c>
      <c r="B815" s="27" t="s">
        <v>149</v>
      </c>
      <c r="C815" s="27" t="s">
        <v>150</v>
      </c>
      <c r="D815" s="9"/>
      <c r="E815" s="9"/>
      <c r="F815" s="9"/>
    </row>
    <row r="816" spans="1:6" x14ac:dyDescent="0.3">
      <c r="A816" s="26">
        <v>68222</v>
      </c>
      <c r="B816" s="27" t="s">
        <v>149</v>
      </c>
      <c r="C816" s="27" t="s">
        <v>152</v>
      </c>
      <c r="D816" s="9"/>
      <c r="E816" s="9"/>
      <c r="F816" s="9"/>
    </row>
    <row r="817" spans="1:6" x14ac:dyDescent="0.3">
      <c r="A817" s="26">
        <v>68243</v>
      </c>
      <c r="B817" s="27" t="s">
        <v>149</v>
      </c>
      <c r="C817" s="27" t="s">
        <v>154</v>
      </c>
      <c r="D817" s="9"/>
      <c r="E817" s="9"/>
      <c r="F817" s="9"/>
    </row>
    <row r="818" spans="1:6" x14ac:dyDescent="0.3">
      <c r="A818" s="26">
        <v>68256</v>
      </c>
      <c r="B818" s="27" t="s">
        <v>137</v>
      </c>
      <c r="C818" s="27" t="s">
        <v>156</v>
      </c>
      <c r="D818" s="9"/>
      <c r="E818" s="9"/>
      <c r="F818" s="9"/>
    </row>
    <row r="819" spans="1:6" x14ac:dyDescent="0.3">
      <c r="A819" s="26">
        <v>68261</v>
      </c>
      <c r="B819" s="27" t="s">
        <v>143</v>
      </c>
      <c r="C819" s="27" t="s">
        <v>158</v>
      </c>
      <c r="D819" s="9"/>
      <c r="E819" s="9"/>
      <c r="F819" s="9"/>
    </row>
    <row r="820" spans="1:6" x14ac:dyDescent="0.3">
      <c r="A820" s="26">
        <v>68296</v>
      </c>
      <c r="B820" s="27" t="s">
        <v>143</v>
      </c>
      <c r="C820" s="27" t="s">
        <v>160</v>
      </c>
      <c r="D820" s="9"/>
      <c r="E820" s="9"/>
      <c r="F820" s="9"/>
    </row>
    <row r="821" spans="1:6" x14ac:dyDescent="0.3">
      <c r="A821" s="26">
        <v>68303</v>
      </c>
      <c r="B821" s="27" t="s">
        <v>143</v>
      </c>
      <c r="C821" s="27" t="s">
        <v>131</v>
      </c>
      <c r="D821" s="9"/>
      <c r="E821" s="9"/>
      <c r="F821" s="9"/>
    </row>
    <row r="822" spans="1:6" x14ac:dyDescent="0.3">
      <c r="A822" s="26">
        <v>68364</v>
      </c>
      <c r="B822" s="27" t="s">
        <v>130</v>
      </c>
      <c r="C822" s="27" t="s">
        <v>133</v>
      </c>
      <c r="D822" s="9"/>
      <c r="E822" s="9"/>
      <c r="F822" s="9"/>
    </row>
    <row r="823" spans="1:6" x14ac:dyDescent="0.3">
      <c r="A823" s="26">
        <v>68365</v>
      </c>
      <c r="B823" s="27" t="s">
        <v>135</v>
      </c>
      <c r="C823" s="27" t="s">
        <v>133</v>
      </c>
      <c r="D823" s="9"/>
      <c r="E823" s="9"/>
      <c r="F823" s="9"/>
    </row>
    <row r="824" spans="1:6" x14ac:dyDescent="0.3">
      <c r="A824" s="26">
        <v>68410</v>
      </c>
      <c r="B824" s="27" t="s">
        <v>137</v>
      </c>
      <c r="C824" s="27" t="s">
        <v>138</v>
      </c>
      <c r="D824" s="9"/>
      <c r="E824" s="9"/>
      <c r="F824" s="9"/>
    </row>
    <row r="825" spans="1:6" x14ac:dyDescent="0.3">
      <c r="A825" s="26">
        <v>68413</v>
      </c>
      <c r="B825" s="27" t="s">
        <v>130</v>
      </c>
      <c r="C825" s="27" t="s">
        <v>141</v>
      </c>
      <c r="D825" s="9"/>
      <c r="E825" s="9"/>
      <c r="F825" s="9"/>
    </row>
    <row r="826" spans="1:6" x14ac:dyDescent="0.3">
      <c r="A826" s="26">
        <v>68423</v>
      </c>
      <c r="B826" s="27" t="s">
        <v>146</v>
      </c>
      <c r="C826" s="27" t="s">
        <v>144</v>
      </c>
      <c r="D826" s="9"/>
      <c r="E826" s="9"/>
      <c r="F826" s="9"/>
    </row>
    <row r="827" spans="1:6" x14ac:dyDescent="0.3">
      <c r="A827" s="26">
        <v>68472</v>
      </c>
      <c r="B827" s="27" t="s">
        <v>146</v>
      </c>
      <c r="C827" s="27" t="s">
        <v>147</v>
      </c>
      <c r="D827" s="9"/>
      <c r="E827" s="9"/>
      <c r="F827" s="9"/>
    </row>
    <row r="828" spans="1:6" x14ac:dyDescent="0.3">
      <c r="A828" s="26">
        <v>68552</v>
      </c>
      <c r="B828" s="27" t="s">
        <v>140</v>
      </c>
      <c r="C828" s="27" t="s">
        <v>150</v>
      </c>
      <c r="D828" s="9"/>
      <c r="E828" s="9"/>
      <c r="F828" s="9"/>
    </row>
    <row r="829" spans="1:6" x14ac:dyDescent="0.3">
      <c r="A829" s="26">
        <v>68587</v>
      </c>
      <c r="B829" s="27" t="s">
        <v>140</v>
      </c>
      <c r="C829" s="27" t="s">
        <v>152</v>
      </c>
      <c r="D829" s="9"/>
      <c r="E829" s="9"/>
      <c r="F829" s="9"/>
    </row>
    <row r="830" spans="1:6" x14ac:dyDescent="0.3">
      <c r="A830" s="26">
        <v>68608</v>
      </c>
      <c r="B830" s="27" t="s">
        <v>140</v>
      </c>
      <c r="C830" s="27" t="s">
        <v>154</v>
      </c>
      <c r="D830" s="9"/>
      <c r="E830" s="9"/>
      <c r="F830" s="9"/>
    </row>
    <row r="831" spans="1:6" x14ac:dyDescent="0.3">
      <c r="A831" s="26">
        <v>68621</v>
      </c>
      <c r="B831" s="27" t="s">
        <v>149</v>
      </c>
      <c r="C831" s="27" t="s">
        <v>156</v>
      </c>
      <c r="D831" s="9"/>
      <c r="E831" s="9"/>
      <c r="F831" s="9"/>
    </row>
    <row r="832" spans="1:6" x14ac:dyDescent="0.3">
      <c r="A832" s="26">
        <v>68626</v>
      </c>
      <c r="B832" s="27" t="s">
        <v>146</v>
      </c>
      <c r="C832" s="27" t="s">
        <v>158</v>
      </c>
      <c r="D832" s="9"/>
      <c r="E832" s="9"/>
      <c r="F832" s="9"/>
    </row>
    <row r="833" spans="1:6" x14ac:dyDescent="0.3">
      <c r="A833" s="26">
        <v>68661</v>
      </c>
      <c r="B833" s="27" t="s">
        <v>146</v>
      </c>
      <c r="C833" s="27" t="s">
        <v>160</v>
      </c>
      <c r="D833" s="9"/>
      <c r="E833" s="9"/>
      <c r="F833" s="9"/>
    </row>
    <row r="834" spans="1:6" x14ac:dyDescent="0.3">
      <c r="A834" s="26">
        <v>68668</v>
      </c>
      <c r="B834" s="27" t="s">
        <v>146</v>
      </c>
      <c r="C834" s="27" t="s">
        <v>131</v>
      </c>
      <c r="D834" s="9"/>
      <c r="E834" s="9"/>
      <c r="F834" s="9"/>
    </row>
    <row r="835" spans="1:6" x14ac:dyDescent="0.3">
      <c r="A835" s="26">
        <v>68721</v>
      </c>
      <c r="B835" s="27" t="s">
        <v>130</v>
      </c>
      <c r="C835" s="27" t="s">
        <v>133</v>
      </c>
      <c r="D835" s="9"/>
      <c r="E835" s="9"/>
      <c r="F835" s="9"/>
    </row>
    <row r="836" spans="1:6" x14ac:dyDescent="0.3">
      <c r="A836" s="26">
        <v>68722</v>
      </c>
      <c r="B836" s="27" t="s">
        <v>135</v>
      </c>
      <c r="C836" s="27" t="s">
        <v>133</v>
      </c>
      <c r="D836" s="9"/>
      <c r="E836" s="9"/>
      <c r="F836" s="9"/>
    </row>
    <row r="837" spans="1:6" x14ac:dyDescent="0.3">
      <c r="A837" s="26">
        <v>68767</v>
      </c>
      <c r="B837" s="27" t="s">
        <v>137</v>
      </c>
      <c r="C837" s="27" t="s">
        <v>138</v>
      </c>
      <c r="D837" s="9"/>
      <c r="E837" s="9"/>
      <c r="F837" s="9"/>
    </row>
    <row r="838" spans="1:6" x14ac:dyDescent="0.3">
      <c r="A838" s="26">
        <v>68779</v>
      </c>
      <c r="B838" s="27" t="s">
        <v>143</v>
      </c>
      <c r="C838" s="27" t="s">
        <v>141</v>
      </c>
      <c r="D838" s="9"/>
      <c r="E838" s="9"/>
      <c r="F838" s="9"/>
    </row>
    <row r="839" spans="1:6" x14ac:dyDescent="0.3">
      <c r="A839" s="26">
        <v>68789</v>
      </c>
      <c r="B839" s="27" t="s">
        <v>149</v>
      </c>
      <c r="C839" s="27" t="s">
        <v>144</v>
      </c>
      <c r="D839" s="9"/>
      <c r="E839" s="9"/>
      <c r="F839" s="9"/>
    </row>
    <row r="840" spans="1:6" x14ac:dyDescent="0.3">
      <c r="A840" s="26">
        <v>68829</v>
      </c>
      <c r="B840" s="27" t="s">
        <v>146</v>
      </c>
      <c r="C840" s="27" t="s">
        <v>147</v>
      </c>
      <c r="D840" s="9"/>
      <c r="E840" s="9"/>
      <c r="F840" s="9"/>
    </row>
    <row r="841" spans="1:6" x14ac:dyDescent="0.3">
      <c r="A841" s="26">
        <v>68918</v>
      </c>
      <c r="B841" s="27" t="s">
        <v>135</v>
      </c>
      <c r="C841" s="27" t="s">
        <v>150</v>
      </c>
      <c r="D841" s="9"/>
      <c r="E841" s="9"/>
      <c r="F841" s="9"/>
    </row>
    <row r="842" spans="1:6" x14ac:dyDescent="0.3">
      <c r="A842" s="26">
        <v>68953</v>
      </c>
      <c r="B842" s="27" t="s">
        <v>135</v>
      </c>
      <c r="C842" s="27" t="s">
        <v>152</v>
      </c>
      <c r="D842" s="9"/>
      <c r="E842" s="9"/>
      <c r="F842" s="9"/>
    </row>
    <row r="843" spans="1:6" x14ac:dyDescent="0.3">
      <c r="A843" s="26">
        <v>68974</v>
      </c>
      <c r="B843" s="27" t="s">
        <v>135</v>
      </c>
      <c r="C843" s="27" t="s">
        <v>154</v>
      </c>
      <c r="D843" s="9"/>
      <c r="E843" s="9"/>
      <c r="F843" s="9"/>
    </row>
    <row r="844" spans="1:6" x14ac:dyDescent="0.3">
      <c r="A844" s="26">
        <v>68987</v>
      </c>
      <c r="B844" s="27" t="s">
        <v>130</v>
      </c>
      <c r="C844" s="27" t="s">
        <v>156</v>
      </c>
      <c r="D844" s="9"/>
      <c r="E844" s="9"/>
      <c r="F844" s="9"/>
    </row>
    <row r="845" spans="1:6" x14ac:dyDescent="0.3">
      <c r="A845" s="26">
        <v>68992</v>
      </c>
      <c r="B845" s="27" t="s">
        <v>149</v>
      </c>
      <c r="C845" s="27" t="s">
        <v>158</v>
      </c>
      <c r="D845" s="9"/>
      <c r="E845" s="9"/>
      <c r="F845" s="9"/>
    </row>
    <row r="846" spans="1:6" x14ac:dyDescent="0.3">
      <c r="A846" s="26">
        <v>69027</v>
      </c>
      <c r="B846" s="27" t="s">
        <v>149</v>
      </c>
      <c r="C846" s="27" t="s">
        <v>160</v>
      </c>
      <c r="D846" s="9"/>
      <c r="E846" s="9"/>
      <c r="F846" s="9"/>
    </row>
    <row r="847" spans="1:6" x14ac:dyDescent="0.3">
      <c r="A847" s="26">
        <v>69034</v>
      </c>
      <c r="B847" s="27" t="s">
        <v>149</v>
      </c>
      <c r="C847" s="27" t="s">
        <v>131</v>
      </c>
      <c r="D847" s="9"/>
      <c r="E847" s="9"/>
      <c r="F847" s="9"/>
    </row>
    <row r="848" spans="1:6" x14ac:dyDescent="0.3">
      <c r="A848" s="26">
        <v>69078</v>
      </c>
      <c r="B848" s="27" t="s">
        <v>130</v>
      </c>
      <c r="C848" s="27" t="s">
        <v>133</v>
      </c>
      <c r="D848" s="9"/>
      <c r="E848" s="9"/>
      <c r="F848" s="9"/>
    </row>
    <row r="849" spans="1:6" x14ac:dyDescent="0.3">
      <c r="A849" s="26">
        <v>69079</v>
      </c>
      <c r="B849" s="27" t="s">
        <v>135</v>
      </c>
      <c r="C849" s="27" t="s">
        <v>133</v>
      </c>
      <c r="D849" s="9"/>
      <c r="E849" s="9"/>
      <c r="F849" s="9"/>
    </row>
    <row r="850" spans="1:6" x14ac:dyDescent="0.3">
      <c r="A850" s="26">
        <v>69124</v>
      </c>
      <c r="B850" s="27" t="s">
        <v>137</v>
      </c>
      <c r="C850" s="27" t="s">
        <v>138</v>
      </c>
      <c r="D850" s="9"/>
      <c r="E850" s="9"/>
      <c r="F850" s="9"/>
    </row>
    <row r="851" spans="1:6" x14ac:dyDescent="0.3">
      <c r="A851" s="26">
        <v>69144</v>
      </c>
      <c r="B851" s="27" t="s">
        <v>146</v>
      </c>
      <c r="C851" s="27" t="s">
        <v>141</v>
      </c>
      <c r="D851" s="9"/>
      <c r="E851" s="9"/>
      <c r="F851" s="9"/>
    </row>
    <row r="852" spans="1:6" x14ac:dyDescent="0.3">
      <c r="A852" s="26">
        <v>69154</v>
      </c>
      <c r="B852" s="27" t="s">
        <v>140</v>
      </c>
      <c r="C852" s="27" t="s">
        <v>144</v>
      </c>
      <c r="D852" s="9"/>
      <c r="E852" s="9"/>
      <c r="F852" s="9"/>
    </row>
    <row r="853" spans="1:6" x14ac:dyDescent="0.3">
      <c r="A853" s="26">
        <v>69186</v>
      </c>
      <c r="B853" s="27" t="s">
        <v>146</v>
      </c>
      <c r="C853" s="27" t="s">
        <v>147</v>
      </c>
      <c r="D853" s="9"/>
      <c r="E853" s="9"/>
      <c r="F853" s="9"/>
    </row>
    <row r="854" spans="1:6" x14ac:dyDescent="0.3">
      <c r="A854" s="26">
        <v>69283</v>
      </c>
      <c r="B854" s="27" t="s">
        <v>143</v>
      </c>
      <c r="C854" s="27" t="s">
        <v>150</v>
      </c>
      <c r="D854" s="9"/>
      <c r="E854" s="9"/>
      <c r="F854" s="9"/>
    </row>
    <row r="855" spans="1:6" x14ac:dyDescent="0.3">
      <c r="A855" s="26">
        <v>69318</v>
      </c>
      <c r="B855" s="27" t="s">
        <v>143</v>
      </c>
      <c r="C855" s="27" t="s">
        <v>152</v>
      </c>
      <c r="D855" s="9"/>
      <c r="E855" s="9"/>
      <c r="F855" s="9"/>
    </row>
    <row r="856" spans="1:6" x14ac:dyDescent="0.3">
      <c r="A856" s="26">
        <v>69339</v>
      </c>
      <c r="B856" s="27" t="s">
        <v>143</v>
      </c>
      <c r="C856" s="27" t="s">
        <v>154</v>
      </c>
      <c r="D856" s="9"/>
      <c r="E856" s="9"/>
      <c r="F856" s="9"/>
    </row>
    <row r="857" spans="1:6" x14ac:dyDescent="0.3">
      <c r="A857" s="26">
        <v>69352</v>
      </c>
      <c r="B857" s="27" t="s">
        <v>135</v>
      </c>
      <c r="C857" s="27" t="s">
        <v>156</v>
      </c>
      <c r="D857" s="9"/>
      <c r="E857" s="9"/>
      <c r="F857" s="9"/>
    </row>
    <row r="858" spans="1:6" x14ac:dyDescent="0.3">
      <c r="A858" s="26">
        <v>69357</v>
      </c>
      <c r="B858" s="27" t="s">
        <v>140</v>
      </c>
      <c r="C858" s="27" t="s">
        <v>158</v>
      </c>
      <c r="D858" s="9"/>
      <c r="E858" s="9"/>
      <c r="F858" s="9"/>
    </row>
    <row r="859" spans="1:6" x14ac:dyDescent="0.3">
      <c r="A859" s="26">
        <v>69392</v>
      </c>
      <c r="B859" s="27" t="s">
        <v>140</v>
      </c>
      <c r="C859" s="27" t="s">
        <v>160</v>
      </c>
      <c r="D859" s="9"/>
      <c r="E859" s="9"/>
      <c r="F859" s="9"/>
    </row>
    <row r="860" spans="1:6" x14ac:dyDescent="0.3">
      <c r="A860" s="26">
        <v>69399</v>
      </c>
      <c r="B860" s="27" t="s">
        <v>140</v>
      </c>
      <c r="C860" s="27" t="s">
        <v>131</v>
      </c>
      <c r="D860" s="9"/>
      <c r="E860" s="9"/>
      <c r="F860" s="9"/>
    </row>
    <row r="861" spans="1:6" x14ac:dyDescent="0.3">
      <c r="A861" s="26">
        <v>69456</v>
      </c>
      <c r="B861" s="27" t="s">
        <v>130</v>
      </c>
      <c r="C861" s="27" t="s">
        <v>133</v>
      </c>
      <c r="D861" s="9"/>
      <c r="E861" s="9"/>
      <c r="F861" s="9"/>
    </row>
    <row r="862" spans="1:6" x14ac:dyDescent="0.3">
      <c r="A862" s="26">
        <v>69457</v>
      </c>
      <c r="B862" s="27" t="s">
        <v>135</v>
      </c>
      <c r="C862" s="27" t="s">
        <v>133</v>
      </c>
      <c r="D862" s="9"/>
      <c r="E862" s="9"/>
      <c r="F862" s="9"/>
    </row>
    <row r="863" spans="1:6" x14ac:dyDescent="0.3">
      <c r="A863" s="26">
        <v>69502</v>
      </c>
      <c r="B863" s="27" t="s">
        <v>137</v>
      </c>
      <c r="C863" s="27" t="s">
        <v>138</v>
      </c>
      <c r="D863" s="9"/>
      <c r="E863" s="9"/>
      <c r="F863" s="9"/>
    </row>
    <row r="864" spans="1:6" x14ac:dyDescent="0.3">
      <c r="A864" s="26">
        <v>69509</v>
      </c>
      <c r="B864" s="27" t="s">
        <v>137</v>
      </c>
      <c r="C864" s="27" t="s">
        <v>141</v>
      </c>
      <c r="D864" s="9"/>
      <c r="E864" s="9"/>
      <c r="F864" s="9"/>
    </row>
    <row r="865" spans="1:6" x14ac:dyDescent="0.3">
      <c r="A865" s="26">
        <v>69519</v>
      </c>
      <c r="B865" s="27" t="s">
        <v>130</v>
      </c>
      <c r="C865" s="27" t="s">
        <v>144</v>
      </c>
      <c r="D865" s="9"/>
      <c r="E865" s="9"/>
      <c r="F865" s="9"/>
    </row>
    <row r="866" spans="1:6" x14ac:dyDescent="0.3">
      <c r="A866" s="26">
        <v>69564</v>
      </c>
      <c r="B866" s="27" t="s">
        <v>146</v>
      </c>
      <c r="C866" s="27" t="s">
        <v>147</v>
      </c>
      <c r="D866" s="9"/>
      <c r="E866" s="9"/>
      <c r="F866" s="9"/>
    </row>
    <row r="867" spans="1:6" x14ac:dyDescent="0.3">
      <c r="A867" s="26">
        <v>69648</v>
      </c>
      <c r="B867" s="27" t="s">
        <v>146</v>
      </c>
      <c r="C867" s="27" t="s">
        <v>150</v>
      </c>
      <c r="D867" s="9"/>
      <c r="E867" s="9"/>
      <c r="F867" s="9"/>
    </row>
    <row r="868" spans="1:6" x14ac:dyDescent="0.3">
      <c r="A868" s="26">
        <v>69683</v>
      </c>
      <c r="B868" s="27" t="s">
        <v>146</v>
      </c>
      <c r="C868" s="27" t="s">
        <v>152</v>
      </c>
      <c r="D868" s="9"/>
      <c r="E868" s="9"/>
      <c r="F868" s="9"/>
    </row>
    <row r="869" spans="1:6" x14ac:dyDescent="0.3">
      <c r="A869" s="26">
        <v>69704</v>
      </c>
      <c r="B869" s="27" t="s">
        <v>146</v>
      </c>
      <c r="C869" s="27" t="s">
        <v>154</v>
      </c>
      <c r="D869" s="9"/>
      <c r="E869" s="9"/>
      <c r="F869" s="9"/>
    </row>
    <row r="870" spans="1:6" x14ac:dyDescent="0.3">
      <c r="A870" s="26">
        <v>69717</v>
      </c>
      <c r="B870" s="27" t="s">
        <v>143</v>
      </c>
      <c r="C870" s="27" t="s">
        <v>156</v>
      </c>
      <c r="D870" s="9"/>
      <c r="E870" s="9"/>
      <c r="F870" s="9"/>
    </row>
    <row r="871" spans="1:6" x14ac:dyDescent="0.3">
      <c r="A871" s="26">
        <v>69722</v>
      </c>
      <c r="B871" s="27" t="s">
        <v>130</v>
      </c>
      <c r="C871" s="27" t="s">
        <v>158</v>
      </c>
      <c r="D871" s="9"/>
      <c r="E871" s="9"/>
      <c r="F871" s="9"/>
    </row>
    <row r="872" spans="1:6" x14ac:dyDescent="0.3">
      <c r="A872" s="26">
        <v>69757</v>
      </c>
      <c r="B872" s="27" t="s">
        <v>130</v>
      </c>
      <c r="C872" s="27" t="s">
        <v>160</v>
      </c>
      <c r="D872" s="9"/>
      <c r="E872" s="9"/>
      <c r="F872" s="9"/>
    </row>
    <row r="873" spans="1:6" x14ac:dyDescent="0.3">
      <c r="A873" s="26">
        <v>69764</v>
      </c>
      <c r="B873" s="27" t="s">
        <v>130</v>
      </c>
      <c r="C873" s="27" t="s">
        <v>131</v>
      </c>
      <c r="D873" s="9"/>
      <c r="E873" s="9"/>
      <c r="F873" s="9"/>
    </row>
    <row r="874" spans="1:6" x14ac:dyDescent="0.3">
      <c r="A874" s="26">
        <v>69813</v>
      </c>
      <c r="B874" s="27" t="s">
        <v>130</v>
      </c>
      <c r="C874" s="27" t="s">
        <v>133</v>
      </c>
      <c r="D874" s="9"/>
      <c r="E874" s="9"/>
      <c r="F874" s="9"/>
    </row>
    <row r="875" spans="1:6" x14ac:dyDescent="0.3">
      <c r="A875" s="26">
        <v>69814</v>
      </c>
      <c r="B875" s="27" t="s">
        <v>135</v>
      </c>
      <c r="C875" s="27" t="s">
        <v>133</v>
      </c>
      <c r="D875" s="9"/>
      <c r="E875" s="9"/>
      <c r="F875" s="9"/>
    </row>
    <row r="876" spans="1:6" x14ac:dyDescent="0.3">
      <c r="A876" s="26">
        <v>69859</v>
      </c>
      <c r="B876" s="27" t="s">
        <v>137</v>
      </c>
      <c r="C876" s="27" t="s">
        <v>138</v>
      </c>
      <c r="D876" s="9"/>
      <c r="E876" s="9"/>
      <c r="F876" s="9"/>
    </row>
    <row r="877" spans="1:6" x14ac:dyDescent="0.3">
      <c r="A877" s="26">
        <v>69874</v>
      </c>
      <c r="B877" s="27" t="s">
        <v>149</v>
      </c>
      <c r="C877" s="27" t="s">
        <v>141</v>
      </c>
      <c r="D877" s="9"/>
      <c r="E877" s="9"/>
      <c r="F877" s="9"/>
    </row>
    <row r="878" spans="1:6" x14ac:dyDescent="0.3">
      <c r="A878" s="26">
        <v>69884</v>
      </c>
      <c r="B878" s="27" t="s">
        <v>135</v>
      </c>
      <c r="C878" s="27" t="s">
        <v>144</v>
      </c>
      <c r="D878" s="9"/>
      <c r="E878" s="9"/>
      <c r="F878" s="9"/>
    </row>
    <row r="879" spans="1:6" x14ac:dyDescent="0.3">
      <c r="A879" s="26">
        <v>69921</v>
      </c>
      <c r="B879" s="27" t="s">
        <v>146</v>
      </c>
      <c r="C879" s="27" t="s">
        <v>147</v>
      </c>
      <c r="D879" s="9"/>
      <c r="E879" s="9"/>
      <c r="F879" s="9"/>
    </row>
    <row r="880" spans="1:6" x14ac:dyDescent="0.3">
      <c r="A880" s="26">
        <v>70013</v>
      </c>
      <c r="B880" s="27" t="s">
        <v>137</v>
      </c>
      <c r="C880" s="27" t="s">
        <v>150</v>
      </c>
      <c r="D880" s="9"/>
      <c r="E880" s="9"/>
      <c r="F880" s="9"/>
    </row>
    <row r="881" spans="1:6" x14ac:dyDescent="0.3">
      <c r="A881" s="26">
        <v>70048</v>
      </c>
      <c r="B881" s="27" t="s">
        <v>137</v>
      </c>
      <c r="C881" s="27" t="s">
        <v>152</v>
      </c>
      <c r="D881" s="9"/>
      <c r="E881" s="9"/>
      <c r="F881" s="9"/>
    </row>
    <row r="882" spans="1:6" x14ac:dyDescent="0.3">
      <c r="A882" s="26">
        <v>70069</v>
      </c>
      <c r="B882" s="27" t="s">
        <v>137</v>
      </c>
      <c r="C882" s="27" t="s">
        <v>154</v>
      </c>
      <c r="D882" s="9"/>
      <c r="E882" s="9"/>
      <c r="F882" s="9"/>
    </row>
    <row r="883" spans="1:6" x14ac:dyDescent="0.3">
      <c r="A883" s="26">
        <v>70082</v>
      </c>
      <c r="B883" s="27" t="s">
        <v>146</v>
      </c>
      <c r="C883" s="27" t="s">
        <v>156</v>
      </c>
      <c r="D883" s="9"/>
      <c r="E883" s="9"/>
      <c r="F883" s="9"/>
    </row>
    <row r="884" spans="1:6" x14ac:dyDescent="0.3">
      <c r="A884" s="26">
        <v>70087</v>
      </c>
      <c r="B884" s="27" t="s">
        <v>135</v>
      </c>
      <c r="C884" s="27" t="s">
        <v>158</v>
      </c>
      <c r="D884" s="9"/>
      <c r="E884" s="9"/>
      <c r="F884" s="9"/>
    </row>
    <row r="885" spans="1:6" x14ac:dyDescent="0.3">
      <c r="A885" s="26">
        <v>70122</v>
      </c>
      <c r="B885" s="27" t="s">
        <v>135</v>
      </c>
      <c r="C885" s="27" t="s">
        <v>160</v>
      </c>
      <c r="D885" s="9"/>
      <c r="E885" s="9"/>
      <c r="F885" s="9"/>
    </row>
    <row r="886" spans="1:6" x14ac:dyDescent="0.3">
      <c r="A886" s="26">
        <v>70129</v>
      </c>
      <c r="B886" s="27" t="s">
        <v>135</v>
      </c>
      <c r="C886" s="27" t="s">
        <v>131</v>
      </c>
      <c r="D886" s="9"/>
      <c r="E886" s="9"/>
      <c r="F886" s="9"/>
    </row>
    <row r="887" spans="1:6" x14ac:dyDescent="0.3">
      <c r="A887" s="26">
        <v>70170</v>
      </c>
      <c r="B887" s="27" t="s">
        <v>130</v>
      </c>
      <c r="C887" s="27" t="s">
        <v>133</v>
      </c>
      <c r="D887" s="9"/>
      <c r="E887" s="9"/>
      <c r="F887" s="9"/>
    </row>
    <row r="888" spans="1:6" x14ac:dyDescent="0.3">
      <c r="A888" s="26">
        <v>70171</v>
      </c>
      <c r="B888" s="27" t="s">
        <v>135</v>
      </c>
      <c r="C888" s="27" t="s">
        <v>133</v>
      </c>
      <c r="D888" s="9"/>
      <c r="E888" s="9"/>
      <c r="F888" s="9"/>
    </row>
    <row r="889" spans="1:6" x14ac:dyDescent="0.3">
      <c r="A889" s="26">
        <v>70216</v>
      </c>
      <c r="B889" s="27" t="s">
        <v>137</v>
      </c>
      <c r="C889" s="27" t="s">
        <v>138</v>
      </c>
      <c r="D889" s="9"/>
      <c r="E889" s="9"/>
      <c r="F889" s="9"/>
    </row>
    <row r="890" spans="1:6" x14ac:dyDescent="0.3">
      <c r="A890" s="26">
        <v>70240</v>
      </c>
      <c r="B890" s="27" t="s">
        <v>130</v>
      </c>
      <c r="C890" s="27" t="s">
        <v>141</v>
      </c>
      <c r="D890" s="9"/>
      <c r="E890" s="9"/>
      <c r="F890" s="9"/>
    </row>
    <row r="891" spans="1:6" x14ac:dyDescent="0.3">
      <c r="A891" s="26">
        <v>70250</v>
      </c>
      <c r="B891" s="27" t="s">
        <v>146</v>
      </c>
      <c r="C891" s="27" t="s">
        <v>144</v>
      </c>
      <c r="D891" s="9"/>
      <c r="E891" s="9"/>
      <c r="F891" s="9"/>
    </row>
    <row r="892" spans="1:6" x14ac:dyDescent="0.3">
      <c r="A892" s="26">
        <v>70278</v>
      </c>
      <c r="B892" s="27" t="s">
        <v>146</v>
      </c>
      <c r="C892" s="27" t="s">
        <v>147</v>
      </c>
      <c r="D892" s="9"/>
      <c r="E892" s="9"/>
      <c r="F892" s="9"/>
    </row>
    <row r="893" spans="1:6" x14ac:dyDescent="0.3">
      <c r="A893" s="26">
        <v>70379</v>
      </c>
      <c r="B893" s="27" t="s">
        <v>140</v>
      </c>
      <c r="C893" s="27" t="s">
        <v>150</v>
      </c>
      <c r="D893" s="9"/>
      <c r="E893" s="9"/>
      <c r="F893" s="9"/>
    </row>
    <row r="894" spans="1:6" x14ac:dyDescent="0.3">
      <c r="A894" s="26">
        <v>70414</v>
      </c>
      <c r="B894" s="27" t="s">
        <v>140</v>
      </c>
      <c r="C894" s="27" t="s">
        <v>152</v>
      </c>
      <c r="D894" s="9"/>
      <c r="E894" s="9"/>
      <c r="F894" s="9"/>
    </row>
    <row r="895" spans="1:6" x14ac:dyDescent="0.3">
      <c r="A895" s="26">
        <v>70435</v>
      </c>
      <c r="B895" s="27" t="s">
        <v>140</v>
      </c>
      <c r="C895" s="27" t="s">
        <v>154</v>
      </c>
      <c r="D895" s="9"/>
      <c r="E895" s="9"/>
      <c r="F895" s="9"/>
    </row>
    <row r="896" spans="1:6" x14ac:dyDescent="0.3">
      <c r="A896" s="26">
        <v>70448</v>
      </c>
      <c r="B896" s="27" t="s">
        <v>149</v>
      </c>
      <c r="C896" s="27" t="s">
        <v>156</v>
      </c>
      <c r="D896" s="9"/>
      <c r="E896" s="9"/>
      <c r="F896" s="9"/>
    </row>
    <row r="897" spans="1:6" x14ac:dyDescent="0.3">
      <c r="A897" s="26">
        <v>70453</v>
      </c>
      <c r="B897" s="27" t="s">
        <v>146</v>
      </c>
      <c r="C897" s="27" t="s">
        <v>158</v>
      </c>
      <c r="D897" s="9"/>
      <c r="E897" s="9"/>
      <c r="F897" s="9"/>
    </row>
    <row r="898" spans="1:6" x14ac:dyDescent="0.3">
      <c r="A898" s="26">
        <v>70488</v>
      </c>
      <c r="B898" s="27" t="s">
        <v>146</v>
      </c>
      <c r="C898" s="27" t="s">
        <v>160</v>
      </c>
      <c r="D898" s="9"/>
      <c r="E898" s="9"/>
      <c r="F898" s="9"/>
    </row>
    <row r="899" spans="1:6" x14ac:dyDescent="0.3">
      <c r="A899" s="26">
        <v>70495</v>
      </c>
      <c r="B899" s="27" t="s">
        <v>146</v>
      </c>
      <c r="C899" s="27" t="s">
        <v>131</v>
      </c>
      <c r="D899" s="9"/>
      <c r="E899" s="9"/>
      <c r="F899" s="9"/>
    </row>
    <row r="900" spans="1:6" x14ac:dyDescent="0.3">
      <c r="A900" s="26">
        <v>70548</v>
      </c>
      <c r="B900" s="27" t="s">
        <v>130</v>
      </c>
      <c r="C900" s="27" t="s">
        <v>133</v>
      </c>
      <c r="D900" s="9"/>
      <c r="E900" s="9"/>
      <c r="F900" s="9"/>
    </row>
    <row r="901" spans="1:6" x14ac:dyDescent="0.3">
      <c r="A901" s="26">
        <v>70549</v>
      </c>
      <c r="B901" s="27" t="s">
        <v>135</v>
      </c>
      <c r="C901" s="27" t="s">
        <v>133</v>
      </c>
      <c r="D901" s="9"/>
      <c r="E901" s="9"/>
      <c r="F901" s="9"/>
    </row>
    <row r="902" spans="1:6" x14ac:dyDescent="0.3">
      <c r="A902" s="26">
        <v>70594</v>
      </c>
      <c r="B902" s="27" t="s">
        <v>137</v>
      </c>
      <c r="C902" s="27" t="s">
        <v>138</v>
      </c>
      <c r="D902" s="9"/>
      <c r="E902" s="9"/>
      <c r="F902" s="9"/>
    </row>
    <row r="903" spans="1:6" x14ac:dyDescent="0.3">
      <c r="A903" s="26">
        <v>70605</v>
      </c>
      <c r="B903" s="27" t="s">
        <v>135</v>
      </c>
      <c r="C903" s="27" t="s">
        <v>141</v>
      </c>
      <c r="D903" s="9"/>
      <c r="E903" s="9"/>
      <c r="F903" s="9"/>
    </row>
    <row r="904" spans="1:6" x14ac:dyDescent="0.3">
      <c r="A904" s="26">
        <v>70615</v>
      </c>
      <c r="B904" s="27" t="s">
        <v>137</v>
      </c>
      <c r="C904" s="27" t="s">
        <v>144</v>
      </c>
      <c r="D904" s="9"/>
      <c r="E904" s="9"/>
      <c r="F904" s="9"/>
    </row>
    <row r="905" spans="1:6" x14ac:dyDescent="0.3">
      <c r="A905" s="26">
        <v>70656</v>
      </c>
      <c r="B905" s="27" t="s">
        <v>146</v>
      </c>
      <c r="C905" s="27" t="s">
        <v>147</v>
      </c>
      <c r="D905" s="9"/>
      <c r="E905" s="9"/>
      <c r="F905" s="9"/>
    </row>
    <row r="906" spans="1:6" x14ac:dyDescent="0.3">
      <c r="A906" s="26">
        <v>70744</v>
      </c>
      <c r="B906" s="27" t="s">
        <v>130</v>
      </c>
      <c r="C906" s="27" t="s">
        <v>150</v>
      </c>
      <c r="D906" s="9"/>
      <c r="E906" s="9"/>
      <c r="F906" s="9"/>
    </row>
    <row r="907" spans="1:6" x14ac:dyDescent="0.3">
      <c r="A907" s="26">
        <v>70779</v>
      </c>
      <c r="B907" s="27" t="s">
        <v>130</v>
      </c>
      <c r="C907" s="27" t="s">
        <v>152</v>
      </c>
      <c r="D907" s="9"/>
      <c r="E907" s="9"/>
      <c r="F907" s="9"/>
    </row>
    <row r="908" spans="1:6" x14ac:dyDescent="0.3">
      <c r="A908" s="26">
        <v>70800</v>
      </c>
      <c r="B908" s="27" t="s">
        <v>130</v>
      </c>
      <c r="C908" s="27" t="s">
        <v>154</v>
      </c>
      <c r="D908" s="9"/>
      <c r="E908" s="9"/>
      <c r="F908" s="9"/>
    </row>
    <row r="909" spans="1:6" x14ac:dyDescent="0.3">
      <c r="A909" s="26">
        <v>70813</v>
      </c>
      <c r="B909" s="27" t="s">
        <v>140</v>
      </c>
      <c r="C909" s="27" t="s">
        <v>156</v>
      </c>
      <c r="D909" s="9"/>
      <c r="E909" s="9"/>
      <c r="F909" s="9"/>
    </row>
    <row r="910" spans="1:6" x14ac:dyDescent="0.3">
      <c r="A910" s="26">
        <v>70818</v>
      </c>
      <c r="B910" s="27" t="s">
        <v>137</v>
      </c>
      <c r="C910" s="27" t="s">
        <v>158</v>
      </c>
      <c r="D910" s="9"/>
      <c r="E910" s="9"/>
      <c r="F910" s="9"/>
    </row>
    <row r="911" spans="1:6" x14ac:dyDescent="0.3">
      <c r="A911" s="26">
        <v>70853</v>
      </c>
      <c r="B911" s="27" t="s">
        <v>137</v>
      </c>
      <c r="C911" s="27" t="s">
        <v>160</v>
      </c>
      <c r="D911" s="9"/>
      <c r="E911" s="9"/>
      <c r="F911" s="9"/>
    </row>
    <row r="912" spans="1:6" x14ac:dyDescent="0.3">
      <c r="A912" s="26">
        <v>70860</v>
      </c>
      <c r="B912" s="27" t="s">
        <v>137</v>
      </c>
      <c r="C912" s="27" t="s">
        <v>131</v>
      </c>
      <c r="D912" s="9"/>
      <c r="E912" s="9"/>
      <c r="F912" s="9"/>
    </row>
    <row r="913" spans="1:6" x14ac:dyDescent="0.3">
      <c r="A913" s="26">
        <v>70905</v>
      </c>
      <c r="B913" s="27" t="s">
        <v>130</v>
      </c>
      <c r="C913" s="27" t="s">
        <v>133</v>
      </c>
      <c r="D913" s="9"/>
      <c r="E913" s="9"/>
      <c r="F913" s="9"/>
    </row>
    <row r="914" spans="1:6" x14ac:dyDescent="0.3">
      <c r="A914" s="26">
        <v>70906</v>
      </c>
      <c r="B914" s="27" t="s">
        <v>135</v>
      </c>
      <c r="C914" s="27" t="s">
        <v>133</v>
      </c>
      <c r="D914" s="9"/>
      <c r="E914" s="9"/>
      <c r="F914" s="9"/>
    </row>
    <row r="915" spans="1:6" x14ac:dyDescent="0.3">
      <c r="A915" s="26">
        <v>70951</v>
      </c>
      <c r="B915" s="27" t="s">
        <v>137</v>
      </c>
      <c r="C915" s="27" t="s">
        <v>138</v>
      </c>
      <c r="D915" s="9"/>
      <c r="E915" s="9"/>
      <c r="F915" s="9"/>
    </row>
    <row r="916" spans="1:6" x14ac:dyDescent="0.3">
      <c r="A916" s="26">
        <v>70970</v>
      </c>
      <c r="B916" s="27" t="s">
        <v>143</v>
      </c>
      <c r="C916" s="27" t="s">
        <v>141</v>
      </c>
      <c r="D916" s="9"/>
      <c r="E916" s="9"/>
      <c r="F916" s="9"/>
    </row>
    <row r="917" spans="1:6" x14ac:dyDescent="0.3">
      <c r="A917" s="26">
        <v>70980</v>
      </c>
      <c r="B917" s="27" t="s">
        <v>149</v>
      </c>
      <c r="C917" s="27" t="s">
        <v>144</v>
      </c>
      <c r="D917" s="9"/>
      <c r="E917" s="9"/>
      <c r="F917" s="9"/>
    </row>
    <row r="918" spans="1:6" x14ac:dyDescent="0.3">
      <c r="A918" s="26">
        <v>71013</v>
      </c>
      <c r="B918" s="27" t="s">
        <v>146</v>
      </c>
      <c r="C918" s="27" t="s">
        <v>147</v>
      </c>
      <c r="D918" s="9"/>
      <c r="E918" s="9"/>
      <c r="F918" s="9"/>
    </row>
    <row r="919" spans="1:6" x14ac:dyDescent="0.3">
      <c r="A919" s="26">
        <v>71109</v>
      </c>
      <c r="B919" s="27" t="s">
        <v>135</v>
      </c>
      <c r="C919" s="27" t="s">
        <v>150</v>
      </c>
      <c r="D919" s="9"/>
      <c r="E919" s="9"/>
      <c r="F919" s="9"/>
    </row>
    <row r="920" spans="1:6" x14ac:dyDescent="0.3">
      <c r="A920" s="26">
        <v>71144</v>
      </c>
      <c r="B920" s="27" t="s">
        <v>135</v>
      </c>
      <c r="C920" s="27" t="s">
        <v>152</v>
      </c>
      <c r="D920" s="9"/>
      <c r="E920" s="9"/>
      <c r="F920" s="9"/>
    </row>
    <row r="921" spans="1:6" x14ac:dyDescent="0.3">
      <c r="A921" s="26">
        <v>71165</v>
      </c>
      <c r="B921" s="27" t="s">
        <v>135</v>
      </c>
      <c r="C921" s="27" t="s">
        <v>154</v>
      </c>
      <c r="D921" s="9"/>
      <c r="E921" s="9"/>
      <c r="F921" s="9"/>
    </row>
    <row r="922" spans="1:6" x14ac:dyDescent="0.3">
      <c r="A922" s="26">
        <v>71178</v>
      </c>
      <c r="B922" s="27" t="s">
        <v>130</v>
      </c>
      <c r="C922" s="27" t="s">
        <v>156</v>
      </c>
      <c r="D922" s="9"/>
      <c r="E922" s="9"/>
      <c r="F922" s="9"/>
    </row>
    <row r="923" spans="1:6" x14ac:dyDescent="0.3">
      <c r="A923" s="26">
        <v>71183</v>
      </c>
      <c r="B923" s="27" t="s">
        <v>149</v>
      </c>
      <c r="C923" s="27" t="s">
        <v>158</v>
      </c>
      <c r="D923" s="9"/>
      <c r="E923" s="9"/>
      <c r="F923" s="9"/>
    </row>
    <row r="924" spans="1:6" x14ac:dyDescent="0.3">
      <c r="A924" s="26">
        <v>71218</v>
      </c>
      <c r="B924" s="27" t="s">
        <v>149</v>
      </c>
      <c r="C924" s="27" t="s">
        <v>160</v>
      </c>
      <c r="D924" s="9"/>
      <c r="E924" s="9"/>
      <c r="F924" s="9"/>
    </row>
    <row r="925" spans="1:6" x14ac:dyDescent="0.3">
      <c r="A925" s="26">
        <v>71225</v>
      </c>
      <c r="B925" s="27" t="s">
        <v>149</v>
      </c>
      <c r="C925" s="27" t="s">
        <v>131</v>
      </c>
      <c r="D925" s="9"/>
      <c r="E925" s="9"/>
      <c r="F925" s="9"/>
    </row>
    <row r="926" spans="1:6" x14ac:dyDescent="0.3">
      <c r="A926" s="26">
        <v>71290</v>
      </c>
      <c r="B926" s="27" t="s">
        <v>130</v>
      </c>
      <c r="C926" s="27" t="s">
        <v>133</v>
      </c>
      <c r="D926" s="9"/>
      <c r="E926" s="9"/>
      <c r="F926" s="9"/>
    </row>
    <row r="927" spans="1:6" x14ac:dyDescent="0.3">
      <c r="A927" s="26">
        <v>71291</v>
      </c>
      <c r="B927" s="27" t="s">
        <v>135</v>
      </c>
      <c r="C927" s="27" t="s">
        <v>133</v>
      </c>
      <c r="D927" s="9"/>
      <c r="E927" s="9"/>
      <c r="F927" s="9"/>
    </row>
    <row r="928" spans="1:6" x14ac:dyDescent="0.3">
      <c r="A928" s="26">
        <v>71335</v>
      </c>
      <c r="B928" s="27" t="s">
        <v>146</v>
      </c>
      <c r="C928" s="27" t="s">
        <v>141</v>
      </c>
      <c r="D928" s="9"/>
      <c r="E928" s="9"/>
      <c r="F928" s="9"/>
    </row>
    <row r="929" spans="1:6" x14ac:dyDescent="0.3">
      <c r="A929" s="26">
        <v>71336</v>
      </c>
      <c r="B929" s="27" t="s">
        <v>137</v>
      </c>
      <c r="C929" s="27" t="s">
        <v>138</v>
      </c>
      <c r="D929" s="9"/>
      <c r="E929" s="9"/>
      <c r="F929" s="9"/>
    </row>
    <row r="930" spans="1:6" x14ac:dyDescent="0.3">
      <c r="A930" s="26">
        <v>71345</v>
      </c>
      <c r="B930" s="27" t="s">
        <v>140</v>
      </c>
      <c r="C930" s="27" t="s">
        <v>144</v>
      </c>
      <c r="D930" s="9"/>
      <c r="E930" s="9"/>
      <c r="F930" s="9"/>
    </row>
    <row r="931" spans="1:6" x14ac:dyDescent="0.3">
      <c r="A931" s="26">
        <v>71398</v>
      </c>
      <c r="B931" s="27" t="s">
        <v>146</v>
      </c>
      <c r="C931" s="27" t="s">
        <v>147</v>
      </c>
      <c r="D931" s="9"/>
      <c r="E931" s="9"/>
      <c r="F931" s="9"/>
    </row>
    <row r="932" spans="1:6" x14ac:dyDescent="0.3">
      <c r="A932" s="26">
        <v>71474</v>
      </c>
      <c r="B932" s="27" t="s">
        <v>143</v>
      </c>
      <c r="C932" s="27" t="s">
        <v>150</v>
      </c>
      <c r="D932" s="9"/>
      <c r="E932" s="9"/>
      <c r="F932" s="9"/>
    </row>
    <row r="933" spans="1:6" x14ac:dyDescent="0.3">
      <c r="A933" s="26">
        <v>71509</v>
      </c>
      <c r="B933" s="27" t="s">
        <v>143</v>
      </c>
      <c r="C933" s="27" t="s">
        <v>152</v>
      </c>
      <c r="D933" s="9"/>
      <c r="E933" s="9"/>
      <c r="F933" s="9"/>
    </row>
    <row r="934" spans="1:6" x14ac:dyDescent="0.3">
      <c r="A934" s="26">
        <v>71530</v>
      </c>
      <c r="B934" s="27" t="s">
        <v>143</v>
      </c>
      <c r="C934" s="27" t="s">
        <v>154</v>
      </c>
      <c r="D934" s="9"/>
      <c r="E934" s="9"/>
      <c r="F934" s="9"/>
    </row>
    <row r="935" spans="1:6" x14ac:dyDescent="0.3">
      <c r="A935" s="26">
        <v>71543</v>
      </c>
      <c r="B935" s="27" t="s">
        <v>135</v>
      </c>
      <c r="C935" s="27" t="s">
        <v>156</v>
      </c>
      <c r="D935" s="9"/>
      <c r="E935" s="9"/>
      <c r="F935" s="9"/>
    </row>
    <row r="936" spans="1:6" x14ac:dyDescent="0.3">
      <c r="A936" s="26">
        <v>71548</v>
      </c>
      <c r="B936" s="27" t="s">
        <v>140</v>
      </c>
      <c r="C936" s="27" t="s">
        <v>158</v>
      </c>
      <c r="D936" s="9"/>
      <c r="E936" s="9"/>
      <c r="F936" s="9"/>
    </row>
    <row r="937" spans="1:6" x14ac:dyDescent="0.3">
      <c r="A937" s="26">
        <v>71583</v>
      </c>
      <c r="B937" s="27" t="s">
        <v>140</v>
      </c>
      <c r="C937" s="27" t="s">
        <v>160</v>
      </c>
      <c r="D937" s="9"/>
      <c r="E937" s="9"/>
      <c r="F937" s="9"/>
    </row>
    <row r="938" spans="1:6" x14ac:dyDescent="0.3">
      <c r="A938" s="26">
        <v>71590</v>
      </c>
      <c r="B938" s="27" t="s">
        <v>140</v>
      </c>
      <c r="C938" s="27" t="s">
        <v>131</v>
      </c>
      <c r="D938" s="9"/>
      <c r="E938" s="9"/>
      <c r="F938" s="9"/>
    </row>
    <row r="939" spans="1:6" x14ac:dyDescent="0.3">
      <c r="A939" s="26">
        <v>71647</v>
      </c>
      <c r="B939" s="27" t="s">
        <v>130</v>
      </c>
      <c r="C939" s="27" t="s">
        <v>133</v>
      </c>
      <c r="D939" s="9"/>
      <c r="E939" s="9"/>
      <c r="F939" s="9"/>
    </row>
    <row r="940" spans="1:6" x14ac:dyDescent="0.3">
      <c r="A940" s="26">
        <v>71648</v>
      </c>
      <c r="B940" s="27" t="s">
        <v>135</v>
      </c>
      <c r="C940" s="27" t="s">
        <v>133</v>
      </c>
      <c r="D940" s="9"/>
      <c r="E940" s="9"/>
      <c r="F940" s="9"/>
    </row>
    <row r="941" spans="1:6" x14ac:dyDescent="0.3">
      <c r="A941" s="26">
        <v>71693</v>
      </c>
      <c r="B941" s="27" t="s">
        <v>137</v>
      </c>
      <c r="C941" s="27" t="s">
        <v>138</v>
      </c>
      <c r="D941" s="9"/>
      <c r="E941" s="9"/>
      <c r="F941" s="9"/>
    </row>
    <row r="942" spans="1:6" x14ac:dyDescent="0.3">
      <c r="A942" s="26">
        <v>71701</v>
      </c>
      <c r="B942" s="27" t="s">
        <v>149</v>
      </c>
      <c r="C942" s="27" t="s">
        <v>141</v>
      </c>
      <c r="D942" s="9"/>
      <c r="E942" s="9"/>
      <c r="F942" s="9"/>
    </row>
    <row r="943" spans="1:6" x14ac:dyDescent="0.3">
      <c r="A943" s="26">
        <v>71711</v>
      </c>
      <c r="B943" s="27" t="s">
        <v>135</v>
      </c>
      <c r="C943" s="27" t="s">
        <v>144</v>
      </c>
      <c r="D943" s="9"/>
      <c r="E943" s="9"/>
      <c r="F943" s="9"/>
    </row>
    <row r="944" spans="1:6" x14ac:dyDescent="0.3">
      <c r="A944" s="26">
        <v>71755</v>
      </c>
      <c r="B944" s="27" t="s">
        <v>146</v>
      </c>
      <c r="C944" s="27" t="s">
        <v>147</v>
      </c>
      <c r="D944" s="9"/>
      <c r="E944" s="9"/>
      <c r="F944" s="9"/>
    </row>
    <row r="945" spans="1:6" x14ac:dyDescent="0.3">
      <c r="A945" s="26">
        <v>71840</v>
      </c>
      <c r="B945" s="27" t="s">
        <v>137</v>
      </c>
      <c r="C945" s="27" t="s">
        <v>150</v>
      </c>
      <c r="D945" s="9"/>
      <c r="E945" s="9"/>
      <c r="F945" s="9"/>
    </row>
    <row r="946" spans="1:6" x14ac:dyDescent="0.3">
      <c r="A946" s="26">
        <v>71875</v>
      </c>
      <c r="B946" s="27" t="s">
        <v>137</v>
      </c>
      <c r="C946" s="27" t="s">
        <v>152</v>
      </c>
      <c r="D946" s="9"/>
      <c r="E946" s="9"/>
      <c r="F946" s="9"/>
    </row>
    <row r="947" spans="1:6" x14ac:dyDescent="0.3">
      <c r="A947" s="26">
        <v>71896</v>
      </c>
      <c r="B947" s="27" t="s">
        <v>137</v>
      </c>
      <c r="C947" s="27" t="s">
        <v>154</v>
      </c>
      <c r="D947" s="9"/>
      <c r="E947" s="9"/>
      <c r="F947" s="9"/>
    </row>
    <row r="948" spans="1:6" x14ac:dyDescent="0.3">
      <c r="A948" s="26">
        <v>71909</v>
      </c>
      <c r="B948" s="27" t="s">
        <v>146</v>
      </c>
      <c r="C948" s="27" t="s">
        <v>156</v>
      </c>
      <c r="D948" s="9"/>
      <c r="E948" s="9"/>
      <c r="F948" s="9"/>
    </row>
    <row r="949" spans="1:6" x14ac:dyDescent="0.3">
      <c r="A949" s="26">
        <v>71914</v>
      </c>
      <c r="B949" s="27" t="s">
        <v>135</v>
      </c>
      <c r="C949" s="27" t="s">
        <v>158</v>
      </c>
      <c r="D949" s="9"/>
      <c r="E949" s="9"/>
      <c r="F949" s="9"/>
    </row>
    <row r="950" spans="1:6" x14ac:dyDescent="0.3">
      <c r="A950" s="26">
        <v>71949</v>
      </c>
      <c r="B950" s="27" t="s">
        <v>135</v>
      </c>
      <c r="C950" s="27" t="s">
        <v>160</v>
      </c>
      <c r="D950" s="9"/>
      <c r="E950" s="9"/>
      <c r="F950" s="9"/>
    </row>
    <row r="951" spans="1:6" x14ac:dyDescent="0.3">
      <c r="A951" s="26">
        <v>71956</v>
      </c>
      <c r="B951" s="27" t="s">
        <v>135</v>
      </c>
      <c r="C951" s="27" t="s">
        <v>131</v>
      </c>
      <c r="D951" s="9"/>
      <c r="E951" s="9"/>
      <c r="F951" s="9"/>
    </row>
    <row r="952" spans="1:6" x14ac:dyDescent="0.3">
      <c r="A952" s="26">
        <v>71997</v>
      </c>
      <c r="B952" s="27" t="s">
        <v>130</v>
      </c>
      <c r="C952" s="27" t="s">
        <v>133</v>
      </c>
      <c r="D952" s="9"/>
      <c r="E952" s="9"/>
      <c r="F952" s="9"/>
    </row>
    <row r="953" spans="1:6" x14ac:dyDescent="0.3">
      <c r="A953" s="26">
        <v>71998</v>
      </c>
      <c r="B953" s="27" t="s">
        <v>135</v>
      </c>
      <c r="C953" s="27" t="s">
        <v>133</v>
      </c>
      <c r="D953" s="9"/>
      <c r="E953" s="9"/>
      <c r="F953" s="9"/>
    </row>
    <row r="954" spans="1:6" x14ac:dyDescent="0.3">
      <c r="A954" s="26">
        <v>72043</v>
      </c>
      <c r="B954" s="27" t="s">
        <v>137</v>
      </c>
      <c r="C954" s="27" t="s">
        <v>138</v>
      </c>
      <c r="D954" s="9"/>
      <c r="E954" s="9"/>
      <c r="F954" s="9"/>
    </row>
    <row r="955" spans="1:6" x14ac:dyDescent="0.3">
      <c r="A955" s="26">
        <v>72066</v>
      </c>
      <c r="B955" s="27" t="s">
        <v>140</v>
      </c>
      <c r="C955" s="27" t="s">
        <v>141</v>
      </c>
      <c r="D955" s="9"/>
      <c r="E955" s="9"/>
      <c r="F955" s="9"/>
    </row>
    <row r="956" spans="1:6" x14ac:dyDescent="0.3">
      <c r="A956" s="26">
        <v>72076</v>
      </c>
      <c r="B956" s="27" t="s">
        <v>143</v>
      </c>
      <c r="C956" s="27" t="s">
        <v>144</v>
      </c>
      <c r="D956" s="9"/>
      <c r="E956" s="9"/>
      <c r="F956" s="9"/>
    </row>
    <row r="957" spans="1:6" x14ac:dyDescent="0.3">
      <c r="A957" s="26">
        <v>72105</v>
      </c>
      <c r="B957" s="27" t="s">
        <v>146</v>
      </c>
      <c r="C957" s="27" t="s">
        <v>147</v>
      </c>
      <c r="D957" s="9"/>
      <c r="E957" s="9"/>
      <c r="F957" s="9"/>
    </row>
    <row r="958" spans="1:6" x14ac:dyDescent="0.3">
      <c r="A958" s="26">
        <v>72205</v>
      </c>
      <c r="B958" s="27" t="s">
        <v>149</v>
      </c>
      <c r="C958" s="27" t="s">
        <v>150</v>
      </c>
      <c r="D958" s="9"/>
      <c r="E958" s="9"/>
      <c r="F958" s="9"/>
    </row>
    <row r="959" spans="1:6" x14ac:dyDescent="0.3">
      <c r="A959" s="26">
        <v>72240</v>
      </c>
      <c r="B959" s="27" t="s">
        <v>149</v>
      </c>
      <c r="C959" s="27" t="s">
        <v>152</v>
      </c>
      <c r="D959" s="9"/>
      <c r="E959" s="9"/>
      <c r="F959" s="9"/>
    </row>
    <row r="960" spans="1:6" x14ac:dyDescent="0.3">
      <c r="A960" s="26">
        <v>72261</v>
      </c>
      <c r="B960" s="27" t="s">
        <v>149</v>
      </c>
      <c r="C960" s="27" t="s">
        <v>154</v>
      </c>
      <c r="D960" s="9"/>
      <c r="E960" s="9"/>
      <c r="F960" s="9"/>
    </row>
    <row r="961" spans="1:6" x14ac:dyDescent="0.3">
      <c r="A961" s="26">
        <v>72274</v>
      </c>
      <c r="B961" s="27" t="s">
        <v>137</v>
      </c>
      <c r="C961" s="27" t="s">
        <v>156</v>
      </c>
      <c r="D961" s="9"/>
      <c r="E961" s="9"/>
      <c r="F961" s="9"/>
    </row>
    <row r="962" spans="1:6" x14ac:dyDescent="0.3">
      <c r="A962" s="26">
        <v>72279</v>
      </c>
      <c r="B962" s="27" t="s">
        <v>143</v>
      </c>
      <c r="C962" s="27" t="s">
        <v>158</v>
      </c>
      <c r="D962" s="9"/>
      <c r="E962" s="9"/>
      <c r="F962" s="9"/>
    </row>
    <row r="963" spans="1:6" x14ac:dyDescent="0.3">
      <c r="A963" s="26">
        <v>72314</v>
      </c>
      <c r="B963" s="27" t="s">
        <v>143</v>
      </c>
      <c r="C963" s="27" t="s">
        <v>160</v>
      </c>
      <c r="D963" s="9"/>
      <c r="E963" s="9"/>
      <c r="F963" s="9"/>
    </row>
    <row r="964" spans="1:6" x14ac:dyDescent="0.3">
      <c r="A964" s="26">
        <v>72321</v>
      </c>
      <c r="B964" s="27" t="s">
        <v>143</v>
      </c>
      <c r="C964" s="27" t="s">
        <v>131</v>
      </c>
      <c r="D964" s="9"/>
      <c r="E964" s="9"/>
      <c r="F964" s="9"/>
    </row>
    <row r="965" spans="1:6" x14ac:dyDescent="0.3">
      <c r="A965" s="26">
        <v>72382</v>
      </c>
      <c r="B965" s="27" t="s">
        <v>130</v>
      </c>
      <c r="C965" s="27" t="s">
        <v>133</v>
      </c>
      <c r="D965" s="9"/>
      <c r="E965" s="9"/>
      <c r="F965" s="9"/>
    </row>
    <row r="966" spans="1:6" x14ac:dyDescent="0.3">
      <c r="A966" s="26">
        <v>72383</v>
      </c>
      <c r="B966" s="27" t="s">
        <v>135</v>
      </c>
      <c r="C966" s="27" t="s">
        <v>133</v>
      </c>
      <c r="D966" s="9"/>
      <c r="E966" s="9"/>
      <c r="F966" s="9"/>
    </row>
    <row r="967" spans="1:6" x14ac:dyDescent="0.3">
      <c r="A967" s="26">
        <v>72428</v>
      </c>
      <c r="B967" s="27" t="s">
        <v>137</v>
      </c>
      <c r="C967" s="27" t="s">
        <v>138</v>
      </c>
      <c r="D967" s="9"/>
      <c r="E967" s="9"/>
      <c r="F967" s="9"/>
    </row>
    <row r="968" spans="1:6" x14ac:dyDescent="0.3">
      <c r="A968" s="26">
        <v>72431</v>
      </c>
      <c r="B968" s="27" t="s">
        <v>130</v>
      </c>
      <c r="C968" s="27" t="s">
        <v>141</v>
      </c>
      <c r="D968" s="9"/>
      <c r="E968" s="9"/>
      <c r="F968" s="9"/>
    </row>
    <row r="969" spans="1:6" x14ac:dyDescent="0.3">
      <c r="A969" s="26">
        <v>72441</v>
      </c>
      <c r="B969" s="27" t="s">
        <v>146</v>
      </c>
      <c r="C969" s="27" t="s">
        <v>144</v>
      </c>
      <c r="D969" s="9"/>
      <c r="E969" s="9"/>
      <c r="F969" s="9"/>
    </row>
    <row r="970" spans="1:6" x14ac:dyDescent="0.3">
      <c r="A970" s="26">
        <v>72490</v>
      </c>
      <c r="B970" s="27" t="s">
        <v>146</v>
      </c>
      <c r="C970" s="27" t="s">
        <v>147</v>
      </c>
      <c r="D970" s="9"/>
      <c r="E970" s="9"/>
      <c r="F970" s="9"/>
    </row>
    <row r="971" spans="1:6" x14ac:dyDescent="0.3">
      <c r="A971" s="26">
        <v>72570</v>
      </c>
      <c r="B971" s="27" t="s">
        <v>140</v>
      </c>
      <c r="C971" s="27" t="s">
        <v>150</v>
      </c>
      <c r="D971" s="9"/>
      <c r="E971" s="9"/>
      <c r="F971" s="9"/>
    </row>
    <row r="972" spans="1:6" x14ac:dyDescent="0.3">
      <c r="A972" s="26">
        <v>72605</v>
      </c>
      <c r="B972" s="27" t="s">
        <v>140</v>
      </c>
      <c r="C972" s="27" t="s">
        <v>152</v>
      </c>
      <c r="D972" s="9"/>
      <c r="E972" s="9"/>
      <c r="F972" s="9"/>
    </row>
    <row r="973" spans="1:6" x14ac:dyDescent="0.3">
      <c r="A973" s="26">
        <v>72626</v>
      </c>
      <c r="B973" s="27" t="s">
        <v>140</v>
      </c>
      <c r="C973" s="27" t="s">
        <v>154</v>
      </c>
      <c r="D973" s="9"/>
      <c r="E973" s="9"/>
      <c r="F973" s="9"/>
    </row>
    <row r="974" spans="1:6" x14ac:dyDescent="0.3">
      <c r="A974" s="26">
        <v>72639</v>
      </c>
      <c r="B974" s="27" t="s">
        <v>149</v>
      </c>
      <c r="C974" s="27" t="s">
        <v>156</v>
      </c>
      <c r="D974" s="9"/>
      <c r="E974" s="9"/>
      <c r="F974" s="9"/>
    </row>
    <row r="975" spans="1:6" x14ac:dyDescent="0.3">
      <c r="A975" s="26">
        <v>72644</v>
      </c>
      <c r="B975" s="27" t="s">
        <v>146</v>
      </c>
      <c r="C975" s="27" t="s">
        <v>158</v>
      </c>
      <c r="D975" s="9"/>
      <c r="E975" s="9"/>
      <c r="F975" s="9"/>
    </row>
    <row r="976" spans="1:6" x14ac:dyDescent="0.3">
      <c r="A976" s="26">
        <v>72679</v>
      </c>
      <c r="B976" s="27" t="s">
        <v>146</v>
      </c>
      <c r="C976" s="27" t="s">
        <v>160</v>
      </c>
      <c r="D976" s="9"/>
      <c r="E976" s="9"/>
      <c r="F976" s="9"/>
    </row>
    <row r="977" spans="1:6" x14ac:dyDescent="0.3">
      <c r="A977" s="26">
        <v>72686</v>
      </c>
      <c r="B977" s="27" t="s">
        <v>146</v>
      </c>
      <c r="C977" s="27" t="s">
        <v>161</v>
      </c>
      <c r="D977" s="9"/>
      <c r="E977" s="9"/>
      <c r="F977" s="9"/>
    </row>
    <row r="978" spans="1:6" x14ac:dyDescent="0.3">
      <c r="A978" s="26">
        <v>72739</v>
      </c>
      <c r="B978" s="27" t="s">
        <v>130</v>
      </c>
      <c r="C978" s="27" t="s">
        <v>133</v>
      </c>
      <c r="D978" s="9"/>
      <c r="E978" s="9"/>
      <c r="F978" s="9"/>
    </row>
    <row r="979" spans="1:6" x14ac:dyDescent="0.3">
      <c r="A979" s="26">
        <v>72740</v>
      </c>
      <c r="B979" s="27" t="s">
        <v>135</v>
      </c>
      <c r="C979" s="27" t="s">
        <v>133</v>
      </c>
      <c r="D979" s="9"/>
      <c r="E979" s="9"/>
      <c r="F979" s="9"/>
    </row>
    <row r="980" spans="1:6" x14ac:dyDescent="0.3">
      <c r="A980" s="26">
        <v>72785</v>
      </c>
      <c r="B980" s="27" t="s">
        <v>137</v>
      </c>
      <c r="C980" s="27" t="s">
        <v>138</v>
      </c>
      <c r="D980" s="9"/>
      <c r="E980" s="9"/>
      <c r="F980" s="9"/>
    </row>
    <row r="981" spans="1:6" x14ac:dyDescent="0.3">
      <c r="A981" s="26">
        <v>72796</v>
      </c>
      <c r="B981" s="27" t="s">
        <v>135</v>
      </c>
      <c r="C981" s="27" t="s">
        <v>141</v>
      </c>
      <c r="D981" s="9"/>
      <c r="E981" s="9"/>
      <c r="F981" s="9"/>
    </row>
    <row r="982" spans="1:6" x14ac:dyDescent="0.3">
      <c r="A982" s="26">
        <v>72806</v>
      </c>
      <c r="B982" s="27" t="s">
        <v>137</v>
      </c>
      <c r="C982" s="27" t="s">
        <v>144</v>
      </c>
      <c r="D982" s="9"/>
      <c r="E982" s="9"/>
      <c r="F982" s="9"/>
    </row>
    <row r="983" spans="1:6" x14ac:dyDescent="0.3">
      <c r="A983" s="26">
        <v>72847</v>
      </c>
      <c r="B983" s="27" t="s">
        <v>146</v>
      </c>
      <c r="C983" s="27" t="s">
        <v>147</v>
      </c>
      <c r="D983" s="9"/>
      <c r="E983" s="9"/>
      <c r="F983" s="9"/>
    </row>
    <row r="984" spans="1:6" x14ac:dyDescent="0.3">
      <c r="A984" s="26">
        <v>72935</v>
      </c>
      <c r="B984" s="27" t="s">
        <v>130</v>
      </c>
      <c r="C984" s="27" t="s">
        <v>150</v>
      </c>
      <c r="D984" s="9"/>
      <c r="E984" s="9"/>
      <c r="F984" s="9"/>
    </row>
    <row r="985" spans="1:6" x14ac:dyDescent="0.3">
      <c r="A985" s="26">
        <v>72970</v>
      </c>
      <c r="B985" s="27" t="s">
        <v>130</v>
      </c>
      <c r="C985" s="27" t="s">
        <v>152</v>
      </c>
      <c r="D985" s="9"/>
      <c r="E985" s="9"/>
      <c r="F985" s="9"/>
    </row>
    <row r="986" spans="1:6" x14ac:dyDescent="0.3">
      <c r="A986" s="26">
        <v>72991</v>
      </c>
      <c r="B986" s="27" t="s">
        <v>130</v>
      </c>
      <c r="C986" s="27" t="s">
        <v>154</v>
      </c>
      <c r="D986" s="9"/>
      <c r="E986" s="9"/>
      <c r="F986" s="9"/>
    </row>
    <row r="987" spans="1:6" x14ac:dyDescent="0.3">
      <c r="A987" s="26">
        <v>73004</v>
      </c>
      <c r="B987" s="27" t="s">
        <v>140</v>
      </c>
      <c r="C987" s="27" t="s">
        <v>156</v>
      </c>
      <c r="D987" s="9"/>
      <c r="E987" s="9"/>
      <c r="F987" s="9"/>
    </row>
    <row r="988" spans="1:6" x14ac:dyDescent="0.3">
      <c r="A988" s="26">
        <v>73009</v>
      </c>
      <c r="B988" s="27" t="s">
        <v>137</v>
      </c>
      <c r="C988" s="27" t="s">
        <v>158</v>
      </c>
      <c r="D988" s="9"/>
      <c r="E988" s="9"/>
      <c r="F988" s="9"/>
    </row>
    <row r="989" spans="1:6" x14ac:dyDescent="0.3">
      <c r="A989" s="26">
        <v>73044</v>
      </c>
      <c r="B989" s="27" t="s">
        <v>137</v>
      </c>
      <c r="C989" s="27" t="s">
        <v>160</v>
      </c>
      <c r="D989" s="9"/>
      <c r="E989" s="9"/>
      <c r="F98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Futuros</vt:lpstr>
      <vt:lpstr>DI1</vt:lpstr>
      <vt:lpstr>DDI</vt:lpstr>
      <vt:lpstr>DOL</vt:lpstr>
      <vt:lpstr>Mapa de FX</vt:lpstr>
      <vt:lpstr>Rolagem</vt:lpstr>
      <vt:lpstr>FRA's</vt:lpstr>
      <vt:lpstr>Aux</vt:lpstr>
      <vt:lpstr>Depara_CodigoVCTO</vt:lpstr>
      <vt:lpstr>Depara_Mesvcto</vt:lpstr>
      <vt:lpstr>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 Diniz Marinho</dc:creator>
  <cp:lastModifiedBy>Fernanda Diniz Marinho</cp:lastModifiedBy>
  <dcterms:created xsi:type="dcterms:W3CDTF">2024-07-24T23:56:10Z</dcterms:created>
  <dcterms:modified xsi:type="dcterms:W3CDTF">2024-09-19T00:36:44Z</dcterms:modified>
</cp:coreProperties>
</file>